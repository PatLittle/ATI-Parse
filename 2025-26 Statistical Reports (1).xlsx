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I" sheetId="1" r:id="rId4"/>
    <sheet state="visible" name="Priv" sheetId="2" r:id="rId5"/>
    <sheet state="visible" name="ATI_ForConsumption" sheetId="3" r:id="rId6"/>
    <sheet state="visible" name="Privacy_ForConsumption" sheetId="4" r:id="rId7"/>
  </sheets>
  <definedNames/>
  <calcPr/>
  <extLst>
    <ext uri="GoogleSheetsCustomDataVersion2">
      <go:sheetsCustomData xmlns:go="http://customooxmlschemas.google.com/" r:id="rId8" roundtripDataChecksum="IellSxrx6sH2n3c+N1W51RiRyTNWfbMY603SBasHQA8="/>
    </ext>
  </extLst>
</workbook>
</file>

<file path=xl/sharedStrings.xml><?xml version="1.0" encoding="utf-8"?>
<sst xmlns="http://schemas.openxmlformats.org/spreadsheetml/2006/main" count="3688" uniqueCount="1603">
  <si>
    <r>
      <rPr>
        <rFont val="Arial"/>
        <b/>
        <color theme="1"/>
        <sz val="14.0"/>
      </rPr>
      <t xml:space="preserve">Statistical Report on the </t>
    </r>
    <r>
      <rPr>
        <rFont val="Arial"/>
        <b/>
        <i/>
        <color theme="1"/>
        <sz val="14.0"/>
      </rPr>
      <t>Access to Information Act</t>
    </r>
  </si>
  <si>
    <t>Name of institution:</t>
  </si>
  <si>
    <t>Reporting period:</t>
  </si>
  <si>
    <t>to</t>
  </si>
  <si>
    <r>
      <rPr>
        <rFont val="Arial"/>
        <b/>
        <color theme="0"/>
        <sz val="11.0"/>
      </rPr>
      <t xml:space="preserve">Section 1: Requests Under the </t>
    </r>
    <r>
      <rPr>
        <rFont val="Arial"/>
        <b/>
        <i/>
        <color theme="0"/>
        <sz val="11.0"/>
      </rPr>
      <t>Access to Information Act</t>
    </r>
  </si>
  <si>
    <t>1.1  Number of requests</t>
  </si>
  <si>
    <t>Number of Requests</t>
  </si>
  <si>
    <t>Received during reporting period</t>
  </si>
  <si>
    <t>Outstanding from previous reporting periods</t>
  </si>
  <si>
    <t>• Outstanding from previous reporting period</t>
  </si>
  <si>
    <t>• Outstanding from more than one reporting period</t>
  </si>
  <si>
    <t>Total</t>
  </si>
  <si>
    <t>Closed during reporting period</t>
  </si>
  <si>
    <t>Carried over to next reporting period</t>
  </si>
  <si>
    <t>• Carried over within legislated timeline</t>
  </si>
  <si>
    <t>• Carried over beyond legislated timeline</t>
  </si>
  <si>
    <t>1.2  Sources of requests</t>
  </si>
  <si>
    <t>Source</t>
  </si>
  <si>
    <t>Media</t>
  </si>
  <si>
    <t>Academia</t>
  </si>
  <si>
    <t>Business (private sector)</t>
  </si>
  <si>
    <t>Organization</t>
  </si>
  <si>
    <t>Public</t>
  </si>
  <si>
    <t>Decline to Identify</t>
  </si>
  <si>
    <t>1.3  Channels of requests</t>
  </si>
  <si>
    <t>Online</t>
  </si>
  <si>
    <t>E-mail</t>
  </si>
  <si>
    <t>Mail</t>
  </si>
  <si>
    <t>In person</t>
  </si>
  <si>
    <t>Phone</t>
  </si>
  <si>
    <t>Fax</t>
  </si>
  <si>
    <t>Section 2: Informal Requests</t>
  </si>
  <si>
    <t>2.1 Number of informal requests</t>
  </si>
  <si>
    <t>2.2 Completion time of informal requests</t>
  </si>
  <si>
    <t>Completion Time</t>
  </si>
  <si>
    <t>0 to 15 Days</t>
  </si>
  <si>
    <t>16 to 30 Days</t>
  </si>
  <si>
    <t>31 to 60 Days</t>
  </si>
  <si>
    <t>61 to 120 Days</t>
  </si>
  <si>
    <t>121 to 180 Days</t>
  </si>
  <si>
    <t>181 to 365 Days</t>
  </si>
  <si>
    <t>More Than 365 Days</t>
  </si>
  <si>
    <t>2.3 Pages released and re-released informally</t>
  </si>
  <si>
    <t>Less Than 500
Pages Released and Re-released</t>
  </si>
  <si>
    <t>500-10000
Pages Released and Re-released</t>
  </si>
  <si>
    <t>More Than 10000
Pages Released and Re-released</t>
  </si>
  <si>
    <t>Number of pages</t>
  </si>
  <si>
    <t>Section 3: Applications to the Information Commissioner on Declining to Act on Requests</t>
  </si>
  <si>
    <t>Outstanding from previous reporting period</t>
  </si>
  <si>
    <t>Sent during reporting period</t>
  </si>
  <si>
    <t xml:space="preserve">Approved by the Information Commissioner during reporting period </t>
  </si>
  <si>
    <t xml:space="preserve">Declined by the Information Commissioner during reporting period </t>
  </si>
  <si>
    <t>Withdrawn during reporting period</t>
  </si>
  <si>
    <t xml:space="preserve">Section 4: Requests Closed During the Reporting Period </t>
  </si>
  <si>
    <t>4.1 Disposition and completion time</t>
  </si>
  <si>
    <t>Disposition of Requests</t>
  </si>
  <si>
    <t>All disclosed</t>
  </si>
  <si>
    <t>Disclosed in part</t>
  </si>
  <si>
    <t>All exempted</t>
  </si>
  <si>
    <t>All excluded</t>
  </si>
  <si>
    <t>No records exist</t>
  </si>
  <si>
    <t>Request transferred</t>
  </si>
  <si>
    <t>Request abandoned</t>
  </si>
  <si>
    <t>Neither confirmed nor denied</t>
  </si>
  <si>
    <t>Declined to act with the approval of the Information Commissioner</t>
  </si>
  <si>
    <t xml:space="preserve">4.2 Exemptions </t>
  </si>
  <si>
    <t>Section</t>
  </si>
  <si>
    <t>13(1)(a)</t>
  </si>
  <si>
    <t>16(2)</t>
  </si>
  <si>
    <t>18(a)</t>
  </si>
  <si>
    <t>13(1)(b)</t>
  </si>
  <si>
    <t>16(2)(a)</t>
  </si>
  <si>
    <t>18(b)</t>
  </si>
  <si>
    <t>13(1)(c)</t>
  </si>
  <si>
    <t>16(2)(b)</t>
  </si>
  <si>
    <t>18(c)</t>
  </si>
  <si>
    <t>13(1)(d)</t>
  </si>
  <si>
    <t>16(2)(c)</t>
  </si>
  <si>
    <t>18(d)</t>
  </si>
  <si>
    <t>21(1)(a)</t>
  </si>
  <si>
    <t>13(1)(e)</t>
  </si>
  <si>
    <t>16(3)</t>
  </si>
  <si>
    <t>18.1(1)(a)</t>
  </si>
  <si>
    <t>21(1)(b)</t>
  </si>
  <si>
    <t>16.1(1)(a)</t>
  </si>
  <si>
    <t>18.1(1)(b)</t>
  </si>
  <si>
    <t>21(1)(c)</t>
  </si>
  <si>
    <t>14(a)</t>
  </si>
  <si>
    <t>16.1(1)(b)</t>
  </si>
  <si>
    <t>18.1(1)(c)</t>
  </si>
  <si>
    <t>21(1)(d)</t>
  </si>
  <si>
    <t>14(b)</t>
  </si>
  <si>
    <t>16.1(1)(c)</t>
  </si>
  <si>
    <t>18.1(1)(d)</t>
  </si>
  <si>
    <t>15(1)</t>
  </si>
  <si>
    <t>16.1(1)(d)</t>
  </si>
  <si>
    <t>19(1)</t>
  </si>
  <si>
    <t>22.1(1)</t>
  </si>
  <si>
    <t>15(1) - I.A.*</t>
  </si>
  <si>
    <t>16.2(1)</t>
  </si>
  <si>
    <t>20(1)(a)</t>
  </si>
  <si>
    <t>15(1) - Def.*</t>
  </si>
  <si>
    <t>20(1)(b)</t>
  </si>
  <si>
    <t>15(1) - S.A.*</t>
  </si>
  <si>
    <t>16.4(1)(a)</t>
  </si>
  <si>
    <t>20(1)(b.1)</t>
  </si>
  <si>
    <t>24(1)</t>
  </si>
  <si>
    <t>16(1)(a)(i)</t>
  </si>
  <si>
    <t>16.4(1)(b)</t>
  </si>
  <si>
    <t>20(1)(c)</t>
  </si>
  <si>
    <t>16(1)(a)(ii)</t>
  </si>
  <si>
    <t>20(1)(d)</t>
  </si>
  <si>
    <t>16(1)(a)(iii)</t>
  </si>
  <si>
    <t>16(1)(b)</t>
  </si>
  <si>
    <t>16(1)(c)</t>
  </si>
  <si>
    <t>16(1)(d)</t>
  </si>
  <si>
    <t>* I.A.:  International Affairs       Def.:  Defence of Canada       S.A.:  Subversive Activities</t>
  </si>
  <si>
    <t xml:space="preserve">4.3 Exclusions </t>
  </si>
  <si>
    <t>68(a)</t>
  </si>
  <si>
    <t>69(1)</t>
  </si>
  <si>
    <t>69(1)(g) re (a)</t>
  </si>
  <si>
    <t>68(b)</t>
  </si>
  <si>
    <t>69(1)(a)</t>
  </si>
  <si>
    <t>69(1)(g) re (b)</t>
  </si>
  <si>
    <t>68(c)</t>
  </si>
  <si>
    <t>69(1)(b)</t>
  </si>
  <si>
    <t>69(1)(g) re (c)</t>
  </si>
  <si>
    <t>68.1</t>
  </si>
  <si>
    <t>69(1)(c)</t>
  </si>
  <si>
    <t>69(1)(g) re (d)</t>
  </si>
  <si>
    <t>68.2(a)</t>
  </si>
  <si>
    <t>69(1)(d)</t>
  </si>
  <si>
    <t>69(1)(g) re (e)</t>
  </si>
  <si>
    <t>68.2(b)</t>
  </si>
  <si>
    <t>69(1)(e)</t>
  </si>
  <si>
    <t>69(1)(g) re (f)</t>
  </si>
  <si>
    <t>69(1)(f)</t>
  </si>
  <si>
    <t>69.1(1)</t>
  </si>
  <si>
    <t>4.4  Format of information released</t>
  </si>
  <si>
    <t>Paper</t>
  </si>
  <si>
    <t>Electronic</t>
  </si>
  <si>
    <t>Other</t>
  </si>
  <si>
    <t>E-record</t>
  </si>
  <si>
    <t>Data set</t>
  </si>
  <si>
    <t>Video</t>
  </si>
  <si>
    <t>Audio</t>
  </si>
  <si>
    <t>4.5 Complexity</t>
  </si>
  <si>
    <t>4.5.1 Relevant pages processed and disclosed for paper, e-record and dataset formats</t>
  </si>
  <si>
    <t>Number of Pages Processed</t>
  </si>
  <si>
    <t>Number of Pages Disclosed</t>
  </si>
  <si>
    <r>
      <rPr>
        <rFont val="Arial"/>
        <b/>
        <color theme="1"/>
        <sz val="11.0"/>
      </rPr>
      <t xml:space="preserve">4.5.2 Relevant pages processed per request disposition for </t>
    </r>
    <r>
      <rPr>
        <rFont val="Arial"/>
        <b/>
        <color theme="1"/>
        <sz val="11.0"/>
        <u/>
      </rPr>
      <t>paper</t>
    </r>
    <r>
      <rPr>
        <rFont val="Arial"/>
        <b/>
        <color theme="1"/>
        <sz val="11.0"/>
      </rPr>
      <t xml:space="preserve">, </t>
    </r>
    <r>
      <rPr>
        <rFont val="Arial"/>
        <b/>
        <color theme="1"/>
        <sz val="11.0"/>
        <u/>
      </rPr>
      <t>e-record</t>
    </r>
    <r>
      <rPr>
        <rFont val="Arial"/>
        <b/>
        <color theme="1"/>
        <sz val="11.0"/>
      </rPr>
      <t xml:space="preserve"> and </t>
    </r>
    <r>
      <rPr>
        <rFont val="Arial"/>
        <b/>
        <color theme="1"/>
        <sz val="11.0"/>
        <u/>
      </rPr>
      <t>dataset</t>
    </r>
    <r>
      <rPr>
        <rFont val="Arial"/>
        <b/>
        <color theme="1"/>
        <sz val="11.0"/>
      </rPr>
      <t xml:space="preserve"> formats by size of requests</t>
    </r>
  </si>
  <si>
    <t>Disposition</t>
  </si>
  <si>
    <t>Less Than 500
Pages Processed</t>
  </si>
  <si>
    <t>500-10 000
Pages Processed</t>
  </si>
  <si>
    <t>More Than 10 000
Pages Processed</t>
  </si>
  <si>
    <t>Pages Processed</t>
  </si>
  <si>
    <t xml:space="preserve">Request abandoned </t>
  </si>
  <si>
    <r>
      <rPr>
        <rFont val="Arial"/>
        <b/>
        <color theme="1"/>
        <sz val="11.0"/>
      </rPr>
      <t xml:space="preserve">4.5.3 Relevant minutes processed and disclosed for </t>
    </r>
    <r>
      <rPr>
        <rFont val="Arial"/>
        <b/>
        <color theme="1"/>
        <sz val="11.0"/>
        <u/>
      </rPr>
      <t>audio and video</t>
    </r>
    <r>
      <rPr>
        <rFont val="Arial"/>
        <b/>
        <color theme="1"/>
        <sz val="11.0"/>
      </rPr>
      <t xml:space="preserve"> formats</t>
    </r>
  </si>
  <si>
    <t>Number of Minutes Processed</t>
  </si>
  <si>
    <t>Number of Minutes Disclosed</t>
  </si>
  <si>
    <r>
      <rPr>
        <rFont val="Arial"/>
        <b/>
        <color theme="1"/>
        <sz val="11.0"/>
      </rPr>
      <t xml:space="preserve">4.5.4 Relevant minutes processed per request disposition for </t>
    </r>
    <r>
      <rPr>
        <rFont val="Arial"/>
        <b/>
        <color theme="1"/>
        <sz val="11.0"/>
        <u/>
      </rPr>
      <t>audio and video</t>
    </r>
    <r>
      <rPr>
        <rFont val="Arial"/>
        <b/>
        <color theme="1"/>
        <sz val="11.0"/>
      </rPr>
      <t xml:space="preserve"> formats</t>
    </r>
  </si>
  <si>
    <t>Minutes Processed</t>
  </si>
  <si>
    <t xml:space="preserve"> </t>
  </si>
  <si>
    <t>4.5.5 Other complexities</t>
  </si>
  <si>
    <t>Consultation Required</t>
  </si>
  <si>
    <t>Legal Advice Sought</t>
  </si>
  <si>
    <t>4.6 Closed requests</t>
  </si>
  <si>
    <t>4.6.1  Requests closed within legislated timelines</t>
  </si>
  <si>
    <r>
      <rPr>
        <rFont val="Arial"/>
        <b/>
        <color theme="1"/>
        <sz val="10.0"/>
      </rPr>
      <t>Number of requests closed within legislated</t>
    </r>
    <r>
      <rPr>
        <rFont val="Arial"/>
        <b/>
        <color rgb="FFFF0000"/>
        <sz val="10.0"/>
      </rPr>
      <t xml:space="preserve"> </t>
    </r>
    <r>
      <rPr>
        <rFont val="Arial"/>
        <b/>
        <color theme="1"/>
        <sz val="10.0"/>
      </rPr>
      <t>timelines</t>
    </r>
  </si>
  <si>
    <t>Percentage of requests closed within legislated timelines (%)</t>
  </si>
  <si>
    <t>4.7 Deemed refusals</t>
  </si>
  <si>
    <r>
      <rPr>
        <rFont val="Arial"/>
        <b/>
        <color theme="1"/>
        <sz val="11.0"/>
      </rPr>
      <t>4.7.1 </t>
    </r>
    <r>
      <rPr>
        <rFont val="Arial"/>
        <b/>
        <color theme="1"/>
        <sz val="11.0"/>
      </rPr>
      <t>Reasons for not meeting legislated</t>
    </r>
    <r>
      <rPr>
        <rFont val="Arial"/>
        <b/>
        <color theme="1"/>
        <sz val="11.0"/>
      </rPr>
      <t xml:space="preserve"> timelines</t>
    </r>
  </si>
  <si>
    <r>
      <rPr>
        <rFont val="Arial"/>
        <b/>
        <color theme="1"/>
        <sz val="10.0"/>
      </rPr>
      <t>Number of requests closed past the</t>
    </r>
    <r>
      <rPr>
        <rFont val="Arial"/>
        <b/>
        <color rgb="FFFF0000"/>
        <sz val="10.0"/>
      </rPr>
      <t xml:space="preserve"> </t>
    </r>
    <r>
      <rPr>
        <rFont val="Arial"/>
        <b/>
        <color theme="1"/>
        <sz val="10.0"/>
      </rPr>
      <t>legislated timelines</t>
    </r>
  </si>
  <si>
    <t>Principal Reason</t>
  </si>
  <si>
    <t>Interference with operations/ Workload</t>
  </si>
  <si>
    <t>External Consultation</t>
  </si>
  <si>
    <t>Internal Consultation</t>
  </si>
  <si>
    <r>
      <rPr>
        <rFont val="Arial"/>
        <b/>
        <color theme="1"/>
        <sz val="11.0"/>
      </rPr>
      <t>4.7.2 </t>
    </r>
    <r>
      <rPr>
        <rFont val="Arial"/>
        <b/>
        <color theme="1"/>
        <sz val="11.0"/>
      </rPr>
      <t xml:space="preserve">Requests closed beyond </t>
    </r>
    <r>
      <rPr>
        <rFont val="Arial"/>
        <b/>
        <color theme="1"/>
        <sz val="11.0"/>
      </rPr>
      <t>legislated timelines</t>
    </r>
    <r>
      <rPr>
        <rFont val="Arial"/>
        <b/>
        <color theme="1"/>
        <sz val="11.0"/>
      </rPr>
      <t xml:space="preserve"> (including any extension taken)</t>
    </r>
  </si>
  <si>
    <t>Number of days past legislated timelines</t>
  </si>
  <si>
    <t>Number of requests past legislated timeline where no extension was taken</t>
  </si>
  <si>
    <t>Number of requests past legislated timeline where an extension was taken</t>
  </si>
  <si>
    <t>1 to 15 days</t>
  </si>
  <si>
    <t>16 to 30 days</t>
  </si>
  <si>
    <t>31 to 60 days</t>
  </si>
  <si>
    <t>61 to 120 days</t>
  </si>
  <si>
    <t>121  to 180 days</t>
  </si>
  <si>
    <t>181 to 365 days</t>
  </si>
  <si>
    <t>More than 365 days</t>
  </si>
  <si>
    <t>Section 5: Extensions</t>
  </si>
  <si>
    <t>5.1  Reasons for extensions and disposition of requests</t>
  </si>
  <si>
    <t>Disposition of Requests Where an Extension Was Taken</t>
  </si>
  <si>
    <t>9(1)(a)
Interference With Operations/ Workload</t>
  </si>
  <si>
    <t>9(1)(b)
Consultation</t>
  </si>
  <si>
    <t>9(1)(c)
Third-Party Notice</t>
  </si>
  <si>
    <t>Section 69</t>
  </si>
  <si>
    <t>5.2 Length of extensions</t>
  </si>
  <si>
    <t>Length of Extensions</t>
  </si>
  <si>
    <t>30 days or less</t>
  </si>
  <si>
    <t>121 to 180 days</t>
  </si>
  <si>
    <t>365 days or more</t>
  </si>
  <si>
    <t>Section 6: Fees</t>
  </si>
  <si>
    <t>Fee Type</t>
  </si>
  <si>
    <t>Fee Collected</t>
  </si>
  <si>
    <t xml:space="preserve">Fee Waived </t>
  </si>
  <si>
    <t>Fee Refunded</t>
  </si>
  <si>
    <t>Number of 
Requests</t>
  </si>
  <si>
    <t>Amount</t>
  </si>
  <si>
    <t>Application</t>
  </si>
  <si>
    <t xml:space="preserve">Other fees </t>
  </si>
  <si>
    <t>Section 7: Consultations Received From Other Institutions and Organizations</t>
  </si>
  <si>
    <t>7.1  Consultations received from other Government of Canada institutions and other organizations</t>
  </si>
  <si>
    <t>Consultations</t>
  </si>
  <si>
    <t>Other Government of Canada Institutions</t>
  </si>
  <si>
    <t>Number of Pages to Review</t>
  </si>
  <si>
    <t>Other Organizations</t>
  </si>
  <si>
    <t>Received during the reporting period</t>
  </si>
  <si>
    <t>Outstanding from the previous reporting period</t>
  </si>
  <si>
    <t>Closed during the reporting period</t>
  </si>
  <si>
    <t>Carried over within negotiated timelines</t>
  </si>
  <si>
    <t>Carried over beyond negotiated timelines</t>
  </si>
  <si>
    <t>7.2 Recommendations and completion time for consultations received from other Government of Canada institutions</t>
  </si>
  <si>
    <t>Recommendation</t>
  </si>
  <si>
    <t>Number of Days Required to Complete Consultation Requests</t>
  </si>
  <si>
    <t>121  to 180 Days</t>
  </si>
  <si>
    <t>Disclose entirely</t>
  </si>
  <si>
    <t>Disclose in part</t>
  </si>
  <si>
    <t>Exempt entirely</t>
  </si>
  <si>
    <t>Exclude entirely</t>
  </si>
  <si>
    <t>Consult other institution</t>
  </si>
  <si>
    <t>7.3 Recommendations and completion time for consultations received from other organizations outside the Government of Canada</t>
  </si>
  <si>
    <t>Total Number of Consultations</t>
  </si>
  <si>
    <t>Section 8: Completion Time of Consultations on Cabinet Confidences</t>
  </si>
  <si>
    <t>8.1 Requests with Legal Services</t>
  </si>
  <si>
    <t>Number of Days</t>
  </si>
  <si>
    <t>Fewer Than 500 Pages Processed</t>
  </si>
  <si>
    <t>500-10000
Pages Processed</t>
  </si>
  <si>
    <t>More Than 10000
Pages Processed</t>
  </si>
  <si>
    <t>Number of
Requests</t>
  </si>
  <si>
    <t>Pages Disclosed</t>
  </si>
  <si>
    <t>1 to 15</t>
  </si>
  <si>
    <t>16 to 30</t>
  </si>
  <si>
    <t>31 to 60</t>
  </si>
  <si>
    <t>61 to 120</t>
  </si>
  <si>
    <t>121 to 180</t>
  </si>
  <si>
    <t>181 to 365</t>
  </si>
  <si>
    <t>More than 365</t>
  </si>
  <si>
    <t>8.2 Requests with Privy Council Office</t>
  </si>
  <si>
    <t>Section 9: Investigations and Reports of finding</t>
  </si>
  <si>
    <t>9.1 Investigations</t>
  </si>
  <si>
    <t>Section 32 Notice of intention to investigate</t>
  </si>
  <si>
    <t>Subsection 30(5) Ceased to investigate</t>
  </si>
  <si>
    <t>Section 35  Formal Representations</t>
  </si>
  <si>
    <t>9.2 Investigations and Reports of finding</t>
  </si>
  <si>
    <t>Subsection 37(1) Initial Reports</t>
  </si>
  <si>
    <t>Subsection 37(2) Final Reports</t>
  </si>
  <si>
    <t xml:space="preserve"> Received</t>
  </si>
  <si>
    <t>Containing recommendations issued by the Information Commissioner</t>
  </si>
  <si>
    <t>Containing an intent to issue an order by the Information Commissioner</t>
  </si>
  <si>
    <t>Containing orders issued by the Information Commissioner</t>
  </si>
  <si>
    <t>Section 10: Court Action</t>
  </si>
  <si>
    <t>10.1 Court actions on complaints</t>
  </si>
  <si>
    <t xml:space="preserve">Section 41 </t>
  </si>
  <si>
    <t>Complainant (1)</t>
  </si>
  <si>
    <t>Institution (2)</t>
  </si>
  <si>
    <t>Third Party (3)</t>
  </si>
  <si>
    <t>Privacy Commissioner (4)</t>
  </si>
  <si>
    <t>10.2 Court actions on third party notifications under paragraph 28(1)(b)</t>
  </si>
  <si>
    <t>Section 44 - under paragraph 28(1)(b)</t>
  </si>
  <si>
    <r>
      <rPr>
        <rFont val="Arial"/>
        <b/>
        <color rgb="FFFFFFFF"/>
        <sz val="11.0"/>
      </rPr>
      <t xml:space="preserve">Section 11: Resources Related to the </t>
    </r>
    <r>
      <rPr>
        <rFont val="Arial"/>
        <b/>
        <i/>
        <color rgb="FFFFFFFF"/>
        <sz val="11.0"/>
      </rPr>
      <t>Access to Information Act</t>
    </r>
  </si>
  <si>
    <t>11.1 Allocated Costs</t>
  </si>
  <si>
    <t>Expenditures</t>
  </si>
  <si>
    <t xml:space="preserve">Salaries </t>
  </si>
  <si>
    <t>Overtime</t>
  </si>
  <si>
    <t>Goods and Services</t>
  </si>
  <si>
    <t>• Professional services contracts</t>
  </si>
  <si>
    <t>• Other</t>
  </si>
  <si>
    <r>
      <rPr>
        <rFont val="Arial"/>
        <b/>
        <color theme="1"/>
        <sz val="11.0"/>
      </rPr>
      <t>11.2  </t>
    </r>
    <r>
      <rPr>
        <rFont val="Arial"/>
        <b/>
        <color rgb="FF000000"/>
        <sz val="11.0"/>
      </rPr>
      <t>Human Resources</t>
    </r>
  </si>
  <si>
    <t>Resources</t>
  </si>
  <si>
    <t xml:space="preserve">Person Years Dedicated to Access to Information Activities </t>
  </si>
  <si>
    <t>Full-time employees</t>
  </si>
  <si>
    <t>Part-time and casual employees</t>
  </si>
  <si>
    <t>Regional staff</t>
  </si>
  <si>
    <t>Consultants and agency personnel</t>
  </si>
  <si>
    <t>Students</t>
  </si>
  <si>
    <t>Note: Enter values to three decimal places.</t>
  </si>
  <si>
    <r>
      <rPr>
        <rFont val="Arial"/>
        <b/>
        <color theme="1"/>
        <sz val="14.0"/>
      </rPr>
      <t xml:space="preserve">Statistical Report on the </t>
    </r>
    <r>
      <rPr>
        <rFont val="Arial"/>
        <b/>
        <i/>
        <color theme="1"/>
        <sz val="14.0"/>
      </rPr>
      <t>Privacy Act</t>
    </r>
  </si>
  <si>
    <r>
      <rPr>
        <rFont val="Arial"/>
        <b/>
        <color theme="0"/>
        <sz val="12.0"/>
      </rPr>
      <t>Section</t>
    </r>
    <r>
      <rPr>
        <rFont val="Arial"/>
        <b/>
        <color rgb="FFA8D08D"/>
        <sz val="12.0"/>
      </rPr>
      <t xml:space="preserve"> </t>
    </r>
    <r>
      <rPr>
        <rFont val="Arial"/>
        <b/>
        <color theme="0"/>
        <sz val="12.0"/>
      </rPr>
      <t xml:space="preserve">1: Requests Under the </t>
    </r>
    <r>
      <rPr>
        <rFont val="Arial"/>
        <b/>
        <i/>
        <color theme="0"/>
        <sz val="12.0"/>
      </rPr>
      <t>Privacy Act</t>
    </r>
  </si>
  <si>
    <t>1.1  Number of requests received</t>
  </si>
  <si>
    <t>1.2  Channels of requests</t>
  </si>
  <si>
    <t xml:space="preserve">Section 2: Informal requests </t>
  </si>
  <si>
    <t>2.3 Pages released informally</t>
  </si>
  <si>
    <t>Less Than 500
Pages Released</t>
  </si>
  <si>
    <t>500-10000
Pages Released</t>
  </si>
  <si>
    <t>More Than 10000
Pages Released</t>
  </si>
  <si>
    <t>Pages Released</t>
  </si>
  <si>
    <t xml:space="preserve">Section 3: Requests Closed During the Reporting Period </t>
  </si>
  <si>
    <t>3.1 Disposition and completion time</t>
  </si>
  <si>
    <t xml:space="preserve">3.2 Exemptions </t>
  </si>
  <si>
    <t>18(2)</t>
  </si>
  <si>
    <t>22(1)(a)(i)</t>
  </si>
  <si>
    <t>23(a)</t>
  </si>
  <si>
    <t>19(1)(a)</t>
  </si>
  <si>
    <t>22(1)(a)(ii)</t>
  </si>
  <si>
    <t>23(b)</t>
  </si>
  <si>
    <t>19(1)(b)</t>
  </si>
  <si>
    <t>22(1)(a)(iii)</t>
  </si>
  <si>
    <t>24(a)</t>
  </si>
  <si>
    <t>19(1)(c)</t>
  </si>
  <si>
    <t>22(1)(b)</t>
  </si>
  <si>
    <t>24(b)</t>
  </si>
  <si>
    <t>19(1)(d)</t>
  </si>
  <si>
    <t>22(1)(c)</t>
  </si>
  <si>
    <t>19(1)(e)</t>
  </si>
  <si>
    <t>22(2)</t>
  </si>
  <si>
    <t>19(1)(f)</t>
  </si>
  <si>
    <t xml:space="preserve">3.3 Exclusions </t>
  </si>
  <si>
    <t>70(1)</t>
  </si>
  <si>
    <t>70(1)(d)</t>
  </si>
  <si>
    <t>70(1)(a)</t>
  </si>
  <si>
    <t>70(1)(e)</t>
  </si>
  <si>
    <t>70(1)(b)</t>
  </si>
  <si>
    <t>70(1)(f)</t>
  </si>
  <si>
    <t>70(1)(c)</t>
  </si>
  <si>
    <t>3.4 Format of information released</t>
  </si>
  <si>
    <t>3.5 Complexity</t>
  </si>
  <si>
    <t>3.5.1 Relevant pages processed and disclosed for paper, e-record and dataset formats</t>
  </si>
  <si>
    <t>Number of Pages  Processed</t>
  </si>
  <si>
    <r>
      <rPr>
        <rFont val="Arial"/>
        <b/>
        <color theme="1"/>
        <sz val="11.0"/>
      </rPr>
      <t xml:space="preserve">3.5.2 Relevant pages processed per request disposition for </t>
    </r>
    <r>
      <rPr>
        <rFont val="Arial"/>
        <b/>
        <color theme="1"/>
        <sz val="11.0"/>
        <u/>
      </rPr>
      <t>paper</t>
    </r>
    <r>
      <rPr>
        <rFont val="Arial"/>
        <b/>
        <color theme="1"/>
        <sz val="11.0"/>
      </rPr>
      <t xml:space="preserve">, </t>
    </r>
    <r>
      <rPr>
        <rFont val="Arial"/>
        <b/>
        <color theme="1"/>
        <sz val="11.0"/>
        <u/>
      </rPr>
      <t>e-record</t>
    </r>
    <r>
      <rPr>
        <rFont val="Arial"/>
        <b/>
        <color theme="1"/>
        <sz val="11.0"/>
      </rPr>
      <t xml:space="preserve"> and </t>
    </r>
    <r>
      <rPr>
        <rFont val="Arial"/>
        <b/>
        <color theme="1"/>
        <sz val="11.0"/>
        <u/>
      </rPr>
      <t>dataset</t>
    </r>
    <r>
      <rPr>
        <rFont val="Arial"/>
        <b/>
        <color theme="1"/>
        <sz val="11.0"/>
      </rPr>
      <t xml:space="preserve"> formats by size of requests</t>
    </r>
  </si>
  <si>
    <t>Number of requests 3.5.2</t>
  </si>
  <si>
    <t>Total 3.5.2, 3.5.4 and 3.5.6</t>
  </si>
  <si>
    <r>
      <rPr>
        <rFont val="Arial"/>
        <b/>
        <color theme="1"/>
        <sz val="11.0"/>
      </rPr>
      <t xml:space="preserve">3.5.3 Relevant minutes processed and disclosed for </t>
    </r>
    <r>
      <rPr>
        <rFont val="Arial"/>
        <b/>
        <color theme="1"/>
        <sz val="11.0"/>
        <u/>
      </rPr>
      <t>audio and video</t>
    </r>
    <r>
      <rPr>
        <rFont val="Arial"/>
        <b/>
        <color theme="1"/>
        <sz val="11.0"/>
      </rPr>
      <t xml:space="preserve"> formats</t>
    </r>
  </si>
  <si>
    <r>
      <rPr>
        <rFont val="Arial"/>
        <b/>
        <color theme="1"/>
        <sz val="11.0"/>
      </rPr>
      <t xml:space="preserve">3.5.4 Relevant minutes processed per request disposition for </t>
    </r>
    <r>
      <rPr>
        <rFont val="Arial"/>
        <b/>
        <color theme="1"/>
        <sz val="11.0"/>
        <u/>
      </rPr>
      <t>audio and video</t>
    </r>
    <r>
      <rPr>
        <rFont val="Arial"/>
        <b/>
        <color theme="1"/>
        <sz val="11.0"/>
      </rPr>
      <t xml:space="preserve"> formats</t>
    </r>
    <r>
      <rPr>
        <rFont val="Arial"/>
        <b/>
        <strike/>
        <color theme="1"/>
        <sz val="11.0"/>
      </rPr>
      <t xml:space="preserve"> by size of requests</t>
    </r>
  </si>
  <si>
    <t>Number of requests</t>
  </si>
  <si>
    <t>3.5.5 Other complexities</t>
  </si>
  <si>
    <t>Interwoven Information</t>
  </si>
  <si>
    <t>3.6 Closed requests</t>
  </si>
  <si>
    <r>
      <rPr>
        <rFont val="Arial"/>
        <b/>
        <color theme="1"/>
        <sz val="11.0"/>
      </rPr>
      <t>3.6.1</t>
    </r>
    <r>
      <rPr>
        <rFont val="Arial"/>
        <b/>
        <color theme="1"/>
        <sz val="11.0"/>
      </rPr>
      <t xml:space="preserve">  Number of requests closed within legislated timelines</t>
    </r>
  </si>
  <si>
    <r>
      <rPr>
        <rFont val="Arial"/>
        <b/>
        <color theme="1"/>
        <sz val="10.0"/>
      </rPr>
      <t>Number of requests closed within legislate</t>
    </r>
    <r>
      <rPr>
        <rFont val="Arial"/>
        <b/>
        <color theme="1"/>
        <sz val="10.0"/>
      </rPr>
      <t>d timelines</t>
    </r>
  </si>
  <si>
    <t>3.7 Deemed refusals</t>
  </si>
  <si>
    <t>3.7.1 Reasons for not meeting legislated timelines</t>
  </si>
  <si>
    <t>Number of requests closed past the legislated timelines</t>
  </si>
  <si>
    <t>Interference with operations / Workload</t>
  </si>
  <si>
    <r>
      <rPr>
        <rFont val="Arial"/>
        <b/>
        <color theme="1"/>
        <sz val="11.0"/>
      </rPr>
      <t>3.7.2 Request</t>
    </r>
    <r>
      <rPr>
        <rFont val="Arial"/>
        <b/>
        <color theme="1"/>
        <sz val="11.0"/>
      </rPr>
      <t xml:space="preserve"> closed beyond legislated</t>
    </r>
    <r>
      <rPr>
        <rFont val="Arial"/>
        <b/>
        <color theme="1"/>
        <sz val="11.0"/>
      </rPr>
      <t xml:space="preserve"> timelines</t>
    </r>
    <r>
      <rPr>
        <rFont val="Arial"/>
        <b/>
        <color theme="1"/>
        <sz val="11.0"/>
      </rPr>
      <t xml:space="preserve"> (including any extension taken)</t>
    </r>
  </si>
  <si>
    <t>Number of requests past  legislated timeline where an extension was taken</t>
  </si>
  <si>
    <t>Section 4: Disclosures Under Subsections 8(2) and 8(5)</t>
  </si>
  <si>
    <t>Paragraph 8(2)(e)</t>
  </si>
  <si>
    <t>Paragraph 8(2)(m)</t>
  </si>
  <si>
    <t>Subsection 8(5)</t>
  </si>
  <si>
    <t>Section 5: Requests for Correction of Personal Information and Notations</t>
  </si>
  <si>
    <t>Disposition for Correction Requests Received</t>
  </si>
  <si>
    <t>Number</t>
  </si>
  <si>
    <t>Notations attached</t>
  </si>
  <si>
    <t>Requests for correction accepted</t>
  </si>
  <si>
    <t>Section 6: Extensions</t>
  </si>
  <si>
    <t>6.1  Reasons for extensions</t>
  </si>
  <si>
    <t>15(a)(i) Interference with operations</t>
  </si>
  <si>
    <t xml:space="preserve">15 (a)(ii) Consultation </t>
  </si>
  <si>
    <t>15(b)
Translation purposes or conversion</t>
  </si>
  <si>
    <t>Further review required to determine exemptions</t>
  </si>
  <si>
    <t>Large volume of pages</t>
  </si>
  <si>
    <t>Large volume of requests</t>
  </si>
  <si>
    <t>Documents are difficult to obtain</t>
  </si>
  <si>
    <t>Cabinet Confidence (Section 70)</t>
  </si>
  <si>
    <t>External</t>
  </si>
  <si>
    <t>Internal</t>
  </si>
  <si>
    <t>Number of extensions taken</t>
  </si>
  <si>
    <t>6.2 Length of extensions</t>
  </si>
  <si>
    <t xml:space="preserve">31 days or greater </t>
  </si>
  <si>
    <t>7.1 Consultations received from other Government of Canada institutions and other organizations</t>
  </si>
  <si>
    <t>Number of days required to complete consultation requests</t>
  </si>
  <si>
    <t>More than 10000
Pages Processed</t>
  </si>
  <si>
    <t>Section 9: Complaints and Investigations Notices Received</t>
  </si>
  <si>
    <t>Section 31</t>
  </si>
  <si>
    <t>Section 33</t>
  </si>
  <si>
    <t>Section 35</t>
  </si>
  <si>
    <t>Court action</t>
  </si>
  <si>
    <t>Section 10: Privacy Impact Assessments (PIAs) and Personal Information Banks (PIBs)</t>
  </si>
  <si>
    <t>10.1 Programs and activities</t>
  </si>
  <si>
    <t>Number of existing programs or activities that use personal information that have been substantially modified during the reporting period</t>
  </si>
  <si>
    <t>Number of new programs or new activities that use personal information established during the reporting period</t>
  </si>
  <si>
    <t>10.2 Privacy Impact Assessments</t>
  </si>
  <si>
    <t>Number of PIAs completed</t>
  </si>
  <si>
    <t>Number of PIAs modified</t>
  </si>
  <si>
    <t>Number of PIA summaries published during the reporting period</t>
  </si>
  <si>
    <t>Number of PIAs for which the risk mitigation measures have been reviewed during the reporting period</t>
  </si>
  <si>
    <t>10.3 Privacy Protocols</t>
  </si>
  <si>
    <t>Number of privacy protocols completed to establish or modify Personal Information Banks</t>
  </si>
  <si>
    <t>10.4 Institution-specific and Central Personal Information Banks</t>
  </si>
  <si>
    <t>Personal Information Banks</t>
  </si>
  <si>
    <t>Active</t>
  </si>
  <si>
    <t>Created</t>
  </si>
  <si>
    <t>Terminated</t>
  </si>
  <si>
    <t>Modified</t>
  </si>
  <si>
    <t>Institution-specific</t>
  </si>
  <si>
    <t>Central</t>
  </si>
  <si>
    <t>10.5 Info Source page</t>
  </si>
  <si>
    <t>Date of the most recent major change to Personal Information Banks on the Info Source page</t>
  </si>
  <si>
    <t>yyyy-mm-dd</t>
  </si>
  <si>
    <t>Section 11: Social Insurance Number</t>
  </si>
  <si>
    <t>Number of new programs or activities that collect or use Social Insurance Number</t>
  </si>
  <si>
    <t>Section 12: Privacy Breaches</t>
  </si>
  <si>
    <t>12.1 Material Privacy Breaches reported</t>
  </si>
  <si>
    <t>Number of material privacy breaches reported to TBS</t>
  </si>
  <si>
    <t>Number of material privacy breaches reported to OPC</t>
  </si>
  <si>
    <t>12.2 Non-Material Privacy Breaches</t>
  </si>
  <si>
    <t xml:space="preserve">Number of non-material privacy breaches </t>
  </si>
  <si>
    <t>Section 13: Privacy Training</t>
  </si>
  <si>
    <t>Number of employees that have completed privacy training during the reporting period</t>
  </si>
  <si>
    <t>Section 14: Resources Related to the Privacy Act</t>
  </si>
  <si>
    <t>14.1  Allocated Costs</t>
  </si>
  <si>
    <t>14.2  Human Resources</t>
  </si>
  <si>
    <t xml:space="preserve">Person Years Dedicated to Privacy Activities </t>
  </si>
  <si>
    <t>Inst</t>
  </si>
  <si>
    <t>Report</t>
  </si>
  <si>
    <t>2021;2022</t>
  </si>
  <si>
    <t>Q1R1C1</t>
  </si>
  <si>
    <t>1,1</t>
  </si>
  <si>
    <t>Q1R2C1</t>
  </si>
  <si>
    <t>Q1R3C1</t>
  </si>
  <si>
    <t>Q1R4C1</t>
  </si>
  <si>
    <t>Q1R5C1</t>
  </si>
  <si>
    <t>Q1R6C1</t>
  </si>
  <si>
    <t>Q1R7C1</t>
  </si>
  <si>
    <t>Q1R8C1</t>
  </si>
  <si>
    <t>Q1R9C1</t>
  </si>
  <si>
    <t>Q2R1C1</t>
  </si>
  <si>
    <t>1,2</t>
  </si>
  <si>
    <t>Q2R2C1</t>
  </si>
  <si>
    <t>Q2R3C1</t>
  </si>
  <si>
    <t>Q2R4C1</t>
  </si>
  <si>
    <t>Q2R5C1</t>
  </si>
  <si>
    <t>Q2R6C1</t>
  </si>
  <si>
    <t>Q2R7C1</t>
  </si>
  <si>
    <t>Q3R1C1</t>
  </si>
  <si>
    <t>1,3</t>
  </si>
  <si>
    <t>Q3R2C1</t>
  </si>
  <si>
    <t>Q3R3C1</t>
  </si>
  <si>
    <t>Q3R4C1</t>
  </si>
  <si>
    <t>Q3R5C1</t>
  </si>
  <si>
    <t>Q3R6C1</t>
  </si>
  <si>
    <t>Q3R7C1</t>
  </si>
  <si>
    <t>Q4R1C1</t>
  </si>
  <si>
    <t>2,1</t>
  </si>
  <si>
    <t>Q4R2C1</t>
  </si>
  <si>
    <t>Q4R3C1</t>
  </si>
  <si>
    <t>Q4R4C1</t>
  </si>
  <si>
    <t>Q4R5C1</t>
  </si>
  <si>
    <t>Q4R6C1</t>
  </si>
  <si>
    <t>Q4R7C1</t>
  </si>
  <si>
    <t>Q5R1C1</t>
  </si>
  <si>
    <t>2,2</t>
  </si>
  <si>
    <t>Q5R2C1</t>
  </si>
  <si>
    <t>Q5R3C1</t>
  </si>
  <si>
    <t>Q5R4C1</t>
  </si>
  <si>
    <t>Q5R5C1</t>
  </si>
  <si>
    <t>Q5R6C1</t>
  </si>
  <si>
    <t>Q5R7C1</t>
  </si>
  <si>
    <t>Q6R1C1</t>
  </si>
  <si>
    <t>2,3</t>
  </si>
  <si>
    <t>Q6R1C2</t>
  </si>
  <si>
    <t>Q6R1C3</t>
  </si>
  <si>
    <t>Q6R1C4</t>
  </si>
  <si>
    <t>Q6R1C5</t>
  </si>
  <si>
    <t>Q6R1C6</t>
  </si>
  <si>
    <t>Q6R1C7</t>
  </si>
  <si>
    <t>Q7R1C1</t>
  </si>
  <si>
    <t>2,4</t>
  </si>
  <si>
    <t>Q7R1C2</t>
  </si>
  <si>
    <t>Q7R1C3</t>
  </si>
  <si>
    <t>Q7R1C4</t>
  </si>
  <si>
    <t>Q7R1C5</t>
  </si>
  <si>
    <t>Q7R1C6</t>
  </si>
  <si>
    <t>Q7R1C7</t>
  </si>
  <si>
    <t>Q7R1C8</t>
  </si>
  <si>
    <t>Q7R1C9</t>
  </si>
  <si>
    <t>Q7R1C10</t>
  </si>
  <si>
    <t>Q8R1C1</t>
  </si>
  <si>
    <t>2,5</t>
  </si>
  <si>
    <t>Q8R1C2</t>
  </si>
  <si>
    <t>Q8R1C3</t>
  </si>
  <si>
    <t>Q8R1C4</t>
  </si>
  <si>
    <t>Q8R1C5</t>
  </si>
  <si>
    <t>Q8R1C6</t>
  </si>
  <si>
    <t>Q8R1C7</t>
  </si>
  <si>
    <t>Q8R1C8</t>
  </si>
  <si>
    <t>Q8R1C9</t>
  </si>
  <si>
    <t>Q8R1C10</t>
  </si>
  <si>
    <t>Q9R1C1</t>
  </si>
  <si>
    <t>Q9R2C1</t>
  </si>
  <si>
    <t>Q9R3C1</t>
  </si>
  <si>
    <t>Q9R4C1</t>
  </si>
  <si>
    <t>Q9R5C1</t>
  </si>
  <si>
    <t>Q9R6C1</t>
  </si>
  <si>
    <t>Q9R7C1</t>
  </si>
  <si>
    <t>Q10R1C1</t>
  </si>
  <si>
    <t>4,1</t>
  </si>
  <si>
    <t>Q10R1C2</t>
  </si>
  <si>
    <t>Q10R1C3</t>
  </si>
  <si>
    <t>Q10R1C4</t>
  </si>
  <si>
    <t>Q10R1C5</t>
  </si>
  <si>
    <t>Q10R1C6</t>
  </si>
  <si>
    <t>Q10R1C7</t>
  </si>
  <si>
    <t>Q10R2C1</t>
  </si>
  <si>
    <t>Q10R2C2</t>
  </si>
  <si>
    <t>Q10R2C3</t>
  </si>
  <si>
    <t>Q10R2C4</t>
  </si>
  <si>
    <t>Q10R2C5</t>
  </si>
  <si>
    <t>Q10R2C6</t>
  </si>
  <si>
    <t>Q10R2C7</t>
  </si>
  <si>
    <t>Q10R3C1</t>
  </si>
  <si>
    <t>Q10R3C2</t>
  </si>
  <si>
    <t>Q10R3C3</t>
  </si>
  <si>
    <t>Q10R3C4</t>
  </si>
  <si>
    <t>Q10R3C5</t>
  </si>
  <si>
    <t>Q10R3C6</t>
  </si>
  <si>
    <t>Q10R3C7</t>
  </si>
  <si>
    <t>Q10R4C1</t>
  </si>
  <si>
    <t>Q10R4C2</t>
  </si>
  <si>
    <t>Q10R4C3</t>
  </si>
  <si>
    <t>Q10R4C4</t>
  </si>
  <si>
    <t>Q10R4C5</t>
  </si>
  <si>
    <t>Q10R4C6</t>
  </si>
  <si>
    <t>Q10R4C7</t>
  </si>
  <si>
    <t>Q10R5C1</t>
  </si>
  <si>
    <t>Q10R5C2</t>
  </si>
  <si>
    <t>Q10R5C3</t>
  </si>
  <si>
    <t>Q10R5C4</t>
  </si>
  <si>
    <t>Q10R5C5</t>
  </si>
  <si>
    <t>Q10R5C6</t>
  </si>
  <si>
    <t>Q10R5C7</t>
  </si>
  <si>
    <t>Q10R6C1</t>
  </si>
  <si>
    <t>Q10R6C2</t>
  </si>
  <si>
    <t>Q10R6C3</t>
  </si>
  <si>
    <t>Q10R6C4</t>
  </si>
  <si>
    <t>Q10R6C5</t>
  </si>
  <si>
    <t>Q10R6C6</t>
  </si>
  <si>
    <t>Q10R6C7</t>
  </si>
  <si>
    <t>Q10R7C1</t>
  </si>
  <si>
    <t>Q10R7C2</t>
  </si>
  <si>
    <t>Q10R7C3</t>
  </si>
  <si>
    <t>Q10R7C4</t>
  </si>
  <si>
    <t>Q10R7C5</t>
  </si>
  <si>
    <t>Q10R7C6</t>
  </si>
  <si>
    <t>Q10R7C7</t>
  </si>
  <si>
    <t>Q10R8C1</t>
  </si>
  <si>
    <t>Q10R8C2</t>
  </si>
  <si>
    <t>Q10R8C3</t>
  </si>
  <si>
    <t>Q10R8C4</t>
  </si>
  <si>
    <t>Q10R8C5</t>
  </si>
  <si>
    <t>Q10R8C6</t>
  </si>
  <si>
    <t>Q10R8C7</t>
  </si>
  <si>
    <t>Q10R9C1</t>
  </si>
  <si>
    <t>Q10R9C2</t>
  </si>
  <si>
    <t>Q10R9C3</t>
  </si>
  <si>
    <t>Q10R9C4</t>
  </si>
  <si>
    <t>Q10R9C5</t>
  </si>
  <si>
    <t>Q10R9C6</t>
  </si>
  <si>
    <t>Q10R9C7</t>
  </si>
  <si>
    <t>Q11R1C1</t>
  </si>
  <si>
    <t>4,2</t>
  </si>
  <si>
    <t>Q11R2C1</t>
  </si>
  <si>
    <t>Q11R3C1</t>
  </si>
  <si>
    <t>Q11R4C1</t>
  </si>
  <si>
    <t>Q11R5C1</t>
  </si>
  <si>
    <t>Q11R6C1</t>
  </si>
  <si>
    <t>Q11R7C1</t>
  </si>
  <si>
    <t>Q11R8C1</t>
  </si>
  <si>
    <t>Q11R9C1</t>
  </si>
  <si>
    <t>Q11R10C1</t>
  </si>
  <si>
    <t>Q11R11C1</t>
  </si>
  <si>
    <t>Q11R12C1</t>
  </si>
  <si>
    <t>Q11R13C1</t>
  </si>
  <si>
    <t>Q11R14C1</t>
  </si>
  <si>
    <t>Q11R15C1</t>
  </si>
  <si>
    <t>Q11R16C1</t>
  </si>
  <si>
    <t>Q11R17C1</t>
  </si>
  <si>
    <t>Q11R18C1</t>
  </si>
  <si>
    <t>Q11R19C1</t>
  </si>
  <si>
    <t>Q11R20C1</t>
  </si>
  <si>
    <t>Q11R21C1</t>
  </si>
  <si>
    <t>Q11R22C1</t>
  </si>
  <si>
    <t>Q11R23C1</t>
  </si>
  <si>
    <t>Q11R24C1</t>
  </si>
  <si>
    <t>Q11R25C1</t>
  </si>
  <si>
    <t>Q11R26C1</t>
  </si>
  <si>
    <t>Q11R27C1</t>
  </si>
  <si>
    <t>Q11R28C1</t>
  </si>
  <si>
    <t>Q11R29C1</t>
  </si>
  <si>
    <t>Q11R30C1</t>
  </si>
  <si>
    <t>Q11R31C1</t>
  </si>
  <si>
    <t>Q11R32C1</t>
  </si>
  <si>
    <t>Q11R33C1</t>
  </si>
  <si>
    <t>Q11R34C1</t>
  </si>
  <si>
    <t>Q11R35C1</t>
  </si>
  <si>
    <t>Q11R36C1</t>
  </si>
  <si>
    <t>Q11R37C1</t>
  </si>
  <si>
    <t>Q11R38C1</t>
  </si>
  <si>
    <t>Q11R39C1</t>
  </si>
  <si>
    <t>Q11R40C1</t>
  </si>
  <si>
    <t>Q11R41C1</t>
  </si>
  <si>
    <t>Q11R42C1</t>
  </si>
  <si>
    <t>Q11R43C1</t>
  </si>
  <si>
    <t>Q11R44C1</t>
  </si>
  <si>
    <t>Q11R45C1</t>
  </si>
  <si>
    <t>Q11R46C1</t>
  </si>
  <si>
    <t>Q11R47C1</t>
  </si>
  <si>
    <t>Q11R48C1</t>
  </si>
  <si>
    <t>Q11R49C1</t>
  </si>
  <si>
    <t>Q11R50C1</t>
  </si>
  <si>
    <t>Q11R51C1</t>
  </si>
  <si>
    <t>Q11R52C1</t>
  </si>
  <si>
    <t>Q11R53C1</t>
  </si>
  <si>
    <t>Q11R54C1</t>
  </si>
  <si>
    <t>Q11R55C1</t>
  </si>
  <si>
    <t>Q11R56C1</t>
  </si>
  <si>
    <t>Q11R57C1</t>
  </si>
  <si>
    <t>Q11R58C1</t>
  </si>
  <si>
    <t>Q11R59C1</t>
  </si>
  <si>
    <t>Q11R60C1</t>
  </si>
  <si>
    <t>Q11R61C1</t>
  </si>
  <si>
    <t>Q12R1C1</t>
  </si>
  <si>
    <t>4,3</t>
  </si>
  <si>
    <t>Q12R2C1</t>
  </si>
  <si>
    <t>Q12R3C1</t>
  </si>
  <si>
    <t>Q12R4C1</t>
  </si>
  <si>
    <t>Q12R5C1</t>
  </si>
  <si>
    <t>Q12R6C1</t>
  </si>
  <si>
    <t>Q12R7C1</t>
  </si>
  <si>
    <t>Q12R8C1</t>
  </si>
  <si>
    <t>Q12R9C1</t>
  </si>
  <si>
    <t>Q12R10C1</t>
  </si>
  <si>
    <t>Q12R11C1</t>
  </si>
  <si>
    <t>Q12R12C1</t>
  </si>
  <si>
    <t>Q12R13C1</t>
  </si>
  <si>
    <t>Q12R14C1</t>
  </si>
  <si>
    <t>Q12R15C1</t>
  </si>
  <si>
    <t>Q12R16C1</t>
  </si>
  <si>
    <t>Q12R17C1</t>
  </si>
  <si>
    <t>Q12R18C1</t>
  </si>
  <si>
    <t>Q12R19C1</t>
  </si>
  <si>
    <t>Q12R20C1</t>
  </si>
  <si>
    <t>Q13R1C1</t>
  </si>
  <si>
    <t>4,4</t>
  </si>
  <si>
    <t>Q13R1C2</t>
  </si>
  <si>
    <t>Q13R1C3</t>
  </si>
  <si>
    <t>Q13R1C4</t>
  </si>
  <si>
    <t>Q13R1C5</t>
  </si>
  <si>
    <t>Q13R1C6</t>
  </si>
  <si>
    <t>Q14R1C1</t>
  </si>
  <si>
    <t>4.5.1</t>
  </si>
  <si>
    <t>Q14R1C2</t>
  </si>
  <si>
    <t>Q14R1C3</t>
  </si>
  <si>
    <t>Q15R1C1</t>
  </si>
  <si>
    <t>4.5.2</t>
  </si>
  <si>
    <t>Q15R1C2</t>
  </si>
  <si>
    <t>Q15R1C3</t>
  </si>
  <si>
    <t>Q15R1C4</t>
  </si>
  <si>
    <t>Q15R1C5</t>
  </si>
  <si>
    <t>Q15R1C6</t>
  </si>
  <si>
    <t>Q15R1C7</t>
  </si>
  <si>
    <t>Q15R1C8</t>
  </si>
  <si>
    <t>Q15R1C9</t>
  </si>
  <si>
    <t>Q15R1C10</t>
  </si>
  <si>
    <t>Q15R2C1</t>
  </si>
  <si>
    <t>Q15R2C2</t>
  </si>
  <si>
    <t>Q15R2C3</t>
  </si>
  <si>
    <t>Q15R2C4</t>
  </si>
  <si>
    <t>Q15R2C5</t>
  </si>
  <si>
    <t>Q15R2C6</t>
  </si>
  <si>
    <t>Q15R2C7</t>
  </si>
  <si>
    <t>Q15R2C8</t>
  </si>
  <si>
    <t>Q15R2C9</t>
  </si>
  <si>
    <t>Q15R2C10</t>
  </si>
  <si>
    <t>Q15R3C1</t>
  </si>
  <si>
    <t>Q15R3C2</t>
  </si>
  <si>
    <t>Q15R3C3</t>
  </si>
  <si>
    <t>Q15R3C4</t>
  </si>
  <si>
    <t>Q15R3C5</t>
  </si>
  <si>
    <t>Q15R3C6</t>
  </si>
  <si>
    <t>Q15R3C7</t>
  </si>
  <si>
    <t>Q15R3C8</t>
  </si>
  <si>
    <t>Q15R3C9</t>
  </si>
  <si>
    <t>Q15R3C10</t>
  </si>
  <si>
    <t>Q15R4C1</t>
  </si>
  <si>
    <t>Q15R4C2</t>
  </si>
  <si>
    <t>Q15R4C3</t>
  </si>
  <si>
    <t>Q15R4C4</t>
  </si>
  <si>
    <t>Q15R4C5</t>
  </si>
  <si>
    <t>Q15R4C6</t>
  </si>
  <si>
    <t>Q15R4C7</t>
  </si>
  <si>
    <t>Q15R4C8</t>
  </si>
  <si>
    <t>Q15R4C9</t>
  </si>
  <si>
    <t>Q15R4C10</t>
  </si>
  <si>
    <t>Q15R5C1</t>
  </si>
  <si>
    <t>Q15R5C2</t>
  </si>
  <si>
    <t>Q15R5C3</t>
  </si>
  <si>
    <t>Q15R5C4</t>
  </si>
  <si>
    <t>Q15R5C5</t>
  </si>
  <si>
    <t>Q15R5C6</t>
  </si>
  <si>
    <t>Q15R5C7</t>
  </si>
  <si>
    <t>Q15R5C8</t>
  </si>
  <si>
    <t>Q15R5C9</t>
  </si>
  <si>
    <t>Q15R5C10</t>
  </si>
  <si>
    <t>Q15R6C1</t>
  </si>
  <si>
    <t>Q15R6C2</t>
  </si>
  <si>
    <t>Q15R6C3</t>
  </si>
  <si>
    <t>Q15R6C4</t>
  </si>
  <si>
    <t>Q15R6C5</t>
  </si>
  <si>
    <t>Q15R6C6</t>
  </si>
  <si>
    <t>Q15R6C7</t>
  </si>
  <si>
    <t>Q15R6C8</t>
  </si>
  <si>
    <t>Q15R6C9</t>
  </si>
  <si>
    <t>Q15R6C10</t>
  </si>
  <si>
    <t>Q15R7C1</t>
  </si>
  <si>
    <t>Q15R7C2</t>
  </si>
  <si>
    <t>Q15R7C3</t>
  </si>
  <si>
    <t>Q15R7C4</t>
  </si>
  <si>
    <t>Q15R7C5</t>
  </si>
  <si>
    <t>Q15R7C6</t>
  </si>
  <si>
    <t>Q15R7C7</t>
  </si>
  <si>
    <t>Q15R7C8</t>
  </si>
  <si>
    <t>Q15R7C9</t>
  </si>
  <si>
    <t>Q15R7C10</t>
  </si>
  <si>
    <t>Q16R1C1</t>
  </si>
  <si>
    <t>4.5.3</t>
  </si>
  <si>
    <t>Q16R1C2</t>
  </si>
  <si>
    <t>Q16R1C3</t>
  </si>
  <si>
    <t>Q17R1C1</t>
  </si>
  <si>
    <t>4.5.4</t>
  </si>
  <si>
    <t>Q17R1C2</t>
  </si>
  <si>
    <t>Q17R1C3</t>
  </si>
  <si>
    <t>Q17R1C4</t>
  </si>
  <si>
    <t>Q17R1C5</t>
  </si>
  <si>
    <t>Q17R1C6</t>
  </si>
  <si>
    <t>Q17R2C1</t>
  </si>
  <si>
    <t>Q17R2C2</t>
  </si>
  <si>
    <t>Q17R2C3</t>
  </si>
  <si>
    <t>Q17R2C4</t>
  </si>
  <si>
    <t>Q17R2C5</t>
  </si>
  <si>
    <t>Q17R2C6</t>
  </si>
  <si>
    <t>Q17R3C1</t>
  </si>
  <si>
    <t>Q17R3C2</t>
  </si>
  <si>
    <t>Q17R3C3</t>
  </si>
  <si>
    <t>Q17R3C4</t>
  </si>
  <si>
    <t>Q17R3C5</t>
  </si>
  <si>
    <t>Q17R3C6</t>
  </si>
  <si>
    <t>Q17R4C1</t>
  </si>
  <si>
    <t>Q17R4C2</t>
  </si>
  <si>
    <t>Q17R4C3</t>
  </si>
  <si>
    <t>Q17R4C4</t>
  </si>
  <si>
    <t>Q17R4C5</t>
  </si>
  <si>
    <t>Q17R4C6</t>
  </si>
  <si>
    <t>Q17R5C1</t>
  </si>
  <si>
    <t>Q17R5C2</t>
  </si>
  <si>
    <t>Q17R5C3</t>
  </si>
  <si>
    <t>Q17R5C4</t>
  </si>
  <si>
    <t>Q17R5C5</t>
  </si>
  <si>
    <t>Q17R5C6</t>
  </si>
  <si>
    <t>Q17R6C1</t>
  </si>
  <si>
    <t>Q17R6C2</t>
  </si>
  <si>
    <t>Q17R6C3</t>
  </si>
  <si>
    <t>Q17R6C4</t>
  </si>
  <si>
    <t>Q17R6C5</t>
  </si>
  <si>
    <t>Q17R6C6</t>
  </si>
  <si>
    <t>Q17R7C1</t>
  </si>
  <si>
    <t>Q17R7C2</t>
  </si>
  <si>
    <t>Q17R7C3</t>
  </si>
  <si>
    <t>Q17R7C4</t>
  </si>
  <si>
    <t>Q17R7C5</t>
  </si>
  <si>
    <t>Q17R7C6</t>
  </si>
  <si>
    <t>Q18R1C1</t>
  </si>
  <si>
    <t>4.5.5</t>
  </si>
  <si>
    <t>Q18R1C2</t>
  </si>
  <si>
    <t>Q18R1C3</t>
  </si>
  <si>
    <t>Q19R1C1</t>
  </si>
  <si>
    <t>4.5.6</t>
  </si>
  <si>
    <t>Q19R1C2</t>
  </si>
  <si>
    <t>Q19R1C3</t>
  </si>
  <si>
    <t>Q19R1C4</t>
  </si>
  <si>
    <t>Q19R1C5</t>
  </si>
  <si>
    <t>Q19R1C6</t>
  </si>
  <si>
    <t>Q19R2C1</t>
  </si>
  <si>
    <t>Q19R2C2</t>
  </si>
  <si>
    <t>Q19R2C3</t>
  </si>
  <si>
    <t>Q19R2C4</t>
  </si>
  <si>
    <t>Q19R2C5</t>
  </si>
  <si>
    <t>Q19R2C6</t>
  </si>
  <si>
    <t>Q19R3C1</t>
  </si>
  <si>
    <t>Q19R3C2</t>
  </si>
  <si>
    <t>Q19R3C3</t>
  </si>
  <si>
    <t>Q19R3C4</t>
  </si>
  <si>
    <t>Q19R3C5</t>
  </si>
  <si>
    <t>Q19R3C6</t>
  </si>
  <si>
    <t>Q19R4C1</t>
  </si>
  <si>
    <t>Q19R4C2</t>
  </si>
  <si>
    <t>Q19R4C3</t>
  </si>
  <si>
    <t>Q19R4C4</t>
  </si>
  <si>
    <t>Q19R4C5</t>
  </si>
  <si>
    <t>Q19R4C6</t>
  </si>
  <si>
    <t>Q19R5C1</t>
  </si>
  <si>
    <t>Q19R5C2</t>
  </si>
  <si>
    <t>Q19R5C3</t>
  </si>
  <si>
    <t>Q19R5C4</t>
  </si>
  <si>
    <t>Q19R5C5</t>
  </si>
  <si>
    <t>Q19R5C6</t>
  </si>
  <si>
    <t>Q19R6C1</t>
  </si>
  <si>
    <t>Q19R6C2</t>
  </si>
  <si>
    <t>Q19R6C3</t>
  </si>
  <si>
    <t>Q19R6C4</t>
  </si>
  <si>
    <t>Q19R6C5</t>
  </si>
  <si>
    <t>Q19R6C6</t>
  </si>
  <si>
    <t>Q19R7C1</t>
  </si>
  <si>
    <t>Q19R7C2</t>
  </si>
  <si>
    <t>Q19R7C3</t>
  </si>
  <si>
    <t>Q19R7C4</t>
  </si>
  <si>
    <t>Q19R7C5</t>
  </si>
  <si>
    <t>Q19R7C6</t>
  </si>
  <si>
    <t>Q20R1C1</t>
  </si>
  <si>
    <t>4.5.7</t>
  </si>
  <si>
    <t>Q20R1C2</t>
  </si>
  <si>
    <t>Q20R1C3</t>
  </si>
  <si>
    <t>Q20R2C1</t>
  </si>
  <si>
    <t>Q20R2C2</t>
  </si>
  <si>
    <t>Q20R2C3</t>
  </si>
  <si>
    <t>Q20R3C1</t>
  </si>
  <si>
    <t>Q20R3C2</t>
  </si>
  <si>
    <t>Q20R3C3</t>
  </si>
  <si>
    <t>Q20R4C1</t>
  </si>
  <si>
    <t>Q20R4C2</t>
  </si>
  <si>
    <t>Q20R4C3</t>
  </si>
  <si>
    <t>Q20R5C1</t>
  </si>
  <si>
    <t>Q20R5C2</t>
  </si>
  <si>
    <t>Q20R5C3</t>
  </si>
  <si>
    <t>Q20R6C1</t>
  </si>
  <si>
    <t>Q20R6C2</t>
  </si>
  <si>
    <t>Q20R6C3</t>
  </si>
  <si>
    <t>Q20R7C1</t>
  </si>
  <si>
    <t>Q20R7C2</t>
  </si>
  <si>
    <t>Q20R7C3</t>
  </si>
  <si>
    <t>Q21R1C1</t>
  </si>
  <si>
    <t>4.6.1</t>
  </si>
  <si>
    <t>Q21R2C1</t>
  </si>
  <si>
    <t>Q22R1C1</t>
  </si>
  <si>
    <t>4.7.1</t>
  </si>
  <si>
    <t>Q22R1C2</t>
  </si>
  <si>
    <t>Q22R1C3</t>
  </si>
  <si>
    <t>Q22R1C4</t>
  </si>
  <si>
    <t>Q22R1C5</t>
  </si>
  <si>
    <t>Q23R1C1</t>
  </si>
  <si>
    <t>4.7.2</t>
  </si>
  <si>
    <t>Q23R1C2</t>
  </si>
  <si>
    <t>Q23R2C1</t>
  </si>
  <si>
    <t>Q23R2C2</t>
  </si>
  <si>
    <t>Q23R3C1</t>
  </si>
  <si>
    <t>Q23R3C2</t>
  </si>
  <si>
    <t>Q23R4C1</t>
  </si>
  <si>
    <t>Q23R4C2</t>
  </si>
  <si>
    <t>Q23R5C1</t>
  </si>
  <si>
    <t>Q23R5C2</t>
  </si>
  <si>
    <t>Q23R6C1</t>
  </si>
  <si>
    <t>Q23R6C2</t>
  </si>
  <si>
    <t>Q23R7C1</t>
  </si>
  <si>
    <t>Q23R7C2</t>
  </si>
  <si>
    <t>Q24R1C1</t>
  </si>
  <si>
    <t>4,8</t>
  </si>
  <si>
    <t>Q24R1C2</t>
  </si>
  <si>
    <t>Q24R2C1</t>
  </si>
  <si>
    <t>Q24R2C2</t>
  </si>
  <si>
    <t>Q25R1C1</t>
  </si>
  <si>
    <t>5,1</t>
  </si>
  <si>
    <t>Q25R1C2</t>
  </si>
  <si>
    <t>Q25R1C3</t>
  </si>
  <si>
    <t>Q25R1C4</t>
  </si>
  <si>
    <t>Q25R2C1</t>
  </si>
  <si>
    <t>Q25R2C2</t>
  </si>
  <si>
    <t>Q25R2C3</t>
  </si>
  <si>
    <t>Q25R2C4</t>
  </si>
  <si>
    <t>Q25R3C1</t>
  </si>
  <si>
    <t>Q25R3C2</t>
  </si>
  <si>
    <t>Q25R3C3</t>
  </si>
  <si>
    <t>Q25R3C4</t>
  </si>
  <si>
    <t>Q25R4C1</t>
  </si>
  <si>
    <t>Q25R4C2</t>
  </si>
  <si>
    <t>Q25R4C3</t>
  </si>
  <si>
    <t>Q25R4C4</t>
  </si>
  <si>
    <t>Q25R5C1</t>
  </si>
  <si>
    <t>Q25R5C2</t>
  </si>
  <si>
    <t>Q25R5C3</t>
  </si>
  <si>
    <t>Q25R5C4</t>
  </si>
  <si>
    <t>Q25R6C1</t>
  </si>
  <si>
    <t>Q25R6C2</t>
  </si>
  <si>
    <t>Q25R6C3</t>
  </si>
  <si>
    <t>Q25R6C4</t>
  </si>
  <si>
    <t>Q25R7C1</t>
  </si>
  <si>
    <t>Q25R7C2</t>
  </si>
  <si>
    <t>Q25R7C3</t>
  </si>
  <si>
    <t>Q25R7C4</t>
  </si>
  <si>
    <t>Q26R1C1</t>
  </si>
  <si>
    <t>5,2</t>
  </si>
  <si>
    <t>Q26R1C2</t>
  </si>
  <si>
    <t>Q26R1C3</t>
  </si>
  <si>
    <t>Q26R1C4</t>
  </si>
  <si>
    <t>Q26R2C1</t>
  </si>
  <si>
    <t>Q26R2C2</t>
  </si>
  <si>
    <t>Q26R2C3</t>
  </si>
  <si>
    <t>Q26R2C4</t>
  </si>
  <si>
    <t>Q26R3C1</t>
  </si>
  <si>
    <t>Q26R3C2</t>
  </si>
  <si>
    <t>Q26R3C3</t>
  </si>
  <si>
    <t>Q26R3C4</t>
  </si>
  <si>
    <t>Q26R4C1</t>
  </si>
  <si>
    <t>Q26R4C2</t>
  </si>
  <si>
    <t>Q26R4C3</t>
  </si>
  <si>
    <t>Q26R4C4</t>
  </si>
  <si>
    <t>Q26R5C1</t>
  </si>
  <si>
    <t>Q26R5C2</t>
  </si>
  <si>
    <t>Q26R5C3</t>
  </si>
  <si>
    <t>Q26R5C4</t>
  </si>
  <si>
    <t>Q26R6C1</t>
  </si>
  <si>
    <t>Q26R6C2</t>
  </si>
  <si>
    <t>Q26R6C3</t>
  </si>
  <si>
    <t>Q26R6C4</t>
  </si>
  <si>
    <t>Q27R1C1</t>
  </si>
  <si>
    <t>Q27R1C2</t>
  </si>
  <si>
    <t>Q27R1C3</t>
  </si>
  <si>
    <t>Q27R1C4</t>
  </si>
  <si>
    <t>Q27R1C5</t>
  </si>
  <si>
    <t>Q27R1C6</t>
  </si>
  <si>
    <t>Q27R2C1</t>
  </si>
  <si>
    <t>Q27R2C2</t>
  </si>
  <si>
    <t>Q27R2C3</t>
  </si>
  <si>
    <t>Q27R2C4</t>
  </si>
  <si>
    <t>Q27R2C5</t>
  </si>
  <si>
    <t>Q27R2C6</t>
  </si>
  <si>
    <t>Q28R1C1</t>
  </si>
  <si>
    <t>7,1</t>
  </si>
  <si>
    <t>Q28R1C2</t>
  </si>
  <si>
    <t>Q28R1C3</t>
  </si>
  <si>
    <t>Q28R1C4</t>
  </si>
  <si>
    <t>Q28R2C1</t>
  </si>
  <si>
    <t>Q28R2C2</t>
  </si>
  <si>
    <t>Q28R2C3</t>
  </si>
  <si>
    <t>Q28R2C4</t>
  </si>
  <si>
    <t>Q28R3C1</t>
  </si>
  <si>
    <t>Q28R3C2</t>
  </si>
  <si>
    <t>Q28R3C3</t>
  </si>
  <si>
    <t>Q28R3C4</t>
  </si>
  <si>
    <t>Q28R4C1</t>
  </si>
  <si>
    <t>Q28R4C2</t>
  </si>
  <si>
    <t>Q28R4C3</t>
  </si>
  <si>
    <t>Q28R4C4</t>
  </si>
  <si>
    <t>Q28R5C1</t>
  </si>
  <si>
    <t>Q28R5C2</t>
  </si>
  <si>
    <t>Q28R5C3</t>
  </si>
  <si>
    <t>Q28R5C4</t>
  </si>
  <si>
    <t>Q29R1C1</t>
  </si>
  <si>
    <t>7,2</t>
  </si>
  <si>
    <t>Q29R1C2</t>
  </si>
  <si>
    <t>Q29R1C3</t>
  </si>
  <si>
    <t>Q29R1C4</t>
  </si>
  <si>
    <t>Q29R1C5</t>
  </si>
  <si>
    <t>Q29R1C6</t>
  </si>
  <si>
    <t>Q29R1C7</t>
  </si>
  <si>
    <t>Q29R2C1</t>
  </si>
  <si>
    <t>Q29R2C2</t>
  </si>
  <si>
    <t>Q29R2C3</t>
  </si>
  <si>
    <t>Q29R2C4</t>
  </si>
  <si>
    <t>Q29R2C5</t>
  </si>
  <si>
    <t>Q29R2C6</t>
  </si>
  <si>
    <t>Q29R2C7</t>
  </si>
  <si>
    <t>Q29R3C1</t>
  </si>
  <si>
    <t>Q29R3C2</t>
  </si>
  <si>
    <t>Q29R3C3</t>
  </si>
  <si>
    <t>Q29R3C4</t>
  </si>
  <si>
    <t>Q29R3C5</t>
  </si>
  <si>
    <t>Q29R3C6</t>
  </si>
  <si>
    <t>Q29R3C7</t>
  </si>
  <si>
    <t>Q29R4C1</t>
  </si>
  <si>
    <t>Q29R4C2</t>
  </si>
  <si>
    <t>Q29R4C3</t>
  </si>
  <si>
    <t>Q29R4C4</t>
  </si>
  <si>
    <t>Q29R4C5</t>
  </si>
  <si>
    <t>Q29R4C6</t>
  </si>
  <si>
    <t>Q29R4C7</t>
  </si>
  <si>
    <t>Q29R5C1</t>
  </si>
  <si>
    <t>Q29R5C2</t>
  </si>
  <si>
    <t>Q29R5C3</t>
  </si>
  <si>
    <t>Q29R5C4</t>
  </si>
  <si>
    <t>Q29R5C5</t>
  </si>
  <si>
    <t>Q29R5C6</t>
  </si>
  <si>
    <t>Q29R5C7</t>
  </si>
  <si>
    <t>Q29R6C1</t>
  </si>
  <si>
    <t>Q29R6C2</t>
  </si>
  <si>
    <t>Q29R6C3</t>
  </si>
  <si>
    <t>Q29R6C4</t>
  </si>
  <si>
    <t>Q29R6C5</t>
  </si>
  <si>
    <t>Q29R6C6</t>
  </si>
  <si>
    <t>Q29R6C7</t>
  </si>
  <si>
    <t>Q30R1C1</t>
  </si>
  <si>
    <t>7,3</t>
  </si>
  <si>
    <t>Q30R1C2</t>
  </si>
  <si>
    <t>Q30R1C3</t>
  </si>
  <si>
    <t>Q30R1C4</t>
  </si>
  <si>
    <t>Q30R1C5</t>
  </si>
  <si>
    <t>Q30R1C6</t>
  </si>
  <si>
    <t>Q30R1C7</t>
  </si>
  <si>
    <t>Q30R2C1</t>
  </si>
  <si>
    <t>Q30R2C2</t>
  </si>
  <si>
    <t>Q30R2C3</t>
  </si>
  <si>
    <t>Q30R2C4</t>
  </si>
  <si>
    <t>Q30R2C5</t>
  </si>
  <si>
    <t>Q30R2C6</t>
  </si>
  <si>
    <t>Q30R2C7</t>
  </si>
  <si>
    <t>Q30R3C1</t>
  </si>
  <si>
    <t>Q30R3C2</t>
  </si>
  <si>
    <t>Q30R3C3</t>
  </si>
  <si>
    <t>Q30R3C4</t>
  </si>
  <si>
    <t>Q30R3C5</t>
  </si>
  <si>
    <t>Q30R3C6</t>
  </si>
  <si>
    <t>Q30R3C7</t>
  </si>
  <si>
    <t>Q30R4C1</t>
  </si>
  <si>
    <t>Q30R4C2</t>
  </si>
  <si>
    <t>Q30R4C3</t>
  </si>
  <si>
    <t>Q30R4C4</t>
  </si>
  <si>
    <t>Q30R4C5</t>
  </si>
  <si>
    <t>Q30R4C6</t>
  </si>
  <si>
    <t>Q30R4C7</t>
  </si>
  <si>
    <t>Q30R5C1</t>
  </si>
  <si>
    <t>Q30R5C2</t>
  </si>
  <si>
    <t>Q30R5C3</t>
  </si>
  <si>
    <t>Q30R5C4</t>
  </si>
  <si>
    <t>Q30R5C5</t>
  </si>
  <si>
    <t>Q30R5C6</t>
  </si>
  <si>
    <t>Q30R5C7</t>
  </si>
  <si>
    <t>Q30R6C1</t>
  </si>
  <si>
    <t>Q30R6C2</t>
  </si>
  <si>
    <t>Q30R6C3</t>
  </si>
  <si>
    <t>Q30R6C4</t>
  </si>
  <si>
    <t>Q30R6C5</t>
  </si>
  <si>
    <t>Q30R6C6</t>
  </si>
  <si>
    <t>Q30R6C7</t>
  </si>
  <si>
    <t>Q31R1C1</t>
  </si>
  <si>
    <t>8,1</t>
  </si>
  <si>
    <t>Q31R1C2</t>
  </si>
  <si>
    <t>Q31R1C3</t>
  </si>
  <si>
    <t>Q31R1C4</t>
  </si>
  <si>
    <t>Q31R1C5</t>
  </si>
  <si>
    <t>Q31R1C6</t>
  </si>
  <si>
    <t>Q31R1C7</t>
  </si>
  <si>
    <t>Q31R1C8</t>
  </si>
  <si>
    <t>Q31R1C9</t>
  </si>
  <si>
    <t>Q31R1C10</t>
  </si>
  <si>
    <t>Q31R2C1</t>
  </si>
  <si>
    <t>Q31R2C2</t>
  </si>
  <si>
    <t>Q31R2C3</t>
  </si>
  <si>
    <t>Q31R2C4</t>
  </si>
  <si>
    <t>Q31R2C5</t>
  </si>
  <si>
    <t>Q31R2C6</t>
  </si>
  <si>
    <t>Q31R2C7</t>
  </si>
  <si>
    <t>Q31R2C8</t>
  </si>
  <si>
    <t>Q31R2C9</t>
  </si>
  <si>
    <t>Q31R2C10</t>
  </si>
  <si>
    <t>Q31R3C1</t>
  </si>
  <si>
    <t>Q31R3C2</t>
  </si>
  <si>
    <t>Q31R3C3</t>
  </si>
  <si>
    <t>Q31R3C4</t>
  </si>
  <si>
    <t>Q31R3C5</t>
  </si>
  <si>
    <t>Q31R3C6</t>
  </si>
  <si>
    <t>Q31R3C7</t>
  </si>
  <si>
    <t>Q31R3C8</t>
  </si>
  <si>
    <t>Q31R3C9</t>
  </si>
  <si>
    <t>Q31R3C10</t>
  </si>
  <si>
    <t>Q31R4C1</t>
  </si>
  <si>
    <t>Q31R4C2</t>
  </si>
  <si>
    <t>Q31R4C3</t>
  </si>
  <si>
    <t>Q31R4C4</t>
  </si>
  <si>
    <t>Q31R4C5</t>
  </si>
  <si>
    <t>Q31R4C6</t>
  </si>
  <si>
    <t>Q31R4C7</t>
  </si>
  <si>
    <t>Q31R4C8</t>
  </si>
  <si>
    <t>Q31R4C9</t>
  </si>
  <si>
    <t>Q31R4C10</t>
  </si>
  <si>
    <t>Q31R5C1</t>
  </si>
  <si>
    <t>Q31R5C2</t>
  </si>
  <si>
    <t>Q31R5C3</t>
  </si>
  <si>
    <t>Q31R5C4</t>
  </si>
  <si>
    <t>Q31R5C5</t>
  </si>
  <si>
    <t>Q31R5C6</t>
  </si>
  <si>
    <t>Q31R5C7</t>
  </si>
  <si>
    <t>Q31R5C8</t>
  </si>
  <si>
    <t>Q31R5C9</t>
  </si>
  <si>
    <t>Q31R5C10</t>
  </si>
  <si>
    <t>Q31R6C1</t>
  </si>
  <si>
    <t>Q31R6C2</t>
  </si>
  <si>
    <t>Q31R6C3</t>
  </si>
  <si>
    <t>Q31R6C4</t>
  </si>
  <si>
    <t>Q31R6C5</t>
  </si>
  <si>
    <t>Q31R6C6</t>
  </si>
  <si>
    <t>Q31R6C7</t>
  </si>
  <si>
    <t>Q31R6C8</t>
  </si>
  <si>
    <t>Q31R6C9</t>
  </si>
  <si>
    <t>Q31R6C10</t>
  </si>
  <si>
    <t>Q31R7C1</t>
  </si>
  <si>
    <t>Q31R7C2</t>
  </si>
  <si>
    <t>Q31R7C3</t>
  </si>
  <si>
    <t>Q31R7C4</t>
  </si>
  <si>
    <t>Q31R7C5</t>
  </si>
  <si>
    <t>Q31R7C6</t>
  </si>
  <si>
    <t>Q31R7C7</t>
  </si>
  <si>
    <t>Q31R7C8</t>
  </si>
  <si>
    <t>Q31R7C9</t>
  </si>
  <si>
    <t>Q31R7C10</t>
  </si>
  <si>
    <t>Q32R1C1</t>
  </si>
  <si>
    <t>8,2</t>
  </si>
  <si>
    <t>Q32R1C2</t>
  </si>
  <si>
    <t>Q32R1C3</t>
  </si>
  <si>
    <t>Q32R1C4</t>
  </si>
  <si>
    <t>Q32R1C5</t>
  </si>
  <si>
    <t>Q32R1C6</t>
  </si>
  <si>
    <t>Q32R1C7</t>
  </si>
  <si>
    <t>Q32R1C8</t>
  </si>
  <si>
    <t>Q32R1C9</t>
  </si>
  <si>
    <t>Q32R1C10</t>
  </si>
  <si>
    <t>Q32R2C1</t>
  </si>
  <si>
    <t>Q32R2C2</t>
  </si>
  <si>
    <t>Q32R2C3</t>
  </si>
  <si>
    <t>Q32R2C4</t>
  </si>
  <si>
    <t>Q32R2C5</t>
  </si>
  <si>
    <t>Q32R2C6</t>
  </si>
  <si>
    <t>Q32R2C7</t>
  </si>
  <si>
    <t>Q32R2C8</t>
  </si>
  <si>
    <t>Q32R2C9</t>
  </si>
  <si>
    <t>Q32R2C10</t>
  </si>
  <si>
    <t>Q32R3C1</t>
  </si>
  <si>
    <t>Q32R3C2</t>
  </si>
  <si>
    <t>Q32R3C3</t>
  </si>
  <si>
    <t>Q32R3C4</t>
  </si>
  <si>
    <t>Q32R3C5</t>
  </si>
  <si>
    <t>Q32R3C6</t>
  </si>
  <si>
    <t>Q32R3C7</t>
  </si>
  <si>
    <t>Q32R3C8</t>
  </si>
  <si>
    <t>Q32R3C9</t>
  </si>
  <si>
    <t>Q32R3C10</t>
  </si>
  <si>
    <t>Q32R4C1</t>
  </si>
  <si>
    <t>Q32R4C2</t>
  </si>
  <si>
    <t>Q32R4C3</t>
  </si>
  <si>
    <t>Q32R4C4</t>
  </si>
  <si>
    <t>Q32R4C5</t>
  </si>
  <si>
    <t>Q32R4C6</t>
  </si>
  <si>
    <t>Q32R4C7</t>
  </si>
  <si>
    <t>Q32R4C8</t>
  </si>
  <si>
    <t>Q32R4C9</t>
  </si>
  <si>
    <t>Q32R4C10</t>
  </si>
  <si>
    <t>Q32R5C1</t>
  </si>
  <si>
    <t>Q32R5C2</t>
  </si>
  <si>
    <t>Q32R5C3</t>
  </si>
  <si>
    <t>Q32R5C4</t>
  </si>
  <si>
    <t>Q32R5C5</t>
  </si>
  <si>
    <t>Q32R5C6</t>
  </si>
  <si>
    <t>Q32R5C7</t>
  </si>
  <si>
    <t>Q32R5C8</t>
  </si>
  <si>
    <t>Q32R5C9</t>
  </si>
  <si>
    <t>Q32R5C10</t>
  </si>
  <si>
    <t>Q32R6C1</t>
  </si>
  <si>
    <t>Q32R6C2</t>
  </si>
  <si>
    <t>Q32R6C3</t>
  </si>
  <si>
    <t>Q32R6C4</t>
  </si>
  <si>
    <t>Q32R6C5</t>
  </si>
  <si>
    <t>Q32R6C6</t>
  </si>
  <si>
    <t>Q32R6C7</t>
  </si>
  <si>
    <t>Q32R6C8</t>
  </si>
  <si>
    <t>Q32R6C9</t>
  </si>
  <si>
    <t>Q32R6C10</t>
  </si>
  <si>
    <t>Q32R7C1</t>
  </si>
  <si>
    <t>Q32R7C2</t>
  </si>
  <si>
    <t>Q32R7C3</t>
  </si>
  <si>
    <t>Q32R7C4</t>
  </si>
  <si>
    <t>Q32R7C5</t>
  </si>
  <si>
    <t>Q32R7C6</t>
  </si>
  <si>
    <t>Q32R7C7</t>
  </si>
  <si>
    <t>Q32R7C8</t>
  </si>
  <si>
    <t>Q32R7C9</t>
  </si>
  <si>
    <t>Q32R7C10</t>
  </si>
  <si>
    <t>Q33R1C1</t>
  </si>
  <si>
    <t>9,1</t>
  </si>
  <si>
    <t>Q33R1C2</t>
  </si>
  <si>
    <t>Q33R1C3</t>
  </si>
  <si>
    <t>Q34R1C1</t>
  </si>
  <si>
    <t>9,2</t>
  </si>
  <si>
    <t>Q34R1C2</t>
  </si>
  <si>
    <t>Q34R1C3</t>
  </si>
  <si>
    <t>Q34R1C4</t>
  </si>
  <si>
    <t>Q34R1C5</t>
  </si>
  <si>
    <t>Q34R1C6</t>
  </si>
  <si>
    <t>Q35R1C1</t>
  </si>
  <si>
    <t>10,1</t>
  </si>
  <si>
    <t>Q35R1C2</t>
  </si>
  <si>
    <t>Q35R1C3</t>
  </si>
  <si>
    <t>Q35R1C4</t>
  </si>
  <si>
    <t>Q36R1C1</t>
  </si>
  <si>
    <t>10,2</t>
  </si>
  <si>
    <t>Q37R1C1</t>
  </si>
  <si>
    <t>11,1</t>
  </si>
  <si>
    <t>Q37R2C1</t>
  </si>
  <si>
    <t>Q37R3C1</t>
  </si>
  <si>
    <t>Q37R4C1</t>
  </si>
  <si>
    <t>Q37R5C1</t>
  </si>
  <si>
    <t>Q38R1C1</t>
  </si>
  <si>
    <t>11,2</t>
  </si>
  <si>
    <t>Q38R2C1</t>
  </si>
  <si>
    <t>Q38R3C1</t>
  </si>
  <si>
    <t>Q38R4C1</t>
  </si>
  <si>
    <t>Q38R5C1</t>
  </si>
  <si>
    <t>Q5R1C2</t>
  </si>
  <si>
    <t>Q5R1C3</t>
  </si>
  <si>
    <t>Q5R1C4</t>
  </si>
  <si>
    <t>Q5R1C5</t>
  </si>
  <si>
    <t>Q5R1C6</t>
  </si>
  <si>
    <t>Q5R1C7</t>
  </si>
  <si>
    <t>Q6R1C8</t>
  </si>
  <si>
    <t>Q6R1C9</t>
  </si>
  <si>
    <t>Q6R1C10</t>
  </si>
  <si>
    <t>3,1</t>
  </si>
  <si>
    <t>Q7R2C1</t>
  </si>
  <si>
    <t>Q7R2C2</t>
  </si>
  <si>
    <t>Q7R2C3</t>
  </si>
  <si>
    <t>Q7R2C4</t>
  </si>
  <si>
    <t>Q7R2C5</t>
  </si>
  <si>
    <t>Q7R2C6</t>
  </si>
  <si>
    <t>Q7R3C7</t>
  </si>
  <si>
    <t>Q7R3C1</t>
  </si>
  <si>
    <t>Q7R3C2</t>
  </si>
  <si>
    <t>Q7R3C3</t>
  </si>
  <si>
    <t>Q7R3C4</t>
  </si>
  <si>
    <t>Q7R3C5</t>
  </si>
  <si>
    <t>Q7R3C6</t>
  </si>
  <si>
    <t>Q7R4C1</t>
  </si>
  <si>
    <t>Q7R4C2</t>
  </si>
  <si>
    <t>Q7R4C3</t>
  </si>
  <si>
    <t>Q7R4C4</t>
  </si>
  <si>
    <t>Q7R4C5</t>
  </si>
  <si>
    <t>Q7R4C6</t>
  </si>
  <si>
    <t>Q7R4C7</t>
  </si>
  <si>
    <t>Q7R5C1</t>
  </si>
  <si>
    <t>Q7R5C2</t>
  </si>
  <si>
    <t>Q7R5C3</t>
  </si>
  <si>
    <t>Q7R5C4</t>
  </si>
  <si>
    <t>Q7R5C5</t>
  </si>
  <si>
    <t>Q7R5C6</t>
  </si>
  <si>
    <t>Q7R5C7</t>
  </si>
  <si>
    <t>Q7R6C1</t>
  </si>
  <si>
    <t>Q7R6C2</t>
  </si>
  <si>
    <t>Q7R6C3</t>
  </si>
  <si>
    <t>Q7R6C4</t>
  </si>
  <si>
    <t>Q7R6C5</t>
  </si>
  <si>
    <t>Q7R6C6</t>
  </si>
  <si>
    <t>Q7R6C7</t>
  </si>
  <si>
    <t>Q7R7C1</t>
  </si>
  <si>
    <t>Q7R7C2</t>
  </si>
  <si>
    <t>Q7R7C3</t>
  </si>
  <si>
    <t>Q7R7C4</t>
  </si>
  <si>
    <t>Q7R7C5</t>
  </si>
  <si>
    <t>Q7R7C6</t>
  </si>
  <si>
    <t>Q7R7C7</t>
  </si>
  <si>
    <t>3,2</t>
  </si>
  <si>
    <t>Q8R2C1</t>
  </si>
  <si>
    <t>Q8R3C1</t>
  </si>
  <si>
    <t>Q8R4C1</t>
  </si>
  <si>
    <t>Q8R5C1</t>
  </si>
  <si>
    <t>Q8R6C1</t>
  </si>
  <si>
    <t>Q8R7C1</t>
  </si>
  <si>
    <t>Q8R8C1</t>
  </si>
  <si>
    <t>Q8R9C1</t>
  </si>
  <si>
    <t>Q8R10C1</t>
  </si>
  <si>
    <t>Q8R11C1</t>
  </si>
  <si>
    <t>Q8R12C1</t>
  </si>
  <si>
    <t>Q8R13C1</t>
  </si>
  <si>
    <t>Q8R14C1</t>
  </si>
  <si>
    <t>Q8R15C1</t>
  </si>
  <si>
    <t>Q8R16C1</t>
  </si>
  <si>
    <t>Q8R17C1</t>
  </si>
  <si>
    <t>Q8R18C1</t>
  </si>
  <si>
    <t>Q8R19C1</t>
  </si>
  <si>
    <t>Q8R20C1</t>
  </si>
  <si>
    <t>Q8R21C1</t>
  </si>
  <si>
    <t>Q8R22C1</t>
  </si>
  <si>
    <t>Q8R23C1</t>
  </si>
  <si>
    <t>Q8R24C1</t>
  </si>
  <si>
    <t>Q8R25C1</t>
  </si>
  <si>
    <t>Q8R26C1</t>
  </si>
  <si>
    <t>Q8R27C1</t>
  </si>
  <si>
    <t>Q8R28C1</t>
  </si>
  <si>
    <t>3,3</t>
  </si>
  <si>
    <t>Q9R8C1</t>
  </si>
  <si>
    <t>Q9R9C1</t>
  </si>
  <si>
    <t>Q9R10C1</t>
  </si>
  <si>
    <t>Q9R11C1</t>
  </si>
  <si>
    <t>3,4</t>
  </si>
  <si>
    <t>3.5.1</t>
  </si>
  <si>
    <t>Q11R1C2</t>
  </si>
  <si>
    <t>Q11R1C3</t>
  </si>
  <si>
    <t>3.5.2</t>
  </si>
  <si>
    <t>Q12R1C2</t>
  </si>
  <si>
    <t>Q12R1C3</t>
  </si>
  <si>
    <t>Q12R1C4</t>
  </si>
  <si>
    <t>Q12R1C5</t>
  </si>
  <si>
    <t>Q12R1C6</t>
  </si>
  <si>
    <t>Q12R1C7</t>
  </si>
  <si>
    <t>Q12R1C8</t>
  </si>
  <si>
    <t>Q12R1C9</t>
  </si>
  <si>
    <t>Q12R1C10</t>
  </si>
  <si>
    <t>Q12R2C2</t>
  </si>
  <si>
    <t>Q12R2C3</t>
  </si>
  <si>
    <t>Q12R2C4</t>
  </si>
  <si>
    <t>Q12R2C5</t>
  </si>
  <si>
    <t>Q12R2C6</t>
  </si>
  <si>
    <t>Q12R2C7</t>
  </si>
  <si>
    <t>Q12R2C8</t>
  </si>
  <si>
    <t>Q12R2C9</t>
  </si>
  <si>
    <t>Q12R2C10</t>
  </si>
  <si>
    <t>Q12R3C2</t>
  </si>
  <si>
    <t>Q12R3C3</t>
  </si>
  <si>
    <t>Q12R3C4</t>
  </si>
  <si>
    <t>Q12R3C5</t>
  </si>
  <si>
    <t>Q12R3C6</t>
  </si>
  <si>
    <t>Q12R3C7</t>
  </si>
  <si>
    <t>Q12R3C8</t>
  </si>
  <si>
    <t>Q12R3C9</t>
  </si>
  <si>
    <t>Q12R3C10</t>
  </si>
  <si>
    <t>Q12R4C2</t>
  </si>
  <si>
    <t>Q12R4C3</t>
  </si>
  <si>
    <t>Q12R4C4</t>
  </si>
  <si>
    <t>Q12R4C5</t>
  </si>
  <si>
    <t>Q12R4C6</t>
  </si>
  <si>
    <t>Q12R4C7</t>
  </si>
  <si>
    <t>Q12R4C8</t>
  </si>
  <si>
    <t>Q12R4C9</t>
  </si>
  <si>
    <t>Q12R4C10</t>
  </si>
  <si>
    <t>Q12R5C2</t>
  </si>
  <si>
    <t>Q12R5C3</t>
  </si>
  <si>
    <t>Q12R5C4</t>
  </si>
  <si>
    <t>Q12R5C5</t>
  </si>
  <si>
    <t>Q12R5C6</t>
  </si>
  <si>
    <t>Q12R5C7</t>
  </si>
  <si>
    <t>Q12R5C8</t>
  </si>
  <si>
    <t>Q12R5C9</t>
  </si>
  <si>
    <t>Q12R5C10</t>
  </si>
  <si>
    <t>Q12R6C2</t>
  </si>
  <si>
    <t>Q12R6C3</t>
  </si>
  <si>
    <t>Q12R6C4</t>
  </si>
  <si>
    <t>Q12R6C5</t>
  </si>
  <si>
    <t>Q12R6C6</t>
  </si>
  <si>
    <t>Q12R6C7</t>
  </si>
  <si>
    <t>Q12R6C8</t>
  </si>
  <si>
    <t>Q12R6C9</t>
  </si>
  <si>
    <t>Q12R6C10</t>
  </si>
  <si>
    <t>3.5.3</t>
  </si>
  <si>
    <t>3.5.4</t>
  </si>
  <si>
    <t>Q14R1C4</t>
  </si>
  <si>
    <t>Q14R1C5</t>
  </si>
  <si>
    <t>Q14R1C6</t>
  </si>
  <si>
    <t>Q14R2C1</t>
  </si>
  <si>
    <t>Q14R2C2</t>
  </si>
  <si>
    <t>Q14R2C3</t>
  </si>
  <si>
    <t>Q14R2C4</t>
  </si>
  <si>
    <t>Q14R2C5</t>
  </si>
  <si>
    <t>Q14R2C6</t>
  </si>
  <si>
    <t>Q14R3C1</t>
  </si>
  <si>
    <t>Q14R3C2</t>
  </si>
  <si>
    <t>Q14R3C3</t>
  </si>
  <si>
    <t>Q14R3C4</t>
  </si>
  <si>
    <t>Q14R3C5</t>
  </si>
  <si>
    <t>Q14R3C6</t>
  </si>
  <si>
    <t>Q14R4C1</t>
  </si>
  <si>
    <t>Q14R4C2</t>
  </si>
  <si>
    <t>Q14R4C3</t>
  </si>
  <si>
    <t>Q14R4C4</t>
  </si>
  <si>
    <t>Q14R4C5</t>
  </si>
  <si>
    <t>Q14R4C6</t>
  </si>
  <si>
    <t>Q14R5C1</t>
  </si>
  <si>
    <t>Q14R5C2</t>
  </si>
  <si>
    <t>Q14R5C3</t>
  </si>
  <si>
    <t>Q14R5C4</t>
  </si>
  <si>
    <t>Q14R5C5</t>
  </si>
  <si>
    <t>Q14R5C6</t>
  </si>
  <si>
    <t>Q14R6C1</t>
  </si>
  <si>
    <t>Q14R6C2</t>
  </si>
  <si>
    <t>Q14R6C3</t>
  </si>
  <si>
    <t>Q14R6C4</t>
  </si>
  <si>
    <t>Q14R6C5</t>
  </si>
  <si>
    <t>Q14R6C6</t>
  </si>
  <si>
    <t>3.5.5</t>
  </si>
  <si>
    <t>3.5.6</t>
  </si>
  <si>
    <t>Q16R1C4</t>
  </si>
  <si>
    <t>Q16R1C5</t>
  </si>
  <si>
    <t>Q16R1C6</t>
  </si>
  <si>
    <t>Q16R2C1</t>
  </si>
  <si>
    <t>Q16R2C2</t>
  </si>
  <si>
    <t>Q16R2C3</t>
  </si>
  <si>
    <t>Q16R2C4</t>
  </si>
  <si>
    <t>Q16R2C5</t>
  </si>
  <si>
    <t>Q16R2C6</t>
  </si>
  <si>
    <t>Q16R3C1</t>
  </si>
  <si>
    <t>Q16R3C2</t>
  </si>
  <si>
    <t>Q16R3C3</t>
  </si>
  <si>
    <t>Q16R3C4</t>
  </si>
  <si>
    <t>Q16R3C5</t>
  </si>
  <si>
    <t>Q16R3C6</t>
  </si>
  <si>
    <t>Q16R4C1</t>
  </si>
  <si>
    <t>Q16R4C2</t>
  </si>
  <si>
    <t>Q16R4C3</t>
  </si>
  <si>
    <t>Q16R4C4</t>
  </si>
  <si>
    <t>Q16R4C5</t>
  </si>
  <si>
    <t>Q16R4C6</t>
  </si>
  <si>
    <t>Q16R5C1</t>
  </si>
  <si>
    <t>Q16R5C2</t>
  </si>
  <si>
    <t>Q16R5C3</t>
  </si>
  <si>
    <t>Q16R5C4</t>
  </si>
  <si>
    <t>Q16R5C5</t>
  </si>
  <si>
    <t>Q16R5C6</t>
  </si>
  <si>
    <t>Q16R6C1</t>
  </si>
  <si>
    <t>Q16R6C2</t>
  </si>
  <si>
    <t>Q16R6C3</t>
  </si>
  <si>
    <t>Q16R6C4</t>
  </si>
  <si>
    <t>Q16R6C5</t>
  </si>
  <si>
    <t>Q16R6C6</t>
  </si>
  <si>
    <t>3.5.7</t>
  </si>
  <si>
    <t>3.6.1</t>
  </si>
  <si>
    <t>Q18R2C1</t>
  </si>
  <si>
    <t>3.7.1</t>
  </si>
  <si>
    <t>3.7.2</t>
  </si>
  <si>
    <t>3,8</t>
  </si>
  <si>
    <t>Q21R1C2</t>
  </si>
  <si>
    <t>Q21R2C2</t>
  </si>
  <si>
    <t>6,1</t>
  </si>
  <si>
    <t>Q24R1C3</t>
  </si>
  <si>
    <t>Q24R1C4</t>
  </si>
  <si>
    <t>Q24R1C5</t>
  </si>
  <si>
    <t>Q24R1C6</t>
  </si>
  <si>
    <t>Q24R1C7</t>
  </si>
  <si>
    <t>Q24R1C8</t>
  </si>
  <si>
    <t>6,2</t>
  </si>
  <si>
    <t>Q25R1C5</t>
  </si>
  <si>
    <t>Q25R1C6</t>
  </si>
  <si>
    <t>Q25R1C7</t>
  </si>
  <si>
    <t>Q25R1C8</t>
  </si>
  <si>
    <t>Q25R2C5</t>
  </si>
  <si>
    <t>Q25R2C6</t>
  </si>
  <si>
    <t>Q25R2C7</t>
  </si>
  <si>
    <t>Q25R2C8</t>
  </si>
  <si>
    <t>Forced to 0</t>
  </si>
  <si>
    <t>Q25R3C5</t>
  </si>
  <si>
    <t>Q25R3C6</t>
  </si>
  <si>
    <t>Q25R3C7</t>
  </si>
  <si>
    <t>Q25R3C8</t>
  </si>
  <si>
    <t>Q27R1C7</t>
  </si>
  <si>
    <t>Q27R1C8</t>
  </si>
  <si>
    <t>Q27R2C7</t>
  </si>
  <si>
    <t>Q27R2C8</t>
  </si>
  <si>
    <t>Q27R3C1</t>
  </si>
  <si>
    <t>Q27R3C2</t>
  </si>
  <si>
    <t>Q27R3C3</t>
  </si>
  <si>
    <t>Q27R3C4</t>
  </si>
  <si>
    <t>Q27R3C5</t>
  </si>
  <si>
    <t>Q27R3C6</t>
  </si>
  <si>
    <t>Q27R3C7</t>
  </si>
  <si>
    <t>Q27R3C8</t>
  </si>
  <si>
    <t>Q27R4C1</t>
  </si>
  <si>
    <t>Q27R4C2</t>
  </si>
  <si>
    <t>Q27R4C3</t>
  </si>
  <si>
    <t>Q27R4C4</t>
  </si>
  <si>
    <t>Q27R4C5</t>
  </si>
  <si>
    <t>Q27R4C6</t>
  </si>
  <si>
    <t>Q27R4C7</t>
  </si>
  <si>
    <t>Q27R4C8</t>
  </si>
  <si>
    <t>Q27R5C1</t>
  </si>
  <si>
    <t>Q27R5C2</t>
  </si>
  <si>
    <t>Q27R5C3</t>
  </si>
  <si>
    <t>Q27R5C4</t>
  </si>
  <si>
    <t>Q27R5C5</t>
  </si>
  <si>
    <t>Q27R5C6</t>
  </si>
  <si>
    <t>Q27R5C7</t>
  </si>
  <si>
    <t>Q27R5C8</t>
  </si>
  <si>
    <t>Q27R6C1</t>
  </si>
  <si>
    <t>Q27R6C2</t>
  </si>
  <si>
    <t>Q27R6C3</t>
  </si>
  <si>
    <t>Q27R6C4</t>
  </si>
  <si>
    <t>Q27R6C5</t>
  </si>
  <si>
    <t>Q27R6C6</t>
  </si>
  <si>
    <t>Q27R6C7</t>
  </si>
  <si>
    <t>Q27R6C8</t>
  </si>
  <si>
    <t>Q27R7C1</t>
  </si>
  <si>
    <t>Q27R7C2</t>
  </si>
  <si>
    <t>Q27R7C3</t>
  </si>
  <si>
    <t>Q27R7C4</t>
  </si>
  <si>
    <t>Q27R7C5</t>
  </si>
  <si>
    <t>Q27R7C6</t>
  </si>
  <si>
    <t>Q27R7C7</t>
  </si>
  <si>
    <t>Q27R7C8</t>
  </si>
  <si>
    <t>Q28R1C5</t>
  </si>
  <si>
    <t>Q28R1C6</t>
  </si>
  <si>
    <t>Q28R1C7</t>
  </si>
  <si>
    <t>Q28R1C8</t>
  </si>
  <si>
    <t>Q28R2C5</t>
  </si>
  <si>
    <t>Q28R2C6</t>
  </si>
  <si>
    <t>Q28R2C7</t>
  </si>
  <si>
    <t>Q28R2C8</t>
  </si>
  <si>
    <t>Q28R3C5</t>
  </si>
  <si>
    <t>Q28R3C6</t>
  </si>
  <si>
    <t>Q28R3C7</t>
  </si>
  <si>
    <t>Q28R3C8</t>
  </si>
  <si>
    <t>Q28R4C5</t>
  </si>
  <si>
    <t>Q28R4C6</t>
  </si>
  <si>
    <t>Q28R4C7</t>
  </si>
  <si>
    <t>Q28R4C8</t>
  </si>
  <si>
    <t>Q28R5C5</t>
  </si>
  <si>
    <t>Q28R5C6</t>
  </si>
  <si>
    <t>Q28R5C7</t>
  </si>
  <si>
    <t>Q28R5C8</t>
  </si>
  <si>
    <t>Q28R6C1</t>
  </si>
  <si>
    <t>Q28R6C2</t>
  </si>
  <si>
    <t>Q28R6C3</t>
  </si>
  <si>
    <t>Q28R6C4</t>
  </si>
  <si>
    <t>Q28R6C5</t>
  </si>
  <si>
    <t>Q28R6C6</t>
  </si>
  <si>
    <t>Q28R6C7</t>
  </si>
  <si>
    <t>Q28R6C8</t>
  </si>
  <si>
    <t>Q28R7C1</t>
  </si>
  <si>
    <t>Q28R7C2</t>
  </si>
  <si>
    <t>Q28R7C3</t>
  </si>
  <si>
    <t>Q28R7C4</t>
  </si>
  <si>
    <t>Q28R7C5</t>
  </si>
  <si>
    <t>Q28R7C6</t>
  </si>
  <si>
    <t>Q28R7C7</t>
  </si>
  <si>
    <t>Q28R7C8</t>
  </si>
  <si>
    <t>Q29R1C8</t>
  </si>
  <si>
    <t>Q29R1C9</t>
  </si>
  <si>
    <t>Q29R1C10</t>
  </si>
  <si>
    <t>Q29R2C8</t>
  </si>
  <si>
    <t>Q29R2C9</t>
  </si>
  <si>
    <t>Q29R2C10</t>
  </si>
  <si>
    <t>Q29R3C8</t>
  </si>
  <si>
    <t>Q29R3C9</t>
  </si>
  <si>
    <t>Q29R3C10</t>
  </si>
  <si>
    <t>Q29R4C8</t>
  </si>
  <si>
    <t>Q29R4C9</t>
  </si>
  <si>
    <t>Q29R4C10</t>
  </si>
  <si>
    <t>Q29R5C8</t>
  </si>
  <si>
    <t>Q29R5C9</t>
  </si>
  <si>
    <t>Q29R5C10</t>
  </si>
  <si>
    <t>Q29R6C8</t>
  </si>
  <si>
    <t>Q29R6C9</t>
  </si>
  <si>
    <t>Q29R6C10</t>
  </si>
  <si>
    <t>Q29R7C1</t>
  </si>
  <si>
    <t>Q29R7C2</t>
  </si>
  <si>
    <t>Q29R7C3</t>
  </si>
  <si>
    <t>Q29R7C4</t>
  </si>
  <si>
    <t>Q29R7C5</t>
  </si>
  <si>
    <t>Q29R7C6</t>
  </si>
  <si>
    <t>Q29R7C7</t>
  </si>
  <si>
    <t>Q29R7C8</t>
  </si>
  <si>
    <t>Q29R7C9</t>
  </si>
  <si>
    <t>Q29R7C10</t>
  </si>
  <si>
    <t>Q30R1C8</t>
  </si>
  <si>
    <t>Q30R1C9</t>
  </si>
  <si>
    <t>Q30R1C10</t>
  </si>
  <si>
    <t>Q30R2C8</t>
  </si>
  <si>
    <t>Q30R2C9</t>
  </si>
  <si>
    <t>Q30R2C10</t>
  </si>
  <si>
    <t>Q30R3C8</t>
  </si>
  <si>
    <t>Q30R3C9</t>
  </si>
  <si>
    <t>Q30R3C10</t>
  </si>
  <si>
    <t>Q30R4C8</t>
  </si>
  <si>
    <t>Q30R4C9</t>
  </si>
  <si>
    <t>Q30R4C10</t>
  </si>
  <si>
    <t>Q30R5C8</t>
  </si>
  <si>
    <t>Q30R5C9</t>
  </si>
  <si>
    <t>Q30R5C10</t>
  </si>
  <si>
    <t>Q30R6C8</t>
  </si>
  <si>
    <t>Q30R6C9</t>
  </si>
  <si>
    <t>Q30R6C10</t>
  </si>
  <si>
    <t>Q30R7C1</t>
  </si>
  <si>
    <t>Q30R7C2</t>
  </si>
  <si>
    <t>Q30R7C3</t>
  </si>
  <si>
    <t>Q30R7C4</t>
  </si>
  <si>
    <t>Q30R7C5</t>
  </si>
  <si>
    <t>Q30R7C6</t>
  </si>
  <si>
    <t>Q30R7C7</t>
  </si>
  <si>
    <t>Q30R7C8</t>
  </si>
  <si>
    <t>Q30R7C9</t>
  </si>
  <si>
    <t>Q30R7C10</t>
  </si>
  <si>
    <t>Q33R1C4</t>
  </si>
  <si>
    <t>Q33R2C1</t>
  </si>
  <si>
    <t>Q33R2C2</t>
  </si>
  <si>
    <t>Q33R2C3</t>
  </si>
  <si>
    <t>Q33R2C4</t>
  </si>
  <si>
    <t>Q34R2C1</t>
  </si>
  <si>
    <t>12,1</t>
  </si>
  <si>
    <t>Q36R2C1</t>
  </si>
  <si>
    <t>Q36R3C1</t>
  </si>
  <si>
    <t>Q36R4C1</t>
  </si>
  <si>
    <t>Q36R5C1</t>
  </si>
  <si>
    <t>12,2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</si>
</sst>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0.000"/>
  </numFmts>
  <fonts count="35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0000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/>
    <font>
      <b/>
      <sz val="11.0"/>
      <color theme="0"/>
      <name val="Arial"/>
    </font>
    <font>
      <b/>
      <sz val="11.0"/>
      <color rgb="FF000000"/>
      <name val="Arial"/>
    </font>
    <font>
      <sz val="10.0"/>
      <color rgb="FFFF0000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11.0"/>
      <color theme="0"/>
      <name val="Arial"/>
    </font>
    <font>
      <sz val="7.0"/>
      <color theme="1"/>
      <name val="Arial"/>
    </font>
    <font>
      <b/>
      <sz val="7.0"/>
      <color theme="1"/>
      <name val="Arial"/>
    </font>
    <font>
      <sz val="11.0"/>
      <color theme="1"/>
      <name val="Calibri"/>
    </font>
    <font>
      <b/>
      <sz val="10.0"/>
      <color rgb="FFFF0000"/>
      <name val="Arial"/>
    </font>
    <font>
      <b/>
      <sz val="12.0"/>
      <color rgb="FFFFFFFF"/>
      <name val="Arial"/>
    </font>
    <font>
      <sz val="9.0"/>
      <color rgb="FF00B0F0"/>
      <name val="Arial"/>
    </font>
    <font>
      <sz val="9.0"/>
      <color theme="1"/>
      <name val="Arial"/>
    </font>
    <font>
      <b/>
      <sz val="11.0"/>
      <color rgb="FFFFFFFF"/>
      <name val="Arial"/>
    </font>
    <font>
      <sz val="10.0"/>
      <color theme="1"/>
      <name val="Calibri"/>
    </font>
    <font>
      <sz val="9.0"/>
      <color rgb="FF000000"/>
      <name val="Arial"/>
    </font>
    <font>
      <b/>
      <sz val="12.0"/>
      <color theme="0"/>
      <name val="Arial"/>
    </font>
    <font>
      <b/>
      <sz val="6.0"/>
      <color theme="1"/>
      <name val="Arial"/>
    </font>
    <font>
      <sz val="7.0"/>
      <color theme="0"/>
      <name val="Arial"/>
    </font>
    <font>
      <sz val="11.0"/>
      <color rgb="FFFF0000"/>
      <name val="Calibri"/>
    </font>
    <font>
      <b/>
      <sz val="12.0"/>
      <color theme="1"/>
      <name val="Arial"/>
    </font>
    <font>
      <i/>
      <sz val="12.0"/>
      <color rgb="FFFF0000"/>
      <name val="Calibri"/>
    </font>
    <font>
      <b/>
      <sz val="12.0"/>
      <color rgb="FFFF0000"/>
      <name val="Arial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444444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74">
    <border/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/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</border>
    <border>
      <left/>
      <top style="thin">
        <color rgb="FF000000"/>
      </top>
      <bottom style="thin">
        <color rgb="FF000000"/>
      </bottom>
    </border>
    <border>
      <left/>
      <right/>
      <top/>
      <bottom style="thick">
        <color rgb="FF000000"/>
      </bottom>
    </border>
    <border>
      <left/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/>
      <bottom/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right style="thin">
        <color rgb="FF000000"/>
      </right>
      <top/>
      <bottom style="thick">
        <color rgb="FF000000"/>
      </bottom>
    </border>
    <border>
      <left style="thin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/>
      <bottom style="thick">
        <color rgb="FF000000"/>
      </bottom>
    </border>
    <border>
      <right/>
      <top style="thin">
        <color rgb="FF000000"/>
      </top>
      <bottom/>
    </border>
    <border>
      <left/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top/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/>
    </border>
    <border>
      <right style="thick">
        <color rgb="FF000000"/>
      </right>
      <bottom/>
    </border>
    <border>
      <left style="thin">
        <color rgb="FF000000"/>
      </left>
      <right style="thick">
        <color rgb="FF000000"/>
      </right>
      <top/>
      <bottom/>
    </border>
    <border>
      <left/>
      <right style="thick">
        <color rgb="FF000000"/>
      </right>
      <top/>
      <bottom/>
    </border>
    <border>
      <left/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/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</border>
    <border>
      <right/>
      <top style="thick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/>
      <bottom style="thick">
        <color rgb="FF000000"/>
      </bottom>
    </border>
    <border>
      <left/>
      <top/>
      <bottom style="thick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/>
    </xf>
    <xf borderId="1" fillId="0" fontId="6" numFmtId="0" xfId="0" applyAlignment="1" applyBorder="1" applyFont="1">
      <alignment horizontal="left" readingOrder="0"/>
    </xf>
    <xf borderId="1" fillId="0" fontId="7" numFmtId="0" xfId="0" applyBorder="1" applyFont="1"/>
    <xf borderId="0" fillId="0" fontId="6" numFmtId="0" xfId="0" applyFont="1"/>
    <xf borderId="1" fillId="0" fontId="6" numFmtId="1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2" fillId="2" fontId="8" numFmtId="0" xfId="0" applyAlignment="1" applyBorder="1" applyFill="1" applyFont="1">
      <alignment horizontal="left"/>
    </xf>
    <xf borderId="3" fillId="0" fontId="7" numFmtId="0" xfId="0" applyBorder="1" applyFont="1"/>
    <xf borderId="4" fillId="0" fontId="7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Font="1"/>
    <xf borderId="5" fillId="0" fontId="1" numFmtId="0" xfId="0" applyBorder="1" applyFont="1"/>
    <xf borderId="6" fillId="0" fontId="1" numFmtId="0" xfId="0" applyBorder="1" applyFont="1"/>
    <xf borderId="7" fillId="0" fontId="11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0" fillId="0" fontId="5" numFmtId="0" xfId="0" applyFont="1"/>
    <xf borderId="10" fillId="0" fontId="6" numFmtId="0" xfId="0" applyAlignment="1" applyBorder="1" applyFont="1">
      <alignment horizontal="left" vertical="center"/>
    </xf>
    <xf borderId="11" fillId="0" fontId="7" numFmtId="0" xfId="0" applyBorder="1" applyFont="1"/>
    <xf borderId="12" fillId="0" fontId="7" numFmtId="0" xfId="0" applyBorder="1" applyFont="1"/>
    <xf borderId="10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vertical="center"/>
    </xf>
    <xf borderId="14" fillId="0" fontId="7" numFmtId="0" xfId="0" applyBorder="1" applyFont="1"/>
    <xf borderId="15" fillId="0" fontId="7" numFmtId="0" xfId="0" applyBorder="1" applyFont="1"/>
    <xf borderId="13" fillId="3" fontId="6" numFmtId="0" xfId="0" applyAlignment="1" applyBorder="1" applyFill="1" applyFont="1">
      <alignment horizontal="center" vertical="center"/>
    </xf>
    <xf borderId="13" fillId="3" fontId="6" numFmtId="0" xfId="0" applyAlignment="1" applyBorder="1" applyFont="1">
      <alignment horizontal="left" shrinkToFit="0" vertical="center" wrapText="1"/>
    </xf>
    <xf borderId="16" fillId="3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8" fillId="0" fontId="7" numFmtId="0" xfId="0" applyBorder="1" applyFont="1"/>
    <xf borderId="19" fillId="0" fontId="1" numFmtId="0" xfId="0" applyBorder="1" applyFont="1"/>
    <xf borderId="20" fillId="3" fontId="6" numFmtId="0" xfId="0" applyAlignment="1" applyBorder="1" applyFont="1">
      <alignment horizontal="left" vertical="center"/>
    </xf>
    <xf borderId="21" fillId="0" fontId="7" numFmtId="0" xfId="0" applyBorder="1" applyFont="1"/>
    <xf borderId="22" fillId="0" fontId="7" numFmtId="0" xfId="0" applyBorder="1" applyFont="1"/>
    <xf borderId="23" fillId="3" fontId="6" numFmtId="0" xfId="0" applyAlignment="1" applyBorder="1" applyFont="1">
      <alignment horizontal="center" vertical="center"/>
    </xf>
    <xf borderId="24" fillId="0" fontId="7" numFmtId="0" xfId="0" applyBorder="1" applyFont="1"/>
    <xf borderId="5" fillId="0" fontId="7" numFmtId="0" xfId="0" applyBorder="1" applyFont="1"/>
    <xf borderId="7" fillId="0" fontId="11" numFmtId="0" xfId="0" applyAlignment="1" applyBorder="1" applyFont="1">
      <alignment horizontal="left"/>
    </xf>
    <xf borderId="7" fillId="3" fontId="11" numFmtId="0" xfId="0" applyAlignment="1" applyBorder="1" applyFont="1">
      <alignment horizontal="center" vertical="center"/>
    </xf>
    <xf borderId="25" fillId="0" fontId="7" numFmtId="0" xfId="0" applyBorder="1" applyFont="1"/>
    <xf borderId="19" fillId="0" fontId="6" numFmtId="0" xfId="0" applyBorder="1" applyFont="1"/>
    <xf borderId="26" fillId="0" fontId="6" numFmtId="0" xfId="0" applyAlignment="1" applyBorder="1" applyFont="1">
      <alignment horizontal="left"/>
    </xf>
    <xf borderId="27" fillId="0" fontId="7" numFmtId="0" xfId="0" applyBorder="1" applyFont="1"/>
    <xf borderId="28" fillId="0" fontId="7" numFmtId="0" xfId="0" applyBorder="1" applyFont="1"/>
    <xf borderId="20" fillId="0" fontId="6" numFmtId="0" xfId="0" applyAlignment="1" applyBorder="1" applyFont="1">
      <alignment horizontal="left"/>
    </xf>
    <xf borderId="29" fillId="0" fontId="7" numFmtId="0" xfId="0" applyBorder="1" applyFont="1"/>
    <xf borderId="30" fillId="0" fontId="7" numFmtId="0" xfId="0" applyBorder="1" applyFont="1"/>
    <xf borderId="19" fillId="0" fontId="10" numFmtId="0" xfId="0" applyAlignment="1" applyBorder="1" applyFont="1">
      <alignment horizontal="left" shrinkToFit="0" wrapText="1"/>
    </xf>
    <xf borderId="31" fillId="3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/>
    </xf>
    <xf borderId="32" fillId="0" fontId="7" numFmtId="0" xfId="0" applyBorder="1" applyFont="1"/>
    <xf borderId="19" fillId="0" fontId="7" numFmtId="0" xfId="0" applyBorder="1" applyFont="1"/>
    <xf borderId="33" fillId="0" fontId="7" numFmtId="0" xfId="0" applyBorder="1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27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3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/>
    </xf>
    <xf borderId="2" fillId="3" fontId="5" numFmtId="0" xfId="0" applyAlignment="1" applyBorder="1" applyFont="1">
      <alignment horizontal="left"/>
    </xf>
    <xf borderId="7" fillId="3" fontId="11" numFmtId="0" xfId="0" applyAlignment="1" applyBorder="1" applyFont="1">
      <alignment horizontal="center"/>
    </xf>
    <xf borderId="10" fillId="3" fontId="6" numFmtId="0" xfId="0" applyAlignment="1" applyBorder="1" applyFont="1">
      <alignment horizontal="left"/>
    </xf>
    <xf borderId="10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left"/>
    </xf>
    <xf borderId="34" fillId="3" fontId="6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left"/>
    </xf>
    <xf borderId="20" fillId="3" fontId="6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left"/>
    </xf>
    <xf borderId="0" fillId="0" fontId="6" numFmtId="0" xfId="0" applyAlignment="1" applyFont="1">
      <alignment horizontal="left" shrinkToFit="0" vertical="center" wrapText="1"/>
    </xf>
    <xf borderId="2" fillId="3" fontId="5" numFmtId="0" xfId="0" applyAlignment="1" applyBorder="1" applyFont="1">
      <alignment horizontal="left" vertical="center"/>
    </xf>
    <xf borderId="35" fillId="3" fontId="6" numFmtId="0" xfId="0" applyBorder="1" applyFont="1"/>
    <xf borderId="19" fillId="0" fontId="5" numFmtId="0" xfId="0" applyBorder="1" applyFont="1"/>
    <xf borderId="10" fillId="3" fontId="6" numFmtId="0" xfId="0" applyAlignment="1" applyBorder="1" applyFont="1">
      <alignment horizontal="left" vertical="center"/>
    </xf>
    <xf borderId="36" fillId="3" fontId="6" numFmtId="0" xfId="0" applyAlignment="1" applyBorder="1" applyFont="1">
      <alignment horizontal="center" vertical="center"/>
    </xf>
    <xf borderId="37" fillId="0" fontId="7" numFmtId="0" xfId="0" applyBorder="1" applyFont="1"/>
    <xf borderId="38" fillId="3" fontId="6" numFmtId="0" xfId="0" applyAlignment="1" applyBorder="1" applyFont="1">
      <alignment horizontal="left" vertical="center"/>
    </xf>
    <xf borderId="39" fillId="0" fontId="7" numFmtId="0" xfId="0" applyBorder="1" applyFont="1"/>
    <xf borderId="40" fillId="0" fontId="7" numFmtId="0" xfId="0" applyBorder="1" applyFont="1"/>
    <xf borderId="16" fillId="3" fontId="6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center"/>
    </xf>
    <xf borderId="6" fillId="0" fontId="7" numFmtId="0" xfId="0" applyBorder="1" applyFont="1"/>
    <xf borderId="10" fillId="0" fontId="11" numFmtId="0" xfId="0" applyAlignment="1" applyBorder="1" applyFont="1">
      <alignment horizontal="center"/>
    </xf>
    <xf borderId="19" fillId="0" fontId="11" numFmtId="0" xfId="0" applyBorder="1" applyFont="1"/>
    <xf borderId="0" fillId="0" fontId="11" numFmtId="0" xfId="0" applyFont="1"/>
    <xf borderId="41" fillId="0" fontId="12" numFmtId="0" xfId="0" applyAlignment="1" applyBorder="1" applyFont="1">
      <alignment horizontal="center" shrinkToFit="0" wrapText="1"/>
    </xf>
    <xf borderId="42" fillId="0" fontId="12" numFmtId="0" xfId="0" applyAlignment="1" applyBorder="1" applyFont="1">
      <alignment horizontal="center" shrinkToFit="0" wrapText="1"/>
    </xf>
    <xf borderId="43" fillId="0" fontId="12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shrinkToFit="0" wrapText="1"/>
    </xf>
    <xf borderId="44" fillId="0" fontId="12" numFmtId="0" xfId="0" applyAlignment="1" applyBorder="1" applyFont="1">
      <alignment horizontal="center" shrinkToFit="0" wrapText="1"/>
    </xf>
    <xf borderId="24" fillId="0" fontId="11" numFmtId="0" xfId="0" applyAlignment="1" applyBorder="1" applyFont="1">
      <alignment horizontal="center" shrinkToFit="0" wrapText="1"/>
    </xf>
    <xf borderId="19" fillId="0" fontId="13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47" fillId="3" fontId="11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 vertical="center"/>
    </xf>
    <xf borderId="48" fillId="3" fontId="10" numFmtId="0" xfId="0" applyBorder="1" applyFont="1"/>
    <xf borderId="26" fillId="0" fontId="11" numFmtId="0" xfId="0" applyAlignment="1" applyBorder="1" applyFont="1">
      <alignment horizontal="center" shrinkToFit="0" wrapText="1"/>
    </xf>
    <xf borderId="49" fillId="0" fontId="13" numFmtId="0" xfId="0" applyAlignment="1" applyBorder="1" applyFont="1">
      <alignment horizontal="center" shrinkToFit="0" wrapText="1"/>
    </xf>
    <xf borderId="50" fillId="0" fontId="13" numFmtId="0" xfId="0" applyAlignment="1" applyBorder="1" applyFont="1">
      <alignment horizontal="center" shrinkToFit="0" wrapText="1"/>
    </xf>
    <xf borderId="20" fillId="0" fontId="13" numFmtId="0" xfId="0" applyAlignment="1" applyBorder="1" applyFont="1">
      <alignment horizontal="center" shrinkToFit="0" wrapText="1"/>
    </xf>
    <xf borderId="51" fillId="0" fontId="13" numFmtId="0" xfId="0" applyAlignment="1" applyBorder="1" applyFont="1">
      <alignment horizontal="center" shrinkToFit="0" wrapText="1"/>
    </xf>
    <xf borderId="48" fillId="3" fontId="2" numFmtId="0" xfId="0" applyBorder="1" applyFont="1"/>
    <xf borderId="52" fillId="0" fontId="6" numFmtId="0" xfId="0" applyAlignment="1" applyBorder="1" applyFont="1">
      <alignment horizontal="center" vertical="center"/>
    </xf>
    <xf borderId="53" fillId="0" fontId="6" numFmtId="0" xfId="0" applyAlignment="1" applyBorder="1" applyFont="1">
      <alignment horizontal="center" vertical="center"/>
    </xf>
    <xf borderId="10" fillId="0" fontId="6" numFmtId="0" xfId="0" applyBorder="1" applyFont="1"/>
    <xf borderId="20" fillId="0" fontId="6" numFmtId="0" xfId="0" applyBorder="1" applyFont="1"/>
    <xf borderId="7" fillId="0" fontId="11" numFmtId="0" xfId="0" applyBorder="1" applyFont="1"/>
    <xf borderId="7" fillId="0" fontId="11" numFmtId="0" xfId="0" applyAlignment="1" applyBorder="1" applyFont="1">
      <alignment horizontal="center" vertical="center"/>
    </xf>
    <xf borderId="10" fillId="0" fontId="6" numFmtId="0" xfId="0" applyAlignment="1" applyBorder="1" applyFont="1">
      <alignment shrinkToFit="0" wrapText="1"/>
    </xf>
    <xf borderId="54" fillId="0" fontId="6" numFmtId="0" xfId="0" applyAlignment="1" applyBorder="1" applyFont="1">
      <alignment horizontal="center" vertical="center"/>
    </xf>
    <xf borderId="55" fillId="0" fontId="7" numFmtId="0" xfId="0" applyBorder="1" applyFont="1"/>
    <xf borderId="13" fillId="0" fontId="6" numFmtId="0" xfId="0" applyAlignment="1" applyBorder="1" applyFont="1">
      <alignment shrinkToFit="0" wrapText="1"/>
    </xf>
    <xf borderId="13" fillId="0" fontId="6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 shrinkToFit="0" vertical="center" wrapText="1"/>
    </xf>
    <xf borderId="20" fillId="0" fontId="6" numFmtId="0" xfId="0" applyAlignment="1" applyBorder="1" applyFont="1">
      <alignment shrinkToFit="0" wrapText="1"/>
    </xf>
    <xf borderId="26" fillId="0" fontId="11" numFmtId="0" xfId="0" applyAlignment="1" applyBorder="1" applyFont="1">
      <alignment horizontal="left" shrinkToFit="0" wrapText="1"/>
    </xf>
    <xf borderId="10" fillId="0" fontId="11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0" wrapText="1"/>
    </xf>
    <xf borderId="43" fillId="0" fontId="13" numFmtId="0" xfId="0" applyAlignment="1" applyBorder="1" applyFont="1">
      <alignment horizontal="center" shrinkToFit="0" wrapText="1"/>
    </xf>
    <xf borderId="42" fillId="0" fontId="13" numFmtId="0" xfId="0" applyAlignment="1" applyBorder="1" applyFont="1">
      <alignment horizontal="center" shrinkToFit="0" wrapText="1"/>
    </xf>
    <xf borderId="44" fillId="0" fontId="13" numFmtId="0" xfId="0" applyAlignment="1" applyBorder="1" applyFont="1">
      <alignment horizontal="center" shrinkToFit="0" wrapText="1"/>
    </xf>
    <xf borderId="56" fillId="0" fontId="13" numFmtId="0" xfId="0" applyAlignment="1" applyBorder="1" applyFont="1">
      <alignment horizontal="center" shrinkToFit="0" wrapText="1"/>
    </xf>
    <xf borderId="57" fillId="3" fontId="6" numFmtId="0" xfId="0" applyAlignment="1" applyBorder="1" applyFont="1">
      <alignment horizontal="center" vertical="center"/>
    </xf>
    <xf borderId="58" fillId="3" fontId="6" numFmtId="0" xfId="0" applyAlignment="1" applyBorder="1" applyFont="1">
      <alignment horizontal="center" vertical="center"/>
    </xf>
    <xf borderId="16" fillId="3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59" fillId="3" fontId="6" numFmtId="0" xfId="0" applyAlignment="1" applyBorder="1" applyFont="1">
      <alignment horizontal="center" vertical="center"/>
    </xf>
    <xf borderId="60" fillId="3" fontId="6" numFmtId="0" xfId="0" applyAlignment="1" applyBorder="1" applyFont="1">
      <alignment horizontal="center" vertical="center"/>
    </xf>
    <xf borderId="61" fillId="3" fontId="11" numFmtId="0" xfId="0" applyAlignment="1" applyBorder="1" applyFont="1">
      <alignment horizontal="center" vertical="center"/>
    </xf>
    <xf borderId="62" fillId="3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left" shrinkToFit="0" wrapText="1"/>
    </xf>
    <xf borderId="63" fillId="3" fontId="6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left" vertical="center"/>
    </xf>
    <xf borderId="45" fillId="3" fontId="11" numFmtId="0" xfId="0" applyAlignment="1" applyBorder="1" applyFont="1">
      <alignment horizontal="center" vertical="center"/>
    </xf>
    <xf borderId="46" fillId="3" fontId="11" numFmtId="0" xfId="0" applyAlignment="1" applyBorder="1" applyFont="1">
      <alignment horizontal="center" vertical="center"/>
    </xf>
    <xf borderId="53" fillId="3" fontId="11" numFmtId="0" xfId="0" applyAlignment="1" applyBorder="1" applyFont="1">
      <alignment horizontal="center" vertical="center"/>
    </xf>
    <xf borderId="64" fillId="3" fontId="11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4" numFmtId="0" xfId="0" applyFont="1"/>
    <xf borderId="7" fillId="0" fontId="11" numFmtId="0" xfId="0" applyAlignment="1" applyBorder="1" applyFont="1">
      <alignment horizontal="center" shrinkToFit="0" wrapText="1"/>
    </xf>
    <xf borderId="65" fillId="0" fontId="7" numFmtId="0" xfId="0" applyBorder="1" applyFont="1"/>
    <xf borderId="6" fillId="0" fontId="12" numFmtId="0" xfId="0" applyAlignment="1" applyBorder="1" applyFont="1">
      <alignment horizontal="center" shrinkToFit="1" wrapText="0"/>
    </xf>
    <xf borderId="5" fillId="0" fontId="11" numFmtId="0" xfId="0" applyAlignment="1" applyBorder="1" applyFont="1">
      <alignment horizontal="center" shrinkToFit="0" wrapText="1"/>
    </xf>
    <xf borderId="66" fillId="0" fontId="7" numFmtId="0" xfId="0" applyBorder="1" applyFont="1"/>
    <xf borderId="53" fillId="0" fontId="12" numFmtId="0" xfId="0" applyAlignment="1" applyBorder="1" applyFont="1">
      <alignment horizontal="center" shrinkToFit="1" wrapText="0"/>
    </xf>
    <xf borderId="9" fillId="0" fontId="12" numFmtId="0" xfId="0" applyAlignment="1" applyBorder="1" applyFont="1">
      <alignment horizontal="center" shrinkToFit="1" wrapText="0"/>
    </xf>
    <xf quotePrefix="1" borderId="10" fillId="0" fontId="6" numFmtId="0" xfId="0" applyAlignment="1" applyBorder="1" applyFont="1">
      <alignment horizontal="left" vertical="center"/>
    </xf>
    <xf borderId="67" fillId="0" fontId="7" numFmtId="0" xfId="0" applyBorder="1" applyFont="1"/>
    <xf borderId="12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55" fillId="0" fontId="6" numFmtId="0" xfId="0" applyAlignment="1" applyBorder="1" applyFont="1">
      <alignment horizontal="center" vertical="center"/>
    </xf>
    <xf quotePrefix="1" borderId="13" fillId="0" fontId="6" numFmtId="0" xfId="0" applyAlignment="1" applyBorder="1" applyFont="1">
      <alignment horizontal="left" vertical="center"/>
    </xf>
    <xf borderId="62" fillId="0" fontId="6" numFmtId="0" xfId="0" applyAlignment="1" applyBorder="1" applyFont="1">
      <alignment horizontal="center" vertical="center"/>
    </xf>
    <xf borderId="68" fillId="0" fontId="7" numFmtId="0" xfId="0" applyBorder="1" applyFont="1"/>
    <xf borderId="14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left"/>
    </xf>
    <xf borderId="54" fillId="0" fontId="6" numFmtId="0" xfId="0" applyAlignment="1" applyBorder="1" applyFont="1">
      <alignment horizontal="left"/>
    </xf>
    <xf borderId="20" fillId="0" fontId="6" numFmtId="0" xfId="0" applyAlignment="1" applyBorder="1" applyFont="1">
      <alignment horizontal="left" vertical="center"/>
    </xf>
    <xf borderId="50" fillId="0" fontId="7" numFmtId="0" xfId="0" applyBorder="1" applyFont="1"/>
    <xf borderId="29" fillId="0" fontId="6" numFmtId="0" xfId="0" applyAlignment="1" applyBorder="1" applyFont="1">
      <alignment horizontal="center" vertical="center"/>
    </xf>
    <xf quotePrefix="1" borderId="20" fillId="0" fontId="6" numFmtId="0" xfId="0" applyAlignment="1" applyBorder="1" applyFont="1">
      <alignment horizontal="left" vertical="center"/>
    </xf>
    <xf borderId="32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vertical="center"/>
    </xf>
    <xf borderId="27" fillId="0" fontId="6" numFmtId="0" xfId="0" applyBorder="1" applyFont="1"/>
    <xf quotePrefix="1" borderId="17" fillId="0" fontId="6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51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center"/>
    </xf>
    <xf borderId="0" fillId="0" fontId="15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8" fillId="0" fontId="11" numFmtId="0" xfId="0" applyAlignment="1" applyBorder="1" applyFont="1">
      <alignment horizontal="center" shrinkToFit="0" wrapText="1"/>
    </xf>
    <xf borderId="69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70" fillId="0" fontId="6" numFmtId="0" xfId="0" applyAlignment="1" applyBorder="1" applyFont="1">
      <alignment horizontal="center" vertical="center"/>
    </xf>
    <xf borderId="71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vertical="center"/>
    </xf>
    <xf borderId="21" fillId="0" fontId="6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left" shrinkToFit="0" vertical="center" wrapText="1"/>
    </xf>
    <xf borderId="26" fillId="0" fontId="11" numFmtId="0" xfId="0" applyAlignment="1" applyBorder="1" applyFont="1">
      <alignment horizontal="center"/>
    </xf>
    <xf borderId="27" fillId="0" fontId="11" numFmtId="0" xfId="0" applyAlignment="1" applyBorder="1" applyFont="1">
      <alignment horizontal="center" shrinkToFit="0" wrapText="1"/>
    </xf>
    <xf borderId="0" fillId="0" fontId="11" numFmtId="0" xfId="0" applyAlignment="1" applyFont="1">
      <alignment shrinkToFit="0" vertical="center" wrapText="1"/>
    </xf>
    <xf borderId="0" fillId="0" fontId="10" numFmtId="0" xfId="0" applyAlignment="1" applyFont="1">
      <alignment horizontal="left"/>
    </xf>
    <xf borderId="20" fillId="0" fontId="11" numFmtId="0" xfId="0" applyAlignment="1" applyBorder="1" applyFont="1">
      <alignment horizontal="center"/>
    </xf>
    <xf borderId="66" fillId="0" fontId="11" numFmtId="0" xfId="0" applyAlignment="1" applyBorder="1" applyFont="1">
      <alignment horizontal="center"/>
    </xf>
    <xf borderId="43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52" fillId="0" fontId="11" numFmtId="0" xfId="0" applyAlignment="1" applyBorder="1" applyFont="1">
      <alignment horizontal="center"/>
    </xf>
    <xf borderId="72" fillId="0" fontId="6" numFmtId="0" xfId="0" applyAlignment="1" applyBorder="1" applyFont="1">
      <alignment horizontal="center" vertical="center"/>
    </xf>
    <xf borderId="73" fillId="0" fontId="7" numFmtId="0" xfId="0" applyBorder="1" applyFont="1"/>
    <xf borderId="27" fillId="0" fontId="1" numFmtId="0" xfId="0" applyBorder="1" applyFont="1"/>
    <xf borderId="0" fillId="0" fontId="5" numFmtId="0" xfId="0" applyAlignment="1" applyFont="1">
      <alignment horizontal="left" shrinkToFit="0" vertical="center" wrapText="1"/>
    </xf>
    <xf borderId="54" fillId="0" fontId="11" numFmtId="0" xfId="0" applyAlignment="1" applyBorder="1" applyFont="1">
      <alignment horizontal="center" shrinkToFit="0" vertical="center" wrapText="1"/>
    </xf>
    <xf borderId="49" fillId="0" fontId="16" numFmtId="0" xfId="0" applyAlignment="1" applyBorder="1" applyFont="1">
      <alignment horizontal="center" shrinkToFit="0" wrapText="1"/>
    </xf>
    <xf borderId="51" fillId="0" fontId="16" numFmtId="0" xfId="0" applyAlignment="1" applyBorder="1" applyFont="1">
      <alignment horizontal="center" shrinkToFit="0" wrapText="1"/>
    </xf>
    <xf borderId="74" fillId="0" fontId="6" numFmtId="0" xfId="0" applyAlignment="1" applyBorder="1" applyFont="1">
      <alignment horizontal="center" vertical="center"/>
    </xf>
    <xf borderId="75" fillId="0" fontId="6" numFmtId="0" xfId="0" applyAlignment="1" applyBorder="1" applyFont="1">
      <alignment horizontal="center" vertical="center"/>
    </xf>
    <xf borderId="76" fillId="0" fontId="6" numFmtId="0" xfId="0" applyAlignment="1" applyBorder="1" applyFont="1">
      <alignment horizontal="center" vertical="center"/>
    </xf>
    <xf borderId="77" fillId="0" fontId="6" numFmtId="0" xfId="0" applyAlignment="1" applyBorder="1" applyFont="1">
      <alignment horizontal="center" vertical="center"/>
    </xf>
    <xf borderId="49" fillId="0" fontId="6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left" vertical="center"/>
    </xf>
    <xf borderId="45" fillId="0" fontId="11" numFmtId="0" xfId="0" applyAlignment="1" applyBorder="1" applyFont="1">
      <alignment horizontal="center" vertical="center"/>
    </xf>
    <xf borderId="53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top"/>
    </xf>
    <xf borderId="0" fillId="0" fontId="6" numFmtId="0" xfId="0" applyAlignment="1" applyFont="1">
      <alignment shrinkToFit="0" vertical="center" wrapText="1"/>
    </xf>
    <xf borderId="0" fillId="0" fontId="11" numFmtId="0" xfId="0" applyAlignment="1" applyFont="1">
      <alignment horizontal="left" vertical="center"/>
    </xf>
    <xf borderId="7" fillId="3" fontId="11" numFmtId="0" xfId="0" applyAlignment="1" applyBorder="1" applyFont="1">
      <alignment horizontal="center" shrinkToFit="0" wrapText="1"/>
    </xf>
    <xf borderId="52" fillId="3" fontId="11" numFmtId="0" xfId="0" applyAlignment="1" applyBorder="1" applyFont="1">
      <alignment horizontal="center" shrinkToFit="0" wrapText="1"/>
    </xf>
    <xf borderId="52" fillId="3" fontId="11" numFmtId="0" xfId="0" applyAlignment="1" applyBorder="1" applyFont="1">
      <alignment horizontal="center"/>
    </xf>
    <xf borderId="7" fillId="3" fontId="6" numFmtId="0" xfId="0" applyAlignment="1" applyBorder="1" applyFont="1">
      <alignment horizontal="center" vertical="center"/>
    </xf>
    <xf borderId="52" fillId="3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72" fillId="0" fontId="13" numFmtId="0" xfId="0" applyAlignment="1" applyBorder="1" applyFont="1">
      <alignment horizontal="center" vertical="center"/>
    </xf>
    <xf borderId="42" fillId="0" fontId="7" numFmtId="0" xfId="0" applyBorder="1" applyFont="1"/>
    <xf borderId="19" fillId="0" fontId="17" numFmtId="0" xfId="0" applyBorder="1" applyFont="1"/>
    <xf borderId="41" fillId="0" fontId="11" numFmtId="0" xfId="0" applyAlignment="1" applyBorder="1" applyFont="1">
      <alignment horizontal="center" vertical="center"/>
    </xf>
    <xf borderId="52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52" fillId="0" fontId="11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left" shrinkToFit="0" vertical="center" wrapText="1"/>
    </xf>
    <xf borderId="69" fillId="3" fontId="6" numFmtId="0" xfId="0" applyAlignment="1" applyBorder="1" applyFont="1">
      <alignment horizontal="center" vertical="center"/>
    </xf>
    <xf borderId="10" fillId="3" fontId="11" numFmtId="0" xfId="0" applyAlignment="1" applyBorder="1" applyFont="1">
      <alignment horizontal="center" vertical="center"/>
    </xf>
    <xf borderId="70" fillId="3" fontId="6" numFmtId="0" xfId="0" applyAlignment="1" applyBorder="1" applyFont="1">
      <alignment horizontal="center" vertical="center"/>
    </xf>
    <xf borderId="13" fillId="3" fontId="11" numFmtId="0" xfId="0" applyAlignment="1" applyBorder="1" applyFont="1">
      <alignment horizontal="center" vertical="center"/>
    </xf>
    <xf borderId="71" fillId="3" fontId="6" numFmtId="0" xfId="0" applyAlignment="1" applyBorder="1" applyFont="1">
      <alignment horizontal="center" vertical="center"/>
    </xf>
    <xf borderId="78" fillId="3" fontId="6" numFmtId="0" xfId="0" applyAlignment="1" applyBorder="1" applyFont="1">
      <alignment horizontal="center" vertical="center"/>
    </xf>
    <xf borderId="52" fillId="3" fontId="11" numFmtId="0" xfId="0" applyAlignment="1" applyBorder="1" applyFont="1">
      <alignment horizontal="center" vertical="center"/>
    </xf>
    <xf borderId="48" fillId="3" fontId="1" numFmtId="0" xfId="0" applyBorder="1" applyFont="1"/>
    <xf borderId="26" fillId="3" fontId="6" numFmtId="0" xfId="0" applyAlignment="1" applyBorder="1" applyFont="1">
      <alignment horizontal="center" vertical="center"/>
    </xf>
    <xf borderId="54" fillId="0" fontId="7" numFmtId="0" xfId="0" applyBorder="1" applyFont="1"/>
    <xf borderId="20" fillId="0" fontId="11" numFmtId="0" xfId="0" applyAlignment="1" applyBorder="1" applyFont="1">
      <alignment horizontal="left" shrinkToFit="0" wrapText="1"/>
    </xf>
    <xf borderId="20" fillId="3" fontId="6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vertical="center"/>
    </xf>
    <xf borderId="2" fillId="3" fontId="10" numFmtId="0" xfId="0" applyAlignment="1" applyBorder="1" applyFont="1">
      <alignment horizontal="left" shrinkToFit="0" wrapText="1"/>
    </xf>
    <xf borderId="10" fillId="0" fontId="11" numFmtId="0" xfId="0" applyAlignment="1" applyBorder="1" applyFont="1">
      <alignment horizontal="center" shrinkToFit="0" wrapText="1"/>
    </xf>
    <xf borderId="20" fillId="0" fontId="11" numFmtId="0" xfId="0" applyAlignment="1" applyBorder="1" applyFont="1">
      <alignment horizontal="center" shrinkToFit="0" wrapText="1"/>
    </xf>
    <xf borderId="71" fillId="0" fontId="11" numFmtId="0" xfId="0" applyAlignment="1" applyBorder="1" applyFont="1">
      <alignment horizontal="center" shrinkToFit="0" wrapText="1"/>
    </xf>
    <xf borderId="20" fillId="3" fontId="11" numFmtId="0" xfId="0" applyAlignment="1" applyBorder="1" applyFont="1">
      <alignment horizontal="center" vertical="center"/>
    </xf>
    <xf borderId="48" fillId="3" fontId="6" numFmtId="0" xfId="0" applyAlignment="1" applyBorder="1" applyFont="1">
      <alignment horizontal="center" vertical="center"/>
    </xf>
    <xf borderId="2" fillId="2" fontId="19" numFmtId="0" xfId="0" applyAlignment="1" applyBorder="1" applyFont="1">
      <alignment horizontal="left"/>
    </xf>
    <xf borderId="69" fillId="0" fontId="11" numFmtId="0" xfId="0" applyAlignment="1" applyBorder="1" applyFont="1">
      <alignment horizontal="center" shrinkToFit="0" wrapText="1"/>
    </xf>
    <xf borderId="72" fillId="0" fontId="11" numFmtId="0" xfId="0" applyAlignment="1" applyBorder="1" applyFont="1">
      <alignment horizontal="center" shrinkToFit="0" wrapText="1"/>
    </xf>
    <xf borderId="71" fillId="0" fontId="11" numFmtId="0" xfId="0" applyAlignment="1" applyBorder="1" applyFont="1">
      <alignment horizontal="center"/>
    </xf>
    <xf borderId="20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wrapText="1"/>
    </xf>
    <xf borderId="10" fillId="0" fontId="6" numFmtId="0" xfId="0" applyAlignment="1" applyBorder="1" applyFont="1">
      <alignment horizontal="center" shrinkToFit="0" vertical="center" wrapText="1"/>
    </xf>
    <xf borderId="69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70" fillId="0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shrinkToFit="0" vertical="top" wrapText="1"/>
    </xf>
    <xf borderId="11" fillId="0" fontId="11" numFmtId="0" xfId="0" applyAlignment="1" applyBorder="1" applyFont="1">
      <alignment horizontal="center"/>
    </xf>
    <xf borderId="48" fillId="3" fontId="10" numFmtId="0" xfId="0" applyAlignment="1" applyBorder="1" applyFont="1">
      <alignment horizontal="center"/>
    </xf>
    <xf borderId="79" fillId="0" fontId="7" numFmtId="0" xfId="0" applyBorder="1" applyFont="1"/>
    <xf borderId="80" fillId="0" fontId="7" numFmtId="0" xfId="0" applyBorder="1" applyFont="1"/>
    <xf borderId="49" fillId="0" fontId="13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vertical="center"/>
    </xf>
    <xf borderId="48" fillId="3" fontId="10" numFmtId="0" xfId="0" applyAlignment="1" applyBorder="1" applyFont="1">
      <alignment shrinkToFit="0" wrapText="1"/>
    </xf>
    <xf borderId="81" fillId="0" fontId="6" numFmtId="0" xfId="0" applyAlignment="1" applyBorder="1" applyFont="1">
      <alignment horizontal="left" vertical="center"/>
    </xf>
    <xf borderId="82" fillId="0" fontId="7" numFmtId="0" xfId="0" applyBorder="1" applyFont="1"/>
    <xf borderId="83" fillId="0" fontId="6" numFmtId="0" xfId="0" applyAlignment="1" applyBorder="1" applyFont="1">
      <alignment horizontal="center" vertical="center"/>
    </xf>
    <xf borderId="69" fillId="0" fontId="6" numFmtId="164" xfId="0" applyAlignment="1" applyBorder="1" applyFont="1" applyNumberFormat="1">
      <alignment horizontal="center" vertical="center"/>
    </xf>
    <xf borderId="84" fillId="3" fontId="10" numFmtId="0" xfId="0" applyAlignment="1" applyBorder="1" applyFont="1">
      <alignment horizontal="left" shrinkToFit="0" wrapText="1"/>
    </xf>
    <xf borderId="85" fillId="0" fontId="7" numFmtId="0" xfId="0" applyBorder="1" applyFont="1"/>
    <xf borderId="86" fillId="0" fontId="7" numFmtId="0" xfId="0" applyBorder="1" applyFont="1"/>
    <xf borderId="17" fillId="0" fontId="6" numFmtId="0" xfId="0" applyAlignment="1" applyBorder="1" applyFont="1">
      <alignment horizontal="left" vertical="top"/>
    </xf>
    <xf borderId="87" fillId="0" fontId="7" numFmtId="0" xfId="0" applyBorder="1" applyFont="1"/>
    <xf borderId="88" fillId="0" fontId="6" numFmtId="0" xfId="0" applyAlignment="1" applyBorder="1" applyFont="1">
      <alignment horizontal="center" vertical="center"/>
    </xf>
    <xf borderId="71" fillId="0" fontId="6" numFmtId="164" xfId="0" applyAlignment="1" applyBorder="1" applyFont="1" applyNumberFormat="1">
      <alignment horizontal="center" vertical="center"/>
    </xf>
    <xf borderId="89" fillId="0" fontId="7" numFmtId="0" xfId="0" applyBorder="1" applyFont="1"/>
    <xf borderId="90" fillId="0" fontId="7" numFmtId="0" xfId="0" applyBorder="1" applyFont="1"/>
    <xf borderId="91" fillId="0" fontId="7" numFmtId="0" xfId="0" applyBorder="1" applyFont="1"/>
    <xf borderId="52" fillId="0" fontId="11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shrinkToFit="0" wrapText="1"/>
    </xf>
    <xf borderId="7" fillId="0" fontId="1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92" fillId="3" fontId="12" numFmtId="0" xfId="0" applyAlignment="1" applyBorder="1" applyFont="1">
      <alignment horizontal="center" shrinkToFit="0" wrapText="1"/>
    </xf>
    <xf borderId="93" fillId="3" fontId="12" numFmtId="0" xfId="0" applyAlignment="1" applyBorder="1" applyFont="1">
      <alignment horizontal="center" shrinkToFit="0" wrapText="1"/>
    </xf>
    <xf borderId="94" fillId="3" fontId="12" numFmtId="0" xfId="0" applyAlignment="1" applyBorder="1" applyFont="1">
      <alignment horizontal="center" shrinkToFit="0" wrapText="1"/>
    </xf>
    <xf borderId="64" fillId="3" fontId="11" numFmtId="0" xfId="0" applyAlignment="1" applyBorder="1" applyFont="1">
      <alignment horizontal="center" shrinkToFit="0" wrapText="1"/>
    </xf>
    <xf borderId="95" fillId="3" fontId="6" numFmtId="0" xfId="0" applyAlignment="1" applyBorder="1" applyFont="1">
      <alignment horizontal="center" vertical="center"/>
    </xf>
    <xf borderId="96" fillId="3" fontId="6" numFmtId="0" xfId="0" applyAlignment="1" applyBorder="1" applyFont="1">
      <alignment horizontal="center" vertical="center"/>
    </xf>
    <xf borderId="97" fillId="3" fontId="6" numFmtId="0" xfId="0" applyAlignment="1" applyBorder="1" applyFont="1">
      <alignment horizontal="center" vertical="center"/>
    </xf>
    <xf borderId="31" fillId="3" fontId="11" numFmtId="0" xfId="0" applyAlignment="1" applyBorder="1" applyFont="1">
      <alignment horizontal="center" vertical="center"/>
    </xf>
    <xf borderId="77" fillId="3" fontId="6" numFmtId="0" xfId="0" applyAlignment="1" applyBorder="1" applyFont="1">
      <alignment horizontal="center" vertical="center"/>
    </xf>
    <xf borderId="98" fillId="3" fontId="6" numFmtId="0" xfId="0" applyAlignment="1" applyBorder="1" applyFont="1">
      <alignment horizontal="center" vertical="center"/>
    </xf>
    <xf borderId="99" fillId="3" fontId="6" numFmtId="0" xfId="0" applyAlignment="1" applyBorder="1" applyFont="1">
      <alignment horizontal="center" vertical="center"/>
    </xf>
    <xf borderId="49" fillId="3" fontId="6" numFmtId="0" xfId="0" applyAlignment="1" applyBorder="1" applyFont="1">
      <alignment horizontal="center" vertical="center"/>
    </xf>
    <xf borderId="100" fillId="3" fontId="6" numFmtId="0" xfId="0" applyAlignment="1" applyBorder="1" applyFont="1">
      <alignment horizontal="center" vertical="center"/>
    </xf>
    <xf borderId="101" fillId="3" fontId="6" numFmtId="0" xfId="0" applyAlignment="1" applyBorder="1" applyFont="1">
      <alignment horizontal="center" vertical="center"/>
    </xf>
    <xf borderId="92" fillId="3" fontId="11" numFmtId="0" xfId="0" applyAlignment="1" applyBorder="1" applyFont="1">
      <alignment horizontal="center" vertical="center"/>
    </xf>
    <xf borderId="93" fillId="3" fontId="11" numFmtId="0" xfId="0" applyAlignment="1" applyBorder="1" applyFont="1">
      <alignment horizontal="center" vertical="center"/>
    </xf>
    <xf borderId="94" fillId="3" fontId="11" numFmtId="0" xfId="0" applyAlignment="1" applyBorder="1" applyFont="1">
      <alignment horizontal="center" vertical="center"/>
    </xf>
    <xf borderId="102" fillId="3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10" fillId="0" fontId="11" numFmtId="0" xfId="0" applyAlignment="1" applyBorder="1" applyFont="1">
      <alignment horizontal="center" shrinkToFit="0" vertical="center" wrapText="1"/>
    </xf>
    <xf borderId="49" fillId="0" fontId="6" numFmtId="0" xfId="0" applyAlignment="1" applyBorder="1" applyFont="1">
      <alignment horizontal="center"/>
    </xf>
    <xf borderId="71" fillId="0" fontId="6" numFmtId="0" xfId="0" applyAlignment="1" applyBorder="1" applyFont="1">
      <alignment horizontal="center"/>
    </xf>
    <xf borderId="51" fillId="0" fontId="6" numFmtId="0" xfId="0" applyAlignment="1" applyBorder="1" applyFont="1">
      <alignment horizontal="center"/>
    </xf>
    <xf borderId="44" fillId="0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48" fillId="3" fontId="6" numFmtId="0" xfId="0" applyBorder="1" applyFont="1"/>
    <xf borderId="0" fillId="0" fontId="13" numFmtId="0" xfId="0" applyAlignment="1" applyFont="1">
      <alignment horizontal="center" shrinkToFit="0" vertical="top" wrapText="1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10" fillId="3" fontId="11" numFmtId="0" xfId="0" applyAlignment="1" applyBorder="1" applyFont="1">
      <alignment horizontal="center"/>
    </xf>
    <xf borderId="103" fillId="3" fontId="11" numFmtId="0" xfId="0" applyAlignment="1" applyBorder="1" applyFont="1">
      <alignment horizontal="center" shrinkToFit="0" wrapText="1"/>
    </xf>
    <xf borderId="104" fillId="0" fontId="7" numFmtId="0" xfId="0" applyBorder="1" applyFont="1"/>
    <xf borderId="105" fillId="3" fontId="11" numFmtId="0" xfId="0" applyAlignment="1" applyBorder="1" applyFont="1">
      <alignment horizontal="center" shrinkToFit="0" wrapText="1"/>
    </xf>
    <xf borderId="71" fillId="3" fontId="11" numFmtId="0" xfId="0" applyAlignment="1" applyBorder="1" applyFont="1">
      <alignment horizontal="center" shrinkToFit="0" wrapText="1"/>
    </xf>
    <xf borderId="106" fillId="0" fontId="7" numFmtId="0" xfId="0" applyBorder="1" applyFont="1"/>
    <xf borderId="105" fillId="3" fontId="6" numFmtId="0" xfId="0" applyAlignment="1" applyBorder="1" applyFont="1">
      <alignment horizontal="center" vertical="center"/>
    </xf>
    <xf borderId="2" fillId="2" fontId="22" numFmtId="0" xfId="0" applyAlignment="1" applyBorder="1" applyFont="1">
      <alignment horizontal="left"/>
    </xf>
    <xf borderId="24" fillId="0" fontId="11" numFmtId="0" xfId="0" applyAlignment="1" applyBorder="1" applyFont="1">
      <alignment horizontal="center"/>
    </xf>
    <xf borderId="42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48" fillId="3" fontId="5" numFmtId="0" xfId="0" applyAlignment="1" applyBorder="1" applyFont="1">
      <alignment horizontal="left"/>
    </xf>
    <xf borderId="48" fillId="3" fontId="6" numFmtId="0" xfId="0" applyAlignment="1" applyBorder="1" applyFont="1">
      <alignment horizontal="center"/>
    </xf>
    <xf borderId="10" fillId="0" fontId="6" numFmtId="165" xfId="0" applyAlignment="1" applyBorder="1" applyFont="1" applyNumberFormat="1">
      <alignment horizontal="center" vertical="center"/>
    </xf>
    <xf borderId="13" fillId="0" fontId="6" numFmtId="165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horizontal="left" vertical="center"/>
    </xf>
    <xf borderId="34" fillId="3" fontId="6" numFmtId="165" xfId="0" applyAlignment="1" applyBorder="1" applyFont="1" applyNumberFormat="1">
      <alignment horizontal="center" vertical="center"/>
    </xf>
    <xf borderId="17" fillId="0" fontId="6" numFmtId="165" xfId="0" applyAlignment="1" applyBorder="1" applyFont="1" applyNumberFormat="1">
      <alignment horizontal="center" vertical="center"/>
    </xf>
    <xf borderId="20" fillId="0" fontId="6" numFmtId="165" xfId="0" applyAlignment="1" applyBorder="1" applyFont="1" applyNumberFormat="1">
      <alignment horizontal="center" vertical="center"/>
    </xf>
    <xf borderId="7" fillId="3" fontId="11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10" fillId="3" fontId="6" numFmtId="166" xfId="0" applyAlignment="1" applyBorder="1" applyFont="1" applyNumberFormat="1">
      <alignment horizontal="center" vertical="center"/>
    </xf>
    <xf borderId="13" fillId="3" fontId="6" numFmtId="166" xfId="0" applyAlignment="1" applyBorder="1" applyFont="1" applyNumberFormat="1">
      <alignment horizontal="center" vertical="center"/>
    </xf>
    <xf borderId="20" fillId="3" fontId="6" numFmtId="166" xfId="0" applyAlignment="1" applyBorder="1" applyFont="1" applyNumberFormat="1">
      <alignment horizontal="center" vertical="center"/>
    </xf>
    <xf borderId="7" fillId="3" fontId="11" numFmtId="166" xfId="0" applyAlignment="1" applyBorder="1" applyFont="1" applyNumberFormat="1">
      <alignment horizontal="center" vertical="center"/>
    </xf>
    <xf borderId="27" fillId="0" fontId="24" numFmtId="0" xfId="0" applyAlignment="1" applyBorder="1" applyFont="1">
      <alignment horizontal="left"/>
    </xf>
    <xf borderId="48" fillId="3" fontId="15" numFmtId="0" xfId="0" applyAlignment="1" applyBorder="1" applyFont="1">
      <alignment shrinkToFit="0" wrapText="1"/>
    </xf>
    <xf borderId="48" fillId="3" fontId="3" numFmtId="0" xfId="0" applyBorder="1" applyFont="1"/>
    <xf borderId="2" fillId="3" fontId="4" numFmtId="0" xfId="0" applyAlignment="1" applyBorder="1" applyFont="1">
      <alignment horizontal="center"/>
    </xf>
    <xf borderId="107" fillId="3" fontId="1" numFmtId="0" xfId="0" applyAlignment="1" applyBorder="1" applyFont="1">
      <alignment horizontal="left"/>
    </xf>
    <xf borderId="108" fillId="0" fontId="7" numFmtId="0" xfId="0" applyBorder="1" applyFont="1"/>
    <xf borderId="109" fillId="0" fontId="7" numFmtId="0" xfId="0" applyBorder="1" applyFont="1"/>
    <xf borderId="1" fillId="0" fontId="1" numFmtId="14" xfId="0" applyAlignment="1" applyBorder="1" applyFont="1" applyNumberFormat="1">
      <alignment horizontal="center"/>
    </xf>
    <xf borderId="48" fillId="3" fontId="1" numFmtId="0" xfId="0" applyAlignment="1" applyBorder="1" applyFont="1">
      <alignment horizontal="center"/>
    </xf>
    <xf borderId="2" fillId="2" fontId="25" numFmtId="0" xfId="0" applyAlignment="1" applyBorder="1" applyFont="1">
      <alignment horizontal="left"/>
    </xf>
    <xf borderId="48" fillId="3" fontId="25" numFmtId="0" xfId="0" applyAlignment="1" applyBorder="1" applyFont="1">
      <alignment horizontal="left"/>
    </xf>
    <xf borderId="48" fillId="3" fontId="25" numFmtId="0" xfId="0" applyBorder="1" applyFont="1"/>
    <xf borderId="2" fillId="3" fontId="9" numFmtId="0" xfId="0" applyAlignment="1" applyBorder="1" applyFont="1">
      <alignment horizontal="left" vertical="center"/>
    </xf>
    <xf borderId="48" fillId="3" fontId="5" numFmtId="0" xfId="0" applyBorder="1" applyFont="1"/>
    <xf borderId="38" fillId="3" fontId="6" numFmtId="0" xfId="0" applyAlignment="1" applyBorder="1" applyFont="1">
      <alignment horizontal="left"/>
    </xf>
    <xf borderId="110" fillId="3" fontId="1" numFmtId="0" xfId="0" applyAlignment="1" applyBorder="1" applyFont="1">
      <alignment horizontal="center" vertical="center"/>
    </xf>
    <xf borderId="103" fillId="3" fontId="6" numFmtId="0" xfId="0" applyAlignment="1" applyBorder="1" applyFont="1">
      <alignment horizontal="left" vertical="center"/>
    </xf>
    <xf borderId="111" fillId="0" fontId="7" numFmtId="0" xfId="0" applyBorder="1" applyFont="1"/>
    <xf borderId="112" fillId="0" fontId="7" numFmtId="0" xfId="0" applyBorder="1" applyFont="1"/>
    <xf borderId="113" fillId="0" fontId="7" numFmtId="0" xfId="0" applyBorder="1" applyFont="1"/>
    <xf borderId="114" fillId="0" fontId="7" numFmtId="0" xfId="0" applyBorder="1" applyFont="1"/>
    <xf borderId="19" fillId="0" fontId="10" numFmtId="0" xfId="0" applyAlignment="1" applyBorder="1" applyFont="1">
      <alignment horizontal="left" shrinkToFit="0" vertical="center" wrapText="1"/>
    </xf>
    <xf borderId="48" fillId="3" fontId="15" numFmtId="0" xfId="0" applyAlignment="1" applyBorder="1" applyFont="1">
      <alignment shrinkToFit="0" vertical="center" wrapText="1"/>
    </xf>
    <xf borderId="48" fillId="3" fontId="6" numFmtId="0" xfId="0" applyAlignment="1" applyBorder="1" applyFont="1">
      <alignment horizontal="left" vertical="center"/>
    </xf>
    <xf borderId="48" fillId="3" fontId="11" numFmtId="0" xfId="0" applyAlignment="1" applyBorder="1" applyFont="1">
      <alignment horizontal="left"/>
    </xf>
    <xf borderId="115" fillId="3" fontId="11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left" vertical="center"/>
    </xf>
    <xf borderId="2" fillId="3" fontId="6" numFmtId="0" xfId="0" applyAlignment="1" applyBorder="1" applyFont="1">
      <alignment horizontal="left" shrinkToFit="0" vertical="center" wrapText="1"/>
    </xf>
    <xf borderId="35" fillId="3" fontId="1" numFmtId="0" xfId="0" applyBorder="1" applyFont="1"/>
    <xf borderId="116" fillId="3" fontId="6" numFmtId="0" xfId="0" applyAlignment="1" applyBorder="1" applyFont="1">
      <alignment horizontal="left" vertical="center"/>
    </xf>
    <xf borderId="117" fillId="0" fontId="7" numFmtId="0" xfId="0" applyBorder="1" applyFont="1"/>
    <xf borderId="118" fillId="0" fontId="7" numFmtId="0" xfId="0" applyBorder="1" applyFont="1"/>
    <xf borderId="110" fillId="3" fontId="6" numFmtId="0" xfId="0" applyAlignment="1" applyBorder="1" applyFont="1">
      <alignment horizontal="center"/>
    </xf>
    <xf borderId="119" fillId="3" fontId="6" numFmtId="0" xfId="0" applyAlignment="1" applyBorder="1" applyFont="1">
      <alignment horizontal="left"/>
    </xf>
    <xf borderId="48" fillId="3" fontId="6" numFmtId="0" xfId="0" applyAlignment="1" applyBorder="1" applyFont="1">
      <alignment horizontal="left"/>
    </xf>
    <xf borderId="120" fillId="3" fontId="11" numFmtId="0" xfId="0" applyAlignment="1" applyBorder="1" applyFont="1">
      <alignment horizontal="center" shrinkToFit="0" wrapText="1"/>
    </xf>
    <xf borderId="121" fillId="3" fontId="11" numFmtId="0" xfId="0" applyAlignment="1" applyBorder="1" applyFont="1">
      <alignment horizontal="center" shrinkToFit="0" wrapText="1"/>
    </xf>
    <xf borderId="93" fillId="3" fontId="11" numFmtId="0" xfId="0" applyAlignment="1" applyBorder="1" applyFont="1">
      <alignment horizontal="center" shrinkToFit="0" wrapText="1"/>
    </xf>
    <xf borderId="94" fillId="3" fontId="1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vertical="center" wrapText="1"/>
    </xf>
    <xf borderId="45" fillId="3" fontId="6" numFmtId="0" xfId="0" applyAlignment="1" applyBorder="1" applyFont="1">
      <alignment horizontal="center"/>
    </xf>
    <xf borderId="46" fillId="3" fontId="6" numFmtId="0" xfId="0" applyAlignment="1" applyBorder="1" applyFont="1">
      <alignment horizontal="center"/>
    </xf>
    <xf borderId="93" fillId="3" fontId="6" numFmtId="0" xfId="0" applyAlignment="1" applyBorder="1" applyFont="1">
      <alignment horizontal="center"/>
    </xf>
    <xf borderId="122" fillId="3" fontId="6" numFmtId="0" xfId="0" applyAlignment="1" applyBorder="1" applyFont="1">
      <alignment horizontal="center"/>
    </xf>
    <xf borderId="123" fillId="3" fontId="11" numFmtId="0" xfId="0" applyAlignment="1" applyBorder="1" applyFont="1">
      <alignment horizontal="center"/>
    </xf>
    <xf borderId="100" fillId="0" fontId="13" numFmtId="0" xfId="0" applyAlignment="1" applyBorder="1" applyFont="1">
      <alignment horizontal="center" shrinkToFit="0" wrapText="1"/>
    </xf>
    <xf borderId="65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shrinkToFit="0" vertical="center" wrapText="1"/>
    </xf>
    <xf borderId="2" fillId="2" fontId="25" numFmtId="0" xfId="0" applyAlignment="1" applyBorder="1" applyFont="1">
      <alignment horizontal="left" shrinkToFit="0" wrapText="1"/>
    </xf>
    <xf borderId="2" fillId="3" fontId="5" numFmtId="0" xfId="0" applyAlignment="1" applyBorder="1" applyFont="1">
      <alignment horizontal="left" vertical="top"/>
    </xf>
    <xf borderId="26" fillId="3" fontId="5" numFmtId="0" xfId="0" applyAlignment="1" applyBorder="1" applyFont="1">
      <alignment horizontal="center" shrinkToFit="0" vertical="center" wrapText="1"/>
    </xf>
    <xf borderId="48" fillId="3" fontId="11" numFmtId="0" xfId="0" applyAlignment="1" applyBorder="1" applyFont="1">
      <alignment vertical="center"/>
    </xf>
    <xf borderId="124" fillId="0" fontId="7" numFmtId="0" xfId="0" applyBorder="1" applyFont="1"/>
    <xf borderId="125" fillId="0" fontId="7" numFmtId="0" xfId="0" applyBorder="1" applyFont="1"/>
    <xf borderId="92" fillId="3" fontId="13" numFmtId="0" xfId="0" applyAlignment="1" applyBorder="1" applyFont="1">
      <alignment horizontal="center" shrinkToFit="0" wrapText="1"/>
    </xf>
    <xf borderId="93" fillId="3" fontId="13" numFmtId="0" xfId="0" applyAlignment="1" applyBorder="1" applyFont="1">
      <alignment horizontal="center" shrinkToFit="0" wrapText="1"/>
    </xf>
    <xf borderId="121" fillId="3" fontId="13" numFmtId="0" xfId="0" applyAlignment="1" applyBorder="1" applyFont="1">
      <alignment horizontal="center" shrinkToFit="0" wrapText="1"/>
    </xf>
    <xf borderId="126" fillId="3" fontId="13" numFmtId="0" xfId="0" applyAlignment="1" applyBorder="1" applyFont="1">
      <alignment horizontal="center" shrinkToFit="0" wrapText="1"/>
    </xf>
    <xf borderId="127" fillId="3" fontId="12" numFmtId="0" xfId="0" applyAlignment="1" applyBorder="1" applyFont="1">
      <alignment horizontal="center" shrinkToFit="0" wrapText="1"/>
    </xf>
    <xf borderId="128" fillId="3" fontId="6" numFmtId="0" xfId="0" applyAlignment="1" applyBorder="1" applyFont="1">
      <alignment horizontal="center"/>
    </xf>
    <xf borderId="129" fillId="3" fontId="6" numFmtId="0" xfId="0" applyAlignment="1" applyBorder="1" applyFont="1">
      <alignment horizontal="center"/>
    </xf>
    <xf borderId="130" fillId="3" fontId="6" numFmtId="0" xfId="0" applyAlignment="1" applyBorder="1" applyFont="1">
      <alignment horizontal="center"/>
    </xf>
    <xf borderId="131" fillId="3" fontId="11" numFmtId="0" xfId="0" applyAlignment="1" applyBorder="1" applyFont="1">
      <alignment horizontal="center"/>
    </xf>
    <xf borderId="77" fillId="3" fontId="6" numFmtId="0" xfId="0" applyAlignment="1" applyBorder="1" applyFont="1">
      <alignment horizontal="center"/>
    </xf>
    <xf borderId="98" fillId="3" fontId="6" numFmtId="0" xfId="0" applyAlignment="1" applyBorder="1" applyFont="1">
      <alignment horizontal="center"/>
    </xf>
    <xf borderId="132" fillId="3" fontId="6" numFmtId="0" xfId="0" applyAlignment="1" applyBorder="1" applyFont="1">
      <alignment horizontal="center"/>
    </xf>
    <xf borderId="133" fillId="3" fontId="6" numFmtId="0" xfId="0" applyAlignment="1" applyBorder="1" applyFont="1">
      <alignment horizontal="center"/>
    </xf>
    <xf borderId="134" fillId="3" fontId="11" numFmtId="0" xfId="0" applyAlignment="1" applyBorder="1" applyFont="1">
      <alignment horizontal="center"/>
    </xf>
    <xf borderId="135" fillId="3" fontId="6" numFmtId="0" xfId="0" applyAlignment="1" applyBorder="1" applyFont="1">
      <alignment horizontal="center"/>
    </xf>
    <xf borderId="121" fillId="3" fontId="6" numFmtId="0" xfId="0" applyAlignment="1" applyBorder="1" applyFont="1">
      <alignment horizontal="center"/>
    </xf>
    <xf borderId="62" fillId="3" fontId="6" numFmtId="0" xfId="0" applyAlignment="1" applyBorder="1" applyFont="1">
      <alignment horizontal="center"/>
    </xf>
    <xf borderId="126" fillId="3" fontId="6" numFmtId="0" xfId="0" applyAlignment="1" applyBorder="1" applyFont="1">
      <alignment horizontal="center"/>
    </xf>
    <xf borderId="20" fillId="3" fontId="6" numFmtId="0" xfId="0" applyAlignment="1" applyBorder="1" applyFont="1">
      <alignment horizontal="left" shrinkToFit="0" wrapText="1"/>
    </xf>
    <xf borderId="100" fillId="3" fontId="6" numFmtId="0" xfId="0" applyAlignment="1" applyBorder="1" applyFont="1">
      <alignment horizontal="center"/>
    </xf>
    <xf borderId="51" fillId="3" fontId="6" numFmtId="0" xfId="0" applyAlignment="1" applyBorder="1" applyFont="1">
      <alignment horizontal="center"/>
    </xf>
    <xf borderId="29" fillId="0" fontId="11" numFmtId="0" xfId="0" applyAlignment="1" applyBorder="1" applyFont="1">
      <alignment horizontal="center"/>
    </xf>
    <xf borderId="103" fillId="3" fontId="11" numFmtId="0" xfId="0" applyAlignment="1" applyBorder="1" applyFont="1">
      <alignment horizontal="left" vertical="center"/>
    </xf>
    <xf borderId="45" fillId="3" fontId="11" numFmtId="0" xfId="0" applyAlignment="1" applyBorder="1" applyFont="1">
      <alignment horizontal="center"/>
    </xf>
    <xf borderId="46" fillId="3" fontId="11" numFmtId="0" xfId="0" applyAlignment="1" applyBorder="1" applyFont="1">
      <alignment horizontal="center"/>
    </xf>
    <xf borderId="53" fillId="3" fontId="11" numFmtId="0" xfId="0" applyAlignment="1" applyBorder="1" applyFont="1">
      <alignment horizontal="center"/>
    </xf>
    <xf borderId="136" fillId="3" fontId="11" numFmtId="0" xfId="0" applyAlignment="1" applyBorder="1" applyFont="1">
      <alignment horizontal="center"/>
    </xf>
    <xf borderId="48" fillId="3" fontId="14" numFmtId="0" xfId="0" applyBorder="1" applyFont="1"/>
    <xf quotePrefix="1" borderId="10" fillId="3" fontId="6" numFmtId="0" xfId="0" applyAlignment="1" applyBorder="1" applyFont="1">
      <alignment horizontal="left" vertical="center"/>
    </xf>
    <xf quotePrefix="1" borderId="137" fillId="3" fontId="6" numFmtId="0" xfId="0" applyAlignment="1" applyBorder="1" applyFont="1">
      <alignment horizontal="left" vertical="center"/>
    </xf>
    <xf borderId="138" fillId="0" fontId="7" numFmtId="0" xfId="0" applyBorder="1" applyFont="1"/>
    <xf borderId="139" fillId="3" fontId="6" numFmtId="0" xfId="0" applyAlignment="1" applyBorder="1" applyFont="1">
      <alignment horizontal="center" vertical="center"/>
    </xf>
    <xf borderId="140" fillId="0" fontId="7" numFmtId="0" xfId="0" applyBorder="1" applyFont="1"/>
    <xf quotePrefix="1" borderId="13" fillId="3" fontId="6" numFmtId="0" xfId="0" applyAlignment="1" applyBorder="1" applyFont="1">
      <alignment horizontal="left" vertical="center"/>
    </xf>
    <xf borderId="48" fillId="3" fontId="18" numFmtId="0" xfId="0" applyBorder="1" applyFont="1"/>
    <xf borderId="71" fillId="3" fontId="1" numFmtId="0" xfId="0" applyAlignment="1" applyBorder="1" applyFont="1">
      <alignment horizontal="center"/>
    </xf>
    <xf borderId="10" fillId="3" fontId="6" numFmtId="0" xfId="0" applyBorder="1" applyFont="1"/>
    <xf borderId="69" fillId="0" fontId="6" numFmtId="0" xfId="0" applyAlignment="1" applyBorder="1" applyFont="1">
      <alignment horizontal="center"/>
    </xf>
    <xf borderId="141" fillId="0" fontId="6" numFmtId="0" xfId="0" applyAlignment="1" applyBorder="1" applyFont="1">
      <alignment horizontal="center" vertical="center"/>
    </xf>
    <xf borderId="142" fillId="0" fontId="7" numFmtId="0" xfId="0" applyBorder="1" applyFont="1"/>
    <xf borderId="48" fillId="3" fontId="6" numFmtId="0" xfId="0" applyAlignment="1" applyBorder="1" applyFont="1">
      <alignment vertical="center"/>
    </xf>
    <xf quotePrefix="1" borderId="20" fillId="3" fontId="6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left" shrinkToFit="0" vertical="center" wrapText="1"/>
    </xf>
    <xf borderId="48" fillId="3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48" fillId="3" fontId="1" numFmtId="0" xfId="0" applyAlignment="1" applyBorder="1" applyFont="1">
      <alignment horizontal="left"/>
    </xf>
    <xf borderId="2" fillId="3" fontId="11" numFmtId="0" xfId="0" applyAlignment="1" applyBorder="1" applyFont="1">
      <alignment horizontal="center"/>
    </xf>
    <xf borderId="103" fillId="3" fontId="6" numFmtId="0" xfId="0" applyAlignment="1" applyBorder="1" applyFont="1">
      <alignment horizontal="center"/>
    </xf>
    <xf borderId="52" fillId="3" fontId="6" numFmtId="0" xfId="0" applyAlignment="1" applyBorder="1" applyFont="1">
      <alignment horizontal="center"/>
    </xf>
    <xf borderId="105" fillId="3" fontId="6" numFmtId="0" xfId="0" applyAlignment="1" applyBorder="1" applyFont="1">
      <alignment horizontal="center"/>
    </xf>
    <xf borderId="10" fillId="0" fontId="12" numFmtId="0" xfId="0" applyAlignment="1" applyBorder="1" applyFont="1">
      <alignment horizontal="center" shrinkToFit="0" vertical="center" wrapText="1"/>
    </xf>
    <xf borderId="49" fillId="0" fontId="26" numFmtId="0" xfId="0" applyAlignment="1" applyBorder="1" applyFont="1">
      <alignment horizontal="center" shrinkToFit="0" wrapText="1"/>
    </xf>
    <xf borderId="51" fillId="0" fontId="26" numFmtId="0" xfId="0" applyAlignment="1" applyBorder="1" applyFont="1">
      <alignment horizontal="center" shrinkToFit="0" wrapText="1"/>
    </xf>
    <xf borderId="48" fillId="3" fontId="27" numFmtId="0" xfId="0" applyAlignment="1" applyBorder="1" applyFont="1">
      <alignment shrinkToFit="0" wrapText="1"/>
    </xf>
    <xf borderId="54" fillId="0" fontId="6" numFmtId="0" xfId="0" applyAlignment="1" applyBorder="1" applyFont="1">
      <alignment horizontal="left" vertical="center"/>
    </xf>
    <xf borderId="143" fillId="0" fontId="6" numFmtId="0" xfId="0" applyAlignment="1" applyBorder="1" applyFont="1">
      <alignment horizontal="center" vertical="center"/>
    </xf>
    <xf borderId="144" fillId="0" fontId="6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left" vertical="center"/>
    </xf>
    <xf borderId="48" fillId="3" fontId="11" numFmtId="0" xfId="0" applyAlignment="1" applyBorder="1" applyFont="1">
      <alignment horizontal="left" vertical="center"/>
    </xf>
    <xf borderId="0" fillId="0" fontId="15" numFmtId="0" xfId="0" applyAlignment="1" applyFont="1">
      <alignment shrinkToFit="0" wrapText="1"/>
    </xf>
    <xf borderId="7" fillId="3" fontId="6" numFmtId="0" xfId="0" applyAlignment="1" applyBorder="1" applyFont="1">
      <alignment horizontal="center"/>
    </xf>
    <xf borderId="26" fillId="0" fontId="11" numFmtId="0" xfId="0" applyAlignment="1" applyBorder="1" applyFont="1">
      <alignment horizontal="left"/>
    </xf>
    <xf borderId="72" fillId="0" fontId="13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wrapText="1"/>
    </xf>
    <xf borderId="69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70" fillId="0" fontId="6" numFmtId="0" xfId="0" applyAlignment="1" applyBorder="1" applyFont="1">
      <alignment horizontal="center" shrinkToFit="0" wrapText="1"/>
    </xf>
    <xf borderId="20" fillId="0" fontId="6" numFmtId="0" xfId="0" applyAlignment="1" applyBorder="1" applyFont="1">
      <alignment horizontal="center" shrinkToFit="0" wrapText="1"/>
    </xf>
    <xf borderId="71" fillId="0" fontId="6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28" numFmtId="0" xfId="0" applyAlignment="1" applyFont="1">
      <alignment horizontal="left" vertical="top"/>
    </xf>
    <xf borderId="48" fillId="3" fontId="17" numFmtId="0" xfId="0" applyBorder="1" applyFont="1"/>
    <xf borderId="2" fillId="3" fontId="6" numFmtId="0" xfId="0" applyAlignment="1" applyBorder="1" applyFont="1">
      <alignment horizontal="left" shrinkToFit="0" vertical="top" wrapText="1"/>
    </xf>
    <xf borderId="137" fillId="3" fontId="6" numFmtId="0" xfId="0" applyAlignment="1" applyBorder="1" applyFont="1">
      <alignment horizontal="left" shrinkToFit="0" vertical="center" wrapText="1"/>
    </xf>
    <xf borderId="137" fillId="3" fontId="6" numFmtId="0" xfId="0" applyAlignment="1" applyBorder="1" applyFont="1">
      <alignment horizontal="center" vertical="center"/>
    </xf>
    <xf borderId="137" fillId="3" fontId="11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left" shrinkToFit="0" vertical="center" wrapText="1"/>
    </xf>
    <xf borderId="103" fillId="3" fontId="11" numFmtId="0" xfId="0" applyAlignment="1" applyBorder="1" applyFont="1">
      <alignment horizontal="center" vertical="center"/>
    </xf>
    <xf borderId="105" fillId="3" fontId="11" numFmtId="0" xfId="0" applyAlignment="1" applyBorder="1" applyFont="1">
      <alignment horizontal="center" vertical="center"/>
    </xf>
    <xf borderId="26" fillId="3" fontId="11" numFmtId="0" xfId="0" applyAlignment="1" applyBorder="1" applyFont="1">
      <alignment shrinkToFit="0" vertical="center" wrapText="1"/>
    </xf>
    <xf borderId="145" fillId="3" fontId="6" numFmtId="0" xfId="0" applyAlignment="1" applyBorder="1" applyFont="1">
      <alignment horizontal="center" vertical="center"/>
    </xf>
    <xf borderId="48" fillId="3" fontId="23" numFmtId="0" xfId="0" applyAlignment="1" applyBorder="1" applyFont="1">
      <alignment horizontal="center" vertical="center"/>
    </xf>
    <xf borderId="17" fillId="3" fontId="11" numFmtId="0" xfId="0" applyAlignment="1" applyBorder="1" applyFont="1">
      <alignment shrinkToFit="0" vertical="center" wrapText="1"/>
    </xf>
    <xf borderId="110" fillId="3" fontId="6" numFmtId="0" xfId="0" applyAlignment="1" applyBorder="1" applyFont="1">
      <alignment horizontal="center" vertical="center"/>
    </xf>
    <xf borderId="48" fillId="3" fontId="1" numFmtId="0" xfId="0" applyAlignment="1" applyBorder="1" applyFont="1">
      <alignment horizontal="right"/>
    </xf>
    <xf borderId="48" fillId="3" fontId="11" numFmtId="0" xfId="0" applyAlignment="1" applyBorder="1" applyFont="1">
      <alignment shrinkToFit="0" vertical="center" wrapText="1"/>
    </xf>
    <xf borderId="26" fillId="3" fontId="11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wrapText="1"/>
    </xf>
    <xf borderId="48" fillId="3" fontId="15" numFmtId="0" xfId="0" applyAlignment="1" applyBorder="1" applyFont="1">
      <alignment horizontal="center" shrinkToFit="0" wrapText="1"/>
    </xf>
    <xf borderId="107" fillId="3" fontId="6" numFmtId="0" xfId="0" applyAlignment="1" applyBorder="1" applyFont="1">
      <alignment horizontal="center" vertical="center"/>
    </xf>
    <xf borderId="48" fillId="3" fontId="18" numFmtId="0" xfId="0" applyAlignment="1" applyBorder="1" applyFont="1">
      <alignment horizontal="left" vertical="center"/>
    </xf>
    <xf borderId="48" fillId="3" fontId="19" numFmtId="0" xfId="0" applyAlignment="1" applyBorder="1" applyFont="1">
      <alignment horizontal="left"/>
    </xf>
    <xf borderId="146" fillId="3" fontId="11" numFmtId="0" xfId="0" applyAlignment="1" applyBorder="1" applyFont="1">
      <alignment horizontal="left" vertical="center"/>
    </xf>
    <xf borderId="122" fillId="3" fontId="11" numFmtId="0" xfId="0" applyAlignment="1" applyBorder="1" applyFont="1">
      <alignment horizontal="left" vertical="center"/>
    </xf>
    <xf borderId="147" fillId="3" fontId="11" numFmtId="0" xfId="0" applyAlignment="1" applyBorder="1" applyFont="1">
      <alignment horizontal="left" vertical="center"/>
    </xf>
    <xf borderId="148" fillId="3" fontId="6" numFmtId="0" xfId="0" applyAlignment="1" applyBorder="1" applyFont="1">
      <alignment horizontal="left"/>
    </xf>
    <xf borderId="58" fillId="3" fontId="6" numFmtId="0" xfId="0" applyAlignment="1" applyBorder="1" applyFont="1">
      <alignment horizontal="left"/>
    </xf>
    <xf borderId="131" fillId="3" fontId="6" numFmtId="0" xfId="0" applyAlignment="1" applyBorder="1" applyFont="1">
      <alignment horizontal="left"/>
    </xf>
    <xf borderId="36" fillId="3" fontId="6" numFmtId="0" xfId="0" applyAlignment="1" applyBorder="1" applyFont="1">
      <alignment horizontal="center"/>
    </xf>
    <xf borderId="149" fillId="3" fontId="6" numFmtId="0" xfId="0" applyAlignment="1" applyBorder="1" applyFont="1">
      <alignment horizontal="left"/>
    </xf>
    <xf borderId="150" fillId="3" fontId="6" numFmtId="0" xfId="0" applyAlignment="1" applyBorder="1" applyFont="1">
      <alignment horizontal="left"/>
    </xf>
    <xf borderId="151" fillId="3" fontId="6" numFmtId="0" xfId="0" applyAlignment="1" applyBorder="1" applyFont="1">
      <alignment horizontal="left"/>
    </xf>
    <xf borderId="78" fillId="3" fontId="6" numFmtId="0" xfId="0" applyAlignment="1" applyBorder="1" applyFont="1">
      <alignment horizontal="center"/>
    </xf>
    <xf borderId="146" fillId="3" fontId="11" numFmtId="0" xfId="0" applyAlignment="1" applyBorder="1" applyFont="1">
      <alignment horizontal="left"/>
    </xf>
    <xf borderId="122" fillId="3" fontId="11" numFmtId="0" xfId="0" applyAlignment="1" applyBorder="1" applyFont="1">
      <alignment horizontal="left"/>
    </xf>
    <xf borderId="147" fillId="3" fontId="11" numFmtId="0" xfId="0" applyAlignment="1" applyBorder="1" applyFont="1">
      <alignment horizontal="left"/>
    </xf>
    <xf borderId="115" fillId="3" fontId="11" numFmtId="0" xfId="0" applyAlignment="1" applyBorder="1" applyFont="1">
      <alignment horizontal="center"/>
    </xf>
    <xf borderId="48" fillId="3" fontId="11" numFmtId="0" xfId="0" applyAlignment="1" applyBorder="1" applyFont="1">
      <alignment horizontal="center" shrinkToFit="0" wrapText="1"/>
    </xf>
    <xf borderId="10" fillId="3" fontId="5" numFmtId="0" xfId="0" applyAlignment="1" applyBorder="1" applyFont="1">
      <alignment horizontal="center"/>
    </xf>
    <xf borderId="69" fillId="3" fontId="5" numFmtId="0" xfId="0" applyAlignment="1" applyBorder="1" applyFont="1">
      <alignment horizontal="center"/>
    </xf>
    <xf borderId="145" fillId="3" fontId="11" numFmtId="0" xfId="0" applyAlignment="1" applyBorder="1" applyFont="1">
      <alignment horizontal="center" shrinkToFit="0" wrapText="1"/>
    </xf>
    <xf borderId="17" fillId="3" fontId="11" numFmtId="0" xfId="0" applyAlignment="1" applyBorder="1" applyFont="1">
      <alignment horizontal="center" shrinkToFit="0" wrapText="1"/>
    </xf>
    <xf borderId="152" fillId="3" fontId="11" numFmtId="0" xfId="0" applyAlignment="1" applyBorder="1" applyFont="1">
      <alignment horizontal="center" shrinkToFit="0" wrapText="1"/>
    </xf>
    <xf borderId="153" fillId="3" fontId="11" numFmtId="0" xfId="0" applyAlignment="1" applyBorder="1" applyFont="1">
      <alignment horizontal="center"/>
    </xf>
    <xf borderId="152" fillId="3" fontId="11" numFmtId="0" xfId="0" applyAlignment="1" applyBorder="1" applyFont="1">
      <alignment horizontal="center"/>
    </xf>
    <xf borderId="154" fillId="0" fontId="7" numFmtId="0" xfId="0" applyBorder="1" applyFont="1"/>
    <xf borderId="26" fillId="3" fontId="11" numFmtId="0" xfId="0" applyAlignment="1" applyBorder="1" applyFont="1">
      <alignment horizontal="center" shrinkToFit="0" wrapText="1"/>
    </xf>
    <xf borderId="155" fillId="0" fontId="7" numFmtId="0" xfId="0" applyBorder="1" applyFont="1"/>
    <xf borderId="156" fillId="0" fontId="7" numFmtId="0" xfId="0" applyBorder="1" applyFont="1"/>
    <xf borderId="157" fillId="0" fontId="7" numFmtId="0" xfId="0" applyBorder="1" applyFont="1"/>
    <xf borderId="158" fillId="0" fontId="7" numFmtId="0" xfId="0" applyBorder="1" applyFont="1"/>
    <xf borderId="159" fillId="0" fontId="7" numFmtId="0" xfId="0" applyBorder="1" applyFont="1"/>
    <xf borderId="43" fillId="0" fontId="7" numFmtId="0" xfId="0" applyBorder="1" applyFont="1"/>
    <xf borderId="103" fillId="3" fontId="6" numFmtId="0" xfId="0" applyAlignment="1" applyBorder="1" applyFont="1">
      <alignment horizontal="center" vertical="center"/>
    </xf>
    <xf borderId="105" fillId="3" fontId="6" numFmtId="0" xfId="0" applyAlignment="1" applyBorder="1" applyFont="1">
      <alignment horizontal="center" shrinkToFit="0" vertical="center" wrapText="1"/>
    </xf>
    <xf borderId="93" fillId="3" fontId="6" numFmtId="0" xfId="0" applyAlignment="1" applyBorder="1" applyFont="1">
      <alignment horizontal="center" vertical="center"/>
    </xf>
    <xf borderId="160" fillId="3" fontId="6" numFmtId="0" xfId="0" applyAlignment="1" applyBorder="1" applyFont="1">
      <alignment horizontal="center" vertical="center"/>
    </xf>
    <xf borderId="48" fillId="3" fontId="9" numFmtId="0" xfId="0" applyAlignment="1" applyBorder="1" applyFont="1">
      <alignment horizontal="left" vertical="center"/>
    </xf>
    <xf borderId="161" fillId="0" fontId="7" numFmtId="0" xfId="0" applyBorder="1" applyFont="1"/>
    <xf borderId="162" fillId="0" fontId="7" numFmtId="0" xfId="0" applyBorder="1" applyFont="1"/>
    <xf borderId="137" fillId="3" fontId="6" numFmtId="0" xfId="0" applyAlignment="1" applyBorder="1" applyFont="1">
      <alignment horizontal="left" vertical="center"/>
    </xf>
    <xf borderId="163" fillId="3" fontId="6" numFmtId="0" xfId="0" applyAlignment="1" applyBorder="1" applyFont="1">
      <alignment horizontal="center" vertical="center"/>
    </xf>
    <xf borderId="164" fillId="3" fontId="6" numFmtId="0" xfId="0" applyAlignment="1" applyBorder="1" applyFont="1">
      <alignment horizontal="center" vertical="center"/>
    </xf>
    <xf borderId="165" fillId="0" fontId="7" numFmtId="0" xfId="0" applyBorder="1" applyFont="1"/>
    <xf borderId="132" fillId="3" fontId="6" numFmtId="0" xfId="0" applyAlignment="1" applyBorder="1" applyFont="1">
      <alignment horizontal="center" vertical="center"/>
    </xf>
    <xf borderId="38" fillId="2" fontId="6" numFmtId="0" xfId="0" applyAlignment="1" applyBorder="1" applyFont="1">
      <alignment horizontal="center" vertical="center"/>
    </xf>
    <xf borderId="164" fillId="2" fontId="6" numFmtId="0" xfId="0" applyAlignment="1" applyBorder="1" applyFont="1">
      <alignment horizontal="center" vertical="center"/>
    </xf>
    <xf borderId="132" fillId="2" fontId="6" numFmtId="0" xfId="0" applyAlignment="1" applyBorder="1" applyFont="1">
      <alignment horizontal="center" vertical="center"/>
    </xf>
    <xf borderId="166" fillId="3" fontId="6" numFmtId="0" xfId="0" applyAlignment="1" applyBorder="1" applyFont="1">
      <alignment horizontal="center" vertical="center"/>
    </xf>
    <xf borderId="122" fillId="3" fontId="11" numFmtId="0" xfId="0" applyAlignment="1" applyBorder="1" applyFont="1">
      <alignment horizontal="center" vertical="center"/>
    </xf>
    <xf borderId="48" fillId="3" fontId="9" numFmtId="0" xfId="0" applyAlignment="1" applyBorder="1" applyFont="1">
      <alignment horizontal="left" shrinkToFit="0" vertical="center" wrapText="1"/>
    </xf>
    <xf borderId="2" fillId="3" fontId="9" numFmtId="0" xfId="0" applyAlignment="1" applyBorder="1" applyFont="1">
      <alignment horizontal="left" shrinkToFit="0" vertical="center" wrapText="1"/>
    </xf>
    <xf borderId="54" fillId="0" fontId="6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left" shrinkToFit="0" vertical="center" wrapText="1"/>
    </xf>
    <xf borderId="152" fillId="0" fontId="6" numFmtId="0" xfId="0" applyAlignment="1" applyBorder="1" applyFont="1">
      <alignment horizontal="center" vertical="center"/>
    </xf>
    <xf borderId="71" fillId="0" fontId="6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/>
    </xf>
    <xf borderId="48" fillId="3" fontId="11" numFmtId="0" xfId="0" applyAlignment="1" applyBorder="1" applyFont="1">
      <alignment shrinkToFit="0" wrapText="1"/>
    </xf>
    <xf borderId="2" fillId="3" fontId="9" numFmtId="0" xfId="0" applyAlignment="1" applyBorder="1" applyFont="1">
      <alignment horizontal="left" shrinkToFit="0" vertical="top" wrapText="1"/>
    </xf>
    <xf borderId="26" fillId="3" fontId="11" numFmtId="0" xfId="0" applyAlignment="1" applyBorder="1" applyFont="1">
      <alignment horizontal="center"/>
    </xf>
    <xf borderId="10" fillId="3" fontId="1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48" fillId="3" fontId="9" numFmtId="0" xfId="0" applyAlignment="1" applyBorder="1" applyFont="1">
      <alignment vertical="center"/>
    </xf>
    <xf borderId="167" fillId="3" fontId="11" numFmtId="0" xfId="0" applyAlignment="1" applyBorder="1" applyFont="1">
      <alignment horizontal="center" vertical="center"/>
    </xf>
    <xf borderId="123" fillId="3" fontId="11" numFmtId="0" xfId="0" applyAlignment="1" applyBorder="1" applyFont="1">
      <alignment horizontal="center" vertical="center"/>
    </xf>
    <xf borderId="26" fillId="0" fontId="11" numFmtId="0" xfId="0" applyAlignment="1" applyBorder="1" applyFont="1">
      <alignment horizontal="center" shrinkToFit="0" vertical="center" wrapText="1"/>
    </xf>
    <xf borderId="49" fillId="0" fontId="26" numFmtId="0" xfId="0" applyAlignment="1" applyBorder="1" applyFont="1">
      <alignment horizontal="center" shrinkToFit="0" vertical="center" wrapText="1"/>
    </xf>
    <xf borderId="51" fillId="0" fontId="26" numFmtId="0" xfId="0" applyAlignment="1" applyBorder="1" applyFont="1">
      <alignment horizontal="center" shrinkToFit="0" vertical="center" wrapText="1"/>
    </xf>
    <xf borderId="168" fillId="0" fontId="6" numFmtId="0" xfId="0" applyAlignment="1" applyBorder="1" applyFont="1">
      <alignment horizontal="left" shrinkToFit="0" wrapText="1"/>
    </xf>
    <xf borderId="169" fillId="0" fontId="7" numFmtId="0" xfId="0" applyBorder="1" applyFont="1"/>
    <xf borderId="170" fillId="0" fontId="6" numFmtId="0" xfId="0" applyAlignment="1" applyBorder="1" applyFont="1">
      <alignment horizontal="center"/>
    </xf>
    <xf borderId="171" fillId="0" fontId="6" numFmtId="0" xfId="0" applyAlignment="1" applyBorder="1" applyFont="1">
      <alignment horizontal="center"/>
    </xf>
    <xf borderId="172" fillId="0" fontId="6" numFmtId="0" xfId="0" applyAlignment="1" applyBorder="1" applyFont="1">
      <alignment horizontal="center"/>
    </xf>
    <xf borderId="7" fillId="3" fontId="11" numFmtId="0" xfId="0" applyAlignment="1" applyBorder="1" applyFont="1">
      <alignment horizontal="center" shrinkToFit="0" vertical="center" wrapText="1"/>
    </xf>
    <xf borderId="2" fillId="2" fontId="25" numFmtId="0" xfId="0" applyAlignment="1" applyBorder="1" applyFont="1">
      <alignment horizontal="left" vertical="top"/>
    </xf>
    <xf borderId="48" fillId="3" fontId="25" numFmtId="0" xfId="0" applyAlignment="1" applyBorder="1" applyFont="1">
      <alignment horizontal="left" vertical="top"/>
    </xf>
    <xf borderId="0" fillId="0" fontId="29" numFmtId="0" xfId="0" applyAlignment="1" applyFont="1">
      <alignment horizontal="left" vertical="top"/>
    </xf>
    <xf borderId="16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48" fillId="3" fontId="2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10" fillId="0" fontId="6" numFmtId="0" xfId="0" applyAlignment="1" applyBorder="1" applyFont="1">
      <alignment horizontal="left"/>
    </xf>
    <xf borderId="10" fillId="0" fontId="6" numFmtId="0" xfId="0" applyAlignment="1" applyBorder="1" applyFont="1">
      <alignment horizontal="center"/>
    </xf>
    <xf borderId="48" fillId="3" fontId="30" numFmtId="0" xfId="0" applyAlignment="1" applyBorder="1" applyFont="1">
      <alignment vertical="center"/>
    </xf>
    <xf borderId="13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horizontal="center" vertical="center"/>
    </xf>
    <xf borderId="48" fillId="3" fontId="10" numFmtId="0" xfId="0" applyAlignment="1" applyBorder="1" applyFont="1">
      <alignment horizontal="left" shrinkToFit="0" vertical="center" wrapText="1"/>
    </xf>
    <xf borderId="48" fillId="3" fontId="10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123" fillId="0" fontId="1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65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/>
    </xf>
    <xf borderId="52" fillId="0" fontId="5" numFmtId="0" xfId="0" applyAlignment="1" applyBorder="1" applyFont="1">
      <alignment horizontal="center"/>
    </xf>
    <xf borderId="10" fillId="0" fontId="6" numFmtId="0" xfId="0" applyAlignment="1" applyBorder="1" applyFont="1">
      <alignment horizontal="left" vertical="top"/>
    </xf>
    <xf borderId="67" fillId="0" fontId="1" numFmtId="0" xfId="0" applyAlignment="1" applyBorder="1" applyFont="1">
      <alignment horizontal="center"/>
    </xf>
    <xf borderId="173" fillId="0" fontId="1" numFmtId="0" xfId="0" applyAlignment="1" applyBorder="1" applyFont="1">
      <alignment horizontal="center"/>
    </xf>
    <xf borderId="69" fillId="0" fontId="1" numFmtId="0" xfId="0" applyAlignment="1" applyBorder="1" applyFont="1">
      <alignment horizontal="center"/>
    </xf>
    <xf borderId="24" fillId="0" fontId="6" numFmtId="0" xfId="0" applyAlignment="1" applyBorder="1" applyFont="1">
      <alignment horizontal="left" vertical="top"/>
    </xf>
    <xf borderId="41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48" fillId="3" fontId="31" numFmtId="0" xfId="0" applyAlignment="1" applyBorder="1" applyFont="1">
      <alignment horizontal="left"/>
    </xf>
    <xf borderId="41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4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32" numFmtId="0" xfId="0" applyAlignment="1" applyFont="1">
      <alignment horizontal="center"/>
    </xf>
    <xf borderId="7" fillId="0" fontId="1" numFmtId="0" xfId="0" applyAlignment="1" applyBorder="1" applyFont="1">
      <alignment horizontal="center" vertical="center"/>
    </xf>
    <xf borderId="48" fillId="3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0" fillId="0" fontId="11" numFmtId="0" xfId="0" applyAlignment="1" applyFont="1">
      <alignment vertical="top"/>
    </xf>
    <xf borderId="0" fillId="0" fontId="23" numFmtId="0" xfId="0" applyFont="1"/>
    <xf borderId="0" fillId="0" fontId="1" numFmtId="0" xfId="0" applyAlignment="1" applyFont="1">
      <alignment horizontal="center" vertical="top"/>
    </xf>
    <xf borderId="7" fillId="0" fontId="6" numFmtId="0" xfId="0" applyAlignment="1" applyBorder="1" applyFont="1">
      <alignment horizontal="left" vertical="center"/>
    </xf>
    <xf borderId="48" fillId="3" fontId="6" numFmtId="0" xfId="0" applyAlignment="1" applyBorder="1" applyFont="1">
      <alignment horizontal="left" vertical="top"/>
    </xf>
    <xf borderId="48" fillId="3" fontId="23" numFmtId="0" xfId="0" applyAlignment="1" applyBorder="1" applyFont="1">
      <alignment horizontal="left"/>
    </xf>
    <xf borderId="48" fillId="3" fontId="1" numFmtId="0" xfId="0" applyAlignment="1" applyBorder="1" applyFont="1">
      <alignment horizontal="center" vertical="top"/>
    </xf>
    <xf borderId="0" fillId="0" fontId="23" numFmtId="0" xfId="0" applyAlignment="1" applyFont="1">
      <alignment horizontal="left"/>
    </xf>
    <xf borderId="48" fillId="3" fontId="5" numFmtId="0" xfId="0" applyAlignment="1" applyBorder="1" applyFont="1">
      <alignment vertical="top"/>
    </xf>
    <xf borderId="0" fillId="0" fontId="15" numFmtId="0" xfId="0" applyAlignment="1" applyFont="1">
      <alignment shrinkToFit="0" vertical="center" wrapText="1"/>
    </xf>
    <xf borderId="36" fillId="3" fontId="6" numFmtId="165" xfId="0" applyAlignment="1" applyBorder="1" applyFont="1" applyNumberFormat="1">
      <alignment horizontal="center" vertical="center"/>
    </xf>
    <xf borderId="10" fillId="3" fontId="6" numFmtId="165" xfId="0" applyAlignment="1" applyBorder="1" applyFont="1" applyNumberFormat="1">
      <alignment horizontal="center" vertical="center"/>
    </xf>
    <xf borderId="110" fillId="3" fontId="6" numFmtId="165" xfId="0" applyAlignment="1" applyBorder="1" applyFont="1" applyNumberFormat="1">
      <alignment horizontal="center" vertical="center"/>
    </xf>
    <xf borderId="20" fillId="3" fontId="6" numFmtId="165" xfId="0" applyAlignment="1" applyBorder="1" applyFont="1" applyNumberFormat="1">
      <alignment horizontal="center" vertical="center"/>
    </xf>
    <xf borderId="48" fillId="3" fontId="24" numFmtId="0" xfId="0" applyAlignment="1" applyBorder="1" applyFont="1">
      <alignment horizontal="left"/>
    </xf>
    <xf borderId="48" fillId="3" fontId="21" numFmtId="0" xfId="0" applyBorder="1" applyFont="1"/>
    <xf borderId="48" fillId="4" fontId="17" numFmtId="0" xfId="0" applyBorder="1" applyFill="1" applyFont="1"/>
    <xf borderId="48" fillId="4" fontId="17" numFmtId="0" xfId="0" applyAlignment="1" applyBorder="1" applyFont="1">
      <alignment horizontal="right"/>
    </xf>
    <xf borderId="48" fillId="5" fontId="17" numFmtId="0" xfId="0" applyBorder="1" applyFill="1" applyFont="1"/>
    <xf borderId="48" fillId="5" fontId="17" numFmtId="0" xfId="0" applyAlignment="1" applyBorder="1" applyFont="1">
      <alignment horizontal="right"/>
    </xf>
    <xf borderId="48" fillId="4" fontId="33" numFmtId="0" xfId="0" applyBorder="1" applyFont="1"/>
    <xf borderId="48" fillId="4" fontId="33" numFmtId="0" xfId="0" applyAlignment="1" applyBorder="1" applyFont="1">
      <alignment horizontal="right"/>
    </xf>
    <xf borderId="48" fillId="5" fontId="34" numFmtId="0" xfId="0" applyBorder="1" applyFont="1"/>
    <xf borderId="48" fillId="4" fontId="17" numFmtId="164" xfId="0" applyBorder="1" applyFont="1" applyNumberFormat="1"/>
    <xf borderId="48" fillId="5" fontId="17" numFmtId="164" xfId="0" applyBorder="1" applyFont="1" applyNumberFormat="1"/>
    <xf borderId="48" fillId="4" fontId="17" numFmtId="165" xfId="0" applyBorder="1" applyFont="1" applyNumberFormat="1"/>
    <xf borderId="48" fillId="5" fontId="17" numFmtId="166" xfId="0" applyBorder="1" applyFont="1" applyNumberFormat="1"/>
    <xf borderId="0" fillId="0" fontId="17" numFmtId="0" xfId="0" applyAlignment="1" applyFont="1">
      <alignment horizontal="right"/>
    </xf>
    <xf borderId="48" fillId="5" fontId="33" numFmtId="0" xfId="0" applyBorder="1" applyFont="1"/>
    <xf borderId="48" fillId="4" fontId="34" numFmtId="0" xfId="0" applyBorder="1" applyFont="1"/>
    <xf borderId="48" fillId="6" fontId="3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447925" cy="257175"/>
    <xdr:pic>
      <xdr:nvPicPr>
        <xdr:cNvPr descr="e gov of cda fip 10pt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276475" cy="219075"/>
    <xdr:pic>
      <xdr:nvPicPr>
        <xdr:cNvPr descr="e gov of cda fip 10pt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8.57"/>
    <col customWidth="1" min="3" max="3" width="9.0"/>
    <col customWidth="1" min="4" max="4" width="9.86"/>
    <col customWidth="1" min="5" max="5" width="9.57"/>
    <col customWidth="1" min="6" max="6" width="10.14"/>
    <col customWidth="1" min="7" max="7" width="9.14"/>
    <col customWidth="1" min="8" max="8" width="10.29"/>
    <col customWidth="1" min="9" max="10" width="9.43"/>
    <col customWidth="1" min="11" max="11" width="9.0"/>
    <col customWidth="1" min="12" max="12" width="10.14"/>
    <col customWidth="1" min="13" max="37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</row>
    <row r="2" ht="14.25" customHeight="1">
      <c r="A2" s="1"/>
      <c r="B2" s="1"/>
      <c r="C2" s="1"/>
      <c r="D2" s="1"/>
      <c r="E2" s="1"/>
      <c r="F2" s="1"/>
      <c r="G2" s="1"/>
      <c r="H2" s="3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/>
      <c r="AD2" s="1"/>
      <c r="AE2" s="1"/>
      <c r="AF2" s="1"/>
      <c r="AG2" s="1"/>
      <c r="AH2" s="1"/>
      <c r="AI2" s="1"/>
      <c r="AJ2" s="1"/>
      <c r="AK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"/>
      <c r="AD3" s="1"/>
      <c r="AE3" s="1"/>
      <c r="AF3" s="1"/>
      <c r="AG3" s="1"/>
      <c r="AH3" s="1"/>
      <c r="AI3" s="1"/>
      <c r="AJ3" s="1"/>
      <c r="AK3" s="1"/>
    </row>
    <row r="4" ht="14.25" customHeight="1">
      <c r="A4" s="4" t="s">
        <v>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</row>
    <row r="6" ht="14.25" customHeight="1">
      <c r="A6" s="5" t="s">
        <v>1</v>
      </c>
      <c r="D6" s="6">
        <v>122.0</v>
      </c>
      <c r="E6" s="7"/>
      <c r="F6" s="7"/>
      <c r="G6" s="7"/>
      <c r="H6" s="7"/>
      <c r="I6" s="7"/>
      <c r="J6" s="8"/>
      <c r="K6" s="2" t="str">
        <f>IF(D6="", "You must enter an Institution name", "")</f>
        <v/>
      </c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1"/>
      <c r="AD7" s="1"/>
      <c r="AE7" s="1"/>
      <c r="AF7" s="1"/>
      <c r="AG7" s="1"/>
      <c r="AH7" s="1"/>
      <c r="AI7" s="1"/>
      <c r="AJ7" s="1"/>
      <c r="AK7" s="1"/>
    </row>
    <row r="8" ht="14.25" customHeight="1">
      <c r="A8" s="5" t="s">
        <v>2</v>
      </c>
      <c r="D8" s="9">
        <v>45748.0</v>
      </c>
      <c r="E8" s="7"/>
      <c r="F8" s="7"/>
      <c r="G8" s="10" t="s">
        <v>3</v>
      </c>
      <c r="H8" s="9">
        <v>46112.0</v>
      </c>
      <c r="I8" s="7"/>
      <c r="J8" s="7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"/>
      <c r="AD8" s="1"/>
      <c r="AE8" s="1"/>
      <c r="AF8" s="1"/>
      <c r="AG8" s="1"/>
      <c r="AH8" s="1"/>
      <c r="AI8" s="1"/>
      <c r="AJ8" s="1"/>
      <c r="AK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</row>
    <row r="10" ht="14.25" customHeight="1">
      <c r="A10" s="11" t="s"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"/>
      <c r="AD10" s="1"/>
      <c r="AE10" s="1"/>
      <c r="AF10" s="1"/>
      <c r="AG10" s="1"/>
      <c r="AH10" s="1"/>
      <c r="AI10" s="1"/>
      <c r="AJ10" s="1"/>
      <c r="AK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"/>
      <c r="AD11" s="1"/>
      <c r="AE11" s="1"/>
      <c r="AF11" s="1"/>
      <c r="AG11" s="1"/>
      <c r="AH11" s="1"/>
      <c r="AI11" s="1"/>
      <c r="AJ11" s="1"/>
      <c r="AK11" s="1"/>
    </row>
    <row r="12" ht="14.25" customHeight="1">
      <c r="A12" s="14" t="s">
        <v>5</v>
      </c>
      <c r="M12" s="1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"/>
      <c r="AD12" s="1"/>
      <c r="AE12" s="1"/>
      <c r="AF12" s="1"/>
      <c r="AG12" s="1"/>
      <c r="AH12" s="1"/>
      <c r="AI12" s="1"/>
      <c r="AJ12" s="1"/>
      <c r="AK12" s="1"/>
    </row>
    <row r="13" ht="14.25" customHeight="1">
      <c r="A13" s="16"/>
      <c r="B13" s="16"/>
      <c r="C13" s="16"/>
      <c r="D13" s="16"/>
      <c r="E13" s="16"/>
      <c r="F13" s="16"/>
      <c r="G13" s="17"/>
      <c r="H13" s="18" t="s">
        <v>6</v>
      </c>
      <c r="I13" s="19"/>
      <c r="J13" s="20"/>
      <c r="K13" s="21"/>
      <c r="L13" s="1"/>
      <c r="M13" s="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8"/>
      <c r="AD13" s="8"/>
      <c r="AE13" s="8"/>
      <c r="AF13" s="8"/>
      <c r="AG13" s="8"/>
      <c r="AH13" s="1"/>
      <c r="AI13" s="1"/>
      <c r="AJ13" s="1"/>
      <c r="AK13" s="1"/>
    </row>
    <row r="14" ht="14.25" customHeight="1">
      <c r="A14" s="22" t="s">
        <v>7</v>
      </c>
      <c r="B14" s="23"/>
      <c r="C14" s="23"/>
      <c r="D14" s="23"/>
      <c r="E14" s="23"/>
      <c r="F14" s="23"/>
      <c r="G14" s="24"/>
      <c r="H14" s="25">
        <v>0.0</v>
      </c>
      <c r="I14" s="23"/>
      <c r="J14" s="24"/>
      <c r="K14" s="8"/>
      <c r="L14" s="1"/>
      <c r="M14" s="15"/>
      <c r="AC14" s="8"/>
      <c r="AD14" s="8"/>
      <c r="AE14" s="8"/>
      <c r="AF14" s="8"/>
      <c r="AG14" s="8"/>
      <c r="AH14" s="1"/>
      <c r="AI14" s="1"/>
      <c r="AJ14" s="1"/>
      <c r="AK14" s="1"/>
    </row>
    <row r="15" ht="14.25" customHeight="1">
      <c r="A15" s="26" t="s">
        <v>8</v>
      </c>
      <c r="B15" s="27"/>
      <c r="C15" s="27"/>
      <c r="D15" s="27"/>
      <c r="E15" s="27"/>
      <c r="F15" s="27"/>
      <c r="G15" s="28"/>
      <c r="H15" s="29">
        <f>SUM(G16:G17)</f>
        <v>1212</v>
      </c>
      <c r="I15" s="27"/>
      <c r="J15" s="28"/>
      <c r="K15" s="8"/>
      <c r="L15" s="1"/>
      <c r="M15" s="15"/>
      <c r="AC15" s="8"/>
      <c r="AD15" s="8"/>
      <c r="AE15" s="8"/>
      <c r="AF15" s="8"/>
      <c r="AG15" s="8"/>
      <c r="AH15" s="1"/>
      <c r="AI15" s="1"/>
      <c r="AJ15" s="1"/>
      <c r="AK15" s="1"/>
    </row>
    <row r="16" ht="14.25" customHeight="1">
      <c r="A16" s="30" t="s">
        <v>9</v>
      </c>
      <c r="B16" s="27"/>
      <c r="C16" s="27"/>
      <c r="D16" s="27"/>
      <c r="E16" s="27"/>
      <c r="F16" s="28"/>
      <c r="G16" s="31">
        <v>1212.0</v>
      </c>
      <c r="H16" s="32"/>
      <c r="I16" s="33"/>
      <c r="J16" s="33"/>
      <c r="K16" s="34"/>
      <c r="L16" s="1"/>
      <c r="M16" s="15"/>
      <c r="AC16" s="8"/>
      <c r="AD16" s="8"/>
      <c r="AE16" s="8"/>
      <c r="AF16" s="8"/>
      <c r="AG16" s="8"/>
      <c r="AH16" s="1"/>
      <c r="AI16" s="1"/>
      <c r="AJ16" s="1"/>
      <c r="AK16" s="1"/>
    </row>
    <row r="17" ht="14.25" customHeight="1">
      <c r="A17" s="35" t="s">
        <v>10</v>
      </c>
      <c r="B17" s="36"/>
      <c r="C17" s="36"/>
      <c r="D17" s="36"/>
      <c r="E17" s="36"/>
      <c r="F17" s="37"/>
      <c r="G17" s="38">
        <v>0.0</v>
      </c>
      <c r="H17" s="39"/>
      <c r="I17" s="40"/>
      <c r="J17" s="40"/>
      <c r="K17" s="34"/>
      <c r="L17" s="1"/>
      <c r="M17" s="15"/>
      <c r="AC17" s="8"/>
      <c r="AD17" s="8"/>
      <c r="AE17" s="8"/>
      <c r="AF17" s="8"/>
      <c r="AG17" s="8"/>
      <c r="AH17" s="1"/>
      <c r="AI17" s="1"/>
      <c r="AJ17" s="1"/>
      <c r="AK17" s="1"/>
    </row>
    <row r="18" ht="14.25" customHeight="1">
      <c r="A18" s="41" t="s">
        <v>11</v>
      </c>
      <c r="B18" s="19"/>
      <c r="C18" s="19"/>
      <c r="D18" s="19"/>
      <c r="E18" s="19"/>
      <c r="F18" s="19"/>
      <c r="G18" s="20"/>
      <c r="H18" s="42">
        <f>SUM(H14:J15)</f>
        <v>1212</v>
      </c>
      <c r="I18" s="19"/>
      <c r="J18" s="43"/>
      <c r="K18" s="44"/>
      <c r="L18" s="1"/>
      <c r="M18" s="15"/>
      <c r="AC18" s="8"/>
      <c r="AD18" s="8"/>
      <c r="AE18" s="8"/>
      <c r="AF18" s="8"/>
      <c r="AG18" s="8"/>
      <c r="AH18" s="1"/>
      <c r="AI18" s="1"/>
      <c r="AJ18" s="1"/>
      <c r="AK18" s="1"/>
    </row>
    <row r="19" ht="14.25" customHeight="1">
      <c r="A19" s="45" t="s">
        <v>12</v>
      </c>
      <c r="B19" s="46"/>
      <c r="C19" s="46"/>
      <c r="D19" s="46"/>
      <c r="E19" s="46"/>
      <c r="F19" s="46"/>
      <c r="G19" s="47"/>
      <c r="H19" s="25">
        <v>0.0</v>
      </c>
      <c r="I19" s="23"/>
      <c r="J19" s="24"/>
      <c r="K19" s="8"/>
      <c r="L19" s="1"/>
      <c r="M19" s="15"/>
      <c r="AC19" s="8"/>
      <c r="AD19" s="8"/>
      <c r="AE19" s="8"/>
      <c r="AF19" s="8"/>
      <c r="AG19" s="8"/>
      <c r="AH19" s="1"/>
      <c r="AI19" s="1"/>
      <c r="AJ19" s="1"/>
      <c r="AK19" s="1"/>
    </row>
    <row r="20" ht="14.25" customHeight="1">
      <c r="A20" s="48" t="s">
        <v>13</v>
      </c>
      <c r="B20" s="36"/>
      <c r="C20" s="36"/>
      <c r="D20" s="36"/>
      <c r="E20" s="36"/>
      <c r="F20" s="36"/>
      <c r="G20" s="49"/>
      <c r="H20" s="29">
        <f>G21+G22</f>
        <v>0</v>
      </c>
      <c r="I20" s="27"/>
      <c r="J20" s="50"/>
      <c r="K20" s="51" t="str">
        <f>IF(H20&lt;&gt;(H18-H19),"Section 1.1 - The ""Carried over to next reporting period"" must equal to the ""Total"" minus ""Closed during reporting period"" of Section 1.1","")</f>
        <v>Section 1.1 - The "Carried over to next reporting period" must equal to the "Total" minus "Closed during reporting period" of Section 1.1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8"/>
      <c r="AF20" s="8"/>
      <c r="AG20" s="8"/>
      <c r="AH20" s="1"/>
      <c r="AI20" s="1"/>
      <c r="AJ20" s="1"/>
      <c r="AK20" s="1"/>
    </row>
    <row r="21" ht="14.25" customHeight="1">
      <c r="A21" s="30" t="s">
        <v>14</v>
      </c>
      <c r="B21" s="27"/>
      <c r="C21" s="27"/>
      <c r="D21" s="27"/>
      <c r="E21" s="27"/>
      <c r="F21" s="28"/>
      <c r="G21" s="52">
        <v>0.0</v>
      </c>
      <c r="H21" s="53"/>
      <c r="I21" s="33"/>
      <c r="J21" s="54"/>
      <c r="K21" s="5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8"/>
      <c r="AD21" s="8"/>
      <c r="AE21" s="8"/>
      <c r="AF21" s="8"/>
      <c r="AG21" s="8"/>
      <c r="AH21" s="1"/>
      <c r="AI21" s="1"/>
      <c r="AJ21" s="1"/>
      <c r="AK21" s="1"/>
    </row>
    <row r="22" ht="14.25" customHeight="1">
      <c r="A22" s="35" t="s">
        <v>15</v>
      </c>
      <c r="B22" s="36"/>
      <c r="C22" s="36"/>
      <c r="D22" s="36"/>
      <c r="E22" s="36"/>
      <c r="F22" s="37"/>
      <c r="G22" s="38">
        <v>0.0</v>
      </c>
      <c r="H22" s="55"/>
      <c r="J22" s="56"/>
      <c r="K22" s="5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8"/>
      <c r="AD22" s="8"/>
      <c r="AE22" s="8"/>
      <c r="AF22" s="8"/>
      <c r="AG22" s="8"/>
      <c r="AH22" s="1"/>
      <c r="AI22" s="1"/>
      <c r="AJ22" s="1"/>
      <c r="AK22" s="1"/>
    </row>
    <row r="23" ht="14.25" customHeight="1">
      <c r="A23" s="57"/>
      <c r="B23" s="57"/>
      <c r="C23" s="57"/>
      <c r="D23" s="57"/>
      <c r="E23" s="57"/>
      <c r="F23" s="57"/>
      <c r="G23" s="58"/>
      <c r="H23" s="59"/>
      <c r="I23" s="59"/>
      <c r="J23" s="59"/>
      <c r="K23" s="1"/>
      <c r="L23" s="1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8"/>
      <c r="AD23" s="8"/>
      <c r="AE23" s="8"/>
      <c r="AF23" s="8"/>
      <c r="AG23" s="8"/>
      <c r="AH23" s="1"/>
      <c r="AI23" s="1"/>
      <c r="AJ23" s="1"/>
      <c r="AK23" s="1"/>
    </row>
    <row r="24" ht="14.25" customHeight="1">
      <c r="A24" s="5" t="s">
        <v>16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8"/>
      <c r="AD24" s="8"/>
      <c r="AE24" s="8"/>
      <c r="AF24" s="8"/>
      <c r="AG24" s="8"/>
      <c r="AH24" s="1"/>
      <c r="AI24" s="1"/>
      <c r="AJ24" s="1"/>
      <c r="AK24" s="1"/>
    </row>
    <row r="25" ht="14.25" customHeight="1">
      <c r="A25" s="57"/>
      <c r="B25" s="57"/>
      <c r="C25" s="57"/>
      <c r="D25" s="57"/>
      <c r="E25" s="57"/>
      <c r="F25" s="57"/>
      <c r="G25" s="10"/>
      <c r="H25" s="10"/>
      <c r="I25" s="10"/>
      <c r="J25" s="10"/>
      <c r="K25" s="1"/>
      <c r="L25" s="1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8"/>
      <c r="AD25" s="8"/>
      <c r="AE25" s="8"/>
      <c r="AF25" s="8"/>
      <c r="AG25" s="8"/>
      <c r="AH25" s="1"/>
      <c r="AI25" s="1"/>
      <c r="AJ25" s="1"/>
      <c r="AK25" s="1"/>
    </row>
    <row r="26" ht="14.25" customHeight="1">
      <c r="A26" s="18" t="s">
        <v>17</v>
      </c>
      <c r="B26" s="19"/>
      <c r="C26" s="19"/>
      <c r="D26" s="19"/>
      <c r="E26" s="19"/>
      <c r="F26" s="20"/>
      <c r="G26" s="18" t="s">
        <v>6</v>
      </c>
      <c r="H26" s="19"/>
      <c r="I26" s="19"/>
      <c r="J26" s="20"/>
      <c r="K26" s="1"/>
      <c r="L26" s="1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8"/>
      <c r="AD26" s="8"/>
      <c r="AE26" s="8"/>
      <c r="AF26" s="8"/>
      <c r="AG26" s="8"/>
      <c r="AH26" s="1"/>
      <c r="AI26" s="1"/>
      <c r="AJ26" s="1"/>
      <c r="AK26" s="1"/>
    </row>
    <row r="27" ht="14.25" customHeight="1">
      <c r="A27" s="45" t="s">
        <v>18</v>
      </c>
      <c r="B27" s="46"/>
      <c r="C27" s="46"/>
      <c r="D27" s="46"/>
      <c r="E27" s="46"/>
      <c r="F27" s="47"/>
      <c r="G27" s="25">
        <v>0.0</v>
      </c>
      <c r="H27" s="23"/>
      <c r="I27" s="23"/>
      <c r="J27" s="24"/>
      <c r="K27" s="1"/>
      <c r="L27" s="1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8"/>
      <c r="AD27" s="8"/>
      <c r="AE27" s="8"/>
      <c r="AF27" s="8"/>
      <c r="AG27" s="8"/>
      <c r="AH27" s="1"/>
      <c r="AI27" s="1"/>
      <c r="AJ27" s="1"/>
      <c r="AK27" s="1"/>
    </row>
    <row r="28" ht="14.25" customHeight="1">
      <c r="A28" s="60" t="s">
        <v>19</v>
      </c>
      <c r="B28" s="27"/>
      <c r="C28" s="27"/>
      <c r="D28" s="27"/>
      <c r="E28" s="27"/>
      <c r="F28" s="28"/>
      <c r="G28" s="61">
        <v>0.0</v>
      </c>
      <c r="H28" s="27"/>
      <c r="I28" s="27"/>
      <c r="J28" s="27"/>
      <c r="K28" s="34"/>
      <c r="L28" s="1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8"/>
      <c r="AD28" s="8"/>
      <c r="AE28" s="8"/>
      <c r="AF28" s="8"/>
      <c r="AG28" s="8"/>
      <c r="AH28" s="1"/>
      <c r="AI28" s="1"/>
      <c r="AJ28" s="1"/>
      <c r="AK28" s="1"/>
    </row>
    <row r="29" ht="14.25" customHeight="1">
      <c r="A29" s="60" t="s">
        <v>20</v>
      </c>
      <c r="B29" s="27"/>
      <c r="C29" s="27"/>
      <c r="D29" s="27"/>
      <c r="E29" s="27"/>
      <c r="F29" s="28"/>
      <c r="G29" s="61">
        <v>0.0</v>
      </c>
      <c r="H29" s="27"/>
      <c r="I29" s="27"/>
      <c r="J29" s="27"/>
      <c r="K29" s="34"/>
      <c r="L29" s="1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8"/>
      <c r="AD29" s="8"/>
      <c r="AE29" s="8"/>
      <c r="AF29" s="8"/>
      <c r="AG29" s="8"/>
      <c r="AH29" s="1"/>
      <c r="AI29" s="1"/>
      <c r="AJ29" s="1"/>
      <c r="AK29" s="1"/>
    </row>
    <row r="30" ht="14.25" customHeight="1">
      <c r="A30" s="60" t="s">
        <v>21</v>
      </c>
      <c r="B30" s="27"/>
      <c r="C30" s="27"/>
      <c r="D30" s="27"/>
      <c r="E30" s="27"/>
      <c r="F30" s="28"/>
      <c r="G30" s="61">
        <v>0.0</v>
      </c>
      <c r="H30" s="27"/>
      <c r="I30" s="27"/>
      <c r="J30" s="27"/>
      <c r="K30" s="34"/>
      <c r="L30" s="1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8"/>
      <c r="AD30" s="8"/>
      <c r="AE30" s="8"/>
      <c r="AF30" s="8"/>
      <c r="AG30" s="8"/>
      <c r="AH30" s="1"/>
      <c r="AI30" s="1"/>
      <c r="AJ30" s="1"/>
      <c r="AK30" s="1"/>
    </row>
    <row r="31" ht="14.25" customHeight="1">
      <c r="A31" s="60" t="s">
        <v>22</v>
      </c>
      <c r="B31" s="27"/>
      <c r="C31" s="27"/>
      <c r="D31" s="27"/>
      <c r="E31" s="27"/>
      <c r="F31" s="28"/>
      <c r="G31" s="61">
        <v>0.0</v>
      </c>
      <c r="H31" s="27"/>
      <c r="I31" s="27"/>
      <c r="J31" s="27"/>
      <c r="K31" s="34"/>
      <c r="L31" s="1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8"/>
      <c r="AD31" s="8"/>
      <c r="AE31" s="8"/>
      <c r="AF31" s="8"/>
      <c r="AG31" s="8"/>
      <c r="AH31" s="1"/>
      <c r="AI31" s="1"/>
      <c r="AJ31" s="1"/>
      <c r="AK31" s="1"/>
    </row>
    <row r="32" ht="14.25" customHeight="1">
      <c r="A32" s="48" t="s">
        <v>23</v>
      </c>
      <c r="B32" s="36"/>
      <c r="C32" s="36"/>
      <c r="D32" s="36"/>
      <c r="E32" s="36"/>
      <c r="F32" s="49"/>
      <c r="G32" s="62">
        <v>0.0</v>
      </c>
      <c r="H32" s="36"/>
      <c r="I32" s="36"/>
      <c r="J32" s="36"/>
      <c r="K32" s="34"/>
      <c r="L32" s="1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8"/>
      <c r="AD32" s="8"/>
      <c r="AE32" s="8"/>
      <c r="AF32" s="8"/>
      <c r="AG32" s="8"/>
      <c r="AH32" s="1"/>
      <c r="AI32" s="1"/>
      <c r="AJ32" s="1"/>
      <c r="AK32" s="1"/>
    </row>
    <row r="33" ht="14.25" customHeight="1">
      <c r="A33" s="41" t="s">
        <v>11</v>
      </c>
      <c r="B33" s="19"/>
      <c r="C33" s="19"/>
      <c r="D33" s="19"/>
      <c r="E33" s="19"/>
      <c r="F33" s="20"/>
      <c r="G33" s="42">
        <f>SUM(G27:J32)</f>
        <v>0</v>
      </c>
      <c r="H33" s="19"/>
      <c r="I33" s="19"/>
      <c r="J33" s="43"/>
      <c r="K33" s="34"/>
      <c r="L33" s="1"/>
      <c r="M33" s="63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8"/>
      <c r="AF33" s="8"/>
      <c r="AG33" s="8"/>
      <c r="AH33" s="1"/>
      <c r="AI33" s="1"/>
      <c r="AJ33" s="1"/>
      <c r="AK33" s="1"/>
    </row>
    <row r="34" ht="14.25" customHeight="1">
      <c r="A34" s="64"/>
      <c r="B34" s="64"/>
      <c r="C34" s="64"/>
      <c r="D34" s="64"/>
      <c r="E34" s="64"/>
      <c r="F34" s="64"/>
      <c r="G34" s="58"/>
      <c r="H34" s="58"/>
      <c r="I34" s="58"/>
      <c r="J34" s="58"/>
      <c r="K34" s="1"/>
      <c r="L34" s="1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8"/>
      <c r="AD34" s="8"/>
      <c r="AE34" s="8"/>
      <c r="AF34" s="8"/>
      <c r="AG34" s="8"/>
      <c r="AH34" s="1"/>
      <c r="AI34" s="1"/>
      <c r="AJ34" s="1"/>
      <c r="AK34" s="1"/>
    </row>
    <row r="35" ht="14.25" customHeight="1">
      <c r="A35" s="65" t="s">
        <v>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8"/>
      <c r="AD35" s="8"/>
      <c r="AE35" s="8"/>
      <c r="AF35" s="8"/>
      <c r="AG35" s="8"/>
      <c r="AH35" s="1"/>
      <c r="AI35" s="1"/>
      <c r="AJ35" s="1"/>
      <c r="AK35" s="1"/>
    </row>
    <row r="36" ht="14.25" customHeight="1">
      <c r="A36" s="64"/>
      <c r="B36" s="64"/>
      <c r="C36" s="64"/>
      <c r="D36" s="64"/>
      <c r="E36" s="64"/>
      <c r="F36" s="64"/>
      <c r="G36" s="58"/>
      <c r="H36" s="58"/>
      <c r="I36" s="58"/>
      <c r="J36" s="58"/>
      <c r="K36" s="1"/>
      <c r="L36" s="1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8"/>
      <c r="AD36" s="8"/>
      <c r="AE36" s="8"/>
      <c r="AF36" s="8"/>
      <c r="AG36" s="8"/>
      <c r="AH36" s="1"/>
      <c r="AI36" s="1"/>
      <c r="AJ36" s="1"/>
      <c r="AK36" s="1"/>
    </row>
    <row r="37" ht="14.25" customHeight="1">
      <c r="A37" s="66" t="s">
        <v>17</v>
      </c>
      <c r="B37" s="19"/>
      <c r="C37" s="19"/>
      <c r="D37" s="19"/>
      <c r="E37" s="19"/>
      <c r="F37" s="20"/>
      <c r="G37" s="66" t="s">
        <v>6</v>
      </c>
      <c r="H37" s="19"/>
      <c r="I37" s="19"/>
      <c r="J37" s="43"/>
      <c r="K37" s="34"/>
      <c r="L37" s="1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8"/>
      <c r="AD37" s="8"/>
      <c r="AE37" s="8"/>
      <c r="AF37" s="8"/>
      <c r="AG37" s="8"/>
      <c r="AH37" s="1"/>
      <c r="AI37" s="1"/>
      <c r="AJ37" s="1"/>
      <c r="AK37" s="1"/>
    </row>
    <row r="38" ht="14.25" customHeight="1">
      <c r="A38" s="67" t="s">
        <v>25</v>
      </c>
      <c r="B38" s="23"/>
      <c r="C38" s="23"/>
      <c r="D38" s="23"/>
      <c r="E38" s="23"/>
      <c r="F38" s="24"/>
      <c r="G38" s="68">
        <v>0.0</v>
      </c>
      <c r="H38" s="23"/>
      <c r="I38" s="23"/>
      <c r="J38" s="24"/>
      <c r="K38" s="1"/>
      <c r="L38" s="1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8"/>
      <c r="AD38" s="8"/>
      <c r="AE38" s="8"/>
      <c r="AF38" s="8"/>
      <c r="AG38" s="8"/>
      <c r="AH38" s="1"/>
      <c r="AI38" s="1"/>
      <c r="AJ38" s="1"/>
      <c r="AK38" s="1"/>
    </row>
    <row r="39" ht="14.25" customHeight="1">
      <c r="A39" s="69" t="s">
        <v>26</v>
      </c>
      <c r="B39" s="27"/>
      <c r="C39" s="27"/>
      <c r="D39" s="27"/>
      <c r="E39" s="27"/>
      <c r="F39" s="28"/>
      <c r="G39" s="29">
        <v>0.0</v>
      </c>
      <c r="H39" s="27"/>
      <c r="I39" s="27"/>
      <c r="J39" s="28"/>
      <c r="K39" s="1"/>
      <c r="L39" s="1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8"/>
      <c r="AD39" s="8"/>
      <c r="AE39" s="8"/>
      <c r="AF39" s="8"/>
      <c r="AG39" s="8"/>
      <c r="AH39" s="1"/>
      <c r="AI39" s="1"/>
      <c r="AJ39" s="1"/>
      <c r="AK39" s="1"/>
    </row>
    <row r="40" ht="14.25" customHeight="1">
      <c r="A40" s="69" t="s">
        <v>27</v>
      </c>
      <c r="B40" s="27"/>
      <c r="C40" s="27"/>
      <c r="D40" s="27"/>
      <c r="E40" s="27"/>
      <c r="F40" s="28"/>
      <c r="G40" s="70">
        <v>0.0</v>
      </c>
      <c r="H40" s="27"/>
      <c r="I40" s="27"/>
      <c r="J40" s="50"/>
      <c r="K40" s="34"/>
      <c r="L40" s="1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8"/>
      <c r="AD40" s="8"/>
      <c r="AE40" s="8"/>
      <c r="AF40" s="8"/>
      <c r="AG40" s="8"/>
      <c r="AH40" s="1"/>
      <c r="AI40" s="1"/>
      <c r="AJ40" s="1"/>
      <c r="AK40" s="1"/>
    </row>
    <row r="41" ht="14.25" customHeight="1">
      <c r="A41" s="69" t="s">
        <v>28</v>
      </c>
      <c r="B41" s="27"/>
      <c r="C41" s="27"/>
      <c r="D41" s="27"/>
      <c r="E41" s="27"/>
      <c r="F41" s="28"/>
      <c r="G41" s="29">
        <v>0.0</v>
      </c>
      <c r="H41" s="27"/>
      <c r="I41" s="27"/>
      <c r="J41" s="28"/>
      <c r="K41" s="1"/>
      <c r="L41" s="1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8"/>
      <c r="AD41" s="8"/>
      <c r="AE41" s="8"/>
      <c r="AF41" s="8"/>
      <c r="AG41" s="8"/>
      <c r="AH41" s="1"/>
      <c r="AI41" s="1"/>
      <c r="AJ41" s="1"/>
      <c r="AK41" s="1"/>
    </row>
    <row r="42" ht="14.25" customHeight="1">
      <c r="A42" s="69" t="s">
        <v>29</v>
      </c>
      <c r="B42" s="27"/>
      <c r="C42" s="27"/>
      <c r="D42" s="27"/>
      <c r="E42" s="27"/>
      <c r="F42" s="28"/>
      <c r="G42" s="29">
        <v>0.0</v>
      </c>
      <c r="H42" s="27"/>
      <c r="I42" s="27"/>
      <c r="J42" s="50"/>
      <c r="K42" s="34"/>
      <c r="L42" s="1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8"/>
      <c r="AD42" s="8"/>
      <c r="AE42" s="8"/>
      <c r="AF42" s="8"/>
      <c r="AG42" s="8"/>
      <c r="AH42" s="1"/>
      <c r="AI42" s="1"/>
      <c r="AJ42" s="1"/>
      <c r="AK42" s="1"/>
    </row>
    <row r="43" ht="14.25" customHeight="1">
      <c r="A43" s="71" t="s">
        <v>30</v>
      </c>
      <c r="B43" s="36"/>
      <c r="C43" s="36"/>
      <c r="D43" s="36"/>
      <c r="E43" s="36"/>
      <c r="F43" s="49"/>
      <c r="G43" s="72">
        <v>0.0</v>
      </c>
      <c r="H43" s="36"/>
      <c r="I43" s="36"/>
      <c r="J43" s="37"/>
      <c r="K43" s="34"/>
      <c r="L43" s="1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8"/>
      <c r="AD43" s="8"/>
      <c r="AE43" s="8"/>
      <c r="AF43" s="8"/>
      <c r="AG43" s="8"/>
      <c r="AH43" s="1"/>
      <c r="AI43" s="1"/>
      <c r="AJ43" s="1"/>
      <c r="AK43" s="1"/>
    </row>
    <row r="44" ht="14.25" customHeight="1">
      <c r="A44" s="73" t="s">
        <v>11</v>
      </c>
      <c r="B44" s="19"/>
      <c r="C44" s="19"/>
      <c r="D44" s="19"/>
      <c r="E44" s="19"/>
      <c r="F44" s="20"/>
      <c r="G44" s="42">
        <f>SUM(G38:J43)</f>
        <v>0</v>
      </c>
      <c r="H44" s="19"/>
      <c r="I44" s="19"/>
      <c r="J44" s="43"/>
      <c r="K44" s="34"/>
      <c r="L44" s="1"/>
      <c r="M44" s="63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8"/>
      <c r="AF44" s="8"/>
      <c r="AG44" s="8"/>
      <c r="AH44" s="1"/>
      <c r="AI44" s="1"/>
      <c r="AJ44" s="1"/>
      <c r="AK44" s="1"/>
    </row>
    <row r="45" ht="14.25" customHeight="1">
      <c r="A45" s="64"/>
      <c r="B45" s="64"/>
      <c r="C45" s="64"/>
      <c r="D45" s="64"/>
      <c r="E45" s="64"/>
      <c r="F45" s="64"/>
      <c r="G45" s="58"/>
      <c r="H45" s="58"/>
      <c r="I45" s="58"/>
      <c r="J45" s="58"/>
      <c r="K45" s="1"/>
      <c r="L45" s="1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8"/>
      <c r="AD45" s="8"/>
      <c r="AE45" s="8"/>
      <c r="AF45" s="8"/>
      <c r="AG45" s="8"/>
      <c r="AH45" s="1"/>
      <c r="AI45" s="1"/>
      <c r="AJ45" s="1"/>
      <c r="AK45" s="1"/>
    </row>
    <row r="46" ht="14.25" customHeight="1">
      <c r="A46" s="11" t="s">
        <v>31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8"/>
      <c r="AD46" s="8"/>
      <c r="AE46" s="8"/>
      <c r="AF46" s="8"/>
      <c r="AG46" s="8"/>
      <c r="AH46" s="1"/>
      <c r="AI46" s="1"/>
      <c r="AJ46" s="1"/>
      <c r="AK46" s="1"/>
    </row>
    <row r="47" ht="14.25" customHeight="1">
      <c r="A47" s="74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8"/>
      <c r="AD47" s="8"/>
      <c r="AE47" s="8"/>
      <c r="AF47" s="8"/>
      <c r="AG47" s="8"/>
      <c r="AH47" s="1"/>
      <c r="AI47" s="1"/>
      <c r="AJ47" s="1"/>
      <c r="AK47" s="1"/>
    </row>
    <row r="48" ht="14.25" customHeight="1">
      <c r="A48" s="75" t="s">
        <v>32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8"/>
      <c r="AD48" s="8"/>
      <c r="AE48" s="8"/>
      <c r="AF48" s="8"/>
      <c r="AG48" s="8"/>
      <c r="AH48" s="1"/>
      <c r="AI48" s="1"/>
      <c r="AJ48" s="1"/>
      <c r="AK48" s="1"/>
    </row>
    <row r="49" ht="14.25" customHeight="1">
      <c r="A49" s="76"/>
      <c r="B49" s="76"/>
      <c r="C49" s="76"/>
      <c r="D49" s="76"/>
      <c r="E49" s="76"/>
      <c r="F49" s="76"/>
      <c r="G49" s="76"/>
      <c r="H49" s="42" t="s">
        <v>6</v>
      </c>
      <c r="I49" s="19"/>
      <c r="J49" s="43"/>
      <c r="K49" s="77"/>
      <c r="L49" s="1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8"/>
      <c r="AD49" s="8"/>
      <c r="AE49" s="8"/>
      <c r="AF49" s="8"/>
      <c r="AG49" s="8"/>
      <c r="AH49" s="1"/>
      <c r="AI49" s="1"/>
      <c r="AJ49" s="1"/>
      <c r="AK49" s="1"/>
    </row>
    <row r="50" ht="14.25" customHeight="1">
      <c r="A50" s="78" t="s">
        <v>7</v>
      </c>
      <c r="B50" s="23"/>
      <c r="C50" s="23"/>
      <c r="D50" s="23"/>
      <c r="E50" s="23"/>
      <c r="F50" s="23"/>
      <c r="G50" s="24"/>
      <c r="H50" s="79">
        <v>0.0</v>
      </c>
      <c r="I50" s="23"/>
      <c r="J50" s="80"/>
      <c r="K50" s="44"/>
      <c r="L50" s="1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8"/>
      <c r="AD50" s="8"/>
      <c r="AE50" s="8"/>
      <c r="AF50" s="8"/>
      <c r="AG50" s="8"/>
      <c r="AH50" s="1"/>
      <c r="AI50" s="1"/>
      <c r="AJ50" s="1"/>
      <c r="AK50" s="1"/>
    </row>
    <row r="51" ht="14.25" customHeight="1">
      <c r="A51" s="81" t="s">
        <v>8</v>
      </c>
      <c r="B51" s="82"/>
      <c r="C51" s="82"/>
      <c r="D51" s="82"/>
      <c r="E51" s="82"/>
      <c r="F51" s="82"/>
      <c r="G51" s="83"/>
      <c r="H51" s="29">
        <f>SUM(G52:G53)</f>
        <v>0</v>
      </c>
      <c r="I51" s="27"/>
      <c r="J51" s="28"/>
      <c r="K51" s="8"/>
      <c r="L51" s="1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8"/>
      <c r="AD51" s="8"/>
      <c r="AE51" s="8"/>
      <c r="AF51" s="8"/>
      <c r="AG51" s="8"/>
      <c r="AH51" s="1"/>
      <c r="AI51" s="1"/>
      <c r="AJ51" s="1"/>
      <c r="AK51" s="1"/>
    </row>
    <row r="52" ht="14.25" customHeight="1">
      <c r="A52" s="30" t="s">
        <v>9</v>
      </c>
      <c r="B52" s="27"/>
      <c r="C52" s="27"/>
      <c r="D52" s="27"/>
      <c r="E52" s="27"/>
      <c r="F52" s="28"/>
      <c r="G52" s="84">
        <v>0.0</v>
      </c>
      <c r="H52" s="85"/>
      <c r="I52" s="33"/>
      <c r="J52" s="54"/>
      <c r="K52" s="1"/>
      <c r="L52" s="1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8"/>
      <c r="AD52" s="8"/>
      <c r="AE52" s="8"/>
      <c r="AF52" s="8"/>
      <c r="AG52" s="8"/>
      <c r="AH52" s="1"/>
      <c r="AI52" s="1"/>
      <c r="AJ52" s="1"/>
      <c r="AK52" s="1"/>
    </row>
    <row r="53" ht="14.25" customHeight="1">
      <c r="A53" s="35" t="s">
        <v>10</v>
      </c>
      <c r="B53" s="36"/>
      <c r="C53" s="36"/>
      <c r="D53" s="36"/>
      <c r="E53" s="36"/>
      <c r="F53" s="37"/>
      <c r="G53" s="38">
        <v>0.0</v>
      </c>
      <c r="H53" s="39"/>
      <c r="I53" s="40"/>
      <c r="J53" s="86"/>
      <c r="K53" s="1"/>
      <c r="L53" s="1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8"/>
      <c r="AD53" s="8"/>
      <c r="AE53" s="8"/>
      <c r="AF53" s="8"/>
      <c r="AG53" s="8"/>
      <c r="AH53" s="1"/>
      <c r="AI53" s="1"/>
      <c r="AJ53" s="1"/>
      <c r="AK53" s="1"/>
    </row>
    <row r="54" ht="14.25" customHeight="1">
      <c r="A54" s="73" t="s">
        <v>11</v>
      </c>
      <c r="B54" s="19"/>
      <c r="C54" s="19"/>
      <c r="D54" s="19"/>
      <c r="E54" s="19"/>
      <c r="F54" s="19"/>
      <c r="G54" s="20"/>
      <c r="H54" s="42">
        <f>SUM(H50:J51)</f>
        <v>0</v>
      </c>
      <c r="I54" s="19"/>
      <c r="J54" s="20"/>
      <c r="K54" s="8"/>
      <c r="L54" s="1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8"/>
      <c r="AD54" s="8"/>
      <c r="AE54" s="8"/>
      <c r="AF54" s="8"/>
      <c r="AG54" s="8"/>
      <c r="AH54" s="1"/>
      <c r="AI54" s="1"/>
      <c r="AJ54" s="1"/>
      <c r="AK54" s="1"/>
    </row>
    <row r="55" ht="14.25" customHeight="1">
      <c r="A55" s="67" t="s">
        <v>12</v>
      </c>
      <c r="B55" s="23"/>
      <c r="C55" s="23"/>
      <c r="D55" s="23"/>
      <c r="E55" s="23"/>
      <c r="F55" s="23"/>
      <c r="G55" s="24"/>
      <c r="H55" s="68">
        <v>0.0</v>
      </c>
      <c r="I55" s="23"/>
      <c r="J55" s="24"/>
      <c r="K55" s="8"/>
      <c r="L55" s="1"/>
      <c r="M55" s="63"/>
      <c r="Z55" s="15"/>
      <c r="AA55" s="15"/>
      <c r="AB55" s="15"/>
      <c r="AC55" s="15"/>
      <c r="AD55" s="15"/>
      <c r="AE55" s="8"/>
      <c r="AF55" s="8"/>
      <c r="AG55" s="8"/>
      <c r="AH55" s="1"/>
      <c r="AI55" s="1"/>
      <c r="AJ55" s="1"/>
      <c r="AK55" s="1"/>
    </row>
    <row r="56" ht="14.25" customHeight="1">
      <c r="A56" s="71" t="s">
        <v>13</v>
      </c>
      <c r="B56" s="36"/>
      <c r="C56" s="36"/>
      <c r="D56" s="36"/>
      <c r="E56" s="36"/>
      <c r="F56" s="36"/>
      <c r="G56" s="49"/>
      <c r="H56" s="72">
        <f>H54-H55</f>
        <v>0</v>
      </c>
      <c r="I56" s="36"/>
      <c r="J56" s="49"/>
      <c r="K56" s="8"/>
      <c r="L56" s="1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8"/>
      <c r="AD56" s="8"/>
      <c r="AE56" s="8"/>
      <c r="AF56" s="8"/>
      <c r="AG56" s="8"/>
      <c r="AH56" s="1"/>
      <c r="AI56" s="1"/>
      <c r="AJ56" s="1"/>
      <c r="AK56" s="1"/>
    </row>
    <row r="57" ht="14.25" customHeight="1">
      <c r="A57" s="57"/>
      <c r="B57" s="57"/>
      <c r="C57" s="57"/>
      <c r="D57" s="57"/>
      <c r="E57" s="57"/>
      <c r="F57" s="57"/>
      <c r="G57" s="10"/>
      <c r="H57" s="10"/>
      <c r="I57" s="10"/>
      <c r="J57" s="10"/>
      <c r="K57" s="1"/>
      <c r="L57" s="1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8"/>
      <c r="AD57" s="8"/>
      <c r="AE57" s="8"/>
      <c r="AF57" s="8"/>
      <c r="AG57" s="8"/>
      <c r="AH57" s="1"/>
      <c r="AI57" s="1"/>
      <c r="AJ57" s="1"/>
      <c r="AK57" s="1"/>
    </row>
    <row r="58" ht="14.25" customHeight="1">
      <c r="A58" s="58"/>
      <c r="B58" s="58"/>
      <c r="C58" s="58"/>
      <c r="D58" s="58"/>
      <c r="E58" s="58"/>
      <c r="F58" s="58"/>
      <c r="G58" s="58"/>
      <c r="H58" s="58"/>
      <c r="I58" s="10"/>
      <c r="J58" s="10"/>
      <c r="K58" s="1"/>
      <c r="L58" s="1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8"/>
      <c r="AD58" s="8"/>
      <c r="AE58" s="8"/>
      <c r="AF58" s="8"/>
      <c r="AG58" s="8"/>
      <c r="AH58" s="1"/>
      <c r="AI58" s="1"/>
      <c r="AJ58" s="1"/>
      <c r="AK58" s="1"/>
    </row>
    <row r="59" ht="14.25" customHeight="1">
      <c r="A59" s="5" t="s">
        <v>33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8"/>
      <c r="AD59" s="8"/>
      <c r="AE59" s="8"/>
      <c r="AF59" s="8"/>
      <c r="AG59" s="8"/>
      <c r="AH59" s="1"/>
      <c r="AI59" s="1"/>
      <c r="AJ59" s="1"/>
      <c r="AK59" s="1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"/>
      <c r="J60" s="1"/>
      <c r="K60" s="1"/>
      <c r="L60" s="1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8"/>
      <c r="AD60" s="8"/>
      <c r="AE60" s="8"/>
      <c r="AF60" s="8"/>
      <c r="AG60" s="8"/>
      <c r="AH60" s="1"/>
      <c r="AI60" s="1"/>
      <c r="AJ60" s="1"/>
      <c r="AK60" s="1"/>
    </row>
    <row r="61" ht="14.25" customHeight="1">
      <c r="A61" s="87" t="s">
        <v>34</v>
      </c>
      <c r="B61" s="23"/>
      <c r="C61" s="23"/>
      <c r="D61" s="23"/>
      <c r="E61" s="23"/>
      <c r="F61" s="23"/>
      <c r="G61" s="23"/>
      <c r="H61" s="24"/>
      <c r="I61" s="88"/>
      <c r="J61" s="89"/>
      <c r="K61" s="1"/>
      <c r="L61" s="1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8"/>
      <c r="AD61" s="8"/>
      <c r="AE61" s="8"/>
      <c r="AF61" s="8"/>
      <c r="AG61" s="8"/>
      <c r="AH61" s="1"/>
      <c r="AI61" s="1"/>
      <c r="AJ61" s="1"/>
      <c r="AK61" s="1"/>
    </row>
    <row r="62" ht="41.25" customHeight="1">
      <c r="A62" s="90" t="s">
        <v>35</v>
      </c>
      <c r="B62" s="91" t="s">
        <v>36</v>
      </c>
      <c r="C62" s="92" t="s">
        <v>37</v>
      </c>
      <c r="D62" s="93" t="s">
        <v>38</v>
      </c>
      <c r="E62" s="91" t="s">
        <v>39</v>
      </c>
      <c r="F62" s="91" t="s">
        <v>40</v>
      </c>
      <c r="G62" s="94" t="s">
        <v>41</v>
      </c>
      <c r="H62" s="95" t="s">
        <v>11</v>
      </c>
      <c r="I62" s="96"/>
      <c r="J62" s="1"/>
      <c r="K62" s="1"/>
      <c r="L62" s="1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8"/>
      <c r="AD62" s="8"/>
      <c r="AE62" s="8"/>
      <c r="AF62" s="8"/>
      <c r="AG62" s="8"/>
      <c r="AH62" s="1"/>
      <c r="AI62" s="1"/>
      <c r="AJ62" s="1"/>
      <c r="AK62" s="1"/>
    </row>
    <row r="63" ht="14.25" customHeight="1">
      <c r="A63" s="97">
        <v>0.0</v>
      </c>
      <c r="B63" s="98">
        <v>0.0</v>
      </c>
      <c r="C63" s="98">
        <v>0.0</v>
      </c>
      <c r="D63" s="98">
        <v>0.0</v>
      </c>
      <c r="E63" s="98">
        <v>0.0</v>
      </c>
      <c r="F63" s="98">
        <v>0.0</v>
      </c>
      <c r="G63" s="99">
        <v>0.0</v>
      </c>
      <c r="H63" s="100">
        <f>SUM(A63:G63)</f>
        <v>0</v>
      </c>
      <c r="I63" s="44"/>
      <c r="J63" s="58"/>
      <c r="K63" s="101"/>
      <c r="L63" s="101"/>
      <c r="M63" s="63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8"/>
      <c r="AF63" s="8"/>
      <c r="AG63" s="8"/>
      <c r="AH63" s="1"/>
      <c r="AI63" s="1"/>
      <c r="AJ63" s="1"/>
      <c r="AK63" s="1"/>
    </row>
    <row r="64" ht="11.25" customHeight="1">
      <c r="A64" s="58"/>
      <c r="B64" s="58"/>
      <c r="C64" s="58"/>
      <c r="D64" s="58"/>
      <c r="E64" s="58"/>
      <c r="F64" s="58"/>
      <c r="G64" s="58"/>
      <c r="H64" s="59"/>
      <c r="I64" s="58"/>
      <c r="J64" s="58"/>
      <c r="K64" s="101"/>
      <c r="L64" s="101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8"/>
      <c r="AD64" s="8"/>
      <c r="AE64" s="8"/>
      <c r="AF64" s="8"/>
      <c r="AG64" s="8"/>
      <c r="AH64" s="1"/>
      <c r="AI64" s="1"/>
      <c r="AJ64" s="1"/>
      <c r="AK64" s="1"/>
    </row>
    <row r="65" ht="15.0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63"/>
      <c r="X65" s="15"/>
      <c r="Y65" s="15"/>
      <c r="Z65" s="15"/>
      <c r="AA65" s="15"/>
      <c r="AB65" s="15"/>
      <c r="AC65" s="8"/>
      <c r="AD65" s="8"/>
      <c r="AE65" s="8"/>
      <c r="AF65" s="8"/>
      <c r="AG65" s="8"/>
      <c r="AH65" s="1"/>
      <c r="AI65" s="1"/>
      <c r="AJ65" s="1"/>
      <c r="AK65" s="1"/>
    </row>
    <row r="66" ht="13.5" customHeight="1">
      <c r="A66" s="103" t="s">
        <v>42</v>
      </c>
      <c r="M66" s="104"/>
      <c r="Z66" s="8"/>
      <c r="AA66" s="8"/>
      <c r="AB66" s="8"/>
      <c r="AC66" s="8"/>
      <c r="AD66" s="8"/>
      <c r="AE66" s="8"/>
      <c r="AF66" s="8"/>
      <c r="AG66" s="8"/>
      <c r="AH66" s="1"/>
      <c r="AI66" s="1"/>
      <c r="AJ66" s="1"/>
      <c r="AK66" s="1"/>
    </row>
    <row r="67" ht="15.0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8"/>
      <c r="AD67" s="8"/>
      <c r="AE67" s="8"/>
      <c r="AF67" s="8"/>
      <c r="AG67" s="8"/>
      <c r="AH67" s="1"/>
      <c r="AI67" s="1"/>
      <c r="AJ67" s="1"/>
      <c r="AK67" s="1"/>
    </row>
    <row r="68" ht="42.0" customHeight="1">
      <c r="A68" s="106" t="s">
        <v>43</v>
      </c>
      <c r="B68" s="47"/>
      <c r="C68" s="106" t="s">
        <v>44</v>
      </c>
      <c r="D68" s="47"/>
      <c r="E68" s="106" t="s">
        <v>45</v>
      </c>
      <c r="F68" s="47"/>
      <c r="G68" s="102"/>
      <c r="H68" s="102"/>
      <c r="I68" s="10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8"/>
      <c r="Z68" s="8"/>
      <c r="AA68" s="8"/>
      <c r="AB68" s="8"/>
      <c r="AC68" s="8"/>
      <c r="AD68" s="1"/>
      <c r="AE68" s="1"/>
      <c r="AF68" s="1"/>
      <c r="AG68" s="1"/>
      <c r="AH68" s="1"/>
      <c r="AI68" s="1"/>
      <c r="AJ68" s="1"/>
      <c r="AK68" s="1"/>
    </row>
    <row r="69" ht="39.0" customHeight="1">
      <c r="A69" s="107" t="s">
        <v>6</v>
      </c>
      <c r="B69" s="108" t="s">
        <v>46</v>
      </c>
      <c r="C69" s="109" t="s">
        <v>6</v>
      </c>
      <c r="D69" s="110" t="s">
        <v>46</v>
      </c>
      <c r="E69" s="107" t="s">
        <v>6</v>
      </c>
      <c r="F69" s="110" t="s">
        <v>46</v>
      </c>
      <c r="G69" s="102"/>
      <c r="H69" s="102"/>
      <c r="I69" s="111"/>
      <c r="J69" s="2"/>
      <c r="K69" s="2"/>
      <c r="L69" s="2"/>
      <c r="M69" s="2"/>
      <c r="N69" s="2"/>
      <c r="O69" s="2"/>
      <c r="P69" s="2"/>
      <c r="Q69" s="2"/>
      <c r="R69" s="2"/>
      <c r="S69" s="2"/>
      <c r="T69" s="15"/>
      <c r="U69" s="15"/>
      <c r="V69" s="15"/>
      <c r="W69" s="15"/>
      <c r="X69" s="15"/>
      <c r="Y69" s="15"/>
      <c r="Z69" s="15"/>
      <c r="AA69" s="8"/>
      <c r="AB69" s="8"/>
      <c r="AC69" s="8"/>
      <c r="AD69" s="1"/>
      <c r="AE69" s="1"/>
      <c r="AF69" s="1"/>
      <c r="AG69" s="1"/>
      <c r="AH69" s="1"/>
      <c r="AI69" s="1"/>
      <c r="AJ69" s="1"/>
      <c r="AK69" s="1"/>
    </row>
    <row r="70" ht="14.25" customHeight="1">
      <c r="A70" s="97">
        <v>0.0</v>
      </c>
      <c r="B70" s="112">
        <v>0.0</v>
      </c>
      <c r="C70" s="97">
        <v>0.0</v>
      </c>
      <c r="D70" s="113">
        <v>0.0</v>
      </c>
      <c r="E70" s="97">
        <v>0.0</v>
      </c>
      <c r="F70" s="113">
        <v>0.0</v>
      </c>
      <c r="G70" s="102"/>
      <c r="H70" s="102"/>
      <c r="I70" s="1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15"/>
      <c r="W70" s="15"/>
      <c r="X70" s="15"/>
      <c r="Y70" s="15"/>
      <c r="Z70" s="15"/>
      <c r="AA70" s="8"/>
      <c r="AB70" s="8"/>
      <c r="AC70" s="8"/>
      <c r="AD70" s="1"/>
      <c r="AE70" s="1"/>
      <c r="AF70" s="1"/>
      <c r="AG70" s="1"/>
      <c r="AH70" s="1"/>
      <c r="AI70" s="1"/>
      <c r="AJ70" s="1"/>
      <c r="A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0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8"/>
      <c r="AD71" s="8"/>
      <c r="AE71" s="8"/>
      <c r="AF71" s="8"/>
      <c r="AG71" s="8"/>
      <c r="AH71" s="1"/>
      <c r="AI71" s="1"/>
      <c r="AJ71" s="1"/>
      <c r="AK71" s="1"/>
    </row>
    <row r="72" ht="14.25" customHeight="1">
      <c r="A72" s="11" t="s">
        <v>47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3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8"/>
      <c r="AD72" s="8"/>
      <c r="AE72" s="8"/>
      <c r="AF72" s="8"/>
      <c r="AG72" s="8"/>
      <c r="AH72" s="1"/>
      <c r="AI72" s="1"/>
      <c r="AJ72" s="1"/>
      <c r="AK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8"/>
      <c r="AD73" s="8"/>
      <c r="AE73" s="8"/>
      <c r="AF73" s="8"/>
      <c r="AG73" s="8"/>
      <c r="AH73" s="1"/>
      <c r="AI73" s="1"/>
      <c r="AJ73" s="1"/>
      <c r="AK73" s="1"/>
    </row>
    <row r="74" ht="14.25" customHeight="1">
      <c r="A74" s="8"/>
      <c r="B74" s="8"/>
      <c r="C74" s="8"/>
      <c r="D74" s="8"/>
      <c r="E74" s="8"/>
      <c r="F74" s="8"/>
      <c r="G74" s="8"/>
      <c r="H74" s="18" t="s">
        <v>6</v>
      </c>
      <c r="I74" s="19"/>
      <c r="J74" s="19"/>
      <c r="K74" s="20"/>
      <c r="L74" s="1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8"/>
      <c r="AD74" s="8"/>
      <c r="AE74" s="8"/>
      <c r="AF74" s="8"/>
      <c r="AG74" s="8"/>
      <c r="AH74" s="1"/>
      <c r="AI74" s="1"/>
      <c r="AJ74" s="1"/>
      <c r="AK74" s="1"/>
    </row>
    <row r="75" ht="14.25" customHeight="1">
      <c r="A75" s="114" t="s">
        <v>48</v>
      </c>
      <c r="B75" s="23"/>
      <c r="C75" s="23"/>
      <c r="D75" s="23"/>
      <c r="E75" s="23"/>
      <c r="F75" s="23"/>
      <c r="G75" s="24"/>
      <c r="H75" s="25">
        <v>0.0</v>
      </c>
      <c r="I75" s="23"/>
      <c r="J75" s="23"/>
      <c r="K75" s="24"/>
      <c r="L75" s="1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8"/>
      <c r="AD75" s="8"/>
      <c r="AE75" s="8"/>
      <c r="AF75" s="8"/>
      <c r="AG75" s="8"/>
      <c r="AH75" s="1"/>
      <c r="AI75" s="1"/>
      <c r="AJ75" s="1"/>
      <c r="AK75" s="1"/>
    </row>
    <row r="76" ht="14.25" customHeight="1">
      <c r="A76" s="115" t="s">
        <v>49</v>
      </c>
      <c r="B76" s="36"/>
      <c r="C76" s="36"/>
      <c r="D76" s="36"/>
      <c r="E76" s="36"/>
      <c r="F76" s="36"/>
      <c r="G76" s="49"/>
      <c r="H76" s="62">
        <v>0.0</v>
      </c>
      <c r="I76" s="36"/>
      <c r="J76" s="36"/>
      <c r="K76" s="49"/>
      <c r="L76" s="1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8"/>
      <c r="AD76" s="8"/>
      <c r="AE76" s="8"/>
      <c r="AF76" s="8"/>
      <c r="AG76" s="8"/>
      <c r="AH76" s="1"/>
      <c r="AI76" s="1"/>
      <c r="AJ76" s="1"/>
      <c r="AK76" s="1"/>
    </row>
    <row r="77" ht="14.25" customHeight="1">
      <c r="A77" s="116" t="s">
        <v>11</v>
      </c>
      <c r="B77" s="19"/>
      <c r="C77" s="19"/>
      <c r="D77" s="19"/>
      <c r="E77" s="19"/>
      <c r="F77" s="19"/>
      <c r="G77" s="20"/>
      <c r="H77" s="117">
        <f>SUM(H75:K76)</f>
        <v>0</v>
      </c>
      <c r="I77" s="19"/>
      <c r="J77" s="19"/>
      <c r="K77" s="20"/>
      <c r="L77" s="1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8"/>
      <c r="AD77" s="8"/>
      <c r="AE77" s="8"/>
      <c r="AF77" s="8"/>
      <c r="AG77" s="8"/>
      <c r="AH77" s="1"/>
      <c r="AI77" s="1"/>
      <c r="AJ77" s="1"/>
      <c r="AK77" s="1"/>
    </row>
    <row r="78" ht="14.25" customHeight="1">
      <c r="A78" s="118" t="s">
        <v>50</v>
      </c>
      <c r="B78" s="23"/>
      <c r="C78" s="23"/>
      <c r="D78" s="23"/>
      <c r="E78" s="23"/>
      <c r="F78" s="23"/>
      <c r="G78" s="24"/>
      <c r="H78" s="119">
        <v>0.0</v>
      </c>
      <c r="I78" s="7"/>
      <c r="J78" s="7"/>
      <c r="K78" s="120"/>
      <c r="L78" s="1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8"/>
      <c r="AD78" s="8"/>
      <c r="AE78" s="8"/>
      <c r="AF78" s="8"/>
      <c r="AG78" s="8"/>
      <c r="AH78" s="1"/>
      <c r="AI78" s="1"/>
      <c r="AJ78" s="1"/>
      <c r="AK78" s="1"/>
    </row>
    <row r="79" ht="14.25" customHeight="1">
      <c r="A79" s="121" t="s">
        <v>51</v>
      </c>
      <c r="B79" s="27"/>
      <c r="C79" s="27"/>
      <c r="D79" s="27"/>
      <c r="E79" s="27"/>
      <c r="F79" s="27"/>
      <c r="G79" s="28"/>
      <c r="H79" s="61">
        <v>0.0</v>
      </c>
      <c r="I79" s="27"/>
      <c r="J79" s="27"/>
      <c r="K79" s="28"/>
      <c r="L79" s="1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8"/>
      <c r="AD79" s="8"/>
      <c r="AE79" s="8"/>
      <c r="AF79" s="8"/>
      <c r="AG79" s="8"/>
      <c r="AH79" s="1"/>
      <c r="AI79" s="1"/>
      <c r="AJ79" s="1"/>
      <c r="AK79" s="1"/>
    </row>
    <row r="80" ht="15.0" customHeight="1">
      <c r="A80" s="122" t="s">
        <v>52</v>
      </c>
      <c r="B80" s="27"/>
      <c r="C80" s="27"/>
      <c r="D80" s="27"/>
      <c r="E80" s="27"/>
      <c r="F80" s="27"/>
      <c r="G80" s="28"/>
      <c r="H80" s="61">
        <v>0.0</v>
      </c>
      <c r="I80" s="27"/>
      <c r="J80" s="27"/>
      <c r="K80" s="28"/>
      <c r="L80" s="123"/>
      <c r="Z80" s="15"/>
      <c r="AA80" s="15"/>
      <c r="AB80" s="15"/>
      <c r="AC80" s="8"/>
      <c r="AD80" s="8"/>
      <c r="AE80" s="8"/>
      <c r="AF80" s="8"/>
      <c r="AG80" s="8"/>
      <c r="AH80" s="1"/>
      <c r="AI80" s="1"/>
      <c r="AJ80" s="1"/>
      <c r="AK80" s="1"/>
    </row>
    <row r="81" ht="14.25" customHeight="1">
      <c r="A81" s="124" t="s">
        <v>13</v>
      </c>
      <c r="B81" s="36"/>
      <c r="C81" s="36"/>
      <c r="D81" s="36"/>
      <c r="E81" s="36"/>
      <c r="F81" s="36"/>
      <c r="G81" s="49"/>
      <c r="H81" s="62">
        <v>0.0</v>
      </c>
      <c r="I81" s="36"/>
      <c r="J81" s="36"/>
      <c r="K81" s="49"/>
      <c r="Z81" s="15"/>
      <c r="AA81" s="15"/>
      <c r="AB81" s="15"/>
      <c r="AC81" s="8"/>
      <c r="AD81" s="8"/>
      <c r="AE81" s="8"/>
      <c r="AF81" s="8"/>
      <c r="AG81" s="8"/>
      <c r="AH81" s="1"/>
      <c r="AI81" s="1"/>
      <c r="AJ81" s="1"/>
      <c r="A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8"/>
      <c r="AD82" s="8"/>
      <c r="AE82" s="8"/>
      <c r="AF82" s="8"/>
      <c r="AG82" s="8"/>
      <c r="AH82" s="1"/>
      <c r="AI82" s="1"/>
      <c r="AJ82" s="1"/>
      <c r="AK82" s="1"/>
    </row>
    <row r="83" ht="14.25" customHeight="1">
      <c r="A83" s="11" t="s">
        <v>53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3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8"/>
      <c r="AD83" s="8"/>
      <c r="AE83" s="8"/>
      <c r="AF83" s="8"/>
      <c r="AG83" s="8"/>
      <c r="AH83" s="1"/>
      <c r="AI83" s="1"/>
      <c r="AJ83" s="1"/>
      <c r="A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8"/>
      <c r="AD84" s="8"/>
      <c r="AE84" s="8"/>
      <c r="AF84" s="8"/>
      <c r="AG84" s="8"/>
      <c r="AH84" s="1"/>
      <c r="AI84" s="1"/>
      <c r="AJ84" s="1"/>
      <c r="AK84" s="1"/>
    </row>
    <row r="85" ht="14.25" customHeight="1">
      <c r="A85" s="5" t="s">
        <v>54</v>
      </c>
      <c r="M85" s="10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8"/>
      <c r="AD85" s="8"/>
      <c r="AE85" s="8"/>
      <c r="AF85" s="8"/>
      <c r="AG85" s="8"/>
      <c r="AH85" s="1"/>
      <c r="AI85" s="1"/>
      <c r="AJ85" s="1"/>
      <c r="AK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0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8"/>
      <c r="AD86" s="8"/>
      <c r="AE86" s="8"/>
      <c r="AF86" s="8"/>
      <c r="AG86" s="8"/>
      <c r="AH86" s="1"/>
      <c r="AI86" s="1"/>
      <c r="AJ86" s="1"/>
      <c r="AK86" s="1"/>
    </row>
    <row r="87" ht="14.25" customHeight="1">
      <c r="A87" s="125" t="s">
        <v>55</v>
      </c>
      <c r="B87" s="46"/>
      <c r="C87" s="46"/>
      <c r="D87" s="47"/>
      <c r="E87" s="126" t="s">
        <v>34</v>
      </c>
      <c r="F87" s="23"/>
      <c r="G87" s="23"/>
      <c r="H87" s="23"/>
      <c r="I87" s="23"/>
      <c r="J87" s="23"/>
      <c r="K87" s="23"/>
      <c r="L87" s="24"/>
      <c r="M87" s="10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8"/>
      <c r="AD87" s="8"/>
      <c r="AE87" s="8"/>
      <c r="AF87" s="8"/>
      <c r="AG87" s="8"/>
      <c r="AH87" s="1"/>
      <c r="AI87" s="1"/>
      <c r="AJ87" s="1"/>
      <c r="AK87" s="1"/>
    </row>
    <row r="88" ht="14.25" customHeight="1">
      <c r="A88" s="39"/>
      <c r="B88" s="40"/>
      <c r="C88" s="40"/>
      <c r="D88" s="86"/>
      <c r="E88" s="127" t="s">
        <v>35</v>
      </c>
      <c r="F88" s="128" t="s">
        <v>36</v>
      </c>
      <c r="G88" s="127" t="s">
        <v>37</v>
      </c>
      <c r="H88" s="129" t="s">
        <v>38</v>
      </c>
      <c r="I88" s="128" t="s">
        <v>39</v>
      </c>
      <c r="J88" s="127" t="s">
        <v>40</v>
      </c>
      <c r="K88" s="130" t="s">
        <v>41</v>
      </c>
      <c r="L88" s="131" t="s">
        <v>11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15"/>
      <c r="AA88" s="15"/>
      <c r="AB88" s="15"/>
      <c r="AC88" s="8"/>
      <c r="AD88" s="8"/>
      <c r="AE88" s="8"/>
      <c r="AF88" s="8"/>
      <c r="AG88" s="8"/>
      <c r="AH88" s="1"/>
      <c r="AI88" s="1"/>
      <c r="AJ88" s="1"/>
      <c r="AK88" s="1"/>
    </row>
    <row r="89" ht="14.25" customHeight="1">
      <c r="A89" s="22" t="s">
        <v>56</v>
      </c>
      <c r="B89" s="23"/>
      <c r="C89" s="23"/>
      <c r="D89" s="24"/>
      <c r="E89" s="132">
        <v>0.0</v>
      </c>
      <c r="F89" s="132">
        <v>0.0</v>
      </c>
      <c r="G89" s="132">
        <v>0.0</v>
      </c>
      <c r="H89" s="132">
        <v>0.0</v>
      </c>
      <c r="I89" s="132">
        <v>0.0</v>
      </c>
      <c r="J89" s="132">
        <v>0.0</v>
      </c>
      <c r="K89" s="133">
        <v>0.0</v>
      </c>
      <c r="L89" s="134">
        <f t="shared" ref="L89:L98" si="1">SUM(E89:K89)</f>
        <v>0</v>
      </c>
      <c r="M89" s="135"/>
      <c r="Z89" s="135"/>
      <c r="AD89" s="15"/>
      <c r="AE89" s="8"/>
      <c r="AF89" s="8"/>
      <c r="AG89" s="8"/>
      <c r="AH89" s="1"/>
      <c r="AI89" s="1"/>
      <c r="AJ89" s="1"/>
      <c r="AK89" s="1"/>
    </row>
    <row r="90" ht="14.25" customHeight="1">
      <c r="A90" s="26" t="s">
        <v>57</v>
      </c>
      <c r="B90" s="27"/>
      <c r="C90" s="27"/>
      <c r="D90" s="28"/>
      <c r="E90" s="136">
        <v>0.0</v>
      </c>
      <c r="F90" s="136">
        <v>0.0</v>
      </c>
      <c r="G90" s="136">
        <v>0.0</v>
      </c>
      <c r="H90" s="136">
        <v>0.0</v>
      </c>
      <c r="I90" s="136">
        <v>0.0</v>
      </c>
      <c r="J90" s="136">
        <v>0.0</v>
      </c>
      <c r="K90" s="137">
        <v>0.0</v>
      </c>
      <c r="L90" s="138">
        <f t="shared" si="1"/>
        <v>0</v>
      </c>
      <c r="M90" s="135"/>
      <c r="AD90" s="15"/>
      <c r="AE90" s="8"/>
      <c r="AF90" s="8"/>
      <c r="AG90" s="8"/>
      <c r="AH90" s="1"/>
      <c r="AI90" s="1"/>
      <c r="AJ90" s="1"/>
      <c r="AK90" s="1"/>
    </row>
    <row r="91" ht="14.25" customHeight="1">
      <c r="A91" s="26" t="s">
        <v>58</v>
      </c>
      <c r="B91" s="27"/>
      <c r="C91" s="27"/>
      <c r="D91" s="28"/>
      <c r="E91" s="136">
        <v>0.0</v>
      </c>
      <c r="F91" s="136">
        <v>0.0</v>
      </c>
      <c r="G91" s="136">
        <v>0.0</v>
      </c>
      <c r="H91" s="136">
        <v>0.0</v>
      </c>
      <c r="I91" s="136">
        <v>0.0</v>
      </c>
      <c r="J91" s="136">
        <v>0.0</v>
      </c>
      <c r="K91" s="136">
        <v>0.0</v>
      </c>
      <c r="L91" s="138">
        <f t="shared" si="1"/>
        <v>0</v>
      </c>
      <c r="M91" s="135"/>
      <c r="Z91" s="15"/>
      <c r="AA91" s="15"/>
      <c r="AB91" s="15"/>
      <c r="AC91" s="15"/>
      <c r="AD91" s="15"/>
      <c r="AE91" s="8"/>
      <c r="AF91" s="8"/>
      <c r="AG91" s="8"/>
      <c r="AH91" s="1"/>
      <c r="AI91" s="1"/>
      <c r="AJ91" s="1"/>
      <c r="AK91" s="1"/>
    </row>
    <row r="92" ht="14.25" customHeight="1">
      <c r="A92" s="26" t="s">
        <v>59</v>
      </c>
      <c r="B92" s="27"/>
      <c r="C92" s="27"/>
      <c r="D92" s="28"/>
      <c r="E92" s="136">
        <v>0.0</v>
      </c>
      <c r="F92" s="136">
        <v>0.0</v>
      </c>
      <c r="G92" s="136">
        <v>0.0</v>
      </c>
      <c r="H92" s="136">
        <v>0.0</v>
      </c>
      <c r="I92" s="136">
        <v>0.0</v>
      </c>
      <c r="J92" s="136">
        <v>0.0</v>
      </c>
      <c r="K92" s="137">
        <v>0.0</v>
      </c>
      <c r="L92" s="138">
        <f t="shared" si="1"/>
        <v>0</v>
      </c>
      <c r="M92" s="135"/>
      <c r="Z92" s="15"/>
      <c r="AA92" s="15"/>
      <c r="AB92" s="15"/>
      <c r="AC92" s="15"/>
      <c r="AD92" s="15"/>
      <c r="AE92" s="8"/>
      <c r="AF92" s="8"/>
      <c r="AG92" s="8"/>
      <c r="AH92" s="1"/>
      <c r="AI92" s="1"/>
      <c r="AJ92" s="1"/>
      <c r="AK92" s="1"/>
    </row>
    <row r="93" ht="14.25" customHeight="1">
      <c r="A93" s="26" t="s">
        <v>60</v>
      </c>
      <c r="B93" s="27"/>
      <c r="C93" s="27"/>
      <c r="D93" s="28"/>
      <c r="E93" s="136">
        <v>0.0</v>
      </c>
      <c r="F93" s="136">
        <v>0.0</v>
      </c>
      <c r="G93" s="136">
        <v>0.0</v>
      </c>
      <c r="H93" s="136">
        <v>0.0</v>
      </c>
      <c r="I93" s="136">
        <v>0.0</v>
      </c>
      <c r="J93" s="136">
        <v>0.0</v>
      </c>
      <c r="K93" s="139">
        <v>0.0</v>
      </c>
      <c r="L93" s="138">
        <f t="shared" si="1"/>
        <v>0</v>
      </c>
      <c r="M93" s="15"/>
      <c r="AE93" s="8"/>
      <c r="AF93" s="8"/>
      <c r="AG93" s="8"/>
      <c r="AH93" s="1"/>
      <c r="AI93" s="1"/>
      <c r="AJ93" s="1"/>
      <c r="AK93" s="1"/>
    </row>
    <row r="94" ht="14.25" customHeight="1">
      <c r="A94" s="26" t="s">
        <v>61</v>
      </c>
      <c r="B94" s="27"/>
      <c r="C94" s="27"/>
      <c r="D94" s="28"/>
      <c r="E94" s="136">
        <v>0.0</v>
      </c>
      <c r="F94" s="136">
        <v>0.0</v>
      </c>
      <c r="G94" s="136">
        <v>0.0</v>
      </c>
      <c r="H94" s="136">
        <v>0.0</v>
      </c>
      <c r="I94" s="136">
        <v>0.0</v>
      </c>
      <c r="J94" s="136">
        <v>0.0</v>
      </c>
      <c r="K94" s="137">
        <v>0.0</v>
      </c>
      <c r="L94" s="138">
        <f t="shared" si="1"/>
        <v>0</v>
      </c>
      <c r="M94" s="15"/>
      <c r="AE94" s="8"/>
      <c r="AF94" s="8"/>
      <c r="AG94" s="8"/>
      <c r="AH94" s="1"/>
      <c r="AI94" s="1"/>
      <c r="AJ94" s="1"/>
      <c r="AK94" s="1"/>
    </row>
    <row r="95" ht="21.75" customHeight="1">
      <c r="A95" s="26" t="s">
        <v>62</v>
      </c>
      <c r="B95" s="27"/>
      <c r="C95" s="27"/>
      <c r="D95" s="28"/>
      <c r="E95" s="136">
        <v>0.0</v>
      </c>
      <c r="F95" s="136">
        <v>0.0</v>
      </c>
      <c r="G95" s="136">
        <v>0.0</v>
      </c>
      <c r="H95" s="136">
        <v>0.0</v>
      </c>
      <c r="I95" s="136">
        <v>0.0</v>
      </c>
      <c r="J95" s="136">
        <v>0.0</v>
      </c>
      <c r="K95" s="139">
        <v>0.0</v>
      </c>
      <c r="L95" s="138">
        <f t="shared" si="1"/>
        <v>0</v>
      </c>
      <c r="M95" s="135"/>
      <c r="Z95" s="15"/>
      <c r="AA95" s="15"/>
      <c r="AB95" s="15"/>
      <c r="AC95" s="15"/>
      <c r="AD95" s="15"/>
      <c r="AE95" s="8"/>
      <c r="AF95" s="8"/>
      <c r="AG95" s="8"/>
      <c r="AH95" s="1"/>
      <c r="AI95" s="1"/>
      <c r="AJ95" s="1"/>
      <c r="AK95" s="1"/>
    </row>
    <row r="96" ht="16.5" customHeight="1">
      <c r="A96" s="140" t="s">
        <v>63</v>
      </c>
      <c r="B96" s="27"/>
      <c r="C96" s="27"/>
      <c r="D96" s="28"/>
      <c r="E96" s="136">
        <v>0.0</v>
      </c>
      <c r="F96" s="136">
        <v>0.0</v>
      </c>
      <c r="G96" s="136">
        <v>0.0</v>
      </c>
      <c r="H96" s="136">
        <v>0.0</v>
      </c>
      <c r="I96" s="136">
        <v>0.0</v>
      </c>
      <c r="J96" s="136">
        <v>0.0</v>
      </c>
      <c r="K96" s="139">
        <v>0.0</v>
      </c>
      <c r="L96" s="138">
        <f t="shared" si="1"/>
        <v>0</v>
      </c>
      <c r="M96" s="135"/>
      <c r="Z96" s="15"/>
      <c r="AA96" s="15"/>
      <c r="AB96" s="15"/>
      <c r="AC96" s="15"/>
      <c r="AD96" s="15"/>
      <c r="AE96" s="8"/>
      <c r="AF96" s="8"/>
      <c r="AG96" s="8"/>
      <c r="AH96" s="1"/>
      <c r="AI96" s="1"/>
      <c r="AJ96" s="1"/>
      <c r="AK96" s="1"/>
    </row>
    <row r="97" ht="27.0" customHeight="1">
      <c r="A97" s="141" t="s">
        <v>64</v>
      </c>
      <c r="B97" s="36"/>
      <c r="C97" s="36"/>
      <c r="D97" s="49"/>
      <c r="E97" s="142">
        <v>0.0</v>
      </c>
      <c r="F97" s="142">
        <v>0.0</v>
      </c>
      <c r="G97" s="142">
        <v>0.0</v>
      </c>
      <c r="H97" s="142">
        <v>0.0</v>
      </c>
      <c r="I97" s="142">
        <v>0.0</v>
      </c>
      <c r="J97" s="142">
        <v>0.0</v>
      </c>
      <c r="K97" s="142">
        <v>0.0</v>
      </c>
      <c r="L97" s="143">
        <f t="shared" si="1"/>
        <v>0</v>
      </c>
      <c r="M97" s="135"/>
      <c r="Z97" s="15"/>
      <c r="AA97" s="15"/>
      <c r="AB97" s="15"/>
      <c r="AC97" s="15"/>
      <c r="AD97" s="15"/>
      <c r="AE97" s="8"/>
      <c r="AF97" s="8"/>
      <c r="AG97" s="8"/>
      <c r="AH97" s="1"/>
      <c r="AI97" s="1"/>
      <c r="AJ97" s="1"/>
      <c r="AK97" s="1"/>
    </row>
    <row r="98" ht="14.25" customHeight="1">
      <c r="A98" s="144" t="s">
        <v>11</v>
      </c>
      <c r="B98" s="19"/>
      <c r="C98" s="19"/>
      <c r="D98" s="20"/>
      <c r="E98" s="145">
        <f t="shared" ref="E98:K98" si="2">SUM(E89:E97)</f>
        <v>0</v>
      </c>
      <c r="F98" s="146">
        <f t="shared" si="2"/>
        <v>0</v>
      </c>
      <c r="G98" s="146">
        <f t="shared" si="2"/>
        <v>0</v>
      </c>
      <c r="H98" s="146">
        <f t="shared" si="2"/>
        <v>0</v>
      </c>
      <c r="I98" s="146">
        <f t="shared" si="2"/>
        <v>0</v>
      </c>
      <c r="J98" s="146">
        <f t="shared" si="2"/>
        <v>0</v>
      </c>
      <c r="K98" s="147">
        <f t="shared" si="2"/>
        <v>0</v>
      </c>
      <c r="L98" s="148">
        <f t="shared" si="1"/>
        <v>0</v>
      </c>
      <c r="M98" s="135" t="str">
        <f>IF(L98&lt;&gt;H19,"Section 4.1 - The Total of the ""Total"" should be equal to ""Closed during reporting period"" of Section 1.1","")</f>
        <v/>
      </c>
      <c r="U98" s="149"/>
      <c r="V98" s="149"/>
      <c r="W98" s="149"/>
      <c r="X98" s="149"/>
      <c r="Y98" s="149"/>
      <c r="Z98" s="15"/>
      <c r="AA98" s="15"/>
      <c r="AB98" s="15"/>
      <c r="AC98" s="15"/>
      <c r="AD98" s="15"/>
      <c r="AE98" s="8"/>
      <c r="AF98" s="8"/>
      <c r="AG98" s="8"/>
      <c r="AH98" s="1"/>
      <c r="AI98" s="1"/>
      <c r="AJ98" s="1"/>
      <c r="AK98" s="1"/>
    </row>
    <row r="99" ht="14.25" customHeight="1">
      <c r="A99" s="1"/>
      <c r="B99" s="1"/>
      <c r="C99" s="1"/>
      <c r="D99" s="1"/>
      <c r="E99" s="1"/>
      <c r="F99" s="10"/>
      <c r="H99" s="1"/>
      <c r="I99" s="1"/>
      <c r="J99" s="1"/>
      <c r="K99" s="1"/>
      <c r="L99" s="150">
        <f>SUM(L89:L92,L95:L97)</f>
        <v>0</v>
      </c>
      <c r="U99" s="149"/>
      <c r="V99" s="149"/>
      <c r="W99" s="149"/>
      <c r="X99" s="149"/>
      <c r="Y99" s="149"/>
      <c r="Z99" s="15"/>
      <c r="AA99" s="15"/>
      <c r="AB99" s="15"/>
      <c r="AC99" s="15"/>
      <c r="AD99" s="15"/>
      <c r="AE99" s="8"/>
      <c r="AF99" s="8"/>
      <c r="AG99" s="8"/>
      <c r="AH99" s="1"/>
      <c r="AI99" s="1"/>
      <c r="AJ99" s="1"/>
      <c r="AK99" s="1"/>
    </row>
    <row r="100" ht="14.25" customHeight="1">
      <c r="A100" s="5" t="s">
        <v>65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8"/>
      <c r="AD100" s="8"/>
      <c r="AE100" s="8"/>
      <c r="AF100" s="8"/>
      <c r="AG100" s="8"/>
      <c r="AH100" s="1"/>
      <c r="AI100" s="1"/>
      <c r="AJ100" s="1"/>
      <c r="AK100" s="1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8"/>
      <c r="AD101" s="8"/>
      <c r="AE101" s="8"/>
      <c r="AF101" s="8"/>
      <c r="AG101" s="8"/>
      <c r="AH101" s="1"/>
      <c r="AI101" s="1"/>
      <c r="AJ101" s="1"/>
      <c r="AK101" s="1"/>
    </row>
    <row r="102" ht="39.75" customHeight="1">
      <c r="A102" s="151" t="s">
        <v>66</v>
      </c>
      <c r="B102" s="152"/>
      <c r="C102" s="153" t="s">
        <v>6</v>
      </c>
      <c r="D102" s="154" t="s">
        <v>66</v>
      </c>
      <c r="E102" s="155"/>
      <c r="F102" s="156" t="s">
        <v>6</v>
      </c>
      <c r="G102" s="151" t="s">
        <v>66</v>
      </c>
      <c r="H102" s="152"/>
      <c r="I102" s="157" t="s">
        <v>6</v>
      </c>
      <c r="J102" s="151" t="s">
        <v>66</v>
      </c>
      <c r="K102" s="152"/>
      <c r="L102" s="157" t="s">
        <v>6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8"/>
      <c r="AD102" s="8"/>
      <c r="AE102" s="8"/>
      <c r="AF102" s="8"/>
      <c r="AG102" s="8"/>
      <c r="AH102" s="1"/>
      <c r="AI102" s="1"/>
      <c r="AJ102" s="1"/>
      <c r="AK102" s="1"/>
    </row>
    <row r="103" ht="14.25" customHeight="1">
      <c r="A103" s="158" t="s">
        <v>67</v>
      </c>
      <c r="B103" s="159"/>
      <c r="C103" s="160">
        <v>0.0</v>
      </c>
      <c r="D103" s="114" t="s">
        <v>68</v>
      </c>
      <c r="E103" s="159"/>
      <c r="F103" s="160">
        <v>0.0</v>
      </c>
      <c r="G103" s="158" t="s">
        <v>69</v>
      </c>
      <c r="H103" s="159"/>
      <c r="I103" s="161">
        <v>0.0</v>
      </c>
      <c r="J103" s="22">
        <v>20.1</v>
      </c>
      <c r="K103" s="159"/>
      <c r="L103" s="162">
        <v>0.0</v>
      </c>
      <c r="M103" s="2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8"/>
      <c r="AD103" s="8"/>
      <c r="AE103" s="8"/>
      <c r="AF103" s="8"/>
      <c r="AG103" s="8"/>
      <c r="AH103" s="1"/>
      <c r="AI103" s="1"/>
      <c r="AJ103" s="1"/>
      <c r="AK103" s="1"/>
    </row>
    <row r="104" ht="14.25" customHeight="1">
      <c r="A104" s="163" t="s">
        <v>70</v>
      </c>
      <c r="B104" s="27"/>
      <c r="C104" s="164">
        <v>0.0</v>
      </c>
      <c r="D104" s="163" t="s">
        <v>71</v>
      </c>
      <c r="E104" s="165"/>
      <c r="F104" s="162">
        <v>0.0</v>
      </c>
      <c r="G104" s="163" t="s">
        <v>72</v>
      </c>
      <c r="H104" s="165"/>
      <c r="I104" s="166">
        <v>0.0</v>
      </c>
      <c r="J104" s="26">
        <v>20.2</v>
      </c>
      <c r="K104" s="165"/>
      <c r="L104" s="167">
        <v>0.0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8"/>
      <c r="AD104" s="8"/>
      <c r="AE104" s="8"/>
      <c r="AF104" s="8"/>
      <c r="AG104" s="8"/>
      <c r="AH104" s="1"/>
      <c r="AI104" s="1"/>
      <c r="AJ104" s="1"/>
      <c r="AK104" s="1"/>
    </row>
    <row r="105" ht="14.25" customHeight="1">
      <c r="A105" s="163" t="s">
        <v>73</v>
      </c>
      <c r="B105" s="27"/>
      <c r="C105" s="164">
        <v>0.0</v>
      </c>
      <c r="D105" s="163" t="s">
        <v>74</v>
      </c>
      <c r="E105" s="165"/>
      <c r="F105" s="167">
        <v>0.0</v>
      </c>
      <c r="G105" s="163" t="s">
        <v>75</v>
      </c>
      <c r="H105" s="165"/>
      <c r="I105" s="166">
        <v>0.0</v>
      </c>
      <c r="J105" s="26">
        <v>20.4</v>
      </c>
      <c r="K105" s="165"/>
      <c r="L105" s="167">
        <v>0.0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8"/>
      <c r="AD105" s="8"/>
      <c r="AE105" s="8"/>
      <c r="AF105" s="8"/>
      <c r="AG105" s="8"/>
      <c r="AH105" s="1"/>
      <c r="AI105" s="1"/>
      <c r="AJ105" s="1"/>
      <c r="AK105" s="1"/>
    </row>
    <row r="106" ht="14.25" customHeight="1">
      <c r="A106" s="163" t="s">
        <v>76</v>
      </c>
      <c r="B106" s="27"/>
      <c r="C106" s="164">
        <v>0.0</v>
      </c>
      <c r="D106" s="163" t="s">
        <v>77</v>
      </c>
      <c r="E106" s="165"/>
      <c r="F106" s="167">
        <v>0.0</v>
      </c>
      <c r="G106" s="163" t="s">
        <v>78</v>
      </c>
      <c r="H106" s="165"/>
      <c r="I106" s="166">
        <v>0.0</v>
      </c>
      <c r="J106" s="163" t="s">
        <v>79</v>
      </c>
      <c r="K106" s="165"/>
      <c r="L106" s="167">
        <v>0.0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8"/>
      <c r="AD106" s="8"/>
      <c r="AE106" s="8"/>
      <c r="AF106" s="8"/>
      <c r="AG106" s="8"/>
      <c r="AH106" s="1"/>
      <c r="AI106" s="1"/>
      <c r="AJ106" s="1"/>
      <c r="AK106" s="1"/>
    </row>
    <row r="107" ht="14.25" customHeight="1">
      <c r="A107" s="163" t="s">
        <v>80</v>
      </c>
      <c r="B107" s="27"/>
      <c r="C107" s="164">
        <v>0.0</v>
      </c>
      <c r="D107" s="163" t="s">
        <v>81</v>
      </c>
      <c r="E107" s="165"/>
      <c r="F107" s="167">
        <v>0.0</v>
      </c>
      <c r="G107" s="163" t="s">
        <v>82</v>
      </c>
      <c r="H107" s="165"/>
      <c r="I107" s="166">
        <v>0.0</v>
      </c>
      <c r="J107" s="163" t="s">
        <v>83</v>
      </c>
      <c r="K107" s="165"/>
      <c r="L107" s="167">
        <v>0.0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8"/>
      <c r="AD107" s="8"/>
      <c r="AE107" s="8"/>
      <c r="AF107" s="8"/>
      <c r="AG107" s="8"/>
      <c r="AH107" s="1"/>
      <c r="AI107" s="1"/>
      <c r="AJ107" s="1"/>
      <c r="AK107" s="1"/>
    </row>
    <row r="108" ht="14.25" customHeight="1">
      <c r="A108" s="168">
        <v>14.0</v>
      </c>
      <c r="B108" s="33"/>
      <c r="C108" s="164">
        <v>0.0</v>
      </c>
      <c r="D108" s="163" t="s">
        <v>84</v>
      </c>
      <c r="E108" s="165"/>
      <c r="F108" s="167">
        <v>0.0</v>
      </c>
      <c r="G108" s="163" t="s">
        <v>85</v>
      </c>
      <c r="H108" s="165"/>
      <c r="I108" s="166">
        <v>0.0</v>
      </c>
      <c r="J108" s="163" t="s">
        <v>86</v>
      </c>
      <c r="K108" s="165"/>
      <c r="L108" s="167">
        <v>0.0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8"/>
      <c r="AD108" s="8"/>
      <c r="AE108" s="8"/>
      <c r="AF108" s="8"/>
      <c r="AG108" s="8"/>
      <c r="AH108" s="1"/>
      <c r="AI108" s="1"/>
      <c r="AJ108" s="1"/>
      <c r="AK108" s="1"/>
    </row>
    <row r="109" ht="14.25" customHeight="1">
      <c r="A109" s="163" t="s">
        <v>87</v>
      </c>
      <c r="B109" s="165"/>
      <c r="C109" s="167">
        <v>0.0</v>
      </c>
      <c r="D109" s="163" t="s">
        <v>88</v>
      </c>
      <c r="E109" s="165"/>
      <c r="F109" s="167">
        <v>0.0</v>
      </c>
      <c r="G109" s="163" t="s">
        <v>89</v>
      </c>
      <c r="H109" s="165"/>
      <c r="I109" s="166">
        <v>0.0</v>
      </c>
      <c r="J109" s="163" t="s">
        <v>90</v>
      </c>
      <c r="K109" s="165"/>
      <c r="L109" s="167">
        <v>0.0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8"/>
      <c r="AD109" s="8"/>
      <c r="AE109" s="8"/>
      <c r="AF109" s="8"/>
      <c r="AG109" s="8"/>
      <c r="AH109" s="1"/>
      <c r="AI109" s="1"/>
      <c r="AJ109" s="1"/>
      <c r="AK109" s="1"/>
    </row>
    <row r="110" ht="14.25" customHeight="1">
      <c r="A110" s="163" t="s">
        <v>91</v>
      </c>
      <c r="B110" s="27"/>
      <c r="C110" s="164">
        <v>0.0</v>
      </c>
      <c r="D110" s="163" t="s">
        <v>92</v>
      </c>
      <c r="E110" s="165"/>
      <c r="F110" s="167">
        <v>0.0</v>
      </c>
      <c r="G110" s="163" t="s">
        <v>93</v>
      </c>
      <c r="H110" s="165"/>
      <c r="I110" s="166">
        <v>0.0</v>
      </c>
      <c r="J110" s="26">
        <v>22.0</v>
      </c>
      <c r="K110" s="165"/>
      <c r="L110" s="167">
        <v>0.0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8"/>
      <c r="AD110" s="8"/>
      <c r="AE110" s="8"/>
      <c r="AF110" s="8"/>
      <c r="AG110" s="8"/>
      <c r="AH110" s="1"/>
      <c r="AI110" s="1"/>
      <c r="AJ110" s="1"/>
      <c r="AK110" s="1"/>
    </row>
    <row r="111" ht="14.25" customHeight="1">
      <c r="A111" s="169" t="s">
        <v>94</v>
      </c>
      <c r="B111" s="7"/>
      <c r="C111" s="164">
        <v>0.0</v>
      </c>
      <c r="D111" s="163" t="s">
        <v>95</v>
      </c>
      <c r="E111" s="165"/>
      <c r="F111" s="167">
        <v>0.0</v>
      </c>
      <c r="G111" s="163" t="s">
        <v>96</v>
      </c>
      <c r="H111" s="165"/>
      <c r="I111" s="166">
        <v>0.0</v>
      </c>
      <c r="J111" s="163" t="s">
        <v>97</v>
      </c>
      <c r="K111" s="165"/>
      <c r="L111" s="167">
        <v>0.0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8"/>
      <c r="AD111" s="8"/>
      <c r="AE111" s="8"/>
      <c r="AF111" s="8"/>
      <c r="AG111" s="8"/>
      <c r="AH111" s="1"/>
      <c r="AI111" s="1"/>
      <c r="AJ111" s="1"/>
      <c r="AK111" s="1"/>
    </row>
    <row r="112" ht="14.25" customHeight="1">
      <c r="A112" s="163" t="s">
        <v>98</v>
      </c>
      <c r="B112" s="27"/>
      <c r="C112" s="164">
        <v>0.0</v>
      </c>
      <c r="D112" s="163" t="s">
        <v>99</v>
      </c>
      <c r="E112" s="165"/>
      <c r="F112" s="167">
        <v>0.0</v>
      </c>
      <c r="G112" s="163" t="s">
        <v>100</v>
      </c>
      <c r="H112" s="165"/>
      <c r="I112" s="166">
        <v>0.0</v>
      </c>
      <c r="J112" s="26">
        <v>23.0</v>
      </c>
      <c r="K112" s="165"/>
      <c r="L112" s="167">
        <v>0.0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8"/>
      <c r="AD112" s="8"/>
      <c r="AE112" s="8"/>
      <c r="AF112" s="8"/>
      <c r="AG112" s="8"/>
      <c r="AH112" s="1"/>
      <c r="AI112" s="1"/>
      <c r="AJ112" s="1"/>
      <c r="AK112" s="1"/>
    </row>
    <row r="113" ht="14.25" customHeight="1">
      <c r="A113" s="163" t="s">
        <v>101</v>
      </c>
      <c r="B113" s="165"/>
      <c r="C113" s="167">
        <v>0.0</v>
      </c>
      <c r="D113" s="26">
        <v>16.3</v>
      </c>
      <c r="E113" s="165"/>
      <c r="F113" s="167">
        <v>0.0</v>
      </c>
      <c r="G113" s="163" t="s">
        <v>102</v>
      </c>
      <c r="H113" s="165"/>
      <c r="I113" s="166">
        <v>0.0</v>
      </c>
      <c r="J113" s="26">
        <v>23.1</v>
      </c>
      <c r="K113" s="165"/>
      <c r="L113" s="167">
        <v>0.0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8"/>
      <c r="AD113" s="8"/>
      <c r="AE113" s="8"/>
      <c r="AF113" s="8"/>
      <c r="AG113" s="8"/>
      <c r="AH113" s="1"/>
      <c r="AI113" s="1"/>
      <c r="AJ113" s="1"/>
      <c r="AK113" s="1"/>
    </row>
    <row r="114" ht="14.25" customHeight="1">
      <c r="A114" s="163" t="s">
        <v>103</v>
      </c>
      <c r="B114" s="27"/>
      <c r="C114" s="164">
        <v>0.0</v>
      </c>
      <c r="D114" s="163" t="s">
        <v>104</v>
      </c>
      <c r="E114" s="165"/>
      <c r="F114" s="167">
        <v>0.0</v>
      </c>
      <c r="G114" s="163" t="s">
        <v>105</v>
      </c>
      <c r="H114" s="165"/>
      <c r="I114" s="166">
        <v>0.0</v>
      </c>
      <c r="J114" s="163" t="s">
        <v>106</v>
      </c>
      <c r="K114" s="165"/>
      <c r="L114" s="167">
        <v>0.0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8"/>
      <c r="AD114" s="8"/>
      <c r="AE114" s="8"/>
      <c r="AF114" s="8"/>
      <c r="AG114" s="8"/>
      <c r="AH114" s="1"/>
      <c r="AI114" s="1"/>
      <c r="AJ114" s="1"/>
      <c r="AK114" s="1"/>
    </row>
    <row r="115" ht="14.25" customHeight="1">
      <c r="A115" s="163" t="s">
        <v>107</v>
      </c>
      <c r="B115" s="27"/>
      <c r="C115" s="164">
        <v>0.0</v>
      </c>
      <c r="D115" s="163" t="s">
        <v>108</v>
      </c>
      <c r="E115" s="165"/>
      <c r="F115" s="167">
        <v>0.0</v>
      </c>
      <c r="G115" s="163" t="s">
        <v>109</v>
      </c>
      <c r="H115" s="165"/>
      <c r="I115" s="166">
        <v>0.0</v>
      </c>
      <c r="J115" s="170">
        <v>26.0</v>
      </c>
      <c r="K115" s="171"/>
      <c r="L115" s="172">
        <v>0.0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8"/>
      <c r="AD115" s="8"/>
      <c r="AE115" s="8"/>
      <c r="AF115" s="8"/>
      <c r="AG115" s="8"/>
      <c r="AH115" s="1"/>
      <c r="AI115" s="1"/>
      <c r="AJ115" s="1"/>
      <c r="AK115" s="1"/>
    </row>
    <row r="116" ht="14.25" customHeight="1">
      <c r="A116" s="163" t="s">
        <v>110</v>
      </c>
      <c r="B116" s="165"/>
      <c r="C116" s="167">
        <v>0.0</v>
      </c>
      <c r="D116" s="26">
        <v>16.5</v>
      </c>
      <c r="E116" s="165"/>
      <c r="F116" s="167">
        <v>0.0</v>
      </c>
      <c r="G116" s="173" t="s">
        <v>111</v>
      </c>
      <c r="H116" s="171"/>
      <c r="I116" s="174">
        <v>0.0</v>
      </c>
      <c r="J116" s="175"/>
      <c r="K116" s="104"/>
      <c r="L116" s="102"/>
      <c r="M116" s="10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8"/>
      <c r="AD116" s="8"/>
      <c r="AE116" s="8"/>
      <c r="AF116" s="8"/>
      <c r="AG116" s="8"/>
      <c r="AH116" s="1"/>
      <c r="AI116" s="1"/>
      <c r="AJ116" s="1"/>
      <c r="AK116" s="1"/>
    </row>
    <row r="117" ht="14.25" customHeight="1">
      <c r="A117" s="163" t="s">
        <v>112</v>
      </c>
      <c r="B117" s="27"/>
      <c r="C117" s="164">
        <v>0.0</v>
      </c>
      <c r="D117" s="26">
        <v>16.6</v>
      </c>
      <c r="E117" s="165"/>
      <c r="F117" s="167">
        <v>0.0</v>
      </c>
      <c r="G117" s="8"/>
      <c r="H117" s="8"/>
      <c r="I117" s="176"/>
      <c r="J117" s="8"/>
      <c r="K117" s="8"/>
      <c r="L117" s="8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8"/>
      <c r="AD117" s="8"/>
      <c r="AE117" s="8"/>
      <c r="AF117" s="8"/>
      <c r="AG117" s="8"/>
      <c r="AH117" s="1"/>
      <c r="AI117" s="1"/>
      <c r="AJ117" s="1"/>
      <c r="AK117" s="1"/>
    </row>
    <row r="118" ht="14.25" customHeight="1">
      <c r="A118" s="163" t="s">
        <v>113</v>
      </c>
      <c r="B118" s="27"/>
      <c r="C118" s="164">
        <v>0.0</v>
      </c>
      <c r="D118" s="170">
        <v>17.0</v>
      </c>
      <c r="E118" s="171"/>
      <c r="F118" s="172">
        <v>0.0</v>
      </c>
      <c r="G118" s="8"/>
      <c r="H118" s="8"/>
      <c r="I118" s="8"/>
      <c r="J118" s="8"/>
      <c r="K118" s="8"/>
      <c r="L118" s="8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8"/>
      <c r="AD118" s="8"/>
      <c r="AE118" s="8"/>
      <c r="AF118" s="8"/>
      <c r="AG118" s="8"/>
      <c r="AH118" s="1"/>
      <c r="AI118" s="1"/>
      <c r="AJ118" s="1"/>
      <c r="AK118" s="1"/>
    </row>
    <row r="119" ht="14.25" customHeight="1">
      <c r="A119" s="177" t="s">
        <v>114</v>
      </c>
      <c r="B119" s="33"/>
      <c r="C119" s="164">
        <v>0.0</v>
      </c>
      <c r="D119" s="1"/>
      <c r="E119" s="1"/>
      <c r="F119" s="1"/>
      <c r="G119" s="104"/>
      <c r="H119" s="104"/>
      <c r="I119" s="102"/>
      <c r="J119" s="178"/>
      <c r="K119" s="178"/>
      <c r="L119" s="102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8"/>
      <c r="AD119" s="8"/>
      <c r="AE119" s="8"/>
      <c r="AF119" s="8"/>
      <c r="AG119" s="8"/>
      <c r="AH119" s="1"/>
      <c r="AI119" s="1"/>
      <c r="AJ119" s="1"/>
      <c r="AK119" s="1"/>
    </row>
    <row r="120" ht="14.25" customHeight="1">
      <c r="A120" s="173" t="s">
        <v>115</v>
      </c>
      <c r="B120" s="36"/>
      <c r="C120" s="179">
        <v>0.0</v>
      </c>
      <c r="D120" s="180"/>
      <c r="E120" s="181" t="s">
        <v>116</v>
      </c>
      <c r="F120" s="58"/>
      <c r="G120" s="58"/>
      <c r="H120" s="58"/>
      <c r="I120" s="58"/>
      <c r="J120" s="58"/>
      <c r="K120" s="58"/>
      <c r="L120" s="58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8"/>
      <c r="AD120" s="8"/>
      <c r="AE120" s="8"/>
      <c r="AF120" s="8"/>
      <c r="AG120" s="8"/>
      <c r="AH120" s="1"/>
      <c r="AI120" s="1"/>
      <c r="AJ120" s="1"/>
      <c r="A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8"/>
      <c r="AD121" s="8"/>
      <c r="AE121" s="8"/>
      <c r="AF121" s="8"/>
      <c r="AG121" s="8"/>
      <c r="AH121" s="1"/>
      <c r="AI121" s="1"/>
      <c r="AJ121" s="1"/>
      <c r="AK121" s="1"/>
    </row>
    <row r="122" ht="14.25" customHeight="1">
      <c r="A122" s="182" t="s">
        <v>117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8"/>
      <c r="AD122" s="8"/>
      <c r="AE122" s="8"/>
      <c r="AF122" s="8"/>
      <c r="AG122" s="8"/>
      <c r="AH122" s="1"/>
      <c r="AI122" s="1"/>
      <c r="AJ122" s="1"/>
      <c r="AK122" s="1"/>
    </row>
    <row r="123" ht="14.25" customHeight="1">
      <c r="A123" s="1"/>
      <c r="B123" s="1"/>
      <c r="C123" s="16"/>
      <c r="D123" s="16"/>
      <c r="E123" s="16"/>
      <c r="F123" s="16"/>
      <c r="G123" s="16"/>
      <c r="H123" s="16"/>
      <c r="I123" s="16"/>
      <c r="J123" s="16"/>
      <c r="K123" s="1"/>
      <c r="L123" s="1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8"/>
      <c r="AD123" s="8"/>
      <c r="AE123" s="8"/>
      <c r="AF123" s="8"/>
      <c r="AG123" s="8"/>
      <c r="AH123" s="1"/>
      <c r="AI123" s="1"/>
      <c r="AJ123" s="1"/>
      <c r="AK123" s="1"/>
    </row>
    <row r="124" ht="27.75" customHeight="1">
      <c r="A124" s="18" t="s">
        <v>66</v>
      </c>
      <c r="B124" s="152"/>
      <c r="C124" s="154" t="s">
        <v>6</v>
      </c>
      <c r="D124" s="86"/>
      <c r="E124" s="18" t="s">
        <v>66</v>
      </c>
      <c r="F124" s="152"/>
      <c r="G124" s="183" t="s">
        <v>6</v>
      </c>
      <c r="H124" s="20"/>
      <c r="I124" s="18" t="s">
        <v>66</v>
      </c>
      <c r="J124" s="152"/>
      <c r="K124" s="183" t="s">
        <v>6</v>
      </c>
      <c r="L124" s="20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8"/>
      <c r="AD124" s="8"/>
      <c r="AE124" s="8"/>
      <c r="AF124" s="8"/>
      <c r="AG124" s="8"/>
      <c r="AH124" s="1"/>
      <c r="AI124" s="1"/>
      <c r="AJ124" s="1"/>
      <c r="AK124" s="1"/>
    </row>
    <row r="125" ht="14.25" customHeight="1">
      <c r="A125" s="158" t="s">
        <v>118</v>
      </c>
      <c r="B125" s="23"/>
      <c r="C125" s="184">
        <v>0.0</v>
      </c>
      <c r="D125" s="24"/>
      <c r="E125" s="158" t="s">
        <v>119</v>
      </c>
      <c r="F125" s="159"/>
      <c r="G125" s="185">
        <v>0.0</v>
      </c>
      <c r="H125" s="24"/>
      <c r="I125" s="158" t="s">
        <v>120</v>
      </c>
      <c r="J125" s="159"/>
      <c r="K125" s="185">
        <v>0.0</v>
      </c>
      <c r="L125" s="2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8"/>
      <c r="AD125" s="8"/>
      <c r="AE125" s="8"/>
      <c r="AF125" s="8"/>
      <c r="AG125" s="8"/>
      <c r="AH125" s="1"/>
      <c r="AI125" s="1"/>
      <c r="AJ125" s="1"/>
      <c r="AK125" s="1"/>
    </row>
    <row r="126" ht="14.25" customHeight="1">
      <c r="A126" s="163" t="s">
        <v>121</v>
      </c>
      <c r="B126" s="27"/>
      <c r="C126" s="186">
        <v>0.0</v>
      </c>
      <c r="D126" s="28"/>
      <c r="E126" s="163" t="s">
        <v>122</v>
      </c>
      <c r="F126" s="165"/>
      <c r="G126" s="166">
        <v>0.0</v>
      </c>
      <c r="H126" s="28"/>
      <c r="I126" s="163" t="s">
        <v>123</v>
      </c>
      <c r="J126" s="165"/>
      <c r="K126" s="166">
        <v>0.0</v>
      </c>
      <c r="L126" s="28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8"/>
      <c r="AD126" s="8"/>
      <c r="AE126" s="8"/>
      <c r="AF126" s="8"/>
      <c r="AG126" s="8"/>
      <c r="AH126" s="1"/>
      <c r="AI126" s="1"/>
      <c r="AJ126" s="1"/>
      <c r="AK126" s="1"/>
    </row>
    <row r="127" ht="14.25" customHeight="1">
      <c r="A127" s="163" t="s">
        <v>124</v>
      </c>
      <c r="B127" s="27"/>
      <c r="C127" s="186">
        <v>0.0</v>
      </c>
      <c r="D127" s="28"/>
      <c r="E127" s="163" t="s">
        <v>125</v>
      </c>
      <c r="F127" s="165"/>
      <c r="G127" s="166">
        <v>0.0</v>
      </c>
      <c r="H127" s="28"/>
      <c r="I127" s="163" t="s">
        <v>126</v>
      </c>
      <c r="J127" s="165"/>
      <c r="K127" s="166">
        <v>0.0</v>
      </c>
      <c r="L127" s="28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8"/>
      <c r="AD127" s="8"/>
      <c r="AE127" s="8"/>
      <c r="AF127" s="8"/>
      <c r="AG127" s="8"/>
      <c r="AH127" s="1"/>
      <c r="AI127" s="1"/>
      <c r="AJ127" s="1"/>
      <c r="AK127" s="1"/>
    </row>
    <row r="128" ht="14.25" customHeight="1">
      <c r="A128" s="163" t="s">
        <v>127</v>
      </c>
      <c r="B128" s="27"/>
      <c r="C128" s="186">
        <v>0.0</v>
      </c>
      <c r="D128" s="28"/>
      <c r="E128" s="163" t="s">
        <v>128</v>
      </c>
      <c r="F128" s="165"/>
      <c r="G128" s="166">
        <v>0.0</v>
      </c>
      <c r="H128" s="28"/>
      <c r="I128" s="163" t="s">
        <v>129</v>
      </c>
      <c r="J128" s="165"/>
      <c r="K128" s="166">
        <v>0.0</v>
      </c>
      <c r="L128" s="28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8"/>
      <c r="AD128" s="8"/>
      <c r="AE128" s="8"/>
      <c r="AF128" s="8"/>
      <c r="AG128" s="8"/>
      <c r="AH128" s="1"/>
      <c r="AI128" s="1"/>
      <c r="AJ128" s="1"/>
      <c r="AK128" s="1"/>
    </row>
    <row r="129" ht="14.25" customHeight="1">
      <c r="A129" s="163" t="s">
        <v>130</v>
      </c>
      <c r="B129" s="27"/>
      <c r="C129" s="186">
        <v>0.0</v>
      </c>
      <c r="D129" s="28"/>
      <c r="E129" s="163" t="s">
        <v>131</v>
      </c>
      <c r="F129" s="165"/>
      <c r="G129" s="166">
        <v>0.0</v>
      </c>
      <c r="H129" s="28"/>
      <c r="I129" s="163" t="s">
        <v>132</v>
      </c>
      <c r="J129" s="165"/>
      <c r="K129" s="166">
        <v>0.0</v>
      </c>
      <c r="L129" s="28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8"/>
      <c r="AD129" s="8"/>
      <c r="AE129" s="8"/>
      <c r="AF129" s="8"/>
      <c r="AG129" s="8"/>
      <c r="AH129" s="1"/>
      <c r="AI129" s="1"/>
      <c r="AJ129" s="1"/>
      <c r="AK129" s="1"/>
    </row>
    <row r="130" ht="14.25" customHeight="1">
      <c r="A130" s="173" t="s">
        <v>133</v>
      </c>
      <c r="B130" s="36"/>
      <c r="C130" s="187">
        <v>0.0</v>
      </c>
      <c r="D130" s="49"/>
      <c r="E130" s="163" t="s">
        <v>134</v>
      </c>
      <c r="F130" s="165"/>
      <c r="G130" s="166">
        <v>0.0</v>
      </c>
      <c r="H130" s="28"/>
      <c r="I130" s="163" t="s">
        <v>135</v>
      </c>
      <c r="J130" s="165"/>
      <c r="K130" s="166">
        <v>0.0</v>
      </c>
      <c r="L130" s="28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8"/>
      <c r="AD130" s="8"/>
      <c r="AE130" s="8"/>
      <c r="AF130" s="8"/>
      <c r="AG130" s="8"/>
      <c r="AH130" s="1"/>
      <c r="AI130" s="1"/>
      <c r="AJ130" s="1"/>
      <c r="AK130" s="1"/>
    </row>
    <row r="131" ht="14.25" customHeight="1">
      <c r="A131" s="188"/>
      <c r="B131" s="46"/>
      <c r="C131" s="178"/>
      <c r="D131" s="56"/>
      <c r="E131" s="173" t="s">
        <v>136</v>
      </c>
      <c r="F131" s="171"/>
      <c r="G131" s="189">
        <v>0.0</v>
      </c>
      <c r="H131" s="49"/>
      <c r="I131" s="173" t="s">
        <v>137</v>
      </c>
      <c r="J131" s="171"/>
      <c r="K131" s="189">
        <v>0.0</v>
      </c>
      <c r="L131" s="49"/>
      <c r="M131" s="10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8"/>
      <c r="AD131" s="8"/>
      <c r="AE131" s="8"/>
      <c r="AF131" s="8"/>
      <c r="AG131" s="8"/>
      <c r="AH131" s="1"/>
      <c r="AI131" s="1"/>
      <c r="AJ131" s="1"/>
      <c r="AK131" s="1"/>
    </row>
    <row r="132" ht="14.25" customHeight="1">
      <c r="A132" s="178"/>
      <c r="B132" s="178"/>
      <c r="C132" s="178"/>
      <c r="D132" s="178"/>
      <c r="E132" s="104"/>
      <c r="F132" s="104"/>
      <c r="G132" s="102"/>
      <c r="H132" s="102"/>
      <c r="I132" s="104"/>
      <c r="J132" s="104"/>
      <c r="K132" s="102"/>
      <c r="L132" s="102"/>
      <c r="M132" s="135"/>
      <c r="W132" s="15"/>
      <c r="X132" s="15"/>
      <c r="Y132" s="15"/>
      <c r="Z132" s="15"/>
      <c r="AA132" s="15"/>
      <c r="AB132" s="15"/>
      <c r="AC132" s="8"/>
      <c r="AD132" s="8"/>
      <c r="AE132" s="8"/>
      <c r="AF132" s="8"/>
      <c r="AG132" s="8"/>
      <c r="AH132" s="1"/>
      <c r="AI132" s="1"/>
      <c r="AJ132" s="1"/>
      <c r="AK132" s="1"/>
    </row>
    <row r="133" ht="14.25" customHeight="1">
      <c r="A133" s="75" t="s">
        <v>138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3"/>
      <c r="W133" s="15"/>
      <c r="X133" s="15"/>
      <c r="Y133" s="15"/>
      <c r="Z133" s="15"/>
      <c r="AA133" s="15"/>
      <c r="AB133" s="15"/>
      <c r="AC133" s="8"/>
      <c r="AD133" s="8"/>
      <c r="AE133" s="8"/>
      <c r="AF133" s="8"/>
      <c r="AG133" s="8"/>
      <c r="AH133" s="1"/>
      <c r="AI133" s="1"/>
      <c r="AJ133" s="1"/>
      <c r="A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90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15"/>
      <c r="AB134" s="15"/>
      <c r="AC134" s="8"/>
      <c r="AD134" s="8"/>
      <c r="AE134" s="8"/>
      <c r="AF134" s="8"/>
      <c r="AG134" s="8"/>
      <c r="AH134" s="1"/>
      <c r="AI134" s="1"/>
      <c r="AJ134" s="1"/>
      <c r="AK134" s="1"/>
    </row>
    <row r="135" ht="14.25" customHeight="1">
      <c r="A135" s="191" t="s">
        <v>139</v>
      </c>
      <c r="B135" s="46"/>
      <c r="C135" s="87" t="s">
        <v>140</v>
      </c>
      <c r="D135" s="23"/>
      <c r="E135" s="23"/>
      <c r="F135" s="23"/>
      <c r="G135" s="24"/>
      <c r="H135" s="192" t="s">
        <v>141</v>
      </c>
      <c r="I135" s="47"/>
      <c r="J135" s="193"/>
      <c r="K135" s="193"/>
      <c r="L135" s="1"/>
      <c r="M135" s="194"/>
      <c r="AA135" s="15"/>
      <c r="AB135" s="15"/>
      <c r="AC135" s="8"/>
      <c r="AD135" s="8"/>
      <c r="AE135" s="8"/>
      <c r="AF135" s="8"/>
      <c r="AG135" s="8"/>
      <c r="AH135" s="1"/>
      <c r="AI135" s="1"/>
      <c r="AJ135" s="1"/>
      <c r="AK135" s="1"/>
    </row>
    <row r="136" ht="14.25" customHeight="1">
      <c r="A136" s="39"/>
      <c r="B136" s="40"/>
      <c r="C136" s="195" t="s">
        <v>142</v>
      </c>
      <c r="D136" s="171"/>
      <c r="E136" s="196" t="s">
        <v>143</v>
      </c>
      <c r="F136" s="197" t="s">
        <v>144</v>
      </c>
      <c r="G136" s="198" t="s">
        <v>145</v>
      </c>
      <c r="H136" s="40"/>
      <c r="I136" s="86"/>
      <c r="J136" s="193"/>
      <c r="K136" s="193"/>
      <c r="L136" s="1"/>
      <c r="M136" s="194"/>
      <c r="AA136" s="15"/>
      <c r="AB136" s="15"/>
      <c r="AC136" s="8"/>
      <c r="AD136" s="8"/>
      <c r="AE136" s="8"/>
      <c r="AF136" s="8"/>
      <c r="AG136" s="8"/>
      <c r="AH136" s="1"/>
      <c r="AI136" s="1"/>
      <c r="AJ136" s="1"/>
      <c r="AK136" s="1"/>
    </row>
    <row r="137" ht="14.25" customHeight="1">
      <c r="A137" s="199">
        <v>0.0</v>
      </c>
      <c r="B137" s="20"/>
      <c r="C137" s="199">
        <v>0.0</v>
      </c>
      <c r="D137" s="152"/>
      <c r="E137" s="98">
        <v>0.0</v>
      </c>
      <c r="F137" s="98">
        <v>0.0</v>
      </c>
      <c r="G137" s="200">
        <v>0.0</v>
      </c>
      <c r="H137" s="199">
        <v>0.0</v>
      </c>
      <c r="I137" s="20"/>
      <c r="J137" s="1"/>
      <c r="K137" s="1"/>
      <c r="L137" s="1"/>
      <c r="M137" s="63"/>
      <c r="AA137" s="15"/>
      <c r="AB137" s="15"/>
      <c r="AC137" s="15"/>
      <c r="AD137" s="15"/>
      <c r="AE137" s="8"/>
      <c r="AF137" s="8"/>
      <c r="AG137" s="8"/>
      <c r="AH137" s="1"/>
      <c r="AI137" s="1"/>
      <c r="AJ137" s="1"/>
      <c r="A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3"/>
      <c r="AA138" s="15"/>
      <c r="AB138" s="15"/>
      <c r="AC138" s="8"/>
      <c r="AD138" s="8"/>
      <c r="AE138" s="8"/>
      <c r="AF138" s="8"/>
      <c r="AG138" s="8"/>
      <c r="AH138" s="1"/>
      <c r="AI138" s="1"/>
      <c r="AJ138" s="1"/>
      <c r="AK138" s="1"/>
    </row>
    <row r="139" ht="14.25" customHeight="1">
      <c r="A139" s="5" t="s">
        <v>146</v>
      </c>
      <c r="M139" s="194"/>
      <c r="AA139" s="15"/>
      <c r="AB139" s="15"/>
      <c r="AC139" s="8"/>
      <c r="AD139" s="8"/>
      <c r="AE139" s="8"/>
      <c r="AF139" s="8"/>
      <c r="AG139" s="8"/>
      <c r="AH139" s="1"/>
      <c r="AI139" s="1"/>
      <c r="AJ139" s="1"/>
      <c r="AK139" s="1"/>
    </row>
    <row r="140" ht="14.25" customHeight="1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0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8"/>
      <c r="AD140" s="8"/>
      <c r="AE140" s="8"/>
      <c r="AF140" s="8"/>
      <c r="AG140" s="8"/>
      <c r="AH140" s="1"/>
      <c r="AI140" s="1"/>
      <c r="AJ140" s="1"/>
      <c r="AK140" s="1"/>
    </row>
    <row r="141" ht="14.25" customHeight="1">
      <c r="A141" s="75" t="s">
        <v>147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3"/>
      <c r="M141" s="10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8"/>
      <c r="AD141" s="8"/>
      <c r="AE141" s="8"/>
      <c r="AF141" s="8"/>
      <c r="AG141" s="8"/>
      <c r="AH141" s="1"/>
      <c r="AI141" s="1"/>
      <c r="AJ141" s="1"/>
      <c r="A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0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8"/>
      <c r="AD142" s="8"/>
      <c r="AE142" s="8"/>
      <c r="AF142" s="8"/>
      <c r="AG142" s="8"/>
      <c r="AH142" s="1"/>
      <c r="AI142" s="1"/>
      <c r="AJ142" s="1"/>
      <c r="AK142" s="1"/>
    </row>
    <row r="143" ht="30.75" customHeight="1">
      <c r="A143" s="151" t="s">
        <v>148</v>
      </c>
      <c r="B143" s="19"/>
      <c r="C143" s="152"/>
      <c r="D143" s="183" t="s">
        <v>149</v>
      </c>
      <c r="E143" s="19"/>
      <c r="F143" s="19"/>
      <c r="G143" s="201" t="s">
        <v>6</v>
      </c>
      <c r="H143" s="19"/>
      <c r="I143" s="20"/>
      <c r="J143" s="34"/>
      <c r="K143" s="1"/>
      <c r="L143" s="1"/>
      <c r="M143" s="135"/>
      <c r="Z143" s="15"/>
      <c r="AA143" s="15"/>
      <c r="AB143" s="15"/>
      <c r="AC143" s="15"/>
      <c r="AD143" s="15"/>
      <c r="AE143" s="8"/>
      <c r="AF143" s="8"/>
      <c r="AG143" s="8"/>
      <c r="AH143" s="1"/>
      <c r="AI143" s="1"/>
      <c r="AJ143" s="1"/>
      <c r="AK143" s="1"/>
    </row>
    <row r="144" ht="14.25" customHeight="1">
      <c r="A144" s="199">
        <v>0.0</v>
      </c>
      <c r="B144" s="19"/>
      <c r="C144" s="152"/>
      <c r="D144" s="202">
        <v>0.0</v>
      </c>
      <c r="E144" s="46"/>
      <c r="F144" s="203"/>
      <c r="G144" s="112">
        <v>0.0</v>
      </c>
      <c r="H144" s="19"/>
      <c r="I144" s="20"/>
      <c r="J144" s="34"/>
      <c r="K144" s="1"/>
      <c r="L144" s="1"/>
      <c r="M144" s="135"/>
      <c r="Z144" s="15"/>
      <c r="AA144" s="15"/>
      <c r="AB144" s="15"/>
      <c r="AC144" s="15"/>
      <c r="AD144" s="15"/>
      <c r="AE144" s="8"/>
      <c r="AF144" s="8"/>
      <c r="AG144" s="8"/>
      <c r="AH144" s="1"/>
      <c r="AI144" s="1"/>
      <c r="AJ144" s="1"/>
      <c r="AK144" s="1"/>
    </row>
    <row r="145" ht="14.25" customHeight="1">
      <c r="A145" s="204"/>
      <c r="B145" s="204"/>
      <c r="C145" s="204"/>
      <c r="D145" s="204"/>
      <c r="E145" s="204"/>
      <c r="F145" s="204"/>
      <c r="G145" s="1"/>
      <c r="H145" s="1"/>
      <c r="I145" s="1"/>
      <c r="J145" s="1"/>
      <c r="K145" s="1"/>
      <c r="L145" s="1"/>
      <c r="M145" s="15"/>
      <c r="AE145" s="8"/>
      <c r="AF145" s="8"/>
      <c r="AG145" s="8"/>
      <c r="AH145" s="1"/>
      <c r="AI145" s="1"/>
      <c r="AJ145" s="1"/>
      <c r="AK145" s="1"/>
    </row>
    <row r="146" ht="13.5" customHeight="1">
      <c r="A146" s="205" t="s">
        <v>150</v>
      </c>
      <c r="M146" s="8"/>
      <c r="N146" s="8"/>
      <c r="O146" s="8"/>
      <c r="P146" s="8"/>
      <c r="Q146" s="8"/>
      <c r="R146" s="8"/>
      <c r="S146" s="8"/>
      <c r="T146" s="8"/>
      <c r="U146" s="8"/>
      <c r="V146" s="15"/>
      <c r="W146" s="15"/>
      <c r="X146" s="15"/>
      <c r="Y146" s="15"/>
      <c r="Z146" s="15"/>
      <c r="AA146" s="15"/>
      <c r="AB146" s="15"/>
      <c r="AC146" s="8"/>
      <c r="AD146" s="8"/>
      <c r="AE146" s="8"/>
      <c r="AF146" s="8"/>
      <c r="AG146" s="8"/>
      <c r="AH146" s="1"/>
      <c r="AI146" s="1"/>
      <c r="AJ146" s="1"/>
      <c r="AK146" s="1"/>
    </row>
    <row r="147" ht="14.25" customHeight="1">
      <c r="M147" s="8"/>
      <c r="N147" s="8"/>
      <c r="O147" s="8"/>
      <c r="P147" s="8"/>
      <c r="Q147" s="8"/>
      <c r="R147" s="8"/>
      <c r="S147" s="8"/>
      <c r="T147" s="8"/>
      <c r="U147" s="8"/>
      <c r="V147" s="15"/>
      <c r="W147" s="15"/>
      <c r="X147" s="15"/>
      <c r="Y147" s="15"/>
      <c r="Z147" s="15"/>
      <c r="AA147" s="15"/>
      <c r="AB147" s="15"/>
      <c r="AC147" s="8"/>
      <c r="AD147" s="8"/>
      <c r="AE147" s="8"/>
      <c r="AF147" s="8"/>
      <c r="AG147" s="8"/>
      <c r="AH147" s="1"/>
      <c r="AI147" s="1"/>
      <c r="AJ147" s="1"/>
      <c r="AK147" s="1"/>
    </row>
    <row r="148" ht="14.25" customHeight="1">
      <c r="A148" s="1"/>
      <c r="B148" s="1"/>
      <c r="C148" s="16"/>
      <c r="D148" s="16"/>
      <c r="E148" s="16"/>
      <c r="F148" s="16"/>
      <c r="G148" s="16"/>
      <c r="H148" s="16"/>
      <c r="I148" s="1"/>
      <c r="J148" s="1"/>
      <c r="K148" s="1"/>
      <c r="L148" s="1"/>
      <c r="M148" s="8"/>
      <c r="N148" s="8"/>
      <c r="O148" s="8"/>
      <c r="P148" s="8"/>
      <c r="Q148" s="8"/>
      <c r="R148" s="8"/>
      <c r="S148" s="8"/>
      <c r="T148" s="8"/>
      <c r="U148" s="8"/>
      <c r="V148" s="15"/>
      <c r="W148" s="15"/>
      <c r="X148" s="15"/>
      <c r="Y148" s="15"/>
      <c r="Z148" s="15"/>
      <c r="AA148" s="15"/>
      <c r="AB148" s="15"/>
      <c r="AC148" s="8"/>
      <c r="AD148" s="8"/>
      <c r="AE148" s="8"/>
      <c r="AF148" s="8"/>
      <c r="AG148" s="8"/>
      <c r="AH148" s="1"/>
      <c r="AI148" s="1"/>
      <c r="AJ148" s="1"/>
      <c r="AK148" s="1"/>
    </row>
    <row r="149" ht="30.0" customHeight="1">
      <c r="A149" s="191" t="s">
        <v>151</v>
      </c>
      <c r="B149" s="47"/>
      <c r="C149" s="206" t="s">
        <v>152</v>
      </c>
      <c r="D149" s="120"/>
      <c r="E149" s="206" t="s">
        <v>153</v>
      </c>
      <c r="F149" s="120"/>
      <c r="G149" s="206" t="s">
        <v>154</v>
      </c>
      <c r="H149" s="7"/>
      <c r="I149" s="4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15"/>
      <c r="W149" s="15"/>
      <c r="X149" s="15"/>
      <c r="Y149" s="8"/>
      <c r="Z149" s="8"/>
      <c r="AA149" s="8"/>
      <c r="AB149" s="8"/>
      <c r="AC149" s="8"/>
      <c r="AD149" s="1"/>
      <c r="AE149" s="1"/>
      <c r="AF149" s="1"/>
      <c r="AG149" s="1"/>
      <c r="AH149" s="1"/>
      <c r="AI149" s="1"/>
      <c r="AJ149" s="1"/>
      <c r="AK149" s="1"/>
    </row>
    <row r="150" ht="33.0" customHeight="1">
      <c r="A150" s="39"/>
      <c r="B150" s="86"/>
      <c r="C150" s="207" t="s">
        <v>6</v>
      </c>
      <c r="D150" s="208" t="s">
        <v>155</v>
      </c>
      <c r="E150" s="207" t="s">
        <v>6</v>
      </c>
      <c r="F150" s="208" t="s">
        <v>155</v>
      </c>
      <c r="G150" s="207" t="s">
        <v>6</v>
      </c>
      <c r="H150" s="208" t="s">
        <v>155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15"/>
      <c r="W150" s="15"/>
      <c r="X150" s="15"/>
      <c r="Y150" s="8"/>
      <c r="Z150" s="8"/>
      <c r="AA150" s="8"/>
      <c r="AB150" s="8"/>
      <c r="AC150" s="8"/>
      <c r="AD150" s="1"/>
      <c r="AE150" s="1"/>
      <c r="AF150" s="1"/>
      <c r="AG150" s="1"/>
      <c r="AH150" s="1"/>
      <c r="AI150" s="1"/>
      <c r="AJ150" s="1"/>
      <c r="AK150" s="1"/>
    </row>
    <row r="151" ht="14.25" customHeight="1">
      <c r="A151" s="22" t="s">
        <v>56</v>
      </c>
      <c r="B151" s="24"/>
      <c r="C151" s="209">
        <v>0.0</v>
      </c>
      <c r="D151" s="210">
        <v>0.0</v>
      </c>
      <c r="E151" s="209">
        <v>0.0</v>
      </c>
      <c r="F151" s="210">
        <v>0.0</v>
      </c>
      <c r="G151" s="209">
        <v>0.0</v>
      </c>
      <c r="H151" s="211">
        <v>0.0</v>
      </c>
      <c r="I151" s="74"/>
      <c r="V151" s="15"/>
      <c r="W151" s="15"/>
      <c r="X151" s="15"/>
      <c r="Y151" s="8"/>
      <c r="Z151" s="8"/>
      <c r="AA151" s="8"/>
      <c r="AB151" s="8"/>
      <c r="AC151" s="8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40" t="s">
        <v>57</v>
      </c>
      <c r="B152" s="28"/>
      <c r="C152" s="212">
        <v>0.0</v>
      </c>
      <c r="D152" s="164">
        <v>0.0</v>
      </c>
      <c r="E152" s="212">
        <v>0.0</v>
      </c>
      <c r="F152" s="164">
        <v>0.0</v>
      </c>
      <c r="G152" s="209">
        <v>0.0</v>
      </c>
      <c r="H152" s="210">
        <v>0.0</v>
      </c>
      <c r="I152" s="74"/>
      <c r="V152" s="15"/>
      <c r="W152" s="15"/>
      <c r="X152" s="15"/>
      <c r="Y152" s="8"/>
      <c r="Z152" s="8"/>
      <c r="AA152" s="8"/>
      <c r="AB152" s="8"/>
      <c r="AC152" s="8"/>
      <c r="AD152" s="1"/>
      <c r="AE152" s="1"/>
      <c r="AF152" s="1"/>
      <c r="AG152" s="1"/>
      <c r="AH152" s="1"/>
      <c r="AI152" s="1"/>
      <c r="AJ152" s="1"/>
      <c r="AK152" s="1"/>
    </row>
    <row r="153" ht="14.25" customHeight="1">
      <c r="A153" s="26" t="s">
        <v>58</v>
      </c>
      <c r="B153" s="28"/>
      <c r="C153" s="212">
        <v>0.0</v>
      </c>
      <c r="D153" s="164">
        <v>0.0</v>
      </c>
      <c r="E153" s="212">
        <v>0.0</v>
      </c>
      <c r="F153" s="164">
        <v>0.0</v>
      </c>
      <c r="G153" s="209">
        <v>0.0</v>
      </c>
      <c r="H153" s="210">
        <v>0.0</v>
      </c>
      <c r="I153" s="74"/>
      <c r="V153" s="15"/>
      <c r="W153" s="15"/>
      <c r="X153" s="15"/>
      <c r="Y153" s="8"/>
      <c r="Z153" s="8"/>
      <c r="AA153" s="8"/>
      <c r="AB153" s="8"/>
      <c r="AC153" s="8"/>
      <c r="AD153" s="1"/>
      <c r="AE153" s="1"/>
      <c r="AF153" s="1"/>
      <c r="AG153" s="1"/>
      <c r="AH153" s="1"/>
      <c r="AI153" s="1"/>
      <c r="AJ153" s="1"/>
      <c r="AK153" s="1"/>
    </row>
    <row r="154" ht="14.25" customHeight="1">
      <c r="A154" s="26" t="s">
        <v>59</v>
      </c>
      <c r="B154" s="28"/>
      <c r="C154" s="212">
        <v>0.0</v>
      </c>
      <c r="D154" s="164">
        <v>0.0</v>
      </c>
      <c r="E154" s="212">
        <v>0.0</v>
      </c>
      <c r="F154" s="164">
        <v>0.0</v>
      </c>
      <c r="G154" s="209">
        <v>0.0</v>
      </c>
      <c r="H154" s="210">
        <v>0.0</v>
      </c>
      <c r="I154" s="74"/>
      <c r="V154" s="15"/>
      <c r="W154" s="15"/>
      <c r="X154" s="15"/>
      <c r="Y154" s="8"/>
      <c r="Z154" s="8"/>
      <c r="AA154" s="8"/>
      <c r="AB154" s="8"/>
      <c r="AC154" s="8"/>
      <c r="AD154" s="1"/>
      <c r="AE154" s="1"/>
      <c r="AF154" s="1"/>
      <c r="AG154" s="1"/>
      <c r="AH154" s="1"/>
      <c r="AI154" s="1"/>
      <c r="AJ154" s="1"/>
      <c r="AK154" s="1"/>
    </row>
    <row r="155" ht="24.75" customHeight="1">
      <c r="A155" s="140" t="s">
        <v>156</v>
      </c>
      <c r="B155" s="28"/>
      <c r="C155" s="212">
        <v>0.0</v>
      </c>
      <c r="D155" s="186">
        <v>0.0</v>
      </c>
      <c r="E155" s="212">
        <v>0.0</v>
      </c>
      <c r="F155" s="164">
        <v>0.0</v>
      </c>
      <c r="G155" s="209">
        <v>0.0</v>
      </c>
      <c r="H155" s="210">
        <v>0.0</v>
      </c>
      <c r="I155" s="74"/>
      <c r="V155" s="15"/>
      <c r="W155" s="15"/>
      <c r="X155" s="15"/>
      <c r="Y155" s="8"/>
      <c r="Z155" s="8"/>
      <c r="AA155" s="8"/>
      <c r="AB155" s="8"/>
      <c r="AC155" s="8"/>
      <c r="AD155" s="1"/>
      <c r="AE155" s="1"/>
      <c r="AF155" s="1"/>
      <c r="AG155" s="1"/>
      <c r="AH155" s="1"/>
      <c r="AI155" s="1"/>
      <c r="AJ155" s="1"/>
      <c r="AK155" s="1"/>
    </row>
    <row r="156" ht="27.0" customHeight="1">
      <c r="A156" s="140" t="s">
        <v>63</v>
      </c>
      <c r="B156" s="28"/>
      <c r="C156" s="212">
        <v>0.0</v>
      </c>
      <c r="D156" s="186">
        <v>0.0</v>
      </c>
      <c r="E156" s="212">
        <v>0.0</v>
      </c>
      <c r="F156" s="164">
        <v>0.0</v>
      </c>
      <c r="G156" s="209">
        <v>0.0</v>
      </c>
      <c r="H156" s="210">
        <v>0.0</v>
      </c>
      <c r="I156" s="74"/>
      <c r="V156" s="15"/>
      <c r="W156" s="15"/>
      <c r="X156" s="15"/>
      <c r="Y156" s="8"/>
      <c r="Z156" s="8"/>
      <c r="AA156" s="8"/>
      <c r="AB156" s="8"/>
      <c r="AC156" s="8"/>
      <c r="AD156" s="1"/>
      <c r="AE156" s="1"/>
      <c r="AF156" s="1"/>
      <c r="AG156" s="1"/>
      <c r="AH156" s="1"/>
      <c r="AI156" s="1"/>
      <c r="AJ156" s="1"/>
      <c r="AK156" s="1"/>
    </row>
    <row r="157" ht="54.0" customHeight="1">
      <c r="A157" s="141" t="s">
        <v>64</v>
      </c>
      <c r="B157" s="49"/>
      <c r="C157" s="213">
        <v>0.0</v>
      </c>
      <c r="D157" s="187">
        <v>0.0</v>
      </c>
      <c r="E157" s="213">
        <v>0.0</v>
      </c>
      <c r="F157" s="179">
        <v>0.0</v>
      </c>
      <c r="G157" s="213">
        <v>0.0</v>
      </c>
      <c r="H157" s="179">
        <v>0.0</v>
      </c>
      <c r="I157" s="74"/>
      <c r="V157" s="15"/>
      <c r="W157" s="15"/>
      <c r="X157" s="15"/>
      <c r="Y157" s="8"/>
      <c r="Z157" s="8"/>
      <c r="AA157" s="8"/>
      <c r="AB157" s="8"/>
      <c r="AC157" s="8"/>
      <c r="AD157" s="1"/>
      <c r="AE157" s="1"/>
      <c r="AF157" s="1"/>
      <c r="AG157" s="1"/>
      <c r="AH157" s="1"/>
      <c r="AI157" s="1"/>
      <c r="AJ157" s="1"/>
      <c r="AK157" s="1"/>
    </row>
    <row r="158" ht="14.25" customHeight="1">
      <c r="A158" s="214" t="s">
        <v>11</v>
      </c>
      <c r="B158" s="20"/>
      <c r="C158" s="215">
        <f t="shared" ref="C158:H158" si="3">SUM(C151:C157)</f>
        <v>0</v>
      </c>
      <c r="D158" s="216">
        <f t="shared" si="3"/>
        <v>0</v>
      </c>
      <c r="E158" s="215">
        <f t="shared" si="3"/>
        <v>0</v>
      </c>
      <c r="F158" s="216">
        <f t="shared" si="3"/>
        <v>0</v>
      </c>
      <c r="G158" s="215">
        <f t="shared" si="3"/>
        <v>0</v>
      </c>
      <c r="H158" s="216">
        <f t="shared" si="3"/>
        <v>0</v>
      </c>
      <c r="I158" s="217" t="str">
        <f>IF(G144&lt;&gt;SUM(C158,E158,G158),"Section 4.5.2 - The ""Total"" of ""Number of Requests"" should be equal to the ""Number of Requests"" of Section 4.5.1.","")</f>
        <v/>
      </c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15"/>
      <c r="W158" s="15"/>
      <c r="X158" s="15"/>
      <c r="Y158" s="8"/>
      <c r="Z158" s="8"/>
      <c r="AA158" s="8"/>
      <c r="AB158" s="8"/>
      <c r="AC158" s="8"/>
      <c r="AD158" s="1"/>
      <c r="AE158" s="1"/>
      <c r="AF158" s="1"/>
      <c r="AG158" s="1"/>
      <c r="AH158" s="1"/>
      <c r="AI158" s="1"/>
      <c r="AJ158" s="1"/>
      <c r="AK158" s="1"/>
    </row>
    <row r="159" ht="14.25" customHeight="1">
      <c r="A159" s="219"/>
      <c r="B159" s="219"/>
      <c r="C159" s="102"/>
      <c r="D159" s="102"/>
      <c r="E159" s="102"/>
      <c r="F159" s="102"/>
      <c r="H159" s="102"/>
      <c r="I159" s="217" t="str">
        <f>IF(A144&lt;&gt;SUM(D158,F158,H158),"Section 4.5.2 - The total of Columns of ""Pages Processed"" should be equal to the ""Number of Pages Processed"" of Section 4.5.1.","")</f>
        <v/>
      </c>
      <c r="J159" s="102"/>
      <c r="K159" s="102"/>
      <c r="L159" s="102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15"/>
      <c r="AA159" s="15"/>
      <c r="AB159" s="15"/>
      <c r="AC159" s="8"/>
      <c r="AD159" s="8"/>
      <c r="AE159" s="8"/>
      <c r="AF159" s="8"/>
      <c r="AG159" s="8"/>
      <c r="AH159" s="1"/>
      <c r="AI159" s="1"/>
      <c r="AJ159" s="1"/>
      <c r="AK159" s="1"/>
    </row>
    <row r="160" ht="14.25" customHeight="1">
      <c r="A160" s="182" t="s">
        <v>157</v>
      </c>
      <c r="J160" s="102"/>
      <c r="K160" s="102"/>
      <c r="L160" s="102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1"/>
      <c r="AI160" s="1"/>
      <c r="AJ160" s="1"/>
      <c r="A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8"/>
      <c r="AD161" s="8"/>
      <c r="AE161" s="8"/>
      <c r="AF161" s="8"/>
      <c r="AG161" s="8"/>
      <c r="AH161" s="1"/>
      <c r="AI161" s="1"/>
      <c r="AJ161" s="1"/>
      <c r="AK161" s="1"/>
    </row>
    <row r="162" ht="27.75" customHeight="1">
      <c r="A162" s="220" t="s">
        <v>158</v>
      </c>
      <c r="B162" s="19"/>
      <c r="C162" s="152"/>
      <c r="D162" s="221" t="s">
        <v>159</v>
      </c>
      <c r="E162" s="19"/>
      <c r="F162" s="152"/>
      <c r="G162" s="222" t="s">
        <v>6</v>
      </c>
      <c r="H162" s="19"/>
      <c r="I162" s="20"/>
      <c r="J162" s="1"/>
      <c r="K162" s="1"/>
      <c r="L162" s="1"/>
      <c r="M162" s="135"/>
      <c r="Z162" s="15"/>
      <c r="AA162" s="15"/>
      <c r="AB162" s="15"/>
      <c r="AC162" s="8"/>
      <c r="AD162" s="8"/>
      <c r="AE162" s="8"/>
      <c r="AF162" s="8"/>
      <c r="AG162" s="8"/>
      <c r="AH162" s="1"/>
      <c r="AI162" s="1"/>
      <c r="AJ162" s="1"/>
      <c r="AK162" s="1"/>
    </row>
    <row r="163" ht="14.25" customHeight="1">
      <c r="A163" s="223">
        <v>0.0</v>
      </c>
      <c r="B163" s="19"/>
      <c r="C163" s="152"/>
      <c r="D163" s="224">
        <v>0.0</v>
      </c>
      <c r="E163" s="19"/>
      <c r="F163" s="152"/>
      <c r="G163" s="224">
        <v>0.0</v>
      </c>
      <c r="H163" s="19"/>
      <c r="I163" s="20"/>
      <c r="J163" s="1"/>
      <c r="K163" s="1"/>
      <c r="L163" s="1"/>
      <c r="M163" s="135"/>
      <c r="Z163" s="15"/>
      <c r="AA163" s="15"/>
      <c r="AB163" s="15"/>
      <c r="AC163" s="8"/>
      <c r="AD163" s="8"/>
      <c r="AE163" s="8"/>
      <c r="AF163" s="8"/>
      <c r="AG163" s="8"/>
      <c r="AH163" s="1"/>
      <c r="AI163" s="1"/>
      <c r="AJ163" s="1"/>
      <c r="AK163" s="1"/>
    </row>
    <row r="164" ht="13.5" customHeight="1">
      <c r="A164" s="225" t="s">
        <v>160</v>
      </c>
      <c r="L164" s="226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8"/>
      <c r="AD164" s="8"/>
      <c r="AE164" s="8"/>
      <c r="AF164" s="8"/>
      <c r="AG164" s="8"/>
      <c r="AH164" s="1"/>
      <c r="AI164" s="1"/>
      <c r="AJ164" s="1"/>
      <c r="AK164" s="1"/>
    </row>
    <row r="165" ht="14.25" customHeight="1">
      <c r="L165" s="227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8"/>
      <c r="AD165" s="8"/>
      <c r="AE165" s="8"/>
      <c r="AF165" s="8"/>
      <c r="AG165" s="8"/>
      <c r="AH165" s="1"/>
      <c r="AI165" s="1"/>
      <c r="AJ165" s="1"/>
      <c r="AK165" s="1"/>
    </row>
    <row r="166" ht="24.75" customHeight="1">
      <c r="A166" s="191" t="s">
        <v>151</v>
      </c>
      <c r="B166" s="47"/>
      <c r="C166" s="228" t="s">
        <v>6</v>
      </c>
      <c r="D166" s="229" t="s">
        <v>161</v>
      </c>
      <c r="E166" s="47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 t="s">
        <v>162</v>
      </c>
      <c r="R166" s="15"/>
      <c r="S166" s="15"/>
      <c r="T166" s="15"/>
      <c r="U166" s="15"/>
      <c r="V166" s="15"/>
      <c r="W166" s="8"/>
      <c r="X166" s="8"/>
      <c r="Y166" s="8"/>
      <c r="Z166" s="8"/>
      <c r="AA166" s="8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36.0" customHeight="1">
      <c r="A167" s="39"/>
      <c r="B167" s="86"/>
      <c r="C167" s="39"/>
      <c r="D167" s="230"/>
      <c r="E167" s="8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8"/>
      <c r="X167" s="8"/>
      <c r="Y167" s="8"/>
      <c r="Z167" s="8"/>
      <c r="AA167" s="8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4.25" customHeight="1">
      <c r="A168" s="22" t="s">
        <v>56</v>
      </c>
      <c r="B168" s="23"/>
      <c r="C168" s="209">
        <v>0.0</v>
      </c>
      <c r="D168" s="184">
        <v>0.0</v>
      </c>
      <c r="E168" s="24"/>
      <c r="G168" s="135"/>
      <c r="T168" s="15"/>
      <c r="U168" s="15"/>
      <c r="V168" s="15"/>
      <c r="W168" s="8"/>
      <c r="X168" s="8"/>
      <c r="Y168" s="8"/>
      <c r="Z168" s="8"/>
      <c r="AA168" s="8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4.25" customHeight="1">
      <c r="A169" s="140" t="s">
        <v>57</v>
      </c>
      <c r="B169" s="27"/>
      <c r="C169" s="212">
        <v>0.0</v>
      </c>
      <c r="D169" s="186">
        <v>0.0</v>
      </c>
      <c r="E169" s="28"/>
      <c r="G169" s="135"/>
      <c r="T169" s="15"/>
      <c r="U169" s="15"/>
      <c r="V169" s="15"/>
      <c r="W169" s="8"/>
      <c r="X169" s="8"/>
      <c r="Y169" s="8"/>
      <c r="Z169" s="8"/>
      <c r="AA169" s="8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4.25" customHeight="1">
      <c r="A170" s="26" t="s">
        <v>58</v>
      </c>
      <c r="B170" s="27"/>
      <c r="C170" s="212">
        <v>0.0</v>
      </c>
      <c r="D170" s="186">
        <v>0.0</v>
      </c>
      <c r="E170" s="28"/>
      <c r="G170" s="135"/>
      <c r="T170" s="15"/>
      <c r="U170" s="15"/>
      <c r="V170" s="15"/>
      <c r="W170" s="8"/>
      <c r="X170" s="8"/>
      <c r="Y170" s="8"/>
      <c r="Z170" s="8"/>
      <c r="AA170" s="8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4.25" customHeight="1">
      <c r="A171" s="26" t="s">
        <v>59</v>
      </c>
      <c r="B171" s="27"/>
      <c r="C171" s="212">
        <v>0.0</v>
      </c>
      <c r="D171" s="186">
        <v>0.0</v>
      </c>
      <c r="E171" s="165"/>
      <c r="F171" s="231"/>
      <c r="G171" s="135"/>
      <c r="T171" s="15"/>
      <c r="U171" s="15"/>
      <c r="V171" s="15"/>
      <c r="W171" s="8"/>
      <c r="X171" s="8"/>
      <c r="Y171" s="8"/>
      <c r="Z171" s="8"/>
      <c r="AA171" s="8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27.0" customHeight="1">
      <c r="A172" s="140" t="s">
        <v>156</v>
      </c>
      <c r="B172" s="27"/>
      <c r="C172" s="212">
        <v>0.0</v>
      </c>
      <c r="D172" s="186">
        <v>0.0</v>
      </c>
      <c r="E172" s="165"/>
      <c r="F172" s="231"/>
      <c r="G172" s="135"/>
      <c r="T172" s="15"/>
      <c r="U172" s="15"/>
      <c r="V172" s="15"/>
      <c r="W172" s="8"/>
      <c r="X172" s="8"/>
      <c r="Y172" s="8"/>
      <c r="Z172" s="8"/>
      <c r="AA172" s="8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26.25" customHeight="1">
      <c r="A173" s="140" t="s">
        <v>63</v>
      </c>
      <c r="B173" s="27"/>
      <c r="C173" s="212">
        <v>0.0</v>
      </c>
      <c r="D173" s="186">
        <v>0.0</v>
      </c>
      <c r="E173" s="28"/>
      <c r="G173" s="135"/>
      <c r="T173" s="15"/>
      <c r="U173" s="15"/>
      <c r="V173" s="15"/>
      <c r="W173" s="8"/>
      <c r="X173" s="8"/>
      <c r="Y173" s="8"/>
      <c r="Z173" s="8"/>
      <c r="AA173" s="8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53.25" customHeight="1">
      <c r="A174" s="141" t="s">
        <v>64</v>
      </c>
      <c r="B174" s="49"/>
      <c r="C174" s="213">
        <v>0.0</v>
      </c>
      <c r="D174" s="187">
        <v>0.0</v>
      </c>
      <c r="E174" s="49"/>
      <c r="G174" s="135"/>
      <c r="T174" s="15"/>
      <c r="U174" s="15"/>
      <c r="V174" s="15"/>
      <c r="W174" s="8"/>
      <c r="X174" s="8"/>
      <c r="Y174" s="8"/>
      <c r="Z174" s="8"/>
      <c r="AA174" s="8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4.25" customHeight="1">
      <c r="A175" s="214" t="s">
        <v>11</v>
      </c>
      <c r="B175" s="19"/>
      <c r="C175" s="232">
        <f>SUM(C168:C174)</f>
        <v>0</v>
      </c>
      <c r="D175" s="233">
        <f>SUM(D168:E174)</f>
        <v>0</v>
      </c>
      <c r="E175" s="20"/>
      <c r="F175" s="217" t="str">
        <f>IF(G163&lt;&gt;C175,"Section 4.5.4 - The ""Total"" of ""Number of Requests"" should be equal to the ""Number of Requests"" of Section 4.5.3.","")</f>
        <v/>
      </c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15"/>
      <c r="U175" s="15"/>
      <c r="V175" s="15"/>
      <c r="W175" s="8"/>
      <c r="X175" s="8"/>
      <c r="Y175" s="8"/>
      <c r="Z175" s="8"/>
      <c r="AA175" s="8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4.25" customHeight="1">
      <c r="A176" s="219"/>
      <c r="B176" s="219"/>
      <c r="C176" s="102"/>
      <c r="D176" s="102"/>
      <c r="E176" s="102"/>
      <c r="F176" s="217" t="str">
        <f>IF(D175&lt;&gt;A163,"Section 4.5.4 - The total of Columns of ""Minutes Processed"" should be equal to the ""Number of Minutes Processed"" of Section 4.5.3.","")</f>
        <v/>
      </c>
      <c r="G176" s="102"/>
      <c r="H176" s="102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15"/>
      <c r="AA176" s="15"/>
      <c r="AB176" s="15"/>
      <c r="AC176" s="8"/>
      <c r="AD176" s="8"/>
      <c r="AE176" s="8"/>
      <c r="AF176" s="8"/>
      <c r="AG176" s="8"/>
      <c r="AH176" s="1"/>
      <c r="AI176" s="1"/>
      <c r="AJ176" s="1"/>
      <c r="AK176" s="1"/>
    </row>
    <row r="177" ht="14.25" customHeight="1">
      <c r="A177" s="182" t="s">
        <v>163</v>
      </c>
      <c r="K177" s="1"/>
      <c r="L177" s="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1"/>
      <c r="AI177" s="1"/>
      <c r="AJ177" s="1"/>
      <c r="AK177" s="1"/>
    </row>
    <row r="178" ht="13.5" customHeight="1">
      <c r="A178" s="18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8"/>
      <c r="AD178" s="8"/>
      <c r="AE178" s="8"/>
      <c r="AF178" s="8"/>
      <c r="AG178" s="8"/>
      <c r="AH178" s="1"/>
      <c r="AI178" s="1"/>
      <c r="AJ178" s="1"/>
      <c r="AK178" s="1"/>
    </row>
    <row r="179" ht="28.5" customHeight="1">
      <c r="A179" s="151" t="s">
        <v>151</v>
      </c>
      <c r="B179" s="20"/>
      <c r="C179" s="151" t="s">
        <v>164</v>
      </c>
      <c r="D179" s="152"/>
      <c r="E179" s="235" t="s">
        <v>165</v>
      </c>
      <c r="F179" s="152"/>
      <c r="G179" s="235" t="s">
        <v>141</v>
      </c>
      <c r="H179" s="152"/>
      <c r="I179" s="151" t="s">
        <v>11</v>
      </c>
      <c r="J179" s="20"/>
      <c r="K179" s="1"/>
      <c r="L179" s="1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8"/>
      <c r="AD179" s="8"/>
      <c r="AE179" s="8"/>
      <c r="AF179" s="8"/>
      <c r="AG179" s="8"/>
      <c r="AH179" s="1"/>
      <c r="AI179" s="1"/>
      <c r="AJ179" s="1"/>
      <c r="AK179" s="1"/>
    </row>
    <row r="180" ht="14.25" customHeight="1">
      <c r="A180" s="236" t="s">
        <v>56</v>
      </c>
      <c r="B180" s="24"/>
      <c r="C180" s="68">
        <v>0.0</v>
      </c>
      <c r="D180" s="159"/>
      <c r="E180" s="237">
        <v>0.0</v>
      </c>
      <c r="F180" s="159"/>
      <c r="G180" s="237">
        <v>0.0</v>
      </c>
      <c r="H180" s="159"/>
      <c r="I180" s="238">
        <f t="shared" ref="I180:I186" si="4">SUM(C180:H180)</f>
        <v>0</v>
      </c>
      <c r="J180" s="24"/>
      <c r="K180" s="1"/>
      <c r="L180" s="1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8"/>
      <c r="AD180" s="8"/>
      <c r="AE180" s="8"/>
      <c r="AF180" s="8"/>
      <c r="AG180" s="8"/>
      <c r="AH180" s="1"/>
      <c r="AI180" s="1"/>
      <c r="AJ180" s="1"/>
      <c r="AK180" s="1"/>
    </row>
    <row r="181" ht="13.5" customHeight="1">
      <c r="A181" s="140" t="s">
        <v>57</v>
      </c>
      <c r="B181" s="28"/>
      <c r="C181" s="29">
        <v>0.0</v>
      </c>
      <c r="D181" s="165"/>
      <c r="E181" s="239">
        <v>0.0</v>
      </c>
      <c r="F181" s="165"/>
      <c r="G181" s="239">
        <v>0.0</v>
      </c>
      <c r="H181" s="165"/>
      <c r="I181" s="240">
        <f t="shared" si="4"/>
        <v>0</v>
      </c>
      <c r="J181" s="28"/>
      <c r="K181" s="1"/>
      <c r="L181" s="1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8"/>
      <c r="AD181" s="8"/>
      <c r="AE181" s="8"/>
      <c r="AF181" s="8"/>
      <c r="AG181" s="8"/>
      <c r="AH181" s="1"/>
      <c r="AI181" s="1"/>
      <c r="AJ181" s="1"/>
      <c r="AK181" s="1"/>
    </row>
    <row r="182" ht="14.25" customHeight="1">
      <c r="A182" s="140" t="s">
        <v>58</v>
      </c>
      <c r="B182" s="28"/>
      <c r="C182" s="29">
        <v>0.0</v>
      </c>
      <c r="D182" s="165"/>
      <c r="E182" s="239">
        <v>0.0</v>
      </c>
      <c r="F182" s="165"/>
      <c r="G182" s="239">
        <v>0.0</v>
      </c>
      <c r="H182" s="165"/>
      <c r="I182" s="240">
        <f t="shared" si="4"/>
        <v>0</v>
      </c>
      <c r="J182" s="28"/>
      <c r="K182" s="1"/>
      <c r="L182" s="1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8"/>
      <c r="AD182" s="8"/>
      <c r="AE182" s="8"/>
      <c r="AF182" s="8"/>
      <c r="AG182" s="8"/>
      <c r="AH182" s="1"/>
      <c r="AI182" s="1"/>
      <c r="AJ182" s="1"/>
      <c r="AK182" s="1"/>
    </row>
    <row r="183" ht="14.25" customHeight="1">
      <c r="A183" s="140" t="s">
        <v>59</v>
      </c>
      <c r="B183" s="28"/>
      <c r="C183" s="29">
        <v>0.0</v>
      </c>
      <c r="D183" s="165"/>
      <c r="E183" s="239">
        <v>0.0</v>
      </c>
      <c r="F183" s="165"/>
      <c r="G183" s="239">
        <v>0.0</v>
      </c>
      <c r="H183" s="165"/>
      <c r="I183" s="240">
        <f t="shared" si="4"/>
        <v>0</v>
      </c>
      <c r="J183" s="28"/>
      <c r="K183" s="1"/>
      <c r="L183" s="1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8"/>
      <c r="AD183" s="8"/>
      <c r="AE183" s="8"/>
      <c r="AF183" s="8"/>
      <c r="AG183" s="8"/>
      <c r="AH183" s="1"/>
      <c r="AI183" s="1"/>
      <c r="AJ183" s="1"/>
      <c r="AK183" s="1"/>
    </row>
    <row r="184" ht="24.75" customHeight="1">
      <c r="A184" s="140" t="s">
        <v>62</v>
      </c>
      <c r="B184" s="28"/>
      <c r="C184" s="29">
        <v>0.0</v>
      </c>
      <c r="D184" s="165"/>
      <c r="E184" s="239">
        <v>0.0</v>
      </c>
      <c r="F184" s="165"/>
      <c r="G184" s="239">
        <v>0.0</v>
      </c>
      <c r="H184" s="165"/>
      <c r="I184" s="240">
        <f t="shared" si="4"/>
        <v>0</v>
      </c>
      <c r="J184" s="28"/>
      <c r="K184" s="1"/>
      <c r="L184" s="1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8"/>
      <c r="AD184" s="8"/>
      <c r="AE184" s="8"/>
      <c r="AF184" s="8"/>
      <c r="AG184" s="8"/>
      <c r="AH184" s="1"/>
      <c r="AI184" s="1"/>
      <c r="AJ184" s="1"/>
      <c r="AK184" s="1"/>
    </row>
    <row r="185" ht="26.25" customHeight="1">
      <c r="A185" s="140" t="s">
        <v>63</v>
      </c>
      <c r="B185" s="28"/>
      <c r="C185" s="29">
        <v>0.0</v>
      </c>
      <c r="D185" s="165"/>
      <c r="E185" s="239">
        <v>0.0</v>
      </c>
      <c r="F185" s="165"/>
      <c r="G185" s="239">
        <v>0.0</v>
      </c>
      <c r="H185" s="165"/>
      <c r="I185" s="240">
        <f t="shared" si="4"/>
        <v>0</v>
      </c>
      <c r="J185" s="28"/>
      <c r="K185" s="1"/>
      <c r="L185" s="1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8"/>
      <c r="AD185" s="8"/>
      <c r="AE185" s="8"/>
      <c r="AF185" s="8"/>
      <c r="AG185" s="8"/>
      <c r="AH185" s="1"/>
      <c r="AI185" s="1"/>
      <c r="AJ185" s="1"/>
      <c r="AK185" s="1"/>
    </row>
    <row r="186" ht="54.0" customHeight="1">
      <c r="A186" s="141" t="s">
        <v>64</v>
      </c>
      <c r="B186" s="49"/>
      <c r="C186" s="72">
        <v>0.0</v>
      </c>
      <c r="D186" s="171"/>
      <c r="E186" s="241">
        <v>0.0</v>
      </c>
      <c r="F186" s="171"/>
      <c r="G186" s="242">
        <v>0.0</v>
      </c>
      <c r="H186" s="49"/>
      <c r="I186" s="240">
        <f t="shared" si="4"/>
        <v>0</v>
      </c>
      <c r="J186" s="28"/>
      <c r="K186" s="1"/>
      <c r="L186" s="1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8"/>
      <c r="AD186" s="8"/>
      <c r="AE186" s="8"/>
      <c r="AF186" s="8"/>
      <c r="AG186" s="8"/>
      <c r="AH186" s="1"/>
      <c r="AI186" s="1"/>
      <c r="AJ186" s="1"/>
      <c r="AK186" s="1"/>
    </row>
    <row r="187" ht="14.25" customHeight="1">
      <c r="A187" s="214" t="s">
        <v>11</v>
      </c>
      <c r="B187" s="20"/>
      <c r="C187" s="42">
        <f>SUM(C180:D186)</f>
        <v>0</v>
      </c>
      <c r="D187" s="152"/>
      <c r="E187" s="243">
        <f>SUM(E180:F186)</f>
        <v>0</v>
      </c>
      <c r="F187" s="152"/>
      <c r="G187" s="243">
        <f>SUM(G180:H186)</f>
        <v>0</v>
      </c>
      <c r="H187" s="152"/>
      <c r="I187" s="42">
        <f>SUM(I180:J186)</f>
        <v>0</v>
      </c>
      <c r="J187" s="20"/>
      <c r="K187" s="1"/>
      <c r="L187" s="1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8"/>
      <c r="AD187" s="8"/>
      <c r="AE187" s="8"/>
      <c r="AF187" s="8"/>
      <c r="AG187" s="8"/>
      <c r="AH187" s="1"/>
      <c r="AI187" s="1"/>
      <c r="AJ187" s="1"/>
      <c r="AK187" s="1"/>
    </row>
    <row r="188" ht="14.25" customHeight="1">
      <c r="A188" s="1"/>
      <c r="B188" s="1"/>
      <c r="C188" s="244"/>
      <c r="D188" s="244"/>
      <c r="E188" s="244"/>
      <c r="F188" s="244"/>
      <c r="G188" s="244"/>
      <c r="H188" s="244"/>
      <c r="I188" s="1"/>
      <c r="J188" s="1"/>
      <c r="K188" s="1"/>
      <c r="L188" s="1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8"/>
      <c r="AD188" s="8"/>
      <c r="AE188" s="8"/>
      <c r="AF188" s="8"/>
      <c r="AG188" s="8"/>
      <c r="AH188" s="1"/>
      <c r="AI188" s="1"/>
      <c r="AJ188" s="1"/>
      <c r="AK188" s="1"/>
    </row>
    <row r="189" ht="14.25" customHeight="1">
      <c r="A189" s="182" t="s">
        <v>166</v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8"/>
      <c r="AD189" s="8"/>
      <c r="AE189" s="8"/>
      <c r="AF189" s="8"/>
      <c r="AG189" s="8"/>
      <c r="AH189" s="1"/>
      <c r="AI189" s="1"/>
      <c r="AJ189" s="1"/>
      <c r="AK189" s="1"/>
    </row>
    <row r="190" ht="14.25" customHeight="1">
      <c r="A190" s="18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8"/>
      <c r="AD190" s="8"/>
      <c r="AE190" s="8"/>
      <c r="AF190" s="8"/>
      <c r="AG190" s="8"/>
      <c r="AH190" s="1"/>
      <c r="AI190" s="1"/>
      <c r="AJ190" s="1"/>
      <c r="AK190" s="1"/>
    </row>
    <row r="191" ht="14.25" customHeight="1">
      <c r="A191" s="182" t="s">
        <v>167</v>
      </c>
      <c r="G191" s="1"/>
      <c r="H191" s="1"/>
      <c r="I191" s="1"/>
      <c r="J191" s="1"/>
      <c r="K191" s="1"/>
      <c r="L191" s="1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8"/>
      <c r="AD191" s="8"/>
      <c r="AE191" s="8"/>
      <c r="AF191" s="8"/>
      <c r="AG191" s="8"/>
      <c r="AH191" s="1"/>
      <c r="AI191" s="1"/>
      <c r="AJ191" s="1"/>
      <c r="AK191" s="1"/>
    </row>
    <row r="192" ht="16.5" customHeight="1">
      <c r="A192" s="18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8"/>
      <c r="AD192" s="8"/>
      <c r="AE192" s="8"/>
      <c r="AF192" s="8"/>
      <c r="AG192" s="8"/>
      <c r="AH192" s="1"/>
      <c r="AI192" s="1"/>
      <c r="AJ192" s="1"/>
      <c r="AK192" s="1"/>
    </row>
    <row r="193" ht="15.75" customHeight="1">
      <c r="A193" s="125" t="s">
        <v>168</v>
      </c>
      <c r="B193" s="46"/>
      <c r="C193" s="46"/>
      <c r="D193" s="47"/>
      <c r="E193" s="245">
        <f>H19-A203</f>
        <v>0</v>
      </c>
      <c r="F193" s="47"/>
      <c r="G193" s="1"/>
      <c r="H193" s="1"/>
      <c r="I193" s="1"/>
      <c r="J193" s="1"/>
      <c r="K193" s="1"/>
      <c r="L193" s="1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8"/>
      <c r="AD193" s="8"/>
      <c r="AE193" s="8"/>
      <c r="AF193" s="8"/>
      <c r="AG193" s="8"/>
      <c r="AH193" s="1"/>
      <c r="AI193" s="1"/>
      <c r="AJ193" s="1"/>
      <c r="AK193" s="1"/>
    </row>
    <row r="194" ht="13.5" customHeight="1">
      <c r="A194" s="246"/>
      <c r="B194" s="7"/>
      <c r="C194" s="7"/>
      <c r="D194" s="120"/>
      <c r="E194" s="246"/>
      <c r="F194" s="120"/>
      <c r="G194" s="1"/>
      <c r="H194" s="1"/>
      <c r="I194" s="1"/>
      <c r="J194" s="1"/>
      <c r="K194" s="1"/>
      <c r="L194" s="1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8"/>
      <c r="AD194" s="8"/>
      <c r="AE194" s="8"/>
      <c r="AF194" s="8"/>
      <c r="AG194" s="8"/>
      <c r="AH194" s="1"/>
      <c r="AI194" s="1"/>
      <c r="AJ194" s="1"/>
      <c r="AK194" s="1"/>
    </row>
    <row r="195" ht="29.25" customHeight="1">
      <c r="A195" s="247" t="s">
        <v>169</v>
      </c>
      <c r="B195" s="36"/>
      <c r="C195" s="36"/>
      <c r="D195" s="49"/>
      <c r="E195" s="248" t="str">
        <f>IF(H19=0,"0",(E193/H19)*100)</f>
        <v>0</v>
      </c>
      <c r="F195" s="49"/>
      <c r="G195" s="1"/>
      <c r="H195" s="1"/>
      <c r="I195" s="1"/>
      <c r="J195" s="1"/>
      <c r="K195" s="1"/>
      <c r="L195" s="1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5"/>
      <c r="X195" s="15"/>
      <c r="Y195" s="15"/>
      <c r="Z195" s="15"/>
      <c r="AA195" s="15"/>
      <c r="AB195" s="15"/>
      <c r="AC195" s="8"/>
      <c r="AD195" s="8"/>
      <c r="AE195" s="8"/>
      <c r="AF195" s="8"/>
      <c r="AG195" s="8"/>
      <c r="AH195" s="1"/>
      <c r="AI195" s="1"/>
      <c r="AJ195" s="1"/>
      <c r="AK195" s="1"/>
    </row>
    <row r="196" ht="14.25" customHeight="1">
      <c r="A196" s="249"/>
      <c r="B196" s="15"/>
      <c r="C196" s="15"/>
      <c r="D196" s="15"/>
      <c r="E196" s="250"/>
      <c r="F196" s="12"/>
      <c r="G196" s="12"/>
      <c r="H196" s="12"/>
      <c r="I196" s="12"/>
      <c r="J196" s="12"/>
      <c r="K196" s="12"/>
      <c r="L196" s="13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8"/>
      <c r="AD196" s="8"/>
      <c r="AE196" s="8"/>
      <c r="AF196" s="8"/>
      <c r="AG196" s="8"/>
      <c r="AH196" s="1"/>
      <c r="AI196" s="1"/>
      <c r="AJ196" s="1"/>
      <c r="AK196" s="1"/>
    </row>
    <row r="197" ht="12.75" customHeight="1">
      <c r="A197" s="182" t="s">
        <v>170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8"/>
      <c r="AD197" s="8"/>
      <c r="AE197" s="8"/>
      <c r="AF197" s="8"/>
      <c r="AG197" s="8"/>
      <c r="AH197" s="1"/>
      <c r="AI197" s="1"/>
      <c r="AJ197" s="1"/>
      <c r="AK197" s="1"/>
    </row>
    <row r="198" ht="14.25" customHeight="1">
      <c r="A198" s="219"/>
      <c r="B198" s="219"/>
      <c r="C198" s="219"/>
      <c r="D198" s="102"/>
      <c r="E198" s="102"/>
      <c r="F198" s="102"/>
      <c r="G198" s="102"/>
      <c r="H198" s="102"/>
      <c r="I198" s="102"/>
      <c r="J198" s="102"/>
      <c r="K198" s="102"/>
      <c r="L198" s="102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8"/>
      <c r="AD198" s="8"/>
      <c r="AE198" s="8"/>
      <c r="AF198" s="8"/>
      <c r="AG198" s="8"/>
      <c r="AH198" s="1"/>
      <c r="AI198" s="1"/>
      <c r="AJ198" s="1"/>
      <c r="AK198" s="1"/>
    </row>
    <row r="199" ht="16.5" customHeight="1">
      <c r="A199" s="182" t="s">
        <v>171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8"/>
      <c r="AD199" s="8"/>
      <c r="AE199" s="8"/>
      <c r="AF199" s="8"/>
      <c r="AG199" s="8"/>
      <c r="AH199" s="1"/>
      <c r="AI199" s="1"/>
      <c r="AJ199" s="1"/>
      <c r="A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8"/>
      <c r="AD200" s="8"/>
      <c r="AE200" s="8"/>
      <c r="AF200" s="8"/>
      <c r="AG200" s="8"/>
      <c r="AH200" s="1"/>
      <c r="AI200" s="1"/>
      <c r="AJ200" s="1"/>
      <c r="AK200" s="1"/>
    </row>
    <row r="201" ht="14.25" customHeight="1">
      <c r="A201" s="106" t="s">
        <v>172</v>
      </c>
      <c r="B201" s="46"/>
      <c r="C201" s="46"/>
      <c r="D201" s="47"/>
      <c r="E201" s="251" t="s">
        <v>173</v>
      </c>
      <c r="F201" s="23"/>
      <c r="G201" s="23"/>
      <c r="H201" s="23"/>
      <c r="I201" s="23"/>
      <c r="J201" s="23"/>
      <c r="K201" s="23"/>
      <c r="L201" s="24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8"/>
      <c r="AD201" s="8"/>
      <c r="AE201" s="8"/>
      <c r="AF201" s="8"/>
      <c r="AG201" s="8"/>
      <c r="AH201" s="1"/>
      <c r="AI201" s="1"/>
      <c r="AJ201" s="1"/>
      <c r="AK201" s="1"/>
    </row>
    <row r="202" ht="27.75" customHeight="1">
      <c r="A202" s="39"/>
      <c r="B202" s="40"/>
      <c r="C202" s="40"/>
      <c r="D202" s="86"/>
      <c r="E202" s="252" t="s">
        <v>174</v>
      </c>
      <c r="F202" s="171"/>
      <c r="G202" s="253" t="s">
        <v>175</v>
      </c>
      <c r="H202" s="171"/>
      <c r="I202" s="253" t="s">
        <v>176</v>
      </c>
      <c r="J202" s="171"/>
      <c r="K202" s="253" t="s">
        <v>141</v>
      </c>
      <c r="L202" s="49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8"/>
      <c r="AD202" s="8"/>
      <c r="AE202" s="8"/>
      <c r="AF202" s="8"/>
      <c r="AG202" s="8"/>
      <c r="AH202" s="1"/>
      <c r="AI202" s="1"/>
      <c r="AJ202" s="1"/>
      <c r="AK202" s="1"/>
    </row>
    <row r="203" ht="14.25" customHeight="1">
      <c r="A203" s="223">
        <f>SUM(E203:L203)</f>
        <v>0</v>
      </c>
      <c r="B203" s="19"/>
      <c r="C203" s="19"/>
      <c r="D203" s="20"/>
      <c r="E203" s="199">
        <v>0.0</v>
      </c>
      <c r="F203" s="152"/>
      <c r="G203" s="112">
        <v>0.0</v>
      </c>
      <c r="H203" s="152"/>
      <c r="I203" s="112">
        <v>0.0</v>
      </c>
      <c r="J203" s="152"/>
      <c r="K203" s="112">
        <v>0.0</v>
      </c>
      <c r="L203" s="20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8"/>
      <c r="AD203" s="8"/>
      <c r="AE203" s="8"/>
      <c r="AF203" s="8"/>
      <c r="AG203" s="8"/>
      <c r="AH203" s="1"/>
      <c r="AI203" s="1"/>
      <c r="AJ203" s="1"/>
      <c r="AK203" s="1"/>
    </row>
    <row r="204" ht="14.25" customHeight="1">
      <c r="A204" s="102"/>
      <c r="B204" s="102"/>
      <c r="C204" s="102"/>
      <c r="D204" s="102"/>
      <c r="E204" s="102"/>
      <c r="F204" s="102"/>
      <c r="H204" s="102"/>
      <c r="I204" s="102"/>
      <c r="J204" s="102"/>
      <c r="K204" s="102"/>
      <c r="L204" s="102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8"/>
      <c r="AD204" s="8"/>
      <c r="AE204" s="8"/>
      <c r="AF204" s="8"/>
      <c r="AG204" s="8"/>
      <c r="AH204" s="1"/>
      <c r="AI204" s="1"/>
      <c r="AJ204" s="1"/>
      <c r="AK204" s="1"/>
    </row>
    <row r="205" ht="14.25" customHeight="1">
      <c r="A205" s="182" t="s">
        <v>177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8"/>
      <c r="AD205" s="8"/>
      <c r="AE205" s="8"/>
      <c r="AF205" s="8"/>
      <c r="AG205" s="8"/>
      <c r="AH205" s="1"/>
      <c r="AI205" s="1"/>
      <c r="AJ205" s="1"/>
      <c r="A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8"/>
      <c r="AD206" s="8"/>
      <c r="AE206" s="8"/>
      <c r="AF206" s="8"/>
      <c r="AG206" s="8"/>
      <c r="AH206" s="1"/>
      <c r="AI206" s="1"/>
      <c r="AJ206" s="1"/>
      <c r="AK206" s="1"/>
    </row>
    <row r="207" ht="41.25" customHeight="1">
      <c r="A207" s="151" t="s">
        <v>178</v>
      </c>
      <c r="B207" s="19"/>
      <c r="C207" s="20"/>
      <c r="D207" s="151" t="s">
        <v>179</v>
      </c>
      <c r="E207" s="19"/>
      <c r="F207" s="152"/>
      <c r="G207" s="235" t="s">
        <v>180</v>
      </c>
      <c r="H207" s="19"/>
      <c r="I207" s="20"/>
      <c r="J207" s="151" t="s">
        <v>11</v>
      </c>
      <c r="K207" s="19"/>
      <c r="L207" s="20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8"/>
      <c r="AD207" s="8"/>
      <c r="AE207" s="8"/>
      <c r="AF207" s="8"/>
      <c r="AG207" s="8"/>
      <c r="AH207" s="1"/>
      <c r="AI207" s="1"/>
      <c r="AJ207" s="1"/>
      <c r="AK207" s="1"/>
    </row>
    <row r="208" ht="14.25" customHeight="1">
      <c r="A208" s="22" t="s">
        <v>181</v>
      </c>
      <c r="B208" s="23"/>
      <c r="C208" s="24"/>
      <c r="D208" s="68">
        <v>0.0</v>
      </c>
      <c r="E208" s="23"/>
      <c r="F208" s="159"/>
      <c r="G208" s="237">
        <v>0.0</v>
      </c>
      <c r="H208" s="23"/>
      <c r="I208" s="24"/>
      <c r="J208" s="238">
        <f t="shared" ref="J208:J215" si="5">SUM(D208:I208)</f>
        <v>0</v>
      </c>
      <c r="K208" s="23"/>
      <c r="L208" s="2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8"/>
      <c r="AD208" s="8"/>
      <c r="AE208" s="8"/>
      <c r="AF208" s="8"/>
      <c r="AG208" s="8"/>
      <c r="AH208" s="1"/>
      <c r="AI208" s="1"/>
      <c r="AJ208" s="1"/>
      <c r="AK208" s="1"/>
    </row>
    <row r="209" ht="15.0" customHeight="1">
      <c r="A209" s="26" t="s">
        <v>182</v>
      </c>
      <c r="B209" s="27"/>
      <c r="C209" s="28"/>
      <c r="D209" s="29">
        <v>0.0</v>
      </c>
      <c r="E209" s="27"/>
      <c r="F209" s="165"/>
      <c r="G209" s="239">
        <v>0.0</v>
      </c>
      <c r="H209" s="27"/>
      <c r="I209" s="28"/>
      <c r="J209" s="240">
        <f t="shared" si="5"/>
        <v>0</v>
      </c>
      <c r="K209" s="27"/>
      <c r="L209" s="28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5"/>
      <c r="X209" s="15"/>
      <c r="Y209" s="15"/>
      <c r="Z209" s="15"/>
      <c r="AA209" s="15"/>
      <c r="AB209" s="15"/>
      <c r="AC209" s="8"/>
      <c r="AD209" s="8"/>
      <c r="AE209" s="8"/>
      <c r="AF209" s="8"/>
      <c r="AG209" s="8"/>
      <c r="AH209" s="1"/>
      <c r="AI209" s="1"/>
      <c r="AJ209" s="1"/>
      <c r="AK209" s="1"/>
    </row>
    <row r="210" ht="12.75" customHeight="1">
      <c r="A210" s="26" t="s">
        <v>183</v>
      </c>
      <c r="B210" s="27"/>
      <c r="C210" s="28"/>
      <c r="D210" s="29">
        <v>0.0</v>
      </c>
      <c r="E210" s="27"/>
      <c r="F210" s="165"/>
      <c r="G210" s="239">
        <v>0.0</v>
      </c>
      <c r="H210" s="27"/>
      <c r="I210" s="28"/>
      <c r="J210" s="240">
        <f t="shared" si="5"/>
        <v>0</v>
      </c>
      <c r="K210" s="27"/>
      <c r="L210" s="28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8"/>
      <c r="AD210" s="8"/>
      <c r="AE210" s="8"/>
      <c r="AF210" s="8"/>
      <c r="AG210" s="8"/>
      <c r="AH210" s="1"/>
      <c r="AI210" s="1"/>
      <c r="AJ210" s="1"/>
      <c r="AK210" s="1"/>
    </row>
    <row r="211" ht="14.25" customHeight="1">
      <c r="A211" s="26" t="s">
        <v>184</v>
      </c>
      <c r="B211" s="27"/>
      <c r="C211" s="28"/>
      <c r="D211" s="29">
        <v>0.0</v>
      </c>
      <c r="E211" s="27"/>
      <c r="F211" s="165"/>
      <c r="G211" s="239">
        <v>0.0</v>
      </c>
      <c r="H211" s="27"/>
      <c r="I211" s="28"/>
      <c r="J211" s="240">
        <f t="shared" si="5"/>
        <v>0</v>
      </c>
      <c r="K211" s="27"/>
      <c r="L211" s="28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8"/>
      <c r="AD211" s="8"/>
      <c r="AE211" s="8"/>
      <c r="AF211" s="8"/>
      <c r="AG211" s="8"/>
      <c r="AH211" s="1"/>
      <c r="AI211" s="1"/>
      <c r="AJ211" s="1"/>
      <c r="AK211" s="1"/>
    </row>
    <row r="212" ht="14.25" customHeight="1">
      <c r="A212" s="26" t="s">
        <v>185</v>
      </c>
      <c r="B212" s="27"/>
      <c r="C212" s="28"/>
      <c r="D212" s="29">
        <v>0.0</v>
      </c>
      <c r="E212" s="27"/>
      <c r="F212" s="165"/>
      <c r="G212" s="239">
        <v>0.0</v>
      </c>
      <c r="H212" s="27"/>
      <c r="I212" s="28"/>
      <c r="J212" s="240">
        <f t="shared" si="5"/>
        <v>0</v>
      </c>
      <c r="K212" s="27"/>
      <c r="L212" s="28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8"/>
      <c r="AD212" s="8"/>
      <c r="AE212" s="8"/>
      <c r="AF212" s="8"/>
      <c r="AG212" s="8"/>
      <c r="AH212" s="1"/>
      <c r="AI212" s="1"/>
      <c r="AJ212" s="1"/>
      <c r="AK212" s="1"/>
    </row>
    <row r="213" ht="14.25" customHeight="1">
      <c r="A213" s="26" t="s">
        <v>186</v>
      </c>
      <c r="B213" s="27"/>
      <c r="C213" s="28"/>
      <c r="D213" s="29">
        <v>0.0</v>
      </c>
      <c r="E213" s="27"/>
      <c r="F213" s="165"/>
      <c r="G213" s="239">
        <v>0.0</v>
      </c>
      <c r="H213" s="27"/>
      <c r="I213" s="28"/>
      <c r="J213" s="240">
        <f t="shared" si="5"/>
        <v>0</v>
      </c>
      <c r="K213" s="27"/>
      <c r="L213" s="28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8"/>
      <c r="AD213" s="8"/>
      <c r="AE213" s="8"/>
      <c r="AF213" s="8"/>
      <c r="AG213" s="8"/>
      <c r="AH213" s="1"/>
      <c r="AI213" s="1"/>
      <c r="AJ213" s="1"/>
      <c r="AK213" s="1"/>
    </row>
    <row r="214" ht="14.25" customHeight="1">
      <c r="A214" s="170" t="s">
        <v>187</v>
      </c>
      <c r="B214" s="36"/>
      <c r="C214" s="49"/>
      <c r="D214" s="72">
        <v>0.0</v>
      </c>
      <c r="E214" s="36"/>
      <c r="F214" s="171"/>
      <c r="G214" s="241">
        <v>0.0</v>
      </c>
      <c r="H214" s="36"/>
      <c r="I214" s="49"/>
      <c r="J214" s="254">
        <f t="shared" si="5"/>
        <v>0</v>
      </c>
      <c r="K214" s="36"/>
      <c r="L214" s="49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8"/>
      <c r="AD214" s="8"/>
      <c r="AE214" s="8"/>
      <c r="AF214" s="8"/>
      <c r="AG214" s="8"/>
      <c r="AH214" s="1"/>
      <c r="AI214" s="1"/>
      <c r="AJ214" s="1"/>
      <c r="AK214" s="1"/>
    </row>
    <row r="215" ht="14.25" customHeight="1">
      <c r="A215" s="214" t="s">
        <v>11</v>
      </c>
      <c r="B215" s="19"/>
      <c r="C215" s="20"/>
      <c r="D215" s="42">
        <f>SUM(D208:F214)</f>
        <v>0</v>
      </c>
      <c r="E215" s="19"/>
      <c r="F215" s="152"/>
      <c r="G215" s="243">
        <f>SUM(G208:I214)</f>
        <v>0</v>
      </c>
      <c r="H215" s="19"/>
      <c r="I215" s="20"/>
      <c r="J215" s="42">
        <f t="shared" si="5"/>
        <v>0</v>
      </c>
      <c r="K215" s="19"/>
      <c r="L215" s="20"/>
      <c r="M215" s="217" t="str">
        <f>IF(J215&lt;&gt;A203,"Section 4.7.2 - Total should equal ""Number of requests closed past the legislated timelines"" of Section 4.7.1","")</f>
        <v/>
      </c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15"/>
      <c r="AA215" s="15"/>
      <c r="AB215" s="15"/>
      <c r="AC215" s="8"/>
      <c r="AD215" s="8"/>
      <c r="AE215" s="8"/>
      <c r="AF215" s="8"/>
      <c r="AG215" s="8"/>
      <c r="AH215" s="1"/>
      <c r="AI215" s="1"/>
      <c r="AJ215" s="1"/>
      <c r="AK215" s="1"/>
    </row>
    <row r="216" ht="14.25" customHeight="1">
      <c r="A216" s="249"/>
      <c r="B216" s="219"/>
      <c r="C216" s="219"/>
      <c r="D216" s="255"/>
      <c r="E216" s="255"/>
      <c r="F216" s="255"/>
      <c r="G216" s="255"/>
      <c r="H216" s="255"/>
      <c r="I216" s="255"/>
      <c r="J216" s="255"/>
      <c r="K216" s="255"/>
      <c r="L216" s="25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8"/>
      <c r="AD216" s="8"/>
      <c r="AE216" s="8"/>
      <c r="AF216" s="8"/>
      <c r="AG216" s="8"/>
      <c r="AH216" s="1"/>
      <c r="AI216" s="1"/>
      <c r="AJ216" s="1"/>
      <c r="AK216" s="1"/>
    </row>
    <row r="217" ht="14.25" customHeight="1">
      <c r="A217" s="256" t="s">
        <v>188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3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8"/>
      <c r="AD217" s="8"/>
      <c r="AE217" s="8"/>
      <c r="AF217" s="8"/>
      <c r="AG217" s="8"/>
      <c r="AH217" s="1"/>
      <c r="AI217" s="1"/>
      <c r="AJ217" s="1"/>
      <c r="A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8"/>
      <c r="AD218" s="8"/>
      <c r="AE218" s="8"/>
      <c r="AF218" s="8"/>
      <c r="AG218" s="8"/>
      <c r="AH218" s="1"/>
      <c r="AI218" s="1"/>
      <c r="AJ218" s="1"/>
      <c r="AK218" s="1"/>
    </row>
    <row r="219" ht="14.25" customHeight="1">
      <c r="A219" s="14" t="s">
        <v>189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8"/>
      <c r="AD219" s="8"/>
      <c r="AE219" s="8"/>
      <c r="AF219" s="8"/>
      <c r="AG219" s="8"/>
      <c r="AH219" s="1"/>
      <c r="AI219" s="1"/>
      <c r="AJ219" s="1"/>
      <c r="A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8"/>
      <c r="AD220" s="8"/>
      <c r="AE220" s="8"/>
      <c r="AF220" s="8"/>
      <c r="AG220" s="8"/>
      <c r="AH220" s="1"/>
      <c r="AI220" s="1"/>
      <c r="AJ220" s="1"/>
      <c r="AK220" s="1"/>
    </row>
    <row r="221" ht="26.25" customHeight="1">
      <c r="A221" s="106" t="s">
        <v>190</v>
      </c>
      <c r="B221" s="46"/>
      <c r="C221" s="46"/>
      <c r="D221" s="47"/>
      <c r="E221" s="106" t="s">
        <v>191</v>
      </c>
      <c r="F221" s="203"/>
      <c r="G221" s="257" t="s">
        <v>192</v>
      </c>
      <c r="H221" s="23"/>
      <c r="I221" s="23"/>
      <c r="J221" s="159"/>
      <c r="K221" s="258" t="s">
        <v>193</v>
      </c>
      <c r="L221" s="47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8"/>
      <c r="AD221" s="8"/>
      <c r="AE221" s="8"/>
      <c r="AF221" s="8"/>
      <c r="AG221" s="8"/>
      <c r="AH221" s="1"/>
      <c r="AI221" s="1"/>
      <c r="AJ221" s="1"/>
      <c r="AK221" s="1"/>
    </row>
    <row r="222" ht="23.25" customHeight="1">
      <c r="A222" s="39"/>
      <c r="B222" s="40"/>
      <c r="C222" s="40"/>
      <c r="D222" s="86"/>
      <c r="E222" s="39"/>
      <c r="F222" s="155"/>
      <c r="G222" s="259" t="s">
        <v>194</v>
      </c>
      <c r="H222" s="171"/>
      <c r="I222" s="259" t="s">
        <v>141</v>
      </c>
      <c r="J222" s="171"/>
      <c r="K222" s="230"/>
      <c r="L222" s="86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8"/>
      <c r="AD222" s="8"/>
      <c r="AE222" s="8"/>
      <c r="AF222" s="8"/>
      <c r="AG222" s="8"/>
      <c r="AH222" s="1"/>
      <c r="AI222" s="1"/>
      <c r="AJ222" s="1"/>
      <c r="AK222" s="1"/>
    </row>
    <row r="223" ht="14.25" customHeight="1">
      <c r="A223" s="22" t="s">
        <v>56</v>
      </c>
      <c r="B223" s="23"/>
      <c r="C223" s="23"/>
      <c r="D223" s="24"/>
      <c r="E223" s="25">
        <v>0.0</v>
      </c>
      <c r="F223" s="159"/>
      <c r="G223" s="184">
        <v>0.0</v>
      </c>
      <c r="H223" s="159"/>
      <c r="I223" s="184">
        <v>0.0</v>
      </c>
      <c r="J223" s="159"/>
      <c r="K223" s="184">
        <v>0.0</v>
      </c>
      <c r="L223" s="24"/>
      <c r="M223" s="10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8"/>
      <c r="AD223" s="8"/>
      <c r="AE223" s="8"/>
      <c r="AF223" s="8"/>
      <c r="AG223" s="8"/>
      <c r="AH223" s="1"/>
      <c r="AI223" s="1"/>
      <c r="AJ223" s="1"/>
      <c r="AK223" s="1"/>
    </row>
    <row r="224" ht="14.25" customHeight="1">
      <c r="A224" s="26" t="s">
        <v>57</v>
      </c>
      <c r="B224" s="27"/>
      <c r="C224" s="27"/>
      <c r="D224" s="28"/>
      <c r="E224" s="61">
        <v>0.0</v>
      </c>
      <c r="F224" s="165"/>
      <c r="G224" s="186">
        <v>0.0</v>
      </c>
      <c r="H224" s="165"/>
      <c r="I224" s="186">
        <v>0.0</v>
      </c>
      <c r="J224" s="165"/>
      <c r="K224" s="186">
        <v>0.0</v>
      </c>
      <c r="L224" s="28"/>
      <c r="M224" s="10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8"/>
      <c r="AD224" s="8"/>
      <c r="AE224" s="8"/>
      <c r="AF224" s="8"/>
      <c r="AG224" s="8"/>
      <c r="AH224" s="1"/>
      <c r="AI224" s="1"/>
      <c r="AJ224" s="1"/>
      <c r="AK224" s="1"/>
    </row>
    <row r="225" ht="14.25" customHeight="1">
      <c r="A225" s="26" t="s">
        <v>58</v>
      </c>
      <c r="B225" s="27"/>
      <c r="C225" s="27"/>
      <c r="D225" s="28"/>
      <c r="E225" s="61">
        <v>0.0</v>
      </c>
      <c r="F225" s="165"/>
      <c r="G225" s="186">
        <v>0.0</v>
      </c>
      <c r="H225" s="165"/>
      <c r="I225" s="186">
        <v>0.0</v>
      </c>
      <c r="J225" s="165"/>
      <c r="K225" s="186">
        <v>0.0</v>
      </c>
      <c r="L225" s="28"/>
      <c r="M225" s="10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8"/>
      <c r="AD225" s="8"/>
      <c r="AE225" s="8"/>
      <c r="AF225" s="8"/>
      <c r="AG225" s="8"/>
      <c r="AH225" s="1"/>
      <c r="AI225" s="1"/>
      <c r="AJ225" s="1"/>
      <c r="AK225" s="1"/>
    </row>
    <row r="226" ht="14.25" customHeight="1">
      <c r="A226" s="26" t="s">
        <v>59</v>
      </c>
      <c r="B226" s="27"/>
      <c r="C226" s="27"/>
      <c r="D226" s="28"/>
      <c r="E226" s="61">
        <v>0.0</v>
      </c>
      <c r="F226" s="165"/>
      <c r="G226" s="186">
        <v>0.0</v>
      </c>
      <c r="H226" s="165"/>
      <c r="I226" s="186">
        <v>0.0</v>
      </c>
      <c r="J226" s="165"/>
      <c r="K226" s="186">
        <v>0.0</v>
      </c>
      <c r="L226" s="28"/>
      <c r="M226" s="10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8"/>
      <c r="AD226" s="8"/>
      <c r="AE226" s="8"/>
      <c r="AF226" s="8"/>
      <c r="AG226" s="8"/>
      <c r="AH226" s="1"/>
      <c r="AI226" s="1"/>
      <c r="AJ226" s="1"/>
      <c r="AK226" s="1"/>
    </row>
    <row r="227" ht="14.25" customHeight="1">
      <c r="A227" s="26" t="s">
        <v>62</v>
      </c>
      <c r="B227" s="27"/>
      <c r="C227" s="27"/>
      <c r="D227" s="28"/>
      <c r="E227" s="61">
        <v>0.0</v>
      </c>
      <c r="F227" s="165"/>
      <c r="G227" s="186">
        <v>0.0</v>
      </c>
      <c r="H227" s="165"/>
      <c r="I227" s="186">
        <v>0.0</v>
      </c>
      <c r="J227" s="165"/>
      <c r="K227" s="186">
        <v>0.0</v>
      </c>
      <c r="L227" s="28"/>
      <c r="M227" s="10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8"/>
      <c r="AD227" s="8"/>
      <c r="AE227" s="8"/>
      <c r="AF227" s="8"/>
      <c r="AG227" s="8"/>
      <c r="AH227" s="1"/>
      <c r="AI227" s="1"/>
      <c r="AJ227" s="1"/>
      <c r="AK227" s="1"/>
    </row>
    <row r="228" ht="14.25" customHeight="1">
      <c r="A228" s="26" t="s">
        <v>60</v>
      </c>
      <c r="B228" s="27"/>
      <c r="C228" s="27"/>
      <c r="D228" s="28"/>
      <c r="E228" s="61">
        <v>0.0</v>
      </c>
      <c r="F228" s="165"/>
      <c r="G228" s="186">
        <v>0.0</v>
      </c>
      <c r="H228" s="165"/>
      <c r="I228" s="186">
        <v>0.0</v>
      </c>
      <c r="J228" s="165"/>
      <c r="K228" s="186">
        <v>0.0</v>
      </c>
      <c r="L228" s="28"/>
      <c r="M228" s="10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8"/>
      <c r="AD228" s="8"/>
      <c r="AE228" s="8"/>
      <c r="AF228" s="8"/>
      <c r="AG228" s="8"/>
      <c r="AH228" s="1"/>
      <c r="AI228" s="1"/>
      <c r="AJ228" s="1"/>
      <c r="AK228" s="1"/>
    </row>
    <row r="229" ht="30.75" customHeight="1">
      <c r="A229" s="260" t="s">
        <v>64</v>
      </c>
      <c r="B229" s="36"/>
      <c r="C229" s="36"/>
      <c r="D229" s="49"/>
      <c r="E229" s="62">
        <v>0.0</v>
      </c>
      <c r="F229" s="171"/>
      <c r="G229" s="187">
        <v>0.0</v>
      </c>
      <c r="H229" s="171"/>
      <c r="I229" s="187">
        <v>0.0</v>
      </c>
      <c r="J229" s="171"/>
      <c r="K229" s="187">
        <v>0.0</v>
      </c>
      <c r="L229" s="49"/>
      <c r="M229" s="10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8"/>
      <c r="AD229" s="8"/>
      <c r="AE229" s="8"/>
      <c r="AF229" s="8"/>
      <c r="AG229" s="8"/>
      <c r="AH229" s="1"/>
      <c r="AI229" s="1"/>
      <c r="AJ229" s="1"/>
      <c r="AK229" s="1"/>
    </row>
    <row r="230" ht="14.25" customHeight="1">
      <c r="A230" s="214" t="s">
        <v>11</v>
      </c>
      <c r="B230" s="19"/>
      <c r="C230" s="19"/>
      <c r="D230" s="20"/>
      <c r="E230" s="42">
        <f>SUM(E223:F229)</f>
        <v>0</v>
      </c>
      <c r="F230" s="152"/>
      <c r="G230" s="243">
        <f>SUM(G223:H229)</f>
        <v>0</v>
      </c>
      <c r="H230" s="152"/>
      <c r="I230" s="243">
        <f>SUM(I223:J229)</f>
        <v>0</v>
      </c>
      <c r="J230" s="152"/>
      <c r="K230" s="243">
        <f>SUM(K223:L229)</f>
        <v>0</v>
      </c>
      <c r="L230" s="20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8"/>
      <c r="AD230" s="8"/>
      <c r="AE230" s="8"/>
      <c r="AF230" s="8"/>
      <c r="AG230" s="8"/>
      <c r="AH230" s="1"/>
      <c r="AI230" s="1"/>
      <c r="AJ230" s="1"/>
      <c r="AK230" s="1"/>
    </row>
    <row r="231" ht="14.25" customHeight="1">
      <c r="A231" s="219"/>
      <c r="B231" s="219"/>
      <c r="C231" s="219"/>
      <c r="D231" s="219"/>
      <c r="E231" s="102"/>
      <c r="F231" s="102"/>
      <c r="G231" s="102"/>
      <c r="H231" s="102"/>
      <c r="I231" s="102"/>
      <c r="J231" s="102"/>
      <c r="K231" s="102"/>
      <c r="L231" s="102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8"/>
      <c r="AD231" s="8"/>
      <c r="AE231" s="8"/>
      <c r="AF231" s="8"/>
      <c r="AG231" s="8"/>
      <c r="AH231" s="1"/>
      <c r="AI231" s="1"/>
      <c r="AJ231" s="1"/>
      <c r="AK231" s="1"/>
    </row>
    <row r="232" ht="14.25" customHeight="1">
      <c r="A232" s="14" t="s">
        <v>195</v>
      </c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8"/>
      <c r="AD232" s="8"/>
      <c r="AE232" s="8"/>
      <c r="AF232" s="8"/>
      <c r="AG232" s="8"/>
      <c r="AH232" s="1"/>
      <c r="AI232" s="1"/>
      <c r="AJ232" s="1"/>
      <c r="A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8"/>
      <c r="AD233" s="8"/>
      <c r="AE233" s="8"/>
      <c r="AF233" s="8"/>
      <c r="AG233" s="8"/>
      <c r="AH233" s="1"/>
      <c r="AI233" s="1"/>
      <c r="AJ233" s="1"/>
      <c r="AK233" s="1"/>
    </row>
    <row r="234" ht="27.75" customHeight="1">
      <c r="A234" s="106" t="s">
        <v>196</v>
      </c>
      <c r="B234" s="46"/>
      <c r="C234" s="46"/>
      <c r="D234" s="47"/>
      <c r="E234" s="106" t="s">
        <v>191</v>
      </c>
      <c r="F234" s="203"/>
      <c r="G234" s="257" t="s">
        <v>192</v>
      </c>
      <c r="H234" s="23"/>
      <c r="I234" s="23"/>
      <c r="J234" s="159"/>
      <c r="K234" s="258" t="s">
        <v>193</v>
      </c>
      <c r="L234" s="47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8"/>
      <c r="AD234" s="8"/>
      <c r="AE234" s="8"/>
      <c r="AF234" s="8"/>
      <c r="AG234" s="8"/>
      <c r="AH234" s="1"/>
      <c r="AI234" s="1"/>
      <c r="AJ234" s="1"/>
      <c r="AK234" s="1"/>
    </row>
    <row r="235" ht="24.0" customHeight="1">
      <c r="A235" s="39"/>
      <c r="B235" s="40"/>
      <c r="C235" s="40"/>
      <c r="D235" s="86"/>
      <c r="E235" s="39"/>
      <c r="F235" s="155"/>
      <c r="G235" s="259" t="s">
        <v>194</v>
      </c>
      <c r="H235" s="171"/>
      <c r="I235" s="259" t="s">
        <v>141</v>
      </c>
      <c r="J235" s="171"/>
      <c r="K235" s="230"/>
      <c r="L235" s="86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8"/>
      <c r="AD235" s="8"/>
      <c r="AE235" s="8"/>
      <c r="AF235" s="8"/>
      <c r="AG235" s="8"/>
      <c r="AH235" s="1"/>
      <c r="AI235" s="1"/>
      <c r="AJ235" s="1"/>
      <c r="AK235" s="1"/>
    </row>
    <row r="236" ht="14.25" customHeight="1">
      <c r="A236" s="261" t="s">
        <v>197</v>
      </c>
      <c r="B236" s="23"/>
      <c r="C236" s="23"/>
      <c r="D236" s="24"/>
      <c r="E236" s="262">
        <v>0.0</v>
      </c>
      <c r="F236" s="159"/>
      <c r="G236" s="184">
        <v>0.0</v>
      </c>
      <c r="H236" s="159"/>
      <c r="I236" s="184">
        <v>0.0</v>
      </c>
      <c r="J236" s="159"/>
      <c r="K236" s="263">
        <v>0.0</v>
      </c>
      <c r="L236" s="24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8"/>
      <c r="AD236" s="8"/>
      <c r="AE236" s="8"/>
      <c r="AF236" s="8"/>
      <c r="AG236" s="8"/>
      <c r="AH236" s="1"/>
      <c r="AI236" s="1"/>
      <c r="AJ236" s="1"/>
      <c r="AK236" s="1"/>
    </row>
    <row r="237" ht="14.25" customHeight="1">
      <c r="A237" s="122" t="s">
        <v>183</v>
      </c>
      <c r="B237" s="27"/>
      <c r="C237" s="27"/>
      <c r="D237" s="28"/>
      <c r="E237" s="264">
        <v>0.0</v>
      </c>
      <c r="F237" s="165"/>
      <c r="G237" s="186">
        <v>0.0</v>
      </c>
      <c r="H237" s="165"/>
      <c r="I237" s="186">
        <v>0.0</v>
      </c>
      <c r="J237" s="165"/>
      <c r="K237" s="265">
        <v>0.0</v>
      </c>
      <c r="L237" s="28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8"/>
      <c r="AD237" s="8"/>
      <c r="AE237" s="8"/>
      <c r="AF237" s="8"/>
      <c r="AG237" s="8"/>
      <c r="AH237" s="1"/>
      <c r="AI237" s="1"/>
      <c r="AJ237" s="1"/>
      <c r="AK237" s="1"/>
    </row>
    <row r="238" ht="14.25" customHeight="1">
      <c r="A238" s="122" t="s">
        <v>184</v>
      </c>
      <c r="B238" s="27"/>
      <c r="C238" s="27"/>
      <c r="D238" s="28"/>
      <c r="E238" s="264">
        <v>0.0</v>
      </c>
      <c r="F238" s="165"/>
      <c r="G238" s="186">
        <v>0.0</v>
      </c>
      <c r="H238" s="165"/>
      <c r="I238" s="186">
        <v>0.0</v>
      </c>
      <c r="J238" s="165"/>
      <c r="K238" s="265">
        <v>0.0</v>
      </c>
      <c r="L238" s="28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8"/>
      <c r="AD238" s="8"/>
      <c r="AE238" s="8"/>
      <c r="AF238" s="8"/>
      <c r="AG238" s="8"/>
      <c r="AH238" s="1"/>
      <c r="AI238" s="1"/>
      <c r="AJ238" s="1"/>
      <c r="AK238" s="1"/>
    </row>
    <row r="239" ht="14.25" customHeight="1">
      <c r="A239" s="122" t="s">
        <v>198</v>
      </c>
      <c r="B239" s="27"/>
      <c r="C239" s="27"/>
      <c r="D239" s="28"/>
      <c r="E239" s="264">
        <v>0.0</v>
      </c>
      <c r="F239" s="165"/>
      <c r="G239" s="186">
        <v>0.0</v>
      </c>
      <c r="H239" s="165"/>
      <c r="I239" s="186">
        <v>0.0</v>
      </c>
      <c r="J239" s="165"/>
      <c r="K239" s="265">
        <v>0.0</v>
      </c>
      <c r="L239" s="28"/>
      <c r="M239" s="217" t="str">
        <f>IF(E242&lt;&gt;E230,"Section 5.2 - Totals for ""Interference With Operations/ Workload"" should be equal to ""Interference With Operations/ Workload"" of Section 5.1","")</f>
        <v/>
      </c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15"/>
      <c r="AA239" s="15"/>
      <c r="AB239" s="15"/>
      <c r="AC239" s="8"/>
      <c r="AD239" s="8"/>
      <c r="AE239" s="8"/>
      <c r="AF239" s="8"/>
      <c r="AG239" s="8"/>
      <c r="AH239" s="1"/>
      <c r="AI239" s="1"/>
      <c r="AJ239" s="1"/>
      <c r="AK239" s="1"/>
    </row>
    <row r="240" ht="14.25" customHeight="1">
      <c r="A240" s="26" t="s">
        <v>186</v>
      </c>
      <c r="B240" s="27"/>
      <c r="C240" s="27"/>
      <c r="D240" s="28"/>
      <c r="E240" s="61">
        <v>0.0</v>
      </c>
      <c r="F240" s="165"/>
      <c r="G240" s="186">
        <v>0.0</v>
      </c>
      <c r="H240" s="165"/>
      <c r="I240" s="186">
        <v>0.0</v>
      </c>
      <c r="J240" s="165"/>
      <c r="K240" s="186">
        <v>0.0</v>
      </c>
      <c r="L240" s="28"/>
      <c r="M240" s="217" t="str">
        <f>IF(G242&lt;&gt;G230,"Section 5.2 - Totals for ""Section 69"" should be equal to ""Section 69"" of Section 5.1","")</f>
        <v/>
      </c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15"/>
      <c r="AA240" s="15"/>
      <c r="AB240" s="15"/>
      <c r="AC240" s="8"/>
      <c r="AD240" s="8"/>
      <c r="AE240" s="8"/>
      <c r="AF240" s="8"/>
      <c r="AG240" s="8"/>
      <c r="AH240" s="1"/>
      <c r="AI240" s="1"/>
      <c r="AJ240" s="1"/>
      <c r="AK240" s="1"/>
    </row>
    <row r="241" ht="14.25" customHeight="1">
      <c r="A241" s="170" t="s">
        <v>199</v>
      </c>
      <c r="B241" s="36"/>
      <c r="C241" s="36"/>
      <c r="D241" s="49"/>
      <c r="E241" s="62">
        <v>0.0</v>
      </c>
      <c r="F241" s="171"/>
      <c r="G241" s="187">
        <v>0.0</v>
      </c>
      <c r="H241" s="171"/>
      <c r="I241" s="187">
        <v>0.0</v>
      </c>
      <c r="J241" s="171"/>
      <c r="K241" s="187">
        <v>0.0</v>
      </c>
      <c r="L241" s="49"/>
      <c r="M241" s="217" t="str">
        <f>IF(I242&lt;&gt;I230,"Section 5.2 - Totals for ""Other"" should be equal to ""Other"" of Section 5.1","")</f>
        <v/>
      </c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15"/>
      <c r="AA241" s="15"/>
      <c r="AB241" s="15"/>
      <c r="AC241" s="8"/>
      <c r="AD241" s="8"/>
      <c r="AE241" s="8"/>
      <c r="AF241" s="8"/>
      <c r="AG241" s="8"/>
      <c r="AH241" s="1"/>
      <c r="AI241" s="1"/>
      <c r="AJ241" s="1"/>
      <c r="AK241" s="1"/>
    </row>
    <row r="242" ht="14.25" customHeight="1">
      <c r="A242" s="214" t="s">
        <v>11</v>
      </c>
      <c r="B242" s="19"/>
      <c r="C242" s="19"/>
      <c r="D242" s="20"/>
      <c r="E242" s="42">
        <f>SUM(E236:F241)</f>
        <v>0</v>
      </c>
      <c r="F242" s="152"/>
      <c r="G242" s="243">
        <f>SUM(G236:H241)</f>
        <v>0</v>
      </c>
      <c r="H242" s="152"/>
      <c r="I242" s="243">
        <f>SUM(I236:J241)</f>
        <v>0</v>
      </c>
      <c r="J242" s="152"/>
      <c r="K242" s="243">
        <f>SUM(K236:L241)</f>
        <v>0</v>
      </c>
      <c r="L242" s="20"/>
      <c r="M242" s="217" t="str">
        <f>IF(K242&lt;&gt;K230,"Section 5.2 - Totals for ""Third-Party Notice"" should be equal to ""Third-Party Notice"" of Section 5.1","")</f>
        <v/>
      </c>
      <c r="N242" s="217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15"/>
      <c r="AA242" s="15"/>
      <c r="AB242" s="15"/>
      <c r="AC242" s="8"/>
      <c r="AD242" s="8"/>
      <c r="AE242" s="8"/>
      <c r="AF242" s="8"/>
      <c r="AG242" s="8"/>
      <c r="AH242" s="1"/>
      <c r="AI242" s="1"/>
      <c r="AJ242" s="1"/>
      <c r="AK242" s="1"/>
    </row>
    <row r="243" ht="14.25" customHeight="1">
      <c r="A243" s="1"/>
      <c r="B243" s="1"/>
      <c r="C243" s="1"/>
      <c r="D243" s="1"/>
      <c r="E243" s="1"/>
      <c r="F243" s="10"/>
      <c r="H243" s="1"/>
      <c r="I243" s="1"/>
      <c r="J243" s="1"/>
      <c r="K243" s="1"/>
      <c r="L243" s="1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8"/>
      <c r="AD243" s="8"/>
      <c r="AE243" s="8"/>
      <c r="AF243" s="8"/>
      <c r="AG243" s="8"/>
      <c r="AH243" s="1"/>
      <c r="AI243" s="1"/>
      <c r="AJ243" s="1"/>
      <c r="AK243" s="1"/>
    </row>
    <row r="244" ht="14.25" customHeight="1">
      <c r="A244" s="11" t="s">
        <v>200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3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8"/>
      <c r="AD244" s="8"/>
      <c r="AE244" s="8"/>
      <c r="AF244" s="8"/>
      <c r="AG244" s="8"/>
      <c r="AH244" s="1"/>
      <c r="AI244" s="1"/>
      <c r="AJ244" s="1"/>
      <c r="A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8"/>
      <c r="AD245" s="8"/>
      <c r="AE245" s="8"/>
      <c r="AF245" s="8"/>
      <c r="AG245" s="8"/>
      <c r="AH245" s="1"/>
      <c r="AI245" s="1"/>
      <c r="AJ245" s="1"/>
      <c r="AK245" s="1"/>
    </row>
    <row r="246" ht="14.25" customHeight="1">
      <c r="A246" s="191" t="s">
        <v>201</v>
      </c>
      <c r="B246" s="47"/>
      <c r="C246" s="87" t="s">
        <v>202</v>
      </c>
      <c r="D246" s="23"/>
      <c r="E246" s="23"/>
      <c r="F246" s="87" t="s">
        <v>203</v>
      </c>
      <c r="G246" s="23"/>
      <c r="H246" s="24"/>
      <c r="I246" s="267" t="s">
        <v>204</v>
      </c>
      <c r="J246" s="23"/>
      <c r="K246" s="24"/>
      <c r="L246" s="1"/>
      <c r="M246" s="105"/>
      <c r="N246" s="268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5"/>
      <c r="AA246" s="15"/>
      <c r="AB246" s="15"/>
      <c r="AC246" s="8"/>
      <c r="AD246" s="8"/>
      <c r="AE246" s="8"/>
      <c r="AF246" s="8"/>
      <c r="AG246" s="8"/>
      <c r="AH246" s="1"/>
      <c r="AI246" s="1"/>
      <c r="AJ246" s="1"/>
      <c r="AK246" s="1"/>
    </row>
    <row r="247" ht="57.0" customHeight="1">
      <c r="A247" s="269"/>
      <c r="B247" s="270"/>
      <c r="C247" s="271" t="s">
        <v>205</v>
      </c>
      <c r="D247" s="272" t="s">
        <v>206</v>
      </c>
      <c r="E247" s="36"/>
      <c r="F247" s="271" t="s">
        <v>205</v>
      </c>
      <c r="G247" s="272" t="s">
        <v>206</v>
      </c>
      <c r="H247" s="36"/>
      <c r="I247" s="271" t="s">
        <v>205</v>
      </c>
      <c r="J247" s="272" t="s">
        <v>206</v>
      </c>
      <c r="K247" s="49"/>
      <c r="L247" s="1"/>
      <c r="M247" s="111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15"/>
      <c r="AA247" s="15"/>
      <c r="AB247" s="15"/>
      <c r="AC247" s="8"/>
      <c r="AD247" s="8"/>
      <c r="AE247" s="8"/>
      <c r="AF247" s="8"/>
      <c r="AG247" s="8"/>
      <c r="AH247" s="1"/>
      <c r="AI247" s="1"/>
      <c r="AJ247" s="1"/>
      <c r="AK247" s="1"/>
    </row>
    <row r="248" ht="14.25" customHeight="1">
      <c r="A248" s="274" t="s">
        <v>207</v>
      </c>
      <c r="B248" s="275"/>
      <c r="C248" s="276">
        <v>0.0</v>
      </c>
      <c r="D248" s="277">
        <v>0.0</v>
      </c>
      <c r="E248" s="23"/>
      <c r="F248" s="276">
        <v>0.0</v>
      </c>
      <c r="G248" s="277">
        <v>0.0</v>
      </c>
      <c r="H248" s="23"/>
      <c r="I248" s="276">
        <v>0.0</v>
      </c>
      <c r="J248" s="277">
        <v>0.0</v>
      </c>
      <c r="K248" s="24"/>
      <c r="L248" s="1"/>
      <c r="M248" s="278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80"/>
      <c r="Z248" s="15"/>
      <c r="AA248" s="15"/>
      <c r="AB248" s="15"/>
      <c r="AC248" s="8"/>
      <c r="AD248" s="8"/>
      <c r="AE248" s="8"/>
      <c r="AF248" s="8"/>
      <c r="AG248" s="8"/>
      <c r="AH248" s="1"/>
      <c r="AI248" s="1"/>
      <c r="AJ248" s="1"/>
      <c r="AK248" s="1"/>
    </row>
    <row r="249" ht="14.25" customHeight="1">
      <c r="A249" s="281" t="s">
        <v>208</v>
      </c>
      <c r="B249" s="282"/>
      <c r="C249" s="283">
        <v>0.0</v>
      </c>
      <c r="D249" s="284">
        <v>0.0</v>
      </c>
      <c r="E249" s="36"/>
      <c r="F249" s="213">
        <v>0.0</v>
      </c>
      <c r="G249" s="284">
        <v>0.0</v>
      </c>
      <c r="H249" s="36"/>
      <c r="I249" s="213">
        <v>0.0</v>
      </c>
      <c r="J249" s="284">
        <v>0.0</v>
      </c>
      <c r="K249" s="49"/>
      <c r="L249" s="1"/>
      <c r="M249" s="285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7"/>
      <c r="Z249" s="15"/>
      <c r="AA249" s="15"/>
      <c r="AB249" s="15"/>
      <c r="AC249" s="8"/>
      <c r="AD249" s="8"/>
      <c r="AE249" s="8"/>
      <c r="AF249" s="8"/>
      <c r="AG249" s="8"/>
      <c r="AH249" s="1"/>
      <c r="AI249" s="1"/>
      <c r="AJ249" s="1"/>
      <c r="AK249" s="1"/>
    </row>
    <row r="250" ht="14.25" customHeight="1">
      <c r="A250" s="214" t="s">
        <v>11</v>
      </c>
      <c r="B250" s="20"/>
      <c r="C250" s="215">
        <f>SUM(C248:C249)</f>
        <v>0</v>
      </c>
      <c r="D250" s="288">
        <f>SUM(D248:E249)</f>
        <v>0</v>
      </c>
      <c r="E250" s="19"/>
      <c r="F250" s="215">
        <f>SUM(F248:F249)</f>
        <v>0</v>
      </c>
      <c r="G250" s="288">
        <f>SUM(G248:H249)</f>
        <v>0</v>
      </c>
      <c r="H250" s="19"/>
      <c r="I250" s="215">
        <f>SUM(I248:I249)</f>
        <v>0</v>
      </c>
      <c r="J250" s="288">
        <f>SUM(J248:K249)</f>
        <v>0</v>
      </c>
      <c r="K250" s="20"/>
      <c r="L250" s="1"/>
      <c r="M250" s="135"/>
      <c r="Z250" s="15"/>
      <c r="AA250" s="15"/>
      <c r="AB250" s="15"/>
      <c r="AC250" s="8"/>
      <c r="AD250" s="8"/>
      <c r="AE250" s="8"/>
      <c r="AF250" s="8"/>
      <c r="AG250" s="8"/>
      <c r="AH250" s="1"/>
      <c r="AI250" s="1"/>
      <c r="AJ250" s="1"/>
      <c r="A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8"/>
      <c r="AD251" s="8"/>
      <c r="AE251" s="8"/>
      <c r="AF251" s="8"/>
      <c r="AG251" s="8"/>
      <c r="AH251" s="1"/>
      <c r="AI251" s="1"/>
      <c r="AJ251" s="1"/>
      <c r="AK251" s="1"/>
    </row>
    <row r="252" ht="15.0" customHeight="1">
      <c r="A252" s="11" t="s">
        <v>209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3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8"/>
      <c r="AD252" s="8"/>
      <c r="AE252" s="8"/>
      <c r="AF252" s="8"/>
      <c r="AG252" s="8"/>
      <c r="AH252" s="1"/>
      <c r="AI252" s="1"/>
      <c r="AJ252" s="1"/>
      <c r="A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8"/>
      <c r="AD253" s="8"/>
      <c r="AE253" s="8"/>
      <c r="AF253" s="8"/>
      <c r="AG253" s="8"/>
      <c r="AH253" s="1"/>
      <c r="AI253" s="1"/>
      <c r="AJ253" s="1"/>
      <c r="AK253" s="1"/>
    </row>
    <row r="254" ht="13.5" customHeight="1">
      <c r="A254" s="289" t="s">
        <v>210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8"/>
      <c r="AD254" s="8"/>
      <c r="AE254" s="8"/>
      <c r="AF254" s="8"/>
      <c r="AG254" s="8"/>
      <c r="AH254" s="1"/>
      <c r="AI254" s="1"/>
      <c r="AJ254" s="1"/>
      <c r="A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8"/>
      <c r="AD255" s="8"/>
      <c r="AE255" s="8"/>
      <c r="AF255" s="8"/>
      <c r="AG255" s="8"/>
      <c r="AH255" s="1"/>
      <c r="AI255" s="1"/>
      <c r="AJ255" s="1"/>
      <c r="AK255" s="1"/>
    </row>
    <row r="256" ht="56.25" customHeight="1">
      <c r="A256" s="151" t="s">
        <v>211</v>
      </c>
      <c r="B256" s="19"/>
      <c r="C256" s="19"/>
      <c r="D256" s="20"/>
      <c r="E256" s="151" t="s">
        <v>212</v>
      </c>
      <c r="F256" s="152"/>
      <c r="G256" s="235" t="s">
        <v>213</v>
      </c>
      <c r="H256" s="20"/>
      <c r="I256" s="151" t="s">
        <v>214</v>
      </c>
      <c r="J256" s="152"/>
      <c r="K256" s="235" t="s">
        <v>213</v>
      </c>
      <c r="L256" s="20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8"/>
      <c r="AD256" s="8"/>
      <c r="AE256" s="8"/>
      <c r="AF256" s="8"/>
      <c r="AG256" s="8"/>
      <c r="AH256" s="1"/>
      <c r="AI256" s="1"/>
      <c r="AJ256" s="1"/>
      <c r="AK256" s="1"/>
    </row>
    <row r="257" ht="15.0" customHeight="1">
      <c r="A257" s="236" t="s">
        <v>215</v>
      </c>
      <c r="B257" s="23"/>
      <c r="C257" s="23"/>
      <c r="D257" s="24"/>
      <c r="E257" s="25">
        <v>0.0</v>
      </c>
      <c r="F257" s="159"/>
      <c r="G257" s="184">
        <v>0.0</v>
      </c>
      <c r="H257" s="24"/>
      <c r="I257" s="25">
        <v>0.0</v>
      </c>
      <c r="J257" s="159"/>
      <c r="K257" s="184">
        <v>0.0</v>
      </c>
      <c r="L257" s="24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8"/>
      <c r="AD257" s="8"/>
      <c r="AE257" s="8"/>
      <c r="AF257" s="8"/>
      <c r="AG257" s="8"/>
      <c r="AH257" s="1"/>
      <c r="AI257" s="1"/>
      <c r="AJ257" s="1"/>
      <c r="AK257" s="1"/>
    </row>
    <row r="258" ht="27.0" customHeight="1">
      <c r="A258" s="260" t="s">
        <v>216</v>
      </c>
      <c r="B258" s="36"/>
      <c r="C258" s="36"/>
      <c r="D258" s="49"/>
      <c r="E258" s="62">
        <v>0.0</v>
      </c>
      <c r="F258" s="171"/>
      <c r="G258" s="187">
        <v>0.0</v>
      </c>
      <c r="H258" s="49"/>
      <c r="I258" s="62">
        <v>0.0</v>
      </c>
      <c r="J258" s="171"/>
      <c r="K258" s="187">
        <v>0.0</v>
      </c>
      <c r="L258" s="49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8"/>
      <c r="AD258" s="8"/>
      <c r="AE258" s="8"/>
      <c r="AF258" s="8"/>
      <c r="AG258" s="8"/>
      <c r="AH258" s="1"/>
      <c r="AI258" s="1"/>
      <c r="AJ258" s="1"/>
      <c r="AK258" s="1"/>
    </row>
    <row r="259" ht="14.25" customHeight="1">
      <c r="A259" s="290" t="s">
        <v>11</v>
      </c>
      <c r="B259" s="19"/>
      <c r="C259" s="19"/>
      <c r="D259" s="20"/>
      <c r="E259" s="117">
        <f>SUM(E257:F258)</f>
        <v>0</v>
      </c>
      <c r="F259" s="152"/>
      <c r="G259" s="233">
        <f>SUM(G257:H258)</f>
        <v>0</v>
      </c>
      <c r="H259" s="20"/>
      <c r="I259" s="117">
        <f>SUM(I257:J258)</f>
        <v>0</v>
      </c>
      <c r="J259" s="152"/>
      <c r="K259" s="233">
        <f>SUM(K257:L258)</f>
        <v>0</v>
      </c>
      <c r="L259" s="20"/>
      <c r="M259" s="135"/>
      <c r="Z259" s="15"/>
      <c r="AA259" s="15"/>
      <c r="AB259" s="15"/>
      <c r="AC259" s="8"/>
      <c r="AD259" s="8"/>
      <c r="AE259" s="8"/>
      <c r="AF259" s="8"/>
      <c r="AG259" s="8"/>
      <c r="AH259" s="1"/>
      <c r="AI259" s="1"/>
      <c r="AJ259" s="1"/>
      <c r="AK259" s="1"/>
    </row>
    <row r="260" ht="15.0" customHeight="1">
      <c r="A260" s="236" t="s">
        <v>217</v>
      </c>
      <c r="B260" s="23"/>
      <c r="C260" s="23"/>
      <c r="D260" s="24"/>
      <c r="E260" s="25">
        <v>0.0</v>
      </c>
      <c r="F260" s="159"/>
      <c r="G260" s="184">
        <v>0.0</v>
      </c>
      <c r="H260" s="24"/>
      <c r="I260" s="25">
        <v>0.0</v>
      </c>
      <c r="J260" s="159"/>
      <c r="K260" s="184">
        <v>0.0</v>
      </c>
      <c r="L260" s="24"/>
      <c r="M260" s="135"/>
      <c r="Z260" s="15"/>
      <c r="AA260" s="15"/>
      <c r="AB260" s="15"/>
      <c r="AC260" s="8"/>
      <c r="AD260" s="8"/>
      <c r="AE260" s="8"/>
      <c r="AF260" s="8"/>
      <c r="AG260" s="8"/>
      <c r="AH260" s="1"/>
      <c r="AI260" s="1"/>
      <c r="AJ260" s="1"/>
      <c r="AK260" s="1"/>
    </row>
    <row r="261" ht="14.25" customHeight="1">
      <c r="A261" s="140" t="s">
        <v>218</v>
      </c>
      <c r="B261" s="27"/>
      <c r="C261" s="27"/>
      <c r="D261" s="28"/>
      <c r="E261" s="61">
        <v>0.0</v>
      </c>
      <c r="F261" s="165"/>
      <c r="G261" s="186">
        <v>0.0</v>
      </c>
      <c r="H261" s="28"/>
      <c r="I261" s="61">
        <v>0.0</v>
      </c>
      <c r="J261" s="165"/>
      <c r="K261" s="186">
        <v>0.0</v>
      </c>
      <c r="L261" s="28"/>
      <c r="M261" s="135"/>
      <c r="Z261" s="15"/>
      <c r="AA261" s="15"/>
      <c r="AB261" s="15"/>
      <c r="AC261" s="8"/>
      <c r="AD261" s="8"/>
      <c r="AE261" s="8"/>
      <c r="AF261" s="8"/>
      <c r="AG261" s="8"/>
      <c r="AH261" s="1"/>
      <c r="AI261" s="1"/>
      <c r="AJ261" s="1"/>
      <c r="AK261" s="1"/>
    </row>
    <row r="262" ht="15.0" customHeight="1">
      <c r="A262" s="260" t="s">
        <v>219</v>
      </c>
      <c r="B262" s="36"/>
      <c r="C262" s="36"/>
      <c r="D262" s="49"/>
      <c r="E262" s="62">
        <v>0.0</v>
      </c>
      <c r="F262" s="171"/>
      <c r="G262" s="187">
        <v>0.0</v>
      </c>
      <c r="H262" s="49"/>
      <c r="I262" s="62">
        <v>0.0</v>
      </c>
      <c r="J262" s="171"/>
      <c r="K262" s="187">
        <v>0.0</v>
      </c>
      <c r="L262" s="49"/>
      <c r="M262" s="135"/>
      <c r="Z262" s="15"/>
      <c r="AA262" s="15"/>
      <c r="AB262" s="15"/>
      <c r="AC262" s="8"/>
      <c r="AD262" s="8"/>
      <c r="AE262" s="8"/>
      <c r="AF262" s="8"/>
      <c r="AG262" s="8"/>
      <c r="AH262" s="1"/>
      <c r="AI262" s="1"/>
      <c r="AJ262" s="1"/>
      <c r="AK262" s="1"/>
    </row>
    <row r="263" ht="14.25" customHeight="1">
      <c r="A263" s="74"/>
      <c r="B263" s="74"/>
      <c r="C263" s="74"/>
      <c r="D263" s="74"/>
      <c r="E263" s="102"/>
      <c r="F263" s="102"/>
      <c r="H263" s="102"/>
      <c r="I263" s="102"/>
      <c r="J263" s="102"/>
      <c r="K263" s="102"/>
      <c r="L263" s="102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8"/>
      <c r="AD263" s="8"/>
      <c r="AE263" s="8"/>
      <c r="AF263" s="8"/>
      <c r="AG263" s="8"/>
      <c r="AH263" s="1"/>
      <c r="AI263" s="1"/>
      <c r="AJ263" s="1"/>
      <c r="AK263" s="1"/>
    </row>
    <row r="264" ht="29.25" customHeight="1">
      <c r="A264" s="291" t="s">
        <v>220</v>
      </c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8"/>
      <c r="AD264" s="8"/>
      <c r="AE264" s="8"/>
      <c r="AF264" s="8"/>
      <c r="AG264" s="8"/>
      <c r="AH264" s="1"/>
      <c r="AI264" s="1"/>
      <c r="AJ264" s="1"/>
      <c r="A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8"/>
      <c r="AD265" s="8"/>
      <c r="AE265" s="8"/>
      <c r="AF265" s="8"/>
      <c r="AG265" s="8"/>
      <c r="AH265" s="1"/>
      <c r="AI265" s="1"/>
      <c r="AJ265" s="1"/>
      <c r="AK265" s="1"/>
    </row>
    <row r="266" ht="13.5" customHeight="1">
      <c r="A266" s="191" t="s">
        <v>221</v>
      </c>
      <c r="B266" s="46"/>
      <c r="C266" s="46"/>
      <c r="D266" s="47"/>
      <c r="E266" s="251" t="s">
        <v>222</v>
      </c>
      <c r="F266" s="23"/>
      <c r="G266" s="23"/>
      <c r="H266" s="23"/>
      <c r="I266" s="23"/>
      <c r="J266" s="23"/>
      <c r="K266" s="23"/>
      <c r="L266" s="24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8"/>
      <c r="AD266" s="8"/>
      <c r="AE266" s="8"/>
      <c r="AF266" s="8"/>
      <c r="AG266" s="8"/>
      <c r="AH266" s="1"/>
      <c r="AI266" s="1"/>
      <c r="AJ266" s="1"/>
      <c r="AK266" s="1"/>
    </row>
    <row r="267" ht="14.25" customHeight="1">
      <c r="A267" s="39"/>
      <c r="B267" s="40"/>
      <c r="C267" s="40"/>
      <c r="D267" s="86"/>
      <c r="E267" s="292" t="s">
        <v>35</v>
      </c>
      <c r="F267" s="293" t="s">
        <v>36</v>
      </c>
      <c r="G267" s="293" t="s">
        <v>37</v>
      </c>
      <c r="H267" s="293" t="s">
        <v>38</v>
      </c>
      <c r="I267" s="293" t="s">
        <v>223</v>
      </c>
      <c r="J267" s="293" t="s">
        <v>40</v>
      </c>
      <c r="K267" s="294" t="s">
        <v>41</v>
      </c>
      <c r="L267" s="295" t="s">
        <v>11</v>
      </c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8"/>
      <c r="AD267" s="8"/>
      <c r="AE267" s="8"/>
      <c r="AF267" s="8"/>
      <c r="AG267" s="8"/>
      <c r="AH267" s="1"/>
      <c r="AI267" s="1"/>
      <c r="AJ267" s="1"/>
      <c r="AK267" s="1"/>
    </row>
    <row r="268" ht="14.25" customHeight="1">
      <c r="A268" s="22" t="s">
        <v>224</v>
      </c>
      <c r="B268" s="23"/>
      <c r="C268" s="23"/>
      <c r="D268" s="24"/>
      <c r="E268" s="296">
        <v>0.0</v>
      </c>
      <c r="F268" s="297">
        <v>0.0</v>
      </c>
      <c r="G268" s="297">
        <v>0.0</v>
      </c>
      <c r="H268" s="297">
        <v>0.0</v>
      </c>
      <c r="I268" s="297">
        <v>0.0</v>
      </c>
      <c r="J268" s="297">
        <v>0.0</v>
      </c>
      <c r="K268" s="298">
        <v>0.0</v>
      </c>
      <c r="L268" s="299">
        <f t="shared" ref="L268:L273" si="6">SUM(E268:K268)</f>
        <v>0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8"/>
      <c r="AD268" s="8"/>
      <c r="AE268" s="8"/>
      <c r="AF268" s="8"/>
      <c r="AG268" s="8"/>
      <c r="AH268" s="1"/>
      <c r="AI268" s="1"/>
      <c r="AJ268" s="1"/>
      <c r="AK268" s="1"/>
    </row>
    <row r="269" ht="14.25" customHeight="1">
      <c r="A269" s="26" t="s">
        <v>225</v>
      </c>
      <c r="B269" s="27"/>
      <c r="C269" s="27"/>
      <c r="D269" s="28"/>
      <c r="E269" s="300">
        <v>0.0</v>
      </c>
      <c r="F269" s="301">
        <v>0.0</v>
      </c>
      <c r="G269" s="301">
        <v>0.0</v>
      </c>
      <c r="H269" s="301">
        <v>0.0</v>
      </c>
      <c r="I269" s="301">
        <v>0.0</v>
      </c>
      <c r="J269" s="301">
        <v>0.0</v>
      </c>
      <c r="K269" s="302">
        <v>0.0</v>
      </c>
      <c r="L269" s="138">
        <f t="shared" si="6"/>
        <v>0</v>
      </c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8"/>
      <c r="AD269" s="8"/>
      <c r="AE269" s="8"/>
      <c r="AF269" s="8"/>
      <c r="AG269" s="8"/>
      <c r="AH269" s="1"/>
      <c r="AI269" s="1"/>
      <c r="AJ269" s="1"/>
      <c r="AK269" s="1"/>
    </row>
    <row r="270" ht="14.25" customHeight="1">
      <c r="A270" s="26" t="s">
        <v>226</v>
      </c>
      <c r="B270" s="27"/>
      <c r="C270" s="27"/>
      <c r="D270" s="28"/>
      <c r="E270" s="300">
        <v>0.0</v>
      </c>
      <c r="F270" s="301">
        <v>0.0</v>
      </c>
      <c r="G270" s="301">
        <v>0.0</v>
      </c>
      <c r="H270" s="301">
        <v>0.0</v>
      </c>
      <c r="I270" s="301">
        <v>0.0</v>
      </c>
      <c r="J270" s="301">
        <v>0.0</v>
      </c>
      <c r="K270" s="302">
        <v>0.0</v>
      </c>
      <c r="L270" s="138">
        <f t="shared" si="6"/>
        <v>0</v>
      </c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8"/>
      <c r="AD270" s="8"/>
      <c r="AE270" s="8"/>
      <c r="AF270" s="8"/>
      <c r="AG270" s="8"/>
      <c r="AH270" s="1"/>
      <c r="AI270" s="1"/>
      <c r="AJ270" s="1"/>
      <c r="AK270" s="1"/>
    </row>
    <row r="271" ht="14.25" customHeight="1">
      <c r="A271" s="26" t="s">
        <v>227</v>
      </c>
      <c r="B271" s="27"/>
      <c r="C271" s="27"/>
      <c r="D271" s="28"/>
      <c r="E271" s="300">
        <v>0.0</v>
      </c>
      <c r="F271" s="301">
        <v>0.0</v>
      </c>
      <c r="G271" s="301">
        <v>0.0</v>
      </c>
      <c r="H271" s="301">
        <v>0.0</v>
      </c>
      <c r="I271" s="301">
        <v>0.0</v>
      </c>
      <c r="J271" s="301">
        <v>0.0</v>
      </c>
      <c r="K271" s="302">
        <v>0.0</v>
      </c>
      <c r="L271" s="138">
        <f t="shared" si="6"/>
        <v>0</v>
      </c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8"/>
      <c r="AD271" s="8"/>
      <c r="AE271" s="8"/>
      <c r="AF271" s="8"/>
      <c r="AG271" s="8"/>
      <c r="AH271" s="1"/>
      <c r="AI271" s="1"/>
      <c r="AJ271" s="1"/>
      <c r="AK271" s="1"/>
    </row>
    <row r="272" ht="14.25" customHeight="1">
      <c r="A272" s="26" t="s">
        <v>228</v>
      </c>
      <c r="B272" s="27"/>
      <c r="C272" s="27"/>
      <c r="D272" s="28"/>
      <c r="E272" s="300">
        <v>0.0</v>
      </c>
      <c r="F272" s="301">
        <v>0.0</v>
      </c>
      <c r="G272" s="301">
        <v>0.0</v>
      </c>
      <c r="H272" s="301">
        <v>0.0</v>
      </c>
      <c r="I272" s="301">
        <v>0.0</v>
      </c>
      <c r="J272" s="301">
        <v>0.0</v>
      </c>
      <c r="K272" s="302">
        <v>0.0</v>
      </c>
      <c r="L272" s="138">
        <f t="shared" si="6"/>
        <v>0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8"/>
      <c r="AD272" s="8"/>
      <c r="AE272" s="8"/>
      <c r="AF272" s="8"/>
      <c r="AG272" s="8"/>
      <c r="AH272" s="1"/>
      <c r="AI272" s="1"/>
      <c r="AJ272" s="1"/>
      <c r="AK272" s="1"/>
    </row>
    <row r="273" ht="14.25" customHeight="1">
      <c r="A273" s="170" t="s">
        <v>141</v>
      </c>
      <c r="B273" s="36"/>
      <c r="C273" s="36"/>
      <c r="D273" s="49"/>
      <c r="E273" s="303">
        <v>0.0</v>
      </c>
      <c r="F273" s="304">
        <v>0.0</v>
      </c>
      <c r="G273" s="304">
        <v>0.0</v>
      </c>
      <c r="H273" s="304">
        <v>0.0</v>
      </c>
      <c r="I273" s="304">
        <v>0.0</v>
      </c>
      <c r="J273" s="304">
        <v>0.0</v>
      </c>
      <c r="K273" s="305">
        <v>0.0</v>
      </c>
      <c r="L273" s="143">
        <f t="shared" si="6"/>
        <v>0</v>
      </c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8"/>
      <c r="AD273" s="8"/>
      <c r="AE273" s="8"/>
      <c r="AF273" s="8"/>
      <c r="AG273" s="8"/>
      <c r="AH273" s="1"/>
      <c r="AI273" s="1"/>
      <c r="AJ273" s="1"/>
      <c r="AK273" s="1"/>
    </row>
    <row r="274" ht="14.25" customHeight="1">
      <c r="A274" s="144" t="s">
        <v>11</v>
      </c>
      <c r="B274" s="19"/>
      <c r="C274" s="19"/>
      <c r="D274" s="20"/>
      <c r="E274" s="306">
        <f t="shared" ref="E274:L274" si="7">SUM(E268:E273)</f>
        <v>0</v>
      </c>
      <c r="F274" s="307">
        <f t="shared" si="7"/>
        <v>0</v>
      </c>
      <c r="G274" s="307">
        <f t="shared" si="7"/>
        <v>0</v>
      </c>
      <c r="H274" s="307">
        <f t="shared" si="7"/>
        <v>0</v>
      </c>
      <c r="I274" s="307">
        <f t="shared" si="7"/>
        <v>0</v>
      </c>
      <c r="J274" s="307">
        <f t="shared" si="7"/>
        <v>0</v>
      </c>
      <c r="K274" s="308">
        <f t="shared" si="7"/>
        <v>0</v>
      </c>
      <c r="L274" s="148">
        <f t="shared" si="7"/>
        <v>0</v>
      </c>
      <c r="M274" s="266"/>
      <c r="Z274" s="15"/>
      <c r="AA274" s="15"/>
      <c r="AB274" s="15"/>
      <c r="AC274" s="8"/>
      <c r="AD274" s="8"/>
      <c r="AE274" s="8"/>
      <c r="AF274" s="8"/>
      <c r="AG274" s="8"/>
      <c r="AH274" s="1"/>
      <c r="AI274" s="1"/>
      <c r="AJ274" s="1"/>
      <c r="AK274" s="1"/>
    </row>
    <row r="275" ht="14.25" customHeight="1">
      <c r="A275" s="219"/>
      <c r="B275" s="219"/>
      <c r="C275" s="219"/>
      <c r="D275" s="219"/>
      <c r="E275" s="102"/>
      <c r="F275" s="102"/>
      <c r="G275" s="102"/>
      <c r="H275" s="102"/>
      <c r="I275" s="102"/>
      <c r="J275" s="102"/>
      <c r="K275" s="102"/>
      <c r="L275" s="102"/>
      <c r="Z275" s="15"/>
      <c r="AA275" s="15"/>
      <c r="AB275" s="15"/>
      <c r="AC275" s="8"/>
      <c r="AD275" s="8"/>
      <c r="AE275" s="8"/>
      <c r="AF275" s="8"/>
      <c r="AG275" s="8"/>
      <c r="AH275" s="1"/>
      <c r="AI275" s="1"/>
      <c r="AJ275" s="1"/>
      <c r="AK275" s="1"/>
    </row>
    <row r="276" ht="31.5" customHeight="1">
      <c r="A276" s="291" t="s">
        <v>229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8"/>
      <c r="AD276" s="8"/>
      <c r="AE276" s="8"/>
      <c r="AF276" s="8"/>
      <c r="AG276" s="8"/>
      <c r="AH276" s="1"/>
      <c r="AI276" s="1"/>
      <c r="AJ276" s="1"/>
      <c r="A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8"/>
      <c r="AD277" s="8"/>
      <c r="AE277" s="8"/>
      <c r="AF277" s="8"/>
      <c r="AG277" s="8"/>
      <c r="AH277" s="1"/>
      <c r="AI277" s="1"/>
      <c r="AJ277" s="1"/>
      <c r="AK277" s="1"/>
    </row>
    <row r="278" ht="14.25" customHeight="1">
      <c r="A278" s="191" t="s">
        <v>221</v>
      </c>
      <c r="B278" s="46"/>
      <c r="C278" s="46"/>
      <c r="D278" s="47"/>
      <c r="E278" s="251" t="s">
        <v>222</v>
      </c>
      <c r="F278" s="23"/>
      <c r="G278" s="23"/>
      <c r="H278" s="23"/>
      <c r="I278" s="23"/>
      <c r="J278" s="23"/>
      <c r="K278" s="23"/>
      <c r="L278" s="24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8"/>
      <c r="AD278" s="8"/>
      <c r="AE278" s="8"/>
      <c r="AF278" s="8"/>
      <c r="AG278" s="8"/>
      <c r="AH278" s="1"/>
      <c r="AI278" s="1"/>
      <c r="AJ278" s="1"/>
      <c r="AK278" s="1"/>
    </row>
    <row r="279" ht="14.25" customHeight="1">
      <c r="A279" s="39"/>
      <c r="B279" s="40"/>
      <c r="C279" s="40"/>
      <c r="D279" s="86"/>
      <c r="E279" s="292" t="s">
        <v>35</v>
      </c>
      <c r="F279" s="293" t="s">
        <v>36</v>
      </c>
      <c r="G279" s="293" t="s">
        <v>37</v>
      </c>
      <c r="H279" s="293" t="s">
        <v>38</v>
      </c>
      <c r="I279" s="293" t="s">
        <v>39</v>
      </c>
      <c r="J279" s="293" t="s">
        <v>40</v>
      </c>
      <c r="K279" s="294" t="s">
        <v>41</v>
      </c>
      <c r="L279" s="295" t="s">
        <v>11</v>
      </c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8"/>
      <c r="AD279" s="8"/>
      <c r="AE279" s="8"/>
      <c r="AF279" s="8"/>
      <c r="AG279" s="8"/>
      <c r="AH279" s="1"/>
      <c r="AI279" s="1"/>
      <c r="AJ279" s="1"/>
      <c r="AK279" s="1"/>
    </row>
    <row r="280" ht="14.25" customHeight="1">
      <c r="A280" s="22" t="s">
        <v>224</v>
      </c>
      <c r="B280" s="23"/>
      <c r="C280" s="23"/>
      <c r="D280" s="24"/>
      <c r="E280" s="296">
        <v>0.0</v>
      </c>
      <c r="F280" s="297">
        <v>0.0</v>
      </c>
      <c r="G280" s="297">
        <v>0.0</v>
      </c>
      <c r="H280" s="297">
        <v>0.0</v>
      </c>
      <c r="I280" s="297">
        <v>0.0</v>
      </c>
      <c r="J280" s="297">
        <v>0.0</v>
      </c>
      <c r="K280" s="298">
        <v>0.0</v>
      </c>
      <c r="L280" s="134">
        <f t="shared" ref="L280:L285" si="8">SUM(E280:K280)</f>
        <v>0</v>
      </c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8"/>
      <c r="AD280" s="8"/>
      <c r="AE280" s="8"/>
      <c r="AF280" s="8"/>
      <c r="AG280" s="8"/>
      <c r="AH280" s="1"/>
      <c r="AI280" s="1"/>
      <c r="AJ280" s="1"/>
      <c r="AK280" s="1"/>
    </row>
    <row r="281" ht="14.25" customHeight="1">
      <c r="A281" s="26" t="s">
        <v>225</v>
      </c>
      <c r="B281" s="27"/>
      <c r="C281" s="27"/>
      <c r="D281" s="28"/>
      <c r="E281" s="300">
        <v>0.0</v>
      </c>
      <c r="F281" s="301">
        <v>0.0</v>
      </c>
      <c r="G281" s="301">
        <v>0.0</v>
      </c>
      <c r="H281" s="301">
        <v>0.0</v>
      </c>
      <c r="I281" s="301">
        <v>0.0</v>
      </c>
      <c r="J281" s="301">
        <v>0.0</v>
      </c>
      <c r="K281" s="302">
        <v>0.0</v>
      </c>
      <c r="L281" s="138">
        <f t="shared" si="8"/>
        <v>0</v>
      </c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8"/>
      <c r="AD281" s="8"/>
      <c r="AE281" s="8"/>
      <c r="AF281" s="8"/>
      <c r="AG281" s="8"/>
      <c r="AH281" s="1"/>
      <c r="AI281" s="1"/>
      <c r="AJ281" s="1"/>
      <c r="AK281" s="1"/>
    </row>
    <row r="282" ht="14.25" customHeight="1">
      <c r="A282" s="26" t="s">
        <v>226</v>
      </c>
      <c r="B282" s="27"/>
      <c r="C282" s="27"/>
      <c r="D282" s="28"/>
      <c r="E282" s="300">
        <v>0.0</v>
      </c>
      <c r="F282" s="301">
        <v>0.0</v>
      </c>
      <c r="G282" s="301">
        <v>0.0</v>
      </c>
      <c r="H282" s="301">
        <v>0.0</v>
      </c>
      <c r="I282" s="301">
        <v>0.0</v>
      </c>
      <c r="J282" s="301">
        <v>0.0</v>
      </c>
      <c r="K282" s="302">
        <v>0.0</v>
      </c>
      <c r="L282" s="138">
        <f t="shared" si="8"/>
        <v>0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8"/>
      <c r="AD282" s="8"/>
      <c r="AE282" s="8"/>
      <c r="AF282" s="8"/>
      <c r="AG282" s="8"/>
      <c r="AH282" s="1"/>
      <c r="AI282" s="1"/>
      <c r="AJ282" s="1"/>
      <c r="AK282" s="1"/>
    </row>
    <row r="283" ht="14.25" customHeight="1">
      <c r="A283" s="26" t="s">
        <v>227</v>
      </c>
      <c r="B283" s="27"/>
      <c r="C283" s="27"/>
      <c r="D283" s="28"/>
      <c r="E283" s="300">
        <v>0.0</v>
      </c>
      <c r="F283" s="301">
        <v>0.0</v>
      </c>
      <c r="G283" s="301">
        <v>0.0</v>
      </c>
      <c r="H283" s="301">
        <v>0.0</v>
      </c>
      <c r="I283" s="301">
        <v>0.0</v>
      </c>
      <c r="J283" s="301">
        <v>0.0</v>
      </c>
      <c r="K283" s="302">
        <v>0.0</v>
      </c>
      <c r="L283" s="138">
        <f t="shared" si="8"/>
        <v>0</v>
      </c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8"/>
      <c r="AD283" s="8"/>
      <c r="AE283" s="8"/>
      <c r="AF283" s="8"/>
      <c r="AG283" s="8"/>
      <c r="AH283" s="1"/>
      <c r="AI283" s="1"/>
      <c r="AJ283" s="1"/>
      <c r="AK283" s="1"/>
    </row>
    <row r="284" ht="14.25" customHeight="1">
      <c r="A284" s="26" t="s">
        <v>228</v>
      </c>
      <c r="B284" s="27"/>
      <c r="C284" s="27"/>
      <c r="D284" s="28"/>
      <c r="E284" s="300">
        <v>0.0</v>
      </c>
      <c r="F284" s="301">
        <v>0.0</v>
      </c>
      <c r="G284" s="301">
        <v>0.0</v>
      </c>
      <c r="H284" s="301">
        <v>0.0</v>
      </c>
      <c r="I284" s="301">
        <v>0.0</v>
      </c>
      <c r="J284" s="301">
        <v>0.0</v>
      </c>
      <c r="K284" s="302">
        <v>0.0</v>
      </c>
      <c r="L284" s="138">
        <f t="shared" si="8"/>
        <v>0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8"/>
      <c r="AD284" s="8"/>
      <c r="AE284" s="8"/>
      <c r="AF284" s="8"/>
      <c r="AG284" s="8"/>
      <c r="AH284" s="1"/>
      <c r="AI284" s="1"/>
      <c r="AJ284" s="1"/>
      <c r="AK284" s="1"/>
    </row>
    <row r="285" ht="14.25" customHeight="1">
      <c r="A285" s="170" t="s">
        <v>141</v>
      </c>
      <c r="B285" s="36"/>
      <c r="C285" s="36"/>
      <c r="D285" s="49"/>
      <c r="E285" s="142">
        <v>0.0</v>
      </c>
      <c r="F285" s="304">
        <v>0.0</v>
      </c>
      <c r="G285" s="304">
        <v>0.0</v>
      </c>
      <c r="H285" s="304">
        <v>0.0</v>
      </c>
      <c r="I285" s="304">
        <v>0.0</v>
      </c>
      <c r="J285" s="304">
        <v>0.0</v>
      </c>
      <c r="K285" s="305">
        <v>0.0</v>
      </c>
      <c r="L285" s="143">
        <f t="shared" si="8"/>
        <v>0</v>
      </c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8"/>
      <c r="AD285" s="8"/>
      <c r="AE285" s="8"/>
      <c r="AF285" s="8"/>
      <c r="AG285" s="8"/>
      <c r="AH285" s="1"/>
      <c r="AI285" s="1"/>
      <c r="AJ285" s="1"/>
      <c r="AK285" s="1"/>
    </row>
    <row r="286" ht="14.25" customHeight="1">
      <c r="A286" s="144" t="s">
        <v>230</v>
      </c>
      <c r="B286" s="19"/>
      <c r="C286" s="19"/>
      <c r="D286" s="20"/>
      <c r="E286" s="309">
        <f t="shared" ref="E286:L286" si="9">SUM(E280:E285)</f>
        <v>0</v>
      </c>
      <c r="F286" s="146">
        <f t="shared" si="9"/>
        <v>0</v>
      </c>
      <c r="G286" s="146">
        <f t="shared" si="9"/>
        <v>0</v>
      </c>
      <c r="H286" s="146">
        <f t="shared" si="9"/>
        <v>0</v>
      </c>
      <c r="I286" s="146">
        <f t="shared" si="9"/>
        <v>0</v>
      </c>
      <c r="J286" s="146">
        <f t="shared" si="9"/>
        <v>0</v>
      </c>
      <c r="K286" s="308">
        <f t="shared" si="9"/>
        <v>0</v>
      </c>
      <c r="L286" s="148">
        <f t="shared" si="9"/>
        <v>0</v>
      </c>
      <c r="M286" s="135"/>
      <c r="Z286" s="15"/>
      <c r="AA286" s="15"/>
      <c r="AB286" s="15"/>
      <c r="AC286" s="8"/>
      <c r="AD286" s="8"/>
      <c r="AE286" s="8"/>
      <c r="AF286" s="8"/>
      <c r="AG286" s="8"/>
      <c r="AH286" s="1"/>
      <c r="AI286" s="1"/>
      <c r="AJ286" s="1"/>
      <c r="A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8"/>
      <c r="AD287" s="8"/>
      <c r="AE287" s="8"/>
      <c r="AF287" s="8"/>
      <c r="AG287" s="8"/>
      <c r="AH287" s="1"/>
      <c r="AI287" s="1"/>
      <c r="AJ287" s="1"/>
      <c r="AK287" s="1"/>
    </row>
    <row r="288" ht="14.25" customHeight="1">
      <c r="A288" s="11" t="s">
        <v>231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3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8"/>
      <c r="AD288" s="8"/>
      <c r="AE288" s="8"/>
      <c r="AF288" s="8"/>
      <c r="AG288" s="8"/>
      <c r="AH288" s="1"/>
      <c r="AI288" s="1"/>
      <c r="AJ288" s="1"/>
      <c r="AK288" s="1"/>
    </row>
    <row r="289" ht="14.25" customHeight="1">
      <c r="A289" s="31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8"/>
      <c r="AD289" s="8"/>
      <c r="AE289" s="8"/>
      <c r="AF289" s="8"/>
      <c r="AG289" s="8"/>
      <c r="AH289" s="1"/>
      <c r="AI289" s="1"/>
      <c r="AJ289" s="1"/>
      <c r="AK289" s="1"/>
    </row>
    <row r="290" ht="14.25" customHeight="1">
      <c r="A290" s="182" t="s">
        <v>232</v>
      </c>
      <c r="M290" s="10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8"/>
      <c r="AD290" s="8"/>
      <c r="AE290" s="8"/>
      <c r="AF290" s="8"/>
      <c r="AG290" s="8"/>
      <c r="AH290" s="1"/>
      <c r="AI290" s="1"/>
      <c r="AJ290" s="1"/>
      <c r="A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0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8"/>
      <c r="AD291" s="8"/>
      <c r="AE291" s="8"/>
      <c r="AF291" s="8"/>
      <c r="AG291" s="8"/>
      <c r="AH291" s="1"/>
      <c r="AI291" s="1"/>
      <c r="AJ291" s="1"/>
      <c r="AK291" s="1"/>
    </row>
    <row r="292" ht="30.75" customHeight="1">
      <c r="A292" s="106" t="s">
        <v>233</v>
      </c>
      <c r="B292" s="46"/>
      <c r="C292" s="311" t="s">
        <v>234</v>
      </c>
      <c r="D292" s="24"/>
      <c r="E292" s="311" t="s">
        <v>235</v>
      </c>
      <c r="F292" s="24"/>
      <c r="G292" s="311" t="s">
        <v>236</v>
      </c>
      <c r="H292" s="24"/>
      <c r="I292" s="10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8"/>
      <c r="Z292" s="8"/>
      <c r="AA292" s="8"/>
      <c r="AB292" s="8"/>
      <c r="AC292" s="8"/>
      <c r="AD292" s="1"/>
      <c r="AE292" s="1"/>
      <c r="AF292" s="1"/>
      <c r="AG292" s="1"/>
      <c r="AH292" s="1"/>
      <c r="AI292" s="1"/>
      <c r="AJ292" s="1"/>
      <c r="AK292" s="1"/>
    </row>
    <row r="293" ht="27.75" customHeight="1">
      <c r="A293" s="55"/>
      <c r="C293" s="207" t="s">
        <v>237</v>
      </c>
      <c r="D293" s="208" t="s">
        <v>238</v>
      </c>
      <c r="E293" s="207" t="s">
        <v>237</v>
      </c>
      <c r="F293" s="208" t="s">
        <v>238</v>
      </c>
      <c r="G293" s="207" t="s">
        <v>237</v>
      </c>
      <c r="H293" s="208" t="s">
        <v>238</v>
      </c>
      <c r="I293" s="10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8"/>
      <c r="Z293" s="8"/>
      <c r="AA293" s="8"/>
      <c r="AB293" s="8"/>
      <c r="AC293" s="8"/>
      <c r="AD293" s="1"/>
      <c r="AE293" s="1"/>
      <c r="AF293" s="1"/>
      <c r="AG293" s="1"/>
      <c r="AH293" s="1"/>
      <c r="AI293" s="1"/>
      <c r="AJ293" s="1"/>
      <c r="AK293" s="1"/>
    </row>
    <row r="294" ht="14.25" customHeight="1">
      <c r="A294" s="22" t="s">
        <v>239</v>
      </c>
      <c r="B294" s="24"/>
      <c r="C294" s="209">
        <v>0.0</v>
      </c>
      <c r="D294" s="210">
        <v>0.0</v>
      </c>
      <c r="E294" s="209">
        <v>0.0</v>
      </c>
      <c r="F294" s="210">
        <v>0.0</v>
      </c>
      <c r="G294" s="209">
        <v>0.0</v>
      </c>
      <c r="H294" s="210">
        <v>0.0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8"/>
      <c r="Z294" s="8"/>
      <c r="AA294" s="8"/>
      <c r="AB294" s="8"/>
      <c r="AC294" s="8"/>
      <c r="AD294" s="1"/>
      <c r="AE294" s="1"/>
      <c r="AF294" s="1"/>
      <c r="AG294" s="1"/>
      <c r="AH294" s="1"/>
      <c r="AI294" s="1"/>
      <c r="AJ294" s="1"/>
      <c r="AK294" s="1"/>
    </row>
    <row r="295" ht="14.25" customHeight="1">
      <c r="A295" s="140" t="s">
        <v>240</v>
      </c>
      <c r="B295" s="27"/>
      <c r="C295" s="212">
        <v>0.0</v>
      </c>
      <c r="D295" s="164">
        <v>0.0</v>
      </c>
      <c r="E295" s="209">
        <v>0.0</v>
      </c>
      <c r="F295" s="210">
        <v>0.0</v>
      </c>
      <c r="G295" s="212">
        <v>0.0</v>
      </c>
      <c r="H295" s="164">
        <v>0.0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8"/>
      <c r="Z295" s="8"/>
      <c r="AA295" s="8"/>
      <c r="AB295" s="8"/>
      <c r="AC295" s="8"/>
      <c r="AD295" s="1"/>
      <c r="AE295" s="1"/>
      <c r="AF295" s="1"/>
      <c r="AG295" s="1"/>
      <c r="AH295" s="1"/>
      <c r="AI295" s="1"/>
      <c r="AJ295" s="1"/>
      <c r="AK295" s="1"/>
    </row>
    <row r="296" ht="14.25" customHeight="1">
      <c r="A296" s="26" t="s">
        <v>241</v>
      </c>
      <c r="B296" s="27"/>
      <c r="C296" s="212">
        <v>0.0</v>
      </c>
      <c r="D296" s="164">
        <v>0.0</v>
      </c>
      <c r="E296" s="209">
        <v>0.0</v>
      </c>
      <c r="F296" s="210">
        <v>0.0</v>
      </c>
      <c r="G296" s="212">
        <v>0.0</v>
      </c>
      <c r="H296" s="164">
        <v>0.0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8"/>
      <c r="Z296" s="8"/>
      <c r="AA296" s="8"/>
      <c r="AB296" s="8"/>
      <c r="AC296" s="8"/>
      <c r="AD296" s="1"/>
      <c r="AE296" s="1"/>
      <c r="AF296" s="1"/>
      <c r="AG296" s="1"/>
      <c r="AH296" s="1"/>
      <c r="AI296" s="1"/>
      <c r="AJ296" s="1"/>
      <c r="AK296" s="1"/>
    </row>
    <row r="297" ht="14.25" customHeight="1">
      <c r="A297" s="26" t="s">
        <v>242</v>
      </c>
      <c r="B297" s="27"/>
      <c r="C297" s="212">
        <v>0.0</v>
      </c>
      <c r="D297" s="164">
        <v>0.0</v>
      </c>
      <c r="E297" s="209">
        <v>0.0</v>
      </c>
      <c r="F297" s="210">
        <v>0.0</v>
      </c>
      <c r="G297" s="212">
        <v>0.0</v>
      </c>
      <c r="H297" s="164">
        <v>0.0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8"/>
      <c r="Z297" s="8"/>
      <c r="AA297" s="8"/>
      <c r="AB297" s="8"/>
      <c r="AC297" s="8"/>
      <c r="AD297" s="1"/>
      <c r="AE297" s="1"/>
      <c r="AF297" s="1"/>
      <c r="AG297" s="1"/>
      <c r="AH297" s="1"/>
      <c r="AI297" s="1"/>
      <c r="AJ297" s="1"/>
      <c r="AK297" s="1"/>
    </row>
    <row r="298" ht="14.25" customHeight="1">
      <c r="A298" s="26" t="s">
        <v>243</v>
      </c>
      <c r="B298" s="27"/>
      <c r="C298" s="212">
        <v>0.0</v>
      </c>
      <c r="D298" s="186">
        <v>0.0</v>
      </c>
      <c r="E298" s="209">
        <v>0.0</v>
      </c>
      <c r="F298" s="210">
        <v>0.0</v>
      </c>
      <c r="G298" s="212">
        <v>0.0</v>
      </c>
      <c r="H298" s="164">
        <v>0.0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8"/>
      <c r="Z298" s="8"/>
      <c r="AA298" s="8"/>
      <c r="AB298" s="8"/>
      <c r="AC298" s="8"/>
      <c r="AD298" s="1"/>
      <c r="AE298" s="1"/>
      <c r="AF298" s="1"/>
      <c r="AG298" s="1"/>
      <c r="AH298" s="1"/>
      <c r="AI298" s="1"/>
      <c r="AJ298" s="1"/>
      <c r="AK298" s="1"/>
    </row>
    <row r="299" ht="12.0" customHeight="1">
      <c r="A299" s="26" t="s">
        <v>244</v>
      </c>
      <c r="B299" s="27"/>
      <c r="C299" s="212">
        <v>0.0</v>
      </c>
      <c r="D299" s="186">
        <v>0.0</v>
      </c>
      <c r="E299" s="209">
        <v>0.0</v>
      </c>
      <c r="F299" s="210">
        <v>0.0</v>
      </c>
      <c r="G299" s="212">
        <v>0.0</v>
      </c>
      <c r="H299" s="164">
        <v>0.0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8"/>
      <c r="Z299" s="8"/>
      <c r="AA299" s="8"/>
      <c r="AB299" s="8"/>
      <c r="AC299" s="8"/>
      <c r="AD299" s="1"/>
      <c r="AE299" s="1"/>
      <c r="AF299" s="1"/>
      <c r="AG299" s="1"/>
      <c r="AH299" s="1"/>
      <c r="AI299" s="1"/>
      <c r="AJ299" s="1"/>
      <c r="AK299" s="1"/>
    </row>
    <row r="300" ht="14.25" customHeight="1">
      <c r="A300" s="141" t="s">
        <v>245</v>
      </c>
      <c r="B300" s="36"/>
      <c r="C300" s="312">
        <v>0.0</v>
      </c>
      <c r="D300" s="313">
        <v>0.0</v>
      </c>
      <c r="E300" s="312">
        <v>0.0</v>
      </c>
      <c r="F300" s="313">
        <v>0.0</v>
      </c>
      <c r="G300" s="312">
        <v>0.0</v>
      </c>
      <c r="H300" s="314">
        <v>0.0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8"/>
      <c r="Z300" s="8"/>
      <c r="AA300" s="8"/>
      <c r="AB300" s="8"/>
      <c r="AC300" s="8"/>
      <c r="AD300" s="1"/>
      <c r="AE300" s="1"/>
      <c r="AF300" s="1"/>
      <c r="AG300" s="1"/>
      <c r="AH300" s="1"/>
      <c r="AI300" s="1"/>
      <c r="AJ300" s="1"/>
      <c r="AK300" s="1"/>
    </row>
    <row r="301" ht="13.5" customHeight="1">
      <c r="A301" s="214" t="s">
        <v>11</v>
      </c>
      <c r="B301" s="19"/>
      <c r="C301" s="215">
        <f t="shared" ref="C301:H301" si="10">SUM(C294:C300)</f>
        <v>0</v>
      </c>
      <c r="D301" s="216">
        <f t="shared" si="10"/>
        <v>0</v>
      </c>
      <c r="E301" s="232">
        <f t="shared" si="10"/>
        <v>0</v>
      </c>
      <c r="F301" s="315">
        <f t="shared" si="10"/>
        <v>0</v>
      </c>
      <c r="G301" s="232">
        <f t="shared" si="10"/>
        <v>0</v>
      </c>
      <c r="H301" s="315">
        <f t="shared" si="10"/>
        <v>0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8"/>
      <c r="Z301" s="8"/>
      <c r="AA301" s="8"/>
      <c r="AB301" s="8"/>
      <c r="AC301" s="8"/>
      <c r="AD301" s="1"/>
      <c r="AE301" s="1"/>
      <c r="AF301" s="1"/>
      <c r="AG301" s="1"/>
      <c r="AH301" s="1"/>
      <c r="AI301" s="1"/>
      <c r="AJ301" s="1"/>
      <c r="AK301" s="1"/>
    </row>
    <row r="302" ht="14.25" customHeight="1">
      <c r="A302" s="219"/>
      <c r="B302" s="219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8"/>
      <c r="AD302" s="8"/>
      <c r="AE302" s="8"/>
      <c r="AF302" s="8"/>
      <c r="AG302" s="8"/>
      <c r="AH302" s="1"/>
      <c r="AI302" s="1"/>
      <c r="AJ302" s="1"/>
      <c r="AK302" s="1"/>
    </row>
    <row r="303" ht="14.25" customHeight="1">
      <c r="A303" s="182" t="s">
        <v>246</v>
      </c>
      <c r="M303" s="10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8"/>
      <c r="AD303" s="8"/>
      <c r="AE303" s="8"/>
      <c r="AF303" s="8"/>
      <c r="AG303" s="8"/>
      <c r="AH303" s="1"/>
      <c r="AI303" s="1"/>
      <c r="AJ303" s="1"/>
      <c r="A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0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8"/>
      <c r="AD304" s="8"/>
      <c r="AE304" s="8"/>
      <c r="AF304" s="8"/>
      <c r="AG304" s="8"/>
      <c r="AH304" s="1"/>
      <c r="AI304" s="1"/>
      <c r="AJ304" s="1"/>
      <c r="AK304" s="1"/>
    </row>
    <row r="305" ht="32.25" customHeight="1">
      <c r="A305" s="106" t="s">
        <v>233</v>
      </c>
      <c r="B305" s="46"/>
      <c r="C305" s="311" t="s">
        <v>234</v>
      </c>
      <c r="D305" s="24"/>
      <c r="E305" s="311" t="s">
        <v>235</v>
      </c>
      <c r="F305" s="24"/>
      <c r="G305" s="311" t="s">
        <v>236</v>
      </c>
      <c r="H305" s="24"/>
      <c r="I305" s="10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8"/>
      <c r="Z305" s="8"/>
      <c r="AA305" s="8"/>
      <c r="AB305" s="8"/>
      <c r="AC305" s="8"/>
      <c r="AD305" s="1"/>
      <c r="AE305" s="1"/>
      <c r="AF305" s="1"/>
      <c r="AG305" s="1"/>
      <c r="AH305" s="1"/>
      <c r="AI305" s="1"/>
      <c r="AJ305" s="1"/>
      <c r="AK305" s="1"/>
    </row>
    <row r="306" ht="27.0" customHeight="1">
      <c r="A306" s="55"/>
      <c r="C306" s="207" t="s">
        <v>237</v>
      </c>
      <c r="D306" s="208" t="s">
        <v>238</v>
      </c>
      <c r="E306" s="207" t="s">
        <v>237</v>
      </c>
      <c r="F306" s="208" t="s">
        <v>238</v>
      </c>
      <c r="G306" s="207" t="s">
        <v>237</v>
      </c>
      <c r="H306" s="208" t="s">
        <v>238</v>
      </c>
      <c r="I306" s="10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8"/>
      <c r="Z306" s="8"/>
      <c r="AA306" s="8"/>
      <c r="AB306" s="8"/>
      <c r="AC306" s="8"/>
      <c r="AD306" s="1"/>
      <c r="AE306" s="1"/>
      <c r="AF306" s="1"/>
      <c r="AG306" s="1"/>
      <c r="AH306" s="1"/>
      <c r="AI306" s="1"/>
      <c r="AJ306" s="1"/>
      <c r="AK306" s="1"/>
    </row>
    <row r="307" ht="14.25" customHeight="1">
      <c r="A307" s="22" t="s">
        <v>239</v>
      </c>
      <c r="B307" s="24"/>
      <c r="C307" s="209">
        <v>0.0</v>
      </c>
      <c r="D307" s="210">
        <v>0.0</v>
      </c>
      <c r="E307" s="209">
        <v>0.0</v>
      </c>
      <c r="F307" s="210">
        <v>0.0</v>
      </c>
      <c r="G307" s="209">
        <v>0.0</v>
      </c>
      <c r="H307" s="210">
        <v>0.0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8"/>
      <c r="Z307" s="8"/>
      <c r="AA307" s="8"/>
      <c r="AB307" s="8"/>
      <c r="AC307" s="8"/>
      <c r="AD307" s="1"/>
      <c r="AE307" s="1"/>
      <c r="AF307" s="1"/>
      <c r="AG307" s="1"/>
      <c r="AH307" s="1"/>
      <c r="AI307" s="1"/>
      <c r="AJ307" s="1"/>
      <c r="AK307" s="1"/>
    </row>
    <row r="308" ht="14.25" customHeight="1">
      <c r="A308" s="140" t="s">
        <v>240</v>
      </c>
      <c r="B308" s="27"/>
      <c r="C308" s="212">
        <v>0.0</v>
      </c>
      <c r="D308" s="164">
        <v>0.0</v>
      </c>
      <c r="E308" s="209">
        <v>0.0</v>
      </c>
      <c r="F308" s="210">
        <v>0.0</v>
      </c>
      <c r="G308" s="212">
        <v>0.0</v>
      </c>
      <c r="H308" s="164">
        <v>0.0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8"/>
      <c r="Z308" s="8"/>
      <c r="AA308" s="8"/>
      <c r="AB308" s="8"/>
      <c r="AC308" s="8"/>
      <c r="AD308" s="1"/>
      <c r="AE308" s="1"/>
      <c r="AF308" s="1"/>
      <c r="AG308" s="1"/>
      <c r="AH308" s="1"/>
      <c r="AI308" s="1"/>
      <c r="AJ308" s="1"/>
      <c r="AK308" s="1"/>
    </row>
    <row r="309" ht="14.25" customHeight="1">
      <c r="A309" s="26" t="s">
        <v>241</v>
      </c>
      <c r="B309" s="27"/>
      <c r="C309" s="212">
        <v>0.0</v>
      </c>
      <c r="D309" s="164">
        <v>0.0</v>
      </c>
      <c r="E309" s="209">
        <v>0.0</v>
      </c>
      <c r="F309" s="210">
        <v>0.0</v>
      </c>
      <c r="G309" s="212">
        <v>0.0</v>
      </c>
      <c r="H309" s="164">
        <v>0.0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8"/>
      <c r="Z309" s="8"/>
      <c r="AA309" s="8"/>
      <c r="AB309" s="8"/>
      <c r="AC309" s="8"/>
      <c r="AD309" s="1"/>
      <c r="AE309" s="1"/>
      <c r="AF309" s="1"/>
      <c r="AG309" s="1"/>
      <c r="AH309" s="1"/>
      <c r="AI309" s="1"/>
      <c r="AJ309" s="1"/>
      <c r="AK309" s="1"/>
    </row>
    <row r="310" ht="14.25" customHeight="1">
      <c r="A310" s="26" t="s">
        <v>242</v>
      </c>
      <c r="B310" s="28"/>
      <c r="C310" s="212">
        <v>0.0</v>
      </c>
      <c r="D310" s="164">
        <v>0.0</v>
      </c>
      <c r="E310" s="209">
        <v>0.0</v>
      </c>
      <c r="F310" s="210">
        <v>0.0</v>
      </c>
      <c r="G310" s="212">
        <v>0.0</v>
      </c>
      <c r="H310" s="164">
        <v>0.0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8"/>
      <c r="Z310" s="8"/>
      <c r="AA310" s="8"/>
      <c r="AB310" s="8"/>
      <c r="AC310" s="8"/>
      <c r="AD310" s="1"/>
      <c r="AE310" s="1"/>
      <c r="AF310" s="1"/>
      <c r="AG310" s="1"/>
      <c r="AH310" s="1"/>
      <c r="AI310" s="1"/>
      <c r="AJ310" s="1"/>
      <c r="AK310" s="1"/>
    </row>
    <row r="311" ht="14.25" customHeight="1">
      <c r="A311" s="26" t="s">
        <v>243</v>
      </c>
      <c r="B311" s="27"/>
      <c r="C311" s="212">
        <v>0.0</v>
      </c>
      <c r="D311" s="186">
        <v>0.0</v>
      </c>
      <c r="E311" s="209">
        <v>0.0</v>
      </c>
      <c r="F311" s="210">
        <v>0.0</v>
      </c>
      <c r="G311" s="212">
        <v>0.0</v>
      </c>
      <c r="H311" s="164">
        <v>0.0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8"/>
      <c r="Z311" s="8"/>
      <c r="AA311" s="8"/>
      <c r="AB311" s="8"/>
      <c r="AC311" s="8"/>
      <c r="AD311" s="1"/>
      <c r="AE311" s="1"/>
      <c r="AF311" s="1"/>
      <c r="AG311" s="1"/>
      <c r="AH311" s="1"/>
      <c r="AI311" s="1"/>
      <c r="AJ311" s="1"/>
      <c r="AK311" s="1"/>
    </row>
    <row r="312" ht="14.25" customHeight="1">
      <c r="A312" s="26" t="s">
        <v>244</v>
      </c>
      <c r="B312" s="27"/>
      <c r="C312" s="212">
        <v>0.0</v>
      </c>
      <c r="D312" s="186">
        <v>0.0</v>
      </c>
      <c r="E312" s="209">
        <v>0.0</v>
      </c>
      <c r="F312" s="210">
        <v>0.0</v>
      </c>
      <c r="G312" s="212">
        <v>0.0</v>
      </c>
      <c r="H312" s="164">
        <v>0.0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8"/>
      <c r="Z312" s="8"/>
      <c r="AA312" s="8"/>
      <c r="AB312" s="8"/>
      <c r="AC312" s="8"/>
      <c r="AD312" s="1"/>
      <c r="AE312" s="1"/>
      <c r="AF312" s="1"/>
      <c r="AG312" s="1"/>
      <c r="AH312" s="1"/>
      <c r="AI312" s="1"/>
      <c r="AJ312" s="1"/>
      <c r="AK312" s="1"/>
    </row>
    <row r="313" ht="14.25" customHeight="1">
      <c r="A313" s="141" t="s">
        <v>245</v>
      </c>
      <c r="B313" s="36"/>
      <c r="C313" s="312">
        <v>0.0</v>
      </c>
      <c r="D313" s="313">
        <v>0.0</v>
      </c>
      <c r="E313" s="312">
        <v>0.0</v>
      </c>
      <c r="F313" s="313">
        <v>0.0</v>
      </c>
      <c r="G313" s="312">
        <v>0.0</v>
      </c>
      <c r="H313" s="314">
        <v>0.0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8"/>
      <c r="Z313" s="8"/>
      <c r="AA313" s="8"/>
      <c r="AB313" s="8"/>
      <c r="AC313" s="8"/>
      <c r="AD313" s="1"/>
      <c r="AE313" s="1"/>
      <c r="AF313" s="1"/>
      <c r="AG313" s="1"/>
      <c r="AH313" s="1"/>
      <c r="AI313" s="1"/>
      <c r="AJ313" s="1"/>
      <c r="AK313" s="1"/>
    </row>
    <row r="314" ht="14.25" customHeight="1">
      <c r="A314" s="214" t="s">
        <v>11</v>
      </c>
      <c r="B314" s="19"/>
      <c r="C314" s="215">
        <f t="shared" ref="C314:H314" si="11">SUM(C307:C313)</f>
        <v>0</v>
      </c>
      <c r="D314" s="315">
        <f t="shared" si="11"/>
        <v>0</v>
      </c>
      <c r="E314" s="232">
        <f t="shared" si="11"/>
        <v>0</v>
      </c>
      <c r="F314" s="315">
        <f t="shared" si="11"/>
        <v>0</v>
      </c>
      <c r="G314" s="232">
        <f t="shared" si="11"/>
        <v>0</v>
      </c>
      <c r="H314" s="315">
        <f t="shared" si="11"/>
        <v>0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8"/>
      <c r="Z314" s="8"/>
      <c r="AA314" s="8"/>
      <c r="AB314" s="8"/>
      <c r="AC314" s="8"/>
      <c r="AD314" s="1"/>
      <c r="AE314" s="1"/>
      <c r="AF314" s="1"/>
      <c r="AG314" s="1"/>
      <c r="AH314" s="1"/>
      <c r="AI314" s="1"/>
      <c r="AJ314" s="1"/>
      <c r="AK314" s="1"/>
    </row>
    <row r="315" ht="14.25" customHeight="1">
      <c r="A315" s="150"/>
      <c r="B315" s="150"/>
      <c r="C315" s="150"/>
      <c r="D315" s="150"/>
      <c r="E315" s="150"/>
      <c r="F315" s="316"/>
      <c r="G315" s="316"/>
      <c r="H315" s="150"/>
      <c r="I315" s="150"/>
      <c r="J315" s="150"/>
      <c r="K315" s="150"/>
      <c r="L315" s="150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05"/>
      <c r="X315" s="105"/>
      <c r="Y315" s="105"/>
      <c r="Z315" s="105"/>
      <c r="AA315" s="105"/>
      <c r="AB315" s="105"/>
      <c r="AC315" s="317"/>
      <c r="AD315" s="317"/>
      <c r="AE315" s="317"/>
      <c r="AF315" s="317"/>
      <c r="AG315" s="317"/>
      <c r="AH315" s="244"/>
      <c r="AI315" s="244"/>
      <c r="AJ315" s="244"/>
      <c r="AK315" s="244"/>
    </row>
    <row r="316" ht="14.25" customHeight="1">
      <c r="A316" s="11" t="s">
        <v>247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3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8"/>
      <c r="AD316" s="8"/>
      <c r="AE316" s="8"/>
      <c r="AF316" s="8"/>
      <c r="AG316" s="8"/>
      <c r="AH316" s="1"/>
      <c r="AI316" s="1"/>
      <c r="AJ316" s="1"/>
      <c r="AK316" s="1"/>
    </row>
    <row r="317" ht="14.25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8"/>
      <c r="AD317" s="8"/>
      <c r="AE317" s="8"/>
      <c r="AF317" s="8"/>
      <c r="AG317" s="8"/>
      <c r="AH317" s="1"/>
      <c r="AI317" s="1"/>
      <c r="AJ317" s="1"/>
      <c r="AK317" s="1"/>
    </row>
    <row r="318" ht="15.75" customHeight="1">
      <c r="A318" s="5" t="s">
        <v>248</v>
      </c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8"/>
      <c r="AD318" s="8"/>
      <c r="AE318" s="8"/>
      <c r="AF318" s="8"/>
      <c r="AG318" s="8"/>
      <c r="AH318" s="1"/>
      <c r="AI318" s="1"/>
      <c r="AJ318" s="1"/>
      <c r="AK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8"/>
      <c r="AD319" s="8"/>
      <c r="AE319" s="8"/>
      <c r="AF319" s="8"/>
      <c r="AG319" s="8"/>
      <c r="AH319" s="1"/>
      <c r="AI319" s="1"/>
      <c r="AJ319" s="1"/>
      <c r="AK319" s="1"/>
    </row>
    <row r="320" ht="41.25" customHeight="1">
      <c r="A320" s="151" t="s">
        <v>249</v>
      </c>
      <c r="B320" s="152"/>
      <c r="C320" s="235" t="s">
        <v>250</v>
      </c>
      <c r="D320" s="152"/>
      <c r="E320" s="235" t="s">
        <v>251</v>
      </c>
      <c r="F320" s="20"/>
      <c r="G320" s="318"/>
      <c r="I320" s="318"/>
      <c r="K320" s="318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8"/>
      <c r="AD320" s="8"/>
      <c r="AE320" s="8"/>
      <c r="AF320" s="8"/>
      <c r="AG320" s="8"/>
      <c r="AH320" s="1"/>
      <c r="AI320" s="1"/>
      <c r="AJ320" s="1"/>
      <c r="AK320" s="1"/>
    </row>
    <row r="321" ht="14.25" customHeight="1">
      <c r="A321" s="199">
        <v>0.0</v>
      </c>
      <c r="B321" s="152"/>
      <c r="C321" s="112">
        <v>0.0</v>
      </c>
      <c r="D321" s="152"/>
      <c r="E321" s="112">
        <v>0.0</v>
      </c>
      <c r="F321" s="20"/>
      <c r="G321" s="319"/>
      <c r="I321" s="320"/>
      <c r="K321" s="320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8"/>
      <c r="AD321" s="8"/>
      <c r="AE321" s="8"/>
      <c r="AF321" s="8"/>
      <c r="AG321" s="8"/>
      <c r="AH321" s="1"/>
      <c r="AI321" s="1"/>
      <c r="AJ321" s="1"/>
      <c r="A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8"/>
      <c r="AD322" s="8"/>
      <c r="AE322" s="8"/>
      <c r="AF322" s="8"/>
      <c r="AG322" s="8"/>
      <c r="AH322" s="1"/>
      <c r="AI322" s="1"/>
      <c r="AJ322" s="1"/>
      <c r="AK322" s="1"/>
    </row>
    <row r="323" ht="14.25" customHeight="1">
      <c r="A323" s="65" t="s">
        <v>252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3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8"/>
      <c r="AD323" s="8"/>
      <c r="AE323" s="8"/>
      <c r="AF323" s="8"/>
      <c r="AG323" s="8"/>
      <c r="AH323" s="1"/>
      <c r="AI323" s="1"/>
      <c r="AJ323" s="1"/>
      <c r="AK323" s="1"/>
    </row>
    <row r="324" ht="14.25" customHeight="1">
      <c r="A324" s="5"/>
      <c r="B324" s="21"/>
      <c r="C324" s="21"/>
      <c r="D324" s="1"/>
      <c r="E324" s="1"/>
      <c r="F324" s="1"/>
      <c r="G324" s="1"/>
      <c r="H324" s="1"/>
      <c r="I324" s="1"/>
      <c r="J324" s="1"/>
      <c r="K324" s="1"/>
      <c r="L324" s="1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8"/>
      <c r="AD324" s="8"/>
      <c r="AE324" s="8"/>
      <c r="AF324" s="8"/>
      <c r="AG324" s="8"/>
      <c r="AH324" s="1"/>
      <c r="AI324" s="1"/>
      <c r="AJ324" s="1"/>
      <c r="AK324" s="1"/>
    </row>
    <row r="325" ht="14.25" customHeight="1">
      <c r="A325" s="321" t="s">
        <v>253</v>
      </c>
      <c r="B325" s="23"/>
      <c r="C325" s="23"/>
      <c r="D325" s="23"/>
      <c r="E325" s="23"/>
      <c r="F325" s="24"/>
      <c r="G325" s="321" t="s">
        <v>254</v>
      </c>
      <c r="H325" s="23"/>
      <c r="I325" s="23"/>
      <c r="J325" s="23"/>
      <c r="K325" s="23"/>
      <c r="L325" s="24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8"/>
      <c r="AD325" s="8"/>
      <c r="AE325" s="8"/>
      <c r="AF325" s="8"/>
      <c r="AG325" s="8"/>
      <c r="AH325" s="1"/>
      <c r="AI325" s="1"/>
      <c r="AJ325" s="1"/>
      <c r="AK325" s="1"/>
    </row>
    <row r="326" ht="67.5" customHeight="1">
      <c r="A326" s="322" t="s">
        <v>255</v>
      </c>
      <c r="B326" s="323"/>
      <c r="C326" s="324" t="s">
        <v>256</v>
      </c>
      <c r="D326" s="323"/>
      <c r="E326" s="325" t="s">
        <v>257</v>
      </c>
      <c r="F326" s="49"/>
      <c r="G326" s="322" t="s">
        <v>255</v>
      </c>
      <c r="H326" s="323"/>
      <c r="I326" s="324" t="s">
        <v>256</v>
      </c>
      <c r="J326" s="323"/>
      <c r="K326" s="324" t="s">
        <v>258</v>
      </c>
      <c r="L326" s="326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8"/>
      <c r="AD326" s="8"/>
      <c r="AE326" s="8"/>
      <c r="AF326" s="8"/>
      <c r="AG326" s="8"/>
      <c r="AH326" s="1"/>
      <c r="AI326" s="1"/>
      <c r="AJ326" s="1"/>
      <c r="AK326" s="1"/>
    </row>
    <row r="327" ht="14.25" customHeight="1">
      <c r="A327" s="223">
        <v>0.0</v>
      </c>
      <c r="B327" s="152"/>
      <c r="C327" s="224">
        <v>0.0</v>
      </c>
      <c r="D327" s="152"/>
      <c r="E327" s="224">
        <v>0.0</v>
      </c>
      <c r="F327" s="20"/>
      <c r="G327" s="223">
        <v>0.0</v>
      </c>
      <c r="H327" s="152"/>
      <c r="I327" s="224">
        <v>0.0</v>
      </c>
      <c r="J327" s="152"/>
      <c r="K327" s="327">
        <v>0.0</v>
      </c>
      <c r="L327" s="326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8"/>
      <c r="AD327" s="8"/>
      <c r="AE327" s="8"/>
      <c r="AF327" s="8"/>
      <c r="AG327" s="8"/>
      <c r="AH327" s="1"/>
      <c r="AI327" s="1"/>
      <c r="AJ327" s="1"/>
      <c r="A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8"/>
      <c r="AD328" s="8"/>
      <c r="AE328" s="8"/>
      <c r="AF328" s="8"/>
      <c r="AG328" s="8"/>
      <c r="AH328" s="1"/>
      <c r="AI328" s="1"/>
      <c r="AJ328" s="1"/>
      <c r="AK328" s="1"/>
    </row>
    <row r="329" ht="14.25" customHeight="1">
      <c r="A329" s="328" t="s">
        <v>259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3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8"/>
      <c r="AD329" s="8"/>
      <c r="AE329" s="8"/>
      <c r="AF329" s="8"/>
      <c r="AG329" s="8"/>
      <c r="AH329" s="1"/>
      <c r="AI329" s="1"/>
      <c r="AJ329" s="1"/>
      <c r="A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8"/>
      <c r="AD330" s="8"/>
      <c r="AE330" s="8"/>
      <c r="AF330" s="8"/>
      <c r="AG330" s="8"/>
      <c r="AH330" s="1"/>
      <c r="AI330" s="1"/>
      <c r="AJ330" s="1"/>
      <c r="AK330" s="1"/>
    </row>
    <row r="331" ht="14.25" customHeight="1">
      <c r="A331" s="5" t="s">
        <v>260</v>
      </c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8"/>
      <c r="AD331" s="8"/>
      <c r="AE331" s="8"/>
      <c r="AF331" s="8"/>
      <c r="AG331" s="8"/>
      <c r="AH331" s="1"/>
      <c r="AI331" s="1"/>
      <c r="AJ331" s="1"/>
      <c r="A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8"/>
      <c r="AD332" s="8"/>
      <c r="AE332" s="8"/>
      <c r="AF332" s="8"/>
      <c r="AG332" s="8"/>
      <c r="AH332" s="1"/>
      <c r="AI332" s="1"/>
      <c r="AJ332" s="1"/>
      <c r="AK332" s="1"/>
    </row>
    <row r="333" ht="13.5" customHeight="1">
      <c r="A333" s="87" t="s">
        <v>261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4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8"/>
      <c r="AD333" s="8"/>
      <c r="AE333" s="8"/>
      <c r="AF333" s="8"/>
      <c r="AG333" s="8"/>
      <c r="AH333" s="1"/>
      <c r="AI333" s="1"/>
      <c r="AJ333" s="1"/>
      <c r="AK333" s="1"/>
    </row>
    <row r="334" ht="16.5" customHeight="1">
      <c r="A334" s="329" t="s">
        <v>262</v>
      </c>
      <c r="B334" s="155"/>
      <c r="C334" s="330" t="s">
        <v>263</v>
      </c>
      <c r="D334" s="155"/>
      <c r="E334" s="259" t="s">
        <v>264</v>
      </c>
      <c r="F334" s="171"/>
      <c r="G334" s="330" t="s">
        <v>265</v>
      </c>
      <c r="H334" s="40"/>
      <c r="I334" s="40"/>
      <c r="J334" s="86"/>
      <c r="K334" s="331" t="s">
        <v>11</v>
      </c>
      <c r="L334" s="86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8"/>
      <c r="AD334" s="8"/>
      <c r="AE334" s="8"/>
      <c r="AF334" s="8"/>
      <c r="AG334" s="8"/>
      <c r="AH334" s="1"/>
      <c r="AI334" s="1"/>
      <c r="AJ334" s="1"/>
      <c r="AK334" s="1"/>
    </row>
    <row r="335" ht="14.25" customHeight="1">
      <c r="A335" s="199">
        <v>0.0</v>
      </c>
      <c r="B335" s="152"/>
      <c r="C335" s="112">
        <v>0.0</v>
      </c>
      <c r="D335" s="152"/>
      <c r="E335" s="112">
        <v>0.0</v>
      </c>
      <c r="F335" s="152"/>
      <c r="G335" s="112">
        <v>0.0</v>
      </c>
      <c r="H335" s="19"/>
      <c r="I335" s="19"/>
      <c r="J335" s="19"/>
      <c r="K335" s="42">
        <f>SUM(A335:J335)</f>
        <v>0</v>
      </c>
      <c r="L335" s="20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8"/>
      <c r="AD335" s="8"/>
      <c r="AE335" s="8"/>
      <c r="AF335" s="8"/>
      <c r="AG335" s="8"/>
      <c r="AH335" s="1"/>
      <c r="AI335" s="1"/>
      <c r="AJ335" s="1"/>
      <c r="AK335" s="1"/>
    </row>
    <row r="336" ht="14.25" customHeight="1">
      <c r="A336" s="58"/>
      <c r="B336" s="58"/>
      <c r="C336" s="58"/>
      <c r="D336" s="58"/>
      <c r="E336" s="58"/>
      <c r="F336" s="332"/>
      <c r="G336" s="58"/>
      <c r="H336" s="58"/>
      <c r="I336" s="58"/>
      <c r="J336" s="58"/>
      <c r="K336" s="58"/>
      <c r="L336" s="58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8"/>
      <c r="AD336" s="8"/>
      <c r="AE336" s="8"/>
      <c r="AF336" s="8"/>
      <c r="AG336" s="8"/>
      <c r="AH336" s="1"/>
      <c r="AI336" s="1"/>
      <c r="AJ336" s="1"/>
      <c r="AK336" s="1"/>
    </row>
    <row r="337" ht="14.25" customHeight="1">
      <c r="A337" s="65" t="s">
        <v>266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3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8"/>
      <c r="AD337" s="8"/>
      <c r="AE337" s="8"/>
      <c r="AF337" s="8"/>
      <c r="AG337" s="8"/>
      <c r="AH337" s="1"/>
      <c r="AI337" s="1"/>
      <c r="AJ337" s="1"/>
      <c r="AK337" s="1"/>
    </row>
    <row r="338" ht="14.25" customHeight="1">
      <c r="A338" s="333"/>
      <c r="B338" s="334"/>
      <c r="C338" s="334"/>
      <c r="D338" s="58"/>
      <c r="E338" s="58"/>
      <c r="F338" s="332"/>
      <c r="G338" s="58"/>
      <c r="H338" s="58"/>
      <c r="I338" s="58"/>
      <c r="J338" s="58"/>
      <c r="K338" s="58"/>
      <c r="L338" s="58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8"/>
      <c r="AD338" s="8"/>
      <c r="AE338" s="8"/>
      <c r="AF338" s="8"/>
      <c r="AG338" s="8"/>
      <c r="AH338" s="1"/>
      <c r="AI338" s="1"/>
      <c r="AJ338" s="1"/>
      <c r="AK338" s="1"/>
    </row>
    <row r="339" ht="30.0" customHeight="1">
      <c r="A339" s="220" t="s">
        <v>267</v>
      </c>
      <c r="B339" s="19"/>
      <c r="C339" s="20"/>
      <c r="D339" s="58"/>
      <c r="E339" s="58"/>
      <c r="F339" s="332"/>
      <c r="G339" s="58"/>
      <c r="H339" s="58"/>
      <c r="I339" s="58"/>
      <c r="J339" s="58"/>
      <c r="K339" s="58"/>
      <c r="L339" s="58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8"/>
      <c r="AD339" s="8"/>
      <c r="AE339" s="8"/>
      <c r="AF339" s="8"/>
      <c r="AG339" s="8"/>
      <c r="AH339" s="1"/>
      <c r="AI339" s="1"/>
      <c r="AJ339" s="1"/>
      <c r="AK339" s="1"/>
    </row>
    <row r="340" ht="14.25" customHeight="1">
      <c r="A340" s="223">
        <v>0.0</v>
      </c>
      <c r="B340" s="19"/>
      <c r="C340" s="20"/>
      <c r="D340" s="332"/>
      <c r="E340" s="58"/>
      <c r="F340" s="332"/>
      <c r="G340" s="58"/>
      <c r="H340" s="58"/>
      <c r="I340" s="58"/>
      <c r="J340" s="58"/>
      <c r="K340" s="58"/>
      <c r="L340" s="58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8"/>
      <c r="AD340" s="8"/>
      <c r="AE340" s="8"/>
      <c r="AF340" s="8"/>
      <c r="AG340" s="8"/>
      <c r="AH340" s="1"/>
      <c r="AI340" s="1"/>
      <c r="AJ340" s="1"/>
      <c r="AK340" s="1"/>
    </row>
    <row r="341" ht="14.25" customHeight="1">
      <c r="A341" s="1"/>
      <c r="B341" s="1"/>
      <c r="C341" s="1"/>
      <c r="D341" s="1"/>
      <c r="E341" s="1"/>
      <c r="F341" s="10"/>
      <c r="G341" s="10"/>
      <c r="H341" s="1"/>
      <c r="I341" s="1"/>
      <c r="J341" s="1"/>
      <c r="K341" s="1"/>
      <c r="L341" s="1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8"/>
      <c r="AD341" s="8"/>
      <c r="AE341" s="8"/>
      <c r="AF341" s="8"/>
      <c r="AG341" s="8"/>
      <c r="AH341" s="1"/>
      <c r="AI341" s="1"/>
      <c r="AJ341" s="1"/>
      <c r="AK341" s="1"/>
    </row>
    <row r="342" ht="14.25" customHeight="1">
      <c r="A342" s="328" t="s">
        <v>268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3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8"/>
      <c r="AD342" s="8"/>
      <c r="AE342" s="8"/>
      <c r="AF342" s="8"/>
      <c r="AG342" s="8"/>
      <c r="AH342" s="1"/>
      <c r="AI342" s="1"/>
      <c r="AJ342" s="1"/>
      <c r="A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8"/>
      <c r="AD343" s="8"/>
      <c r="AE343" s="8"/>
      <c r="AF343" s="8"/>
      <c r="AG343" s="8"/>
      <c r="AH343" s="1"/>
      <c r="AI343" s="1"/>
      <c r="AJ343" s="1"/>
      <c r="AK343" s="1"/>
    </row>
    <row r="344" ht="14.25" customHeight="1">
      <c r="A344" s="14" t="s">
        <v>269</v>
      </c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8"/>
      <c r="AD344" s="8"/>
      <c r="AE344" s="8"/>
      <c r="AF344" s="8"/>
      <c r="AG344" s="8"/>
      <c r="AH344" s="1"/>
      <c r="AI344" s="1"/>
      <c r="AJ344" s="1"/>
      <c r="AK344" s="1"/>
    </row>
    <row r="345" ht="14.2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1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8"/>
      <c r="AD345" s="8"/>
      <c r="AE345" s="8"/>
      <c r="AF345" s="8"/>
      <c r="AG345" s="8"/>
      <c r="AH345" s="1"/>
      <c r="AI345" s="1"/>
      <c r="AJ345" s="1"/>
      <c r="AK345" s="1"/>
    </row>
    <row r="346" ht="14.25" customHeight="1">
      <c r="A346" s="117" t="s">
        <v>270</v>
      </c>
      <c r="B346" s="19"/>
      <c r="C346" s="19"/>
      <c r="D346" s="19"/>
      <c r="E346" s="19"/>
      <c r="F346" s="19"/>
      <c r="G346" s="20"/>
      <c r="H346" s="117" t="s">
        <v>206</v>
      </c>
      <c r="I346" s="19"/>
      <c r="J346" s="19"/>
      <c r="K346" s="20"/>
      <c r="L346" s="1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8"/>
      <c r="AD346" s="8"/>
      <c r="AE346" s="8"/>
      <c r="AF346" s="8"/>
      <c r="AG346" s="8"/>
      <c r="AH346" s="1"/>
      <c r="AI346" s="1"/>
      <c r="AJ346" s="1"/>
      <c r="AK346" s="1"/>
    </row>
    <row r="347" ht="14.25" customHeight="1">
      <c r="A347" s="22" t="s">
        <v>271</v>
      </c>
      <c r="B347" s="23"/>
      <c r="C347" s="23"/>
      <c r="D347" s="23"/>
      <c r="E347" s="23"/>
      <c r="F347" s="23"/>
      <c r="G347" s="24"/>
      <c r="H347" s="335">
        <v>0.0</v>
      </c>
      <c r="I347" s="23"/>
      <c r="J347" s="23"/>
      <c r="K347" s="24"/>
      <c r="L347" s="111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5"/>
      <c r="X347" s="15"/>
      <c r="Y347" s="15"/>
      <c r="Z347" s="15"/>
      <c r="AA347" s="15"/>
      <c r="AB347" s="15"/>
      <c r="AC347" s="8"/>
      <c r="AD347" s="8"/>
      <c r="AE347" s="8"/>
      <c r="AF347" s="8"/>
      <c r="AG347" s="8"/>
      <c r="AH347" s="1"/>
      <c r="AI347" s="1"/>
      <c r="AJ347" s="1"/>
      <c r="AK347" s="1"/>
    </row>
    <row r="348" ht="14.25" customHeight="1">
      <c r="A348" s="26" t="s">
        <v>272</v>
      </c>
      <c r="B348" s="27"/>
      <c r="C348" s="27"/>
      <c r="D348" s="27"/>
      <c r="E348" s="27"/>
      <c r="F348" s="27"/>
      <c r="G348" s="28"/>
      <c r="H348" s="336">
        <v>0.0</v>
      </c>
      <c r="I348" s="27"/>
      <c r="J348" s="27"/>
      <c r="K348" s="28"/>
      <c r="L348" s="1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8"/>
      <c r="AD348" s="8"/>
      <c r="AE348" s="8"/>
      <c r="AF348" s="8"/>
      <c r="AG348" s="8"/>
      <c r="AH348" s="1"/>
      <c r="AI348" s="1"/>
      <c r="AJ348" s="1"/>
      <c r="AK348" s="1"/>
    </row>
    <row r="349" ht="14.25" customHeight="1">
      <c r="A349" s="337" t="s">
        <v>273</v>
      </c>
      <c r="B349" s="33"/>
      <c r="C349" s="33"/>
      <c r="D349" s="33"/>
      <c r="E349" s="33"/>
      <c r="F349" s="33"/>
      <c r="G349" s="54"/>
      <c r="H349" s="338">
        <f>SUM(F350:G351)</f>
        <v>0</v>
      </c>
      <c r="I349" s="27"/>
      <c r="J349" s="27"/>
      <c r="K349" s="28"/>
      <c r="L349" s="1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8"/>
      <c r="AD349" s="8"/>
      <c r="AE349" s="8"/>
      <c r="AF349" s="8"/>
      <c r="AG349" s="8"/>
      <c r="AH349" s="1"/>
      <c r="AI349" s="1"/>
      <c r="AJ349" s="1"/>
      <c r="AK349" s="1"/>
    </row>
    <row r="350" ht="14.25" customHeight="1">
      <c r="A350" s="140" t="s">
        <v>274</v>
      </c>
      <c r="B350" s="27"/>
      <c r="C350" s="27"/>
      <c r="D350" s="27"/>
      <c r="E350" s="28"/>
      <c r="F350" s="335">
        <v>0.0</v>
      </c>
      <c r="G350" s="24"/>
      <c r="H350" s="339"/>
      <c r="I350" s="33"/>
      <c r="J350" s="33"/>
      <c r="K350" s="54"/>
      <c r="L350" s="1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8"/>
      <c r="AD350" s="8"/>
      <c r="AE350" s="8"/>
      <c r="AF350" s="8"/>
      <c r="AG350" s="8"/>
      <c r="AH350" s="1"/>
      <c r="AI350" s="1"/>
      <c r="AJ350" s="1"/>
      <c r="AK350" s="1"/>
    </row>
    <row r="351" ht="14.25" customHeight="1">
      <c r="A351" s="170" t="s">
        <v>275</v>
      </c>
      <c r="B351" s="36"/>
      <c r="C351" s="36"/>
      <c r="D351" s="36"/>
      <c r="E351" s="49"/>
      <c r="F351" s="340">
        <v>0.0</v>
      </c>
      <c r="G351" s="49"/>
      <c r="H351" s="39"/>
      <c r="I351" s="40"/>
      <c r="J351" s="40"/>
      <c r="K351" s="86"/>
      <c r="L351" s="1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8"/>
      <c r="AD351" s="8"/>
      <c r="AE351" s="8"/>
      <c r="AF351" s="8"/>
      <c r="AG351" s="8"/>
      <c r="AH351" s="1"/>
      <c r="AI351" s="1"/>
      <c r="AJ351" s="1"/>
      <c r="AK351" s="1"/>
    </row>
    <row r="352" ht="14.25" customHeight="1">
      <c r="A352" s="214" t="s">
        <v>11</v>
      </c>
      <c r="B352" s="19"/>
      <c r="C352" s="19"/>
      <c r="D352" s="19"/>
      <c r="E352" s="19"/>
      <c r="F352" s="19"/>
      <c r="G352" s="20"/>
      <c r="H352" s="341">
        <f>SUM(H347:K349)</f>
        <v>0</v>
      </c>
      <c r="I352" s="19"/>
      <c r="J352" s="19"/>
      <c r="K352" s="20"/>
      <c r="L352" s="1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8"/>
      <c r="AD352" s="8"/>
      <c r="AE352" s="8"/>
      <c r="AF352" s="8"/>
      <c r="AG352" s="8"/>
      <c r="AH352" s="1"/>
      <c r="AI352" s="1"/>
      <c r="AJ352" s="1"/>
      <c r="AK352" s="1"/>
    </row>
    <row r="353" ht="14.25" customHeight="1">
      <c r="A353" s="219"/>
      <c r="B353" s="219"/>
      <c r="C353" s="219"/>
      <c r="D353" s="219"/>
      <c r="E353" s="219"/>
      <c r="F353" s="219"/>
      <c r="G353" s="219"/>
      <c r="H353" s="342"/>
      <c r="I353" s="342"/>
      <c r="J353" s="342"/>
      <c r="K353" s="342"/>
      <c r="L353" s="1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8"/>
      <c r="AD353" s="8"/>
      <c r="AE353" s="8"/>
      <c r="AF353" s="8"/>
      <c r="AG353" s="8"/>
      <c r="AH353" s="1"/>
      <c r="AI353" s="1"/>
      <c r="AJ353" s="1"/>
      <c r="AK353" s="1"/>
    </row>
    <row r="354" ht="14.25" customHeight="1">
      <c r="A354" s="182" t="s">
        <v>276</v>
      </c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8"/>
      <c r="AD354" s="8"/>
      <c r="AE354" s="8"/>
      <c r="AF354" s="8"/>
      <c r="AG354" s="8"/>
      <c r="AH354" s="1"/>
      <c r="AI354" s="1"/>
      <c r="AJ354" s="1"/>
      <c r="A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8"/>
      <c r="AD355" s="8"/>
      <c r="AE355" s="8"/>
      <c r="AF355" s="8"/>
      <c r="AG355" s="8"/>
      <c r="AH355" s="1"/>
      <c r="AI355" s="1"/>
      <c r="AJ355" s="1"/>
      <c r="AK355" s="1"/>
    </row>
    <row r="356" ht="41.25" customHeight="1">
      <c r="A356" s="151" t="s">
        <v>277</v>
      </c>
      <c r="B356" s="19"/>
      <c r="C356" s="19"/>
      <c r="D356" s="19"/>
      <c r="E356" s="20"/>
      <c r="F356" s="151" t="s">
        <v>278</v>
      </c>
      <c r="G356" s="19"/>
      <c r="H356" s="20"/>
      <c r="I356" s="1"/>
      <c r="J356" s="1"/>
      <c r="K356" s="1"/>
      <c r="L356" s="1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8"/>
      <c r="AD356" s="8"/>
      <c r="AE356" s="8"/>
      <c r="AF356" s="8"/>
      <c r="AG356" s="8"/>
      <c r="AH356" s="1"/>
      <c r="AI356" s="1"/>
      <c r="AJ356" s="1"/>
      <c r="AK356" s="1"/>
    </row>
    <row r="357" ht="14.25" customHeight="1">
      <c r="A357" s="22" t="s">
        <v>279</v>
      </c>
      <c r="B357" s="23"/>
      <c r="C357" s="23"/>
      <c r="D357" s="23"/>
      <c r="E357" s="24"/>
      <c r="F357" s="343">
        <v>0.0</v>
      </c>
      <c r="G357" s="23"/>
      <c r="H357" s="24"/>
      <c r="I357" s="1"/>
      <c r="J357" s="1"/>
      <c r="K357" s="1"/>
      <c r="L357" s="1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8"/>
      <c r="AD357" s="8"/>
      <c r="AE357" s="8"/>
      <c r="AF357" s="8"/>
      <c r="AG357" s="8"/>
      <c r="AH357" s="1"/>
      <c r="AI357" s="1"/>
      <c r="AJ357" s="1"/>
      <c r="AK357" s="1"/>
    </row>
    <row r="358" ht="14.25" customHeight="1">
      <c r="A358" s="26" t="s">
        <v>280</v>
      </c>
      <c r="B358" s="27"/>
      <c r="C358" s="27"/>
      <c r="D358" s="27"/>
      <c r="E358" s="28"/>
      <c r="F358" s="344">
        <v>0.0</v>
      </c>
      <c r="G358" s="27"/>
      <c r="H358" s="28"/>
      <c r="I358" s="1"/>
      <c r="J358" s="1"/>
      <c r="K358" s="1"/>
      <c r="L358" s="1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8"/>
      <c r="AD358" s="8"/>
      <c r="AE358" s="8"/>
      <c r="AF358" s="8"/>
      <c r="AG358" s="8"/>
      <c r="AH358" s="1"/>
      <c r="AI358" s="1"/>
      <c r="AJ358" s="1"/>
      <c r="AK358" s="1"/>
    </row>
    <row r="359" ht="14.25" customHeight="1">
      <c r="A359" s="26" t="s">
        <v>281</v>
      </c>
      <c r="B359" s="27"/>
      <c r="C359" s="27"/>
      <c r="D359" s="27"/>
      <c r="E359" s="28"/>
      <c r="F359" s="344">
        <v>0.0</v>
      </c>
      <c r="G359" s="27"/>
      <c r="H359" s="28"/>
      <c r="I359" s="1"/>
      <c r="J359" s="1"/>
      <c r="K359" s="1"/>
      <c r="L359" s="1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8"/>
      <c r="AD359" s="8"/>
      <c r="AE359" s="8"/>
      <c r="AF359" s="8"/>
      <c r="AG359" s="8"/>
      <c r="AH359" s="1"/>
      <c r="AI359" s="1"/>
      <c r="AJ359" s="1"/>
      <c r="AK359" s="1"/>
    </row>
    <row r="360" ht="14.25" customHeight="1">
      <c r="A360" s="26" t="s">
        <v>282</v>
      </c>
      <c r="B360" s="27"/>
      <c r="C360" s="27"/>
      <c r="D360" s="27"/>
      <c r="E360" s="28"/>
      <c r="F360" s="344">
        <v>0.0</v>
      </c>
      <c r="G360" s="27"/>
      <c r="H360" s="28"/>
      <c r="I360" s="1"/>
      <c r="J360" s="1"/>
      <c r="K360" s="1"/>
      <c r="L360" s="1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8"/>
      <c r="AD360" s="8"/>
      <c r="AE360" s="8"/>
      <c r="AF360" s="8"/>
      <c r="AG360" s="8"/>
      <c r="AH360" s="1"/>
      <c r="AI360" s="1"/>
      <c r="AJ360" s="1"/>
      <c r="AK360" s="1"/>
    </row>
    <row r="361" ht="14.25" customHeight="1">
      <c r="A361" s="170" t="s">
        <v>283</v>
      </c>
      <c r="B361" s="36"/>
      <c r="C361" s="36"/>
      <c r="D361" s="36"/>
      <c r="E361" s="49"/>
      <c r="F361" s="345">
        <v>0.0</v>
      </c>
      <c r="G361" s="36"/>
      <c r="H361" s="49"/>
      <c r="I361" s="1"/>
      <c r="J361" s="1"/>
      <c r="K361" s="1"/>
      <c r="L361" s="1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8"/>
      <c r="AD361" s="8"/>
      <c r="AE361" s="8"/>
      <c r="AF361" s="8"/>
      <c r="AG361" s="8"/>
      <c r="AH361" s="1"/>
      <c r="AI361" s="1"/>
      <c r="AJ361" s="1"/>
      <c r="AK361" s="1"/>
    </row>
    <row r="362" ht="14.25" customHeight="1">
      <c r="A362" s="214" t="s">
        <v>11</v>
      </c>
      <c r="B362" s="19"/>
      <c r="C362" s="19"/>
      <c r="D362" s="19"/>
      <c r="E362" s="20"/>
      <c r="F362" s="346">
        <f>SUM(F357:H361)</f>
        <v>0</v>
      </c>
      <c r="G362" s="19"/>
      <c r="H362" s="20"/>
      <c r="I362" s="1"/>
      <c r="J362" s="1"/>
      <c r="K362" s="1"/>
      <c r="L362" s="1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8"/>
      <c r="AD362" s="8"/>
      <c r="AE362" s="8"/>
      <c r="AF362" s="8"/>
      <c r="AG362" s="8"/>
      <c r="AH362" s="1"/>
      <c r="AI362" s="1"/>
      <c r="AJ362" s="1"/>
      <c r="AK362" s="1"/>
    </row>
    <row r="363" ht="14.25" customHeight="1">
      <c r="A363" s="347" t="s">
        <v>284</v>
      </c>
      <c r="B363" s="46"/>
      <c r="C363" s="46"/>
      <c r="D363" s="46"/>
      <c r="E363" s="46"/>
      <c r="F363" s="1"/>
      <c r="G363" s="1"/>
      <c r="H363" s="1"/>
      <c r="I363" s="1"/>
      <c r="J363" s="1"/>
      <c r="K363" s="1"/>
      <c r="L363" s="1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8"/>
      <c r="AD363" s="8"/>
      <c r="AE363" s="8"/>
      <c r="AF363" s="8"/>
      <c r="AG363" s="8"/>
      <c r="AH363" s="1"/>
      <c r="AI363" s="1"/>
      <c r="AJ363" s="1"/>
      <c r="A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8"/>
      <c r="AD364" s="8"/>
      <c r="AE364" s="8"/>
      <c r="AF364" s="8"/>
      <c r="AG364" s="8"/>
      <c r="AH364" s="1"/>
      <c r="AI364" s="1"/>
      <c r="AJ364" s="1"/>
      <c r="A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8"/>
      <c r="AD365" s="8"/>
      <c r="AE365" s="8"/>
      <c r="AF365" s="8"/>
      <c r="AG365" s="8"/>
      <c r="AH365" s="1"/>
      <c r="AI365" s="1"/>
      <c r="AJ365" s="1"/>
      <c r="A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8"/>
      <c r="AD366" s="8"/>
      <c r="AE366" s="8"/>
      <c r="AF366" s="8"/>
      <c r="AG366" s="8"/>
      <c r="AH366" s="1"/>
      <c r="AI366" s="1"/>
      <c r="AJ366" s="1"/>
      <c r="A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722">
    <mergeCell ref="A4:L4"/>
    <mergeCell ref="A6:C6"/>
    <mergeCell ref="D6:I6"/>
    <mergeCell ref="A8:C8"/>
    <mergeCell ref="D8:F8"/>
    <mergeCell ref="H8:J8"/>
    <mergeCell ref="A10:L10"/>
    <mergeCell ref="M16:AB16"/>
    <mergeCell ref="M17:AB17"/>
    <mergeCell ref="M18:AB18"/>
    <mergeCell ref="M19:AB19"/>
    <mergeCell ref="A12:L12"/>
    <mergeCell ref="H13:J13"/>
    <mergeCell ref="A14:G14"/>
    <mergeCell ref="H14:J14"/>
    <mergeCell ref="M14:AB14"/>
    <mergeCell ref="H15:J15"/>
    <mergeCell ref="M15:AB15"/>
    <mergeCell ref="A15:G15"/>
    <mergeCell ref="A16:F16"/>
    <mergeCell ref="H16:J17"/>
    <mergeCell ref="A17:F17"/>
    <mergeCell ref="A18:G18"/>
    <mergeCell ref="H18:J18"/>
    <mergeCell ref="H19:J19"/>
    <mergeCell ref="A19:G19"/>
    <mergeCell ref="A20:G20"/>
    <mergeCell ref="H20:J20"/>
    <mergeCell ref="K20:R22"/>
    <mergeCell ref="A21:F21"/>
    <mergeCell ref="H21:J22"/>
    <mergeCell ref="A22:F22"/>
    <mergeCell ref="A24:L24"/>
    <mergeCell ref="A26:F26"/>
    <mergeCell ref="G26:J26"/>
    <mergeCell ref="A27:F27"/>
    <mergeCell ref="G27:J27"/>
    <mergeCell ref="A28:F28"/>
    <mergeCell ref="G28:J28"/>
    <mergeCell ref="A29:F29"/>
    <mergeCell ref="G29:J29"/>
    <mergeCell ref="A30:F30"/>
    <mergeCell ref="G30:J30"/>
    <mergeCell ref="A31:F31"/>
    <mergeCell ref="G31:J31"/>
    <mergeCell ref="G32:J32"/>
    <mergeCell ref="A32:F32"/>
    <mergeCell ref="A33:F33"/>
    <mergeCell ref="G33:J33"/>
    <mergeCell ref="M33:T33"/>
    <mergeCell ref="A35:L35"/>
    <mergeCell ref="A37:F37"/>
    <mergeCell ref="G37:J37"/>
    <mergeCell ref="A38:F38"/>
    <mergeCell ref="G38:J38"/>
    <mergeCell ref="A39:F39"/>
    <mergeCell ref="G39:J39"/>
    <mergeCell ref="A40:F40"/>
    <mergeCell ref="G40:J40"/>
    <mergeCell ref="G41:J41"/>
    <mergeCell ref="A41:F41"/>
    <mergeCell ref="A42:F42"/>
    <mergeCell ref="G42:J42"/>
    <mergeCell ref="A43:F43"/>
    <mergeCell ref="G43:J43"/>
    <mergeCell ref="G44:J44"/>
    <mergeCell ref="M44:T44"/>
    <mergeCell ref="A44:F44"/>
    <mergeCell ref="A46:L46"/>
    <mergeCell ref="A47:L47"/>
    <mergeCell ref="A48:L48"/>
    <mergeCell ref="H49:J49"/>
    <mergeCell ref="A50:G50"/>
    <mergeCell ref="H50:J50"/>
    <mergeCell ref="A55:G55"/>
    <mergeCell ref="H55:J55"/>
    <mergeCell ref="M55:Y55"/>
    <mergeCell ref="A51:G51"/>
    <mergeCell ref="H51:J51"/>
    <mergeCell ref="A52:F52"/>
    <mergeCell ref="H52:J53"/>
    <mergeCell ref="A53:F53"/>
    <mergeCell ref="A54:G54"/>
    <mergeCell ref="H54:J54"/>
    <mergeCell ref="A56:G56"/>
    <mergeCell ref="H56:J56"/>
    <mergeCell ref="A59:L59"/>
    <mergeCell ref="A61:H61"/>
    <mergeCell ref="M63:T63"/>
    <mergeCell ref="M65:W65"/>
    <mergeCell ref="M66:Y66"/>
    <mergeCell ref="A66:L66"/>
    <mergeCell ref="A68:B68"/>
    <mergeCell ref="C68:D68"/>
    <mergeCell ref="E68:F68"/>
    <mergeCell ref="A72:L72"/>
    <mergeCell ref="H74:K74"/>
    <mergeCell ref="H75:K75"/>
    <mergeCell ref="A75:G75"/>
    <mergeCell ref="A76:G76"/>
    <mergeCell ref="H76:K76"/>
    <mergeCell ref="A77:G77"/>
    <mergeCell ref="H77:K77"/>
    <mergeCell ref="A78:G78"/>
    <mergeCell ref="H78:K78"/>
    <mergeCell ref="A79:G79"/>
    <mergeCell ref="H79:K79"/>
    <mergeCell ref="A80:G80"/>
    <mergeCell ref="H80:K80"/>
    <mergeCell ref="L80:Y81"/>
    <mergeCell ref="A81:G81"/>
    <mergeCell ref="H81:K81"/>
    <mergeCell ref="M89:Y89"/>
    <mergeCell ref="M90:Y90"/>
    <mergeCell ref="A83:L83"/>
    <mergeCell ref="A85:L85"/>
    <mergeCell ref="A87:D88"/>
    <mergeCell ref="E87:L87"/>
    <mergeCell ref="A89:D89"/>
    <mergeCell ref="Z89:AC90"/>
    <mergeCell ref="A90:D90"/>
    <mergeCell ref="M95:Y95"/>
    <mergeCell ref="M96:Y96"/>
    <mergeCell ref="M97:Y97"/>
    <mergeCell ref="M98:T99"/>
    <mergeCell ref="A91:D91"/>
    <mergeCell ref="M91:Y91"/>
    <mergeCell ref="A92:D92"/>
    <mergeCell ref="M92:Y92"/>
    <mergeCell ref="A93:D93"/>
    <mergeCell ref="M93:AD93"/>
    <mergeCell ref="M94:AD94"/>
    <mergeCell ref="D112:E112"/>
    <mergeCell ref="D113:E113"/>
    <mergeCell ref="D105:E105"/>
    <mergeCell ref="D106:E106"/>
    <mergeCell ref="D107:E107"/>
    <mergeCell ref="D108:E108"/>
    <mergeCell ref="D109:E109"/>
    <mergeCell ref="D110:E110"/>
    <mergeCell ref="D111:E111"/>
    <mergeCell ref="G114:H114"/>
    <mergeCell ref="G115:H115"/>
    <mergeCell ref="G107:H107"/>
    <mergeCell ref="G108:H108"/>
    <mergeCell ref="G109:H109"/>
    <mergeCell ref="G110:H110"/>
    <mergeCell ref="G111:H111"/>
    <mergeCell ref="G112:H112"/>
    <mergeCell ref="G113:H113"/>
    <mergeCell ref="A113:B113"/>
    <mergeCell ref="A114:B114"/>
    <mergeCell ref="D114:E114"/>
    <mergeCell ref="A115:B115"/>
    <mergeCell ref="D115:E115"/>
    <mergeCell ref="D116:E116"/>
    <mergeCell ref="G116:H116"/>
    <mergeCell ref="A116:B116"/>
    <mergeCell ref="A117:B117"/>
    <mergeCell ref="D117:E117"/>
    <mergeCell ref="A118:B118"/>
    <mergeCell ref="D118:E118"/>
    <mergeCell ref="A119:B119"/>
    <mergeCell ref="A122:L122"/>
    <mergeCell ref="A94:D94"/>
    <mergeCell ref="A95:D95"/>
    <mergeCell ref="A96:D96"/>
    <mergeCell ref="A97:D97"/>
    <mergeCell ref="A98:D98"/>
    <mergeCell ref="F99:G99"/>
    <mergeCell ref="A100:L100"/>
    <mergeCell ref="A102:B102"/>
    <mergeCell ref="D102:E102"/>
    <mergeCell ref="G102:H102"/>
    <mergeCell ref="J102:K102"/>
    <mergeCell ref="D103:E103"/>
    <mergeCell ref="G103:H103"/>
    <mergeCell ref="J103:K103"/>
    <mergeCell ref="A103:B103"/>
    <mergeCell ref="A104:B104"/>
    <mergeCell ref="D104:E104"/>
    <mergeCell ref="G104:H104"/>
    <mergeCell ref="A105:B105"/>
    <mergeCell ref="G105:H105"/>
    <mergeCell ref="G106:H106"/>
    <mergeCell ref="J111:K111"/>
    <mergeCell ref="J112:K112"/>
    <mergeCell ref="J113:K113"/>
    <mergeCell ref="J114:K114"/>
    <mergeCell ref="J115:K115"/>
    <mergeCell ref="J104:K104"/>
    <mergeCell ref="J105:K105"/>
    <mergeCell ref="J106:K106"/>
    <mergeCell ref="J107:K107"/>
    <mergeCell ref="J108:K108"/>
    <mergeCell ref="J109:K109"/>
    <mergeCell ref="J110:K110"/>
    <mergeCell ref="A106:B106"/>
    <mergeCell ref="A107:B107"/>
    <mergeCell ref="A108:B108"/>
    <mergeCell ref="A109:B109"/>
    <mergeCell ref="A110:B110"/>
    <mergeCell ref="A111:B111"/>
    <mergeCell ref="A112:B112"/>
    <mergeCell ref="A120:B120"/>
    <mergeCell ref="A124:B124"/>
    <mergeCell ref="C124:D124"/>
    <mergeCell ref="E124:F124"/>
    <mergeCell ref="G124:H124"/>
    <mergeCell ref="I124:J124"/>
    <mergeCell ref="K124:L124"/>
    <mergeCell ref="C131:D131"/>
    <mergeCell ref="E131:F131"/>
    <mergeCell ref="A135:B136"/>
    <mergeCell ref="C135:G135"/>
    <mergeCell ref="C136:D136"/>
    <mergeCell ref="A137:B137"/>
    <mergeCell ref="C137:D137"/>
    <mergeCell ref="G131:H131"/>
    <mergeCell ref="I131:J131"/>
    <mergeCell ref="M132:V133"/>
    <mergeCell ref="A133:L133"/>
    <mergeCell ref="M134:Z134"/>
    <mergeCell ref="M135:Z135"/>
    <mergeCell ref="M136:Z136"/>
    <mergeCell ref="M137:Z137"/>
    <mergeCell ref="M138:Z138"/>
    <mergeCell ref="A139:L139"/>
    <mergeCell ref="M139:Z139"/>
    <mergeCell ref="A141:L141"/>
    <mergeCell ref="A143:C143"/>
    <mergeCell ref="D143:F143"/>
    <mergeCell ref="G143:I143"/>
    <mergeCell ref="M143:Y143"/>
    <mergeCell ref="M144:Y144"/>
    <mergeCell ref="M145:AD145"/>
    <mergeCell ref="I151:U151"/>
    <mergeCell ref="I152:U152"/>
    <mergeCell ref="I153:U153"/>
    <mergeCell ref="G169:S169"/>
    <mergeCell ref="G170:S170"/>
    <mergeCell ref="G171:S171"/>
    <mergeCell ref="G172:S172"/>
    <mergeCell ref="G173:S173"/>
    <mergeCell ref="G174:S174"/>
    <mergeCell ref="I154:U154"/>
    <mergeCell ref="I155:U155"/>
    <mergeCell ref="I156:U156"/>
    <mergeCell ref="I157:U157"/>
    <mergeCell ref="M162:Y162"/>
    <mergeCell ref="M163:Y163"/>
    <mergeCell ref="G168:S168"/>
    <mergeCell ref="G126:H126"/>
    <mergeCell ref="I126:J126"/>
    <mergeCell ref="G127:H127"/>
    <mergeCell ref="I127:J127"/>
    <mergeCell ref="K127:L127"/>
    <mergeCell ref="G128:H128"/>
    <mergeCell ref="I128:J128"/>
    <mergeCell ref="K128:L128"/>
    <mergeCell ref="A125:B125"/>
    <mergeCell ref="C125:D125"/>
    <mergeCell ref="E125:F125"/>
    <mergeCell ref="G125:H125"/>
    <mergeCell ref="I125:J125"/>
    <mergeCell ref="K125:L125"/>
    <mergeCell ref="A126:B126"/>
    <mergeCell ref="K126:L126"/>
    <mergeCell ref="A128:B128"/>
    <mergeCell ref="A129:B129"/>
    <mergeCell ref="C129:D129"/>
    <mergeCell ref="E129:F129"/>
    <mergeCell ref="G129:H129"/>
    <mergeCell ref="I129:J129"/>
    <mergeCell ref="K129:L129"/>
    <mergeCell ref="C126:D126"/>
    <mergeCell ref="E126:F126"/>
    <mergeCell ref="A127:B127"/>
    <mergeCell ref="C127:D127"/>
    <mergeCell ref="E127:F127"/>
    <mergeCell ref="C128:D128"/>
    <mergeCell ref="E128:F128"/>
    <mergeCell ref="A130:B130"/>
    <mergeCell ref="C130:D130"/>
    <mergeCell ref="E130:F130"/>
    <mergeCell ref="G130:H130"/>
    <mergeCell ref="I130:J130"/>
    <mergeCell ref="K130:L130"/>
    <mergeCell ref="A131:B131"/>
    <mergeCell ref="K131:L131"/>
    <mergeCell ref="H135:I136"/>
    <mergeCell ref="H137:I137"/>
    <mergeCell ref="A144:C144"/>
    <mergeCell ref="D144:F144"/>
    <mergeCell ref="G144:I144"/>
    <mergeCell ref="A146:L147"/>
    <mergeCell ref="C149:D149"/>
    <mergeCell ref="E149:F149"/>
    <mergeCell ref="G149:H149"/>
    <mergeCell ref="D173:E173"/>
    <mergeCell ref="D174:E174"/>
    <mergeCell ref="D175:E175"/>
    <mergeCell ref="A177:J177"/>
    <mergeCell ref="A172:B172"/>
    <mergeCell ref="A173:B173"/>
    <mergeCell ref="A174:B174"/>
    <mergeCell ref="A175:B175"/>
    <mergeCell ref="A179:B179"/>
    <mergeCell ref="C179:D179"/>
    <mergeCell ref="E179:F179"/>
    <mergeCell ref="E181:F181"/>
    <mergeCell ref="G181:H181"/>
    <mergeCell ref="A180:B180"/>
    <mergeCell ref="C180:D180"/>
    <mergeCell ref="E180:F180"/>
    <mergeCell ref="G180:H180"/>
    <mergeCell ref="I180:J180"/>
    <mergeCell ref="C181:D181"/>
    <mergeCell ref="I181:J181"/>
    <mergeCell ref="A149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F159:G159"/>
    <mergeCell ref="A160:I160"/>
    <mergeCell ref="A162:C162"/>
    <mergeCell ref="D162:F162"/>
    <mergeCell ref="G162:I162"/>
    <mergeCell ref="D166:E167"/>
    <mergeCell ref="D168:E168"/>
    <mergeCell ref="A163:C163"/>
    <mergeCell ref="D163:F163"/>
    <mergeCell ref="G163:I163"/>
    <mergeCell ref="A164:K165"/>
    <mergeCell ref="A166:B167"/>
    <mergeCell ref="C166:C167"/>
    <mergeCell ref="A168:B168"/>
    <mergeCell ref="A169:B169"/>
    <mergeCell ref="D169:E169"/>
    <mergeCell ref="A170:B170"/>
    <mergeCell ref="D170:E170"/>
    <mergeCell ref="A171:B171"/>
    <mergeCell ref="D171:E171"/>
    <mergeCell ref="D172:E172"/>
    <mergeCell ref="G179:H179"/>
    <mergeCell ref="I179:J179"/>
    <mergeCell ref="C183:D183"/>
    <mergeCell ref="E183:F183"/>
    <mergeCell ref="G183:H183"/>
    <mergeCell ref="I183:J183"/>
    <mergeCell ref="A181:B181"/>
    <mergeCell ref="A182:B182"/>
    <mergeCell ref="C182:D182"/>
    <mergeCell ref="E182:F182"/>
    <mergeCell ref="G182:H182"/>
    <mergeCell ref="I182:J182"/>
    <mergeCell ref="A183:B183"/>
    <mergeCell ref="E185:F185"/>
    <mergeCell ref="G185:H185"/>
    <mergeCell ref="A184:B184"/>
    <mergeCell ref="C184:D184"/>
    <mergeCell ref="E184:F184"/>
    <mergeCell ref="G184:H184"/>
    <mergeCell ref="I184:J184"/>
    <mergeCell ref="C185:D185"/>
    <mergeCell ref="I185:J185"/>
    <mergeCell ref="C187:D187"/>
    <mergeCell ref="E187:F187"/>
    <mergeCell ref="G187:H187"/>
    <mergeCell ref="I187:J187"/>
    <mergeCell ref="A185:B185"/>
    <mergeCell ref="A186:B186"/>
    <mergeCell ref="C186:D186"/>
    <mergeCell ref="E186:F186"/>
    <mergeCell ref="G186:H186"/>
    <mergeCell ref="I186:J186"/>
    <mergeCell ref="A187:B187"/>
    <mergeCell ref="E240:F240"/>
    <mergeCell ref="G240:H240"/>
    <mergeCell ref="A241:D241"/>
    <mergeCell ref="E241:F241"/>
    <mergeCell ref="G241:H241"/>
    <mergeCell ref="I241:J241"/>
    <mergeCell ref="K241:L241"/>
    <mergeCell ref="M248:Y249"/>
    <mergeCell ref="A249:B249"/>
    <mergeCell ref="D249:E249"/>
    <mergeCell ref="G249:H249"/>
    <mergeCell ref="J249:K249"/>
    <mergeCell ref="M250:Y250"/>
    <mergeCell ref="A242:D242"/>
    <mergeCell ref="E242:F242"/>
    <mergeCell ref="G242:H242"/>
    <mergeCell ref="I242:J242"/>
    <mergeCell ref="K242:L242"/>
    <mergeCell ref="F243:G243"/>
    <mergeCell ref="A244:L244"/>
    <mergeCell ref="G229:H229"/>
    <mergeCell ref="I229:J229"/>
    <mergeCell ref="A228:D228"/>
    <mergeCell ref="E228:F228"/>
    <mergeCell ref="G228:H228"/>
    <mergeCell ref="I228:J228"/>
    <mergeCell ref="K228:L228"/>
    <mergeCell ref="E229:F229"/>
    <mergeCell ref="K229:L229"/>
    <mergeCell ref="A229:D229"/>
    <mergeCell ref="A230:D230"/>
    <mergeCell ref="E230:F230"/>
    <mergeCell ref="G230:H230"/>
    <mergeCell ref="I230:J230"/>
    <mergeCell ref="K230:L230"/>
    <mergeCell ref="A232:L232"/>
    <mergeCell ref="E236:F236"/>
    <mergeCell ref="G236:H236"/>
    <mergeCell ref="I236:J236"/>
    <mergeCell ref="K236:L236"/>
    <mergeCell ref="A234:D235"/>
    <mergeCell ref="E234:F235"/>
    <mergeCell ref="G234:J234"/>
    <mergeCell ref="K234:L235"/>
    <mergeCell ref="G235:H235"/>
    <mergeCell ref="I235:J235"/>
    <mergeCell ref="A236:D236"/>
    <mergeCell ref="D247:E247"/>
    <mergeCell ref="D248:E248"/>
    <mergeCell ref="A250:B250"/>
    <mergeCell ref="D250:E250"/>
    <mergeCell ref="G250:H250"/>
    <mergeCell ref="J250:K250"/>
    <mergeCell ref="A252:L252"/>
    <mergeCell ref="E257:F257"/>
    <mergeCell ref="G257:H257"/>
    <mergeCell ref="I257:J257"/>
    <mergeCell ref="K257:L257"/>
    <mergeCell ref="A254:L254"/>
    <mergeCell ref="A256:D256"/>
    <mergeCell ref="E256:F256"/>
    <mergeCell ref="G256:H256"/>
    <mergeCell ref="I256:J256"/>
    <mergeCell ref="K256:L256"/>
    <mergeCell ref="A257:D257"/>
    <mergeCell ref="G259:H259"/>
    <mergeCell ref="I259:J259"/>
    <mergeCell ref="M259:Y259"/>
    <mergeCell ref="M260:Y260"/>
    <mergeCell ref="E261:F261"/>
    <mergeCell ref="G261:H261"/>
    <mergeCell ref="I261:J261"/>
    <mergeCell ref="K261:L261"/>
    <mergeCell ref="M261:Y261"/>
    <mergeCell ref="A262:D262"/>
    <mergeCell ref="E262:F262"/>
    <mergeCell ref="G262:H262"/>
    <mergeCell ref="I262:J262"/>
    <mergeCell ref="K262:L262"/>
    <mergeCell ref="M262:Y262"/>
    <mergeCell ref="A258:D258"/>
    <mergeCell ref="E258:F258"/>
    <mergeCell ref="G258:H258"/>
    <mergeCell ref="I258:J258"/>
    <mergeCell ref="K258:L258"/>
    <mergeCell ref="E259:F259"/>
    <mergeCell ref="K259:L259"/>
    <mergeCell ref="A259:D259"/>
    <mergeCell ref="A260:D260"/>
    <mergeCell ref="E260:F260"/>
    <mergeCell ref="G260:H260"/>
    <mergeCell ref="I260:J260"/>
    <mergeCell ref="K260:L260"/>
    <mergeCell ref="A261:D261"/>
    <mergeCell ref="F263:G263"/>
    <mergeCell ref="A264:L264"/>
    <mergeCell ref="A266:D267"/>
    <mergeCell ref="E266:L266"/>
    <mergeCell ref="A268:D268"/>
    <mergeCell ref="A269:D269"/>
    <mergeCell ref="A270:D270"/>
    <mergeCell ref="A271:D271"/>
    <mergeCell ref="A272:D272"/>
    <mergeCell ref="A273:D273"/>
    <mergeCell ref="A274:D274"/>
    <mergeCell ref="M274:Y275"/>
    <mergeCell ref="A276:L276"/>
    <mergeCell ref="E278:L278"/>
    <mergeCell ref="A286:D286"/>
    <mergeCell ref="M286:Y286"/>
    <mergeCell ref="A288:L288"/>
    <mergeCell ref="A290:L290"/>
    <mergeCell ref="A278:D279"/>
    <mergeCell ref="A280:D280"/>
    <mergeCell ref="A281:D281"/>
    <mergeCell ref="A282:D282"/>
    <mergeCell ref="A283:D283"/>
    <mergeCell ref="A284:D284"/>
    <mergeCell ref="A285:D285"/>
    <mergeCell ref="A292:B293"/>
    <mergeCell ref="C292:D292"/>
    <mergeCell ref="E292:F292"/>
    <mergeCell ref="G292:H292"/>
    <mergeCell ref="A294:B294"/>
    <mergeCell ref="A295:B295"/>
    <mergeCell ref="A296:B296"/>
    <mergeCell ref="I326:J326"/>
    <mergeCell ref="K326:L326"/>
    <mergeCell ref="A323:L323"/>
    <mergeCell ref="A325:F325"/>
    <mergeCell ref="G325:L325"/>
    <mergeCell ref="A326:B326"/>
    <mergeCell ref="C326:D326"/>
    <mergeCell ref="E326:F326"/>
    <mergeCell ref="G326:H326"/>
    <mergeCell ref="A331:L331"/>
    <mergeCell ref="A333:L333"/>
    <mergeCell ref="A334:B334"/>
    <mergeCell ref="C334:D334"/>
    <mergeCell ref="E334:F334"/>
    <mergeCell ref="G334:J334"/>
    <mergeCell ref="K334:L334"/>
    <mergeCell ref="A335:B335"/>
    <mergeCell ref="C335:D335"/>
    <mergeCell ref="E335:F335"/>
    <mergeCell ref="G335:J335"/>
    <mergeCell ref="K335:L335"/>
    <mergeCell ref="A337:L337"/>
    <mergeCell ref="A339:C339"/>
    <mergeCell ref="A340:C340"/>
    <mergeCell ref="A342:L342"/>
    <mergeCell ref="A344:L344"/>
    <mergeCell ref="A346:G346"/>
    <mergeCell ref="H346:K346"/>
    <mergeCell ref="A347:G347"/>
    <mergeCell ref="H347:K347"/>
    <mergeCell ref="A348:G348"/>
    <mergeCell ref="H348:K348"/>
    <mergeCell ref="A349:G349"/>
    <mergeCell ref="H349:K349"/>
    <mergeCell ref="A350:E350"/>
    <mergeCell ref="F350:G350"/>
    <mergeCell ref="H350:K351"/>
    <mergeCell ref="A351:E351"/>
    <mergeCell ref="F351:G351"/>
    <mergeCell ref="A352:G352"/>
    <mergeCell ref="H352:K352"/>
    <mergeCell ref="A354:L354"/>
    <mergeCell ref="A356:E356"/>
    <mergeCell ref="F356:H356"/>
    <mergeCell ref="A360:E360"/>
    <mergeCell ref="A361:E361"/>
    <mergeCell ref="F361:H361"/>
    <mergeCell ref="A362:E362"/>
    <mergeCell ref="F362:H362"/>
    <mergeCell ref="A363:E363"/>
    <mergeCell ref="A357:E357"/>
    <mergeCell ref="F357:H357"/>
    <mergeCell ref="A358:E358"/>
    <mergeCell ref="F358:H358"/>
    <mergeCell ref="A359:E359"/>
    <mergeCell ref="F359:H359"/>
    <mergeCell ref="F360:H360"/>
    <mergeCell ref="C305:D305"/>
    <mergeCell ref="E305:F305"/>
    <mergeCell ref="A297:B297"/>
    <mergeCell ref="A298:B298"/>
    <mergeCell ref="A299:B299"/>
    <mergeCell ref="A300:B300"/>
    <mergeCell ref="A301:B301"/>
    <mergeCell ref="A303:L303"/>
    <mergeCell ref="G305:H305"/>
    <mergeCell ref="I320:J320"/>
    <mergeCell ref="K320:L320"/>
    <mergeCell ref="A313:B313"/>
    <mergeCell ref="A314:B314"/>
    <mergeCell ref="A316:L316"/>
    <mergeCell ref="A318:L318"/>
    <mergeCell ref="C320:D320"/>
    <mergeCell ref="E320:F320"/>
    <mergeCell ref="G320:H320"/>
    <mergeCell ref="A305:B306"/>
    <mergeCell ref="A307:B307"/>
    <mergeCell ref="A308:B308"/>
    <mergeCell ref="A309:B309"/>
    <mergeCell ref="A310:B310"/>
    <mergeCell ref="A311:B311"/>
    <mergeCell ref="A312:B312"/>
    <mergeCell ref="A320:B320"/>
    <mergeCell ref="A321:B321"/>
    <mergeCell ref="C321:D321"/>
    <mergeCell ref="E321:F321"/>
    <mergeCell ref="G321:H321"/>
    <mergeCell ref="I321:J321"/>
    <mergeCell ref="K321:L321"/>
    <mergeCell ref="A327:B327"/>
    <mergeCell ref="C327:D327"/>
    <mergeCell ref="E327:F327"/>
    <mergeCell ref="G327:H327"/>
    <mergeCell ref="I327:J327"/>
    <mergeCell ref="K327:L327"/>
    <mergeCell ref="A329:L329"/>
    <mergeCell ref="A209:C209"/>
    <mergeCell ref="D209:F209"/>
    <mergeCell ref="G209:I209"/>
    <mergeCell ref="J209:L209"/>
    <mergeCell ref="D210:F210"/>
    <mergeCell ref="G210:I210"/>
    <mergeCell ref="J210:L210"/>
    <mergeCell ref="A210:C210"/>
    <mergeCell ref="A211:C211"/>
    <mergeCell ref="D211:F211"/>
    <mergeCell ref="G211:I211"/>
    <mergeCell ref="J211:L211"/>
    <mergeCell ref="A212:C212"/>
    <mergeCell ref="D212:F212"/>
    <mergeCell ref="A213:C213"/>
    <mergeCell ref="D213:F213"/>
    <mergeCell ref="G213:I213"/>
    <mergeCell ref="J213:L213"/>
    <mergeCell ref="D214:F214"/>
    <mergeCell ref="G214:I214"/>
    <mergeCell ref="J214:L214"/>
    <mergeCell ref="A214:C214"/>
    <mergeCell ref="A215:C215"/>
    <mergeCell ref="D215:F215"/>
    <mergeCell ref="G215:I215"/>
    <mergeCell ref="J215:L215"/>
    <mergeCell ref="A217:L217"/>
    <mergeCell ref="A219:L219"/>
    <mergeCell ref="A189:L189"/>
    <mergeCell ref="A191:F191"/>
    <mergeCell ref="A193:D194"/>
    <mergeCell ref="E193:F194"/>
    <mergeCell ref="A195:D195"/>
    <mergeCell ref="E195:F195"/>
    <mergeCell ref="E196:L196"/>
    <mergeCell ref="A197:M197"/>
    <mergeCell ref="A199:L199"/>
    <mergeCell ref="E201:L201"/>
    <mergeCell ref="E202:F202"/>
    <mergeCell ref="G202:H202"/>
    <mergeCell ref="I202:J202"/>
    <mergeCell ref="K202:L202"/>
    <mergeCell ref="A201:D202"/>
    <mergeCell ref="E203:F203"/>
    <mergeCell ref="G203:H203"/>
    <mergeCell ref="I203:J203"/>
    <mergeCell ref="K203:L203"/>
    <mergeCell ref="F204:G204"/>
    <mergeCell ref="A205:L205"/>
    <mergeCell ref="G208:I208"/>
    <mergeCell ref="J208:L208"/>
    <mergeCell ref="A203:D203"/>
    <mergeCell ref="A207:C207"/>
    <mergeCell ref="D207:F207"/>
    <mergeCell ref="G207:I207"/>
    <mergeCell ref="J207:L207"/>
    <mergeCell ref="A208:C208"/>
    <mergeCell ref="D208:F208"/>
    <mergeCell ref="G212:I212"/>
    <mergeCell ref="J212:L212"/>
    <mergeCell ref="E223:F223"/>
    <mergeCell ref="G223:H223"/>
    <mergeCell ref="I223:J223"/>
    <mergeCell ref="K223:L223"/>
    <mergeCell ref="A221:D222"/>
    <mergeCell ref="E221:F222"/>
    <mergeCell ref="G221:J221"/>
    <mergeCell ref="K221:L222"/>
    <mergeCell ref="G222:H222"/>
    <mergeCell ref="I222:J222"/>
    <mergeCell ref="A223:D223"/>
    <mergeCell ref="G225:H225"/>
    <mergeCell ref="I225:J225"/>
    <mergeCell ref="A224:D224"/>
    <mergeCell ref="E224:F224"/>
    <mergeCell ref="G224:H224"/>
    <mergeCell ref="I224:J224"/>
    <mergeCell ref="K224:L224"/>
    <mergeCell ref="E225:F225"/>
    <mergeCell ref="K225:L225"/>
    <mergeCell ref="E227:F227"/>
    <mergeCell ref="G227:H227"/>
    <mergeCell ref="I227:J227"/>
    <mergeCell ref="K227:L227"/>
    <mergeCell ref="A225:D225"/>
    <mergeCell ref="A226:D226"/>
    <mergeCell ref="E226:F226"/>
    <mergeCell ref="G226:H226"/>
    <mergeCell ref="I226:J226"/>
    <mergeCell ref="K226:L226"/>
    <mergeCell ref="A227:D227"/>
    <mergeCell ref="G238:H238"/>
    <mergeCell ref="I238:J238"/>
    <mergeCell ref="A237:D237"/>
    <mergeCell ref="E237:F237"/>
    <mergeCell ref="G237:H237"/>
    <mergeCell ref="I237:J237"/>
    <mergeCell ref="K237:L237"/>
    <mergeCell ref="E238:F238"/>
    <mergeCell ref="K238:L238"/>
    <mergeCell ref="I240:J240"/>
    <mergeCell ref="K240:L240"/>
    <mergeCell ref="A238:D238"/>
    <mergeCell ref="A239:D239"/>
    <mergeCell ref="E239:F239"/>
    <mergeCell ref="G239:H239"/>
    <mergeCell ref="I239:J239"/>
    <mergeCell ref="K239:L239"/>
    <mergeCell ref="A240:D240"/>
    <mergeCell ref="J247:K247"/>
    <mergeCell ref="J248:K248"/>
    <mergeCell ref="A246:B247"/>
    <mergeCell ref="C246:E246"/>
    <mergeCell ref="F246:H246"/>
    <mergeCell ref="I246:K246"/>
    <mergeCell ref="G247:H247"/>
    <mergeCell ref="A248:B248"/>
    <mergeCell ref="G248:H248"/>
  </mergeCells>
  <dataValidations>
    <dataValidation type="decimal" operator="greaterThanOrEqual" allowBlank="1" showErrorMessage="1" sqref="A58:H58 A64:F64 H64 J63:J64 G132:H132 K132:L132 C159:F159 H159 J159:L159 C176:E176 G176:H176 D198:L198 A204:F204 H204:L204 D216:L216 E231:L231 G248 J248 D248:D250 G250 J250 E275:L275 C302:L302 H347:H349 F350:F351 H352 H353:K353 F357:F362">
      <formula1>0.0</formula1>
    </dataValidation>
    <dataValidation type="decimal" operator="greaterThan" allowBlank="1" showErrorMessage="1" sqref="H14:H15 G16:G17 H18:H20 G21:G22 G23:J23 G27:G33 G34:J34 G36:J36 G38:G44 G45:J45 H50:H51 G52:H52 G53 H54:H56 A63:H63 A70:F70 H75:H81 E89:L98 L103:L115 I103:I116 F103:F118 C103:C120 C125:C130 G125:G131 K125:K131 A137 C137 E137:H137 A144 D144 G144 C151:H158 A163 D163 G163 C168:D175 C180:C187 E180:E187 G180:G187 I180:I187 E193 A203 E203 G203 I203 K203 D208:D215 G208:G215 J208:J215 E223:E230 G223:G230 I223:I230 K223:K230 E236:E242 G236:G242 I236:I242 K236:K242 C248:C250 F248:F250 I248:I250 E257:E262 G257:G262 I257:I262 K257:K262 E268:L274 E280:L286 C294:H301 C307:H314 A321 C321 E321 A327 C327 E327 G327 I327 K327 A335 C335 E335 G335 K335 A340">
      <formula1>-1.0</formula1>
    </dataValidation>
  </dataValidations>
  <printOptions/>
  <pageMargins bottom="0.75" footer="0.0" header="0.0" left="0.25" right="0.25" top="0.75"/>
  <pageSetup orientation="portrait"/>
  <headerFooter>
    <oddFooter>&amp;C </oddFooter>
  </headerFooter>
  <rowBreaks count="7" manualBreakCount="7">
    <brk id="65" man="1"/>
    <brk id="145" man="1"/>
    <brk id="99" man="1"/>
    <brk id="216" man="1"/>
    <brk id="251" man="1"/>
    <brk id="188" man="1"/>
    <brk id="28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8.29"/>
    <col customWidth="1" min="3" max="3" width="9.0"/>
    <col customWidth="1" min="4" max="4" width="8.0"/>
    <col customWidth="1" min="5" max="5" width="8.86"/>
    <col customWidth="1" min="6" max="6" width="8.0"/>
    <col customWidth="1" min="7" max="7" width="9.29"/>
    <col customWidth="1" min="8" max="8" width="7.43"/>
    <col customWidth="1" min="9" max="9" width="11.57"/>
    <col customWidth="1" min="10" max="10" width="8.0"/>
    <col customWidth="1" min="11" max="11" width="7.29"/>
    <col customWidth="1" min="12" max="12" width="8.43"/>
    <col customWidth="1" min="13" max="13" width="7.71"/>
    <col customWidth="1" min="14" max="14" width="9.0"/>
    <col customWidth="1" min="15" max="15" width="8.86"/>
    <col customWidth="1" min="16" max="16" width="8.29"/>
    <col customWidth="1" min="17" max="17" width="9.14"/>
    <col customWidth="1" min="18" max="18" width="9.29"/>
    <col customWidth="1" min="19" max="41" width="9.14"/>
  </cols>
  <sheetData>
    <row r="1" ht="14.25" customHeight="1">
      <c r="A1" s="244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348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</row>
    <row r="2" ht="14.25" customHeight="1">
      <c r="A2" s="244"/>
      <c r="B2" s="244"/>
      <c r="C2" s="244"/>
      <c r="D2" s="244"/>
      <c r="E2" s="244"/>
      <c r="F2" s="244"/>
      <c r="G2" s="244"/>
      <c r="H2" s="244"/>
      <c r="I2" s="349"/>
      <c r="J2" s="244"/>
      <c r="K2" s="244"/>
      <c r="L2" s="244"/>
      <c r="M2" s="244"/>
      <c r="N2" s="348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</row>
    <row r="3" ht="14.25" customHeight="1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348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  <c r="AJ3" s="244"/>
      <c r="AK3" s="244"/>
      <c r="AL3" s="244"/>
      <c r="AM3" s="244"/>
      <c r="AN3" s="244"/>
      <c r="AO3" s="244"/>
    </row>
    <row r="4" ht="14.25" customHeight="1">
      <c r="A4" s="350" t="s">
        <v>285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</row>
    <row r="5" ht="14.25" customHeight="1">
      <c r="A5" s="244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348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</row>
    <row r="6" ht="14.25" customHeight="1">
      <c r="A6" s="244"/>
      <c r="B6" s="244"/>
      <c r="C6" s="244"/>
      <c r="D6" s="244"/>
      <c r="E6" s="65" t="s">
        <v>1</v>
      </c>
      <c r="F6" s="12"/>
      <c r="G6" s="13"/>
      <c r="H6" s="351"/>
      <c r="I6" s="352"/>
      <c r="J6" s="352"/>
      <c r="K6" s="352"/>
      <c r="L6" s="352"/>
      <c r="M6" s="353"/>
      <c r="N6" s="244"/>
      <c r="O6" s="111" t="str">
        <f>IF(H6="", "You must enter an Institution name", "")</f>
        <v>You must enter an Institution name</v>
      </c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</row>
    <row r="7" ht="14.25" customHeight="1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348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</row>
    <row r="8" ht="14.25" customHeight="1">
      <c r="A8" s="244"/>
      <c r="B8" s="244"/>
      <c r="C8" s="244"/>
      <c r="D8" s="244"/>
      <c r="E8" s="333" t="s">
        <v>2</v>
      </c>
      <c r="F8" s="333"/>
      <c r="G8" s="333"/>
      <c r="H8" s="354">
        <v>45748.0</v>
      </c>
      <c r="I8" s="7"/>
      <c r="J8" s="7"/>
      <c r="K8" s="355" t="s">
        <v>3</v>
      </c>
      <c r="L8" s="354">
        <v>46112.0</v>
      </c>
      <c r="M8" s="7"/>
      <c r="N8" s="7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</row>
    <row r="9" ht="14.25" customHeight="1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348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</row>
    <row r="10" ht="14.25" customHeight="1">
      <c r="A10" s="356" t="s">
        <v>286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</row>
    <row r="11" ht="14.25" customHeight="1">
      <c r="A11" s="357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8"/>
      <c r="N11" s="348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</row>
    <row r="12" ht="14.25" customHeight="1">
      <c r="A12" s="359" t="s">
        <v>287</v>
      </c>
      <c r="B12" s="12"/>
      <c r="C12" s="12"/>
      <c r="D12" s="12"/>
      <c r="E12" s="12"/>
      <c r="F12" s="12"/>
      <c r="G12" s="12"/>
      <c r="H12" s="12"/>
      <c r="I12" s="12"/>
      <c r="J12" s="13"/>
      <c r="K12" s="244"/>
      <c r="L12" s="244"/>
      <c r="M12" s="244"/>
      <c r="N12" s="348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</row>
    <row r="13" ht="14.25" customHeight="1">
      <c r="A13" s="244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348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</row>
    <row r="14" ht="14.25" customHeight="1">
      <c r="A14" s="244"/>
      <c r="B14" s="244"/>
      <c r="C14" s="244"/>
      <c r="D14" s="244"/>
      <c r="E14" s="244"/>
      <c r="F14" s="244"/>
      <c r="G14" s="244"/>
      <c r="H14" s="42" t="s">
        <v>6</v>
      </c>
      <c r="I14" s="19"/>
      <c r="J14" s="20"/>
      <c r="K14" s="360"/>
      <c r="L14" s="244"/>
      <c r="M14" s="244"/>
      <c r="N14" s="348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</row>
    <row r="15" ht="14.25" customHeight="1">
      <c r="A15" s="67" t="s">
        <v>7</v>
      </c>
      <c r="B15" s="23"/>
      <c r="C15" s="23"/>
      <c r="D15" s="23"/>
      <c r="E15" s="23"/>
      <c r="F15" s="23"/>
      <c r="G15" s="24"/>
      <c r="H15" s="79">
        <v>0.0</v>
      </c>
      <c r="I15" s="23"/>
      <c r="J15" s="24"/>
      <c r="K15" s="317"/>
      <c r="L15" s="244"/>
      <c r="M15" s="244"/>
      <c r="N15" s="348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</row>
    <row r="16" ht="14.25" customHeight="1">
      <c r="A16" s="361" t="s">
        <v>8</v>
      </c>
      <c r="B16" s="82"/>
      <c r="C16" s="82"/>
      <c r="D16" s="82"/>
      <c r="E16" s="82"/>
      <c r="F16" s="82"/>
      <c r="G16" s="83"/>
      <c r="H16" s="70">
        <f>SUM(G17:G18)</f>
        <v>0</v>
      </c>
      <c r="I16" s="27"/>
      <c r="J16" s="28"/>
      <c r="K16" s="334"/>
      <c r="L16" s="244"/>
      <c r="M16" s="244"/>
      <c r="N16" s="348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</row>
    <row r="17" ht="14.25" customHeight="1">
      <c r="A17" s="30" t="s">
        <v>9</v>
      </c>
      <c r="B17" s="27"/>
      <c r="C17" s="27"/>
      <c r="D17" s="27"/>
      <c r="E17" s="27"/>
      <c r="F17" s="28"/>
      <c r="G17" s="84">
        <v>0.0</v>
      </c>
      <c r="H17" s="362"/>
      <c r="I17" s="33"/>
      <c r="J17" s="54"/>
      <c r="K17" s="334"/>
      <c r="L17" s="244"/>
      <c r="M17" s="244"/>
      <c r="N17" s="348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</row>
    <row r="18" ht="14.25" customHeight="1">
      <c r="A18" s="363" t="s">
        <v>10</v>
      </c>
      <c r="B18" s="364"/>
      <c r="C18" s="364"/>
      <c r="D18" s="364"/>
      <c r="E18" s="364"/>
      <c r="F18" s="365"/>
      <c r="G18" s="38">
        <v>0.0</v>
      </c>
      <c r="H18" s="366"/>
      <c r="I18" s="40"/>
      <c r="J18" s="86"/>
      <c r="K18" s="334"/>
      <c r="L18" s="244"/>
      <c r="M18" s="244"/>
      <c r="N18" s="348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</row>
    <row r="19" ht="14.25" customHeight="1">
      <c r="A19" s="73" t="s">
        <v>11</v>
      </c>
      <c r="B19" s="19"/>
      <c r="C19" s="19"/>
      <c r="D19" s="19"/>
      <c r="E19" s="19"/>
      <c r="F19" s="19"/>
      <c r="G19" s="43"/>
      <c r="H19" s="42">
        <f>SUM(H15:J16)</f>
        <v>0</v>
      </c>
      <c r="I19" s="19"/>
      <c r="J19" s="20"/>
      <c r="K19" s="334"/>
      <c r="L19" s="244"/>
      <c r="M19" s="244"/>
      <c r="N19" s="348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</row>
    <row r="20" ht="14.25" customHeight="1">
      <c r="A20" s="78" t="s">
        <v>12</v>
      </c>
      <c r="B20" s="23"/>
      <c r="C20" s="23"/>
      <c r="D20" s="23"/>
      <c r="E20" s="23"/>
      <c r="F20" s="23"/>
      <c r="G20" s="24"/>
      <c r="H20" s="79">
        <v>0.0</v>
      </c>
      <c r="I20" s="23"/>
      <c r="J20" s="24"/>
      <c r="K20" s="334"/>
      <c r="L20" s="244"/>
      <c r="M20" s="244"/>
      <c r="N20" s="348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</row>
    <row r="21" ht="14.25" customHeight="1">
      <c r="A21" s="81" t="s">
        <v>13</v>
      </c>
      <c r="B21" s="82"/>
      <c r="C21" s="82"/>
      <c r="D21" s="82"/>
      <c r="E21" s="82"/>
      <c r="F21" s="82"/>
      <c r="G21" s="367"/>
      <c r="H21" s="29">
        <f>SUM(G22:G23)</f>
        <v>0</v>
      </c>
      <c r="I21" s="27"/>
      <c r="J21" s="28"/>
      <c r="K21" s="135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14.25" customHeight="1">
      <c r="A22" s="30" t="s">
        <v>14</v>
      </c>
      <c r="B22" s="27"/>
      <c r="C22" s="27"/>
      <c r="D22" s="27"/>
      <c r="E22" s="27"/>
      <c r="F22" s="50"/>
      <c r="G22" s="84">
        <v>0.0</v>
      </c>
      <c r="H22" s="362"/>
      <c r="I22" s="33"/>
      <c r="J22" s="54"/>
      <c r="K22" s="368" t="str">
        <f>IF(H21&lt;&gt;(H19-H20),"Section 1.1 - The ""Carried over to next reporting period"" must be equal to the ""Total"" minus ""Closed during the reporting period""","")</f>
        <v/>
      </c>
      <c r="S22" s="149"/>
      <c r="T22" s="149"/>
      <c r="U22" s="149"/>
      <c r="V22" s="149"/>
      <c r="W22" s="149"/>
      <c r="X22" s="149"/>
      <c r="Y22" s="149"/>
      <c r="Z22" s="1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ht="14.25" customHeight="1">
      <c r="A23" s="35" t="s">
        <v>15</v>
      </c>
      <c r="B23" s="36"/>
      <c r="C23" s="36"/>
      <c r="D23" s="36"/>
      <c r="E23" s="36"/>
      <c r="F23" s="37"/>
      <c r="G23" s="38">
        <v>0.0</v>
      </c>
      <c r="H23" s="366"/>
      <c r="I23" s="40"/>
      <c r="J23" s="86"/>
      <c r="K23" s="55"/>
      <c r="S23" s="369"/>
      <c r="T23" s="369"/>
      <c r="U23" s="369"/>
      <c r="V23" s="369"/>
      <c r="W23" s="369"/>
      <c r="X23" s="369"/>
      <c r="Y23" s="369"/>
      <c r="Z23" s="369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</row>
    <row r="24" ht="14.25" customHeight="1">
      <c r="A24" s="370"/>
      <c r="B24" s="370"/>
      <c r="C24" s="370"/>
      <c r="D24" s="370"/>
      <c r="E24" s="370"/>
      <c r="F24" s="370"/>
      <c r="G24" s="255"/>
      <c r="H24" s="355"/>
      <c r="I24" s="355"/>
      <c r="J24" s="355"/>
      <c r="K24" s="334"/>
      <c r="L24" s="244"/>
      <c r="M24" s="244"/>
      <c r="N24" s="348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</row>
    <row r="25" ht="14.25" customHeight="1">
      <c r="A25" s="65" t="s">
        <v>288</v>
      </c>
      <c r="B25" s="12"/>
      <c r="C25" s="12"/>
      <c r="D25" s="12"/>
      <c r="E25" s="12"/>
      <c r="F25" s="12"/>
      <c r="G25" s="12"/>
      <c r="H25" s="12"/>
      <c r="I25" s="12"/>
      <c r="J25" s="13"/>
      <c r="K25" s="334"/>
      <c r="L25" s="244"/>
      <c r="M25" s="244"/>
      <c r="N25" s="348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</row>
    <row r="26" ht="14.25" customHeight="1">
      <c r="A26" s="371"/>
      <c r="B26" s="371"/>
      <c r="C26" s="371"/>
      <c r="D26" s="371"/>
      <c r="E26" s="371"/>
      <c r="F26" s="371"/>
      <c r="G26" s="334"/>
      <c r="H26" s="334"/>
      <c r="I26" s="334"/>
      <c r="J26" s="334"/>
      <c r="K26" s="334"/>
      <c r="L26" s="244"/>
      <c r="M26" s="244"/>
      <c r="N26" s="348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</row>
    <row r="27" ht="14.25" customHeight="1">
      <c r="A27" s="66" t="s">
        <v>17</v>
      </c>
      <c r="B27" s="19"/>
      <c r="C27" s="19"/>
      <c r="D27" s="19"/>
      <c r="E27" s="19"/>
      <c r="F27" s="20"/>
      <c r="G27" s="372" t="s">
        <v>6</v>
      </c>
      <c r="H27" s="19"/>
      <c r="I27" s="19"/>
      <c r="J27" s="20"/>
      <c r="K27" s="334"/>
      <c r="L27" s="244"/>
      <c r="M27" s="244"/>
      <c r="N27" s="348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</row>
    <row r="28" ht="14.25" customHeight="1">
      <c r="A28" s="78" t="s">
        <v>25</v>
      </c>
      <c r="B28" s="23"/>
      <c r="C28" s="23"/>
      <c r="D28" s="23"/>
      <c r="E28" s="23"/>
      <c r="F28" s="24"/>
      <c r="G28" s="79">
        <v>0.0</v>
      </c>
      <c r="H28" s="23"/>
      <c r="I28" s="23"/>
      <c r="J28" s="24"/>
      <c r="K28" s="334"/>
      <c r="L28" s="244"/>
      <c r="M28" s="244"/>
      <c r="N28" s="348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</row>
    <row r="29" ht="14.25" customHeight="1">
      <c r="A29" s="373" t="s">
        <v>26</v>
      </c>
      <c r="B29" s="27"/>
      <c r="C29" s="27"/>
      <c r="D29" s="27"/>
      <c r="E29" s="27"/>
      <c r="F29" s="50"/>
      <c r="G29" s="29">
        <v>0.0</v>
      </c>
      <c r="H29" s="27"/>
      <c r="I29" s="27"/>
      <c r="J29" s="28"/>
      <c r="K29" s="334"/>
      <c r="L29" s="244"/>
      <c r="M29" s="244"/>
      <c r="N29" s="348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</row>
    <row r="30" ht="14.25" customHeight="1">
      <c r="A30" s="373" t="s">
        <v>27</v>
      </c>
      <c r="B30" s="27"/>
      <c r="C30" s="27"/>
      <c r="D30" s="27"/>
      <c r="E30" s="27"/>
      <c r="F30" s="50"/>
      <c r="G30" s="29">
        <v>0.0</v>
      </c>
      <c r="H30" s="27"/>
      <c r="I30" s="27"/>
      <c r="J30" s="28"/>
      <c r="K30" s="334"/>
      <c r="L30" s="244"/>
      <c r="M30" s="244"/>
      <c r="N30" s="348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  <c r="AO30" s="244"/>
    </row>
    <row r="31" ht="14.25" customHeight="1">
      <c r="A31" s="373" t="s">
        <v>28</v>
      </c>
      <c r="B31" s="27"/>
      <c r="C31" s="27"/>
      <c r="D31" s="27"/>
      <c r="E31" s="27"/>
      <c r="F31" s="28"/>
      <c r="G31" s="70">
        <v>0.0</v>
      </c>
      <c r="H31" s="27"/>
      <c r="I31" s="27"/>
      <c r="J31" s="28"/>
      <c r="K31" s="334"/>
      <c r="L31" s="244"/>
      <c r="M31" s="244"/>
      <c r="N31" s="348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</row>
    <row r="32" ht="14.25" customHeight="1">
      <c r="A32" s="373" t="s">
        <v>29</v>
      </c>
      <c r="B32" s="27"/>
      <c r="C32" s="27"/>
      <c r="D32" s="27"/>
      <c r="E32" s="27"/>
      <c r="F32" s="28"/>
      <c r="G32" s="70">
        <v>0.0</v>
      </c>
      <c r="H32" s="27"/>
      <c r="I32" s="27"/>
      <c r="J32" s="28"/>
      <c r="K32" s="334"/>
      <c r="L32" s="244"/>
      <c r="M32" s="244"/>
      <c r="N32" s="348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</row>
    <row r="33" ht="14.25" customHeight="1">
      <c r="A33" s="35" t="s">
        <v>30</v>
      </c>
      <c r="B33" s="36"/>
      <c r="C33" s="36"/>
      <c r="D33" s="36"/>
      <c r="E33" s="36"/>
      <c r="F33" s="37"/>
      <c r="G33" s="72">
        <v>0.0</v>
      </c>
      <c r="H33" s="36"/>
      <c r="I33" s="36"/>
      <c r="J33" s="49"/>
      <c r="K33" s="334"/>
      <c r="L33" s="244"/>
      <c r="M33" s="244"/>
      <c r="N33" s="348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</row>
    <row r="34" ht="14.25" customHeight="1">
      <c r="A34" s="144" t="s">
        <v>11</v>
      </c>
      <c r="B34" s="19"/>
      <c r="C34" s="19"/>
      <c r="D34" s="19"/>
      <c r="E34" s="19"/>
      <c r="F34" s="20"/>
      <c r="G34" s="372">
        <f>SUM(G28:J33)</f>
        <v>0</v>
      </c>
      <c r="H34" s="19"/>
      <c r="I34" s="19"/>
      <c r="J34" s="20"/>
      <c r="K34" s="135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4.25" customHeight="1">
      <c r="A35" s="370"/>
      <c r="B35" s="370"/>
      <c r="C35" s="370"/>
      <c r="D35" s="370"/>
      <c r="E35" s="370"/>
      <c r="F35" s="370"/>
      <c r="G35" s="255"/>
      <c r="H35" s="355"/>
      <c r="I35" s="355"/>
      <c r="J35" s="355"/>
      <c r="K35" s="334"/>
      <c r="L35" s="244"/>
      <c r="M35" s="244"/>
      <c r="N35" s="348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</row>
    <row r="36" ht="14.25" customHeight="1">
      <c r="A36" s="356" t="s">
        <v>289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</row>
    <row r="37" ht="14.25" customHeight="1">
      <c r="A37" s="37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</row>
    <row r="38" ht="14.25" customHeight="1">
      <c r="A38" s="75" t="s">
        <v>32</v>
      </c>
      <c r="B38" s="12"/>
      <c r="C38" s="12"/>
      <c r="D38" s="12"/>
      <c r="E38" s="12"/>
      <c r="F38" s="12"/>
      <c r="G38" s="12"/>
      <c r="H38" s="12"/>
      <c r="I38" s="12"/>
      <c r="J38" s="13"/>
      <c r="K38" s="244"/>
      <c r="L38" s="244"/>
      <c r="M38" s="244"/>
      <c r="N38" s="348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</row>
    <row r="39" ht="14.25" customHeight="1">
      <c r="A39" s="375"/>
      <c r="B39" s="375"/>
      <c r="C39" s="375"/>
      <c r="D39" s="375"/>
      <c r="E39" s="375"/>
      <c r="F39" s="375"/>
      <c r="G39" s="375"/>
      <c r="H39" s="42" t="s">
        <v>6</v>
      </c>
      <c r="I39" s="19"/>
      <c r="J39" s="20"/>
      <c r="K39" s="360"/>
      <c r="L39" s="244"/>
      <c r="M39" s="244"/>
      <c r="N39" s="348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</row>
    <row r="40" ht="14.25" customHeight="1">
      <c r="A40" s="376" t="s">
        <v>7</v>
      </c>
      <c r="B40" s="377"/>
      <c r="C40" s="377"/>
      <c r="D40" s="377"/>
      <c r="E40" s="377"/>
      <c r="F40" s="377"/>
      <c r="G40" s="378"/>
      <c r="H40" s="79">
        <v>0.0</v>
      </c>
      <c r="I40" s="23"/>
      <c r="J40" s="24"/>
      <c r="K40" s="317"/>
      <c r="L40" s="244"/>
      <c r="M40" s="244"/>
      <c r="N40" s="348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</row>
    <row r="41" ht="14.25" customHeight="1">
      <c r="A41" s="81" t="s">
        <v>8</v>
      </c>
      <c r="B41" s="82"/>
      <c r="C41" s="82"/>
      <c r="D41" s="82"/>
      <c r="E41" s="82"/>
      <c r="F41" s="82"/>
      <c r="G41" s="367"/>
      <c r="H41" s="29">
        <f>SUM(G42:G43)</f>
        <v>0</v>
      </c>
      <c r="I41" s="27"/>
      <c r="J41" s="28"/>
      <c r="K41" s="317"/>
      <c r="L41" s="244"/>
      <c r="M41" s="244"/>
      <c r="N41" s="348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</row>
    <row r="42" ht="14.25" customHeight="1">
      <c r="A42" s="30" t="s">
        <v>9</v>
      </c>
      <c r="B42" s="27"/>
      <c r="C42" s="27"/>
      <c r="D42" s="27"/>
      <c r="E42" s="27"/>
      <c r="F42" s="50"/>
      <c r="G42" s="84">
        <v>0.0</v>
      </c>
      <c r="H42" s="379"/>
      <c r="I42" s="33"/>
      <c r="J42" s="54"/>
      <c r="K42" s="244"/>
      <c r="L42" s="244"/>
      <c r="M42" s="244"/>
      <c r="N42" s="348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</row>
    <row r="43" ht="14.25" customHeight="1">
      <c r="A43" s="363" t="s">
        <v>10</v>
      </c>
      <c r="B43" s="364"/>
      <c r="C43" s="364"/>
      <c r="D43" s="364"/>
      <c r="E43" s="364"/>
      <c r="F43" s="365"/>
      <c r="G43" s="38">
        <v>0.0</v>
      </c>
      <c r="H43" s="366"/>
      <c r="I43" s="40"/>
      <c r="J43" s="86"/>
      <c r="K43" s="244"/>
      <c r="L43" s="244"/>
      <c r="M43" s="244"/>
      <c r="N43" s="348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</row>
    <row r="44" ht="14.25" customHeight="1">
      <c r="A44" s="73" t="s">
        <v>11</v>
      </c>
      <c r="B44" s="19"/>
      <c r="C44" s="19"/>
      <c r="D44" s="19"/>
      <c r="E44" s="19"/>
      <c r="F44" s="19"/>
      <c r="G44" s="43"/>
      <c r="H44" s="42">
        <f>SUM(H40:J41)</f>
        <v>0</v>
      </c>
      <c r="I44" s="19"/>
      <c r="J44" s="20"/>
      <c r="K44" s="317"/>
      <c r="L44" s="244"/>
      <c r="M44" s="244"/>
      <c r="N44" s="348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</row>
    <row r="45" ht="14.25" customHeight="1">
      <c r="A45" s="380" t="s">
        <v>12</v>
      </c>
      <c r="B45" s="12"/>
      <c r="C45" s="12"/>
      <c r="D45" s="12"/>
      <c r="E45" s="12"/>
      <c r="F45" s="12"/>
      <c r="G45" s="13"/>
      <c r="H45" s="68">
        <v>0.0</v>
      </c>
      <c r="I45" s="23"/>
      <c r="J45" s="24"/>
      <c r="K45" s="317"/>
      <c r="L45" s="244"/>
      <c r="M45" s="244"/>
      <c r="N45" s="348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</row>
    <row r="46" ht="14.25" customHeight="1">
      <c r="A46" s="71" t="s">
        <v>13</v>
      </c>
      <c r="B46" s="36"/>
      <c r="C46" s="36"/>
      <c r="D46" s="36"/>
      <c r="E46" s="36"/>
      <c r="F46" s="36"/>
      <c r="G46" s="37"/>
      <c r="H46" s="72">
        <f>H44-H45</f>
        <v>0</v>
      </c>
      <c r="I46" s="36"/>
      <c r="J46" s="49"/>
      <c r="K46" s="317"/>
      <c r="L46" s="244"/>
      <c r="M46" s="244"/>
      <c r="N46" s="348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</row>
    <row r="47" ht="14.25" customHeight="1">
      <c r="A47" s="381"/>
      <c r="B47" s="381"/>
      <c r="C47" s="381"/>
      <c r="D47" s="381"/>
      <c r="E47" s="381"/>
      <c r="F47" s="381"/>
      <c r="G47" s="381"/>
      <c r="H47" s="334"/>
      <c r="I47" s="334"/>
      <c r="J47" s="334"/>
      <c r="K47" s="317"/>
      <c r="L47" s="244"/>
      <c r="M47" s="244"/>
      <c r="N47" s="348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</row>
    <row r="48" ht="15.75" customHeight="1">
      <c r="A48" s="5" t="s">
        <v>33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4.25" customHeight="1">
      <c r="A49" s="244"/>
      <c r="B49" s="244"/>
      <c r="C49" s="244"/>
      <c r="D49" s="244"/>
      <c r="E49" s="244"/>
      <c r="F49" s="244"/>
      <c r="G49" s="244"/>
      <c r="H49" s="24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0" customHeight="1">
      <c r="A50" s="321" t="s">
        <v>34</v>
      </c>
      <c r="B50" s="23"/>
      <c r="C50" s="23"/>
      <c r="D50" s="23"/>
      <c r="E50" s="23"/>
      <c r="F50" s="23"/>
      <c r="G50" s="23"/>
      <c r="H50" s="24"/>
      <c r="I50" s="89"/>
      <c r="J50" s="8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50.25" customHeight="1">
      <c r="A51" s="382" t="s">
        <v>35</v>
      </c>
      <c r="B51" s="383" t="s">
        <v>36</v>
      </c>
      <c r="C51" s="383" t="s">
        <v>37</v>
      </c>
      <c r="D51" s="383" t="s">
        <v>38</v>
      </c>
      <c r="E51" s="383" t="s">
        <v>39</v>
      </c>
      <c r="F51" s="384" t="s">
        <v>40</v>
      </c>
      <c r="G51" s="385" t="s">
        <v>41</v>
      </c>
      <c r="H51" s="295" t="s">
        <v>11</v>
      </c>
      <c r="I51" s="38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14.25" customHeight="1">
      <c r="A52" s="387">
        <v>0.0</v>
      </c>
      <c r="B52" s="388">
        <v>0.0</v>
      </c>
      <c r="C52" s="388">
        <v>0.0</v>
      </c>
      <c r="D52" s="388">
        <v>0.0</v>
      </c>
      <c r="E52" s="388">
        <v>0.0</v>
      </c>
      <c r="F52" s="389">
        <v>0.0</v>
      </c>
      <c r="G52" s="390">
        <v>0.0</v>
      </c>
      <c r="H52" s="391">
        <f>SUM(A52:G52)</f>
        <v>0</v>
      </c>
      <c r="I52" s="135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4.2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105"/>
      <c r="L53" s="101"/>
      <c r="M53" s="1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4.25" customHeight="1">
      <c r="A54" s="103" t="s">
        <v>290</v>
      </c>
      <c r="K54" s="8"/>
      <c r="L54" s="10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0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8"/>
      <c r="L55" s="10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32.25" customHeight="1">
      <c r="A56" s="251" t="s">
        <v>291</v>
      </c>
      <c r="B56" s="24"/>
      <c r="C56" s="251" t="s">
        <v>292</v>
      </c>
      <c r="D56" s="24"/>
      <c r="E56" s="251" t="s">
        <v>293</v>
      </c>
      <c r="F56" s="2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4.25" customHeight="1">
      <c r="A57" s="109" t="s">
        <v>6</v>
      </c>
      <c r="B57" s="392" t="s">
        <v>294</v>
      </c>
      <c r="C57" s="109" t="s">
        <v>6</v>
      </c>
      <c r="D57" s="392" t="s">
        <v>294</v>
      </c>
      <c r="E57" s="109" t="s">
        <v>6</v>
      </c>
      <c r="F57" s="110" t="s">
        <v>294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5.0" customHeight="1">
      <c r="A58" s="97">
        <v>0.0</v>
      </c>
      <c r="B58" s="112">
        <v>0.0</v>
      </c>
      <c r="C58" s="393">
        <v>0.0</v>
      </c>
      <c r="D58" s="113">
        <v>0.0</v>
      </c>
      <c r="E58" s="97">
        <v>0.0</v>
      </c>
      <c r="F58" s="113">
        <v>0.0</v>
      </c>
      <c r="G58" s="39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4.25" customHeight="1">
      <c r="A59" s="244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102"/>
      <c r="M59" s="1"/>
      <c r="N59" s="1"/>
      <c r="O59" s="1"/>
      <c r="P59" s="1"/>
      <c r="Q59" s="1"/>
      <c r="R59" s="1"/>
      <c r="S59" s="1"/>
      <c r="T59" s="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4.25" customHeight="1">
      <c r="A60" s="395" t="s">
        <v>295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</row>
    <row r="61" ht="14.25" customHeight="1">
      <c r="A61" s="244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348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</row>
    <row r="62" ht="14.25" customHeight="1">
      <c r="A62" s="396" t="s">
        <v>296</v>
      </c>
      <c r="B62" s="12"/>
      <c r="C62" s="12"/>
      <c r="D62" s="12"/>
      <c r="E62" s="12"/>
      <c r="F62" s="12"/>
      <c r="G62" s="12"/>
      <c r="H62" s="12"/>
      <c r="I62" s="12"/>
      <c r="J62" s="12"/>
      <c r="K62" s="13"/>
      <c r="L62" s="244"/>
      <c r="M62" s="348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</row>
    <row r="63" ht="14.25" customHeight="1">
      <c r="A63" s="244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348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</row>
    <row r="64" ht="14.25" customHeight="1">
      <c r="A64" s="397" t="s">
        <v>55</v>
      </c>
      <c r="B64" s="46"/>
      <c r="C64" s="47"/>
      <c r="D64" s="321" t="s">
        <v>34</v>
      </c>
      <c r="E64" s="23"/>
      <c r="F64" s="23"/>
      <c r="G64" s="23"/>
      <c r="H64" s="23"/>
      <c r="I64" s="23"/>
      <c r="J64" s="23"/>
      <c r="K64" s="24"/>
      <c r="L64" s="398"/>
      <c r="M64" s="348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</row>
    <row r="65" ht="14.25" customHeight="1">
      <c r="A65" s="399"/>
      <c r="B65" s="286"/>
      <c r="C65" s="400"/>
      <c r="D65" s="401" t="s">
        <v>35</v>
      </c>
      <c r="E65" s="402" t="s">
        <v>36</v>
      </c>
      <c r="F65" s="402" t="s">
        <v>37</v>
      </c>
      <c r="G65" s="402" t="s">
        <v>38</v>
      </c>
      <c r="H65" s="403" t="s">
        <v>39</v>
      </c>
      <c r="I65" s="403" t="s">
        <v>40</v>
      </c>
      <c r="J65" s="404" t="s">
        <v>41</v>
      </c>
      <c r="K65" s="405" t="s">
        <v>11</v>
      </c>
      <c r="L65" s="244"/>
      <c r="M65" s="348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</row>
    <row r="66" ht="14.25" customHeight="1">
      <c r="A66" s="78" t="s">
        <v>56</v>
      </c>
      <c r="B66" s="23"/>
      <c r="C66" s="24"/>
      <c r="D66" s="406">
        <v>0.0</v>
      </c>
      <c r="E66" s="407">
        <v>0.0</v>
      </c>
      <c r="F66" s="407">
        <v>0.0</v>
      </c>
      <c r="G66" s="407">
        <v>0.0</v>
      </c>
      <c r="H66" s="407">
        <v>0.0</v>
      </c>
      <c r="I66" s="407">
        <v>0.0</v>
      </c>
      <c r="J66" s="408">
        <v>0.0</v>
      </c>
      <c r="K66" s="409">
        <f t="shared" ref="K66:K72" si="1">SUM(D66:J66)</f>
        <v>0</v>
      </c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</row>
    <row r="67" ht="14.25" customHeight="1">
      <c r="A67" s="373" t="s">
        <v>57</v>
      </c>
      <c r="B67" s="27"/>
      <c r="C67" s="28"/>
      <c r="D67" s="410">
        <v>0.0</v>
      </c>
      <c r="E67" s="411">
        <v>0.0</v>
      </c>
      <c r="F67" s="411">
        <v>0.0</v>
      </c>
      <c r="G67" s="412">
        <v>0.0</v>
      </c>
      <c r="H67" s="412">
        <v>0.0</v>
      </c>
      <c r="I67" s="412">
        <v>0.0</v>
      </c>
      <c r="J67" s="413">
        <v>0.0</v>
      </c>
      <c r="K67" s="414">
        <f t="shared" si="1"/>
        <v>0</v>
      </c>
      <c r="L67" s="111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</row>
    <row r="68" ht="14.25" customHeight="1">
      <c r="A68" s="373" t="s">
        <v>58</v>
      </c>
      <c r="B68" s="27"/>
      <c r="C68" s="28"/>
      <c r="D68" s="415">
        <v>0.0</v>
      </c>
      <c r="E68" s="416">
        <v>0.0</v>
      </c>
      <c r="F68" s="416">
        <v>0.0</v>
      </c>
      <c r="G68" s="412">
        <v>0.0</v>
      </c>
      <c r="H68" s="411">
        <v>0.0</v>
      </c>
      <c r="I68" s="412">
        <v>0.0</v>
      </c>
      <c r="J68" s="413">
        <v>0.0</v>
      </c>
      <c r="K68" s="414">
        <f t="shared" si="1"/>
        <v>0</v>
      </c>
      <c r="L68" s="111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</row>
    <row r="69" ht="15.0" customHeight="1">
      <c r="A69" s="373" t="s">
        <v>59</v>
      </c>
      <c r="B69" s="27"/>
      <c r="C69" s="28"/>
      <c r="D69" s="410">
        <v>0.0</v>
      </c>
      <c r="E69" s="412">
        <v>0.0</v>
      </c>
      <c r="F69" s="412">
        <v>0.0</v>
      </c>
      <c r="G69" s="411">
        <v>0.0</v>
      </c>
      <c r="H69" s="416">
        <v>0.0</v>
      </c>
      <c r="I69" s="412">
        <v>0.0</v>
      </c>
      <c r="J69" s="413">
        <v>0.0</v>
      </c>
      <c r="K69" s="414">
        <f t="shared" si="1"/>
        <v>0</v>
      </c>
      <c r="L69" s="111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</row>
    <row r="70" ht="14.25" customHeight="1">
      <c r="A70" s="373" t="s">
        <v>60</v>
      </c>
      <c r="B70" s="27"/>
      <c r="C70" s="28"/>
      <c r="D70" s="415">
        <v>0.0</v>
      </c>
      <c r="E70" s="412">
        <v>0.0</v>
      </c>
      <c r="F70" s="411">
        <v>0.0</v>
      </c>
      <c r="G70" s="416">
        <v>0.0</v>
      </c>
      <c r="H70" s="412">
        <v>0.0</v>
      </c>
      <c r="I70" s="411">
        <v>0.0</v>
      </c>
      <c r="J70" s="417">
        <v>0.0</v>
      </c>
      <c r="K70" s="414">
        <f t="shared" si="1"/>
        <v>0</v>
      </c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</row>
    <row r="71" ht="14.25" customHeight="1">
      <c r="A71" s="373" t="s">
        <v>62</v>
      </c>
      <c r="B71" s="27"/>
      <c r="C71" s="28"/>
      <c r="D71" s="410">
        <v>0.0</v>
      </c>
      <c r="E71" s="412">
        <v>0.0</v>
      </c>
      <c r="F71" s="416">
        <v>0.0</v>
      </c>
      <c r="G71" s="412">
        <v>0.0</v>
      </c>
      <c r="H71" s="411">
        <v>0.0</v>
      </c>
      <c r="I71" s="416">
        <v>0.0</v>
      </c>
      <c r="J71" s="418">
        <v>0.0</v>
      </c>
      <c r="K71" s="414">
        <f t="shared" si="1"/>
        <v>0</v>
      </c>
      <c r="L71" s="244"/>
      <c r="M71" s="244"/>
      <c r="N71" s="348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</row>
    <row r="72" ht="14.25" customHeight="1">
      <c r="A72" s="419" t="s">
        <v>63</v>
      </c>
      <c r="B72" s="36"/>
      <c r="C72" s="49"/>
      <c r="D72" s="415">
        <v>0.0</v>
      </c>
      <c r="E72" s="420">
        <v>0.0</v>
      </c>
      <c r="F72" s="420">
        <v>0.0</v>
      </c>
      <c r="G72" s="420">
        <v>0.0</v>
      </c>
      <c r="H72" s="416">
        <v>0.0</v>
      </c>
      <c r="I72" s="420">
        <v>0.0</v>
      </c>
      <c r="J72" s="421">
        <v>0.0</v>
      </c>
      <c r="K72" s="422">
        <f t="shared" si="1"/>
        <v>0</v>
      </c>
      <c r="L72" s="244"/>
      <c r="M72" s="244"/>
      <c r="N72" s="348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</row>
    <row r="73" ht="14.25" customHeight="1">
      <c r="A73" s="423" t="s">
        <v>11</v>
      </c>
      <c r="B73" s="364"/>
      <c r="C73" s="326"/>
      <c r="D73" s="424">
        <f t="shared" ref="D73:K73" si="2">SUM(D66:D72)</f>
        <v>0</v>
      </c>
      <c r="E73" s="425">
        <f t="shared" si="2"/>
        <v>0</v>
      </c>
      <c r="F73" s="425">
        <f t="shared" si="2"/>
        <v>0</v>
      </c>
      <c r="G73" s="425">
        <f t="shared" si="2"/>
        <v>0</v>
      </c>
      <c r="H73" s="425">
        <f t="shared" si="2"/>
        <v>0</v>
      </c>
      <c r="I73" s="425">
        <f t="shared" si="2"/>
        <v>0</v>
      </c>
      <c r="J73" s="426">
        <f t="shared" si="2"/>
        <v>0</v>
      </c>
      <c r="K73" s="427">
        <f t="shared" si="2"/>
        <v>0</v>
      </c>
      <c r="L73" s="135" t="str">
        <f>IF(K73&lt;&gt;H20,"Section 3.1 - The Total of the ""Total"" should be equal to ""Closed during reporting period"" of Section 1.1","")</f>
        <v/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4.25" customHeight="1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428">
        <f>SUM(K66:K69,K71:K72)</f>
        <v>0</v>
      </c>
      <c r="L74" s="244"/>
      <c r="M74" s="244"/>
      <c r="N74" s="348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</row>
    <row r="75" ht="14.25" customHeight="1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348"/>
      <c r="N75" s="244"/>
      <c r="O75" s="244"/>
      <c r="P75" s="244"/>
      <c r="Q75" s="244"/>
      <c r="R75" s="244"/>
      <c r="S75" s="244"/>
      <c r="T75" s="348"/>
      <c r="U75" s="348"/>
      <c r="V75" s="348"/>
      <c r="W75" s="348"/>
      <c r="X75" s="348"/>
      <c r="Y75" s="348"/>
      <c r="Z75" s="348"/>
      <c r="AA75" s="348"/>
      <c r="AB75" s="348"/>
      <c r="AC75" s="348"/>
      <c r="AD75" s="348"/>
      <c r="AE75" s="348"/>
      <c r="AF75" s="348"/>
      <c r="AG75" s="348"/>
      <c r="AH75" s="348"/>
      <c r="AI75" s="348"/>
      <c r="AJ75" s="348"/>
      <c r="AK75" s="348"/>
      <c r="AL75" s="348"/>
      <c r="AM75" s="348"/>
      <c r="AN75" s="348"/>
      <c r="AO75" s="348"/>
    </row>
    <row r="76" ht="14.25" customHeight="1">
      <c r="A76" s="65" t="s">
        <v>297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3"/>
      <c r="M76" s="348"/>
      <c r="N76" s="244"/>
      <c r="O76" s="244"/>
      <c r="P76" s="244"/>
      <c r="Q76" s="244"/>
      <c r="R76" s="244"/>
      <c r="S76" s="244"/>
      <c r="T76" s="348"/>
      <c r="U76" s="348"/>
      <c r="V76" s="348"/>
      <c r="W76" s="348"/>
      <c r="X76" s="348"/>
      <c r="Y76" s="348"/>
      <c r="Z76" s="348"/>
      <c r="AA76" s="348"/>
      <c r="AB76" s="348"/>
      <c r="AC76" s="348"/>
      <c r="AD76" s="348"/>
      <c r="AE76" s="348"/>
      <c r="AF76" s="348"/>
      <c r="AG76" s="348"/>
      <c r="AH76" s="348"/>
      <c r="AI76" s="348"/>
      <c r="AJ76" s="348"/>
      <c r="AK76" s="348"/>
      <c r="AL76" s="348"/>
      <c r="AM76" s="348"/>
      <c r="AN76" s="348"/>
      <c r="AO76" s="348"/>
    </row>
    <row r="77" ht="14.25" customHeight="1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348"/>
      <c r="N77" s="244"/>
      <c r="O77" s="244"/>
      <c r="P77" s="244"/>
      <c r="Q77" s="244"/>
      <c r="R77" s="244"/>
      <c r="S77" s="244"/>
      <c r="T77" s="348"/>
      <c r="U77" s="348"/>
      <c r="V77" s="348"/>
      <c r="W77" s="348"/>
      <c r="X77" s="348"/>
      <c r="Y77" s="348"/>
      <c r="Z77" s="348"/>
      <c r="AA77" s="348"/>
      <c r="AB77" s="348"/>
      <c r="AC77" s="348"/>
      <c r="AD77" s="348"/>
      <c r="AE77" s="348"/>
      <c r="AF77" s="348"/>
      <c r="AG77" s="348"/>
      <c r="AH77" s="348"/>
      <c r="AI77" s="348"/>
      <c r="AJ77" s="348"/>
      <c r="AK77" s="348"/>
      <c r="AL77" s="348"/>
      <c r="AM77" s="348"/>
      <c r="AN77" s="348"/>
      <c r="AO77" s="348"/>
    </row>
    <row r="78" ht="26.25" customHeight="1">
      <c r="A78" s="66" t="s">
        <v>66</v>
      </c>
      <c r="B78" s="152"/>
      <c r="C78" s="221" t="s">
        <v>6</v>
      </c>
      <c r="D78" s="43"/>
      <c r="E78" s="66" t="s">
        <v>66</v>
      </c>
      <c r="F78" s="152"/>
      <c r="G78" s="221" t="s">
        <v>6</v>
      </c>
      <c r="H78" s="43"/>
      <c r="I78" s="66" t="s">
        <v>66</v>
      </c>
      <c r="J78" s="43"/>
      <c r="K78" s="221" t="s">
        <v>6</v>
      </c>
      <c r="L78" s="20"/>
      <c r="M78" s="348"/>
      <c r="N78" s="244"/>
      <c r="O78" s="244"/>
      <c r="P78" s="244"/>
      <c r="Q78" s="244"/>
      <c r="R78" s="244"/>
      <c r="S78" s="244"/>
      <c r="T78" s="348"/>
      <c r="U78" s="348"/>
      <c r="V78" s="348"/>
      <c r="W78" s="348"/>
      <c r="X78" s="348"/>
      <c r="Y78" s="348"/>
      <c r="Z78" s="348"/>
      <c r="AA78" s="348"/>
      <c r="AB78" s="348"/>
      <c r="AC78" s="348"/>
      <c r="AD78" s="348"/>
      <c r="AE78" s="348"/>
      <c r="AF78" s="348"/>
      <c r="AG78" s="348"/>
      <c r="AH78" s="348"/>
      <c r="AI78" s="348"/>
      <c r="AJ78" s="348"/>
      <c r="AK78" s="348"/>
      <c r="AL78" s="348"/>
      <c r="AM78" s="348"/>
      <c r="AN78" s="348"/>
      <c r="AO78" s="348"/>
    </row>
    <row r="79" ht="14.25" customHeight="1">
      <c r="A79" s="429" t="s">
        <v>298</v>
      </c>
      <c r="B79" s="159"/>
      <c r="C79" s="237">
        <v>0.0</v>
      </c>
      <c r="D79" s="24"/>
      <c r="E79" s="430" t="s">
        <v>299</v>
      </c>
      <c r="F79" s="431"/>
      <c r="G79" s="432">
        <v>0.0</v>
      </c>
      <c r="H79" s="433"/>
      <c r="I79" s="429" t="s">
        <v>300</v>
      </c>
      <c r="J79" s="159"/>
      <c r="K79" s="237">
        <v>0.0</v>
      </c>
      <c r="L79" s="24"/>
      <c r="M79" s="244"/>
      <c r="N79" s="244"/>
      <c r="O79" s="244"/>
      <c r="P79" s="244"/>
      <c r="Q79" s="244"/>
      <c r="R79" s="244"/>
      <c r="S79" s="244"/>
      <c r="T79" s="348"/>
      <c r="U79" s="348"/>
      <c r="V79" s="348"/>
      <c r="W79" s="348"/>
      <c r="X79" s="348"/>
      <c r="Y79" s="348"/>
      <c r="Z79" s="348"/>
      <c r="AA79" s="348"/>
      <c r="AB79" s="348"/>
      <c r="AC79" s="348"/>
      <c r="AD79" s="348"/>
      <c r="AE79" s="348"/>
      <c r="AF79" s="348"/>
      <c r="AG79" s="348"/>
      <c r="AH79" s="348"/>
      <c r="AI79" s="348"/>
      <c r="AJ79" s="348"/>
      <c r="AK79" s="348"/>
      <c r="AL79" s="348"/>
      <c r="AM79" s="348"/>
      <c r="AN79" s="348"/>
      <c r="AO79" s="348"/>
    </row>
    <row r="80" ht="14.25" customHeight="1">
      <c r="A80" s="434" t="s">
        <v>301</v>
      </c>
      <c r="B80" s="165"/>
      <c r="C80" s="239">
        <v>0.0</v>
      </c>
      <c r="D80" s="28"/>
      <c r="E80" s="434" t="s">
        <v>302</v>
      </c>
      <c r="F80" s="165"/>
      <c r="G80" s="239">
        <v>0.0</v>
      </c>
      <c r="H80" s="28"/>
      <c r="I80" s="434" t="s">
        <v>303</v>
      </c>
      <c r="J80" s="165"/>
      <c r="K80" s="239">
        <v>0.0</v>
      </c>
      <c r="L80" s="28"/>
      <c r="M80" s="244"/>
      <c r="N80" s="244"/>
      <c r="O80" s="244"/>
      <c r="P80" s="244"/>
      <c r="Q80" s="244"/>
      <c r="R80" s="244"/>
      <c r="S80" s="244"/>
      <c r="T80" s="348"/>
      <c r="U80" s="348"/>
      <c r="V80" s="348"/>
      <c r="W80" s="348"/>
      <c r="X80" s="348"/>
      <c r="Y80" s="348"/>
      <c r="Z80" s="348"/>
      <c r="AA80" s="348"/>
      <c r="AB80" s="348"/>
      <c r="AC80" s="348"/>
      <c r="AD80" s="348"/>
      <c r="AE80" s="348"/>
      <c r="AF80" s="348"/>
      <c r="AG80" s="348"/>
      <c r="AH80" s="348"/>
      <c r="AI80" s="348"/>
      <c r="AJ80" s="348"/>
      <c r="AK80" s="348"/>
      <c r="AL80" s="348"/>
      <c r="AM80" s="348"/>
      <c r="AN80" s="348"/>
      <c r="AO80" s="348"/>
    </row>
    <row r="81" ht="14.25" customHeight="1">
      <c r="A81" s="434" t="s">
        <v>304</v>
      </c>
      <c r="B81" s="165"/>
      <c r="C81" s="239">
        <v>0.0</v>
      </c>
      <c r="D81" s="28"/>
      <c r="E81" s="434" t="s">
        <v>305</v>
      </c>
      <c r="F81" s="165"/>
      <c r="G81" s="239">
        <v>0.0</v>
      </c>
      <c r="H81" s="28"/>
      <c r="I81" s="434" t="s">
        <v>306</v>
      </c>
      <c r="J81" s="165"/>
      <c r="K81" s="239">
        <v>0.0</v>
      </c>
      <c r="L81" s="28"/>
      <c r="M81" s="244"/>
      <c r="N81" s="244"/>
      <c r="O81" s="244"/>
      <c r="P81" s="244"/>
      <c r="Q81" s="244"/>
      <c r="R81" s="244"/>
      <c r="S81" s="244"/>
      <c r="T81" s="348"/>
      <c r="U81" s="348"/>
      <c r="V81" s="348"/>
      <c r="W81" s="348"/>
      <c r="X81" s="348"/>
      <c r="Y81" s="348"/>
      <c r="Z81" s="348"/>
      <c r="AA81" s="348"/>
      <c r="AB81" s="348"/>
      <c r="AC81" s="348"/>
      <c r="AD81" s="348"/>
      <c r="AE81" s="348"/>
      <c r="AF81" s="348"/>
      <c r="AG81" s="348"/>
      <c r="AH81" s="348"/>
      <c r="AI81" s="348"/>
      <c r="AJ81" s="348"/>
      <c r="AK81" s="348"/>
      <c r="AL81" s="348"/>
      <c r="AM81" s="348"/>
      <c r="AN81" s="348"/>
      <c r="AO81" s="348"/>
    </row>
    <row r="82" ht="14.25" customHeight="1">
      <c r="A82" s="434" t="s">
        <v>307</v>
      </c>
      <c r="B82" s="165"/>
      <c r="C82" s="239">
        <v>0.0</v>
      </c>
      <c r="D82" s="28"/>
      <c r="E82" s="434" t="s">
        <v>308</v>
      </c>
      <c r="F82" s="165"/>
      <c r="G82" s="239">
        <v>0.0</v>
      </c>
      <c r="H82" s="28"/>
      <c r="I82" s="434" t="s">
        <v>309</v>
      </c>
      <c r="J82" s="165"/>
      <c r="K82" s="239">
        <v>0.0</v>
      </c>
      <c r="L82" s="28"/>
      <c r="M82" s="244"/>
      <c r="N82" s="244"/>
      <c r="O82" s="244"/>
      <c r="P82" s="244"/>
      <c r="Q82" s="244"/>
      <c r="R82" s="244"/>
      <c r="S82" s="244"/>
      <c r="T82" s="348"/>
      <c r="U82" s="348"/>
      <c r="V82" s="348"/>
      <c r="W82" s="348"/>
      <c r="X82" s="348"/>
      <c r="Y82" s="348"/>
      <c r="Z82" s="348"/>
      <c r="AA82" s="348"/>
      <c r="AB82" s="348"/>
      <c r="AC82" s="348"/>
      <c r="AD82" s="348"/>
      <c r="AE82" s="348"/>
      <c r="AF82" s="348"/>
      <c r="AG82" s="348"/>
      <c r="AH82" s="348"/>
      <c r="AI82" s="348"/>
      <c r="AJ82" s="348"/>
      <c r="AK82" s="348"/>
      <c r="AL82" s="348"/>
      <c r="AM82" s="348"/>
      <c r="AN82" s="348"/>
      <c r="AO82" s="348"/>
    </row>
    <row r="83" ht="14.25" customHeight="1">
      <c r="A83" s="434" t="s">
        <v>310</v>
      </c>
      <c r="B83" s="165"/>
      <c r="C83" s="239">
        <v>0.0</v>
      </c>
      <c r="D83" s="28"/>
      <c r="E83" s="434" t="s">
        <v>311</v>
      </c>
      <c r="F83" s="165"/>
      <c r="G83" s="239">
        <v>0.0</v>
      </c>
      <c r="H83" s="28"/>
      <c r="I83" s="373">
        <v>25.0</v>
      </c>
      <c r="J83" s="165"/>
      <c r="K83" s="239">
        <v>0.0</v>
      </c>
      <c r="L83" s="28"/>
      <c r="M83" s="244"/>
      <c r="N83" s="244"/>
      <c r="O83" s="244"/>
      <c r="P83" s="244"/>
      <c r="Q83" s="244"/>
      <c r="R83" s="244"/>
      <c r="S83" s="244"/>
      <c r="T83" s="348"/>
      <c r="U83" s="348"/>
      <c r="V83" s="348"/>
      <c r="W83" s="348"/>
      <c r="X83" s="348"/>
      <c r="Y83" s="348"/>
      <c r="Z83" s="348"/>
      <c r="AA83" s="348"/>
      <c r="AB83" s="348"/>
      <c r="AC83" s="348"/>
      <c r="AD83" s="348"/>
      <c r="AE83" s="348"/>
      <c r="AF83" s="348"/>
      <c r="AG83" s="348"/>
      <c r="AH83" s="348"/>
      <c r="AI83" s="348"/>
      <c r="AJ83" s="348"/>
      <c r="AK83" s="348"/>
      <c r="AL83" s="348"/>
      <c r="AM83" s="348"/>
      <c r="AN83" s="348"/>
      <c r="AO83" s="348"/>
    </row>
    <row r="84" ht="14.25" customHeight="1">
      <c r="A84" s="434" t="s">
        <v>312</v>
      </c>
      <c r="B84" s="165"/>
      <c r="C84" s="239">
        <v>0.0</v>
      </c>
      <c r="D84" s="28"/>
      <c r="E84" s="434" t="s">
        <v>313</v>
      </c>
      <c r="F84" s="165"/>
      <c r="G84" s="239">
        <v>0.0</v>
      </c>
      <c r="H84" s="28"/>
      <c r="I84" s="373">
        <v>26.0</v>
      </c>
      <c r="J84" s="165"/>
      <c r="K84" s="239">
        <v>0.0</v>
      </c>
      <c r="L84" s="28"/>
      <c r="M84" s="244"/>
      <c r="N84" s="244"/>
      <c r="O84" s="244"/>
      <c r="P84" s="244"/>
      <c r="Q84" s="244"/>
      <c r="R84" s="244"/>
      <c r="S84" s="244"/>
      <c r="T84" s="348"/>
      <c r="U84" s="348"/>
      <c r="V84" s="348"/>
      <c r="W84" s="348"/>
      <c r="X84" s="348"/>
      <c r="Y84" s="348"/>
      <c r="Z84" s="348"/>
      <c r="AA84" s="348"/>
      <c r="AB84" s="348"/>
      <c r="AC84" s="348"/>
      <c r="AD84" s="348"/>
      <c r="AE84" s="348"/>
      <c r="AF84" s="348"/>
      <c r="AG84" s="348"/>
      <c r="AH84" s="348"/>
      <c r="AI84" s="348"/>
      <c r="AJ84" s="348"/>
      <c r="AK84" s="348"/>
      <c r="AL84" s="348"/>
      <c r="AM84" s="348"/>
      <c r="AN84" s="348"/>
      <c r="AO84" s="348"/>
    </row>
    <row r="85" ht="14.25" customHeight="1">
      <c r="A85" s="434" t="s">
        <v>314</v>
      </c>
      <c r="B85" s="165"/>
      <c r="C85" s="239">
        <v>0.0</v>
      </c>
      <c r="D85" s="28"/>
      <c r="E85" s="373">
        <v>22.1</v>
      </c>
      <c r="F85" s="165"/>
      <c r="G85" s="239">
        <v>0.0</v>
      </c>
      <c r="H85" s="28"/>
      <c r="I85" s="373">
        <v>27.0</v>
      </c>
      <c r="J85" s="165"/>
      <c r="K85" s="239">
        <v>0.0</v>
      </c>
      <c r="L85" s="28"/>
      <c r="M85" s="244"/>
      <c r="N85" s="244"/>
      <c r="O85" s="244"/>
      <c r="P85" s="244"/>
      <c r="Q85" s="244"/>
      <c r="R85" s="244"/>
      <c r="S85" s="244"/>
      <c r="T85" s="348"/>
      <c r="U85" s="348"/>
      <c r="V85" s="348"/>
      <c r="W85" s="348"/>
      <c r="X85" s="348"/>
      <c r="Y85" s="348"/>
      <c r="Z85" s="348"/>
      <c r="AA85" s="348"/>
      <c r="AB85" s="348"/>
      <c r="AC85" s="348"/>
      <c r="AD85" s="348"/>
      <c r="AE85" s="348"/>
      <c r="AF85" s="348"/>
      <c r="AG85" s="348"/>
      <c r="AH85" s="348"/>
      <c r="AI85" s="348"/>
      <c r="AJ85" s="348"/>
      <c r="AK85" s="348"/>
      <c r="AL85" s="348"/>
      <c r="AM85" s="348"/>
      <c r="AN85" s="348"/>
      <c r="AO85" s="348"/>
    </row>
    <row r="86" ht="14.25" customHeight="1">
      <c r="A86" s="373">
        <v>20.0</v>
      </c>
      <c r="B86" s="165"/>
      <c r="C86" s="239">
        <v>0.0</v>
      </c>
      <c r="D86" s="28"/>
      <c r="E86" s="373">
        <v>22.2</v>
      </c>
      <c r="F86" s="165"/>
      <c r="G86" s="239">
        <v>0.0</v>
      </c>
      <c r="H86" s="28"/>
      <c r="I86" s="373">
        <v>27.1</v>
      </c>
      <c r="J86" s="165"/>
      <c r="K86" s="239">
        <v>0.0</v>
      </c>
      <c r="L86" s="28"/>
      <c r="M86" s="244"/>
      <c r="N86" s="348"/>
      <c r="O86" s="244"/>
      <c r="P86" s="244"/>
      <c r="Q86" s="244"/>
      <c r="R86" s="244"/>
      <c r="S86" s="244"/>
      <c r="T86" s="244"/>
      <c r="U86" s="348"/>
      <c r="V86" s="348"/>
      <c r="W86" s="348"/>
      <c r="X86" s="348"/>
      <c r="Y86" s="348"/>
      <c r="Z86" s="348"/>
      <c r="AA86" s="348"/>
      <c r="AB86" s="348"/>
      <c r="AC86" s="348"/>
      <c r="AD86" s="348"/>
      <c r="AE86" s="348"/>
      <c r="AF86" s="348"/>
      <c r="AG86" s="348"/>
      <c r="AH86" s="348"/>
      <c r="AI86" s="348"/>
      <c r="AJ86" s="348"/>
      <c r="AK86" s="348"/>
      <c r="AL86" s="348"/>
      <c r="AM86" s="348"/>
      <c r="AN86" s="348"/>
      <c r="AO86" s="348"/>
    </row>
    <row r="87" ht="14.25" customHeight="1">
      <c r="A87" s="35">
        <v>21.0</v>
      </c>
      <c r="B87" s="171"/>
      <c r="C87" s="241">
        <v>0.0</v>
      </c>
      <c r="D87" s="49"/>
      <c r="E87" s="373">
        <v>22.3</v>
      </c>
      <c r="F87" s="165"/>
      <c r="G87" s="239">
        <v>0.0</v>
      </c>
      <c r="H87" s="28"/>
      <c r="I87" s="35">
        <v>28.0</v>
      </c>
      <c r="J87" s="171"/>
      <c r="K87" s="241">
        <v>0.0</v>
      </c>
      <c r="L87" s="49"/>
      <c r="M87" s="111"/>
      <c r="N87" s="348"/>
      <c r="O87" s="244"/>
      <c r="P87" s="244"/>
      <c r="Q87" s="244"/>
      <c r="R87" s="244"/>
      <c r="S87" s="244"/>
      <c r="T87" s="244"/>
      <c r="U87" s="348"/>
      <c r="V87" s="348"/>
      <c r="W87" s="348"/>
      <c r="X87" s="348"/>
      <c r="Y87" s="348"/>
      <c r="Z87" s="348"/>
      <c r="AA87" s="348"/>
      <c r="AB87" s="348"/>
      <c r="AC87" s="348"/>
      <c r="AD87" s="348"/>
      <c r="AE87" s="348"/>
      <c r="AF87" s="348"/>
      <c r="AG87" s="348"/>
      <c r="AH87" s="348"/>
      <c r="AI87" s="348"/>
      <c r="AJ87" s="348"/>
      <c r="AK87" s="348"/>
      <c r="AL87" s="348"/>
      <c r="AM87" s="348"/>
      <c r="AN87" s="348"/>
      <c r="AO87" s="348"/>
    </row>
    <row r="88" ht="14.25" customHeight="1">
      <c r="A88" s="435"/>
      <c r="B88" s="244"/>
      <c r="C88" s="244"/>
      <c r="D88" s="244"/>
      <c r="E88" s="35">
        <v>22.4</v>
      </c>
      <c r="F88" s="171"/>
      <c r="G88" s="436">
        <v>0.0</v>
      </c>
      <c r="H88" s="49"/>
      <c r="I88" s="244"/>
      <c r="J88" s="244"/>
      <c r="K88" s="244"/>
      <c r="L88" s="244"/>
      <c r="M88" s="244"/>
      <c r="N88" s="348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</row>
    <row r="89" ht="14.25" customHeight="1">
      <c r="A89" s="435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348"/>
      <c r="N89" s="244"/>
      <c r="O89" s="244"/>
      <c r="P89" s="244"/>
      <c r="Q89" s="244"/>
      <c r="R89" s="244"/>
      <c r="S89" s="244"/>
      <c r="T89" s="348"/>
      <c r="U89" s="348"/>
      <c r="V89" s="348"/>
      <c r="W89" s="348"/>
      <c r="X89" s="348"/>
      <c r="Y89" s="348"/>
      <c r="Z89" s="348"/>
      <c r="AA89" s="348"/>
      <c r="AB89" s="348"/>
      <c r="AC89" s="348"/>
      <c r="AD89" s="348"/>
      <c r="AE89" s="348"/>
      <c r="AF89" s="348"/>
      <c r="AG89" s="348"/>
      <c r="AH89" s="348"/>
      <c r="AI89" s="348"/>
      <c r="AJ89" s="348"/>
      <c r="AK89" s="348"/>
      <c r="AL89" s="348"/>
      <c r="AM89" s="348"/>
      <c r="AN89" s="348"/>
      <c r="AO89" s="348"/>
    </row>
    <row r="90" ht="14.25" customHeight="1">
      <c r="A90" s="75" t="s">
        <v>315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3"/>
      <c r="M90" s="348"/>
      <c r="N90" s="244"/>
      <c r="O90" s="244"/>
      <c r="P90" s="244"/>
      <c r="Q90" s="244"/>
      <c r="R90" s="244"/>
      <c r="S90" s="244"/>
      <c r="T90" s="348"/>
      <c r="U90" s="348"/>
      <c r="V90" s="348"/>
      <c r="W90" s="348"/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  <c r="AH90" s="348"/>
      <c r="AI90" s="348"/>
      <c r="AJ90" s="348"/>
      <c r="AK90" s="348"/>
      <c r="AL90" s="348"/>
      <c r="AM90" s="348"/>
      <c r="AN90" s="348"/>
      <c r="AO90" s="348"/>
    </row>
    <row r="91" ht="14.2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348"/>
      <c r="N91" s="244"/>
      <c r="O91" s="244"/>
      <c r="P91" s="244"/>
      <c r="Q91" s="244"/>
      <c r="R91" s="244"/>
      <c r="S91" s="244"/>
      <c r="T91" s="348"/>
      <c r="U91" s="348"/>
      <c r="V91" s="348"/>
      <c r="W91" s="348"/>
      <c r="X91" s="348"/>
      <c r="Y91" s="348"/>
      <c r="Z91" s="348"/>
      <c r="AA91" s="348"/>
      <c r="AB91" s="348"/>
      <c r="AC91" s="348"/>
      <c r="AD91" s="348"/>
      <c r="AE91" s="348"/>
      <c r="AF91" s="348"/>
      <c r="AG91" s="348"/>
      <c r="AH91" s="348"/>
      <c r="AI91" s="348"/>
      <c r="AJ91" s="348"/>
      <c r="AK91" s="348"/>
      <c r="AL91" s="348"/>
      <c r="AM91" s="348"/>
      <c r="AN91" s="348"/>
      <c r="AO91" s="348"/>
    </row>
    <row r="92" ht="27.75" customHeight="1">
      <c r="A92" s="66" t="s">
        <v>66</v>
      </c>
      <c r="B92" s="152"/>
      <c r="C92" s="221" t="s">
        <v>6</v>
      </c>
      <c r="D92" s="20"/>
      <c r="E92" s="66" t="s">
        <v>66</v>
      </c>
      <c r="F92" s="152"/>
      <c r="G92" s="221" t="s">
        <v>6</v>
      </c>
      <c r="H92" s="20"/>
      <c r="I92" s="66" t="s">
        <v>66</v>
      </c>
      <c r="J92" s="152"/>
      <c r="K92" s="221" t="s">
        <v>6</v>
      </c>
      <c r="L92" s="20"/>
      <c r="M92" s="348"/>
      <c r="N92" s="244"/>
      <c r="O92" s="244"/>
      <c r="P92" s="244"/>
      <c r="Q92" s="244"/>
      <c r="R92" s="244"/>
      <c r="S92" s="244"/>
      <c r="T92" s="348"/>
      <c r="U92" s="348"/>
      <c r="V92" s="348"/>
      <c r="W92" s="348"/>
      <c r="X92" s="348"/>
      <c r="Y92" s="348"/>
      <c r="Z92" s="348"/>
      <c r="AA92" s="348"/>
      <c r="AB92" s="348"/>
      <c r="AC92" s="348"/>
      <c r="AD92" s="348"/>
      <c r="AE92" s="348"/>
      <c r="AF92" s="348"/>
      <c r="AG92" s="348"/>
      <c r="AH92" s="348"/>
      <c r="AI92" s="348"/>
      <c r="AJ92" s="348"/>
      <c r="AK92" s="348"/>
      <c r="AL92" s="348"/>
      <c r="AM92" s="348"/>
      <c r="AN92" s="348"/>
      <c r="AO92" s="348"/>
    </row>
    <row r="93" ht="14.25" customHeight="1">
      <c r="A93" s="430" t="s">
        <v>122</v>
      </c>
      <c r="B93" s="431"/>
      <c r="C93" s="432">
        <v>0.0</v>
      </c>
      <c r="D93" s="433"/>
      <c r="E93" s="437" t="s">
        <v>316</v>
      </c>
      <c r="F93" s="159"/>
      <c r="G93" s="438">
        <v>0.0</v>
      </c>
      <c r="H93" s="24"/>
      <c r="I93" s="430" t="s">
        <v>317</v>
      </c>
      <c r="J93" s="431"/>
      <c r="K93" s="432">
        <v>0.0</v>
      </c>
      <c r="L93" s="433"/>
      <c r="M93" s="348"/>
      <c r="N93" s="244"/>
      <c r="O93" s="244"/>
      <c r="P93" s="244"/>
      <c r="Q93" s="244"/>
      <c r="R93" s="244"/>
      <c r="S93" s="244"/>
      <c r="T93" s="348"/>
      <c r="U93" s="348"/>
      <c r="V93" s="348"/>
      <c r="W93" s="348"/>
      <c r="X93" s="348"/>
      <c r="Y93" s="348"/>
      <c r="Z93" s="348"/>
      <c r="AA93" s="348"/>
      <c r="AB93" s="348"/>
      <c r="AC93" s="348"/>
      <c r="AD93" s="348"/>
      <c r="AE93" s="348"/>
      <c r="AF93" s="348"/>
      <c r="AG93" s="348"/>
      <c r="AH93" s="348"/>
      <c r="AI93" s="348"/>
      <c r="AJ93" s="348"/>
      <c r="AK93" s="348"/>
      <c r="AL93" s="348"/>
      <c r="AM93" s="348"/>
      <c r="AN93" s="348"/>
      <c r="AO93" s="348"/>
    </row>
    <row r="94" ht="14.25" customHeight="1">
      <c r="A94" s="434" t="s">
        <v>125</v>
      </c>
      <c r="B94" s="165"/>
      <c r="C94" s="239">
        <v>0.0</v>
      </c>
      <c r="D94" s="28"/>
      <c r="E94" s="430" t="s">
        <v>318</v>
      </c>
      <c r="F94" s="431"/>
      <c r="G94" s="439">
        <v>0.0</v>
      </c>
      <c r="H94" s="440"/>
      <c r="I94" s="434" t="s">
        <v>319</v>
      </c>
      <c r="J94" s="165"/>
      <c r="K94" s="239">
        <v>0.0</v>
      </c>
      <c r="L94" s="28"/>
      <c r="M94" s="244"/>
      <c r="N94" s="348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</row>
    <row r="95" ht="14.25" customHeight="1">
      <c r="A95" s="35">
        <v>69.1</v>
      </c>
      <c r="B95" s="171"/>
      <c r="C95" s="241">
        <v>0.0</v>
      </c>
      <c r="D95" s="49"/>
      <c r="E95" s="434" t="s">
        <v>320</v>
      </c>
      <c r="F95" s="165"/>
      <c r="G95" s="186">
        <v>0.0</v>
      </c>
      <c r="H95" s="28"/>
      <c r="I95" s="434" t="s">
        <v>321</v>
      </c>
      <c r="J95" s="165"/>
      <c r="K95" s="239">
        <v>0.0</v>
      </c>
      <c r="L95" s="28"/>
      <c r="M95" s="244"/>
      <c r="N95" s="348"/>
      <c r="O95" s="244"/>
      <c r="P95" s="244"/>
      <c r="Q95" s="244"/>
      <c r="R95" s="244"/>
      <c r="S95" s="244"/>
      <c r="T95" s="244"/>
      <c r="U95" s="348"/>
      <c r="V95" s="348"/>
      <c r="W95" s="348"/>
      <c r="X95" s="348"/>
      <c r="Y95" s="348"/>
      <c r="Z95" s="348"/>
      <c r="AA95" s="348"/>
      <c r="AB95" s="348"/>
      <c r="AC95" s="348"/>
      <c r="AD95" s="348"/>
      <c r="AE95" s="348"/>
      <c r="AF95" s="348"/>
      <c r="AG95" s="348"/>
      <c r="AH95" s="348"/>
      <c r="AI95" s="348"/>
      <c r="AJ95" s="348"/>
      <c r="AK95" s="348"/>
      <c r="AL95" s="348"/>
      <c r="AM95" s="348"/>
      <c r="AN95" s="348"/>
      <c r="AO95" s="348"/>
    </row>
    <row r="96" ht="14.25" customHeight="1">
      <c r="A96" s="441"/>
      <c r="B96" s="441"/>
      <c r="C96" s="441"/>
      <c r="D96" s="441"/>
      <c r="E96" s="442" t="s">
        <v>322</v>
      </c>
      <c r="F96" s="171"/>
      <c r="G96" s="187">
        <v>0.0</v>
      </c>
      <c r="H96" s="49"/>
      <c r="I96" s="35">
        <v>70.1</v>
      </c>
      <c r="J96" s="171"/>
      <c r="K96" s="241">
        <v>0.0</v>
      </c>
      <c r="L96" s="49"/>
      <c r="M96" s="111"/>
      <c r="N96" s="348"/>
      <c r="O96" s="244"/>
      <c r="P96" s="244"/>
      <c r="Q96" s="244"/>
      <c r="R96" s="244"/>
      <c r="S96" s="244"/>
      <c r="T96" s="244"/>
      <c r="U96" s="348"/>
      <c r="V96" s="348"/>
      <c r="W96" s="348"/>
      <c r="X96" s="348"/>
      <c r="Y96" s="348"/>
      <c r="Z96" s="348"/>
      <c r="AA96" s="348"/>
      <c r="AB96" s="348"/>
      <c r="AC96" s="348"/>
      <c r="AD96" s="348"/>
      <c r="AE96" s="348"/>
      <c r="AF96" s="348"/>
      <c r="AG96" s="348"/>
      <c r="AH96" s="348"/>
      <c r="AI96" s="348"/>
      <c r="AJ96" s="348"/>
      <c r="AK96" s="348"/>
      <c r="AL96" s="348"/>
      <c r="AM96" s="348"/>
      <c r="AN96" s="348"/>
      <c r="AO96" s="348"/>
    </row>
    <row r="97" ht="14.2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74"/>
      <c r="AD97" s="348"/>
      <c r="AE97" s="348"/>
      <c r="AF97" s="348"/>
      <c r="AG97" s="348"/>
      <c r="AH97" s="348"/>
      <c r="AI97" s="348"/>
      <c r="AJ97" s="348"/>
      <c r="AK97" s="348"/>
      <c r="AL97" s="348"/>
      <c r="AM97" s="348"/>
      <c r="AN97" s="348"/>
      <c r="AO97" s="348"/>
    </row>
    <row r="98" ht="14.25" customHeight="1">
      <c r="A98" s="443" t="s">
        <v>323</v>
      </c>
      <c r="B98" s="12"/>
      <c r="C98" s="12"/>
      <c r="D98" s="12"/>
      <c r="E98" s="12"/>
      <c r="F98" s="12"/>
      <c r="G98" s="12"/>
      <c r="H98" s="12"/>
      <c r="I98" s="13"/>
      <c r="J98" s="244"/>
      <c r="K98" s="244"/>
      <c r="L98" s="244"/>
      <c r="AD98" s="348"/>
      <c r="AE98" s="348"/>
      <c r="AF98" s="348"/>
      <c r="AG98" s="348"/>
      <c r="AH98" s="348"/>
      <c r="AI98" s="348"/>
      <c r="AJ98" s="348"/>
      <c r="AK98" s="348"/>
      <c r="AL98" s="348"/>
      <c r="AM98" s="348"/>
      <c r="AN98" s="348"/>
      <c r="AO98" s="348"/>
    </row>
    <row r="99" ht="14.25" customHeight="1">
      <c r="A99" s="4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104"/>
      <c r="AD99" s="348"/>
      <c r="AE99" s="348"/>
      <c r="AF99" s="348"/>
      <c r="AG99" s="348"/>
      <c r="AH99" s="348"/>
      <c r="AI99" s="348"/>
      <c r="AJ99" s="348"/>
      <c r="AK99" s="348"/>
      <c r="AL99" s="348"/>
      <c r="AM99" s="348"/>
      <c r="AN99" s="348"/>
      <c r="AO99" s="348"/>
    </row>
    <row r="100" ht="14.25" customHeight="1">
      <c r="A100" s="191" t="s">
        <v>139</v>
      </c>
      <c r="B100" s="46"/>
      <c r="C100" s="87" t="s">
        <v>140</v>
      </c>
      <c r="D100" s="23"/>
      <c r="E100" s="23"/>
      <c r="F100" s="23"/>
      <c r="G100" s="24"/>
      <c r="H100" s="192" t="s">
        <v>141</v>
      </c>
      <c r="I100" s="47"/>
      <c r="J100" s="244"/>
      <c r="K100" s="244"/>
      <c r="L100" s="244"/>
      <c r="M100" s="57"/>
      <c r="AD100" s="348"/>
      <c r="AE100" s="348"/>
      <c r="AF100" s="348"/>
      <c r="AG100" s="348"/>
      <c r="AH100" s="348"/>
      <c r="AI100" s="348"/>
      <c r="AJ100" s="348"/>
      <c r="AK100" s="348"/>
      <c r="AL100" s="348"/>
      <c r="AM100" s="348"/>
      <c r="AN100" s="348"/>
      <c r="AO100" s="348"/>
    </row>
    <row r="101" ht="14.25" customHeight="1">
      <c r="A101" s="39"/>
      <c r="B101" s="40"/>
      <c r="C101" s="195" t="s">
        <v>142</v>
      </c>
      <c r="D101" s="171"/>
      <c r="E101" s="196" t="s">
        <v>143</v>
      </c>
      <c r="F101" s="197" t="s">
        <v>144</v>
      </c>
      <c r="G101" s="198" t="s">
        <v>145</v>
      </c>
      <c r="H101" s="40"/>
      <c r="I101" s="86"/>
      <c r="J101" s="244"/>
      <c r="K101" s="244"/>
      <c r="L101" s="244"/>
      <c r="M101" s="57"/>
      <c r="AD101" s="348"/>
      <c r="AE101" s="348"/>
      <c r="AF101" s="348"/>
      <c r="AG101" s="348"/>
      <c r="AH101" s="348"/>
      <c r="AI101" s="348"/>
      <c r="AJ101" s="348"/>
      <c r="AK101" s="348"/>
      <c r="AL101" s="348"/>
      <c r="AM101" s="348"/>
      <c r="AN101" s="348"/>
      <c r="AO101" s="348"/>
    </row>
    <row r="102" ht="25.5" customHeight="1">
      <c r="A102" s="199">
        <v>0.0</v>
      </c>
      <c r="B102" s="20"/>
      <c r="C102" s="445">
        <v>0.0</v>
      </c>
      <c r="D102" s="155"/>
      <c r="E102" s="446">
        <v>0.0</v>
      </c>
      <c r="F102" s="98">
        <v>0.0</v>
      </c>
      <c r="G102" s="445">
        <v>0.0</v>
      </c>
      <c r="H102" s="199">
        <v>0.0</v>
      </c>
      <c r="I102" s="20"/>
      <c r="J102" s="348"/>
      <c r="K102" s="348"/>
      <c r="L102" s="348"/>
      <c r="M102" s="104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4.25" customHeight="1">
      <c r="A103" s="4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104"/>
      <c r="AD103" s="348"/>
      <c r="AE103" s="348"/>
      <c r="AF103" s="348"/>
      <c r="AG103" s="348"/>
      <c r="AH103" s="348"/>
      <c r="AI103" s="348"/>
      <c r="AJ103" s="348"/>
      <c r="AK103" s="348"/>
      <c r="AL103" s="348"/>
      <c r="AM103" s="348"/>
      <c r="AN103" s="348"/>
      <c r="AO103" s="348"/>
    </row>
    <row r="104" ht="14.25" customHeight="1">
      <c r="A104" s="65" t="s">
        <v>324</v>
      </c>
      <c r="B104" s="12"/>
      <c r="C104" s="12"/>
      <c r="D104" s="12"/>
      <c r="E104" s="12"/>
      <c r="F104" s="12"/>
      <c r="G104" s="12"/>
      <c r="H104" s="12"/>
      <c r="I104" s="13"/>
      <c r="J104" s="244"/>
      <c r="K104" s="244"/>
      <c r="L104" s="244"/>
      <c r="M104" s="57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</row>
    <row r="105" ht="14.25" customHeight="1">
      <c r="A105" s="447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4"/>
      <c r="M105" s="111"/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  <c r="AD105" s="244"/>
      <c r="AE105" s="244"/>
      <c r="AF105" s="244"/>
      <c r="AG105" s="244"/>
      <c r="AH105" s="244"/>
      <c r="AI105" s="244"/>
      <c r="AJ105" s="244"/>
      <c r="AK105" s="244"/>
      <c r="AL105" s="244"/>
      <c r="AM105" s="244"/>
      <c r="AN105" s="244"/>
      <c r="AO105" s="244"/>
    </row>
    <row r="106" ht="17.25" customHeight="1">
      <c r="A106" s="75" t="s">
        <v>325</v>
      </c>
      <c r="B106" s="12"/>
      <c r="C106" s="12"/>
      <c r="D106" s="12"/>
      <c r="E106" s="12"/>
      <c r="F106" s="12"/>
      <c r="G106" s="12"/>
      <c r="H106" s="12"/>
      <c r="I106" s="12"/>
      <c r="J106" s="13"/>
      <c r="K106" s="244"/>
      <c r="L106" s="244"/>
      <c r="M106" s="111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  <c r="AO106" s="244"/>
    </row>
    <row r="107" ht="14.2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105"/>
      <c r="N107" s="348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  <c r="AO107" s="244"/>
    </row>
    <row r="108" ht="30.0" customHeight="1">
      <c r="A108" s="220" t="s">
        <v>326</v>
      </c>
      <c r="B108" s="19"/>
      <c r="C108" s="152"/>
      <c r="D108" s="221" t="s">
        <v>149</v>
      </c>
      <c r="E108" s="19"/>
      <c r="F108" s="152"/>
      <c r="G108" s="221" t="s">
        <v>6</v>
      </c>
      <c r="H108" s="19"/>
      <c r="I108" s="20"/>
      <c r="J108" s="448"/>
      <c r="K108" s="12"/>
      <c r="L108" s="13"/>
      <c r="M108" s="244"/>
      <c r="N108" s="348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</row>
    <row r="109" ht="15.0" customHeight="1">
      <c r="A109" s="449">
        <v>0.0</v>
      </c>
      <c r="B109" s="364"/>
      <c r="C109" s="323"/>
      <c r="D109" s="450">
        <v>0.0</v>
      </c>
      <c r="E109" s="19"/>
      <c r="F109" s="152"/>
      <c r="G109" s="451">
        <v>0.0</v>
      </c>
      <c r="H109" s="364"/>
      <c r="I109" s="326"/>
      <c r="J109" s="368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4.25" customHeight="1">
      <c r="A110" s="371"/>
      <c r="B110" s="371"/>
      <c r="C110" s="371"/>
      <c r="D110" s="334"/>
      <c r="E110" s="334"/>
      <c r="F110" s="334"/>
      <c r="G110" s="334"/>
      <c r="H110" s="334"/>
      <c r="I110" s="334"/>
      <c r="J110" s="194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4.25" customHeight="1">
      <c r="A111" s="205" t="s">
        <v>327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4.25" customHeight="1"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4.2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4"/>
      <c r="M113" s="111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  <c r="AO113" s="244"/>
    </row>
    <row r="114" ht="25.5" customHeight="1">
      <c r="A114" s="191" t="s">
        <v>151</v>
      </c>
      <c r="B114" s="47"/>
      <c r="C114" s="452" t="s">
        <v>152</v>
      </c>
      <c r="D114" s="24"/>
      <c r="E114" s="452" t="s">
        <v>235</v>
      </c>
      <c r="F114" s="24"/>
      <c r="G114" s="452" t="s">
        <v>236</v>
      </c>
      <c r="H114" s="24"/>
      <c r="I114" s="111"/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  <c r="AO114" s="244"/>
    </row>
    <row r="115" ht="30.75" customHeight="1">
      <c r="A115" s="39"/>
      <c r="B115" s="86"/>
      <c r="C115" s="453" t="s">
        <v>6</v>
      </c>
      <c r="D115" s="454" t="s">
        <v>155</v>
      </c>
      <c r="E115" s="453" t="s">
        <v>6</v>
      </c>
      <c r="F115" s="454" t="s">
        <v>155</v>
      </c>
      <c r="G115" s="453" t="s">
        <v>6</v>
      </c>
      <c r="H115" s="454" t="s">
        <v>155</v>
      </c>
      <c r="I115" s="111"/>
      <c r="J115" s="244"/>
      <c r="K115" s="244"/>
      <c r="L115" s="244"/>
      <c r="M115" s="244"/>
      <c r="N115" s="244"/>
      <c r="O115" s="244"/>
      <c r="P115" s="348"/>
      <c r="Q115" s="348"/>
      <c r="R115" s="348"/>
      <c r="S115" s="348"/>
      <c r="T115" s="348"/>
      <c r="U115" s="348"/>
      <c r="V115" s="348"/>
      <c r="W115" s="348"/>
      <c r="X115" s="455" t="s">
        <v>328</v>
      </c>
      <c r="Y115" s="455" t="s">
        <v>329</v>
      </c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  <c r="AJ115" s="348"/>
      <c r="AK115" s="348"/>
      <c r="AL115" s="348"/>
      <c r="AM115" s="348"/>
      <c r="AN115" s="348"/>
      <c r="AO115" s="348"/>
    </row>
    <row r="116" ht="20.25" customHeight="1">
      <c r="A116" s="456" t="s">
        <v>56</v>
      </c>
      <c r="B116" s="440"/>
      <c r="C116" s="209">
        <v>0.0</v>
      </c>
      <c r="D116" s="210">
        <v>0.0</v>
      </c>
      <c r="E116" s="209">
        <v>0.0</v>
      </c>
      <c r="F116" s="210">
        <v>0.0</v>
      </c>
      <c r="G116" s="209">
        <v>0.0</v>
      </c>
      <c r="H116" s="210">
        <v>0.0</v>
      </c>
      <c r="I116" s="135"/>
      <c r="X116" s="150" t="str">
        <f t="shared" ref="X116:X122" si="3">SUM(C116,#REF!,E116,#REF!,G116)</f>
        <v>#REF!</v>
      </c>
      <c r="Y116" s="150" t="str">
        <f t="shared" ref="Y116:Y122" si="4">SUM(X116,Y133,#REF!)</f>
        <v>#REF!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348"/>
      <c r="AM116" s="348"/>
      <c r="AN116" s="348"/>
      <c r="AO116" s="348"/>
    </row>
    <row r="117" ht="19.5" customHeight="1">
      <c r="A117" s="140" t="s">
        <v>57</v>
      </c>
      <c r="B117" s="28"/>
      <c r="C117" s="209">
        <v>0.0</v>
      </c>
      <c r="D117" s="164">
        <v>0.0</v>
      </c>
      <c r="E117" s="209">
        <v>0.0</v>
      </c>
      <c r="F117" s="164">
        <v>0.0</v>
      </c>
      <c r="G117" s="209">
        <v>0.0</v>
      </c>
      <c r="H117" s="164">
        <v>0.0</v>
      </c>
      <c r="I117" s="135"/>
      <c r="X117" s="150" t="str">
        <f t="shared" si="3"/>
        <v>#REF!</v>
      </c>
      <c r="Y117" s="150" t="str">
        <f t="shared" si="4"/>
        <v>#REF!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48"/>
      <c r="AM117" s="348"/>
      <c r="AN117" s="348"/>
      <c r="AO117" s="348"/>
    </row>
    <row r="118" ht="20.25" customHeight="1">
      <c r="A118" s="26" t="s">
        <v>58</v>
      </c>
      <c r="B118" s="165"/>
      <c r="C118" s="209">
        <v>0.0</v>
      </c>
      <c r="D118" s="164">
        <v>0.0</v>
      </c>
      <c r="E118" s="209">
        <v>0.0</v>
      </c>
      <c r="F118" s="164">
        <v>0.0</v>
      </c>
      <c r="G118" s="209">
        <v>0.0</v>
      </c>
      <c r="H118" s="164">
        <v>0.0</v>
      </c>
      <c r="I118" s="135"/>
      <c r="X118" s="150" t="str">
        <f t="shared" si="3"/>
        <v>#REF!</v>
      </c>
      <c r="Y118" s="150" t="str">
        <f t="shared" si="4"/>
        <v>#REF!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348"/>
      <c r="AM118" s="348"/>
      <c r="AN118" s="348"/>
      <c r="AO118" s="348"/>
    </row>
    <row r="119" ht="19.5" customHeight="1">
      <c r="A119" s="26" t="s">
        <v>59</v>
      </c>
      <c r="B119" s="165"/>
      <c r="C119" s="209">
        <v>0.0</v>
      </c>
      <c r="D119" s="457">
        <v>0.0</v>
      </c>
      <c r="E119" s="209">
        <v>0.0</v>
      </c>
      <c r="F119" s="164">
        <v>0.0</v>
      </c>
      <c r="G119" s="209">
        <v>0.0</v>
      </c>
      <c r="H119" s="164">
        <v>0.0</v>
      </c>
      <c r="I119" s="135"/>
      <c r="W119" s="2"/>
      <c r="X119" s="150" t="str">
        <f t="shared" si="3"/>
        <v>#REF!</v>
      </c>
      <c r="Y119" s="150" t="str">
        <f t="shared" si="4"/>
        <v>#REF!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348"/>
      <c r="AM119" s="348"/>
      <c r="AN119" s="348"/>
      <c r="AO119" s="348"/>
    </row>
    <row r="120" ht="27.75" customHeight="1">
      <c r="A120" s="140" t="s">
        <v>156</v>
      </c>
      <c r="B120" s="28"/>
      <c r="C120" s="209">
        <v>0.0</v>
      </c>
      <c r="D120" s="164">
        <v>0.0</v>
      </c>
      <c r="E120" s="209">
        <v>0.0</v>
      </c>
      <c r="F120" s="164">
        <v>0.0</v>
      </c>
      <c r="G120" s="209">
        <v>0.0</v>
      </c>
      <c r="H120" s="164">
        <v>0.0</v>
      </c>
      <c r="I120" s="135"/>
      <c r="X120" s="150" t="str">
        <f t="shared" si="3"/>
        <v>#REF!</v>
      </c>
      <c r="Y120" s="150" t="str">
        <f t="shared" si="4"/>
        <v>#REF!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348"/>
      <c r="AM120" s="348"/>
      <c r="AN120" s="348"/>
      <c r="AO120" s="348"/>
    </row>
    <row r="121" ht="27.75" customHeight="1">
      <c r="A121" s="141" t="s">
        <v>63</v>
      </c>
      <c r="B121" s="49"/>
      <c r="C121" s="213">
        <v>0.0</v>
      </c>
      <c r="D121" s="187">
        <v>0.0</v>
      </c>
      <c r="E121" s="458">
        <v>0.0</v>
      </c>
      <c r="F121" s="187">
        <v>0.0</v>
      </c>
      <c r="G121" s="458">
        <v>0.0</v>
      </c>
      <c r="H121" s="179">
        <v>0.0</v>
      </c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149"/>
      <c r="W121" s="2"/>
      <c r="X121" s="150" t="str">
        <f t="shared" si="3"/>
        <v>#REF!</v>
      </c>
      <c r="Y121" s="150" t="str">
        <f t="shared" si="4"/>
        <v>#REF!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348"/>
      <c r="AM121" s="348"/>
      <c r="AN121" s="348"/>
      <c r="AO121" s="348"/>
    </row>
    <row r="122" ht="14.25" customHeight="1">
      <c r="A122" s="459" t="s">
        <v>11</v>
      </c>
      <c r="B122" s="155"/>
      <c r="C122" s="232">
        <f t="shared" ref="C122:H122" si="5">SUM(C116:C121)</f>
        <v>0</v>
      </c>
      <c r="D122" s="315">
        <f t="shared" si="5"/>
        <v>0</v>
      </c>
      <c r="E122" s="215">
        <f t="shared" si="5"/>
        <v>0</v>
      </c>
      <c r="F122" s="315">
        <f t="shared" si="5"/>
        <v>0</v>
      </c>
      <c r="G122" s="215">
        <f t="shared" si="5"/>
        <v>0</v>
      </c>
      <c r="H122" s="315">
        <f t="shared" si="5"/>
        <v>0</v>
      </c>
      <c r="I122" s="217" t="str">
        <f>IF(G109&lt;&gt;SUM(C122,E122,G122),"Section 3.5.2 - The ""Total"" of ""Number of Requests"" should be equal to the ""Number of Requests"" of Section 3.5.1.","")</f>
        <v/>
      </c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"/>
      <c r="X122" s="150" t="str">
        <f t="shared" si="3"/>
        <v>#REF!</v>
      </c>
      <c r="Y122" s="150" t="str">
        <f t="shared" si="4"/>
        <v>#REF!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348"/>
      <c r="AM122" s="348"/>
      <c r="AN122" s="348"/>
      <c r="AO122" s="348"/>
    </row>
    <row r="123" ht="14.25" customHeight="1">
      <c r="A123" s="460"/>
      <c r="B123" s="460"/>
      <c r="C123" s="255"/>
      <c r="D123" s="255"/>
      <c r="E123" s="255"/>
      <c r="F123" s="255"/>
      <c r="G123" s="255"/>
      <c r="H123" s="255"/>
      <c r="I123" s="217" t="str">
        <f>IF(A109&lt;&gt;SUM(D122,F122,H122),"Section 3.5.2 - The total of Columns of ""Pages Processed"" should be equal to the ""Number of Pages Processed"" of Section 3.5.1.","")</f>
        <v/>
      </c>
      <c r="J123" s="255"/>
      <c r="K123" s="255"/>
      <c r="L123" s="255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"/>
      <c r="AB123" s="1"/>
      <c r="AC123" s="1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4.25" customHeight="1">
      <c r="A124" s="182" t="s">
        <v>330</v>
      </c>
      <c r="J124" s="102"/>
      <c r="K124" s="102"/>
      <c r="L124" s="102"/>
      <c r="M124" s="102"/>
      <c r="N124" s="461"/>
      <c r="O124" s="1"/>
      <c r="P124" s="1"/>
      <c r="Q124" s="1"/>
      <c r="R124" s="1"/>
      <c r="S124" s="1"/>
      <c r="T124" s="1"/>
      <c r="U124" s="461"/>
      <c r="V124" s="461"/>
      <c r="W124" s="461"/>
      <c r="X124" s="461"/>
      <c r="Y124" s="461"/>
      <c r="Z124" s="461"/>
      <c r="AA124" s="461"/>
      <c r="AB124" s="461"/>
      <c r="AC124" s="461"/>
      <c r="AD124" s="461"/>
      <c r="AE124" s="461"/>
      <c r="AF124" s="461"/>
      <c r="AG124" s="461"/>
      <c r="AH124" s="461"/>
      <c r="AI124" s="461"/>
      <c r="AJ124" s="461"/>
      <c r="AK124" s="461"/>
      <c r="AL124" s="461"/>
      <c r="AM124" s="461"/>
      <c r="AN124" s="461"/>
      <c r="AO124" s="461"/>
    </row>
    <row r="125" ht="14.2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55"/>
      <c r="N125" s="348"/>
      <c r="O125" s="244"/>
      <c r="P125" s="244"/>
      <c r="Q125" s="244"/>
      <c r="R125" s="244"/>
      <c r="S125" s="244"/>
      <c r="T125" s="244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</row>
    <row r="126" ht="33.0" customHeight="1">
      <c r="A126" s="220" t="s">
        <v>158</v>
      </c>
      <c r="B126" s="19"/>
      <c r="C126" s="152"/>
      <c r="D126" s="221" t="s">
        <v>159</v>
      </c>
      <c r="E126" s="19"/>
      <c r="F126" s="152"/>
      <c r="G126" s="222" t="s">
        <v>6</v>
      </c>
      <c r="H126" s="19"/>
      <c r="I126" s="20"/>
      <c r="J126" s="244"/>
      <c r="K126" s="244"/>
      <c r="L126" s="244"/>
      <c r="M126" s="255"/>
      <c r="N126" s="348"/>
      <c r="O126" s="244"/>
      <c r="P126" s="244"/>
      <c r="Q126" s="244"/>
      <c r="R126" s="244"/>
      <c r="S126" s="244"/>
      <c r="T126" s="244"/>
      <c r="U126" s="348"/>
      <c r="V126" s="348"/>
      <c r="W126" s="348"/>
      <c r="X126" s="348"/>
      <c r="Y126" s="348"/>
      <c r="Z126" s="348"/>
      <c r="AA126" s="348"/>
      <c r="AB126" s="348"/>
      <c r="AC126" s="348"/>
      <c r="AD126" s="348"/>
      <c r="AE126" s="348"/>
      <c r="AF126" s="348"/>
      <c r="AG126" s="348"/>
      <c r="AH126" s="348"/>
      <c r="AI126" s="348"/>
      <c r="AJ126" s="348"/>
      <c r="AK126" s="348"/>
      <c r="AL126" s="348"/>
      <c r="AM126" s="348"/>
      <c r="AN126" s="348"/>
      <c r="AO126" s="348"/>
    </row>
    <row r="127" ht="14.25" customHeight="1">
      <c r="A127" s="462">
        <v>0.0</v>
      </c>
      <c r="B127" s="19"/>
      <c r="C127" s="152"/>
      <c r="D127" s="450">
        <v>0.0</v>
      </c>
      <c r="E127" s="19"/>
      <c r="F127" s="152"/>
      <c r="G127" s="450">
        <v>0.0</v>
      </c>
      <c r="H127" s="19"/>
      <c r="I127" s="20"/>
      <c r="J127" s="194"/>
      <c r="U127" s="348"/>
      <c r="V127" s="348"/>
      <c r="W127" s="348"/>
      <c r="X127" s="348"/>
      <c r="Y127" s="348"/>
      <c r="Z127" s="348"/>
      <c r="AA127" s="348"/>
      <c r="AB127" s="348"/>
      <c r="AC127" s="348"/>
      <c r="AD127" s="348"/>
      <c r="AE127" s="348"/>
      <c r="AF127" s="348"/>
      <c r="AG127" s="348"/>
      <c r="AH127" s="348"/>
      <c r="AI127" s="348"/>
      <c r="AJ127" s="348"/>
      <c r="AK127" s="348"/>
      <c r="AL127" s="348"/>
      <c r="AM127" s="348"/>
      <c r="AN127" s="348"/>
      <c r="AO127" s="348"/>
    </row>
    <row r="128" ht="14.2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194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  <c r="AJ128" s="348"/>
      <c r="AK128" s="348"/>
      <c r="AL128" s="348"/>
      <c r="AM128" s="348"/>
      <c r="AN128" s="348"/>
      <c r="AO128" s="348"/>
    </row>
    <row r="129" ht="14.25" customHeight="1">
      <c r="A129" s="225" t="s">
        <v>331</v>
      </c>
      <c r="S129" s="1"/>
      <c r="T129" s="1"/>
      <c r="U129" s="461"/>
      <c r="V129" s="461"/>
      <c r="W129" s="461"/>
      <c r="X129" s="461"/>
      <c r="Y129" s="461"/>
      <c r="Z129" s="461"/>
      <c r="AA129" s="461"/>
      <c r="AB129" s="461"/>
      <c r="AC129" s="461"/>
      <c r="AD129" s="461"/>
      <c r="AE129" s="461"/>
      <c r="AF129" s="461"/>
      <c r="AG129" s="461"/>
      <c r="AH129" s="461"/>
      <c r="AI129" s="461"/>
      <c r="AJ129" s="461"/>
      <c r="AK129" s="461"/>
      <c r="AL129" s="461"/>
      <c r="AM129" s="461"/>
      <c r="AN129" s="461"/>
      <c r="AO129" s="461"/>
    </row>
    <row r="130" ht="14.2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102"/>
      <c r="N130" s="461"/>
      <c r="O130" s="1"/>
      <c r="P130" s="1"/>
      <c r="Q130" s="1"/>
      <c r="R130" s="1"/>
      <c r="S130" s="1"/>
      <c r="T130" s="1"/>
      <c r="U130" s="461"/>
      <c r="V130" s="461"/>
      <c r="W130" s="461"/>
      <c r="X130" s="461"/>
      <c r="Y130" s="461"/>
      <c r="Z130" s="461"/>
      <c r="AA130" s="461"/>
      <c r="AB130" s="461"/>
      <c r="AC130" s="461"/>
      <c r="AD130" s="461"/>
      <c r="AE130" s="461"/>
      <c r="AF130" s="461"/>
      <c r="AG130" s="461"/>
      <c r="AH130" s="461"/>
      <c r="AI130" s="461"/>
      <c r="AJ130" s="461"/>
      <c r="AK130" s="461"/>
      <c r="AL130" s="461"/>
      <c r="AM130" s="461"/>
      <c r="AN130" s="461"/>
      <c r="AO130" s="461"/>
    </row>
    <row r="131" ht="15.0" customHeight="1">
      <c r="A131" s="463" t="s">
        <v>151</v>
      </c>
      <c r="B131" s="46"/>
      <c r="C131" s="47"/>
      <c r="D131" s="228" t="s">
        <v>332</v>
      </c>
      <c r="E131" s="46"/>
      <c r="F131" s="46"/>
      <c r="G131" s="464" t="s">
        <v>161</v>
      </c>
      <c r="H131" s="47"/>
      <c r="I131" s="1"/>
      <c r="J131" s="461"/>
      <c r="K131" s="461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  <c r="Z131" s="461"/>
      <c r="AA131" s="461"/>
      <c r="AB131" s="461"/>
      <c r="AC131" s="461"/>
      <c r="AD131" s="461"/>
      <c r="AE131" s="461"/>
      <c r="AF131" s="461"/>
      <c r="AG131" s="461"/>
      <c r="AH131" s="461"/>
      <c r="AI131" s="461"/>
      <c r="AJ131" s="461"/>
      <c r="AK131" s="461"/>
      <c r="AL131" s="461"/>
      <c r="AM131" s="461"/>
      <c r="AN131" s="461"/>
      <c r="AO131" s="461"/>
    </row>
    <row r="132" ht="15.75" customHeight="1">
      <c r="A132" s="39"/>
      <c r="B132" s="40"/>
      <c r="C132" s="86"/>
      <c r="D132" s="39"/>
      <c r="E132" s="40"/>
      <c r="F132" s="40"/>
      <c r="G132" s="230"/>
      <c r="H132" s="86"/>
      <c r="I132" s="1"/>
      <c r="J132" s="461"/>
      <c r="K132" s="461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  <c r="Z132" s="461"/>
      <c r="AA132" s="461"/>
      <c r="AB132" s="461"/>
      <c r="AC132" s="461"/>
      <c r="AD132" s="461"/>
      <c r="AE132" s="461"/>
      <c r="AF132" s="461"/>
      <c r="AG132" s="461"/>
      <c r="AH132" s="461"/>
      <c r="AI132" s="461"/>
      <c r="AJ132" s="461"/>
      <c r="AK132" s="461"/>
      <c r="AL132" s="461"/>
      <c r="AM132" s="461"/>
      <c r="AN132" s="461"/>
      <c r="AO132" s="461"/>
    </row>
    <row r="133" ht="14.25" customHeight="1">
      <c r="A133" s="22" t="s">
        <v>56</v>
      </c>
      <c r="B133" s="23"/>
      <c r="C133" s="24"/>
      <c r="D133" s="465">
        <v>0.0</v>
      </c>
      <c r="E133" s="23"/>
      <c r="F133" s="159"/>
      <c r="G133" s="466">
        <v>0.0</v>
      </c>
      <c r="H133" s="24"/>
      <c r="I133" s="394"/>
      <c r="W133" s="461"/>
      <c r="X133" s="461"/>
      <c r="Y133" s="461"/>
      <c r="Z133" s="461"/>
      <c r="AA133" s="461"/>
      <c r="AB133" s="461"/>
      <c r="AC133" s="461"/>
      <c r="AD133" s="461"/>
      <c r="AE133" s="461"/>
      <c r="AF133" s="461"/>
      <c r="AG133" s="461"/>
      <c r="AH133" s="461"/>
      <c r="AI133" s="461"/>
      <c r="AJ133" s="461"/>
      <c r="AK133" s="461"/>
      <c r="AL133" s="461"/>
      <c r="AM133" s="461"/>
      <c r="AN133" s="461"/>
      <c r="AO133" s="461"/>
    </row>
    <row r="134" ht="14.25" customHeight="1">
      <c r="A134" s="140" t="s">
        <v>57</v>
      </c>
      <c r="B134" s="27"/>
      <c r="C134" s="28"/>
      <c r="D134" s="467">
        <v>0.0</v>
      </c>
      <c r="E134" s="27"/>
      <c r="F134" s="165"/>
      <c r="G134" s="468">
        <v>0.0</v>
      </c>
      <c r="H134" s="28"/>
      <c r="I134" s="394"/>
      <c r="W134" s="461"/>
      <c r="X134" s="461"/>
      <c r="Y134" s="461"/>
      <c r="Z134" s="461"/>
      <c r="AA134" s="461"/>
      <c r="AB134" s="461"/>
      <c r="AC134" s="461"/>
      <c r="AD134" s="461"/>
      <c r="AE134" s="461"/>
      <c r="AF134" s="461"/>
      <c r="AG134" s="461"/>
      <c r="AH134" s="461"/>
      <c r="AI134" s="461"/>
      <c r="AJ134" s="461"/>
      <c r="AK134" s="461"/>
      <c r="AL134" s="461"/>
      <c r="AM134" s="461"/>
      <c r="AN134" s="461"/>
      <c r="AO134" s="461"/>
    </row>
    <row r="135" ht="14.25" customHeight="1">
      <c r="A135" s="26" t="s">
        <v>58</v>
      </c>
      <c r="B135" s="27"/>
      <c r="C135" s="28"/>
      <c r="D135" s="467">
        <v>0.0</v>
      </c>
      <c r="E135" s="27"/>
      <c r="F135" s="165"/>
      <c r="G135" s="468">
        <v>0.0</v>
      </c>
      <c r="H135" s="28"/>
      <c r="I135" s="394"/>
      <c r="W135" s="461"/>
      <c r="X135" s="461"/>
      <c r="Y135" s="461"/>
      <c r="Z135" s="461"/>
      <c r="AA135" s="461"/>
      <c r="AB135" s="461"/>
      <c r="AC135" s="461"/>
      <c r="AD135" s="461"/>
      <c r="AE135" s="461"/>
      <c r="AF135" s="461"/>
      <c r="AG135" s="461"/>
      <c r="AH135" s="461"/>
      <c r="AI135" s="461"/>
      <c r="AJ135" s="461"/>
      <c r="AK135" s="461"/>
      <c r="AL135" s="461"/>
      <c r="AM135" s="461"/>
      <c r="AN135" s="461"/>
      <c r="AO135" s="461"/>
    </row>
    <row r="136" ht="14.25" customHeight="1">
      <c r="A136" s="26" t="s">
        <v>59</v>
      </c>
      <c r="B136" s="27"/>
      <c r="C136" s="28"/>
      <c r="D136" s="467">
        <v>0.0</v>
      </c>
      <c r="E136" s="27"/>
      <c r="F136" s="165"/>
      <c r="G136" s="468">
        <v>0.0</v>
      </c>
      <c r="H136" s="28"/>
      <c r="I136" s="394"/>
      <c r="W136" s="461"/>
      <c r="X136" s="461"/>
      <c r="Y136" s="461"/>
      <c r="Z136" s="461"/>
      <c r="AA136" s="461"/>
      <c r="AB136" s="461"/>
      <c r="AC136" s="461"/>
      <c r="AD136" s="461"/>
      <c r="AE136" s="461"/>
      <c r="AF136" s="461"/>
      <c r="AG136" s="461"/>
      <c r="AH136" s="461"/>
      <c r="AI136" s="461"/>
      <c r="AJ136" s="461"/>
      <c r="AK136" s="461"/>
      <c r="AL136" s="461"/>
      <c r="AM136" s="461"/>
      <c r="AN136" s="461"/>
      <c r="AO136" s="461"/>
    </row>
    <row r="137" ht="14.25" customHeight="1">
      <c r="A137" s="140" t="s">
        <v>156</v>
      </c>
      <c r="B137" s="27"/>
      <c r="C137" s="28"/>
      <c r="D137" s="467">
        <v>0.0</v>
      </c>
      <c r="E137" s="27"/>
      <c r="F137" s="165"/>
      <c r="G137" s="468">
        <v>0.0</v>
      </c>
      <c r="H137" s="28"/>
      <c r="I137" s="394"/>
      <c r="W137" s="461"/>
      <c r="X137" s="461"/>
      <c r="Y137" s="461"/>
      <c r="Z137" s="461"/>
      <c r="AA137" s="461"/>
      <c r="AB137" s="461"/>
      <c r="AC137" s="461"/>
      <c r="AD137" s="461"/>
      <c r="AE137" s="461"/>
      <c r="AF137" s="461"/>
      <c r="AG137" s="461"/>
      <c r="AH137" s="461"/>
      <c r="AI137" s="461"/>
      <c r="AJ137" s="461"/>
      <c r="AK137" s="461"/>
      <c r="AL137" s="461"/>
      <c r="AM137" s="461"/>
      <c r="AN137" s="461"/>
      <c r="AO137" s="461"/>
    </row>
    <row r="138" ht="14.25" customHeight="1">
      <c r="A138" s="260" t="s">
        <v>63</v>
      </c>
      <c r="B138" s="36"/>
      <c r="C138" s="49"/>
      <c r="D138" s="469">
        <v>0.0</v>
      </c>
      <c r="E138" s="36"/>
      <c r="F138" s="171"/>
      <c r="G138" s="470">
        <v>0.0</v>
      </c>
      <c r="H138" s="49"/>
      <c r="I138" s="394"/>
      <c r="Y138" s="461"/>
      <c r="Z138" s="461"/>
      <c r="AA138" s="461"/>
      <c r="AB138" s="461"/>
      <c r="AC138" s="461"/>
      <c r="AD138" s="461"/>
      <c r="AE138" s="461"/>
      <c r="AF138" s="461"/>
      <c r="AG138" s="461"/>
      <c r="AH138" s="461"/>
      <c r="AI138" s="461"/>
      <c r="AJ138" s="461"/>
      <c r="AK138" s="461"/>
      <c r="AL138" s="461"/>
      <c r="AM138" s="461"/>
      <c r="AN138" s="461"/>
      <c r="AO138" s="461"/>
    </row>
    <row r="139" ht="16.5" customHeight="1">
      <c r="A139" s="214" t="s">
        <v>11</v>
      </c>
      <c r="B139" s="19"/>
      <c r="C139" s="20"/>
      <c r="D139" s="151">
        <f>SUM(D133:F138)</f>
        <v>0</v>
      </c>
      <c r="E139" s="19"/>
      <c r="F139" s="152"/>
      <c r="G139" s="235">
        <f>SUM(G133:H138)</f>
        <v>0</v>
      </c>
      <c r="H139" s="20"/>
      <c r="I139" s="471" t="str">
        <f>IF(G127&lt;&gt;D139,"Section 3.5.4 - The ""Total"" of ""Number of Requests"" should be equal to the ""Number of Requests"" of Section 3.5.3.","")</f>
        <v/>
      </c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61"/>
      <c r="X139" s="461"/>
      <c r="Y139" s="461"/>
      <c r="Z139" s="461"/>
      <c r="AA139" s="461"/>
      <c r="AB139" s="461"/>
      <c r="AC139" s="461"/>
      <c r="AD139" s="461"/>
      <c r="AE139" s="461"/>
      <c r="AF139" s="461"/>
      <c r="AG139" s="461"/>
      <c r="AH139" s="461"/>
      <c r="AI139" s="461"/>
      <c r="AJ139" s="461"/>
      <c r="AK139" s="461"/>
      <c r="AL139" s="461"/>
      <c r="AM139" s="461"/>
      <c r="AN139" s="461"/>
      <c r="AO139" s="461"/>
    </row>
    <row r="140" ht="14.25" customHeight="1">
      <c r="A140" s="460"/>
      <c r="B140" s="460"/>
      <c r="C140" s="255"/>
      <c r="D140" s="255"/>
      <c r="E140" s="255"/>
      <c r="F140" s="255"/>
      <c r="G140" s="255"/>
      <c r="H140" s="255"/>
      <c r="I140" s="473" t="str">
        <f>IF(G139&lt;&gt;A127,"Section 3.5.4 - The total of Columns of ""Minutes Processed"" should be equal to the ""Number of Minutes Processed"" of Section 3.5.3.","")</f>
        <v/>
      </c>
      <c r="J140" s="474"/>
      <c r="K140" s="474"/>
      <c r="L140" s="474"/>
      <c r="M140" s="255"/>
      <c r="N140" s="348"/>
      <c r="O140" s="244"/>
      <c r="P140" s="244"/>
      <c r="Q140" s="244"/>
      <c r="R140" s="24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348"/>
      <c r="AH140" s="348"/>
      <c r="AI140" s="348"/>
      <c r="AJ140" s="348"/>
      <c r="AK140" s="348"/>
      <c r="AL140" s="348"/>
      <c r="AM140" s="348"/>
      <c r="AN140" s="348"/>
      <c r="AO140" s="348"/>
    </row>
    <row r="141" ht="14.25" customHeight="1">
      <c r="A141" s="182" t="s">
        <v>333</v>
      </c>
      <c r="M141" s="348"/>
      <c r="N141" s="244"/>
      <c r="O141" s="244"/>
      <c r="P141" s="244"/>
      <c r="Q141" s="244"/>
      <c r="R141" s="244"/>
      <c r="S141" s="475"/>
      <c r="T141" s="12"/>
      <c r="U141" s="12"/>
      <c r="V141" s="12"/>
      <c r="W141" s="12"/>
      <c r="X141" s="12"/>
      <c r="Y141" s="12"/>
      <c r="Z141" s="13"/>
      <c r="AA141" s="348"/>
      <c r="AB141" s="348"/>
      <c r="AC141" s="348"/>
      <c r="AD141" s="348"/>
      <c r="AE141" s="348"/>
      <c r="AF141" s="348"/>
      <c r="AG141" s="348"/>
      <c r="AH141" s="348"/>
      <c r="AI141" s="348"/>
      <c r="AJ141" s="348"/>
      <c r="AK141" s="348"/>
      <c r="AL141" s="348"/>
      <c r="AM141" s="348"/>
      <c r="AN141" s="348"/>
      <c r="AO141" s="348"/>
    </row>
    <row r="142" ht="14.2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348"/>
      <c r="N142" s="244"/>
      <c r="O142" s="244"/>
      <c r="P142" s="244"/>
      <c r="Q142" s="244"/>
      <c r="R142" s="244"/>
      <c r="S142" s="244"/>
      <c r="T142" s="348"/>
      <c r="U142" s="348"/>
      <c r="V142" s="348"/>
      <c r="W142" s="348"/>
      <c r="X142" s="348"/>
      <c r="Y142" s="348"/>
      <c r="Z142" s="348"/>
      <c r="AA142" s="348"/>
      <c r="AB142" s="348"/>
      <c r="AC142" s="348"/>
      <c r="AD142" s="348"/>
      <c r="AE142" s="348"/>
      <c r="AF142" s="348"/>
      <c r="AG142" s="348"/>
      <c r="AH142" s="348"/>
      <c r="AI142" s="348"/>
      <c r="AJ142" s="348"/>
      <c r="AK142" s="348"/>
      <c r="AL142" s="348"/>
      <c r="AM142" s="348"/>
      <c r="AN142" s="348"/>
      <c r="AO142" s="348"/>
    </row>
    <row r="143" ht="30.0" customHeight="1">
      <c r="A143" s="220" t="s">
        <v>151</v>
      </c>
      <c r="B143" s="43"/>
      <c r="C143" s="220" t="s">
        <v>164</v>
      </c>
      <c r="D143" s="152"/>
      <c r="E143" s="221" t="s">
        <v>165</v>
      </c>
      <c r="F143" s="152"/>
      <c r="G143" s="221" t="s">
        <v>334</v>
      </c>
      <c r="H143" s="152"/>
      <c r="I143" s="221" t="s">
        <v>141</v>
      </c>
      <c r="J143" s="43"/>
      <c r="K143" s="220" t="s">
        <v>11</v>
      </c>
      <c r="L143" s="20"/>
      <c r="M143" s="348"/>
      <c r="N143" s="244"/>
      <c r="O143" s="244"/>
      <c r="P143" s="244"/>
      <c r="Q143" s="244"/>
      <c r="R143" s="244"/>
      <c r="S143" s="244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  <c r="AJ143" s="348"/>
      <c r="AK143" s="348"/>
      <c r="AL143" s="348"/>
      <c r="AM143" s="348"/>
      <c r="AN143" s="348"/>
      <c r="AO143" s="348"/>
    </row>
    <row r="144" ht="14.25" customHeight="1">
      <c r="A144" s="476" t="s">
        <v>56</v>
      </c>
      <c r="B144" s="353"/>
      <c r="C144" s="477">
        <v>0.0</v>
      </c>
      <c r="D144" s="431"/>
      <c r="E144" s="432">
        <v>0.0</v>
      </c>
      <c r="F144" s="431"/>
      <c r="G144" s="432">
        <v>0.0</v>
      </c>
      <c r="H144" s="431"/>
      <c r="I144" s="432">
        <v>0.0</v>
      </c>
      <c r="J144" s="353"/>
      <c r="K144" s="478">
        <f t="shared" ref="K144:K149" si="6">SUM(C144:J144)</f>
        <v>0</v>
      </c>
      <c r="L144" s="433"/>
      <c r="M144" s="348"/>
      <c r="N144" s="244"/>
      <c r="O144" s="244"/>
      <c r="P144" s="244"/>
      <c r="Q144" s="244"/>
      <c r="R144" s="244"/>
      <c r="S144" s="244"/>
      <c r="T144" s="348"/>
      <c r="U144" s="348"/>
      <c r="V144" s="348"/>
      <c r="W144" s="348"/>
      <c r="X144" s="348"/>
      <c r="Y144" s="348"/>
      <c r="Z144" s="348"/>
      <c r="AA144" s="348"/>
      <c r="AB144" s="348"/>
      <c r="AC144" s="348"/>
      <c r="AD144" s="348"/>
      <c r="AE144" s="348"/>
      <c r="AF144" s="348"/>
      <c r="AG144" s="348"/>
      <c r="AH144" s="348"/>
      <c r="AI144" s="348"/>
      <c r="AJ144" s="348"/>
      <c r="AK144" s="348"/>
      <c r="AL144" s="348"/>
      <c r="AM144" s="348"/>
      <c r="AN144" s="348"/>
      <c r="AO144" s="348"/>
    </row>
    <row r="145" ht="14.25" customHeight="1">
      <c r="A145" s="30" t="s">
        <v>57</v>
      </c>
      <c r="B145" s="50"/>
      <c r="C145" s="29">
        <v>0.0</v>
      </c>
      <c r="D145" s="165"/>
      <c r="E145" s="239">
        <v>0.0</v>
      </c>
      <c r="F145" s="165"/>
      <c r="G145" s="239">
        <v>0.0</v>
      </c>
      <c r="H145" s="165"/>
      <c r="I145" s="239">
        <v>0.0</v>
      </c>
      <c r="J145" s="50"/>
      <c r="K145" s="240">
        <f t="shared" si="6"/>
        <v>0</v>
      </c>
      <c r="L145" s="28"/>
      <c r="M145" s="348"/>
      <c r="N145" s="244"/>
      <c r="O145" s="244"/>
      <c r="P145" s="244"/>
      <c r="Q145" s="244"/>
      <c r="R145" s="244"/>
      <c r="S145" s="244"/>
      <c r="T145" s="348"/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348"/>
      <c r="AF145" s="348"/>
      <c r="AG145" s="348"/>
      <c r="AH145" s="348"/>
      <c r="AI145" s="348"/>
      <c r="AJ145" s="348"/>
      <c r="AK145" s="348"/>
      <c r="AL145" s="348"/>
      <c r="AM145" s="348"/>
      <c r="AN145" s="348"/>
      <c r="AO145" s="348"/>
    </row>
    <row r="146" ht="14.25" customHeight="1">
      <c r="A146" s="30" t="s">
        <v>58</v>
      </c>
      <c r="B146" s="50"/>
      <c r="C146" s="29">
        <v>0.0</v>
      </c>
      <c r="D146" s="165"/>
      <c r="E146" s="239">
        <v>0.0</v>
      </c>
      <c r="F146" s="165"/>
      <c r="G146" s="239">
        <v>0.0</v>
      </c>
      <c r="H146" s="165"/>
      <c r="I146" s="239">
        <v>0.0</v>
      </c>
      <c r="J146" s="50"/>
      <c r="K146" s="240">
        <f t="shared" si="6"/>
        <v>0</v>
      </c>
      <c r="L146" s="28"/>
      <c r="M146" s="348"/>
      <c r="N146" s="244"/>
      <c r="O146" s="244"/>
      <c r="P146" s="244"/>
      <c r="Q146" s="244"/>
      <c r="R146" s="244"/>
      <c r="S146" s="244"/>
      <c r="T146" s="348"/>
      <c r="U146" s="244"/>
      <c r="V146" s="244"/>
      <c r="W146" s="244"/>
      <c r="X146" s="244"/>
      <c r="Y146" s="244"/>
      <c r="Z146" s="244"/>
      <c r="AA146" s="244"/>
      <c r="AB146" s="244"/>
      <c r="AC146" s="244"/>
      <c r="AD146" s="244"/>
      <c r="AE146" s="348"/>
      <c r="AF146" s="348"/>
      <c r="AG146" s="348"/>
      <c r="AH146" s="348"/>
      <c r="AI146" s="348"/>
      <c r="AJ146" s="348"/>
      <c r="AK146" s="348"/>
      <c r="AL146" s="348"/>
      <c r="AM146" s="348"/>
      <c r="AN146" s="348"/>
      <c r="AO146" s="348"/>
    </row>
    <row r="147" ht="14.25" customHeight="1">
      <c r="A147" s="30" t="s">
        <v>59</v>
      </c>
      <c r="B147" s="28"/>
      <c r="C147" s="29">
        <v>0.0</v>
      </c>
      <c r="D147" s="165"/>
      <c r="E147" s="239">
        <v>0.0</v>
      </c>
      <c r="F147" s="165"/>
      <c r="G147" s="239">
        <v>0.0</v>
      </c>
      <c r="H147" s="165"/>
      <c r="I147" s="239">
        <v>0.0</v>
      </c>
      <c r="J147" s="28"/>
      <c r="K147" s="240">
        <f t="shared" si="6"/>
        <v>0</v>
      </c>
      <c r="L147" s="28"/>
      <c r="M147" s="348"/>
      <c r="N147" s="244"/>
      <c r="O147" s="244"/>
      <c r="P147" s="244"/>
      <c r="Q147" s="244"/>
      <c r="R147" s="244"/>
      <c r="S147" s="244"/>
      <c r="T147" s="348"/>
      <c r="U147" s="244"/>
      <c r="V147" s="244"/>
      <c r="W147" s="244"/>
      <c r="X147" s="244"/>
      <c r="Y147" s="244"/>
      <c r="Z147" s="244"/>
      <c r="AA147" s="244"/>
      <c r="AB147" s="244"/>
      <c r="AC147" s="244"/>
      <c r="AD147" s="244"/>
      <c r="AE147" s="348"/>
      <c r="AF147" s="348"/>
      <c r="AG147" s="348"/>
      <c r="AH147" s="348"/>
      <c r="AI147" s="348"/>
      <c r="AJ147" s="348"/>
      <c r="AK147" s="348"/>
      <c r="AL147" s="348"/>
      <c r="AM147" s="348"/>
      <c r="AN147" s="348"/>
      <c r="AO147" s="348"/>
    </row>
    <row r="148" ht="27.0" customHeight="1">
      <c r="A148" s="30" t="s">
        <v>62</v>
      </c>
      <c r="B148" s="50"/>
      <c r="C148" s="29">
        <v>0.0</v>
      </c>
      <c r="D148" s="165"/>
      <c r="E148" s="239">
        <v>0.0</v>
      </c>
      <c r="F148" s="165"/>
      <c r="G148" s="239">
        <v>0.0</v>
      </c>
      <c r="H148" s="165"/>
      <c r="I148" s="239">
        <v>0.0</v>
      </c>
      <c r="J148" s="50"/>
      <c r="K148" s="240">
        <f t="shared" si="6"/>
        <v>0</v>
      </c>
      <c r="L148" s="28"/>
      <c r="M148" s="244"/>
      <c r="N148" s="348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</row>
    <row r="149" ht="27.0" customHeight="1">
      <c r="A149" s="479" t="s">
        <v>63</v>
      </c>
      <c r="B149" s="49"/>
      <c r="C149" s="72">
        <v>0.0</v>
      </c>
      <c r="D149" s="171"/>
      <c r="E149" s="241">
        <v>0.0</v>
      </c>
      <c r="F149" s="171"/>
      <c r="G149" s="241">
        <v>0.0</v>
      </c>
      <c r="H149" s="171"/>
      <c r="I149" s="241">
        <v>0.0</v>
      </c>
      <c r="J149" s="37"/>
      <c r="K149" s="254">
        <f t="shared" si="6"/>
        <v>0</v>
      </c>
      <c r="L149" s="49"/>
      <c r="M149" s="244"/>
      <c r="N149" s="348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</row>
    <row r="150" ht="15.75" customHeight="1">
      <c r="A150" s="423" t="s">
        <v>11</v>
      </c>
      <c r="B150" s="365"/>
      <c r="C150" s="480">
        <f>SUM(C144:D149)</f>
        <v>0</v>
      </c>
      <c r="D150" s="323"/>
      <c r="E150" s="481">
        <f>SUM(E144:F149)</f>
        <v>0</v>
      </c>
      <c r="F150" s="323"/>
      <c r="G150" s="481">
        <f>SUM(G144:H149)</f>
        <v>0</v>
      </c>
      <c r="H150" s="323"/>
      <c r="I150" s="481">
        <f>SUM(I144:J149)</f>
        <v>0</v>
      </c>
      <c r="J150" s="365"/>
      <c r="K150" s="480">
        <f>SUM(K144:L149)</f>
        <v>0</v>
      </c>
      <c r="L150" s="326"/>
      <c r="M150" s="244"/>
      <c r="N150" s="348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</row>
    <row r="151" ht="14.2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348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</row>
    <row r="152" ht="14.25" customHeight="1">
      <c r="A152" s="75" t="s">
        <v>335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3"/>
      <c r="M152" s="244"/>
      <c r="N152" s="348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4"/>
      <c r="AM152" s="244"/>
      <c r="AN152" s="244"/>
      <c r="AO152" s="244"/>
    </row>
    <row r="153" ht="14.25" customHeight="1">
      <c r="A153" s="4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348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4"/>
      <c r="AM153" s="244"/>
      <c r="AN153" s="244"/>
      <c r="AO153" s="244"/>
    </row>
    <row r="154" ht="14.25" customHeight="1">
      <c r="A154" s="75" t="s">
        <v>336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3"/>
      <c r="M154" s="244"/>
      <c r="N154" s="348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4"/>
      <c r="AM154" s="244"/>
      <c r="AN154" s="244"/>
      <c r="AO154" s="244"/>
    </row>
    <row r="155" ht="13.5" customHeight="1">
      <c r="A155" s="4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348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244"/>
      <c r="AO155" s="244"/>
    </row>
    <row r="156" ht="14.25" customHeight="1">
      <c r="A156" s="482" t="s">
        <v>337</v>
      </c>
      <c r="B156" s="46"/>
      <c r="C156" s="46"/>
      <c r="D156" s="47"/>
      <c r="E156" s="483">
        <f>H20-A167</f>
        <v>0</v>
      </c>
      <c r="F156" s="47"/>
      <c r="G156" s="484"/>
      <c r="H156" s="244"/>
      <c r="I156" s="244"/>
      <c r="J156" s="244"/>
      <c r="K156" s="244"/>
      <c r="L156" s="244"/>
      <c r="M156" s="244"/>
      <c r="N156" s="348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4"/>
      <c r="AM156" s="244"/>
      <c r="AN156" s="244"/>
      <c r="AO156" s="244"/>
    </row>
    <row r="157" ht="15.0" customHeight="1">
      <c r="A157" s="246"/>
      <c r="B157" s="7"/>
      <c r="C157" s="7"/>
      <c r="D157" s="120"/>
      <c r="E157" s="285"/>
      <c r="F157" s="400"/>
      <c r="G157" s="484"/>
      <c r="H157" s="244"/>
      <c r="I157" s="244"/>
      <c r="J157" s="244"/>
      <c r="K157" s="244"/>
      <c r="L157" s="244"/>
      <c r="M157" s="244"/>
      <c r="N157" s="369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</row>
    <row r="158" ht="18.0" customHeight="1">
      <c r="A158" s="485" t="s">
        <v>169</v>
      </c>
      <c r="B158" s="33"/>
      <c r="C158" s="33"/>
      <c r="D158" s="54"/>
      <c r="E158" s="486" t="str">
        <f>IF(H20=0,"0",(E156/H20)*100)</f>
        <v>0</v>
      </c>
      <c r="F158" s="54"/>
      <c r="G158" s="255"/>
      <c r="H158" s="244"/>
      <c r="I158" s="244"/>
      <c r="J158" s="244"/>
      <c r="K158" s="244"/>
      <c r="L158" s="244"/>
      <c r="M158" s="244"/>
      <c r="N158" s="369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</row>
    <row r="159" ht="12.75" customHeight="1">
      <c r="A159" s="39"/>
      <c r="B159" s="40"/>
      <c r="C159" s="40"/>
      <c r="D159" s="86"/>
      <c r="E159" s="366"/>
      <c r="F159" s="86"/>
      <c r="G159" s="255"/>
      <c r="H159" s="244"/>
      <c r="I159" s="244"/>
      <c r="J159" s="244"/>
      <c r="K159" s="244"/>
      <c r="L159" s="244"/>
      <c r="M159" s="244"/>
      <c r="N159" s="369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  <c r="AO159" s="244"/>
    </row>
    <row r="160" ht="15.75" customHeight="1">
      <c r="A160" s="444"/>
      <c r="B160" s="244"/>
      <c r="C160" s="244"/>
      <c r="D160" s="244"/>
      <c r="E160" s="487"/>
      <c r="F160" s="487"/>
      <c r="G160" s="487"/>
      <c r="H160" s="244"/>
      <c r="I160" s="244"/>
      <c r="J160" s="244"/>
      <c r="K160" s="244"/>
      <c r="L160" s="244"/>
      <c r="M160" s="244"/>
      <c r="N160" s="369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  <c r="AO160" s="244"/>
    </row>
    <row r="161" ht="14.25" customHeight="1">
      <c r="A161" s="75" t="s">
        <v>338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3"/>
      <c r="M161" s="488"/>
      <c r="N161" s="369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  <c r="AO161" s="244"/>
    </row>
    <row r="162" ht="14.25" customHeight="1">
      <c r="A162" s="444"/>
      <c r="B162" s="317"/>
      <c r="C162" s="317"/>
      <c r="D162" s="317"/>
      <c r="E162" s="317"/>
      <c r="F162" s="334"/>
      <c r="G162" s="334"/>
      <c r="H162" s="334"/>
      <c r="I162" s="317"/>
      <c r="J162" s="317"/>
      <c r="K162" s="317"/>
      <c r="L162" s="317"/>
      <c r="M162" s="488"/>
      <c r="N162" s="369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4"/>
      <c r="AM162" s="244"/>
      <c r="AN162" s="244"/>
      <c r="AO162" s="244"/>
    </row>
    <row r="163" ht="14.25" customHeight="1">
      <c r="A163" s="75" t="s">
        <v>339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3"/>
      <c r="M163" s="369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4"/>
      <c r="AM163" s="244"/>
      <c r="AN163" s="244"/>
      <c r="AO163" s="244"/>
    </row>
    <row r="164" ht="14.2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369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</row>
    <row r="165" ht="14.25" customHeight="1">
      <c r="A165" s="489" t="s">
        <v>340</v>
      </c>
      <c r="B165" s="46"/>
      <c r="C165" s="46"/>
      <c r="D165" s="47"/>
      <c r="E165" s="490" t="s">
        <v>173</v>
      </c>
      <c r="F165" s="23"/>
      <c r="G165" s="23"/>
      <c r="H165" s="23"/>
      <c r="I165" s="23"/>
      <c r="J165" s="23"/>
      <c r="K165" s="23"/>
      <c r="L165" s="24"/>
      <c r="M165" s="255"/>
      <c r="N165" s="369"/>
      <c r="O165" s="244"/>
      <c r="P165" s="244"/>
      <c r="Q165" s="244"/>
      <c r="R165" s="244"/>
      <c r="S165" s="244"/>
      <c r="T165" s="244"/>
      <c r="U165" s="355"/>
      <c r="V165" s="355"/>
      <c r="W165" s="355"/>
      <c r="X165" s="355"/>
      <c r="Y165" s="355"/>
      <c r="Z165" s="355"/>
      <c r="AA165" s="355"/>
      <c r="AB165" s="355"/>
      <c r="AC165" s="355"/>
      <c r="AD165" s="355"/>
      <c r="AE165" s="244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</row>
    <row r="166" ht="38.25" customHeight="1">
      <c r="A166" s="39"/>
      <c r="B166" s="40"/>
      <c r="C166" s="40"/>
      <c r="D166" s="86"/>
      <c r="E166" s="491" t="s">
        <v>341</v>
      </c>
      <c r="F166" s="171"/>
      <c r="G166" s="325" t="s">
        <v>175</v>
      </c>
      <c r="H166" s="171"/>
      <c r="I166" s="325" t="s">
        <v>176</v>
      </c>
      <c r="J166" s="171"/>
      <c r="K166" s="325" t="s">
        <v>141</v>
      </c>
      <c r="L166" s="49"/>
      <c r="M166" s="244"/>
      <c r="N166" s="369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  <c r="AO166" s="244"/>
    </row>
    <row r="167" ht="13.5" customHeight="1">
      <c r="A167" s="223">
        <f>SUM(E167:L167)</f>
        <v>0</v>
      </c>
      <c r="B167" s="19"/>
      <c r="C167" s="19"/>
      <c r="D167" s="20"/>
      <c r="E167" s="223">
        <v>0.0</v>
      </c>
      <c r="F167" s="152"/>
      <c r="G167" s="224">
        <v>0.0</v>
      </c>
      <c r="H167" s="152"/>
      <c r="I167" s="224">
        <v>0.0</v>
      </c>
      <c r="J167" s="152"/>
      <c r="K167" s="224">
        <v>0.0</v>
      </c>
      <c r="L167" s="20"/>
      <c r="M167" s="244"/>
      <c r="N167" s="369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  <c r="AO167" s="244"/>
    </row>
    <row r="168" ht="14.25" customHeight="1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492"/>
      <c r="N168" s="355"/>
      <c r="O168" s="355"/>
      <c r="P168" s="355"/>
      <c r="Q168" s="355"/>
      <c r="R168" s="355"/>
      <c r="S168" s="355"/>
      <c r="T168" s="355"/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355"/>
      <c r="AF168" s="355"/>
      <c r="AG168" s="355"/>
      <c r="AH168" s="355"/>
      <c r="AI168" s="355"/>
      <c r="AJ168" s="355"/>
      <c r="AK168" s="355"/>
      <c r="AL168" s="355"/>
      <c r="AM168" s="355"/>
      <c r="AN168" s="355"/>
      <c r="AO168" s="355"/>
    </row>
    <row r="169" ht="15.75" customHeight="1">
      <c r="A169" s="75" t="s">
        <v>342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3"/>
      <c r="M169" s="369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</row>
    <row r="170" ht="16.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369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</row>
    <row r="171" ht="41.25" customHeight="1">
      <c r="A171" s="220" t="s">
        <v>178</v>
      </c>
      <c r="B171" s="19"/>
      <c r="C171" s="20"/>
      <c r="D171" s="220" t="s">
        <v>179</v>
      </c>
      <c r="E171" s="19"/>
      <c r="F171" s="152"/>
      <c r="G171" s="221" t="s">
        <v>343</v>
      </c>
      <c r="H171" s="19"/>
      <c r="I171" s="20"/>
      <c r="J171" s="220" t="s">
        <v>11</v>
      </c>
      <c r="K171" s="19"/>
      <c r="L171" s="20"/>
      <c r="M171" s="369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4"/>
      <c r="AM171" s="244"/>
      <c r="AN171" s="244"/>
      <c r="AO171" s="244"/>
    </row>
    <row r="172" ht="14.25" customHeight="1">
      <c r="A172" s="78" t="s">
        <v>181</v>
      </c>
      <c r="B172" s="23"/>
      <c r="C172" s="24"/>
      <c r="D172" s="493">
        <v>0.0</v>
      </c>
      <c r="E172" s="352"/>
      <c r="F172" s="431"/>
      <c r="G172" s="237">
        <v>0.0</v>
      </c>
      <c r="H172" s="23"/>
      <c r="I172" s="24"/>
      <c r="J172" s="238">
        <f t="shared" ref="J172:J178" si="7">SUM(D172:I172)</f>
        <v>0</v>
      </c>
      <c r="K172" s="23"/>
      <c r="L172" s="24"/>
      <c r="M172" s="369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  <c r="AK172" s="244"/>
      <c r="AL172" s="244"/>
      <c r="AM172" s="244"/>
      <c r="AN172" s="244"/>
      <c r="AO172" s="244"/>
    </row>
    <row r="173" ht="15.75" customHeight="1">
      <c r="A173" s="373" t="s">
        <v>182</v>
      </c>
      <c r="B173" s="27"/>
      <c r="C173" s="28"/>
      <c r="D173" s="70">
        <v>0.0</v>
      </c>
      <c r="E173" s="27"/>
      <c r="F173" s="165"/>
      <c r="G173" s="239">
        <v>0.0</v>
      </c>
      <c r="H173" s="27"/>
      <c r="I173" s="28"/>
      <c r="J173" s="240">
        <f t="shared" si="7"/>
        <v>0</v>
      </c>
      <c r="K173" s="27"/>
      <c r="L173" s="28"/>
      <c r="M173" s="369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4"/>
      <c r="AM173" s="244"/>
      <c r="AN173" s="244"/>
      <c r="AO173" s="244"/>
    </row>
    <row r="174" ht="15.75" customHeight="1">
      <c r="A174" s="373" t="s">
        <v>183</v>
      </c>
      <c r="B174" s="27"/>
      <c r="C174" s="28"/>
      <c r="D174" s="70">
        <v>0.0</v>
      </c>
      <c r="E174" s="27"/>
      <c r="F174" s="165"/>
      <c r="G174" s="239">
        <v>0.0</v>
      </c>
      <c r="H174" s="27"/>
      <c r="I174" s="28"/>
      <c r="J174" s="240">
        <f t="shared" si="7"/>
        <v>0</v>
      </c>
      <c r="K174" s="27"/>
      <c r="L174" s="28"/>
      <c r="M174" s="348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4"/>
      <c r="AM174" s="244"/>
      <c r="AN174" s="244"/>
      <c r="AO174" s="244"/>
    </row>
    <row r="175" ht="18.0" customHeight="1">
      <c r="A175" s="373" t="s">
        <v>184</v>
      </c>
      <c r="B175" s="27"/>
      <c r="C175" s="28"/>
      <c r="D175" s="70">
        <v>0.0</v>
      </c>
      <c r="E175" s="27"/>
      <c r="F175" s="165"/>
      <c r="G175" s="239">
        <v>0.0</v>
      </c>
      <c r="H175" s="27"/>
      <c r="I175" s="50"/>
      <c r="J175" s="240">
        <f t="shared" si="7"/>
        <v>0</v>
      </c>
      <c r="K175" s="27"/>
      <c r="L175" s="28"/>
      <c r="M175" s="348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4"/>
      <c r="AM175" s="244"/>
      <c r="AN175" s="244"/>
      <c r="AO175" s="244"/>
    </row>
    <row r="176" ht="18.75" customHeight="1">
      <c r="A176" s="373" t="s">
        <v>185</v>
      </c>
      <c r="B176" s="27"/>
      <c r="C176" s="28"/>
      <c r="D176" s="70">
        <v>0.0</v>
      </c>
      <c r="E176" s="27"/>
      <c r="F176" s="165"/>
      <c r="G176" s="239">
        <v>0.0</v>
      </c>
      <c r="H176" s="27"/>
      <c r="I176" s="50"/>
      <c r="J176" s="240">
        <f t="shared" si="7"/>
        <v>0</v>
      </c>
      <c r="K176" s="27"/>
      <c r="L176" s="28"/>
      <c r="M176" s="348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4"/>
      <c r="AN176" s="244"/>
      <c r="AO176" s="244"/>
    </row>
    <row r="177" ht="18.75" customHeight="1">
      <c r="A177" s="373" t="s">
        <v>186</v>
      </c>
      <c r="B177" s="27"/>
      <c r="C177" s="28"/>
      <c r="D177" s="70">
        <v>0.0</v>
      </c>
      <c r="E177" s="27"/>
      <c r="F177" s="165"/>
      <c r="G177" s="239">
        <v>0.0</v>
      </c>
      <c r="H177" s="27"/>
      <c r="I177" s="50"/>
      <c r="J177" s="240">
        <f t="shared" si="7"/>
        <v>0</v>
      </c>
      <c r="K177" s="27"/>
      <c r="L177" s="28"/>
      <c r="M177" s="348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  <c r="AK177" s="244"/>
      <c r="AL177" s="244"/>
      <c r="AM177" s="244"/>
      <c r="AN177" s="244"/>
      <c r="AO177" s="244"/>
    </row>
    <row r="178" ht="18.75" customHeight="1">
      <c r="A178" s="35" t="s">
        <v>187</v>
      </c>
      <c r="B178" s="36"/>
      <c r="C178" s="49"/>
      <c r="D178" s="242">
        <v>0.0</v>
      </c>
      <c r="E178" s="36"/>
      <c r="F178" s="171"/>
      <c r="G178" s="241">
        <v>0.0</v>
      </c>
      <c r="H178" s="36"/>
      <c r="I178" s="37"/>
      <c r="J178" s="254">
        <f t="shared" si="7"/>
        <v>0</v>
      </c>
      <c r="K178" s="36"/>
      <c r="L178" s="49"/>
      <c r="M178" s="348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  <c r="AD178" s="244"/>
      <c r="AE178" s="244"/>
      <c r="AF178" s="244"/>
      <c r="AG178" s="244"/>
      <c r="AH178" s="244"/>
      <c r="AI178" s="244"/>
      <c r="AJ178" s="244"/>
      <c r="AK178" s="244"/>
      <c r="AL178" s="244"/>
      <c r="AM178" s="244"/>
      <c r="AN178" s="244"/>
      <c r="AO178" s="244"/>
    </row>
    <row r="179" ht="18.75" customHeight="1">
      <c r="A179" s="423" t="s">
        <v>11</v>
      </c>
      <c r="B179" s="364"/>
      <c r="C179" s="365"/>
      <c r="D179" s="480">
        <f>SUM(D172:F178)</f>
        <v>0</v>
      </c>
      <c r="E179" s="364"/>
      <c r="F179" s="323"/>
      <c r="G179" s="481">
        <f>SUM(G172:I178)</f>
        <v>0</v>
      </c>
      <c r="H179" s="364"/>
      <c r="I179" s="365"/>
      <c r="J179" s="480">
        <f>SUM(J172:L178)</f>
        <v>0</v>
      </c>
      <c r="K179" s="364"/>
      <c r="L179" s="326"/>
      <c r="M179" s="217" t="str">
        <f>IF(J179&lt;&gt;A167,"Section 3.7.2 - Total should equal ""Number of requests closed past the legislated timelines"" of Section 3.7.1","")</f>
        <v/>
      </c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  <c r="AK179" s="244"/>
      <c r="AL179" s="244"/>
      <c r="AM179" s="244"/>
      <c r="AN179" s="244"/>
      <c r="AO179" s="244"/>
    </row>
    <row r="180" ht="18.75" customHeight="1">
      <c r="A180" s="460"/>
      <c r="B180" s="460"/>
      <c r="C180" s="460"/>
      <c r="D180" s="255"/>
      <c r="E180" s="255"/>
      <c r="F180" s="255"/>
      <c r="G180" s="255"/>
      <c r="H180" s="255"/>
      <c r="I180" s="255"/>
      <c r="J180" s="255"/>
      <c r="K180" s="255"/>
      <c r="L180" s="255"/>
      <c r="M180" s="348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  <c r="AO180" s="244"/>
    </row>
    <row r="181" ht="14.25" customHeight="1">
      <c r="A181" s="494"/>
      <c r="B181" s="317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244"/>
      <c r="N181" s="348"/>
      <c r="O181" s="244"/>
      <c r="P181" s="244"/>
      <c r="Q181" s="244"/>
      <c r="R181" s="244"/>
      <c r="S181" s="244"/>
      <c r="T181" s="244"/>
      <c r="U181" s="348"/>
      <c r="V181" s="348"/>
      <c r="W181" s="348"/>
      <c r="X181" s="348"/>
      <c r="Y181" s="348"/>
      <c r="Z181" s="348"/>
      <c r="AA181" s="348"/>
      <c r="AB181" s="348"/>
      <c r="AC181" s="348"/>
      <c r="AD181" s="348"/>
      <c r="AE181" s="348"/>
      <c r="AF181" s="348"/>
      <c r="AG181" s="348"/>
      <c r="AH181" s="348"/>
      <c r="AI181" s="348"/>
      <c r="AJ181" s="348"/>
      <c r="AK181" s="348"/>
      <c r="AL181" s="348"/>
      <c r="AM181" s="348"/>
      <c r="AN181" s="348"/>
      <c r="AO181" s="348"/>
    </row>
    <row r="182" ht="14.2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348"/>
      <c r="N182" s="244"/>
      <c r="O182" s="244"/>
      <c r="P182" s="244"/>
      <c r="Q182" s="244"/>
      <c r="R182" s="244"/>
      <c r="S182" s="244"/>
      <c r="T182" s="348"/>
      <c r="U182" s="348"/>
      <c r="V182" s="348"/>
      <c r="W182" s="348"/>
      <c r="X182" s="348"/>
      <c r="Y182" s="348"/>
      <c r="Z182" s="348"/>
      <c r="AA182" s="348"/>
      <c r="AB182" s="348"/>
      <c r="AC182" s="348"/>
      <c r="AD182" s="348"/>
      <c r="AE182" s="348"/>
      <c r="AF182" s="348"/>
      <c r="AG182" s="348"/>
      <c r="AH182" s="348"/>
      <c r="AI182" s="348"/>
      <c r="AJ182" s="348"/>
      <c r="AK182" s="348"/>
      <c r="AL182" s="348"/>
      <c r="AM182" s="348"/>
      <c r="AN182" s="348"/>
      <c r="AO182" s="348"/>
    </row>
    <row r="183" ht="18.0" customHeight="1">
      <c r="A183" s="256" t="s">
        <v>344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348"/>
      <c r="U183" s="348"/>
      <c r="V183" s="348"/>
      <c r="W183" s="348"/>
      <c r="X183" s="348"/>
      <c r="Y183" s="348"/>
      <c r="Z183" s="348"/>
      <c r="AA183" s="348"/>
      <c r="AB183" s="348"/>
      <c r="AC183" s="348"/>
      <c r="AD183" s="348"/>
      <c r="AE183" s="348"/>
      <c r="AF183" s="348"/>
      <c r="AG183" s="348"/>
      <c r="AH183" s="348"/>
      <c r="AI183" s="348"/>
      <c r="AJ183" s="348"/>
      <c r="AK183" s="348"/>
      <c r="AL183" s="348"/>
      <c r="AM183" s="348"/>
      <c r="AN183" s="348"/>
      <c r="AO183" s="348"/>
    </row>
    <row r="184" ht="14.2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348"/>
      <c r="O184" s="244"/>
      <c r="P184" s="244"/>
      <c r="Q184" s="244"/>
      <c r="R184" s="244"/>
      <c r="S184" s="244"/>
      <c r="T184" s="244"/>
      <c r="U184" s="348"/>
      <c r="V184" s="348"/>
      <c r="W184" s="348"/>
      <c r="X184" s="348"/>
      <c r="Y184" s="348"/>
      <c r="Z184" s="348"/>
      <c r="AA184" s="348"/>
      <c r="AB184" s="348"/>
      <c r="AC184" s="348"/>
      <c r="AD184" s="348"/>
      <c r="AE184" s="348"/>
      <c r="AF184" s="348"/>
      <c r="AG184" s="348"/>
      <c r="AH184" s="348"/>
      <c r="AI184" s="348"/>
      <c r="AJ184" s="348"/>
      <c r="AK184" s="348"/>
      <c r="AL184" s="348"/>
      <c r="AM184" s="348"/>
      <c r="AN184" s="348"/>
      <c r="AO184" s="348"/>
    </row>
    <row r="185" ht="14.25" customHeight="1">
      <c r="A185" s="220" t="s">
        <v>345</v>
      </c>
      <c r="B185" s="19"/>
      <c r="C185" s="152"/>
      <c r="D185" s="221" t="s">
        <v>346</v>
      </c>
      <c r="E185" s="19"/>
      <c r="F185" s="43"/>
      <c r="G185" s="221" t="s">
        <v>347</v>
      </c>
      <c r="H185" s="19"/>
      <c r="I185" s="20"/>
      <c r="J185" s="220" t="s">
        <v>11</v>
      </c>
      <c r="K185" s="19"/>
      <c r="L185" s="20"/>
      <c r="M185" s="495"/>
      <c r="N185" s="348"/>
      <c r="O185" s="244"/>
      <c r="P185" s="244"/>
      <c r="Q185" s="244"/>
      <c r="R185" s="244"/>
      <c r="S185" s="244"/>
      <c r="T185" s="244"/>
      <c r="U185" s="348"/>
      <c r="V185" s="348"/>
      <c r="W185" s="348"/>
      <c r="X185" s="348"/>
      <c r="Y185" s="348"/>
      <c r="Z185" s="348"/>
      <c r="AA185" s="348"/>
      <c r="AB185" s="348"/>
      <c r="AC185" s="348"/>
      <c r="AD185" s="348"/>
      <c r="AE185" s="348"/>
      <c r="AF185" s="348"/>
      <c r="AG185" s="348"/>
      <c r="AH185" s="348"/>
      <c r="AI185" s="348"/>
      <c r="AJ185" s="348"/>
      <c r="AK185" s="348"/>
      <c r="AL185" s="348"/>
      <c r="AM185" s="348"/>
      <c r="AN185" s="348"/>
      <c r="AO185" s="348"/>
    </row>
    <row r="186" ht="18.75" customHeight="1">
      <c r="A186" s="223">
        <v>0.0</v>
      </c>
      <c r="B186" s="19"/>
      <c r="C186" s="152"/>
      <c r="D186" s="224">
        <v>0.0</v>
      </c>
      <c r="E186" s="19"/>
      <c r="F186" s="43"/>
      <c r="G186" s="224">
        <v>0.0</v>
      </c>
      <c r="H186" s="19"/>
      <c r="I186" s="20"/>
      <c r="J186" s="42">
        <f>SUM(A186:I186)</f>
        <v>0</v>
      </c>
      <c r="K186" s="19"/>
      <c r="L186" s="20"/>
      <c r="M186" s="244"/>
      <c r="N186" s="348"/>
      <c r="O186" s="244"/>
      <c r="P186" s="244"/>
      <c r="Q186" s="244"/>
      <c r="R186" s="244"/>
      <c r="S186" s="244"/>
      <c r="T186" s="244"/>
      <c r="U186" s="348"/>
      <c r="V186" s="348"/>
      <c r="W186" s="348"/>
      <c r="X186" s="348"/>
      <c r="Y186" s="348"/>
      <c r="Z186" s="348"/>
      <c r="AA186" s="348"/>
      <c r="AB186" s="348"/>
      <c r="AC186" s="348"/>
      <c r="AD186" s="348"/>
      <c r="AE186" s="348"/>
      <c r="AF186" s="348"/>
      <c r="AG186" s="348"/>
      <c r="AH186" s="348"/>
      <c r="AI186" s="348"/>
      <c r="AJ186" s="348"/>
      <c r="AK186" s="348"/>
      <c r="AL186" s="348"/>
      <c r="AM186" s="348"/>
      <c r="AN186" s="348"/>
      <c r="AO186" s="348"/>
    </row>
    <row r="187" ht="14.2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348"/>
      <c r="O187" s="244"/>
      <c r="P187" s="244"/>
      <c r="Q187" s="244"/>
      <c r="R187" s="244"/>
      <c r="S187" s="244"/>
      <c r="T187" s="244"/>
      <c r="U187" s="348"/>
      <c r="V187" s="348"/>
      <c r="W187" s="348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N187" s="348"/>
      <c r="AO187" s="348"/>
    </row>
    <row r="188" ht="14.25" customHeight="1">
      <c r="A188" s="256" t="s">
        <v>348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244"/>
      <c r="U188" s="348"/>
      <c r="V188" s="348"/>
      <c r="W188" s="348"/>
      <c r="X188" s="348"/>
      <c r="Y188" s="348"/>
      <c r="Z188" s="348"/>
      <c r="AA188" s="348"/>
      <c r="AB188" s="348"/>
      <c r="AC188" s="348"/>
      <c r="AD188" s="348"/>
      <c r="AE188" s="348"/>
      <c r="AF188" s="348"/>
      <c r="AG188" s="348"/>
      <c r="AH188" s="348"/>
      <c r="AI188" s="348"/>
      <c r="AJ188" s="348"/>
      <c r="AK188" s="348"/>
      <c r="AL188" s="348"/>
      <c r="AM188" s="348"/>
      <c r="AN188" s="348"/>
      <c r="AO188" s="348"/>
    </row>
    <row r="189" ht="14.2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348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348"/>
      <c r="AF189" s="348"/>
      <c r="AG189" s="348"/>
      <c r="AH189" s="348"/>
      <c r="AI189" s="348"/>
      <c r="AJ189" s="348"/>
      <c r="AK189" s="348"/>
      <c r="AL189" s="348"/>
      <c r="AM189" s="348"/>
      <c r="AN189" s="348"/>
      <c r="AO189" s="348"/>
    </row>
    <row r="190" ht="14.25" customHeight="1">
      <c r="A190" s="496" t="s">
        <v>349</v>
      </c>
      <c r="B190" s="497"/>
      <c r="C190" s="497"/>
      <c r="D190" s="497"/>
      <c r="E190" s="497"/>
      <c r="F190" s="497"/>
      <c r="G190" s="497"/>
      <c r="H190" s="498"/>
      <c r="I190" s="372" t="s">
        <v>350</v>
      </c>
      <c r="J190" s="20"/>
      <c r="K190" s="244"/>
      <c r="L190" s="244"/>
      <c r="M190" s="244"/>
      <c r="N190" s="348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  <c r="AD190" s="244"/>
      <c r="AE190" s="348"/>
      <c r="AF190" s="348"/>
      <c r="AG190" s="348"/>
      <c r="AH190" s="348"/>
      <c r="AI190" s="348"/>
      <c r="AJ190" s="348"/>
      <c r="AK190" s="348"/>
      <c r="AL190" s="348"/>
      <c r="AM190" s="348"/>
      <c r="AN190" s="348"/>
      <c r="AO190" s="348"/>
    </row>
    <row r="191" ht="12.75" customHeight="1">
      <c r="A191" s="499" t="s">
        <v>351</v>
      </c>
      <c r="B191" s="500"/>
      <c r="C191" s="500"/>
      <c r="D191" s="500"/>
      <c r="E191" s="500"/>
      <c r="F191" s="500"/>
      <c r="G191" s="500"/>
      <c r="H191" s="501"/>
      <c r="I191" s="502">
        <v>0.0</v>
      </c>
      <c r="J191" s="24"/>
      <c r="K191" s="244"/>
      <c r="L191" s="244"/>
      <c r="M191" s="244"/>
      <c r="N191" s="348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  <c r="AD191" s="244"/>
      <c r="AE191" s="348"/>
      <c r="AF191" s="348"/>
      <c r="AG191" s="348"/>
      <c r="AH191" s="348"/>
      <c r="AI191" s="348"/>
      <c r="AJ191" s="348"/>
      <c r="AK191" s="348"/>
      <c r="AL191" s="348"/>
      <c r="AM191" s="348"/>
      <c r="AN191" s="348"/>
      <c r="AO191" s="348"/>
    </row>
    <row r="192" ht="14.25" customHeight="1">
      <c r="A192" s="503" t="s">
        <v>352</v>
      </c>
      <c r="B192" s="504"/>
      <c r="C192" s="504"/>
      <c r="D192" s="504"/>
      <c r="E192" s="504"/>
      <c r="F192" s="504"/>
      <c r="G192" s="504"/>
      <c r="H192" s="505"/>
      <c r="I192" s="506">
        <v>0.0</v>
      </c>
      <c r="J192" s="49"/>
      <c r="K192" s="244"/>
      <c r="L192" s="244"/>
      <c r="M192" s="495"/>
      <c r="N192" s="348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4"/>
      <c r="AL192" s="244"/>
      <c r="AM192" s="244"/>
      <c r="AN192" s="244"/>
      <c r="AO192" s="244"/>
    </row>
    <row r="193" ht="14.25" customHeight="1">
      <c r="A193" s="507" t="s">
        <v>11</v>
      </c>
      <c r="B193" s="508"/>
      <c r="C193" s="508"/>
      <c r="D193" s="508"/>
      <c r="E193" s="508"/>
      <c r="F193" s="508"/>
      <c r="G193" s="508"/>
      <c r="H193" s="509"/>
      <c r="I193" s="510">
        <f>SUM(I191:J192)</f>
        <v>0</v>
      </c>
      <c r="J193" s="20"/>
      <c r="K193" s="244"/>
      <c r="L193" s="244"/>
      <c r="M193" s="495"/>
      <c r="N193" s="348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4"/>
      <c r="AL193" s="244"/>
      <c r="AM193" s="244"/>
      <c r="AN193" s="244"/>
      <c r="AO193" s="244"/>
    </row>
    <row r="194" ht="14.2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348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4"/>
      <c r="AL194" s="244"/>
      <c r="AM194" s="244"/>
      <c r="AN194" s="244"/>
      <c r="AO194" s="244"/>
    </row>
    <row r="195" ht="14.25" customHeight="1">
      <c r="A195" s="256" t="s">
        <v>353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4"/>
      <c r="AM195" s="244"/>
      <c r="AN195" s="244"/>
      <c r="AO195" s="244"/>
    </row>
    <row r="196" ht="13.5" customHeight="1">
      <c r="A196" s="495"/>
      <c r="B196" s="495"/>
      <c r="C196" s="495"/>
      <c r="D196" s="495"/>
      <c r="E196" s="495"/>
      <c r="F196" s="495"/>
      <c r="G196" s="495"/>
      <c r="H196" s="495"/>
      <c r="I196" s="495"/>
      <c r="J196" s="495"/>
      <c r="K196" s="495"/>
      <c r="L196" s="495"/>
      <c r="M196" s="244"/>
      <c r="N196" s="348"/>
      <c r="O196" s="244"/>
      <c r="P196" s="244"/>
      <c r="Q196" s="244"/>
      <c r="R196" s="244"/>
      <c r="S196" s="244"/>
      <c r="T196" s="511"/>
      <c r="U196" s="244"/>
      <c r="V196" s="244"/>
      <c r="W196" s="244"/>
      <c r="X196" s="244"/>
      <c r="Y196" s="244"/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  <c r="AO196" s="244"/>
    </row>
    <row r="197" ht="14.25" customHeight="1">
      <c r="A197" s="359" t="s">
        <v>354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4"/>
      <c r="AL197" s="244"/>
      <c r="AM197" s="244"/>
      <c r="AN197" s="244"/>
      <c r="AO197" s="244"/>
    </row>
    <row r="198" ht="15.0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348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4"/>
      <c r="AL198" s="244"/>
      <c r="AM198" s="244"/>
      <c r="AN198" s="244"/>
      <c r="AO198" s="244"/>
    </row>
    <row r="199" ht="15.75" customHeight="1">
      <c r="A199" s="474"/>
      <c r="B199" s="474"/>
      <c r="C199" s="474"/>
      <c r="D199" s="474"/>
      <c r="E199" s="512" t="s">
        <v>355</v>
      </c>
      <c r="F199" s="23"/>
      <c r="G199" s="23"/>
      <c r="H199" s="23"/>
      <c r="I199" s="23"/>
      <c r="J199" s="23"/>
      <c r="K199" s="23"/>
      <c r="L199" s="159"/>
      <c r="M199" s="513" t="s">
        <v>356</v>
      </c>
      <c r="N199" s="23"/>
      <c r="O199" s="23"/>
      <c r="P199" s="23"/>
      <c r="Q199" s="159"/>
      <c r="R199" s="514" t="s">
        <v>357</v>
      </c>
      <c r="S199" s="47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4"/>
      <c r="AL199" s="244"/>
      <c r="AM199" s="244"/>
      <c r="AN199" s="244"/>
      <c r="AO199" s="244"/>
    </row>
    <row r="200" ht="15.75" customHeight="1">
      <c r="A200" s="244"/>
      <c r="B200" s="244"/>
      <c r="C200" s="244"/>
      <c r="D200" s="244"/>
      <c r="E200" s="515" t="s">
        <v>358</v>
      </c>
      <c r="F200" s="282"/>
      <c r="G200" s="516" t="s">
        <v>359</v>
      </c>
      <c r="H200" s="282"/>
      <c r="I200" s="516" t="s">
        <v>360</v>
      </c>
      <c r="J200" s="282"/>
      <c r="K200" s="516" t="s">
        <v>361</v>
      </c>
      <c r="L200" s="282"/>
      <c r="M200" s="516" t="s">
        <v>362</v>
      </c>
      <c r="N200" s="282"/>
      <c r="O200" s="517" t="s">
        <v>363</v>
      </c>
      <c r="P200" s="518" t="s">
        <v>364</v>
      </c>
      <c r="Q200" s="282"/>
      <c r="R200" s="519"/>
      <c r="S200" s="56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4"/>
      <c r="AL200" s="244"/>
      <c r="AM200" s="244"/>
      <c r="AN200" s="244"/>
      <c r="AO200" s="244"/>
    </row>
    <row r="201" ht="12.75" customHeight="1">
      <c r="A201" s="520" t="s">
        <v>365</v>
      </c>
      <c r="B201" s="46"/>
      <c r="C201" s="46"/>
      <c r="D201" s="521"/>
      <c r="E201" s="55"/>
      <c r="F201" s="522"/>
      <c r="G201" s="523"/>
      <c r="H201" s="522"/>
      <c r="I201" s="523"/>
      <c r="J201" s="522"/>
      <c r="K201" s="523"/>
      <c r="L201" s="522"/>
      <c r="M201" s="523"/>
      <c r="N201" s="522"/>
      <c r="O201" s="524"/>
      <c r="P201" s="523"/>
      <c r="Q201" s="522"/>
      <c r="R201" s="519"/>
      <c r="S201" s="56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4"/>
      <c r="AL201" s="244"/>
      <c r="AM201" s="244"/>
      <c r="AN201" s="244"/>
      <c r="AO201" s="244"/>
    </row>
    <row r="202" ht="26.25" customHeight="1">
      <c r="A202" s="39"/>
      <c r="B202" s="40"/>
      <c r="C202" s="40"/>
      <c r="D202" s="525"/>
      <c r="E202" s="39"/>
      <c r="F202" s="155"/>
      <c r="G202" s="230"/>
      <c r="H202" s="155"/>
      <c r="I202" s="230"/>
      <c r="J202" s="155"/>
      <c r="K202" s="230"/>
      <c r="L202" s="155"/>
      <c r="M202" s="230"/>
      <c r="N202" s="155"/>
      <c r="O202" s="526"/>
      <c r="P202" s="230"/>
      <c r="Q202" s="155"/>
      <c r="R202" s="366"/>
      <c r="S202" s="86"/>
      <c r="T202" s="47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4"/>
      <c r="AL202" s="244"/>
      <c r="AM202" s="244"/>
      <c r="AN202" s="244"/>
      <c r="AO202" s="244"/>
    </row>
    <row r="203" ht="14.25" customHeight="1">
      <c r="A203" s="66">
        <f>SUM(E203:S203)</f>
        <v>0</v>
      </c>
      <c r="B203" s="19"/>
      <c r="C203" s="19"/>
      <c r="D203" s="43"/>
      <c r="E203" s="527">
        <v>0.0</v>
      </c>
      <c r="F203" s="323"/>
      <c r="G203" s="327">
        <v>0.0</v>
      </c>
      <c r="H203" s="323"/>
      <c r="I203" s="327">
        <v>0.0</v>
      </c>
      <c r="J203" s="323"/>
      <c r="K203" s="327">
        <v>0.0</v>
      </c>
      <c r="L203" s="323"/>
      <c r="M203" s="528">
        <v>0.0</v>
      </c>
      <c r="N203" s="323"/>
      <c r="O203" s="529">
        <v>0.0</v>
      </c>
      <c r="P203" s="327">
        <v>0.0</v>
      </c>
      <c r="Q203" s="323"/>
      <c r="R203" s="530">
        <v>0.0</v>
      </c>
      <c r="S203" s="326"/>
      <c r="T203" s="474"/>
      <c r="U203" s="244"/>
      <c r="V203" s="244"/>
      <c r="W203" s="244"/>
      <c r="X203" s="244"/>
      <c r="Y203" s="244"/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4"/>
      <c r="AM203" s="244"/>
      <c r="AN203" s="244"/>
      <c r="AO203" s="244"/>
    </row>
    <row r="204" ht="16.5" customHeight="1">
      <c r="A204" s="460"/>
      <c r="B204" s="460"/>
      <c r="C204" s="460"/>
      <c r="D204" s="460"/>
      <c r="E204" s="355"/>
      <c r="F204" s="355"/>
      <c r="G204" s="355"/>
      <c r="H204" s="355"/>
      <c r="I204" s="355"/>
      <c r="J204" s="355"/>
      <c r="K204" s="355"/>
      <c r="L204" s="355"/>
      <c r="M204" s="244"/>
      <c r="N204" s="244"/>
      <c r="O204" s="244"/>
      <c r="P204" s="244"/>
      <c r="Q204" s="244"/>
      <c r="R204" s="244"/>
      <c r="S204" s="244"/>
      <c r="T204" s="511"/>
      <c r="U204" s="244"/>
      <c r="V204" s="244"/>
      <c r="W204" s="244"/>
      <c r="X204" s="244"/>
      <c r="Y204" s="244"/>
      <c r="Z204" s="244"/>
      <c r="AA204" s="244"/>
      <c r="AB204" s="244"/>
      <c r="AC204" s="244"/>
      <c r="AD204" s="244"/>
      <c r="AE204" s="244"/>
      <c r="AF204" s="244"/>
      <c r="AG204" s="244"/>
      <c r="AH204" s="244"/>
      <c r="AI204" s="244"/>
      <c r="AJ204" s="244"/>
      <c r="AK204" s="244"/>
      <c r="AL204" s="244"/>
      <c r="AM204" s="244"/>
      <c r="AN204" s="244"/>
      <c r="AO204" s="244"/>
    </row>
    <row r="205" ht="14.25" customHeight="1">
      <c r="A205" s="359" t="s">
        <v>366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  <c r="AD205" s="244"/>
      <c r="AE205" s="244"/>
      <c r="AF205" s="244"/>
      <c r="AG205" s="244"/>
      <c r="AH205" s="244"/>
      <c r="AI205" s="244"/>
      <c r="AJ205" s="244"/>
      <c r="AK205" s="244"/>
      <c r="AL205" s="244"/>
      <c r="AM205" s="244"/>
      <c r="AN205" s="244"/>
      <c r="AO205" s="244"/>
    </row>
    <row r="206" ht="14.25" customHeight="1">
      <c r="A206" s="531"/>
      <c r="B206" s="244"/>
      <c r="C206" s="244"/>
      <c r="D206" s="244"/>
      <c r="E206" s="474"/>
      <c r="F206" s="474"/>
      <c r="G206" s="474"/>
      <c r="H206" s="474"/>
      <c r="I206" s="474"/>
      <c r="J206" s="474"/>
      <c r="K206" s="474"/>
      <c r="L206" s="47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4"/>
      <c r="AK206" s="244"/>
      <c r="AL206" s="244"/>
      <c r="AM206" s="244"/>
      <c r="AN206" s="244"/>
      <c r="AO206" s="244"/>
    </row>
    <row r="207" ht="14.25" customHeight="1">
      <c r="A207" s="474"/>
      <c r="B207" s="474"/>
      <c r="C207" s="474"/>
      <c r="D207" s="474"/>
      <c r="E207" s="512" t="s">
        <v>355</v>
      </c>
      <c r="F207" s="23"/>
      <c r="G207" s="23"/>
      <c r="H207" s="23"/>
      <c r="I207" s="23"/>
      <c r="J207" s="23"/>
      <c r="K207" s="23"/>
      <c r="L207" s="159"/>
      <c r="M207" s="513" t="s">
        <v>356</v>
      </c>
      <c r="N207" s="23"/>
      <c r="O207" s="23"/>
      <c r="P207" s="23"/>
      <c r="Q207" s="159"/>
      <c r="R207" s="514" t="s">
        <v>357</v>
      </c>
      <c r="S207" s="47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4"/>
      <c r="AK207" s="244"/>
      <c r="AL207" s="244"/>
      <c r="AM207" s="244"/>
      <c r="AN207" s="244"/>
      <c r="AO207" s="244"/>
    </row>
    <row r="208" ht="22.5" customHeight="1">
      <c r="A208" s="520" t="s">
        <v>196</v>
      </c>
      <c r="B208" s="46"/>
      <c r="C208" s="46"/>
      <c r="D208" s="47"/>
      <c r="E208" s="515" t="s">
        <v>358</v>
      </c>
      <c r="F208" s="282"/>
      <c r="G208" s="516" t="s">
        <v>359</v>
      </c>
      <c r="H208" s="282"/>
      <c r="I208" s="516" t="s">
        <v>360</v>
      </c>
      <c r="J208" s="282"/>
      <c r="K208" s="516" t="s">
        <v>361</v>
      </c>
      <c r="L208" s="282"/>
      <c r="M208" s="516" t="s">
        <v>362</v>
      </c>
      <c r="N208" s="282"/>
      <c r="O208" s="517" t="s">
        <v>363</v>
      </c>
      <c r="P208" s="518" t="s">
        <v>364</v>
      </c>
      <c r="Q208" s="282"/>
      <c r="R208" s="519"/>
      <c r="S208" s="56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  <c r="AD208" s="244"/>
      <c r="AE208" s="244"/>
      <c r="AF208" s="244"/>
      <c r="AG208" s="244"/>
      <c r="AH208" s="244"/>
      <c r="AI208" s="244"/>
      <c r="AJ208" s="244"/>
      <c r="AK208" s="244"/>
      <c r="AL208" s="244"/>
      <c r="AM208" s="244"/>
      <c r="AN208" s="244"/>
      <c r="AO208" s="244"/>
    </row>
    <row r="209" ht="14.25" customHeight="1">
      <c r="A209" s="55"/>
      <c r="D209" s="56"/>
      <c r="E209" s="55"/>
      <c r="F209" s="522"/>
      <c r="G209" s="523"/>
      <c r="H209" s="522"/>
      <c r="I209" s="523"/>
      <c r="J209" s="522"/>
      <c r="K209" s="523"/>
      <c r="L209" s="522"/>
      <c r="M209" s="523"/>
      <c r="N209" s="522"/>
      <c r="O209" s="524"/>
      <c r="P209" s="523"/>
      <c r="Q209" s="522"/>
      <c r="R209" s="519"/>
      <c r="S209" s="56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  <c r="AD209" s="244"/>
      <c r="AE209" s="244"/>
      <c r="AF209" s="244"/>
      <c r="AG209" s="244"/>
      <c r="AH209" s="244"/>
      <c r="AI209" s="244"/>
      <c r="AJ209" s="244"/>
      <c r="AK209" s="244"/>
      <c r="AL209" s="244"/>
      <c r="AM209" s="244"/>
      <c r="AN209" s="244"/>
      <c r="AO209" s="244"/>
    </row>
    <row r="210" ht="14.25" customHeight="1">
      <c r="A210" s="39"/>
      <c r="B210" s="40"/>
      <c r="C210" s="40"/>
      <c r="D210" s="86"/>
      <c r="E210" s="39"/>
      <c r="F210" s="155"/>
      <c r="G210" s="230"/>
      <c r="H210" s="155"/>
      <c r="I210" s="230"/>
      <c r="J210" s="155"/>
      <c r="K210" s="532"/>
      <c r="L210" s="533"/>
      <c r="M210" s="230"/>
      <c r="N210" s="155"/>
      <c r="O210" s="526"/>
      <c r="P210" s="230"/>
      <c r="Q210" s="155"/>
      <c r="R210" s="366"/>
      <c r="S210" s="86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  <c r="AD210" s="244"/>
      <c r="AE210" s="244"/>
      <c r="AF210" s="244"/>
      <c r="AG210" s="244"/>
      <c r="AH210" s="244"/>
      <c r="AI210" s="244"/>
      <c r="AJ210" s="244"/>
      <c r="AK210" s="244"/>
      <c r="AL210" s="244"/>
      <c r="AM210" s="244"/>
      <c r="AN210" s="244"/>
      <c r="AO210" s="244"/>
    </row>
    <row r="211" ht="15.75" customHeight="1">
      <c r="A211" s="534" t="s">
        <v>181</v>
      </c>
      <c r="B211" s="352"/>
      <c r="C211" s="352"/>
      <c r="D211" s="433"/>
      <c r="E211" s="68">
        <v>0.0</v>
      </c>
      <c r="F211" s="159"/>
      <c r="G211" s="535">
        <v>0.0</v>
      </c>
      <c r="H211" s="13"/>
      <c r="I211" s="432">
        <v>0.0</v>
      </c>
      <c r="J211" s="431"/>
      <c r="K211" s="237">
        <v>0.0</v>
      </c>
      <c r="L211" s="159"/>
      <c r="M211" s="432">
        <v>0.0</v>
      </c>
      <c r="N211" s="431"/>
      <c r="O211" s="297">
        <v>0.0</v>
      </c>
      <c r="P211" s="432">
        <v>0.0</v>
      </c>
      <c r="Q211" s="431"/>
      <c r="R211" s="493">
        <v>0.0</v>
      </c>
      <c r="S211" s="433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  <c r="AF211" s="244"/>
      <c r="AG211" s="244"/>
      <c r="AH211" s="244"/>
      <c r="AI211" s="244"/>
      <c r="AJ211" s="244"/>
      <c r="AK211" s="244"/>
      <c r="AL211" s="244"/>
      <c r="AM211" s="244"/>
      <c r="AN211" s="244"/>
      <c r="AO211" s="244"/>
    </row>
    <row r="212" ht="14.25" customHeight="1">
      <c r="A212" s="81" t="s">
        <v>182</v>
      </c>
      <c r="B212" s="82"/>
      <c r="C212" s="82"/>
      <c r="D212" s="83"/>
      <c r="E212" s="29">
        <v>0.0</v>
      </c>
      <c r="F212" s="165"/>
      <c r="G212" s="239">
        <v>0.0</v>
      </c>
      <c r="H212" s="165"/>
      <c r="I212" s="536">
        <v>0.0</v>
      </c>
      <c r="J212" s="537"/>
      <c r="K212" s="536">
        <v>0.0</v>
      </c>
      <c r="L212" s="537"/>
      <c r="M212" s="536">
        <v>0.0</v>
      </c>
      <c r="N212" s="537"/>
      <c r="O212" s="538">
        <v>0.0</v>
      </c>
      <c r="P212" s="536">
        <v>0.0</v>
      </c>
      <c r="Q212" s="537"/>
      <c r="R212" s="70">
        <v>0.0</v>
      </c>
      <c r="S212" s="28"/>
      <c r="T212" s="255"/>
      <c r="U212" s="348"/>
      <c r="V212" s="348"/>
      <c r="W212" s="348"/>
      <c r="X212" s="244"/>
      <c r="Y212" s="244"/>
      <c r="Z212" s="244"/>
      <c r="AA212" s="244"/>
      <c r="AB212" s="244"/>
      <c r="AC212" s="244"/>
      <c r="AD212" s="244"/>
      <c r="AE212" s="244"/>
      <c r="AF212" s="244"/>
      <c r="AG212" s="244"/>
      <c r="AH212" s="244"/>
      <c r="AI212" s="244"/>
      <c r="AJ212" s="244"/>
      <c r="AK212" s="244"/>
      <c r="AL212" s="244"/>
      <c r="AM212" s="244"/>
      <c r="AN212" s="244"/>
      <c r="AO212" s="244"/>
    </row>
    <row r="213" ht="14.25" customHeight="1">
      <c r="A213" s="35" t="s">
        <v>367</v>
      </c>
      <c r="B213" s="36"/>
      <c r="C213" s="36"/>
      <c r="D213" s="49"/>
      <c r="E213" s="539">
        <v>0.0</v>
      </c>
      <c r="F213" s="537"/>
      <c r="G213" s="540">
        <v>0.0</v>
      </c>
      <c r="H213" s="537"/>
      <c r="I213" s="540">
        <v>0.0</v>
      </c>
      <c r="J213" s="537"/>
      <c r="K213" s="540">
        <v>0.0</v>
      </c>
      <c r="L213" s="537"/>
      <c r="M213" s="540">
        <v>0.0</v>
      </c>
      <c r="N213" s="537"/>
      <c r="O213" s="541">
        <v>0.0</v>
      </c>
      <c r="P213" s="540">
        <v>0.0</v>
      </c>
      <c r="Q213" s="537"/>
      <c r="R213" s="542">
        <v>0.0</v>
      </c>
      <c r="S213" s="83"/>
      <c r="T213" s="244"/>
      <c r="U213" s="348"/>
      <c r="V213" s="348"/>
      <c r="W213" s="348"/>
      <c r="X213" s="348"/>
      <c r="Y213" s="348"/>
      <c r="Z213" s="348"/>
      <c r="AA213" s="348"/>
      <c r="AB213" s="348"/>
      <c r="AC213" s="348"/>
      <c r="AD213" s="348"/>
      <c r="AE213" s="244"/>
      <c r="AF213" s="244"/>
      <c r="AG213" s="244"/>
      <c r="AH213" s="244"/>
      <c r="AI213" s="244"/>
      <c r="AJ213" s="244"/>
      <c r="AK213" s="244"/>
      <c r="AL213" s="244"/>
      <c r="AM213" s="244"/>
      <c r="AN213" s="244"/>
      <c r="AO213" s="244"/>
    </row>
    <row r="214" ht="14.25" customHeight="1">
      <c r="A214" s="144" t="s">
        <v>11</v>
      </c>
      <c r="B214" s="19"/>
      <c r="C214" s="19"/>
      <c r="D214" s="20"/>
      <c r="E214" s="42">
        <f>SUM(E211:F212)</f>
        <v>0</v>
      </c>
      <c r="F214" s="152"/>
      <c r="G214" s="243">
        <f>SUM(G211:H212)</f>
        <v>0</v>
      </c>
      <c r="H214" s="152"/>
      <c r="I214" s="243">
        <f>SUM(I211:J212)</f>
        <v>0</v>
      </c>
      <c r="J214" s="152"/>
      <c r="K214" s="243">
        <f>SUM(K211:L212)</f>
        <v>0</v>
      </c>
      <c r="L214" s="152"/>
      <c r="M214" s="243">
        <f>SUM(M211:N212)</f>
        <v>0</v>
      </c>
      <c r="N214" s="152"/>
      <c r="O214" s="543">
        <f>SUM(O211:O212)</f>
        <v>0</v>
      </c>
      <c r="P214" s="243">
        <f>SUM(P211:Q212)</f>
        <v>0</v>
      </c>
      <c r="Q214" s="152"/>
      <c r="R214" s="372">
        <f>SUM(R211:S213)</f>
        <v>0</v>
      </c>
      <c r="S214" s="20"/>
      <c r="T214" s="266" t="str">
        <f>IF(A203&lt;&gt;SUM(E214,G214,I214,K214,M214,O214,P214,R214),"Section 6.2 - The sum of the totals should be equal to the ""Number of extensions taken"" of Section 6.1","")</f>
        <v/>
      </c>
      <c r="AA214" s="348"/>
      <c r="AB214" s="348"/>
      <c r="AC214" s="348"/>
      <c r="AD214" s="348"/>
      <c r="AE214" s="244"/>
      <c r="AF214" s="244"/>
      <c r="AG214" s="244"/>
      <c r="AH214" s="244"/>
      <c r="AI214" s="244"/>
      <c r="AJ214" s="244"/>
      <c r="AK214" s="244"/>
      <c r="AL214" s="244"/>
      <c r="AM214" s="244"/>
      <c r="AN214" s="244"/>
      <c r="AO214" s="244"/>
    </row>
    <row r="215" ht="14.25" customHeight="1">
      <c r="A215" s="460"/>
      <c r="B215" s="460"/>
      <c r="C215" s="460"/>
      <c r="D215" s="460"/>
      <c r="E215" s="255"/>
      <c r="F215" s="255"/>
      <c r="G215" s="255"/>
      <c r="H215" s="255"/>
      <c r="I215" s="255"/>
      <c r="J215" s="255"/>
      <c r="K215" s="255"/>
      <c r="L215" s="255"/>
      <c r="M215" s="544"/>
      <c r="N215" s="348"/>
      <c r="O215" s="244"/>
      <c r="P215" s="244"/>
      <c r="Q215" s="244"/>
      <c r="R215" s="244"/>
      <c r="S215" s="428">
        <f>SUM(E214:S214)</f>
        <v>0</v>
      </c>
      <c r="AA215" s="348"/>
      <c r="AB215" s="348"/>
      <c r="AC215" s="348"/>
      <c r="AD215" s="348"/>
      <c r="AE215" s="348"/>
      <c r="AF215" s="348"/>
      <c r="AG215" s="348"/>
      <c r="AH215" s="348"/>
      <c r="AI215" s="348"/>
      <c r="AJ215" s="348"/>
      <c r="AK215" s="348"/>
      <c r="AL215" s="348"/>
      <c r="AM215" s="348"/>
      <c r="AN215" s="348"/>
      <c r="AO215" s="348"/>
    </row>
    <row r="216" ht="14.25" customHeight="1">
      <c r="A216" s="256" t="s">
        <v>209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244"/>
      <c r="U216" s="348"/>
      <c r="V216" s="348"/>
      <c r="W216" s="348"/>
      <c r="X216" s="348"/>
      <c r="Y216" s="348"/>
      <c r="Z216" s="348"/>
      <c r="AA216" s="348"/>
      <c r="AB216" s="348"/>
      <c r="AC216" s="348"/>
      <c r="AD216" s="348"/>
      <c r="AE216" s="348"/>
      <c r="AF216" s="348"/>
      <c r="AG216" s="348"/>
      <c r="AH216" s="348"/>
      <c r="AI216" s="348"/>
      <c r="AJ216" s="348"/>
      <c r="AK216" s="348"/>
      <c r="AL216" s="348"/>
      <c r="AM216" s="348"/>
      <c r="AN216" s="348"/>
      <c r="AO216" s="348"/>
    </row>
    <row r="217" ht="14.2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4"/>
      <c r="M217" s="348"/>
      <c r="N217" s="244"/>
      <c r="O217" s="244"/>
      <c r="P217" s="244"/>
      <c r="Q217" s="244"/>
      <c r="R217" s="244"/>
      <c r="S217" s="244"/>
      <c r="T217" s="348"/>
      <c r="U217" s="348"/>
      <c r="V217" s="348"/>
      <c r="W217" s="348"/>
      <c r="X217" s="348"/>
      <c r="Y217" s="348"/>
      <c r="Z217" s="348"/>
      <c r="AA217" s="348"/>
      <c r="AB217" s="348"/>
      <c r="AC217" s="348"/>
      <c r="AD217" s="348"/>
      <c r="AE217" s="348"/>
      <c r="AF217" s="348"/>
      <c r="AG217" s="348"/>
      <c r="AH217" s="348"/>
      <c r="AI217" s="348"/>
      <c r="AJ217" s="348"/>
      <c r="AK217" s="348"/>
      <c r="AL217" s="348"/>
      <c r="AM217" s="348"/>
      <c r="AN217" s="348"/>
      <c r="AO217" s="348"/>
    </row>
    <row r="218" ht="14.25" customHeight="1">
      <c r="A218" s="545" t="s">
        <v>368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348"/>
      <c r="U218" s="348"/>
      <c r="V218" s="348"/>
      <c r="W218" s="348"/>
      <c r="X218" s="348"/>
      <c r="Y218" s="348"/>
      <c r="Z218" s="348"/>
      <c r="AA218" s="348"/>
      <c r="AB218" s="348"/>
      <c r="AC218" s="348"/>
      <c r="AD218" s="348"/>
      <c r="AE218" s="348"/>
      <c r="AF218" s="348"/>
      <c r="AG218" s="348"/>
      <c r="AH218" s="348"/>
      <c r="AI218" s="348"/>
      <c r="AJ218" s="348"/>
      <c r="AK218" s="348"/>
      <c r="AL218" s="348"/>
      <c r="AM218" s="348"/>
      <c r="AN218" s="348"/>
      <c r="AO218" s="348"/>
    </row>
    <row r="219" ht="14.2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348"/>
      <c r="N219" s="244"/>
      <c r="O219" s="244"/>
      <c r="P219" s="244"/>
      <c r="Q219" s="244"/>
      <c r="R219" s="244"/>
      <c r="S219" s="244"/>
      <c r="T219" s="348"/>
      <c r="U219" s="348"/>
      <c r="V219" s="348"/>
      <c r="W219" s="348"/>
      <c r="X219" s="348"/>
      <c r="Y219" s="348"/>
      <c r="Z219" s="348"/>
      <c r="AA219" s="348"/>
      <c r="AB219" s="348"/>
      <c r="AC219" s="348"/>
      <c r="AD219" s="348"/>
      <c r="AE219" s="348"/>
      <c r="AF219" s="348"/>
      <c r="AG219" s="348"/>
      <c r="AH219" s="348"/>
      <c r="AI219" s="348"/>
      <c r="AJ219" s="348"/>
      <c r="AK219" s="348"/>
      <c r="AL219" s="348"/>
      <c r="AM219" s="348"/>
      <c r="AN219" s="348"/>
      <c r="AO219" s="348"/>
    </row>
    <row r="220" ht="39.0" customHeight="1">
      <c r="A220" s="151" t="s">
        <v>211</v>
      </c>
      <c r="B220" s="19"/>
      <c r="C220" s="19"/>
      <c r="D220" s="152"/>
      <c r="E220" s="151" t="s">
        <v>212</v>
      </c>
      <c r="F220" s="152"/>
      <c r="G220" s="235" t="s">
        <v>213</v>
      </c>
      <c r="H220" s="20"/>
      <c r="I220" s="151" t="s">
        <v>214</v>
      </c>
      <c r="J220" s="152"/>
      <c r="K220" s="235" t="s">
        <v>213</v>
      </c>
      <c r="L220" s="20"/>
      <c r="M220" s="348"/>
      <c r="N220" s="244"/>
      <c r="O220" s="244"/>
      <c r="P220" s="244"/>
      <c r="Q220" s="244"/>
      <c r="R220" s="244"/>
      <c r="S220" s="244"/>
      <c r="T220" s="348"/>
      <c r="U220" s="348"/>
      <c r="V220" s="348"/>
      <c r="W220" s="348"/>
      <c r="X220" s="348"/>
      <c r="Y220" s="348"/>
      <c r="Z220" s="348"/>
      <c r="AA220" s="348"/>
      <c r="AB220" s="348"/>
      <c r="AC220" s="348"/>
      <c r="AD220" s="348"/>
      <c r="AE220" s="348"/>
      <c r="AF220" s="348"/>
      <c r="AG220" s="348"/>
      <c r="AH220" s="348"/>
      <c r="AI220" s="348"/>
      <c r="AJ220" s="348"/>
      <c r="AK220" s="348"/>
      <c r="AL220" s="348"/>
      <c r="AM220" s="348"/>
      <c r="AN220" s="348"/>
      <c r="AO220" s="348"/>
    </row>
    <row r="221" ht="15.75" customHeight="1">
      <c r="A221" s="546" t="s">
        <v>215</v>
      </c>
      <c r="B221" s="7"/>
      <c r="C221" s="7"/>
      <c r="D221" s="440"/>
      <c r="E221" s="25">
        <v>0.0</v>
      </c>
      <c r="F221" s="159"/>
      <c r="G221" s="439">
        <v>0.0</v>
      </c>
      <c r="H221" s="120"/>
      <c r="I221" s="119">
        <v>0.0</v>
      </c>
      <c r="J221" s="440"/>
      <c r="K221" s="439">
        <v>0.0</v>
      </c>
      <c r="L221" s="120"/>
      <c r="M221" s="244"/>
      <c r="N221" s="244"/>
      <c r="O221" s="244"/>
      <c r="P221" s="244"/>
      <c r="Q221" s="244"/>
      <c r="R221" s="244"/>
      <c r="S221" s="244"/>
      <c r="T221" s="348"/>
      <c r="U221" s="348"/>
      <c r="V221" s="348"/>
      <c r="W221" s="348"/>
      <c r="X221" s="348"/>
      <c r="Y221" s="348"/>
      <c r="Z221" s="348"/>
      <c r="AA221" s="348"/>
      <c r="AB221" s="348"/>
      <c r="AC221" s="348"/>
      <c r="AD221" s="348"/>
      <c r="AE221" s="348"/>
      <c r="AF221" s="348"/>
      <c r="AG221" s="348"/>
      <c r="AH221" s="348"/>
      <c r="AI221" s="348"/>
      <c r="AJ221" s="348"/>
      <c r="AK221" s="348"/>
      <c r="AL221" s="348"/>
      <c r="AM221" s="348"/>
      <c r="AN221" s="348"/>
      <c r="AO221" s="348"/>
    </row>
    <row r="222" ht="27.0" customHeight="1">
      <c r="A222" s="547" t="s">
        <v>216</v>
      </c>
      <c r="B222" s="33"/>
      <c r="C222" s="33"/>
      <c r="D222" s="282"/>
      <c r="E222" s="62">
        <v>0.0</v>
      </c>
      <c r="F222" s="171"/>
      <c r="G222" s="548">
        <v>0.0</v>
      </c>
      <c r="H222" s="54"/>
      <c r="I222" s="32">
        <v>0.0</v>
      </c>
      <c r="J222" s="282"/>
      <c r="K222" s="548">
        <v>0.0</v>
      </c>
      <c r="L222" s="54"/>
      <c r="M222" s="244"/>
      <c r="N222" s="244"/>
      <c r="O222" s="244"/>
      <c r="P222" s="244"/>
      <c r="Q222" s="244"/>
      <c r="R222" s="244"/>
      <c r="S222" s="244"/>
      <c r="T222" s="348"/>
      <c r="U222" s="348"/>
      <c r="V222" s="348"/>
      <c r="W222" s="348"/>
      <c r="X222" s="348"/>
      <c r="Y222" s="348"/>
      <c r="Z222" s="348"/>
      <c r="AA222" s="348"/>
      <c r="AB222" s="348"/>
      <c r="AC222" s="348"/>
      <c r="AD222" s="348"/>
      <c r="AE222" s="348"/>
      <c r="AF222" s="348"/>
      <c r="AG222" s="348"/>
      <c r="AH222" s="348"/>
      <c r="AI222" s="348"/>
      <c r="AJ222" s="348"/>
      <c r="AK222" s="348"/>
      <c r="AL222" s="348"/>
      <c r="AM222" s="348"/>
      <c r="AN222" s="348"/>
      <c r="AO222" s="348"/>
    </row>
    <row r="223" ht="25.5" customHeight="1">
      <c r="A223" s="290" t="s">
        <v>11</v>
      </c>
      <c r="B223" s="19"/>
      <c r="C223" s="19"/>
      <c r="D223" s="152"/>
      <c r="E223" s="117">
        <f>SUM(E221:F222)</f>
        <v>0</v>
      </c>
      <c r="F223" s="152"/>
      <c r="G223" s="233">
        <f>SUM(G221:H222)</f>
        <v>0</v>
      </c>
      <c r="H223" s="20"/>
      <c r="I223" s="117">
        <f>SUM(I221:J222)</f>
        <v>0</v>
      </c>
      <c r="J223" s="19"/>
      <c r="K223" s="233">
        <f>SUM(K221:L222)</f>
        <v>0</v>
      </c>
      <c r="L223" s="20"/>
      <c r="M223" s="135"/>
      <c r="V223" s="244"/>
      <c r="W223" s="244"/>
      <c r="X223" s="244"/>
      <c r="Y223" s="244"/>
      <c r="Z223" s="244"/>
      <c r="AA223" s="244"/>
      <c r="AB223" s="244"/>
      <c r="AC223" s="244"/>
      <c r="AD223" s="244"/>
      <c r="AE223" s="348"/>
      <c r="AF223" s="348"/>
      <c r="AG223" s="348"/>
      <c r="AH223" s="348"/>
      <c r="AI223" s="348"/>
      <c r="AJ223" s="348"/>
      <c r="AK223" s="348"/>
      <c r="AL223" s="348"/>
      <c r="AM223" s="348"/>
      <c r="AN223" s="348"/>
      <c r="AO223" s="348"/>
    </row>
    <row r="224" ht="14.25" customHeight="1">
      <c r="A224" s="546" t="s">
        <v>217</v>
      </c>
      <c r="B224" s="7"/>
      <c r="C224" s="7"/>
      <c r="D224" s="440"/>
      <c r="E224" s="61">
        <v>0.0</v>
      </c>
      <c r="F224" s="165"/>
      <c r="G224" s="439">
        <v>0.0</v>
      </c>
      <c r="H224" s="120"/>
      <c r="I224" s="119">
        <v>0.0</v>
      </c>
      <c r="J224" s="440"/>
      <c r="K224" s="439">
        <v>0.0</v>
      </c>
      <c r="L224" s="120"/>
      <c r="M224" s="135"/>
      <c r="V224" s="348"/>
      <c r="W224" s="348"/>
      <c r="X224" s="348"/>
      <c r="Y224" s="348"/>
      <c r="Z224" s="348"/>
      <c r="AA224" s="348"/>
      <c r="AB224" s="348"/>
      <c r="AC224" s="348"/>
      <c r="AD224" s="348"/>
      <c r="AE224" s="348"/>
      <c r="AF224" s="348"/>
      <c r="AG224" s="348"/>
      <c r="AH224" s="348"/>
      <c r="AI224" s="348"/>
      <c r="AJ224" s="348"/>
      <c r="AK224" s="348"/>
      <c r="AL224" s="348"/>
      <c r="AM224" s="348"/>
      <c r="AN224" s="348"/>
      <c r="AO224" s="348"/>
    </row>
    <row r="225" ht="14.25" customHeight="1">
      <c r="A225" s="140" t="s">
        <v>218</v>
      </c>
      <c r="B225" s="27"/>
      <c r="C225" s="27"/>
      <c r="D225" s="28"/>
      <c r="E225" s="61">
        <v>0.0</v>
      </c>
      <c r="F225" s="165"/>
      <c r="G225" s="186">
        <v>0.0</v>
      </c>
      <c r="H225" s="28"/>
      <c r="I225" s="61">
        <v>0.0</v>
      </c>
      <c r="J225" s="165"/>
      <c r="K225" s="265">
        <v>0.0</v>
      </c>
      <c r="L225" s="28"/>
      <c r="M225" s="135"/>
      <c r="V225" s="348"/>
      <c r="W225" s="348"/>
      <c r="X225" s="348"/>
      <c r="Y225" s="348"/>
      <c r="Z225" s="348"/>
      <c r="AA225" s="348"/>
      <c r="AB225" s="348"/>
      <c r="AC225" s="348"/>
      <c r="AD225" s="348"/>
      <c r="AE225" s="348"/>
      <c r="AF225" s="348"/>
      <c r="AG225" s="348"/>
      <c r="AH225" s="348"/>
      <c r="AI225" s="348"/>
      <c r="AJ225" s="348"/>
      <c r="AK225" s="348"/>
      <c r="AL225" s="348"/>
      <c r="AM225" s="348"/>
      <c r="AN225" s="348"/>
      <c r="AO225" s="348"/>
    </row>
    <row r="226" ht="26.25" customHeight="1">
      <c r="A226" s="260" t="s">
        <v>219</v>
      </c>
      <c r="B226" s="36"/>
      <c r="C226" s="36"/>
      <c r="D226" s="49"/>
      <c r="E226" s="62">
        <v>0.0</v>
      </c>
      <c r="F226" s="171"/>
      <c r="G226" s="187">
        <v>0.0</v>
      </c>
      <c r="H226" s="49"/>
      <c r="I226" s="62">
        <v>0.0</v>
      </c>
      <c r="J226" s="171"/>
      <c r="K226" s="549">
        <v>0.0</v>
      </c>
      <c r="L226" s="49"/>
      <c r="M226" s="135"/>
      <c r="V226" s="348"/>
      <c r="W226" s="348"/>
      <c r="X226" s="348"/>
      <c r="Y226" s="348"/>
      <c r="Z226" s="348"/>
      <c r="AA226" s="348"/>
      <c r="AB226" s="348"/>
      <c r="AC226" s="348"/>
      <c r="AD226" s="348"/>
      <c r="AE226" s="244"/>
      <c r="AF226" s="244"/>
      <c r="AG226" s="244"/>
      <c r="AH226" s="244"/>
      <c r="AI226" s="244"/>
      <c r="AJ226" s="244"/>
      <c r="AK226" s="244"/>
      <c r="AL226" s="244"/>
      <c r="AM226" s="244"/>
      <c r="AN226" s="244"/>
      <c r="AO226" s="244"/>
    </row>
    <row r="227" ht="14.25" customHeight="1">
      <c r="A227" s="244"/>
      <c r="B227" s="244"/>
      <c r="C227" s="244"/>
      <c r="D227" s="244"/>
      <c r="E227" s="244"/>
      <c r="F227" s="550"/>
      <c r="G227" s="12"/>
      <c r="H227" s="13"/>
      <c r="I227" s="244"/>
      <c r="J227" s="244"/>
      <c r="K227" s="244"/>
      <c r="L227" s="244"/>
      <c r="M227" s="551"/>
      <c r="N227" s="348"/>
      <c r="O227" s="244"/>
      <c r="P227" s="244"/>
      <c r="Q227" s="244"/>
      <c r="R227" s="244"/>
      <c r="S227" s="244"/>
      <c r="T227" s="348"/>
      <c r="U227" s="244"/>
      <c r="V227" s="244"/>
      <c r="W227" s="244"/>
      <c r="X227" s="244"/>
      <c r="Y227" s="244"/>
      <c r="Z227" s="244"/>
      <c r="AA227" s="244"/>
      <c r="AB227" s="244"/>
      <c r="AC227" s="244"/>
      <c r="AD227" s="244"/>
      <c r="AE227" s="348"/>
      <c r="AF227" s="348"/>
      <c r="AG227" s="348"/>
      <c r="AH227" s="348"/>
      <c r="AI227" s="348"/>
      <c r="AJ227" s="348"/>
      <c r="AK227" s="348"/>
      <c r="AL227" s="348"/>
      <c r="AM227" s="348"/>
      <c r="AN227" s="348"/>
      <c r="AO227" s="348"/>
    </row>
    <row r="228" ht="14.25" customHeight="1">
      <c r="A228" s="552" t="s">
        <v>220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  <c r="T228" s="348"/>
      <c r="U228" s="244"/>
      <c r="V228" s="244"/>
      <c r="W228" s="244"/>
      <c r="X228" s="244"/>
      <c r="Y228" s="244"/>
      <c r="Z228" s="244"/>
      <c r="AA228" s="244"/>
      <c r="AB228" s="244"/>
      <c r="AC228" s="244"/>
      <c r="AD228" s="244"/>
      <c r="AE228" s="348"/>
      <c r="AF228" s="348"/>
      <c r="AG228" s="348"/>
      <c r="AH228" s="348"/>
      <c r="AI228" s="348"/>
      <c r="AJ228" s="348"/>
      <c r="AK228" s="348"/>
      <c r="AL228" s="348"/>
      <c r="AM228" s="348"/>
      <c r="AN228" s="348"/>
      <c r="AO228" s="348"/>
    </row>
    <row r="2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348"/>
      <c r="N229" s="244"/>
      <c r="O229" s="244"/>
      <c r="P229" s="244"/>
      <c r="Q229" s="244"/>
      <c r="R229" s="244"/>
      <c r="S229" s="244"/>
      <c r="T229" s="348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348"/>
      <c r="AF229" s="348"/>
      <c r="AG229" s="348"/>
      <c r="AH229" s="348"/>
      <c r="AI229" s="348"/>
      <c r="AJ229" s="348"/>
      <c r="AK229" s="348"/>
      <c r="AL229" s="348"/>
      <c r="AM229" s="348"/>
      <c r="AN229" s="348"/>
      <c r="AO229" s="348"/>
    </row>
    <row r="230" ht="14.25" customHeight="1">
      <c r="A230" s="553" t="s">
        <v>221</v>
      </c>
      <c r="B230" s="46"/>
      <c r="C230" s="46"/>
      <c r="D230" s="521"/>
      <c r="E230" s="554" t="s">
        <v>222</v>
      </c>
      <c r="F230" s="23"/>
      <c r="G230" s="23"/>
      <c r="H230" s="23"/>
      <c r="I230" s="23"/>
      <c r="J230" s="23"/>
      <c r="K230" s="23"/>
      <c r="L230" s="24"/>
      <c r="M230" s="348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</row>
    <row r="231" ht="14.25" customHeight="1">
      <c r="A231" s="39"/>
      <c r="B231" s="40"/>
      <c r="C231" s="40"/>
      <c r="D231" s="525"/>
      <c r="E231" s="292" t="s">
        <v>35</v>
      </c>
      <c r="F231" s="293" t="s">
        <v>36</v>
      </c>
      <c r="G231" s="293" t="s">
        <v>37</v>
      </c>
      <c r="H231" s="293" t="s">
        <v>38</v>
      </c>
      <c r="I231" s="293" t="s">
        <v>223</v>
      </c>
      <c r="J231" s="293" t="s">
        <v>40</v>
      </c>
      <c r="K231" s="294" t="s">
        <v>41</v>
      </c>
      <c r="L231" s="295" t="s">
        <v>11</v>
      </c>
      <c r="M231" s="348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  <c r="AO231" s="244"/>
    </row>
    <row r="232" ht="14.25" customHeight="1">
      <c r="A232" s="534" t="s">
        <v>224</v>
      </c>
      <c r="B232" s="352"/>
      <c r="C232" s="352"/>
      <c r="D232" s="353"/>
      <c r="E232" s="296">
        <v>0.0</v>
      </c>
      <c r="F232" s="297">
        <v>0.0</v>
      </c>
      <c r="G232" s="297">
        <v>0.0</v>
      </c>
      <c r="H232" s="297">
        <v>0.0</v>
      </c>
      <c r="I232" s="297">
        <v>0.0</v>
      </c>
      <c r="J232" s="297">
        <v>0.0</v>
      </c>
      <c r="K232" s="298">
        <v>0.0</v>
      </c>
      <c r="L232" s="299">
        <f t="shared" ref="L232:L237" si="8">SUM(E232:K232)</f>
        <v>0</v>
      </c>
      <c r="M232" s="348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  <c r="AF232" s="244"/>
      <c r="AG232" s="244"/>
      <c r="AH232" s="244"/>
      <c r="AI232" s="244"/>
      <c r="AJ232" s="244"/>
      <c r="AK232" s="244"/>
      <c r="AL232" s="244"/>
      <c r="AM232" s="244"/>
      <c r="AN232" s="244"/>
      <c r="AO232" s="244"/>
    </row>
    <row r="233" ht="14.25" customHeight="1">
      <c r="A233" s="373" t="s">
        <v>225</v>
      </c>
      <c r="B233" s="27"/>
      <c r="C233" s="27"/>
      <c r="D233" s="50"/>
      <c r="E233" s="300">
        <v>0.0</v>
      </c>
      <c r="F233" s="301">
        <v>0.0</v>
      </c>
      <c r="G233" s="301">
        <v>0.0</v>
      </c>
      <c r="H233" s="301">
        <v>0.0</v>
      </c>
      <c r="I233" s="301">
        <v>0.0</v>
      </c>
      <c r="J233" s="301">
        <v>0.0</v>
      </c>
      <c r="K233" s="302">
        <v>0.0</v>
      </c>
      <c r="L233" s="138">
        <f t="shared" si="8"/>
        <v>0</v>
      </c>
      <c r="M233" s="348"/>
      <c r="N233" s="244"/>
      <c r="O233" s="244"/>
      <c r="P233" s="244"/>
      <c r="Q233" s="244"/>
      <c r="R233" s="244"/>
      <c r="S233" s="244"/>
      <c r="T233" s="24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244"/>
      <c r="AF233" s="244"/>
      <c r="AG233" s="244"/>
      <c r="AH233" s="244"/>
      <c r="AI233" s="244"/>
      <c r="AJ233" s="244"/>
      <c r="AK233" s="244"/>
      <c r="AL233" s="244"/>
      <c r="AM233" s="244"/>
      <c r="AN233" s="244"/>
      <c r="AO233" s="244"/>
    </row>
    <row r="234" ht="14.25" customHeight="1">
      <c r="A234" s="373" t="s">
        <v>226</v>
      </c>
      <c r="B234" s="27"/>
      <c r="C234" s="27"/>
      <c r="D234" s="50"/>
      <c r="E234" s="300">
        <v>0.0</v>
      </c>
      <c r="F234" s="301">
        <v>0.0</v>
      </c>
      <c r="G234" s="301">
        <v>0.0</v>
      </c>
      <c r="H234" s="301">
        <v>0.0</v>
      </c>
      <c r="I234" s="301">
        <v>0.0</v>
      </c>
      <c r="J234" s="301">
        <v>0.0</v>
      </c>
      <c r="K234" s="302">
        <v>0.0</v>
      </c>
      <c r="L234" s="138">
        <f t="shared" si="8"/>
        <v>0</v>
      </c>
      <c r="M234" s="348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4"/>
      <c r="AM234" s="244"/>
      <c r="AN234" s="244"/>
      <c r="AO234" s="244"/>
    </row>
    <row r="235" ht="14.25" customHeight="1">
      <c r="A235" s="373" t="s">
        <v>227</v>
      </c>
      <c r="B235" s="27"/>
      <c r="C235" s="27"/>
      <c r="D235" s="50"/>
      <c r="E235" s="300">
        <v>0.0</v>
      </c>
      <c r="F235" s="301">
        <v>0.0</v>
      </c>
      <c r="G235" s="301">
        <v>0.0</v>
      </c>
      <c r="H235" s="301">
        <v>0.0</v>
      </c>
      <c r="I235" s="301">
        <v>0.0</v>
      </c>
      <c r="J235" s="301">
        <v>0.0</v>
      </c>
      <c r="K235" s="302">
        <v>0.0</v>
      </c>
      <c r="L235" s="138">
        <f t="shared" si="8"/>
        <v>0</v>
      </c>
      <c r="M235" s="348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4"/>
      <c r="AM235" s="244"/>
      <c r="AN235" s="244"/>
      <c r="AO235" s="244"/>
    </row>
    <row r="236" ht="14.25" customHeight="1">
      <c r="A236" s="373" t="s">
        <v>228</v>
      </c>
      <c r="B236" s="27"/>
      <c r="C236" s="27"/>
      <c r="D236" s="50"/>
      <c r="E236" s="300">
        <v>0.0</v>
      </c>
      <c r="F236" s="301">
        <v>0.0</v>
      </c>
      <c r="G236" s="301">
        <v>0.0</v>
      </c>
      <c r="H236" s="301">
        <v>0.0</v>
      </c>
      <c r="I236" s="301">
        <v>0.0</v>
      </c>
      <c r="J236" s="301">
        <v>0.0</v>
      </c>
      <c r="K236" s="302">
        <v>0.0</v>
      </c>
      <c r="L236" s="138">
        <f t="shared" si="8"/>
        <v>0</v>
      </c>
      <c r="M236" s="474"/>
      <c r="N236" s="47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474"/>
      <c r="AF236" s="474"/>
      <c r="AG236" s="474"/>
      <c r="AH236" s="474"/>
      <c r="AI236" s="474"/>
      <c r="AJ236" s="474"/>
      <c r="AK236" s="474"/>
      <c r="AL236" s="474"/>
      <c r="AM236" s="474"/>
      <c r="AN236" s="474"/>
      <c r="AO236" s="474"/>
    </row>
    <row r="237" ht="14.25" customHeight="1">
      <c r="A237" s="35" t="s">
        <v>141</v>
      </c>
      <c r="B237" s="36"/>
      <c r="C237" s="36"/>
      <c r="D237" s="37"/>
      <c r="E237" s="303">
        <v>0.0</v>
      </c>
      <c r="F237" s="304">
        <v>0.0</v>
      </c>
      <c r="G237" s="304">
        <v>0.0</v>
      </c>
      <c r="H237" s="304">
        <v>0.0</v>
      </c>
      <c r="I237" s="304">
        <v>0.0</v>
      </c>
      <c r="J237" s="304">
        <v>0.0</v>
      </c>
      <c r="K237" s="305">
        <v>0.0</v>
      </c>
      <c r="L237" s="143">
        <f t="shared" si="8"/>
        <v>0</v>
      </c>
      <c r="M237" s="244"/>
      <c r="N237" s="348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4"/>
      <c r="AM237" s="244"/>
      <c r="AN237" s="244"/>
      <c r="AO237" s="244"/>
    </row>
    <row r="238" ht="14.25" customHeight="1">
      <c r="A238" s="423" t="s">
        <v>11</v>
      </c>
      <c r="B238" s="364"/>
      <c r="C238" s="364"/>
      <c r="D238" s="365"/>
      <c r="E238" s="306">
        <f t="shared" ref="E238:L238" si="9">SUM(E232:E237)</f>
        <v>0</v>
      </c>
      <c r="F238" s="307">
        <f t="shared" si="9"/>
        <v>0</v>
      </c>
      <c r="G238" s="307">
        <f t="shared" si="9"/>
        <v>0</v>
      </c>
      <c r="H238" s="307">
        <f t="shared" si="9"/>
        <v>0</v>
      </c>
      <c r="I238" s="307">
        <f t="shared" si="9"/>
        <v>0</v>
      </c>
      <c r="J238" s="307">
        <f t="shared" si="9"/>
        <v>0</v>
      </c>
      <c r="K238" s="308">
        <f t="shared" si="9"/>
        <v>0</v>
      </c>
      <c r="L238" s="148">
        <f t="shared" si="9"/>
        <v>0</v>
      </c>
      <c r="M238" s="555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</row>
    <row r="239" ht="14.25" customHeight="1">
      <c r="A239" s="474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244"/>
      <c r="N239" s="348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</row>
    <row r="240" ht="14.25" customHeight="1">
      <c r="A240" s="556" t="s">
        <v>229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</row>
    <row r="241" ht="14.2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4"/>
      <c r="M241" s="348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4"/>
      <c r="AM241" s="244"/>
      <c r="AN241" s="244"/>
      <c r="AO241" s="244"/>
    </row>
    <row r="242" ht="14.25" customHeight="1">
      <c r="A242" s="553" t="s">
        <v>221</v>
      </c>
      <c r="B242" s="46"/>
      <c r="C242" s="46"/>
      <c r="D242" s="521"/>
      <c r="E242" s="554" t="s">
        <v>369</v>
      </c>
      <c r="F242" s="23"/>
      <c r="G242" s="23"/>
      <c r="H242" s="23"/>
      <c r="I242" s="23"/>
      <c r="J242" s="23"/>
      <c r="K242" s="23"/>
      <c r="L242" s="24"/>
      <c r="M242" s="348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</row>
    <row r="243" ht="14.25" customHeight="1">
      <c r="A243" s="39"/>
      <c r="B243" s="40"/>
      <c r="C243" s="40"/>
      <c r="D243" s="525"/>
      <c r="E243" s="292" t="s">
        <v>35</v>
      </c>
      <c r="F243" s="293" t="s">
        <v>36</v>
      </c>
      <c r="G243" s="293" t="s">
        <v>37</v>
      </c>
      <c r="H243" s="293" t="s">
        <v>38</v>
      </c>
      <c r="I243" s="293" t="s">
        <v>223</v>
      </c>
      <c r="J243" s="293" t="s">
        <v>40</v>
      </c>
      <c r="K243" s="294" t="s">
        <v>41</v>
      </c>
      <c r="L243" s="295" t="s">
        <v>11</v>
      </c>
      <c r="M243" s="348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</row>
    <row r="244" ht="14.25" customHeight="1">
      <c r="A244" s="534" t="s">
        <v>224</v>
      </c>
      <c r="B244" s="352"/>
      <c r="C244" s="352"/>
      <c r="D244" s="353"/>
      <c r="E244" s="296">
        <v>0.0</v>
      </c>
      <c r="F244" s="297">
        <v>0.0</v>
      </c>
      <c r="G244" s="297">
        <v>0.0</v>
      </c>
      <c r="H244" s="297">
        <v>0.0</v>
      </c>
      <c r="I244" s="297">
        <v>0.0</v>
      </c>
      <c r="J244" s="297">
        <v>0.0</v>
      </c>
      <c r="K244" s="298">
        <v>0.0</v>
      </c>
      <c r="L244" s="299">
        <f t="shared" ref="L244:L250" si="10">SUM(E244:K244)</f>
        <v>0</v>
      </c>
      <c r="M244" s="348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</row>
    <row r="245" ht="14.25" customHeight="1">
      <c r="A245" s="373" t="s">
        <v>225</v>
      </c>
      <c r="B245" s="27"/>
      <c r="C245" s="27"/>
      <c r="D245" s="50"/>
      <c r="E245" s="300">
        <v>0.0</v>
      </c>
      <c r="F245" s="301">
        <v>0.0</v>
      </c>
      <c r="G245" s="301">
        <v>0.0</v>
      </c>
      <c r="H245" s="301">
        <v>0.0</v>
      </c>
      <c r="I245" s="301">
        <v>0.0</v>
      </c>
      <c r="J245" s="301">
        <v>0.0</v>
      </c>
      <c r="K245" s="302">
        <v>0.0</v>
      </c>
      <c r="L245" s="138">
        <f t="shared" si="10"/>
        <v>0</v>
      </c>
      <c r="M245" s="348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</row>
    <row r="246" ht="14.25" customHeight="1">
      <c r="A246" s="373" t="s">
        <v>226</v>
      </c>
      <c r="B246" s="27"/>
      <c r="C246" s="27"/>
      <c r="D246" s="50"/>
      <c r="E246" s="300">
        <v>0.0</v>
      </c>
      <c r="F246" s="301">
        <v>0.0</v>
      </c>
      <c r="G246" s="301">
        <v>0.0</v>
      </c>
      <c r="H246" s="301">
        <v>0.0</v>
      </c>
      <c r="I246" s="301">
        <v>0.0</v>
      </c>
      <c r="J246" s="301">
        <v>0.0</v>
      </c>
      <c r="K246" s="302">
        <v>0.0</v>
      </c>
      <c r="L246" s="138">
        <f t="shared" si="10"/>
        <v>0</v>
      </c>
      <c r="M246" s="348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</row>
    <row r="247" ht="14.25" customHeight="1">
      <c r="A247" s="373" t="s">
        <v>227</v>
      </c>
      <c r="B247" s="27"/>
      <c r="C247" s="27"/>
      <c r="D247" s="50"/>
      <c r="E247" s="300">
        <v>0.0</v>
      </c>
      <c r="F247" s="301">
        <v>0.0</v>
      </c>
      <c r="G247" s="301">
        <v>0.0</v>
      </c>
      <c r="H247" s="301">
        <v>0.0</v>
      </c>
      <c r="I247" s="301">
        <v>0.0</v>
      </c>
      <c r="J247" s="301">
        <v>0.0</v>
      </c>
      <c r="K247" s="302">
        <v>0.0</v>
      </c>
      <c r="L247" s="138">
        <f t="shared" si="10"/>
        <v>0</v>
      </c>
      <c r="M247" s="348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</row>
    <row r="248" ht="14.25" customHeight="1">
      <c r="A248" s="373" t="s">
        <v>228</v>
      </c>
      <c r="B248" s="27"/>
      <c r="C248" s="27"/>
      <c r="D248" s="50"/>
      <c r="E248" s="300">
        <v>0.0</v>
      </c>
      <c r="F248" s="301">
        <v>0.0</v>
      </c>
      <c r="G248" s="301">
        <v>0.0</v>
      </c>
      <c r="H248" s="301">
        <v>0.0</v>
      </c>
      <c r="I248" s="301">
        <v>0.0</v>
      </c>
      <c r="J248" s="301">
        <v>0.0</v>
      </c>
      <c r="K248" s="302">
        <v>0.0</v>
      </c>
      <c r="L248" s="138">
        <f t="shared" si="10"/>
        <v>0</v>
      </c>
      <c r="M248" s="355"/>
      <c r="N248" s="348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4"/>
      <c r="AM248" s="244"/>
      <c r="AN248" s="244"/>
      <c r="AO248" s="244"/>
    </row>
    <row r="249" ht="14.25" customHeight="1">
      <c r="A249" s="35" t="s">
        <v>141</v>
      </c>
      <c r="B249" s="36"/>
      <c r="C249" s="36"/>
      <c r="D249" s="37"/>
      <c r="E249" s="303">
        <v>0.0</v>
      </c>
      <c r="F249" s="304">
        <v>0.0</v>
      </c>
      <c r="G249" s="304">
        <v>0.0</v>
      </c>
      <c r="H249" s="304">
        <v>0.0</v>
      </c>
      <c r="I249" s="304">
        <v>0.0</v>
      </c>
      <c r="J249" s="304">
        <v>0.0</v>
      </c>
      <c r="K249" s="305">
        <v>0.0</v>
      </c>
      <c r="L249" s="143">
        <f t="shared" si="10"/>
        <v>0</v>
      </c>
      <c r="M249" s="357"/>
      <c r="N249" s="348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4"/>
      <c r="AM249" s="244"/>
      <c r="AN249" s="244"/>
      <c r="AO249" s="244"/>
    </row>
    <row r="250" ht="14.25" customHeight="1">
      <c r="A250" s="144" t="s">
        <v>11</v>
      </c>
      <c r="B250" s="19"/>
      <c r="C250" s="19"/>
      <c r="D250" s="43"/>
      <c r="E250" s="145">
        <f t="shared" ref="E250:K250" si="11">SUM(E244:E249)</f>
        <v>0</v>
      </c>
      <c r="F250" s="146">
        <f t="shared" si="11"/>
        <v>0</v>
      </c>
      <c r="G250" s="146">
        <f t="shared" si="11"/>
        <v>0</v>
      </c>
      <c r="H250" s="146">
        <f t="shared" si="11"/>
        <v>0</v>
      </c>
      <c r="I250" s="146">
        <f t="shared" si="11"/>
        <v>0</v>
      </c>
      <c r="J250" s="146">
        <f t="shared" si="11"/>
        <v>0</v>
      </c>
      <c r="K250" s="557">
        <f t="shared" si="11"/>
        <v>0</v>
      </c>
      <c r="L250" s="558">
        <f t="shared" si="10"/>
        <v>0</v>
      </c>
      <c r="M250" s="135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</row>
    <row r="251" ht="14.25" customHeight="1">
      <c r="A251" s="355"/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244"/>
      <c r="N251" s="348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</row>
    <row r="252" ht="14.25" customHeight="1">
      <c r="A252" s="356" t="s">
        <v>231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3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</row>
    <row r="253" ht="14.2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4"/>
      <c r="M253" s="348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</row>
    <row r="254" ht="14.25" customHeight="1">
      <c r="A254" s="75" t="s">
        <v>232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3"/>
      <c r="M254" s="348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</row>
    <row r="255" ht="14.2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4"/>
      <c r="M255" s="348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</row>
    <row r="256" ht="31.5" customHeight="1">
      <c r="A256" s="559" t="s">
        <v>233</v>
      </c>
      <c r="B256" s="47"/>
      <c r="C256" s="452" t="s">
        <v>234</v>
      </c>
      <c r="D256" s="24"/>
      <c r="E256" s="452" t="s">
        <v>235</v>
      </c>
      <c r="F256" s="24"/>
      <c r="G256" s="452" t="s">
        <v>370</v>
      </c>
      <c r="H256" s="24"/>
      <c r="I256" s="348"/>
      <c r="J256" s="244"/>
      <c r="K256" s="244"/>
      <c r="L256" s="244"/>
      <c r="M256" s="244"/>
      <c r="N256" s="244"/>
      <c r="O256" s="244"/>
      <c r="P256" s="244"/>
      <c r="Q256" s="348"/>
      <c r="R256" s="348"/>
      <c r="S256" s="348"/>
      <c r="T256" s="348"/>
      <c r="U256" s="348"/>
      <c r="V256" s="348"/>
      <c r="W256" s="348"/>
      <c r="X256" s="348"/>
      <c r="Y256" s="348"/>
      <c r="Z256" s="348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</row>
    <row r="257" ht="30.75" customHeight="1">
      <c r="A257" s="39"/>
      <c r="B257" s="86"/>
      <c r="C257" s="453" t="s">
        <v>237</v>
      </c>
      <c r="D257" s="454" t="s">
        <v>238</v>
      </c>
      <c r="E257" s="453" t="s">
        <v>237</v>
      </c>
      <c r="F257" s="454" t="s">
        <v>238</v>
      </c>
      <c r="G257" s="453" t="s">
        <v>237</v>
      </c>
      <c r="H257" s="454" t="s">
        <v>238</v>
      </c>
      <c r="I257" s="348"/>
      <c r="J257" s="244"/>
      <c r="K257" s="244"/>
      <c r="L257" s="244"/>
      <c r="M257" s="244"/>
      <c r="N257" s="244"/>
      <c r="O257" s="244"/>
      <c r="P257" s="244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</row>
    <row r="258" ht="14.25" customHeight="1">
      <c r="A258" s="456" t="s">
        <v>239</v>
      </c>
      <c r="B258" s="440"/>
      <c r="C258" s="209">
        <v>0.0</v>
      </c>
      <c r="D258" s="210">
        <v>0.0</v>
      </c>
      <c r="E258" s="209">
        <v>0.0</v>
      </c>
      <c r="F258" s="210">
        <v>0.0</v>
      </c>
      <c r="G258" s="209">
        <v>0.0</v>
      </c>
      <c r="H258" s="210">
        <v>0.0</v>
      </c>
      <c r="I258" s="111"/>
      <c r="J258" s="244"/>
      <c r="K258" s="244"/>
      <c r="L258" s="244"/>
      <c r="M258" s="244"/>
      <c r="N258" s="244"/>
      <c r="O258" s="244"/>
      <c r="P258" s="244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</row>
    <row r="259" ht="14.25" customHeight="1">
      <c r="A259" s="140" t="s">
        <v>240</v>
      </c>
      <c r="B259" s="28"/>
      <c r="C259" s="212">
        <v>0.0</v>
      </c>
      <c r="D259" s="164">
        <v>0.0</v>
      </c>
      <c r="E259" s="212">
        <v>0.0</v>
      </c>
      <c r="F259" s="164">
        <v>0.0</v>
      </c>
      <c r="G259" s="212">
        <v>0.0</v>
      </c>
      <c r="H259" s="164">
        <v>0.0</v>
      </c>
      <c r="I259" s="111"/>
      <c r="J259" s="244"/>
      <c r="K259" s="244"/>
      <c r="L259" s="244"/>
      <c r="M259" s="244"/>
      <c r="N259" s="244"/>
      <c r="O259" s="244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48"/>
      <c r="AB259" s="348"/>
      <c r="AC259" s="348"/>
      <c r="AD259" s="348"/>
      <c r="AE259" s="348"/>
      <c r="AF259" s="348"/>
      <c r="AG259" s="348"/>
      <c r="AH259" s="348"/>
      <c r="AI259" s="348"/>
      <c r="AJ259" s="348"/>
      <c r="AK259" s="348"/>
      <c r="AL259" s="348"/>
      <c r="AM259" s="348"/>
      <c r="AN259" s="348"/>
      <c r="AO259" s="348"/>
    </row>
    <row r="260" ht="14.25" customHeight="1">
      <c r="A260" s="26" t="s">
        <v>241</v>
      </c>
      <c r="B260" s="165"/>
      <c r="C260" s="212">
        <v>0.0</v>
      </c>
      <c r="D260" s="164">
        <v>0.0</v>
      </c>
      <c r="E260" s="212">
        <v>0.0</v>
      </c>
      <c r="F260" s="164">
        <v>0.0</v>
      </c>
      <c r="G260" s="212">
        <v>0.0</v>
      </c>
      <c r="H260" s="164">
        <v>0.0</v>
      </c>
      <c r="I260" s="111"/>
      <c r="J260" s="244"/>
      <c r="K260" s="244"/>
      <c r="L260" s="244"/>
      <c r="M260" s="244"/>
      <c r="N260" s="244"/>
      <c r="O260" s="244"/>
      <c r="P260" s="348"/>
      <c r="Q260" s="348"/>
      <c r="R260" s="348"/>
      <c r="S260" s="348"/>
      <c r="T260" s="348"/>
      <c r="U260" s="348"/>
      <c r="V260" s="348"/>
      <c r="W260" s="348"/>
      <c r="X260" s="348"/>
      <c r="Y260" s="348"/>
      <c r="Z260" s="348"/>
      <c r="AA260" s="348"/>
      <c r="AB260" s="348"/>
      <c r="AC260" s="348"/>
      <c r="AD260" s="348"/>
      <c r="AE260" s="348"/>
      <c r="AF260" s="348"/>
      <c r="AG260" s="348"/>
      <c r="AH260" s="348"/>
      <c r="AI260" s="348"/>
      <c r="AJ260" s="348"/>
      <c r="AK260" s="348"/>
      <c r="AL260" s="348"/>
      <c r="AM260" s="348"/>
      <c r="AN260" s="348"/>
      <c r="AO260" s="348"/>
    </row>
    <row r="261" ht="14.25" customHeight="1">
      <c r="A261" s="26" t="s">
        <v>242</v>
      </c>
      <c r="B261" s="165"/>
      <c r="C261" s="212">
        <v>0.0</v>
      </c>
      <c r="D261" s="164">
        <v>0.0</v>
      </c>
      <c r="E261" s="212">
        <v>0.0</v>
      </c>
      <c r="F261" s="164">
        <v>0.0</v>
      </c>
      <c r="G261" s="212">
        <v>0.0</v>
      </c>
      <c r="H261" s="164">
        <v>0.0</v>
      </c>
      <c r="I261" s="111"/>
      <c r="J261" s="244"/>
      <c r="K261" s="244"/>
      <c r="L261" s="244"/>
      <c r="M261" s="244"/>
      <c r="N261" s="244"/>
      <c r="O261" s="244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348"/>
      <c r="AB261" s="348"/>
      <c r="AC261" s="348"/>
      <c r="AD261" s="348"/>
      <c r="AE261" s="348"/>
      <c r="AF261" s="348"/>
      <c r="AG261" s="348"/>
      <c r="AH261" s="348"/>
      <c r="AI261" s="348"/>
      <c r="AJ261" s="348"/>
      <c r="AK261" s="348"/>
      <c r="AL261" s="348"/>
      <c r="AM261" s="348"/>
      <c r="AN261" s="348"/>
      <c r="AO261" s="348"/>
    </row>
    <row r="262" ht="14.25" customHeight="1">
      <c r="A262" s="26" t="s">
        <v>243</v>
      </c>
      <c r="B262" s="28"/>
      <c r="C262" s="212">
        <v>0.0</v>
      </c>
      <c r="D262" s="186">
        <v>0.0</v>
      </c>
      <c r="E262" s="212">
        <v>0.0</v>
      </c>
      <c r="F262" s="186">
        <v>0.0</v>
      </c>
      <c r="G262" s="212">
        <v>0.0</v>
      </c>
      <c r="H262" s="164">
        <v>0.0</v>
      </c>
      <c r="I262" s="348"/>
      <c r="J262" s="244"/>
      <c r="K262" s="244"/>
      <c r="L262" s="244"/>
      <c r="M262" s="244"/>
      <c r="N262" s="244"/>
      <c r="O262" s="244"/>
      <c r="P262" s="348"/>
      <c r="Q262" s="348"/>
      <c r="R262" s="348"/>
      <c r="S262" s="348"/>
      <c r="T262" s="348"/>
      <c r="U262" s="348"/>
      <c r="V262" s="348"/>
      <c r="W262" s="348"/>
      <c r="X262" s="348"/>
      <c r="Y262" s="348"/>
      <c r="Z262" s="348"/>
      <c r="AA262" s="348"/>
      <c r="AB262" s="348"/>
      <c r="AC262" s="348"/>
      <c r="AD262" s="348"/>
      <c r="AE262" s="348"/>
      <c r="AF262" s="348"/>
      <c r="AG262" s="348"/>
      <c r="AH262" s="348"/>
      <c r="AI262" s="348"/>
      <c r="AJ262" s="348"/>
      <c r="AK262" s="348"/>
      <c r="AL262" s="348"/>
      <c r="AM262" s="348"/>
      <c r="AN262" s="348"/>
      <c r="AO262" s="348"/>
    </row>
    <row r="263" ht="14.25" customHeight="1">
      <c r="A263" s="26" t="s">
        <v>244</v>
      </c>
      <c r="B263" s="165"/>
      <c r="C263" s="212">
        <v>0.0</v>
      </c>
      <c r="D263" s="186">
        <v>0.0</v>
      </c>
      <c r="E263" s="212">
        <v>0.0</v>
      </c>
      <c r="F263" s="186">
        <v>0.0</v>
      </c>
      <c r="G263" s="212">
        <v>0.0</v>
      </c>
      <c r="H263" s="164">
        <v>0.0</v>
      </c>
      <c r="I263" s="255"/>
      <c r="J263" s="348"/>
      <c r="K263" s="244"/>
      <c r="L263" s="244"/>
      <c r="M263" s="244"/>
      <c r="N263" s="244"/>
      <c r="O263" s="244"/>
      <c r="P263" s="244"/>
      <c r="Q263" s="348"/>
      <c r="R263" s="348"/>
      <c r="S263" s="348"/>
      <c r="T263" s="348"/>
      <c r="U263" s="348"/>
      <c r="V263" s="348"/>
      <c r="W263" s="348"/>
      <c r="X263" s="348"/>
      <c r="Y263" s="348"/>
      <c r="Z263" s="348"/>
      <c r="AA263" s="348"/>
      <c r="AB263" s="348"/>
      <c r="AC263" s="348"/>
      <c r="AD263" s="348"/>
      <c r="AE263" s="348"/>
      <c r="AF263" s="348"/>
      <c r="AG263" s="348"/>
      <c r="AH263" s="348"/>
      <c r="AI263" s="348"/>
      <c r="AJ263" s="348"/>
      <c r="AK263" s="348"/>
      <c r="AL263" s="348"/>
      <c r="AM263" s="348"/>
      <c r="AN263" s="348"/>
      <c r="AO263" s="348"/>
    </row>
    <row r="264" ht="14.25" customHeight="1">
      <c r="A264" s="141" t="s">
        <v>245</v>
      </c>
      <c r="B264" s="49"/>
      <c r="C264" s="312">
        <v>0.0</v>
      </c>
      <c r="D264" s="313">
        <v>0.0</v>
      </c>
      <c r="E264" s="312">
        <v>0.0</v>
      </c>
      <c r="F264" s="313">
        <v>0.0</v>
      </c>
      <c r="G264" s="312">
        <v>0.0</v>
      </c>
      <c r="H264" s="314">
        <v>0.0</v>
      </c>
      <c r="I264" s="255"/>
      <c r="J264" s="348"/>
      <c r="K264" s="244"/>
      <c r="L264" s="244"/>
      <c r="M264" s="244"/>
      <c r="N264" s="244"/>
      <c r="O264" s="244"/>
      <c r="P264" s="244"/>
      <c r="Q264" s="348"/>
      <c r="R264" s="348"/>
      <c r="S264" s="348"/>
      <c r="T264" s="348"/>
      <c r="U264" s="348"/>
      <c r="V264" s="348"/>
      <c r="W264" s="348"/>
      <c r="X264" s="348"/>
      <c r="Y264" s="348"/>
      <c r="Z264" s="348"/>
      <c r="AA264" s="348"/>
      <c r="AB264" s="348"/>
      <c r="AC264" s="348"/>
      <c r="AD264" s="348"/>
      <c r="AE264" s="348"/>
      <c r="AF264" s="348"/>
      <c r="AG264" s="348"/>
      <c r="AH264" s="348"/>
      <c r="AI264" s="348"/>
      <c r="AJ264" s="348"/>
      <c r="AK264" s="348"/>
      <c r="AL264" s="348"/>
      <c r="AM264" s="348"/>
      <c r="AN264" s="348"/>
      <c r="AO264" s="348"/>
    </row>
    <row r="265" ht="14.25" customHeight="1">
      <c r="A265" s="459" t="s">
        <v>11</v>
      </c>
      <c r="B265" s="155"/>
      <c r="C265" s="232">
        <f t="shared" ref="C265:H265" si="12">SUM(C258:C264)</f>
        <v>0</v>
      </c>
      <c r="D265" s="315">
        <f t="shared" si="12"/>
        <v>0</v>
      </c>
      <c r="E265" s="232">
        <f t="shared" si="12"/>
        <v>0</v>
      </c>
      <c r="F265" s="315">
        <f t="shared" si="12"/>
        <v>0</v>
      </c>
      <c r="G265" s="232">
        <f t="shared" si="12"/>
        <v>0</v>
      </c>
      <c r="H265" s="315">
        <f t="shared" si="12"/>
        <v>0</v>
      </c>
      <c r="I265" s="255"/>
      <c r="J265" s="348"/>
      <c r="K265" s="244"/>
      <c r="L265" s="244"/>
      <c r="M265" s="244"/>
      <c r="N265" s="244"/>
      <c r="O265" s="244"/>
      <c r="P265" s="2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48"/>
      <c r="AB265" s="348"/>
      <c r="AC265" s="348"/>
      <c r="AD265" s="348"/>
      <c r="AE265" s="348"/>
      <c r="AF265" s="348"/>
      <c r="AG265" s="348"/>
      <c r="AH265" s="348"/>
      <c r="AI265" s="348"/>
      <c r="AJ265" s="348"/>
      <c r="AK265" s="348"/>
      <c r="AL265" s="348"/>
      <c r="AM265" s="348"/>
      <c r="AN265" s="348"/>
      <c r="AO265" s="348"/>
    </row>
    <row r="266" ht="14.25" customHeight="1">
      <c r="A266" s="460"/>
      <c r="B266" s="460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44"/>
      <c r="N266" s="348"/>
      <c r="O266" s="244"/>
      <c r="P266" s="244"/>
      <c r="Q266" s="244"/>
      <c r="R266" s="244"/>
      <c r="S266" s="244"/>
      <c r="T266" s="244"/>
      <c r="U266" s="348"/>
      <c r="V266" s="348"/>
      <c r="W266" s="348"/>
      <c r="X266" s="348"/>
      <c r="Y266" s="348"/>
      <c r="Z266" s="348"/>
      <c r="AA266" s="348"/>
      <c r="AB266" s="348"/>
      <c r="AC266" s="348"/>
      <c r="AD266" s="348"/>
      <c r="AE266" s="348"/>
      <c r="AF266" s="348"/>
      <c r="AG266" s="348"/>
      <c r="AH266" s="348"/>
      <c r="AI266" s="348"/>
      <c r="AJ266" s="348"/>
      <c r="AK266" s="348"/>
      <c r="AL266" s="348"/>
      <c r="AM266" s="348"/>
      <c r="AN266" s="348"/>
      <c r="AO266" s="348"/>
    </row>
    <row r="267" ht="14.25" customHeight="1">
      <c r="A267" s="75" t="s">
        <v>246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3"/>
      <c r="M267" s="348"/>
      <c r="N267" s="244"/>
      <c r="O267" s="244"/>
      <c r="P267" s="244"/>
      <c r="Q267" s="244"/>
      <c r="R267" s="244"/>
      <c r="S267" s="244"/>
      <c r="T267" s="348"/>
      <c r="U267" s="348"/>
      <c r="V267" s="348"/>
      <c r="W267" s="348"/>
      <c r="X267" s="348"/>
      <c r="Y267" s="348"/>
      <c r="Z267" s="348"/>
      <c r="AA267" s="348"/>
      <c r="AB267" s="348"/>
      <c r="AC267" s="348"/>
      <c r="AD267" s="348"/>
      <c r="AE267" s="348"/>
      <c r="AF267" s="348"/>
      <c r="AG267" s="348"/>
      <c r="AH267" s="348"/>
      <c r="AI267" s="348"/>
      <c r="AJ267" s="348"/>
      <c r="AK267" s="348"/>
      <c r="AL267" s="348"/>
      <c r="AM267" s="348"/>
      <c r="AN267" s="348"/>
      <c r="AO267" s="348"/>
    </row>
    <row r="268" ht="14.2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4"/>
      <c r="M268" s="348"/>
      <c r="N268" s="244"/>
      <c r="O268" s="244"/>
      <c r="P268" s="244"/>
      <c r="Q268" s="244"/>
      <c r="R268" s="244"/>
      <c r="S268" s="244"/>
      <c r="T268" s="348"/>
      <c r="U268" s="348"/>
      <c r="V268" s="348"/>
      <c r="W268" s="348"/>
      <c r="X268" s="348"/>
      <c r="Y268" s="348"/>
      <c r="Z268" s="348"/>
      <c r="AA268" s="348"/>
      <c r="AB268" s="348"/>
      <c r="AC268" s="348"/>
      <c r="AD268" s="348"/>
      <c r="AE268" s="348"/>
      <c r="AF268" s="348"/>
      <c r="AG268" s="348"/>
      <c r="AH268" s="348"/>
      <c r="AI268" s="348"/>
      <c r="AJ268" s="348"/>
      <c r="AK268" s="348"/>
      <c r="AL268" s="348"/>
      <c r="AM268" s="348"/>
      <c r="AN268" s="348"/>
      <c r="AO268" s="348"/>
    </row>
    <row r="269" ht="36.0" customHeight="1">
      <c r="A269" s="559" t="s">
        <v>233</v>
      </c>
      <c r="B269" s="47"/>
      <c r="C269" s="452" t="s">
        <v>234</v>
      </c>
      <c r="D269" s="24"/>
      <c r="E269" s="452" t="s">
        <v>235</v>
      </c>
      <c r="F269" s="24"/>
      <c r="G269" s="452" t="s">
        <v>370</v>
      </c>
      <c r="H269" s="24"/>
      <c r="I269" s="348"/>
      <c r="J269" s="244"/>
      <c r="K269" s="244"/>
      <c r="L269" s="244"/>
      <c r="M269" s="244"/>
      <c r="N269" s="244"/>
      <c r="O269" s="244"/>
      <c r="P269" s="348"/>
      <c r="Q269" s="348"/>
      <c r="R269" s="348"/>
      <c r="S269" s="348"/>
      <c r="T269" s="348"/>
      <c r="U269" s="348"/>
      <c r="V269" s="348"/>
      <c r="W269" s="348"/>
      <c r="X269" s="348"/>
      <c r="Y269" s="348"/>
      <c r="Z269" s="348"/>
      <c r="AA269" s="348"/>
      <c r="AB269" s="348"/>
      <c r="AC269" s="348"/>
      <c r="AD269" s="348"/>
      <c r="AE269" s="348"/>
      <c r="AF269" s="348"/>
      <c r="AG269" s="348"/>
      <c r="AH269" s="348"/>
      <c r="AI269" s="348"/>
      <c r="AJ269" s="348"/>
      <c r="AK269" s="348"/>
      <c r="AL269" s="348"/>
      <c r="AM269" s="348"/>
      <c r="AN269" s="348"/>
      <c r="AO269" s="348"/>
    </row>
    <row r="270" ht="14.25" customHeight="1">
      <c r="A270" s="39"/>
      <c r="B270" s="86"/>
      <c r="C270" s="560" t="s">
        <v>237</v>
      </c>
      <c r="D270" s="561" t="s">
        <v>238</v>
      </c>
      <c r="E270" s="560" t="s">
        <v>237</v>
      </c>
      <c r="F270" s="561" t="s">
        <v>238</v>
      </c>
      <c r="G270" s="560" t="s">
        <v>237</v>
      </c>
      <c r="H270" s="561" t="s">
        <v>238</v>
      </c>
      <c r="I270" s="348"/>
      <c r="J270" s="244"/>
      <c r="K270" s="244"/>
      <c r="L270" s="244"/>
      <c r="M270" s="244"/>
      <c r="N270" s="244"/>
      <c r="O270" s="244"/>
      <c r="P270" s="348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348"/>
      <c r="AB270" s="348"/>
      <c r="AC270" s="348"/>
      <c r="AD270" s="348"/>
      <c r="AE270" s="348"/>
      <c r="AF270" s="348"/>
      <c r="AG270" s="348"/>
      <c r="AH270" s="348"/>
      <c r="AI270" s="348"/>
      <c r="AJ270" s="348"/>
      <c r="AK270" s="348"/>
      <c r="AL270" s="348"/>
      <c r="AM270" s="348"/>
      <c r="AN270" s="348"/>
      <c r="AO270" s="348"/>
    </row>
    <row r="271" ht="14.25" customHeight="1">
      <c r="A271" s="456" t="s">
        <v>239</v>
      </c>
      <c r="B271" s="440"/>
      <c r="C271" s="209">
        <v>0.0</v>
      </c>
      <c r="D271" s="210">
        <v>0.0</v>
      </c>
      <c r="E271" s="209">
        <v>0.0</v>
      </c>
      <c r="F271" s="210">
        <v>0.0</v>
      </c>
      <c r="G271" s="209">
        <v>0.0</v>
      </c>
      <c r="H271" s="210">
        <v>0.0</v>
      </c>
      <c r="I271" s="111"/>
      <c r="J271" s="244"/>
      <c r="K271" s="244"/>
      <c r="L271" s="244"/>
      <c r="M271" s="244"/>
      <c r="N271" s="244"/>
      <c r="O271" s="244"/>
      <c r="P271" s="348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348"/>
      <c r="AB271" s="348"/>
      <c r="AC271" s="348"/>
      <c r="AD271" s="348"/>
      <c r="AE271" s="348"/>
      <c r="AF271" s="348"/>
      <c r="AG271" s="348"/>
      <c r="AH271" s="348"/>
      <c r="AI271" s="348"/>
      <c r="AJ271" s="348"/>
      <c r="AK271" s="348"/>
      <c r="AL271" s="348"/>
      <c r="AM271" s="348"/>
      <c r="AN271" s="348"/>
      <c r="AO271" s="348"/>
    </row>
    <row r="272" ht="14.25" customHeight="1">
      <c r="A272" s="140" t="s">
        <v>240</v>
      </c>
      <c r="B272" s="28"/>
      <c r="C272" s="212">
        <v>0.0</v>
      </c>
      <c r="D272" s="164">
        <v>0.0</v>
      </c>
      <c r="E272" s="212">
        <v>0.0</v>
      </c>
      <c r="F272" s="164">
        <v>0.0</v>
      </c>
      <c r="G272" s="212">
        <v>0.0</v>
      </c>
      <c r="H272" s="164">
        <v>0.0</v>
      </c>
      <c r="I272" s="111"/>
      <c r="J272" s="244"/>
      <c r="K272" s="244"/>
      <c r="L272" s="244"/>
      <c r="M272" s="244"/>
      <c r="N272" s="244"/>
      <c r="O272" s="244"/>
      <c r="P272" s="348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348"/>
      <c r="AB272" s="348"/>
      <c r="AC272" s="348"/>
      <c r="AD272" s="348"/>
      <c r="AE272" s="348"/>
      <c r="AF272" s="348"/>
      <c r="AG272" s="348"/>
      <c r="AH272" s="348"/>
      <c r="AI272" s="348"/>
      <c r="AJ272" s="348"/>
      <c r="AK272" s="348"/>
      <c r="AL272" s="348"/>
      <c r="AM272" s="348"/>
      <c r="AN272" s="348"/>
      <c r="AO272" s="348"/>
    </row>
    <row r="273" ht="14.25" customHeight="1">
      <c r="A273" s="26" t="s">
        <v>241</v>
      </c>
      <c r="B273" s="165"/>
      <c r="C273" s="212">
        <v>0.0</v>
      </c>
      <c r="D273" s="164">
        <v>0.0</v>
      </c>
      <c r="E273" s="212">
        <v>0.0</v>
      </c>
      <c r="F273" s="164">
        <v>0.0</v>
      </c>
      <c r="G273" s="212">
        <v>0.0</v>
      </c>
      <c r="H273" s="164">
        <v>0.0</v>
      </c>
      <c r="I273" s="111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</row>
    <row r="274" ht="14.25" customHeight="1">
      <c r="A274" s="26" t="s">
        <v>242</v>
      </c>
      <c r="B274" s="165"/>
      <c r="C274" s="212">
        <v>0.0</v>
      </c>
      <c r="D274" s="164">
        <v>0.0</v>
      </c>
      <c r="E274" s="212">
        <v>0.0</v>
      </c>
      <c r="F274" s="164">
        <v>0.0</v>
      </c>
      <c r="G274" s="212">
        <v>0.0</v>
      </c>
      <c r="H274" s="164">
        <v>0.0</v>
      </c>
      <c r="I274" s="111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</row>
    <row r="275" ht="14.25" customHeight="1">
      <c r="A275" s="26" t="s">
        <v>243</v>
      </c>
      <c r="B275" s="28"/>
      <c r="C275" s="212">
        <v>0.0</v>
      </c>
      <c r="D275" s="186">
        <v>0.0</v>
      </c>
      <c r="E275" s="212">
        <v>0.0</v>
      </c>
      <c r="F275" s="186">
        <v>0.0</v>
      </c>
      <c r="G275" s="212">
        <v>0.0</v>
      </c>
      <c r="H275" s="164">
        <v>0.0</v>
      </c>
      <c r="I275" s="348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</row>
    <row r="276" ht="14.25" customHeight="1">
      <c r="A276" s="26" t="s">
        <v>244</v>
      </c>
      <c r="B276" s="165"/>
      <c r="C276" s="212">
        <v>0.0</v>
      </c>
      <c r="D276" s="186">
        <v>0.0</v>
      </c>
      <c r="E276" s="212">
        <v>0.0</v>
      </c>
      <c r="F276" s="186">
        <v>0.0</v>
      </c>
      <c r="G276" s="212">
        <v>0.0</v>
      </c>
      <c r="H276" s="164">
        <v>0.0</v>
      </c>
      <c r="I276" s="355"/>
      <c r="J276" s="348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</row>
    <row r="277" ht="14.25" customHeight="1">
      <c r="A277" s="562" t="s">
        <v>245</v>
      </c>
      <c r="B277" s="563"/>
      <c r="C277" s="564">
        <v>0.0</v>
      </c>
      <c r="D277" s="565">
        <v>0.0</v>
      </c>
      <c r="E277" s="564">
        <v>0.0</v>
      </c>
      <c r="F277" s="565">
        <v>0.0</v>
      </c>
      <c r="G277" s="564">
        <v>0.0</v>
      </c>
      <c r="H277" s="566">
        <v>0.0</v>
      </c>
      <c r="I277" s="357"/>
      <c r="J277" s="348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</row>
    <row r="278" ht="14.25" customHeight="1">
      <c r="A278" s="459" t="s">
        <v>11</v>
      </c>
      <c r="B278" s="155"/>
      <c r="C278" s="232">
        <f t="shared" ref="C278:H278" si="13">SUM(C271:C277)</f>
        <v>0</v>
      </c>
      <c r="D278" s="315">
        <f t="shared" si="13"/>
        <v>0</v>
      </c>
      <c r="E278" s="232">
        <f t="shared" si="13"/>
        <v>0</v>
      </c>
      <c r="F278" s="315">
        <f t="shared" si="13"/>
        <v>0</v>
      </c>
      <c r="G278" s="232">
        <f t="shared" si="13"/>
        <v>0</v>
      </c>
      <c r="H278" s="315">
        <f t="shared" si="13"/>
        <v>0</v>
      </c>
      <c r="I278" s="244"/>
      <c r="J278" s="348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</row>
    <row r="279" ht="14.25" customHeight="1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244"/>
      <c r="N279" s="348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</row>
    <row r="280" ht="14.25" customHeight="1">
      <c r="A280" s="356" t="s">
        <v>371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3"/>
      <c r="T280" s="244"/>
      <c r="U280" s="428"/>
      <c r="V280" s="428"/>
      <c r="W280" s="428"/>
      <c r="X280" s="428"/>
      <c r="Y280" s="428"/>
      <c r="Z280" s="428"/>
      <c r="AA280" s="428"/>
      <c r="AB280" s="428"/>
      <c r="AC280" s="428"/>
      <c r="AD280" s="428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</row>
    <row r="281" ht="14.2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348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</row>
    <row r="282" ht="17.25" customHeight="1">
      <c r="A282" s="567" t="s">
        <v>372</v>
      </c>
      <c r="B282" s="152"/>
      <c r="C282" s="221" t="s">
        <v>373</v>
      </c>
      <c r="D282" s="152"/>
      <c r="E282" s="221" t="s">
        <v>374</v>
      </c>
      <c r="F282" s="43"/>
      <c r="G282" s="221" t="s">
        <v>375</v>
      </c>
      <c r="H282" s="20"/>
      <c r="I282" s="220" t="s">
        <v>11</v>
      </c>
      <c r="J282" s="20"/>
      <c r="K282" s="511"/>
      <c r="L282" s="244"/>
      <c r="M282" s="357"/>
      <c r="N282" s="357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4"/>
      <c r="AM282" s="244"/>
      <c r="AN282" s="244"/>
      <c r="AO282" s="244"/>
    </row>
    <row r="283" ht="17.25" customHeight="1">
      <c r="A283" s="527">
        <v>0.0</v>
      </c>
      <c r="B283" s="323"/>
      <c r="C283" s="327">
        <v>0.0</v>
      </c>
      <c r="D283" s="323"/>
      <c r="E283" s="327">
        <v>0.0</v>
      </c>
      <c r="F283" s="323"/>
      <c r="G283" s="530">
        <v>0.0</v>
      </c>
      <c r="H283" s="326"/>
      <c r="I283" s="527">
        <f>SUM(A283:H283)</f>
        <v>0</v>
      </c>
      <c r="J283" s="326"/>
      <c r="K283" s="255"/>
      <c r="L283" s="244"/>
      <c r="M283" s="357"/>
      <c r="N283" s="357"/>
      <c r="O283" s="428"/>
      <c r="P283" s="428"/>
      <c r="Q283" s="428"/>
      <c r="R283" s="428"/>
      <c r="S283" s="428"/>
      <c r="T283" s="428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428"/>
      <c r="AF283" s="428"/>
      <c r="AG283" s="428"/>
      <c r="AH283" s="428"/>
      <c r="AI283" s="428"/>
      <c r="AJ283" s="428"/>
      <c r="AK283" s="428"/>
      <c r="AL283" s="428"/>
      <c r="AM283" s="428"/>
      <c r="AN283" s="428"/>
      <c r="AO283" s="428"/>
    </row>
    <row r="284" ht="14.2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348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4"/>
      <c r="AM284" s="244"/>
      <c r="AN284" s="244"/>
      <c r="AO284" s="244"/>
    </row>
    <row r="285" ht="14.25" customHeight="1">
      <c r="A285" s="568" t="s">
        <v>376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3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4"/>
      <c r="AM285" s="244"/>
      <c r="AN285" s="244"/>
      <c r="AO285" s="244"/>
    </row>
    <row r="286" ht="14.25" customHeight="1">
      <c r="A286" s="569"/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4"/>
      <c r="AM286" s="244"/>
      <c r="AN286" s="244"/>
      <c r="AO286" s="244"/>
    </row>
    <row r="287" ht="14.25" customHeight="1">
      <c r="A287" s="5" t="s">
        <v>377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69"/>
      <c r="L287" s="569"/>
      <c r="M287" s="569"/>
      <c r="N287" s="569"/>
      <c r="O287" s="569"/>
      <c r="P287" s="569"/>
      <c r="Q287" s="569"/>
      <c r="R287" s="569"/>
      <c r="S287" s="569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4"/>
      <c r="AM287" s="244"/>
      <c r="AN287" s="244"/>
      <c r="AO287" s="244"/>
    </row>
    <row r="288" ht="31.5" customHeight="1">
      <c r="A288" s="236" t="s">
        <v>378</v>
      </c>
      <c r="B288" s="23"/>
      <c r="C288" s="23"/>
      <c r="D288" s="23"/>
      <c r="E288" s="23"/>
      <c r="F288" s="23"/>
      <c r="G288" s="23"/>
      <c r="H288" s="23"/>
      <c r="I288" s="24"/>
      <c r="J288" s="571">
        <v>0.0</v>
      </c>
      <c r="K288" s="569"/>
      <c r="L288" s="569"/>
      <c r="M288" s="569"/>
      <c r="N288" s="569"/>
      <c r="O288" s="569"/>
      <c r="P288" s="569"/>
      <c r="Q288" s="569"/>
      <c r="R288" s="569"/>
      <c r="S288" s="569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4"/>
      <c r="AM288" s="244"/>
      <c r="AN288" s="244"/>
      <c r="AO288" s="244"/>
    </row>
    <row r="289" ht="31.5" customHeight="1">
      <c r="A289" s="260" t="s">
        <v>379</v>
      </c>
      <c r="B289" s="36"/>
      <c r="C289" s="36"/>
      <c r="D289" s="36"/>
      <c r="E289" s="36"/>
      <c r="F289" s="36"/>
      <c r="G289" s="36"/>
      <c r="H289" s="36"/>
      <c r="I289" s="49"/>
      <c r="J289" s="572">
        <v>0.0</v>
      </c>
      <c r="K289" s="569"/>
      <c r="L289" s="569"/>
      <c r="M289" s="569"/>
      <c r="N289" s="569"/>
      <c r="O289" s="569"/>
      <c r="P289" s="569"/>
      <c r="Q289" s="569"/>
      <c r="R289" s="569"/>
      <c r="S289" s="569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</row>
    <row r="290" ht="14.25" customHeight="1">
      <c r="A290" s="573"/>
      <c r="B290" s="573"/>
      <c r="C290" s="573"/>
      <c r="D290" s="573"/>
      <c r="E290" s="573"/>
      <c r="F290" s="573"/>
      <c r="G290" s="573"/>
      <c r="H290" s="573"/>
      <c r="I290" s="573"/>
      <c r="J290" s="573"/>
      <c r="K290" s="573"/>
      <c r="L290" s="573"/>
      <c r="M290" s="244"/>
      <c r="N290" s="348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4"/>
      <c r="AM290" s="244"/>
      <c r="AN290" s="244"/>
      <c r="AO290" s="244"/>
    </row>
    <row r="291" ht="14.25" customHeight="1">
      <c r="A291" s="5" t="s">
        <v>380</v>
      </c>
      <c r="B291" s="5"/>
      <c r="C291" s="5"/>
      <c r="D291" s="5"/>
      <c r="E291" s="5"/>
      <c r="F291" s="574"/>
      <c r="G291" s="574"/>
      <c r="H291" s="574"/>
      <c r="I291" s="574"/>
      <c r="J291" s="244"/>
      <c r="K291" s="244"/>
      <c r="L291" s="244"/>
      <c r="M291" s="244"/>
      <c r="N291" s="348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4"/>
      <c r="AM291" s="244"/>
      <c r="AN291" s="244"/>
      <c r="AO291" s="244"/>
    </row>
    <row r="292" ht="14.25" customHeight="1">
      <c r="A292" s="575" t="s">
        <v>381</v>
      </c>
      <c r="B292" s="23"/>
      <c r="C292" s="23"/>
      <c r="D292" s="23"/>
      <c r="E292" s="23"/>
      <c r="F292" s="576">
        <v>0.0</v>
      </c>
      <c r="G292" s="23"/>
      <c r="H292" s="23"/>
      <c r="I292" s="24"/>
      <c r="J292" s="244"/>
      <c r="K292" s="244"/>
      <c r="L292" s="244"/>
      <c r="M292" s="577"/>
      <c r="N292" s="348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4"/>
      <c r="AM292" s="244"/>
      <c r="AN292" s="244"/>
      <c r="AO292" s="244"/>
    </row>
    <row r="293" ht="14.25" customHeight="1">
      <c r="A293" s="60" t="s">
        <v>382</v>
      </c>
      <c r="B293" s="27"/>
      <c r="C293" s="27"/>
      <c r="D293" s="27"/>
      <c r="E293" s="27"/>
      <c r="F293" s="578">
        <v>0.0</v>
      </c>
      <c r="G293" s="27"/>
      <c r="H293" s="27"/>
      <c r="I293" s="28"/>
      <c r="J293" s="244"/>
      <c r="K293" s="244"/>
      <c r="L293" s="244"/>
      <c r="M293" s="348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4"/>
      <c r="AM293" s="244"/>
      <c r="AN293" s="244"/>
      <c r="AO293" s="244"/>
    </row>
    <row r="294" ht="31.5" customHeight="1">
      <c r="A294" s="140" t="s">
        <v>383</v>
      </c>
      <c r="B294" s="27"/>
      <c r="C294" s="27"/>
      <c r="D294" s="27"/>
      <c r="E294" s="27"/>
      <c r="F294" s="61">
        <v>0.0</v>
      </c>
      <c r="G294" s="27"/>
      <c r="H294" s="27"/>
      <c r="I294" s="28"/>
      <c r="J294" s="244"/>
      <c r="K294" s="244"/>
      <c r="L294" s="244"/>
      <c r="M294" s="348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4"/>
      <c r="AM294" s="244"/>
      <c r="AN294" s="244"/>
      <c r="AO294" s="244"/>
    </row>
    <row r="295" ht="47.25" customHeight="1">
      <c r="A295" s="579" t="s">
        <v>384</v>
      </c>
      <c r="B295" s="40"/>
      <c r="C295" s="40"/>
      <c r="D295" s="40"/>
      <c r="E295" s="40"/>
      <c r="F295" s="580">
        <v>0.0</v>
      </c>
      <c r="G295" s="40"/>
      <c r="H295" s="40"/>
      <c r="I295" s="86"/>
      <c r="J295" s="244"/>
      <c r="K295" s="244"/>
      <c r="L295" s="244"/>
      <c r="M295" s="348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  <c r="AD295" s="244"/>
      <c r="AE295" s="244"/>
      <c r="AF295" s="244"/>
      <c r="AG295" s="244"/>
      <c r="AH295" s="244"/>
      <c r="AI295" s="244"/>
      <c r="AJ295" s="244"/>
      <c r="AK295" s="244"/>
      <c r="AL295" s="244"/>
      <c r="AM295" s="244"/>
      <c r="AN295" s="244"/>
      <c r="AO295" s="244"/>
    </row>
    <row r="296" ht="15.75" customHeight="1">
      <c r="A296" s="581"/>
      <c r="B296" s="581"/>
      <c r="C296" s="581"/>
      <c r="D296" s="581"/>
      <c r="E296" s="581"/>
      <c r="F296" s="582"/>
      <c r="G296" s="582"/>
      <c r="H296" s="582"/>
      <c r="I296" s="582"/>
      <c r="J296" s="244"/>
      <c r="K296" s="244"/>
      <c r="L296" s="244"/>
      <c r="M296" s="348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  <c r="AD296" s="244"/>
      <c r="AE296" s="244"/>
      <c r="AF296" s="244"/>
      <c r="AG296" s="244"/>
      <c r="AH296" s="244"/>
      <c r="AI296" s="244"/>
      <c r="AJ296" s="244"/>
      <c r="AK296" s="244"/>
      <c r="AL296" s="244"/>
      <c r="AM296" s="244"/>
      <c r="AN296" s="244"/>
      <c r="AO296" s="244"/>
    </row>
    <row r="297" ht="15.75" customHeight="1">
      <c r="A297" s="182" t="s">
        <v>385</v>
      </c>
      <c r="B297" s="74"/>
      <c r="C297" s="74"/>
      <c r="D297" s="74"/>
      <c r="E297" s="74"/>
      <c r="F297" s="102"/>
      <c r="G297" s="102"/>
      <c r="H297" s="102"/>
      <c r="I297" s="102"/>
      <c r="J297" s="1"/>
      <c r="K297" s="244"/>
      <c r="L297" s="244"/>
      <c r="M297" s="348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  <c r="AD297" s="244"/>
      <c r="AE297" s="244"/>
      <c r="AF297" s="244"/>
      <c r="AG297" s="244"/>
      <c r="AH297" s="244"/>
      <c r="AI297" s="244"/>
      <c r="AJ297" s="244"/>
      <c r="AK297" s="244"/>
      <c r="AL297" s="244"/>
      <c r="AM297" s="244"/>
      <c r="AN297" s="244"/>
      <c r="AO297" s="244"/>
    </row>
    <row r="298" ht="31.5" customHeight="1">
      <c r="A298" s="583" t="s">
        <v>386</v>
      </c>
      <c r="B298" s="19"/>
      <c r="C298" s="19"/>
      <c r="D298" s="19"/>
      <c r="E298" s="19"/>
      <c r="F298" s="19"/>
      <c r="G298" s="19"/>
      <c r="H298" s="19"/>
      <c r="I298" s="20"/>
      <c r="J298" s="584">
        <v>0.0</v>
      </c>
      <c r="K298" s="244"/>
      <c r="L298" s="244"/>
      <c r="M298" s="348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  <c r="AD298" s="244"/>
      <c r="AE298" s="244"/>
      <c r="AF298" s="244"/>
      <c r="AG298" s="244"/>
      <c r="AH298" s="244"/>
      <c r="AI298" s="244"/>
      <c r="AJ298" s="244"/>
      <c r="AK298" s="244"/>
      <c r="AL298" s="244"/>
      <c r="AM298" s="244"/>
      <c r="AN298" s="244"/>
      <c r="AO298" s="244"/>
    </row>
    <row r="299" ht="15.75" customHeight="1">
      <c r="A299" s="447"/>
      <c r="B299" s="447"/>
      <c r="C299" s="447"/>
      <c r="D299" s="447"/>
      <c r="E299" s="447"/>
      <c r="F299" s="334"/>
      <c r="G299" s="334"/>
      <c r="H299" s="334"/>
      <c r="I299" s="334"/>
      <c r="J299" s="244"/>
      <c r="K299" s="244"/>
      <c r="L299" s="244"/>
      <c r="M299" s="348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  <c r="AD299" s="244"/>
      <c r="AE299" s="244"/>
      <c r="AF299" s="244"/>
      <c r="AG299" s="244"/>
      <c r="AH299" s="244"/>
      <c r="AI299" s="244"/>
      <c r="AJ299" s="244"/>
      <c r="AK299" s="244"/>
      <c r="AL299" s="244"/>
      <c r="AM299" s="244"/>
      <c r="AN299" s="244"/>
      <c r="AO299" s="244"/>
    </row>
    <row r="300" ht="14.25" customHeight="1">
      <c r="A300" s="5" t="s">
        <v>387</v>
      </c>
      <c r="L300" s="474"/>
      <c r="M300" s="348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4"/>
      <c r="AM300" s="244"/>
      <c r="AN300" s="244"/>
      <c r="AO300" s="244"/>
    </row>
    <row r="301" ht="14.25" customHeight="1">
      <c r="A301" s="585" t="s">
        <v>388</v>
      </c>
      <c r="B301" s="19"/>
      <c r="C301" s="19"/>
      <c r="D301" s="19"/>
      <c r="E301" s="20"/>
      <c r="F301" s="586" t="s">
        <v>389</v>
      </c>
      <c r="G301" s="587" t="s">
        <v>390</v>
      </c>
      <c r="H301" s="588" t="s">
        <v>391</v>
      </c>
      <c r="I301" s="152"/>
      <c r="J301" s="588" t="s">
        <v>392</v>
      </c>
      <c r="K301" s="20"/>
      <c r="L301" s="244"/>
      <c r="M301" s="348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4"/>
      <c r="AM301" s="244"/>
      <c r="AN301" s="244"/>
      <c r="AO301" s="244"/>
    </row>
    <row r="302" ht="14.25" customHeight="1">
      <c r="A302" s="589" t="s">
        <v>393</v>
      </c>
      <c r="B302" s="23"/>
      <c r="C302" s="23"/>
      <c r="D302" s="23"/>
      <c r="E302" s="24"/>
      <c r="F302" s="590">
        <v>0.0</v>
      </c>
      <c r="G302" s="591">
        <v>0.0</v>
      </c>
      <c r="H302" s="592">
        <v>0.0</v>
      </c>
      <c r="I302" s="159"/>
      <c r="J302" s="592">
        <v>0.0</v>
      </c>
      <c r="K302" s="24"/>
      <c r="L302" s="244"/>
      <c r="M302" s="244"/>
      <c r="N302" s="348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4"/>
      <c r="AM302" s="244"/>
      <c r="AN302" s="244"/>
      <c r="AO302" s="244"/>
    </row>
    <row r="303" ht="14.25" customHeight="1">
      <c r="A303" s="593" t="s">
        <v>394</v>
      </c>
      <c r="B303" s="40"/>
      <c r="C303" s="40"/>
      <c r="D303" s="40"/>
      <c r="E303" s="155"/>
      <c r="F303" s="594">
        <v>0.0</v>
      </c>
      <c r="G303" s="595">
        <v>0.0</v>
      </c>
      <c r="H303" s="596">
        <v>0.0</v>
      </c>
      <c r="I303" s="155"/>
      <c r="J303" s="596">
        <v>0.0</v>
      </c>
      <c r="K303" s="86"/>
      <c r="L303" s="244"/>
      <c r="M303" s="597"/>
      <c r="N303" s="597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  <c r="AD303" s="244"/>
      <c r="AE303" s="244"/>
      <c r="AF303" s="244"/>
      <c r="AG303" s="244"/>
      <c r="AH303" s="244"/>
      <c r="AI303" s="244"/>
      <c r="AJ303" s="244"/>
      <c r="AK303" s="244"/>
      <c r="AL303" s="244"/>
      <c r="AM303" s="244"/>
      <c r="AN303" s="244"/>
      <c r="AO303" s="244"/>
    </row>
    <row r="304" ht="14.25" customHeight="1">
      <c r="A304" s="459" t="s">
        <v>11</v>
      </c>
      <c r="B304" s="40"/>
      <c r="C304" s="40"/>
      <c r="D304" s="40"/>
      <c r="E304" s="155"/>
      <c r="F304" s="598">
        <f t="shared" ref="F304:G304" si="14">SUM(F302:F303)</f>
        <v>0</v>
      </c>
      <c r="G304" s="599">
        <f t="shared" si="14"/>
        <v>0</v>
      </c>
      <c r="H304" s="600">
        <f>SUM(H302:I303)</f>
        <v>0</v>
      </c>
      <c r="I304" s="155"/>
      <c r="J304" s="600">
        <f>SUM(J302:K303)</f>
        <v>0</v>
      </c>
      <c r="K304" s="86"/>
      <c r="L304" s="577"/>
      <c r="M304" s="597"/>
      <c r="N304" s="597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  <c r="AD304" s="244"/>
      <c r="AE304" s="244"/>
      <c r="AF304" s="244"/>
      <c r="AG304" s="244"/>
      <c r="AH304" s="244"/>
      <c r="AI304" s="244"/>
      <c r="AJ304" s="244"/>
      <c r="AK304" s="244"/>
      <c r="AL304" s="244"/>
      <c r="AM304" s="244"/>
      <c r="AN304" s="244"/>
      <c r="AO304" s="244"/>
    </row>
    <row r="305" ht="15.75" customHeight="1">
      <c r="A305" s="219"/>
      <c r="B305" s="219"/>
      <c r="C305" s="219"/>
      <c r="D305" s="219"/>
      <c r="E305" s="219"/>
      <c r="F305" s="601"/>
      <c r="G305" s="601"/>
      <c r="H305" s="601"/>
      <c r="I305" s="602"/>
      <c r="J305" s="601"/>
      <c r="K305" s="602"/>
      <c r="L305" s="577"/>
      <c r="M305" s="597"/>
      <c r="N305" s="597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  <c r="AD305" s="244"/>
      <c r="AE305" s="244"/>
      <c r="AF305" s="244"/>
      <c r="AG305" s="244"/>
      <c r="AH305" s="244"/>
      <c r="AI305" s="244"/>
      <c r="AJ305" s="244"/>
      <c r="AK305" s="244"/>
      <c r="AL305" s="244"/>
      <c r="AM305" s="244"/>
      <c r="AN305" s="244"/>
      <c r="AO305" s="244"/>
    </row>
    <row r="306" ht="15.75" customHeight="1">
      <c r="A306" s="182" t="s">
        <v>395</v>
      </c>
      <c r="B306" s="74"/>
      <c r="C306" s="74"/>
      <c r="D306" s="74"/>
      <c r="E306" s="74"/>
      <c r="F306" s="102"/>
      <c r="G306" s="102"/>
      <c r="H306" s="102"/>
      <c r="I306" s="102"/>
      <c r="J306" s="1"/>
      <c r="K306" s="1"/>
      <c r="L306" s="244"/>
      <c r="M306" s="348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  <c r="AD306" s="244"/>
      <c r="AE306" s="244"/>
      <c r="AF306" s="244"/>
      <c r="AG306" s="244"/>
      <c r="AH306" s="244"/>
      <c r="AI306" s="244"/>
      <c r="AJ306" s="244"/>
      <c r="AK306" s="244"/>
      <c r="AL306" s="244"/>
      <c r="AM306" s="244"/>
      <c r="AN306" s="244"/>
      <c r="AO306" s="244"/>
    </row>
    <row r="307" ht="31.5" customHeight="1">
      <c r="A307" s="583" t="s">
        <v>396</v>
      </c>
      <c r="B307" s="19"/>
      <c r="C307" s="19"/>
      <c r="D307" s="19"/>
      <c r="E307" s="19"/>
      <c r="F307" s="19"/>
      <c r="G307" s="19"/>
      <c r="H307" s="19"/>
      <c r="I307" s="19"/>
      <c r="J307" s="603" t="s">
        <v>397</v>
      </c>
      <c r="K307" s="20"/>
      <c r="L307" s="244"/>
      <c r="M307" s="348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  <c r="AD307" s="244"/>
      <c r="AE307" s="244"/>
      <c r="AF307" s="244"/>
      <c r="AG307" s="244"/>
      <c r="AH307" s="244"/>
      <c r="AI307" s="244"/>
      <c r="AJ307" s="244"/>
      <c r="AK307" s="244"/>
      <c r="AL307" s="244"/>
      <c r="AM307" s="244"/>
      <c r="AN307" s="244"/>
      <c r="AO307" s="244"/>
    </row>
    <row r="308" ht="15.75" customHeight="1">
      <c r="A308" s="581"/>
      <c r="B308" s="581"/>
      <c r="C308" s="581"/>
      <c r="D308" s="581"/>
      <c r="E308" s="581"/>
      <c r="F308" s="581"/>
      <c r="G308" s="581"/>
      <c r="H308" s="581"/>
      <c r="I308" s="581"/>
      <c r="J308" s="604"/>
      <c r="K308" s="604"/>
      <c r="L308" s="244"/>
      <c r="M308" s="348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  <c r="AD308" s="244"/>
      <c r="AE308" s="244"/>
      <c r="AF308" s="244"/>
      <c r="AG308" s="244"/>
      <c r="AH308" s="244"/>
      <c r="AI308" s="244"/>
      <c r="AJ308" s="244"/>
      <c r="AK308" s="244"/>
      <c r="AL308" s="244"/>
      <c r="AM308" s="244"/>
      <c r="AN308" s="244"/>
      <c r="AO308" s="244"/>
    </row>
    <row r="309" ht="15.75" customHeight="1">
      <c r="A309" s="356" t="s">
        <v>398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  <c r="T309" s="428"/>
      <c r="U309" s="428"/>
      <c r="V309" s="428"/>
      <c r="W309" s="428"/>
      <c r="X309" s="428"/>
      <c r="Y309" s="428"/>
      <c r="Z309" s="428"/>
      <c r="AA309" s="428"/>
      <c r="AB309" s="428"/>
      <c r="AC309" s="428"/>
      <c r="AD309" s="428"/>
      <c r="AE309" s="428"/>
      <c r="AF309" s="428"/>
      <c r="AG309" s="428"/>
      <c r="AH309" s="428"/>
      <c r="AI309" s="428"/>
      <c r="AJ309" s="428"/>
      <c r="AK309" s="428"/>
      <c r="AL309" s="428"/>
      <c r="AM309" s="428"/>
      <c r="AN309" s="428"/>
      <c r="AO309" s="428"/>
    </row>
    <row r="310" ht="15.75" customHeight="1">
      <c r="A310" s="581"/>
      <c r="B310" s="581"/>
      <c r="C310" s="581"/>
      <c r="D310" s="581"/>
      <c r="E310" s="581"/>
      <c r="F310" s="581"/>
      <c r="G310" s="581"/>
      <c r="H310" s="581"/>
      <c r="I310" s="581"/>
      <c r="J310" s="604"/>
      <c r="K310" s="604"/>
      <c r="L310" s="244"/>
      <c r="M310" s="348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  <c r="AD310" s="244"/>
      <c r="AE310" s="244"/>
      <c r="AF310" s="244"/>
      <c r="AG310" s="244"/>
      <c r="AH310" s="244"/>
      <c r="AI310" s="244"/>
      <c r="AJ310" s="244"/>
      <c r="AK310" s="244"/>
      <c r="AL310" s="244"/>
      <c r="AM310" s="244"/>
      <c r="AN310" s="244"/>
      <c r="AO310" s="244"/>
    </row>
    <row r="311" ht="15.75" customHeight="1">
      <c r="A311" s="583" t="s">
        <v>399</v>
      </c>
      <c r="B311" s="19"/>
      <c r="C311" s="19"/>
      <c r="D311" s="19"/>
      <c r="E311" s="19"/>
      <c r="F311" s="19"/>
      <c r="G311" s="19"/>
      <c r="H311" s="19"/>
      <c r="I311" s="20"/>
      <c r="J311" s="584">
        <v>0.0</v>
      </c>
      <c r="K311" s="605"/>
      <c r="L311" s="1"/>
      <c r="M311" s="46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447"/>
      <c r="B312" s="447"/>
      <c r="C312" s="447"/>
      <c r="D312" s="447"/>
      <c r="E312" s="447"/>
      <c r="F312" s="355"/>
      <c r="G312" s="355"/>
      <c r="H312" s="355"/>
      <c r="I312" s="355"/>
      <c r="J312" s="244"/>
      <c r="K312" s="244"/>
      <c r="L312" s="244"/>
      <c r="M312" s="244"/>
      <c r="N312" s="348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  <c r="AD312" s="244"/>
      <c r="AE312" s="244"/>
      <c r="AF312" s="244"/>
      <c r="AG312" s="244"/>
      <c r="AH312" s="244"/>
      <c r="AI312" s="244"/>
      <c r="AJ312" s="244"/>
      <c r="AK312" s="244"/>
      <c r="AL312" s="244"/>
      <c r="AM312" s="244"/>
      <c r="AN312" s="244"/>
      <c r="AO312" s="244"/>
    </row>
    <row r="313" ht="15.0" customHeight="1">
      <c r="A313" s="356" t="s">
        <v>400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3"/>
      <c r="T313" s="428"/>
      <c r="U313" s="428"/>
      <c r="V313" s="428"/>
      <c r="W313" s="428"/>
      <c r="X313" s="428"/>
      <c r="Y313" s="428"/>
      <c r="Z313" s="428"/>
      <c r="AA313" s="428"/>
      <c r="AB313" s="428"/>
      <c r="AC313" s="428"/>
      <c r="AD313" s="428"/>
      <c r="AE313" s="428"/>
      <c r="AF313" s="428"/>
      <c r="AG313" s="428"/>
      <c r="AH313" s="428"/>
      <c r="AI313" s="428"/>
      <c r="AJ313" s="428"/>
      <c r="AK313" s="428"/>
      <c r="AL313" s="428"/>
      <c r="AM313" s="428"/>
      <c r="AN313" s="428"/>
      <c r="AO313" s="428"/>
    </row>
    <row r="314" ht="15.0" customHeight="1">
      <c r="A314" s="357"/>
      <c r="B314" s="597"/>
      <c r="C314" s="597"/>
      <c r="D314" s="597"/>
      <c r="E314" s="597"/>
      <c r="F314" s="597"/>
      <c r="G314" s="597"/>
      <c r="H314" s="597"/>
      <c r="I314" s="597"/>
      <c r="J314" s="597"/>
      <c r="K314" s="597"/>
      <c r="L314" s="597"/>
      <c r="M314" s="244"/>
      <c r="N314" s="348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4"/>
      <c r="AM314" s="244"/>
      <c r="AN314" s="244"/>
      <c r="AO314" s="244"/>
    </row>
    <row r="315" ht="15.0" customHeight="1">
      <c r="A315" s="5" t="s">
        <v>401</v>
      </c>
      <c r="K315" s="244"/>
      <c r="L315" s="244"/>
      <c r="M315" s="244"/>
      <c r="N315" s="348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4"/>
      <c r="AM315" s="244"/>
      <c r="AN315" s="244"/>
      <c r="AO315" s="244"/>
    </row>
    <row r="316" ht="15.0" customHeight="1">
      <c r="A316" s="22" t="s">
        <v>402</v>
      </c>
      <c r="B316" s="23"/>
      <c r="C316" s="23"/>
      <c r="D316" s="23"/>
      <c r="E316" s="23"/>
      <c r="F316" s="23"/>
      <c r="G316" s="23"/>
      <c r="H316" s="23"/>
      <c r="I316" s="24"/>
      <c r="J316" s="606">
        <v>0.0</v>
      </c>
      <c r="K316" s="244"/>
      <c r="L316" s="577"/>
      <c r="M316" s="244"/>
      <c r="N316" s="348"/>
      <c r="O316" s="244"/>
      <c r="P316" s="244"/>
      <c r="Q316" s="244"/>
      <c r="R316" s="244"/>
      <c r="S316" s="244"/>
      <c r="T316" s="135"/>
      <c r="AH316" s="244"/>
      <c r="AI316" s="244"/>
      <c r="AJ316" s="244"/>
      <c r="AK316" s="244"/>
      <c r="AL316" s="244"/>
      <c r="AM316" s="244"/>
      <c r="AN316" s="244"/>
      <c r="AO316" s="244"/>
    </row>
    <row r="317" ht="15.0" customHeight="1">
      <c r="A317" s="170" t="s">
        <v>403</v>
      </c>
      <c r="B317" s="36"/>
      <c r="C317" s="36"/>
      <c r="D317" s="36"/>
      <c r="E317" s="36"/>
      <c r="F317" s="36"/>
      <c r="G317" s="36"/>
      <c r="H317" s="36"/>
      <c r="I317" s="171"/>
      <c r="J317" s="607">
        <v>0.0</v>
      </c>
      <c r="K317" s="244"/>
      <c r="L317" s="244"/>
      <c r="M317" s="244"/>
      <c r="N317" s="348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  <c r="AD317" s="244"/>
      <c r="AE317" s="244"/>
      <c r="AF317" s="244"/>
      <c r="AG317" s="244"/>
      <c r="AH317" s="244"/>
      <c r="AI317" s="244"/>
      <c r="AJ317" s="244"/>
      <c r="AK317" s="244"/>
      <c r="AL317" s="244"/>
      <c r="AM317" s="244"/>
      <c r="AN317" s="244"/>
      <c r="AO317" s="244"/>
    </row>
    <row r="318" ht="15.0" customHeight="1">
      <c r="A318" s="608"/>
      <c r="B318" s="608"/>
      <c r="C318" s="608"/>
      <c r="D318" s="608"/>
      <c r="E318" s="608"/>
      <c r="F318" s="608"/>
      <c r="G318" s="608"/>
      <c r="H318" s="608"/>
      <c r="I318" s="609"/>
      <c r="J318" s="610"/>
      <c r="K318" s="244"/>
      <c r="L318" s="244"/>
      <c r="M318" s="244"/>
      <c r="N318" s="348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  <c r="AD318" s="244"/>
      <c r="AE318" s="244"/>
      <c r="AF318" s="244"/>
      <c r="AG318" s="244"/>
      <c r="AH318" s="244"/>
      <c r="AI318" s="244"/>
      <c r="AJ318" s="244"/>
      <c r="AK318" s="244"/>
      <c r="AL318" s="244"/>
      <c r="AM318" s="244"/>
      <c r="AN318" s="244"/>
      <c r="AO318" s="244"/>
    </row>
    <row r="319" ht="14.25" customHeight="1">
      <c r="A319" s="5" t="s">
        <v>404</v>
      </c>
      <c r="K319" s="244"/>
      <c r="L319" s="244"/>
      <c r="M319" s="244"/>
      <c r="N319" s="348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4"/>
      <c r="AL319" s="244"/>
      <c r="AM319" s="244"/>
      <c r="AN319" s="244"/>
      <c r="AO319" s="244"/>
    </row>
    <row r="320" ht="14.25" customHeight="1">
      <c r="A320" s="611" t="s">
        <v>405</v>
      </c>
      <c r="B320" s="19"/>
      <c r="C320" s="19"/>
      <c r="D320" s="19"/>
      <c r="E320" s="19"/>
      <c r="F320" s="19"/>
      <c r="G320" s="19"/>
      <c r="H320" s="19"/>
      <c r="I320" s="20"/>
      <c r="J320" s="584">
        <v>0.0</v>
      </c>
      <c r="K320" s="244"/>
      <c r="L320" s="577"/>
      <c r="M320" s="495"/>
      <c r="N320" s="348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4"/>
      <c r="AM320" s="244"/>
      <c r="AN320" s="244"/>
      <c r="AO320" s="244"/>
    </row>
    <row r="321" ht="15.75" customHeight="1">
      <c r="A321" s="612"/>
      <c r="B321" s="612"/>
      <c r="C321" s="612"/>
      <c r="D321" s="612"/>
      <c r="E321" s="612"/>
      <c r="F321" s="612"/>
      <c r="G321" s="612"/>
      <c r="H321" s="612"/>
      <c r="I321" s="613"/>
      <c r="J321" s="614"/>
      <c r="K321" s="244"/>
      <c r="L321" s="577"/>
      <c r="M321" s="495"/>
      <c r="N321" s="348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4"/>
      <c r="AM321" s="244"/>
      <c r="AN321" s="244"/>
      <c r="AO321" s="244"/>
    </row>
    <row r="322" ht="15.75" customHeight="1">
      <c r="A322" s="356" t="s">
        <v>406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3"/>
      <c r="T322" s="428"/>
      <c r="U322" s="428"/>
      <c r="V322" s="428"/>
      <c r="W322" s="428"/>
      <c r="X322" s="428"/>
      <c r="Y322" s="428"/>
      <c r="Z322" s="428"/>
      <c r="AA322" s="428"/>
      <c r="AB322" s="428"/>
      <c r="AC322" s="428"/>
      <c r="AD322" s="428"/>
      <c r="AE322" s="428"/>
      <c r="AF322" s="428"/>
      <c r="AG322" s="428"/>
      <c r="AH322" s="428"/>
      <c r="AI322" s="428"/>
      <c r="AJ322" s="428"/>
      <c r="AK322" s="428"/>
      <c r="AL322" s="428"/>
      <c r="AM322" s="428"/>
      <c r="AN322" s="428"/>
      <c r="AO322" s="428"/>
    </row>
    <row r="323" ht="15.75" customHeight="1">
      <c r="A323" s="472"/>
      <c r="B323" s="472"/>
      <c r="C323" s="472"/>
      <c r="D323" s="472"/>
      <c r="E323" s="472"/>
      <c r="F323" s="472"/>
      <c r="G323" s="472"/>
      <c r="H323" s="472"/>
      <c r="I323" s="615"/>
      <c r="J323" s="610"/>
      <c r="K323" s="244"/>
      <c r="L323" s="577"/>
      <c r="M323" s="495"/>
      <c r="N323" s="348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  <c r="AD323" s="244"/>
      <c r="AE323" s="244"/>
      <c r="AF323" s="244"/>
      <c r="AG323" s="244"/>
      <c r="AH323" s="244"/>
      <c r="AI323" s="244"/>
      <c r="AJ323" s="244"/>
      <c r="AK323" s="244"/>
      <c r="AL323" s="244"/>
      <c r="AM323" s="244"/>
      <c r="AN323" s="244"/>
      <c r="AO323" s="244"/>
    </row>
    <row r="324" ht="15.75" customHeight="1">
      <c r="A324" s="611" t="s">
        <v>407</v>
      </c>
      <c r="B324" s="19"/>
      <c r="C324" s="19"/>
      <c r="D324" s="19"/>
      <c r="E324" s="19"/>
      <c r="F324" s="19"/>
      <c r="G324" s="19"/>
      <c r="H324" s="19"/>
      <c r="I324" s="20"/>
      <c r="J324" s="584">
        <v>0.0</v>
      </c>
      <c r="K324" s="244"/>
      <c r="L324" s="577"/>
      <c r="M324" s="495"/>
      <c r="N324" s="348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4"/>
      <c r="AM324" s="244"/>
      <c r="AN324" s="244"/>
      <c r="AO324" s="244"/>
    </row>
    <row r="325" ht="14.25" customHeight="1">
      <c r="A325" s="616"/>
      <c r="B325" s="616"/>
      <c r="C325" s="616"/>
      <c r="D325" s="616"/>
      <c r="E325" s="616"/>
      <c r="F325" s="616"/>
      <c r="G325" s="616"/>
      <c r="H325" s="616"/>
      <c r="I325" s="474"/>
      <c r="J325" s="614"/>
      <c r="K325" s="244"/>
      <c r="L325" s="244"/>
      <c r="M325" s="495"/>
      <c r="N325" s="348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  <c r="AD325" s="244"/>
      <c r="AE325" s="244"/>
      <c r="AF325" s="244"/>
      <c r="AG325" s="244"/>
      <c r="AH325" s="244"/>
      <c r="AI325" s="244"/>
      <c r="AJ325" s="244"/>
      <c r="AK325" s="244"/>
      <c r="AL325" s="244"/>
      <c r="AM325" s="244"/>
      <c r="AN325" s="244"/>
      <c r="AO325" s="244"/>
    </row>
    <row r="326" ht="14.25" customHeight="1">
      <c r="A326" s="356" t="s">
        <v>408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3"/>
      <c r="T326" s="428"/>
      <c r="U326" s="428"/>
      <c r="V326" s="428"/>
      <c r="W326" s="428"/>
      <c r="X326" s="428"/>
      <c r="Y326" s="428"/>
      <c r="Z326" s="428"/>
      <c r="AA326" s="428"/>
      <c r="AB326" s="428"/>
      <c r="AC326" s="428"/>
      <c r="AD326" s="428"/>
      <c r="AE326" s="428"/>
      <c r="AF326" s="428"/>
      <c r="AG326" s="428"/>
      <c r="AH326" s="428"/>
      <c r="AI326" s="428"/>
      <c r="AJ326" s="428"/>
      <c r="AK326" s="428"/>
      <c r="AL326" s="428"/>
      <c r="AM326" s="428"/>
      <c r="AN326" s="428"/>
      <c r="AO326" s="428"/>
    </row>
    <row r="327" ht="14.25" customHeight="1">
      <c r="A327" s="495"/>
      <c r="B327" s="495"/>
      <c r="C327" s="495"/>
      <c r="D327" s="495"/>
      <c r="E327" s="495"/>
      <c r="F327" s="495"/>
      <c r="G327" s="495"/>
      <c r="H327" s="495"/>
      <c r="I327" s="495"/>
      <c r="J327" s="495"/>
      <c r="K327" s="495"/>
      <c r="L327" s="495"/>
      <c r="M327" s="244"/>
      <c r="N327" s="369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4"/>
      <c r="AM327" s="244"/>
      <c r="AN327" s="244"/>
      <c r="AO327" s="244"/>
    </row>
    <row r="328" ht="15.75" customHeight="1">
      <c r="A328" s="182" t="s">
        <v>409</v>
      </c>
      <c r="M328" s="1"/>
      <c r="N328" s="617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4.2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4"/>
      <c r="M329" s="244"/>
      <c r="N329" s="369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</row>
    <row r="330" ht="14.25" customHeight="1">
      <c r="A330" s="42" t="s">
        <v>270</v>
      </c>
      <c r="B330" s="19"/>
      <c r="C330" s="19"/>
      <c r="D330" s="19"/>
      <c r="E330" s="19"/>
      <c r="F330" s="19"/>
      <c r="G330" s="19"/>
      <c r="H330" s="20"/>
      <c r="I330" s="372" t="s">
        <v>206</v>
      </c>
      <c r="J330" s="19"/>
      <c r="K330" s="19"/>
      <c r="L330" s="20"/>
      <c r="M330" s="244"/>
      <c r="N330" s="369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</row>
    <row r="331" ht="14.25" customHeight="1">
      <c r="A331" s="534" t="s">
        <v>271</v>
      </c>
      <c r="B331" s="352"/>
      <c r="C331" s="352"/>
      <c r="D331" s="352"/>
      <c r="E331" s="352"/>
      <c r="F331" s="352"/>
      <c r="G331" s="352"/>
      <c r="H331" s="433"/>
      <c r="I331" s="618">
        <v>0.0</v>
      </c>
      <c r="J331" s="23"/>
      <c r="K331" s="23"/>
      <c r="L331" s="24"/>
      <c r="M331" s="111"/>
      <c r="N331" s="369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</row>
    <row r="332" ht="14.25" customHeight="1">
      <c r="A332" s="373" t="s">
        <v>272</v>
      </c>
      <c r="B332" s="27"/>
      <c r="C332" s="27"/>
      <c r="D332" s="27"/>
      <c r="E332" s="27"/>
      <c r="F332" s="27"/>
      <c r="G332" s="27"/>
      <c r="H332" s="28"/>
      <c r="I332" s="338">
        <v>0.0</v>
      </c>
      <c r="J332" s="27"/>
      <c r="K332" s="27"/>
      <c r="L332" s="28"/>
      <c r="M332" s="244"/>
      <c r="N332" s="369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</row>
    <row r="333" ht="14.25" customHeight="1">
      <c r="A333" s="81" t="s">
        <v>273</v>
      </c>
      <c r="B333" s="82"/>
      <c r="C333" s="82"/>
      <c r="D333" s="82"/>
      <c r="E333" s="82"/>
      <c r="F333" s="82"/>
      <c r="G333" s="82"/>
      <c r="H333" s="83"/>
      <c r="I333" s="338">
        <f>SUM(F334:H335)</f>
        <v>0</v>
      </c>
      <c r="J333" s="27"/>
      <c r="K333" s="27"/>
      <c r="L333" s="28"/>
      <c r="M333" s="244"/>
      <c r="N333" s="369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</row>
    <row r="334" ht="14.25" customHeight="1">
      <c r="A334" s="30" t="s">
        <v>274</v>
      </c>
      <c r="B334" s="27"/>
      <c r="C334" s="27"/>
      <c r="D334" s="27"/>
      <c r="E334" s="28"/>
      <c r="F334" s="619">
        <v>0.0</v>
      </c>
      <c r="G334" s="23"/>
      <c r="H334" s="24"/>
      <c r="I334" s="620"/>
      <c r="J334" s="33"/>
      <c r="K334" s="33"/>
      <c r="L334" s="54"/>
      <c r="M334" s="244"/>
      <c r="N334" s="369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</row>
    <row r="335" ht="14.25" customHeight="1">
      <c r="A335" s="35" t="s">
        <v>275</v>
      </c>
      <c r="B335" s="36"/>
      <c r="C335" s="36"/>
      <c r="D335" s="36"/>
      <c r="E335" s="37"/>
      <c r="F335" s="621">
        <v>0.0</v>
      </c>
      <c r="G335" s="36"/>
      <c r="H335" s="49"/>
      <c r="I335" s="366"/>
      <c r="J335" s="40"/>
      <c r="K335" s="40"/>
      <c r="L335" s="86"/>
      <c r="M335" s="244"/>
      <c r="N335" s="369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</row>
    <row r="336" ht="14.25" customHeight="1">
      <c r="A336" s="423" t="s">
        <v>11</v>
      </c>
      <c r="B336" s="364"/>
      <c r="C336" s="364"/>
      <c r="D336" s="364"/>
      <c r="E336" s="364"/>
      <c r="F336" s="364"/>
      <c r="G336" s="364"/>
      <c r="H336" s="365"/>
      <c r="I336" s="341">
        <f>SUM(I331:L333)</f>
        <v>0</v>
      </c>
      <c r="J336" s="19"/>
      <c r="K336" s="19"/>
      <c r="L336" s="20"/>
      <c r="M336" s="244"/>
      <c r="N336" s="369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</row>
    <row r="337" ht="14.25" customHeight="1">
      <c r="A337" s="244"/>
      <c r="B337" s="244"/>
      <c r="C337" s="244"/>
      <c r="D337" s="244"/>
      <c r="E337" s="244"/>
      <c r="F337" s="550"/>
      <c r="G337" s="12"/>
      <c r="H337" s="13"/>
      <c r="I337" s="244"/>
      <c r="J337" s="244"/>
      <c r="K337" s="244"/>
      <c r="L337" s="244"/>
      <c r="M337" s="244"/>
      <c r="N337" s="369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</row>
    <row r="338" ht="14.25" customHeight="1">
      <c r="A338" s="182" t="s">
        <v>410</v>
      </c>
      <c r="I338" s="1"/>
      <c r="J338" s="1"/>
      <c r="K338" s="1"/>
      <c r="L338" s="1"/>
      <c r="M338" s="1"/>
      <c r="N338" s="617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29.25" customHeight="1">
      <c r="A339" s="220" t="s">
        <v>277</v>
      </c>
      <c r="B339" s="19"/>
      <c r="C339" s="19"/>
      <c r="D339" s="19"/>
      <c r="E339" s="20"/>
      <c r="F339" s="220" t="s">
        <v>411</v>
      </c>
      <c r="G339" s="19"/>
      <c r="H339" s="20"/>
      <c r="I339" s="244"/>
      <c r="J339" s="244"/>
      <c r="K339" s="244"/>
      <c r="L339" s="244"/>
      <c r="M339" s="244"/>
      <c r="N339" s="369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</row>
    <row r="340" ht="14.25" customHeight="1">
      <c r="A340" s="78" t="s">
        <v>279</v>
      </c>
      <c r="B340" s="23"/>
      <c r="C340" s="23"/>
      <c r="D340" s="23"/>
      <c r="E340" s="24"/>
      <c r="F340" s="343">
        <v>0.0</v>
      </c>
      <c r="G340" s="23"/>
      <c r="H340" s="24"/>
      <c r="I340" s="244"/>
      <c r="J340" s="244"/>
      <c r="K340" s="244"/>
      <c r="L340" s="244"/>
      <c r="M340" s="244"/>
      <c r="N340" s="369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</row>
    <row r="341" ht="14.25" customHeight="1">
      <c r="A341" s="373" t="s">
        <v>280</v>
      </c>
      <c r="B341" s="27"/>
      <c r="C341" s="27"/>
      <c r="D341" s="27"/>
      <c r="E341" s="28"/>
      <c r="F341" s="344">
        <v>0.0</v>
      </c>
      <c r="G341" s="27"/>
      <c r="H341" s="28"/>
      <c r="I341" s="244"/>
      <c r="J341" s="244"/>
      <c r="K341" s="244"/>
      <c r="L341" s="244"/>
      <c r="M341" s="244"/>
      <c r="N341" s="369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4"/>
      <c r="AM341" s="244"/>
      <c r="AN341" s="244"/>
      <c r="AO341" s="244"/>
    </row>
    <row r="342" ht="14.25" customHeight="1">
      <c r="A342" s="373" t="s">
        <v>281</v>
      </c>
      <c r="B342" s="27"/>
      <c r="C342" s="27"/>
      <c r="D342" s="27"/>
      <c r="E342" s="28"/>
      <c r="F342" s="344">
        <v>0.0</v>
      </c>
      <c r="G342" s="27"/>
      <c r="H342" s="28"/>
      <c r="I342" s="244"/>
      <c r="J342" s="244"/>
      <c r="K342" s="244"/>
      <c r="L342" s="244"/>
      <c r="M342" s="244"/>
      <c r="N342" s="369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4"/>
      <c r="AM342" s="244"/>
      <c r="AN342" s="244"/>
      <c r="AO342" s="244"/>
    </row>
    <row r="343" ht="15.75" customHeight="1">
      <c r="A343" s="373" t="s">
        <v>282</v>
      </c>
      <c r="B343" s="27"/>
      <c r="C343" s="27"/>
      <c r="D343" s="27"/>
      <c r="E343" s="28"/>
      <c r="F343" s="344">
        <v>0.0</v>
      </c>
      <c r="G343" s="27"/>
      <c r="H343" s="28"/>
      <c r="I343" s="244"/>
      <c r="J343" s="244"/>
      <c r="K343" s="244"/>
      <c r="L343" s="244"/>
      <c r="M343" s="244"/>
      <c r="N343" s="369"/>
      <c r="O343" s="244"/>
      <c r="P343" s="244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  <c r="AD343" s="244"/>
      <c r="AE343" s="244"/>
      <c r="AF343" s="244"/>
      <c r="AG343" s="244"/>
      <c r="AH343" s="244"/>
      <c r="AI343" s="244"/>
      <c r="AJ343" s="244"/>
      <c r="AK343" s="244"/>
      <c r="AL343" s="244"/>
      <c r="AM343" s="244"/>
      <c r="AN343" s="244"/>
      <c r="AO343" s="244"/>
    </row>
    <row r="344" ht="14.25" customHeight="1">
      <c r="A344" s="35" t="s">
        <v>283</v>
      </c>
      <c r="B344" s="36"/>
      <c r="C344" s="36"/>
      <c r="D344" s="36"/>
      <c r="E344" s="49"/>
      <c r="F344" s="345">
        <v>0.0</v>
      </c>
      <c r="G344" s="36"/>
      <c r="H344" s="49"/>
      <c r="I344" s="244"/>
      <c r="J344" s="244"/>
      <c r="K344" s="244"/>
      <c r="L344" s="244"/>
      <c r="M344" s="244"/>
      <c r="N344" s="348"/>
      <c r="O344" s="244"/>
      <c r="P344" s="244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4"/>
      <c r="AM344" s="244"/>
      <c r="AN344" s="244"/>
      <c r="AO344" s="244"/>
    </row>
    <row r="345" ht="14.25" customHeight="1">
      <c r="A345" s="144" t="s">
        <v>11</v>
      </c>
      <c r="B345" s="19"/>
      <c r="C345" s="19"/>
      <c r="D345" s="19"/>
      <c r="E345" s="20"/>
      <c r="F345" s="346">
        <f>SUM(F340:H344)</f>
        <v>0</v>
      </c>
      <c r="G345" s="19"/>
      <c r="H345" s="20"/>
      <c r="I345" s="244"/>
      <c r="J345" s="244"/>
      <c r="K345" s="244"/>
      <c r="L345" s="244"/>
      <c r="M345" s="244"/>
      <c r="N345" s="348"/>
      <c r="O345" s="244"/>
      <c r="P345" s="244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  <c r="AD345" s="244"/>
      <c r="AE345" s="244"/>
      <c r="AF345" s="244"/>
      <c r="AG345" s="244"/>
      <c r="AH345" s="244"/>
      <c r="AI345" s="244"/>
      <c r="AJ345" s="244"/>
      <c r="AK345" s="244"/>
      <c r="AL345" s="244"/>
      <c r="AM345" s="244"/>
      <c r="AN345" s="244"/>
      <c r="AO345" s="244"/>
    </row>
    <row r="346" ht="14.25" customHeight="1">
      <c r="A346" s="622" t="s">
        <v>284</v>
      </c>
      <c r="B346" s="623"/>
      <c r="C346" s="623"/>
      <c r="D346" s="623"/>
      <c r="E346" s="623"/>
      <c r="F346" s="244"/>
      <c r="G346" s="244"/>
      <c r="H346" s="244"/>
      <c r="I346" s="244"/>
      <c r="J346" s="244"/>
      <c r="K346" s="244"/>
      <c r="L346" s="244"/>
      <c r="M346" s="244"/>
      <c r="N346" s="348"/>
      <c r="O346" s="244"/>
      <c r="P346" s="244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  <c r="AD346" s="244"/>
      <c r="AE346" s="244"/>
      <c r="AF346" s="244"/>
      <c r="AG346" s="244"/>
      <c r="AH346" s="244"/>
      <c r="AI346" s="244"/>
      <c r="AJ346" s="244"/>
      <c r="AK346" s="244"/>
      <c r="AL346" s="244"/>
      <c r="AM346" s="244"/>
      <c r="AN346" s="244"/>
      <c r="AO346" s="244"/>
    </row>
    <row r="347" ht="41.2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4"/>
      <c r="M347" s="244"/>
      <c r="N347" s="348"/>
      <c r="O347" s="244"/>
      <c r="P347" s="244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  <c r="AD347" s="244"/>
      <c r="AE347" s="244"/>
      <c r="AF347" s="244"/>
      <c r="AG347" s="244"/>
      <c r="AH347" s="244"/>
      <c r="AI347" s="244"/>
      <c r="AJ347" s="244"/>
      <c r="AK347" s="244"/>
      <c r="AL347" s="244"/>
      <c r="AM347" s="244"/>
      <c r="AN347" s="244"/>
      <c r="AO347" s="244"/>
    </row>
    <row r="348" ht="14.2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4"/>
      <c r="M348" s="244"/>
      <c r="N348" s="348"/>
      <c r="O348" s="244"/>
      <c r="P348" s="244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4"/>
      <c r="AM348" s="244"/>
      <c r="AN348" s="244"/>
      <c r="AO348" s="244"/>
    </row>
    <row r="349" ht="14.2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4"/>
      <c r="M349" s="244"/>
      <c r="N349" s="348"/>
      <c r="O349" s="244"/>
      <c r="P349" s="244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4"/>
      <c r="AM349" s="244"/>
      <c r="AN349" s="244"/>
      <c r="AO349" s="244"/>
    </row>
    <row r="350" ht="14.25" customHeight="1">
      <c r="A350" s="244"/>
      <c r="B350" s="244"/>
      <c r="C350" s="244"/>
      <c r="D350" s="244"/>
      <c r="E350" s="244"/>
      <c r="F350" s="355"/>
      <c r="G350" s="355"/>
      <c r="H350" s="355"/>
      <c r="I350" s="244"/>
      <c r="J350" s="244"/>
      <c r="K350" s="244"/>
      <c r="L350" s="244"/>
      <c r="M350" s="244"/>
      <c r="N350" s="348"/>
      <c r="O350" s="244"/>
      <c r="P350" s="244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4"/>
      <c r="AM350" s="244"/>
      <c r="AN350" s="244"/>
      <c r="AO350" s="244"/>
    </row>
    <row r="351" ht="14.2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4"/>
      <c r="M351" s="244"/>
      <c r="N351" s="348"/>
      <c r="O351" s="244"/>
      <c r="P351" s="244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4"/>
      <c r="AM351" s="244"/>
      <c r="AN351" s="244"/>
      <c r="AO351" s="244"/>
    </row>
    <row r="352" ht="14.2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4"/>
      <c r="M352" s="244"/>
      <c r="N352" s="348"/>
      <c r="O352" s="244"/>
      <c r="P352" s="244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4"/>
      <c r="AM352" s="244"/>
      <c r="AN352" s="244"/>
      <c r="AO352" s="244"/>
    </row>
    <row r="353" ht="14.2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4"/>
      <c r="M353" s="244"/>
      <c r="N353" s="348"/>
      <c r="O353" s="244"/>
      <c r="P353" s="244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4"/>
      <c r="AM353" s="244"/>
      <c r="AN353" s="244"/>
      <c r="AO353" s="244"/>
    </row>
    <row r="354" ht="14.2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4"/>
      <c r="M354" s="244"/>
      <c r="N354" s="348"/>
      <c r="O354" s="244"/>
      <c r="P354" s="244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4"/>
      <c r="AM354" s="244"/>
      <c r="AN354" s="244"/>
      <c r="AO354" s="244"/>
    </row>
    <row r="355" ht="14.2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4"/>
      <c r="M355" s="244"/>
      <c r="N355" s="348"/>
      <c r="O355" s="244"/>
      <c r="P355" s="244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4"/>
      <c r="AM355" s="244"/>
      <c r="AN355" s="244"/>
      <c r="AO355" s="244"/>
    </row>
    <row r="356" ht="14.2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4"/>
      <c r="M356" s="244"/>
      <c r="N356" s="348"/>
      <c r="O356" s="244"/>
      <c r="P356" s="244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</row>
    <row r="357" ht="14.2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4"/>
      <c r="M357" s="244"/>
      <c r="N357" s="348"/>
      <c r="O357" s="244"/>
      <c r="P357" s="244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4"/>
      <c r="AM357" s="244"/>
      <c r="AN357" s="244"/>
      <c r="AO357" s="244"/>
    </row>
    <row r="358" ht="14.2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4"/>
      <c r="M358" s="244"/>
      <c r="N358" s="348"/>
      <c r="O358" s="244"/>
      <c r="P358" s="244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4"/>
      <c r="AM358" s="244"/>
      <c r="AN358" s="244"/>
      <c r="AO358" s="244"/>
    </row>
    <row r="359" ht="14.2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4"/>
      <c r="M359" s="244"/>
      <c r="N359" s="348"/>
      <c r="O359" s="244"/>
      <c r="P359" s="244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  <c r="AD359" s="244"/>
      <c r="AE359" s="244"/>
      <c r="AF359" s="244"/>
      <c r="AG359" s="244"/>
      <c r="AH359" s="244"/>
      <c r="AI359" s="244"/>
      <c r="AJ359" s="244"/>
      <c r="AK359" s="244"/>
      <c r="AL359" s="244"/>
      <c r="AM359" s="244"/>
      <c r="AN359" s="244"/>
      <c r="AO359" s="244"/>
    </row>
    <row r="360" ht="14.2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4"/>
      <c r="M360" s="244"/>
      <c r="N360" s="348"/>
      <c r="O360" s="244"/>
      <c r="P360" s="244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  <c r="AD360" s="244"/>
      <c r="AE360" s="244"/>
      <c r="AF360" s="244"/>
      <c r="AG360" s="244"/>
      <c r="AH360" s="244"/>
      <c r="AI360" s="244"/>
      <c r="AJ360" s="244"/>
      <c r="AK360" s="244"/>
      <c r="AL360" s="244"/>
      <c r="AM360" s="244"/>
      <c r="AN360" s="244"/>
      <c r="AO360" s="244"/>
    </row>
    <row r="361" ht="14.2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4"/>
      <c r="M361" s="244"/>
      <c r="N361" s="348"/>
      <c r="O361" s="244"/>
      <c r="P361" s="244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4"/>
      <c r="AM361" s="244"/>
      <c r="AN361" s="244"/>
      <c r="AO361" s="244"/>
    </row>
    <row r="362" ht="14.2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4"/>
      <c r="M362" s="244"/>
      <c r="N362" s="348"/>
      <c r="O362" s="244"/>
      <c r="P362" s="244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4"/>
      <c r="AM362" s="244"/>
      <c r="AN362" s="244"/>
      <c r="AO362" s="244"/>
    </row>
    <row r="363" ht="14.2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4"/>
      <c r="M363" s="244"/>
      <c r="N363" s="348"/>
      <c r="O363" s="244"/>
      <c r="P363" s="244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4"/>
      <c r="AM363" s="244"/>
      <c r="AN363" s="244"/>
      <c r="AO363" s="244"/>
    </row>
    <row r="364" ht="14.2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4"/>
      <c r="M364" s="244"/>
      <c r="N364" s="348"/>
      <c r="O364" s="244"/>
      <c r="P364" s="244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4"/>
      <c r="AM364" s="244"/>
      <c r="AN364" s="244"/>
      <c r="AO364" s="244"/>
    </row>
    <row r="365" ht="14.2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4"/>
      <c r="M365" s="244"/>
      <c r="N365" s="348"/>
      <c r="O365" s="244"/>
      <c r="P365" s="244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  <c r="AD365" s="244"/>
      <c r="AE365" s="244"/>
      <c r="AF365" s="244"/>
      <c r="AG365" s="244"/>
      <c r="AH365" s="244"/>
      <c r="AI365" s="244"/>
      <c r="AJ365" s="244"/>
      <c r="AK365" s="244"/>
      <c r="AL365" s="244"/>
      <c r="AM365" s="244"/>
      <c r="AN365" s="244"/>
      <c r="AO365" s="244"/>
    </row>
    <row r="366" ht="14.2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4"/>
      <c r="M366" s="244"/>
      <c r="N366" s="348"/>
      <c r="O366" s="244"/>
      <c r="P366" s="244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  <c r="AD366" s="244"/>
      <c r="AE366" s="244"/>
      <c r="AF366" s="244"/>
      <c r="AG366" s="244"/>
      <c r="AH366" s="244"/>
      <c r="AI366" s="244"/>
      <c r="AJ366" s="244"/>
      <c r="AK366" s="244"/>
      <c r="AL366" s="244"/>
      <c r="AM366" s="244"/>
      <c r="AN366" s="244"/>
      <c r="AO366" s="244"/>
    </row>
    <row r="367" ht="14.2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4"/>
      <c r="M367" s="244"/>
      <c r="N367" s="348"/>
      <c r="O367" s="244"/>
      <c r="P367" s="244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  <c r="AD367" s="244"/>
      <c r="AE367" s="244"/>
      <c r="AF367" s="244"/>
      <c r="AG367" s="244"/>
      <c r="AH367" s="244"/>
      <c r="AI367" s="244"/>
      <c r="AJ367" s="244"/>
      <c r="AK367" s="244"/>
      <c r="AL367" s="244"/>
      <c r="AM367" s="244"/>
      <c r="AN367" s="244"/>
      <c r="AO367" s="244"/>
    </row>
    <row r="368" ht="14.2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4"/>
      <c r="M368" s="244"/>
      <c r="N368" s="348"/>
      <c r="O368" s="244"/>
      <c r="P368" s="244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  <c r="AD368" s="244"/>
      <c r="AE368" s="244"/>
      <c r="AF368" s="244"/>
      <c r="AG368" s="244"/>
      <c r="AH368" s="244"/>
      <c r="AI368" s="244"/>
      <c r="AJ368" s="244"/>
      <c r="AK368" s="244"/>
      <c r="AL368" s="244"/>
      <c r="AM368" s="244"/>
      <c r="AN368" s="244"/>
      <c r="AO368" s="244"/>
    </row>
    <row r="369" ht="14.2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4"/>
      <c r="M369" s="244"/>
      <c r="N369" s="348"/>
      <c r="O369" s="244"/>
      <c r="P369" s="244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  <c r="AD369" s="244"/>
      <c r="AE369" s="244"/>
      <c r="AF369" s="244"/>
      <c r="AG369" s="244"/>
      <c r="AH369" s="244"/>
      <c r="AI369" s="244"/>
      <c r="AJ369" s="244"/>
      <c r="AK369" s="244"/>
      <c r="AL369" s="244"/>
      <c r="AM369" s="244"/>
      <c r="AN369" s="244"/>
      <c r="AO369" s="244"/>
    </row>
    <row r="370" ht="14.2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4"/>
      <c r="M370" s="244"/>
      <c r="N370" s="348"/>
      <c r="O370" s="244"/>
      <c r="P370" s="244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4"/>
      <c r="AM370" s="244"/>
      <c r="AN370" s="244"/>
      <c r="AO370" s="244"/>
    </row>
    <row r="371" ht="14.2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4"/>
      <c r="M371" s="244"/>
      <c r="N371" s="348"/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4"/>
      <c r="AM371" s="244"/>
      <c r="AN371" s="244"/>
      <c r="AO371" s="244"/>
    </row>
    <row r="372" ht="14.2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4"/>
      <c r="M372" s="244"/>
      <c r="N372" s="348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4"/>
      <c r="AM372" s="244"/>
      <c r="AN372" s="244"/>
      <c r="AO372" s="244"/>
    </row>
    <row r="373" ht="14.2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4"/>
      <c r="M373" s="244"/>
      <c r="N373" s="348"/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</row>
    <row r="374" ht="14.2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4"/>
      <c r="M374" s="244"/>
      <c r="N374" s="348"/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4"/>
      <c r="AM374" s="244"/>
      <c r="AN374" s="244"/>
      <c r="AO374" s="244"/>
    </row>
    <row r="375" ht="14.2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4"/>
      <c r="M375" s="244"/>
      <c r="N375" s="348"/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</row>
    <row r="376" ht="14.2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4"/>
      <c r="M376" s="244"/>
      <c r="N376" s="348"/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44"/>
      <c r="AG376" s="244"/>
      <c r="AH376" s="244"/>
      <c r="AI376" s="244"/>
      <c r="AJ376" s="244"/>
      <c r="AK376" s="244"/>
      <c r="AL376" s="244"/>
      <c r="AM376" s="244"/>
      <c r="AN376" s="244"/>
      <c r="AO376" s="244"/>
    </row>
    <row r="377" ht="14.2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4"/>
      <c r="M377" s="244"/>
      <c r="N377" s="348"/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44"/>
      <c r="AG377" s="244"/>
      <c r="AH377" s="244"/>
      <c r="AI377" s="244"/>
      <c r="AJ377" s="244"/>
      <c r="AK377" s="244"/>
      <c r="AL377" s="244"/>
      <c r="AM377" s="244"/>
      <c r="AN377" s="244"/>
      <c r="AO377" s="244"/>
    </row>
    <row r="378" ht="14.2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4"/>
      <c r="M378" s="244"/>
      <c r="N378" s="348"/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44"/>
      <c r="AG378" s="244"/>
      <c r="AH378" s="244"/>
      <c r="AI378" s="244"/>
      <c r="AJ378" s="244"/>
      <c r="AK378" s="244"/>
      <c r="AL378" s="244"/>
      <c r="AM378" s="244"/>
      <c r="AN378" s="244"/>
      <c r="AO378" s="244"/>
    </row>
    <row r="379" ht="14.2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4"/>
      <c r="M379" s="244"/>
      <c r="N379" s="348"/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44"/>
      <c r="AG379" s="244"/>
      <c r="AH379" s="244"/>
      <c r="AI379" s="244"/>
      <c r="AJ379" s="244"/>
      <c r="AK379" s="244"/>
      <c r="AL379" s="244"/>
      <c r="AM379" s="244"/>
      <c r="AN379" s="244"/>
      <c r="AO379" s="244"/>
    </row>
    <row r="380" ht="14.2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4"/>
      <c r="M380" s="244"/>
      <c r="N380" s="348"/>
      <c r="O380" s="244"/>
      <c r="P380" s="244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  <c r="AD380" s="244"/>
      <c r="AE380" s="244"/>
      <c r="AF380" s="244"/>
      <c r="AG380" s="244"/>
      <c r="AH380" s="244"/>
      <c r="AI380" s="244"/>
      <c r="AJ380" s="244"/>
      <c r="AK380" s="244"/>
      <c r="AL380" s="244"/>
      <c r="AM380" s="244"/>
      <c r="AN380" s="244"/>
      <c r="AO380" s="244"/>
    </row>
    <row r="381" ht="14.2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4"/>
      <c r="M381" s="244"/>
      <c r="N381" s="348"/>
      <c r="O381" s="244"/>
      <c r="P381" s="244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  <c r="AD381" s="244"/>
      <c r="AE381" s="244"/>
      <c r="AF381" s="244"/>
      <c r="AG381" s="244"/>
      <c r="AH381" s="244"/>
      <c r="AI381" s="244"/>
      <c r="AJ381" s="244"/>
      <c r="AK381" s="244"/>
      <c r="AL381" s="244"/>
      <c r="AM381" s="244"/>
      <c r="AN381" s="244"/>
      <c r="AO381" s="244"/>
    </row>
    <row r="382" ht="14.2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4"/>
      <c r="M382" s="244"/>
      <c r="N382" s="348"/>
      <c r="O382" s="244"/>
      <c r="P382" s="244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  <c r="AD382" s="244"/>
      <c r="AE382" s="244"/>
      <c r="AF382" s="244"/>
      <c r="AG382" s="244"/>
      <c r="AH382" s="244"/>
      <c r="AI382" s="244"/>
      <c r="AJ382" s="244"/>
      <c r="AK382" s="244"/>
      <c r="AL382" s="244"/>
      <c r="AM382" s="244"/>
      <c r="AN382" s="244"/>
      <c r="AO382" s="244"/>
    </row>
    <row r="383" ht="14.2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4"/>
      <c r="M383" s="244"/>
      <c r="N383" s="348"/>
      <c r="O383" s="244"/>
      <c r="P383" s="244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  <c r="AD383" s="244"/>
      <c r="AE383" s="244"/>
      <c r="AF383" s="244"/>
      <c r="AG383" s="244"/>
      <c r="AH383" s="244"/>
      <c r="AI383" s="244"/>
      <c r="AJ383" s="244"/>
      <c r="AK383" s="244"/>
      <c r="AL383" s="244"/>
      <c r="AM383" s="244"/>
      <c r="AN383" s="244"/>
      <c r="AO383" s="244"/>
    </row>
    <row r="384" ht="14.2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4"/>
      <c r="M384" s="244"/>
      <c r="N384" s="348"/>
      <c r="O384" s="244"/>
      <c r="P384" s="244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  <c r="AD384" s="244"/>
      <c r="AE384" s="244"/>
      <c r="AF384" s="244"/>
      <c r="AG384" s="244"/>
      <c r="AH384" s="244"/>
      <c r="AI384" s="244"/>
      <c r="AJ384" s="244"/>
      <c r="AK384" s="244"/>
      <c r="AL384" s="244"/>
      <c r="AM384" s="244"/>
      <c r="AN384" s="244"/>
      <c r="AO384" s="244"/>
    </row>
    <row r="385" ht="14.2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4"/>
      <c r="M385" s="244"/>
      <c r="N385" s="348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</row>
    <row r="386" ht="14.2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4"/>
      <c r="M386" s="244"/>
      <c r="N386" s="348"/>
      <c r="O386" s="244"/>
      <c r="P386" s="244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</row>
    <row r="387" ht="14.2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4"/>
      <c r="M387" s="244"/>
      <c r="N387" s="348"/>
      <c r="O387" s="244"/>
      <c r="P387" s="244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</row>
    <row r="388" ht="14.2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4"/>
      <c r="M388" s="244"/>
      <c r="N388" s="348"/>
      <c r="O388" s="244"/>
      <c r="P388" s="244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</row>
    <row r="389" ht="14.2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4"/>
      <c r="M389" s="244"/>
      <c r="N389" s="348"/>
      <c r="O389" s="244"/>
      <c r="P389" s="244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</row>
    <row r="390" ht="14.2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4"/>
      <c r="M390" s="244"/>
      <c r="N390" s="348"/>
      <c r="O390" s="244"/>
      <c r="P390" s="244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  <c r="AD390" s="244"/>
      <c r="AE390" s="244"/>
      <c r="AF390" s="244"/>
      <c r="AG390" s="244"/>
      <c r="AH390" s="244"/>
      <c r="AI390" s="244"/>
      <c r="AJ390" s="244"/>
      <c r="AK390" s="244"/>
      <c r="AL390" s="244"/>
      <c r="AM390" s="244"/>
      <c r="AN390" s="244"/>
      <c r="AO390" s="244"/>
    </row>
    <row r="391" ht="14.2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4"/>
      <c r="M391" s="244"/>
      <c r="N391" s="348"/>
      <c r="O391" s="244"/>
      <c r="P391" s="244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</row>
    <row r="392" ht="14.2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4"/>
      <c r="M392" s="244"/>
      <c r="N392" s="348"/>
      <c r="O392" s="244"/>
      <c r="P392" s="244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</row>
    <row r="393" ht="14.2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4"/>
      <c r="M393" s="244"/>
      <c r="N393" s="348"/>
      <c r="O393" s="244"/>
      <c r="P393" s="244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</row>
    <row r="394" ht="14.2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4"/>
      <c r="M394" s="244"/>
      <c r="N394" s="348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</row>
    <row r="395" ht="14.2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4"/>
      <c r="M395" s="244"/>
      <c r="N395" s="348"/>
      <c r="O395" s="244"/>
      <c r="P395" s="244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</row>
    <row r="396" ht="14.2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4"/>
      <c r="M396" s="244"/>
      <c r="N396" s="348"/>
      <c r="O396" s="244"/>
      <c r="P396" s="244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</row>
    <row r="397" ht="14.2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4"/>
      <c r="M397" s="244"/>
      <c r="N397" s="348"/>
      <c r="O397" s="244"/>
      <c r="P397" s="244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</row>
    <row r="398" ht="14.2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4"/>
      <c r="M398" s="244"/>
      <c r="N398" s="348"/>
      <c r="O398" s="244"/>
      <c r="P398" s="244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4"/>
      <c r="AM398" s="244"/>
      <c r="AN398" s="244"/>
      <c r="AO398" s="244"/>
    </row>
    <row r="399" ht="14.2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4"/>
      <c r="M399" s="244"/>
      <c r="N399" s="348"/>
      <c r="O399" s="244"/>
      <c r="P399" s="244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  <c r="AO399" s="244"/>
    </row>
    <row r="400" ht="14.2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4"/>
      <c r="M400" s="244"/>
      <c r="N400" s="348"/>
      <c r="O400" s="244"/>
      <c r="P400" s="244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  <c r="AO400" s="244"/>
    </row>
    <row r="401" ht="14.2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4"/>
      <c r="M401" s="244"/>
      <c r="N401" s="348"/>
      <c r="O401" s="244"/>
      <c r="P401" s="244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  <c r="AO401" s="244"/>
    </row>
    <row r="402" ht="14.2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4"/>
      <c r="M402" s="244"/>
      <c r="N402" s="348"/>
      <c r="O402" s="244"/>
      <c r="P402" s="244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  <c r="AD402" s="244"/>
      <c r="AE402" s="244"/>
      <c r="AF402" s="244"/>
      <c r="AG402" s="244"/>
      <c r="AH402" s="244"/>
      <c r="AI402" s="244"/>
      <c r="AJ402" s="244"/>
      <c r="AK402" s="244"/>
      <c r="AL402" s="244"/>
      <c r="AM402" s="244"/>
      <c r="AN402" s="244"/>
      <c r="AO402" s="244"/>
    </row>
    <row r="403" ht="14.2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4"/>
      <c r="M403" s="244"/>
      <c r="N403" s="348"/>
      <c r="O403" s="244"/>
      <c r="P403" s="244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  <c r="AD403" s="244"/>
      <c r="AE403" s="244"/>
      <c r="AF403" s="244"/>
      <c r="AG403" s="244"/>
      <c r="AH403" s="244"/>
      <c r="AI403" s="244"/>
      <c r="AJ403" s="244"/>
      <c r="AK403" s="244"/>
      <c r="AL403" s="244"/>
      <c r="AM403" s="244"/>
      <c r="AN403" s="244"/>
      <c r="AO403" s="244"/>
    </row>
    <row r="404" ht="14.2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4"/>
      <c r="M404" s="244"/>
      <c r="N404" s="348"/>
      <c r="O404" s="244"/>
      <c r="P404" s="244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  <c r="AD404" s="244"/>
      <c r="AE404" s="244"/>
      <c r="AF404" s="244"/>
      <c r="AG404" s="244"/>
      <c r="AH404" s="244"/>
      <c r="AI404" s="244"/>
      <c r="AJ404" s="244"/>
      <c r="AK404" s="244"/>
      <c r="AL404" s="244"/>
      <c r="AM404" s="244"/>
      <c r="AN404" s="244"/>
      <c r="AO404" s="244"/>
    </row>
    <row r="405" ht="14.2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4"/>
      <c r="M405" s="244"/>
      <c r="N405" s="348"/>
      <c r="O405" s="244"/>
      <c r="P405" s="244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  <c r="AD405" s="244"/>
      <c r="AE405" s="244"/>
      <c r="AF405" s="244"/>
      <c r="AG405" s="244"/>
      <c r="AH405" s="244"/>
      <c r="AI405" s="244"/>
      <c r="AJ405" s="244"/>
      <c r="AK405" s="244"/>
      <c r="AL405" s="244"/>
      <c r="AM405" s="244"/>
      <c r="AN405" s="244"/>
      <c r="AO405" s="244"/>
    </row>
    <row r="406" ht="14.2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4"/>
      <c r="M406" s="244"/>
      <c r="N406" s="348"/>
      <c r="O406" s="244"/>
      <c r="P406" s="244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  <c r="AD406" s="244"/>
      <c r="AE406" s="244"/>
      <c r="AF406" s="244"/>
      <c r="AG406" s="244"/>
      <c r="AH406" s="244"/>
      <c r="AI406" s="244"/>
      <c r="AJ406" s="244"/>
      <c r="AK406" s="244"/>
      <c r="AL406" s="244"/>
      <c r="AM406" s="244"/>
      <c r="AN406" s="244"/>
      <c r="AO406" s="244"/>
    </row>
    <row r="407" ht="14.2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4"/>
      <c r="M407" s="244"/>
      <c r="N407" s="348"/>
      <c r="O407" s="244"/>
      <c r="P407" s="244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  <c r="AD407" s="244"/>
      <c r="AE407" s="244"/>
      <c r="AF407" s="244"/>
      <c r="AG407" s="244"/>
      <c r="AH407" s="244"/>
      <c r="AI407" s="244"/>
      <c r="AJ407" s="244"/>
      <c r="AK407" s="244"/>
      <c r="AL407" s="244"/>
      <c r="AM407" s="244"/>
      <c r="AN407" s="244"/>
      <c r="AO407" s="244"/>
    </row>
    <row r="408" ht="14.2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4"/>
      <c r="M408" s="244"/>
      <c r="N408" s="348"/>
      <c r="O408" s="244"/>
      <c r="P408" s="244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  <c r="AD408" s="244"/>
      <c r="AE408" s="244"/>
      <c r="AF408" s="244"/>
      <c r="AG408" s="244"/>
      <c r="AH408" s="244"/>
      <c r="AI408" s="244"/>
      <c r="AJ408" s="244"/>
      <c r="AK408" s="244"/>
      <c r="AL408" s="244"/>
      <c r="AM408" s="244"/>
      <c r="AN408" s="244"/>
      <c r="AO408" s="244"/>
    </row>
    <row r="409" ht="14.2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4"/>
      <c r="M409" s="244"/>
      <c r="N409" s="348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  <c r="AD409" s="244"/>
      <c r="AE409" s="244"/>
      <c r="AF409" s="244"/>
      <c r="AG409" s="244"/>
      <c r="AH409" s="244"/>
      <c r="AI409" s="244"/>
      <c r="AJ409" s="244"/>
      <c r="AK409" s="244"/>
      <c r="AL409" s="244"/>
      <c r="AM409" s="244"/>
      <c r="AN409" s="244"/>
      <c r="AO409" s="244"/>
    </row>
    <row r="410" ht="14.2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4"/>
      <c r="M410" s="244"/>
      <c r="N410" s="348"/>
      <c r="O410" s="244"/>
      <c r="P410" s="244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  <c r="AD410" s="244"/>
      <c r="AE410" s="244"/>
      <c r="AF410" s="244"/>
      <c r="AG410" s="244"/>
      <c r="AH410" s="244"/>
      <c r="AI410" s="244"/>
      <c r="AJ410" s="244"/>
      <c r="AK410" s="244"/>
      <c r="AL410" s="244"/>
      <c r="AM410" s="244"/>
      <c r="AN410" s="244"/>
      <c r="AO410" s="244"/>
    </row>
    <row r="411" ht="14.2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4"/>
      <c r="M411" s="244"/>
      <c r="N411" s="348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  <c r="AD411" s="244"/>
      <c r="AE411" s="244"/>
      <c r="AF411" s="244"/>
      <c r="AG411" s="244"/>
      <c r="AH411" s="244"/>
      <c r="AI411" s="244"/>
      <c r="AJ411" s="244"/>
      <c r="AK411" s="244"/>
      <c r="AL411" s="244"/>
      <c r="AM411" s="244"/>
      <c r="AN411" s="244"/>
      <c r="AO411" s="244"/>
    </row>
    <row r="412" ht="14.2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4"/>
      <c r="M412" s="244"/>
      <c r="N412" s="348"/>
      <c r="O412" s="244"/>
      <c r="P412" s="244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  <c r="AD412" s="244"/>
      <c r="AE412" s="244"/>
      <c r="AF412" s="244"/>
      <c r="AG412" s="244"/>
      <c r="AH412" s="244"/>
      <c r="AI412" s="244"/>
      <c r="AJ412" s="244"/>
      <c r="AK412" s="244"/>
      <c r="AL412" s="244"/>
      <c r="AM412" s="244"/>
      <c r="AN412" s="244"/>
      <c r="AO412" s="244"/>
    </row>
    <row r="413" ht="14.2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4"/>
      <c r="M413" s="244"/>
      <c r="N413" s="348"/>
      <c r="O413" s="244"/>
      <c r="P413" s="244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  <c r="AD413" s="244"/>
      <c r="AE413" s="244"/>
      <c r="AF413" s="244"/>
      <c r="AG413" s="244"/>
      <c r="AH413" s="244"/>
      <c r="AI413" s="244"/>
      <c r="AJ413" s="244"/>
      <c r="AK413" s="244"/>
      <c r="AL413" s="244"/>
      <c r="AM413" s="244"/>
      <c r="AN413" s="244"/>
      <c r="AO413" s="244"/>
    </row>
    <row r="414" ht="14.2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4"/>
      <c r="M414" s="244"/>
      <c r="N414" s="348"/>
      <c r="O414" s="244"/>
      <c r="P414" s="244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  <c r="AD414" s="244"/>
      <c r="AE414" s="244"/>
      <c r="AF414" s="244"/>
      <c r="AG414" s="244"/>
      <c r="AH414" s="244"/>
      <c r="AI414" s="244"/>
      <c r="AJ414" s="244"/>
      <c r="AK414" s="244"/>
      <c r="AL414" s="244"/>
      <c r="AM414" s="244"/>
      <c r="AN414" s="244"/>
      <c r="AO414" s="244"/>
    </row>
    <row r="415" ht="14.2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4"/>
      <c r="M415" s="244"/>
      <c r="N415" s="348"/>
      <c r="O415" s="244"/>
      <c r="P415" s="244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  <c r="AO415" s="244"/>
    </row>
    <row r="416" ht="14.2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4"/>
      <c r="M416" s="244"/>
      <c r="N416" s="348"/>
      <c r="O416" s="244"/>
      <c r="P416" s="244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  <c r="AD416" s="244"/>
      <c r="AE416" s="244"/>
      <c r="AF416" s="244"/>
      <c r="AG416" s="244"/>
      <c r="AH416" s="244"/>
      <c r="AI416" s="244"/>
      <c r="AJ416" s="244"/>
      <c r="AK416" s="244"/>
      <c r="AL416" s="244"/>
      <c r="AM416" s="244"/>
      <c r="AN416" s="244"/>
      <c r="AO416" s="244"/>
    </row>
    <row r="417" ht="14.2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4"/>
      <c r="M417" s="244"/>
      <c r="N417" s="348"/>
      <c r="O417" s="244"/>
      <c r="P417" s="244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</row>
    <row r="418" ht="14.2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4"/>
      <c r="M418" s="244"/>
      <c r="N418" s="348"/>
      <c r="O418" s="244"/>
      <c r="P418" s="244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</row>
    <row r="419" ht="14.2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4"/>
      <c r="M419" s="244"/>
      <c r="N419" s="348"/>
      <c r="O419" s="244"/>
      <c r="P419" s="244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</row>
    <row r="420" ht="14.2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4"/>
      <c r="M420" s="244"/>
      <c r="N420" s="348"/>
      <c r="O420" s="244"/>
      <c r="P420" s="244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</row>
    <row r="421" ht="14.2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4"/>
      <c r="M421" s="244"/>
      <c r="N421" s="348"/>
      <c r="O421" s="244"/>
      <c r="P421" s="244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  <c r="AO421" s="244"/>
    </row>
    <row r="422" ht="14.2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4"/>
      <c r="M422" s="244"/>
      <c r="N422" s="348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4"/>
      <c r="AM422" s="244"/>
      <c r="AN422" s="244"/>
      <c r="AO422" s="244"/>
    </row>
    <row r="423" ht="14.2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348"/>
      <c r="O423" s="244"/>
      <c r="P423" s="244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</row>
    <row r="424" ht="14.2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348"/>
      <c r="O424" s="244"/>
      <c r="P424" s="244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  <c r="AO424" s="244"/>
    </row>
    <row r="425" ht="14.2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348"/>
      <c r="O425" s="244"/>
      <c r="P425" s="244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  <c r="AO425" s="244"/>
    </row>
    <row r="426" ht="14.2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348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</row>
    <row r="427" ht="14.2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348"/>
      <c r="O427" s="244"/>
      <c r="P427" s="244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</row>
    <row r="428" ht="14.2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348"/>
      <c r="O428" s="244"/>
      <c r="P428" s="244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4"/>
      <c r="AM428" s="244"/>
      <c r="AN428" s="244"/>
      <c r="AO428" s="244"/>
    </row>
    <row r="429" ht="14.2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348"/>
      <c r="O429" s="244"/>
      <c r="P429" s="244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</row>
    <row r="430" ht="14.2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348"/>
      <c r="O430" s="244"/>
      <c r="P430" s="244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</row>
    <row r="431" ht="14.2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348"/>
      <c r="O431" s="244"/>
      <c r="P431" s="244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</row>
    <row r="432" ht="14.2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348"/>
      <c r="O432" s="244"/>
      <c r="P432" s="244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</row>
    <row r="433" ht="14.2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4"/>
      <c r="M433" s="244"/>
      <c r="N433" s="348"/>
      <c r="O433" s="244"/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</row>
    <row r="434" ht="14.2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N434" s="348"/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  <c r="AO434" s="244"/>
    </row>
    <row r="435" ht="14.2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348"/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</row>
    <row r="436" ht="14.2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348"/>
      <c r="O436" s="244"/>
      <c r="P436" s="244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</row>
    <row r="437" ht="14.2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348"/>
      <c r="O437" s="244"/>
      <c r="P437" s="244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</row>
    <row r="438" ht="14.2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348"/>
      <c r="O438" s="244"/>
      <c r="P438" s="244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</row>
    <row r="439" ht="14.2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348"/>
      <c r="O439" s="244"/>
      <c r="P439" s="244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</row>
    <row r="440" ht="14.2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348"/>
      <c r="O440" s="244"/>
      <c r="P440" s="244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</row>
    <row r="441" ht="14.2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348"/>
      <c r="O441" s="244"/>
      <c r="P441" s="244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</row>
    <row r="442" ht="14.2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348"/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</row>
    <row r="443" ht="14.2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348"/>
      <c r="O443" s="244"/>
      <c r="P443" s="244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</row>
    <row r="444" ht="14.2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348"/>
      <c r="O444" s="244"/>
      <c r="P444" s="244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</row>
    <row r="445" ht="14.2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348"/>
      <c r="O445" s="244"/>
      <c r="P445" s="244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</row>
    <row r="446" ht="14.2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348"/>
      <c r="O446" s="244"/>
      <c r="P446" s="244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</row>
    <row r="447" ht="14.2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348"/>
      <c r="O447" s="244"/>
      <c r="P447" s="244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</row>
    <row r="448" ht="14.2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348"/>
      <c r="O448" s="244"/>
      <c r="P448" s="244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</row>
    <row r="449" ht="14.2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348"/>
      <c r="O449" s="244"/>
      <c r="P449" s="244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4"/>
      <c r="AM449" s="244"/>
      <c r="AN449" s="244"/>
      <c r="AO449" s="244"/>
    </row>
    <row r="450" ht="14.2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348"/>
      <c r="O450" s="244"/>
      <c r="P450" s="244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4"/>
      <c r="AM450" s="244"/>
      <c r="AN450" s="244"/>
      <c r="AO450" s="244"/>
    </row>
    <row r="451" ht="14.2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348"/>
      <c r="O451" s="244"/>
      <c r="P451" s="244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4"/>
      <c r="AM451" s="244"/>
      <c r="AN451" s="244"/>
      <c r="AO451" s="244"/>
    </row>
    <row r="452" ht="14.2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348"/>
      <c r="O452" s="244"/>
      <c r="P452" s="244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  <c r="AD452" s="244"/>
      <c r="AE452" s="244"/>
      <c r="AF452" s="244"/>
      <c r="AG452" s="244"/>
      <c r="AH452" s="244"/>
      <c r="AI452" s="244"/>
      <c r="AJ452" s="244"/>
      <c r="AK452" s="244"/>
      <c r="AL452" s="244"/>
      <c r="AM452" s="244"/>
      <c r="AN452" s="244"/>
      <c r="AO452" s="244"/>
    </row>
    <row r="453" ht="14.2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348"/>
      <c r="O453" s="244"/>
      <c r="P453" s="244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  <c r="AD453" s="244"/>
      <c r="AE453" s="244"/>
      <c r="AF453" s="244"/>
      <c r="AG453" s="244"/>
      <c r="AH453" s="244"/>
      <c r="AI453" s="244"/>
      <c r="AJ453" s="244"/>
      <c r="AK453" s="244"/>
      <c r="AL453" s="244"/>
      <c r="AM453" s="244"/>
      <c r="AN453" s="244"/>
      <c r="AO453" s="244"/>
    </row>
    <row r="454" ht="14.2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348"/>
      <c r="O454" s="244"/>
      <c r="P454" s="244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  <c r="AD454" s="244"/>
      <c r="AE454" s="244"/>
      <c r="AF454" s="244"/>
      <c r="AG454" s="244"/>
      <c r="AH454" s="244"/>
      <c r="AI454" s="244"/>
      <c r="AJ454" s="244"/>
      <c r="AK454" s="244"/>
      <c r="AL454" s="244"/>
      <c r="AM454" s="244"/>
      <c r="AN454" s="244"/>
      <c r="AO454" s="244"/>
    </row>
    <row r="455" ht="14.2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348"/>
      <c r="O455" s="244"/>
      <c r="P455" s="244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  <c r="AD455" s="244"/>
      <c r="AE455" s="244"/>
      <c r="AF455" s="244"/>
      <c r="AG455" s="244"/>
      <c r="AH455" s="244"/>
      <c r="AI455" s="244"/>
      <c r="AJ455" s="244"/>
      <c r="AK455" s="244"/>
      <c r="AL455" s="244"/>
      <c r="AM455" s="244"/>
      <c r="AN455" s="244"/>
      <c r="AO455" s="244"/>
    </row>
    <row r="456" ht="14.2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348"/>
      <c r="O456" s="244"/>
      <c r="P456" s="244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  <c r="AD456" s="244"/>
      <c r="AE456" s="244"/>
      <c r="AF456" s="244"/>
      <c r="AG456" s="244"/>
      <c r="AH456" s="244"/>
      <c r="AI456" s="244"/>
      <c r="AJ456" s="244"/>
      <c r="AK456" s="244"/>
      <c r="AL456" s="244"/>
      <c r="AM456" s="244"/>
      <c r="AN456" s="244"/>
      <c r="AO456" s="244"/>
    </row>
    <row r="457" ht="14.2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348"/>
      <c r="O457" s="244"/>
      <c r="P457" s="244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  <c r="AD457" s="244"/>
      <c r="AE457" s="244"/>
      <c r="AF457" s="244"/>
      <c r="AG457" s="244"/>
      <c r="AH457" s="244"/>
      <c r="AI457" s="244"/>
      <c r="AJ457" s="244"/>
      <c r="AK457" s="244"/>
      <c r="AL457" s="244"/>
      <c r="AM457" s="244"/>
      <c r="AN457" s="244"/>
      <c r="AO457" s="244"/>
    </row>
    <row r="458" ht="14.2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348"/>
      <c r="O458" s="244"/>
      <c r="P458" s="244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  <c r="AD458" s="244"/>
      <c r="AE458" s="244"/>
      <c r="AF458" s="244"/>
      <c r="AG458" s="244"/>
      <c r="AH458" s="244"/>
      <c r="AI458" s="244"/>
      <c r="AJ458" s="244"/>
      <c r="AK458" s="244"/>
      <c r="AL458" s="244"/>
      <c r="AM458" s="244"/>
      <c r="AN458" s="244"/>
      <c r="AO458" s="244"/>
    </row>
    <row r="459" ht="14.2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348"/>
      <c r="O459" s="244"/>
      <c r="P459" s="244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  <c r="AD459" s="244"/>
      <c r="AE459" s="244"/>
      <c r="AF459" s="244"/>
      <c r="AG459" s="244"/>
      <c r="AH459" s="244"/>
      <c r="AI459" s="244"/>
      <c r="AJ459" s="244"/>
      <c r="AK459" s="244"/>
      <c r="AL459" s="244"/>
      <c r="AM459" s="244"/>
      <c r="AN459" s="244"/>
      <c r="AO459" s="244"/>
    </row>
    <row r="460" ht="14.2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348"/>
      <c r="O460" s="244"/>
      <c r="P460" s="244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  <c r="AD460" s="244"/>
      <c r="AE460" s="244"/>
      <c r="AF460" s="244"/>
      <c r="AG460" s="244"/>
      <c r="AH460" s="244"/>
      <c r="AI460" s="244"/>
      <c r="AJ460" s="244"/>
      <c r="AK460" s="244"/>
      <c r="AL460" s="244"/>
      <c r="AM460" s="244"/>
      <c r="AN460" s="244"/>
      <c r="AO460" s="244"/>
    </row>
    <row r="461" ht="14.2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348"/>
      <c r="O461" s="244"/>
      <c r="P461" s="244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  <c r="AD461" s="244"/>
      <c r="AE461" s="244"/>
      <c r="AF461" s="244"/>
      <c r="AG461" s="244"/>
      <c r="AH461" s="244"/>
      <c r="AI461" s="244"/>
      <c r="AJ461" s="244"/>
      <c r="AK461" s="244"/>
      <c r="AL461" s="244"/>
      <c r="AM461" s="244"/>
      <c r="AN461" s="244"/>
      <c r="AO461" s="244"/>
    </row>
    <row r="462" ht="14.2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348"/>
      <c r="O462" s="244"/>
      <c r="P462" s="244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  <c r="AD462" s="244"/>
      <c r="AE462" s="244"/>
      <c r="AF462" s="244"/>
      <c r="AG462" s="244"/>
      <c r="AH462" s="244"/>
      <c r="AI462" s="244"/>
      <c r="AJ462" s="244"/>
      <c r="AK462" s="244"/>
      <c r="AL462" s="244"/>
      <c r="AM462" s="244"/>
      <c r="AN462" s="244"/>
      <c r="AO462" s="244"/>
    </row>
    <row r="463" ht="14.2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348"/>
      <c r="O463" s="244"/>
      <c r="P463" s="244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  <c r="AD463" s="244"/>
      <c r="AE463" s="244"/>
      <c r="AF463" s="244"/>
      <c r="AG463" s="244"/>
      <c r="AH463" s="244"/>
      <c r="AI463" s="244"/>
      <c r="AJ463" s="244"/>
      <c r="AK463" s="244"/>
      <c r="AL463" s="244"/>
      <c r="AM463" s="244"/>
      <c r="AN463" s="244"/>
      <c r="AO463" s="244"/>
    </row>
    <row r="464" ht="14.2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348"/>
      <c r="O464" s="244"/>
      <c r="P464" s="244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</row>
    <row r="465" ht="14.2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348"/>
      <c r="O465" s="244"/>
      <c r="P465" s="244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  <c r="AF465" s="244"/>
      <c r="AG465" s="244"/>
      <c r="AH465" s="244"/>
      <c r="AI465" s="244"/>
      <c r="AJ465" s="244"/>
      <c r="AK465" s="244"/>
      <c r="AL465" s="244"/>
      <c r="AM465" s="244"/>
      <c r="AN465" s="244"/>
      <c r="AO465" s="244"/>
    </row>
    <row r="466" ht="14.2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348"/>
      <c r="O466" s="244"/>
      <c r="P466" s="244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</row>
    <row r="467" ht="14.2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348"/>
      <c r="O467" s="244"/>
      <c r="P467" s="244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</row>
    <row r="468" ht="14.2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348"/>
      <c r="O468" s="244"/>
      <c r="P468" s="244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</row>
    <row r="469" ht="14.2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348"/>
      <c r="O469" s="244"/>
      <c r="P469" s="244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</row>
    <row r="470" ht="14.2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348"/>
      <c r="O470" s="244"/>
      <c r="P470" s="244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  <c r="AO470" s="244"/>
    </row>
    <row r="471" ht="14.2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348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  <c r="AO471" s="244"/>
    </row>
    <row r="472" ht="14.2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348"/>
      <c r="O472" s="244"/>
      <c r="P472" s="244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  <c r="AO472" s="244"/>
    </row>
    <row r="473" ht="14.2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348"/>
      <c r="O473" s="244"/>
      <c r="P473" s="244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  <c r="AO473" s="244"/>
    </row>
    <row r="474" ht="14.2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348"/>
      <c r="O474" s="244"/>
      <c r="P474" s="244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4"/>
      <c r="AM474" s="244"/>
      <c r="AN474" s="244"/>
      <c r="AO474" s="244"/>
    </row>
    <row r="475" ht="14.2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348"/>
      <c r="O475" s="244"/>
      <c r="P475" s="244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4"/>
      <c r="AM475" s="244"/>
      <c r="AN475" s="244"/>
      <c r="AO475" s="244"/>
    </row>
    <row r="476" ht="14.2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348"/>
      <c r="O476" s="244"/>
      <c r="P476" s="244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4"/>
      <c r="AM476" s="244"/>
      <c r="AN476" s="244"/>
      <c r="AO476" s="244"/>
    </row>
    <row r="477" ht="14.2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348"/>
      <c r="O477" s="244"/>
      <c r="P477" s="244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4"/>
      <c r="AM477" s="244"/>
      <c r="AN477" s="244"/>
      <c r="AO477" s="244"/>
    </row>
    <row r="478" ht="14.2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348"/>
      <c r="O478" s="244"/>
      <c r="P478" s="244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4"/>
      <c r="AM478" s="244"/>
      <c r="AN478" s="244"/>
      <c r="AO478" s="244"/>
    </row>
    <row r="479" ht="14.2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348"/>
      <c r="O479" s="244"/>
      <c r="P479" s="244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</row>
    <row r="480" ht="14.2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348"/>
      <c r="O480" s="244"/>
      <c r="P480" s="244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4"/>
      <c r="AM480" s="244"/>
      <c r="AN480" s="244"/>
      <c r="AO480" s="244"/>
    </row>
    <row r="481" ht="14.2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348"/>
      <c r="O481" s="244"/>
      <c r="P481" s="244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4"/>
      <c r="AM481" s="244"/>
      <c r="AN481" s="244"/>
      <c r="AO481" s="244"/>
    </row>
    <row r="482" ht="14.2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348"/>
      <c r="O482" s="244"/>
      <c r="P482" s="244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4"/>
      <c r="AM482" s="244"/>
      <c r="AN482" s="244"/>
      <c r="AO482" s="244"/>
    </row>
    <row r="483" ht="14.2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348"/>
      <c r="O483" s="244"/>
      <c r="P483" s="244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4"/>
      <c r="AM483" s="244"/>
      <c r="AN483" s="244"/>
      <c r="AO483" s="244"/>
    </row>
    <row r="484" ht="14.2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348"/>
      <c r="O484" s="244"/>
      <c r="P484" s="244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4"/>
      <c r="AM484" s="244"/>
      <c r="AN484" s="244"/>
      <c r="AO484" s="244"/>
    </row>
    <row r="485" ht="14.2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348"/>
      <c r="O485" s="244"/>
      <c r="P485" s="244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4"/>
      <c r="AM485" s="244"/>
      <c r="AN485" s="244"/>
      <c r="AO485" s="244"/>
    </row>
    <row r="486" ht="14.2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348"/>
      <c r="O486" s="244"/>
      <c r="P486" s="244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4"/>
      <c r="AM486" s="244"/>
      <c r="AN486" s="244"/>
      <c r="AO486" s="244"/>
    </row>
    <row r="487" ht="14.2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348"/>
      <c r="O487" s="244"/>
      <c r="P487" s="244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4"/>
      <c r="AM487" s="244"/>
      <c r="AN487" s="244"/>
      <c r="AO487" s="244"/>
    </row>
    <row r="488" ht="14.2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348"/>
      <c r="O488" s="244"/>
      <c r="P488" s="244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4"/>
      <c r="AM488" s="244"/>
      <c r="AN488" s="244"/>
      <c r="AO488" s="244"/>
    </row>
    <row r="489" ht="14.2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348"/>
      <c r="O489" s="244"/>
      <c r="P489" s="244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4"/>
      <c r="AM489" s="244"/>
      <c r="AN489" s="244"/>
      <c r="AO489" s="244"/>
    </row>
    <row r="490" ht="14.2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348"/>
      <c r="O490" s="244"/>
      <c r="P490" s="244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4"/>
      <c r="AM490" s="244"/>
      <c r="AN490" s="244"/>
      <c r="AO490" s="244"/>
    </row>
    <row r="491" ht="14.2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4"/>
      <c r="M491" s="244"/>
      <c r="N491" s="348"/>
      <c r="O491" s="244"/>
      <c r="P491" s="244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4"/>
      <c r="AM491" s="244"/>
      <c r="AN491" s="244"/>
      <c r="AO491" s="244"/>
    </row>
    <row r="492" ht="14.2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348"/>
      <c r="O492" s="244"/>
      <c r="P492" s="244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4"/>
      <c r="AM492" s="244"/>
      <c r="AN492" s="244"/>
      <c r="AO492" s="244"/>
    </row>
    <row r="493" ht="14.2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4"/>
      <c r="M493" s="244"/>
      <c r="N493" s="348"/>
      <c r="O493" s="244"/>
      <c r="P493" s="244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4"/>
      <c r="AM493" s="244"/>
      <c r="AN493" s="244"/>
      <c r="AO493" s="244"/>
    </row>
    <row r="494" ht="14.2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4"/>
      <c r="M494" s="244"/>
      <c r="N494" s="348"/>
      <c r="O494" s="244"/>
      <c r="P494" s="244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4"/>
      <c r="AM494" s="244"/>
      <c r="AN494" s="244"/>
      <c r="AO494" s="244"/>
    </row>
    <row r="495" ht="14.2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4"/>
      <c r="M495" s="244"/>
      <c r="N495" s="348"/>
      <c r="O495" s="244"/>
      <c r="P495" s="244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4"/>
      <c r="AM495" s="244"/>
      <c r="AN495" s="244"/>
      <c r="AO495" s="244"/>
    </row>
    <row r="496" ht="14.2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4"/>
      <c r="M496" s="244"/>
      <c r="N496" s="348"/>
      <c r="O496" s="244"/>
      <c r="P496" s="244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4"/>
      <c r="AM496" s="244"/>
      <c r="AN496" s="244"/>
      <c r="AO496" s="244"/>
    </row>
    <row r="497" ht="14.2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4"/>
      <c r="M497" s="244"/>
      <c r="N497" s="348"/>
      <c r="O497" s="244"/>
      <c r="P497" s="244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4"/>
      <c r="AM497" s="244"/>
      <c r="AN497" s="244"/>
      <c r="AO497" s="244"/>
    </row>
    <row r="498" ht="14.2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4"/>
      <c r="M498" s="244"/>
      <c r="N498" s="348"/>
      <c r="O498" s="244"/>
      <c r="P498" s="244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4"/>
      <c r="AM498" s="244"/>
      <c r="AN498" s="244"/>
      <c r="AO498" s="244"/>
    </row>
    <row r="499" ht="14.2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4"/>
      <c r="M499" s="244"/>
      <c r="N499" s="348"/>
      <c r="O499" s="244"/>
      <c r="P499" s="244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4"/>
      <c r="AM499" s="244"/>
      <c r="AN499" s="244"/>
      <c r="AO499" s="244"/>
    </row>
    <row r="500" ht="14.2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4"/>
      <c r="M500" s="244"/>
      <c r="N500" s="348"/>
      <c r="O500" s="244"/>
      <c r="P500" s="244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4"/>
      <c r="AM500" s="244"/>
      <c r="AN500" s="244"/>
      <c r="AO500" s="244"/>
    </row>
    <row r="501" ht="14.2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4"/>
      <c r="M501" s="244"/>
      <c r="N501" s="348"/>
      <c r="O501" s="244"/>
      <c r="P501" s="244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</row>
    <row r="502" ht="14.2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4"/>
      <c r="M502" s="244"/>
      <c r="N502" s="348"/>
      <c r="O502" s="244"/>
      <c r="P502" s="244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4"/>
      <c r="AM502" s="244"/>
      <c r="AN502" s="244"/>
      <c r="AO502" s="244"/>
    </row>
    <row r="503" ht="14.2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4"/>
      <c r="M503" s="244"/>
      <c r="N503" s="348"/>
      <c r="O503" s="244"/>
      <c r="P503" s="244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</row>
    <row r="504" ht="14.2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4"/>
      <c r="M504" s="244"/>
      <c r="N504" s="348"/>
      <c r="O504" s="244"/>
      <c r="P504" s="244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4"/>
      <c r="AM504" s="244"/>
      <c r="AN504" s="244"/>
      <c r="AO504" s="244"/>
    </row>
    <row r="505" ht="14.2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4"/>
      <c r="M505" s="244"/>
      <c r="N505" s="348"/>
      <c r="O505" s="244"/>
      <c r="P505" s="244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4"/>
      <c r="AM505" s="244"/>
      <c r="AN505" s="244"/>
      <c r="AO505" s="244"/>
    </row>
    <row r="506" ht="14.2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4"/>
      <c r="M506" s="244"/>
      <c r="N506" s="348"/>
      <c r="O506" s="244"/>
      <c r="P506" s="244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</row>
    <row r="507" ht="14.2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4"/>
      <c r="M507" s="244"/>
      <c r="N507" s="348"/>
      <c r="O507" s="244"/>
      <c r="P507" s="244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</row>
    <row r="508" ht="14.2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4"/>
      <c r="M508" s="244"/>
      <c r="N508" s="348"/>
      <c r="O508" s="244"/>
      <c r="P508" s="244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</row>
    <row r="509" ht="14.2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4"/>
      <c r="M509" s="244"/>
      <c r="N509" s="348"/>
      <c r="O509" s="244"/>
      <c r="P509" s="244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</row>
    <row r="510" ht="14.2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4"/>
      <c r="M510" s="244"/>
      <c r="N510" s="348"/>
      <c r="O510" s="244"/>
      <c r="P510" s="244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</row>
    <row r="511" ht="14.2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4"/>
      <c r="M511" s="244"/>
      <c r="N511" s="348"/>
      <c r="O511" s="244"/>
      <c r="P511" s="244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</row>
    <row r="512" ht="14.2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4"/>
      <c r="M512" s="244"/>
      <c r="N512" s="348"/>
      <c r="O512" s="244"/>
      <c r="P512" s="244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</row>
    <row r="513" ht="14.2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4"/>
      <c r="M513" s="244"/>
      <c r="N513" s="348"/>
      <c r="O513" s="244"/>
      <c r="P513" s="244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</row>
    <row r="514" ht="14.2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4"/>
      <c r="M514" s="244"/>
      <c r="N514" s="348"/>
      <c r="O514" s="244"/>
      <c r="P514" s="244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</row>
    <row r="515" ht="14.2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4"/>
      <c r="M515" s="244"/>
      <c r="N515" s="348"/>
      <c r="O515" s="244"/>
      <c r="P515" s="244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</row>
    <row r="516" ht="14.2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4"/>
      <c r="M516" s="244"/>
      <c r="N516" s="348"/>
      <c r="O516" s="244"/>
      <c r="P516" s="244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</row>
    <row r="517" ht="14.2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4"/>
      <c r="M517" s="244"/>
      <c r="N517" s="348"/>
      <c r="O517" s="244"/>
      <c r="P517" s="244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</row>
    <row r="518" ht="14.2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4"/>
      <c r="M518" s="244"/>
      <c r="N518" s="348"/>
      <c r="O518" s="244"/>
      <c r="P518" s="244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</row>
    <row r="519" ht="14.2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4"/>
      <c r="M519" s="244"/>
      <c r="N519" s="348"/>
      <c r="O519" s="244"/>
      <c r="P519" s="244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4"/>
      <c r="AM519" s="244"/>
      <c r="AN519" s="244"/>
      <c r="AO519" s="244"/>
    </row>
    <row r="520" ht="14.2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4"/>
      <c r="M520" s="244"/>
      <c r="N520" s="348"/>
      <c r="O520" s="244"/>
      <c r="P520" s="244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4"/>
      <c r="AM520" s="244"/>
      <c r="AN520" s="244"/>
      <c r="AO520" s="244"/>
    </row>
    <row r="521" ht="14.2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4"/>
      <c r="M521" s="244"/>
      <c r="N521" s="348"/>
      <c r="O521" s="244"/>
      <c r="P521" s="244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</row>
    <row r="522" ht="14.2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4"/>
      <c r="M522" s="244"/>
      <c r="N522" s="348"/>
      <c r="O522" s="244"/>
      <c r="P522" s="244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4"/>
      <c r="AM522" s="244"/>
      <c r="AN522" s="244"/>
      <c r="AO522" s="244"/>
    </row>
    <row r="523" ht="14.2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4"/>
      <c r="M523" s="244"/>
      <c r="N523" s="348"/>
      <c r="O523" s="244"/>
      <c r="P523" s="244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</row>
    <row r="524" ht="14.2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348"/>
      <c r="O524" s="244"/>
      <c r="P524" s="244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</row>
    <row r="525" ht="14.2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4"/>
      <c r="M525" s="244"/>
      <c r="N525" s="348"/>
      <c r="O525" s="244"/>
      <c r="P525" s="244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</row>
    <row r="526" ht="14.2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4"/>
      <c r="M526" s="244"/>
      <c r="N526" s="348"/>
      <c r="O526" s="244"/>
      <c r="P526" s="244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</row>
    <row r="527" ht="14.2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4"/>
      <c r="M527" s="244"/>
      <c r="N527" s="348"/>
      <c r="O527" s="244"/>
      <c r="P527" s="244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</row>
    <row r="528" ht="14.2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4"/>
      <c r="M528" s="244"/>
      <c r="N528" s="348"/>
      <c r="O528" s="244"/>
      <c r="P528" s="244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</row>
    <row r="529" ht="14.2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4"/>
      <c r="M529" s="244"/>
      <c r="N529" s="348"/>
      <c r="O529" s="244"/>
      <c r="P529" s="244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</row>
    <row r="530" ht="14.2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4"/>
      <c r="M530" s="244"/>
      <c r="N530" s="348"/>
      <c r="O530" s="244"/>
      <c r="P530" s="244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</row>
    <row r="531" ht="14.2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4"/>
      <c r="M531" s="244"/>
      <c r="N531" s="348"/>
      <c r="O531" s="244"/>
      <c r="P531" s="244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</row>
    <row r="532" ht="14.2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4"/>
      <c r="M532" s="244"/>
      <c r="N532" s="348"/>
      <c r="O532" s="244"/>
      <c r="P532" s="244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</row>
    <row r="533" ht="14.2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4"/>
      <c r="M533" s="244"/>
      <c r="N533" s="348"/>
      <c r="O533" s="244"/>
      <c r="P533" s="244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</row>
    <row r="534" ht="14.2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4"/>
      <c r="M534" s="244"/>
      <c r="N534" s="348"/>
      <c r="O534" s="244"/>
      <c r="P534" s="244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</row>
    <row r="535" ht="14.2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4"/>
      <c r="M535" s="244"/>
      <c r="N535" s="348"/>
      <c r="O535" s="244"/>
      <c r="P535" s="244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</row>
    <row r="536" ht="14.2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4"/>
      <c r="M536" s="244"/>
      <c r="N536" s="348"/>
      <c r="O536" s="244"/>
      <c r="P536" s="244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</row>
    <row r="537" ht="14.2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4"/>
      <c r="M537" s="244"/>
      <c r="N537" s="348"/>
      <c r="O537" s="244"/>
      <c r="P537" s="244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</row>
    <row r="538" ht="14.2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4"/>
      <c r="M538" s="244"/>
      <c r="N538" s="348"/>
      <c r="O538" s="244"/>
      <c r="P538" s="244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</row>
    <row r="539" ht="14.2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4"/>
      <c r="M539" s="244"/>
      <c r="N539" s="348"/>
      <c r="O539" s="244"/>
      <c r="P539" s="244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</row>
    <row r="540" ht="14.2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4"/>
      <c r="M540" s="244"/>
      <c r="N540" s="348"/>
      <c r="O540" s="244"/>
      <c r="P540" s="244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</row>
    <row r="541" ht="14.2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4"/>
      <c r="M541" s="244"/>
      <c r="N541" s="348"/>
      <c r="O541" s="244"/>
      <c r="P541" s="244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</row>
    <row r="542" ht="14.2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4"/>
      <c r="M542" s="244"/>
      <c r="N542" s="348"/>
      <c r="O542" s="244"/>
      <c r="P542" s="244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</row>
    <row r="543" ht="14.2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4"/>
      <c r="M543" s="244"/>
      <c r="N543" s="348"/>
      <c r="O543" s="244"/>
      <c r="P543" s="244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</row>
    <row r="544" ht="14.2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4"/>
      <c r="M544" s="244"/>
      <c r="N544" s="348"/>
      <c r="O544" s="244"/>
      <c r="P544" s="244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</row>
    <row r="545" ht="14.2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4"/>
      <c r="M545" s="244"/>
      <c r="N545" s="348"/>
      <c r="O545" s="244"/>
      <c r="P545" s="244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</row>
    <row r="546" ht="14.2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4"/>
      <c r="M546" s="244"/>
      <c r="N546" s="348"/>
      <c r="O546" s="244"/>
      <c r="P546" s="244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</row>
    <row r="547" ht="14.2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4"/>
      <c r="M547" s="244"/>
      <c r="N547" s="348"/>
      <c r="O547" s="244"/>
      <c r="P547" s="244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</row>
    <row r="548" ht="14.2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4"/>
      <c r="M548" s="244"/>
      <c r="N548" s="348"/>
      <c r="O548" s="244"/>
      <c r="P548" s="244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</row>
    <row r="549" ht="14.2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4"/>
      <c r="M549" s="244"/>
      <c r="N549" s="348"/>
      <c r="O549" s="244"/>
      <c r="P549" s="244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</row>
    <row r="550" ht="14.2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4"/>
      <c r="M550" s="244"/>
      <c r="N550" s="348"/>
      <c r="O550" s="244"/>
      <c r="P550" s="244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</row>
    <row r="551" ht="14.2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4"/>
      <c r="M551" s="244"/>
      <c r="N551" s="348"/>
      <c r="O551" s="244"/>
      <c r="P551" s="244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</row>
    <row r="552" ht="14.2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4"/>
      <c r="M552" s="244"/>
      <c r="N552" s="348"/>
      <c r="O552" s="244"/>
      <c r="P552" s="244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</row>
    <row r="553" ht="14.2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4"/>
      <c r="M553" s="244"/>
      <c r="N553" s="348"/>
      <c r="O553" s="244"/>
      <c r="P553" s="244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</row>
    <row r="554" ht="14.2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4"/>
      <c r="M554" s="244"/>
      <c r="N554" s="348"/>
      <c r="O554" s="244"/>
      <c r="P554" s="244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</row>
    <row r="555" ht="14.2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4"/>
      <c r="M555" s="244"/>
      <c r="N555" s="348"/>
      <c r="O555" s="244"/>
      <c r="P555" s="244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</row>
    <row r="556" ht="14.2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4"/>
      <c r="M556" s="244"/>
      <c r="N556" s="348"/>
      <c r="O556" s="244"/>
      <c r="P556" s="244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</row>
    <row r="557" ht="14.2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4"/>
      <c r="M557" s="244"/>
      <c r="N557" s="348"/>
      <c r="O557" s="244"/>
      <c r="P557" s="244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</row>
    <row r="558" ht="14.2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4"/>
      <c r="M558" s="244"/>
      <c r="N558" s="348"/>
      <c r="O558" s="244"/>
      <c r="P558" s="244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</row>
    <row r="559" ht="14.2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4"/>
      <c r="M559" s="244"/>
      <c r="N559" s="348"/>
      <c r="O559" s="244"/>
      <c r="P559" s="244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</row>
    <row r="560" ht="14.2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4"/>
      <c r="M560" s="244"/>
      <c r="N560" s="348"/>
      <c r="O560" s="244"/>
      <c r="P560" s="244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</row>
    <row r="561" ht="14.2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4"/>
      <c r="M561" s="244"/>
      <c r="N561" s="348"/>
      <c r="O561" s="244"/>
      <c r="P561" s="244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</row>
    <row r="562" ht="14.2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4"/>
      <c r="M562" s="244"/>
      <c r="N562" s="348"/>
      <c r="O562" s="244"/>
      <c r="P562" s="244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</row>
    <row r="563" ht="14.2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4"/>
      <c r="M563" s="244"/>
      <c r="N563" s="348"/>
      <c r="O563" s="244"/>
      <c r="P563" s="244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</row>
    <row r="564" ht="14.2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4"/>
      <c r="M564" s="244"/>
      <c r="N564" s="348"/>
      <c r="O564" s="244"/>
      <c r="P564" s="244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</row>
    <row r="565" ht="14.2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4"/>
      <c r="M565" s="244"/>
      <c r="N565" s="348"/>
      <c r="O565" s="244"/>
      <c r="P565" s="244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</row>
    <row r="566" ht="14.2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4"/>
      <c r="M566" s="244"/>
      <c r="N566" s="348"/>
      <c r="O566" s="244"/>
      <c r="P566" s="244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</row>
    <row r="567" ht="14.2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4"/>
      <c r="M567" s="244"/>
      <c r="N567" s="348"/>
      <c r="O567" s="244"/>
      <c r="P567" s="244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</row>
    <row r="568" ht="14.2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4"/>
      <c r="M568" s="244"/>
      <c r="N568" s="348"/>
      <c r="O568" s="244"/>
      <c r="P568" s="244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</row>
    <row r="569" ht="14.2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4"/>
      <c r="M569" s="244"/>
      <c r="N569" s="348"/>
      <c r="O569" s="244"/>
      <c r="P569" s="244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</row>
    <row r="570" ht="14.2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4"/>
      <c r="M570" s="244"/>
      <c r="N570" s="348"/>
      <c r="O570" s="244"/>
      <c r="P570" s="244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</row>
    <row r="571" ht="14.2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4"/>
      <c r="M571" s="244"/>
      <c r="N571" s="348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</row>
    <row r="572" ht="14.2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4"/>
      <c r="M572" s="244"/>
      <c r="N572" s="348"/>
      <c r="O572" s="244"/>
      <c r="P572" s="244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</row>
    <row r="573" ht="14.2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4"/>
      <c r="M573" s="244"/>
      <c r="N573" s="348"/>
      <c r="O573" s="244"/>
      <c r="P573" s="244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</row>
    <row r="574" ht="14.2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4"/>
      <c r="M574" s="244"/>
      <c r="N574" s="348"/>
      <c r="O574" s="244"/>
      <c r="P574" s="244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</row>
    <row r="575" ht="14.2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4"/>
      <c r="M575" s="244"/>
      <c r="N575" s="348"/>
      <c r="O575" s="244"/>
      <c r="P575" s="244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</row>
    <row r="576" ht="14.2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4"/>
      <c r="M576" s="244"/>
      <c r="N576" s="348"/>
      <c r="O576" s="244"/>
      <c r="P576" s="244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</row>
    <row r="577" ht="14.2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4"/>
      <c r="M577" s="244"/>
      <c r="N577" s="348"/>
      <c r="O577" s="244"/>
      <c r="P577" s="244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</row>
    <row r="578" ht="14.2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4"/>
      <c r="M578" s="244"/>
      <c r="N578" s="348"/>
      <c r="O578" s="244"/>
      <c r="P578" s="244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</row>
    <row r="579" ht="14.2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4"/>
      <c r="M579" s="244"/>
      <c r="N579" s="348"/>
      <c r="O579" s="244"/>
      <c r="P579" s="244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</row>
    <row r="580" ht="14.2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4"/>
      <c r="M580" s="244"/>
      <c r="N580" s="348"/>
      <c r="O580" s="244"/>
      <c r="P580" s="244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</row>
    <row r="581" ht="14.2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4"/>
      <c r="M581" s="244"/>
      <c r="N581" s="348"/>
      <c r="O581" s="244"/>
      <c r="P581" s="244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</row>
    <row r="582" ht="14.2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4"/>
      <c r="M582" s="244"/>
      <c r="N582" s="348"/>
      <c r="O582" s="244"/>
      <c r="P582" s="244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</row>
    <row r="583" ht="14.2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4"/>
      <c r="M583" s="244"/>
      <c r="N583" s="348"/>
      <c r="O583" s="244"/>
      <c r="P583" s="244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</row>
    <row r="584" ht="14.2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4"/>
      <c r="M584" s="244"/>
      <c r="N584" s="348"/>
      <c r="O584" s="244"/>
      <c r="P584" s="244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</row>
    <row r="585" ht="14.2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4"/>
      <c r="M585" s="244"/>
      <c r="N585" s="348"/>
      <c r="O585" s="244"/>
      <c r="P585" s="244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</row>
    <row r="586" ht="14.2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4"/>
      <c r="M586" s="244"/>
      <c r="N586" s="348"/>
      <c r="O586" s="244"/>
      <c r="P586" s="244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</row>
    <row r="587" ht="14.2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4"/>
      <c r="M587" s="244"/>
      <c r="N587" s="348"/>
      <c r="O587" s="244"/>
      <c r="P587" s="244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</row>
    <row r="588" ht="14.2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4"/>
      <c r="M588" s="244"/>
      <c r="N588" s="348"/>
      <c r="O588" s="244"/>
      <c r="P588" s="244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</row>
    <row r="589" ht="14.2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4"/>
      <c r="M589" s="244"/>
      <c r="N589" s="348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</row>
    <row r="590" ht="14.2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4"/>
      <c r="M590" s="244"/>
      <c r="N590" s="348"/>
      <c r="O590" s="244"/>
      <c r="P590" s="244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</row>
    <row r="591" ht="14.2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4"/>
      <c r="M591" s="244"/>
      <c r="N591" s="348"/>
      <c r="O591" s="244"/>
      <c r="P591" s="244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</row>
    <row r="592" ht="14.2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4"/>
      <c r="M592" s="244"/>
      <c r="N592" s="348"/>
      <c r="O592" s="244"/>
      <c r="P592" s="244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</row>
    <row r="593" ht="14.2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4"/>
      <c r="M593" s="244"/>
      <c r="N593" s="348"/>
      <c r="O593" s="244"/>
      <c r="P593" s="244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</row>
    <row r="594" ht="14.2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4"/>
      <c r="M594" s="244"/>
      <c r="N594" s="348"/>
      <c r="O594" s="244"/>
      <c r="P594" s="244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</row>
    <row r="595" ht="14.2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4"/>
      <c r="M595" s="244"/>
      <c r="N595" s="348"/>
      <c r="O595" s="244"/>
      <c r="P595" s="244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</row>
    <row r="596" ht="14.2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4"/>
      <c r="M596" s="244"/>
      <c r="N596" s="348"/>
      <c r="O596" s="244"/>
      <c r="P596" s="244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</row>
    <row r="597" ht="14.2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4"/>
      <c r="M597" s="244"/>
      <c r="N597" s="348"/>
      <c r="O597" s="244"/>
      <c r="P597" s="244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</row>
    <row r="598" ht="14.2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4"/>
      <c r="M598" s="244"/>
      <c r="N598" s="348"/>
      <c r="O598" s="244"/>
      <c r="P598" s="244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</row>
    <row r="599" ht="14.2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4"/>
      <c r="M599" s="244"/>
      <c r="N599" s="348"/>
      <c r="O599" s="244"/>
      <c r="P599" s="244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</row>
    <row r="600" ht="14.2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4"/>
      <c r="M600" s="244"/>
      <c r="N600" s="348"/>
      <c r="O600" s="244"/>
      <c r="P600" s="244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</row>
    <row r="601" ht="14.2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4"/>
      <c r="M601" s="244"/>
      <c r="N601" s="348"/>
      <c r="O601" s="244"/>
      <c r="P601" s="244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</row>
    <row r="602" ht="14.2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4"/>
      <c r="M602" s="244"/>
      <c r="N602" s="348"/>
      <c r="O602" s="244"/>
      <c r="P602" s="244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</row>
    <row r="603" ht="14.2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4"/>
      <c r="M603" s="244"/>
      <c r="N603" s="348"/>
      <c r="O603" s="244"/>
      <c r="P603" s="244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</row>
    <row r="604" ht="14.2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4"/>
      <c r="M604" s="244"/>
      <c r="N604" s="348"/>
      <c r="O604" s="244"/>
      <c r="P604" s="244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</row>
    <row r="605" ht="14.2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4"/>
      <c r="M605" s="244"/>
      <c r="N605" s="348"/>
      <c r="O605" s="244"/>
      <c r="P605" s="244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</row>
    <row r="606" ht="14.2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4"/>
      <c r="M606" s="244"/>
      <c r="N606" s="348"/>
      <c r="O606" s="244"/>
      <c r="P606" s="244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</row>
    <row r="607" ht="14.2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4"/>
      <c r="M607" s="244"/>
      <c r="N607" s="348"/>
      <c r="O607" s="244"/>
      <c r="P607" s="244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</row>
    <row r="608" ht="14.2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4"/>
      <c r="M608" s="244"/>
      <c r="N608" s="348"/>
      <c r="O608" s="244"/>
      <c r="P608" s="244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</row>
    <row r="609" ht="14.2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4"/>
      <c r="M609" s="244"/>
      <c r="N609" s="348"/>
      <c r="O609" s="244"/>
      <c r="P609" s="244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</row>
    <row r="610" ht="14.2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4"/>
      <c r="M610" s="244"/>
      <c r="N610" s="348"/>
      <c r="O610" s="244"/>
      <c r="P610" s="244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</row>
    <row r="611" ht="14.2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4"/>
      <c r="M611" s="244"/>
      <c r="N611" s="348"/>
      <c r="O611" s="244"/>
      <c r="P611" s="244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</row>
    <row r="612" ht="14.2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4"/>
      <c r="M612" s="244"/>
      <c r="N612" s="348"/>
      <c r="O612" s="244"/>
      <c r="P612" s="244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</row>
    <row r="613" ht="14.2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4"/>
      <c r="M613" s="244"/>
      <c r="N613" s="348"/>
      <c r="O613" s="244"/>
      <c r="P613" s="244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</row>
    <row r="614" ht="14.2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4"/>
      <c r="M614" s="244"/>
      <c r="N614" s="348"/>
      <c r="O614" s="244"/>
      <c r="P614" s="244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</row>
    <row r="615" ht="14.2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4"/>
      <c r="M615" s="244"/>
      <c r="N615" s="348"/>
      <c r="O615" s="244"/>
      <c r="P615" s="244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</row>
    <row r="616" ht="14.2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4"/>
      <c r="M616" s="244"/>
      <c r="N616" s="348"/>
      <c r="O616" s="244"/>
      <c r="P616" s="244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</row>
    <row r="617" ht="14.2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4"/>
      <c r="M617" s="244"/>
      <c r="N617" s="348"/>
      <c r="O617" s="244"/>
      <c r="P617" s="244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</row>
    <row r="618" ht="14.2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4"/>
      <c r="M618" s="244"/>
      <c r="N618" s="348"/>
      <c r="O618" s="244"/>
      <c r="P618" s="244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</row>
    <row r="619" ht="14.2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4"/>
      <c r="M619" s="244"/>
      <c r="N619" s="348"/>
      <c r="O619" s="244"/>
      <c r="P619" s="244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</row>
    <row r="620" ht="14.2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4"/>
      <c r="M620" s="244"/>
      <c r="N620" s="348"/>
      <c r="O620" s="244"/>
      <c r="P620" s="244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</row>
    <row r="621" ht="14.2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4"/>
      <c r="M621" s="244"/>
      <c r="N621" s="348"/>
      <c r="O621" s="244"/>
      <c r="P621" s="244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</row>
    <row r="622" ht="14.2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4"/>
      <c r="M622" s="244"/>
      <c r="N622" s="348"/>
      <c r="O622" s="244"/>
      <c r="P622" s="244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</row>
    <row r="623" ht="14.2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4"/>
      <c r="M623" s="244"/>
      <c r="N623" s="348"/>
      <c r="O623" s="244"/>
      <c r="P623" s="244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</row>
    <row r="624" ht="14.2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4"/>
      <c r="M624" s="244"/>
      <c r="N624" s="348"/>
      <c r="O624" s="244"/>
      <c r="P624" s="244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</row>
    <row r="625" ht="14.2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4"/>
      <c r="M625" s="244"/>
      <c r="N625" s="348"/>
      <c r="O625" s="244"/>
      <c r="P625" s="244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</row>
    <row r="626" ht="14.2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4"/>
      <c r="M626" s="244"/>
      <c r="N626" s="348"/>
      <c r="O626" s="244"/>
      <c r="P626" s="244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</row>
    <row r="627" ht="14.2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4"/>
      <c r="M627" s="244"/>
      <c r="N627" s="348"/>
      <c r="O627" s="244"/>
      <c r="P627" s="244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</row>
    <row r="628" ht="14.2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4"/>
      <c r="M628" s="244"/>
      <c r="N628" s="348"/>
      <c r="O628" s="244"/>
      <c r="P628" s="244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</row>
    <row r="629" ht="14.2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4"/>
      <c r="M629" s="244"/>
      <c r="N629" s="348"/>
      <c r="O629" s="244"/>
      <c r="P629" s="244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</row>
    <row r="630" ht="14.2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4"/>
      <c r="M630" s="244"/>
      <c r="N630" s="348"/>
      <c r="O630" s="244"/>
      <c r="P630" s="244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</row>
    <row r="631" ht="14.2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4"/>
      <c r="M631" s="244"/>
      <c r="N631" s="348"/>
      <c r="O631" s="244"/>
      <c r="P631" s="244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</row>
    <row r="632" ht="14.2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4"/>
      <c r="M632" s="244"/>
      <c r="N632" s="348"/>
      <c r="O632" s="244"/>
      <c r="P632" s="244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</row>
    <row r="633" ht="14.2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4"/>
      <c r="M633" s="244"/>
      <c r="N633" s="348"/>
      <c r="O633" s="244"/>
      <c r="P633" s="244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</row>
    <row r="634" ht="14.2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4"/>
      <c r="M634" s="244"/>
      <c r="N634" s="348"/>
      <c r="O634" s="244"/>
      <c r="P634" s="244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</row>
    <row r="635" ht="14.2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4"/>
      <c r="M635" s="244"/>
      <c r="N635" s="348"/>
      <c r="O635" s="244"/>
      <c r="P635" s="244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</row>
    <row r="636" ht="14.2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4"/>
      <c r="M636" s="244"/>
      <c r="N636" s="348"/>
      <c r="O636" s="244"/>
      <c r="P636" s="244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</row>
    <row r="637" ht="14.2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4"/>
      <c r="M637" s="244"/>
      <c r="N637" s="348"/>
      <c r="O637" s="244"/>
      <c r="P637" s="244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</row>
    <row r="638" ht="14.2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4"/>
      <c r="M638" s="244"/>
      <c r="N638" s="348"/>
      <c r="O638" s="244"/>
      <c r="P638" s="244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</row>
    <row r="639" ht="14.2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4"/>
      <c r="M639" s="244"/>
      <c r="N639" s="348"/>
      <c r="O639" s="244"/>
      <c r="P639" s="244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</row>
    <row r="640" ht="14.2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4"/>
      <c r="M640" s="244"/>
      <c r="N640" s="348"/>
      <c r="O640" s="244"/>
      <c r="P640" s="244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</row>
    <row r="641" ht="14.2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4"/>
      <c r="M641" s="244"/>
      <c r="N641" s="348"/>
      <c r="O641" s="244"/>
      <c r="P641" s="244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</row>
    <row r="642" ht="14.2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4"/>
      <c r="M642" s="244"/>
      <c r="N642" s="348"/>
      <c r="O642" s="244"/>
      <c r="P642" s="244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</row>
    <row r="643" ht="14.2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4"/>
      <c r="M643" s="244"/>
      <c r="N643" s="348"/>
      <c r="O643" s="244"/>
      <c r="P643" s="244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</row>
    <row r="644" ht="14.2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4"/>
      <c r="M644" s="244"/>
      <c r="N644" s="348"/>
      <c r="O644" s="244"/>
      <c r="P644" s="244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</row>
    <row r="645" ht="14.2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4"/>
      <c r="M645" s="244"/>
      <c r="N645" s="348"/>
      <c r="O645" s="244"/>
      <c r="P645" s="244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</row>
    <row r="646" ht="14.2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4"/>
      <c r="M646" s="244"/>
      <c r="N646" s="348"/>
      <c r="O646" s="244"/>
      <c r="P646" s="244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</row>
    <row r="647" ht="14.2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4"/>
      <c r="M647" s="244"/>
      <c r="N647" s="348"/>
      <c r="O647" s="244"/>
      <c r="P647" s="244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</row>
    <row r="648" ht="14.2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4"/>
      <c r="M648" s="244"/>
      <c r="N648" s="348"/>
      <c r="O648" s="244"/>
      <c r="P648" s="244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</row>
    <row r="649" ht="14.2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4"/>
      <c r="M649" s="244"/>
      <c r="N649" s="348"/>
      <c r="O649" s="244"/>
      <c r="P649" s="244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</row>
    <row r="650" ht="14.2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4"/>
      <c r="M650" s="244"/>
      <c r="N650" s="348"/>
      <c r="O650" s="244"/>
      <c r="P650" s="244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</row>
    <row r="651" ht="14.2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4"/>
      <c r="M651" s="244"/>
      <c r="N651" s="348"/>
      <c r="O651" s="244"/>
      <c r="P651" s="244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</row>
    <row r="652" ht="14.2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4"/>
      <c r="M652" s="244"/>
      <c r="N652" s="348"/>
      <c r="O652" s="244"/>
      <c r="P652" s="244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</row>
    <row r="653" ht="14.2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4"/>
      <c r="M653" s="244"/>
      <c r="N653" s="348"/>
      <c r="O653" s="244"/>
      <c r="P653" s="244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</row>
    <row r="654" ht="14.2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4"/>
      <c r="M654" s="244"/>
      <c r="N654" s="348"/>
      <c r="O654" s="244"/>
      <c r="P654" s="244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</row>
    <row r="655" ht="14.2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4"/>
      <c r="M655" s="244"/>
      <c r="N655" s="348"/>
      <c r="O655" s="244"/>
      <c r="P655" s="244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</row>
    <row r="656" ht="14.2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4"/>
      <c r="M656" s="244"/>
      <c r="N656" s="348"/>
      <c r="O656" s="244"/>
      <c r="P656" s="244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</row>
    <row r="657" ht="14.2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4"/>
      <c r="M657" s="244"/>
      <c r="N657" s="348"/>
      <c r="O657" s="244"/>
      <c r="P657" s="244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</row>
    <row r="658" ht="14.2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4"/>
      <c r="M658" s="244"/>
      <c r="N658" s="348"/>
      <c r="O658" s="244"/>
      <c r="P658" s="244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</row>
    <row r="659" ht="14.2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4"/>
      <c r="M659" s="244"/>
      <c r="N659" s="348"/>
      <c r="O659" s="244"/>
      <c r="P659" s="244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</row>
    <row r="660" ht="14.2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4"/>
      <c r="M660" s="244"/>
      <c r="N660" s="348"/>
      <c r="O660" s="244"/>
      <c r="P660" s="244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</row>
    <row r="661" ht="14.2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4"/>
      <c r="M661" s="244"/>
      <c r="N661" s="348"/>
      <c r="O661" s="244"/>
      <c r="P661" s="244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</row>
    <row r="662" ht="14.2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4"/>
      <c r="M662" s="244"/>
      <c r="N662" s="348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</row>
    <row r="663" ht="14.2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4"/>
      <c r="M663" s="244"/>
      <c r="N663" s="348"/>
      <c r="O663" s="244"/>
      <c r="P663" s="244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</row>
    <row r="664" ht="14.2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4"/>
      <c r="M664" s="244"/>
      <c r="N664" s="348"/>
      <c r="O664" s="244"/>
      <c r="P664" s="244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</row>
    <row r="665" ht="14.2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4"/>
      <c r="M665" s="244"/>
      <c r="N665" s="348"/>
      <c r="O665" s="244"/>
      <c r="P665" s="244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</row>
    <row r="666" ht="14.2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4"/>
      <c r="M666" s="244"/>
      <c r="N666" s="348"/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</row>
    <row r="667" ht="14.2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4"/>
      <c r="M667" s="244"/>
      <c r="N667" s="348"/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</row>
    <row r="668" ht="14.2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4"/>
      <c r="M668" s="244"/>
      <c r="N668" s="348"/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</row>
    <row r="669" ht="14.2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4"/>
      <c r="M669" s="244"/>
      <c r="N669" s="348"/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</row>
    <row r="670" ht="14.2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4"/>
      <c r="M670" s="244"/>
      <c r="N670" s="348"/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</row>
    <row r="671" ht="14.2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4"/>
      <c r="M671" s="244"/>
      <c r="N671" s="348"/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</row>
    <row r="672" ht="14.2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4"/>
      <c r="M672" s="244"/>
      <c r="N672" s="348"/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</row>
    <row r="673" ht="14.2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4"/>
      <c r="M673" s="244"/>
      <c r="N673" s="348"/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</row>
    <row r="674" ht="14.2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4"/>
      <c r="M674" s="244"/>
      <c r="N674" s="348"/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</row>
    <row r="675" ht="14.2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4"/>
      <c r="M675" s="244"/>
      <c r="N675" s="348"/>
      <c r="O675" s="244"/>
      <c r="P675" s="244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</row>
    <row r="676" ht="14.2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4"/>
      <c r="M676" s="244"/>
      <c r="N676" s="348"/>
      <c r="O676" s="244"/>
      <c r="P676" s="244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</row>
    <row r="677" ht="14.2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4"/>
      <c r="M677" s="244"/>
      <c r="N677" s="348"/>
      <c r="O677" s="244"/>
      <c r="P677" s="244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</row>
    <row r="678" ht="14.2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4"/>
      <c r="M678" s="244"/>
      <c r="N678" s="348"/>
      <c r="O678" s="244"/>
      <c r="P678" s="244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</row>
    <row r="679" ht="14.2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4"/>
      <c r="M679" s="244"/>
      <c r="N679" s="348"/>
      <c r="O679" s="244"/>
      <c r="P679" s="244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</row>
    <row r="680" ht="14.2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4"/>
      <c r="M680" s="244"/>
      <c r="N680" s="348"/>
      <c r="O680" s="244"/>
      <c r="P680" s="244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</row>
    <row r="681" ht="14.2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4"/>
      <c r="M681" s="244"/>
      <c r="N681" s="348"/>
      <c r="O681" s="244"/>
      <c r="P681" s="244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</row>
    <row r="682" ht="14.2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4"/>
      <c r="M682" s="244"/>
      <c r="N682" s="348"/>
      <c r="O682" s="244"/>
      <c r="P682" s="244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</row>
    <row r="683" ht="14.2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4"/>
      <c r="M683" s="244"/>
      <c r="N683" s="348"/>
      <c r="O683" s="244"/>
      <c r="P683" s="244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</row>
    <row r="684" ht="14.2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4"/>
      <c r="M684" s="244"/>
      <c r="N684" s="348"/>
      <c r="O684" s="244"/>
      <c r="P684" s="244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</row>
    <row r="685" ht="14.2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4"/>
      <c r="M685" s="244"/>
      <c r="N685" s="348"/>
      <c r="O685" s="244"/>
      <c r="P685" s="244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</row>
    <row r="686" ht="14.2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4"/>
      <c r="M686" s="244"/>
      <c r="N686" s="348"/>
      <c r="O686" s="244"/>
      <c r="P686" s="244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</row>
    <row r="687" ht="14.2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4"/>
      <c r="M687" s="244"/>
      <c r="N687" s="348"/>
      <c r="O687" s="244"/>
      <c r="P687" s="244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</row>
    <row r="688" ht="14.2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4"/>
      <c r="M688" s="244"/>
      <c r="N688" s="348"/>
      <c r="O688" s="244"/>
      <c r="P688" s="244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</row>
    <row r="689" ht="14.2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4"/>
      <c r="M689" s="244"/>
      <c r="N689" s="348"/>
      <c r="O689" s="244"/>
      <c r="P689" s="244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</row>
    <row r="690" ht="14.2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4"/>
      <c r="M690" s="244"/>
      <c r="N690" s="348"/>
      <c r="O690" s="244"/>
      <c r="P690" s="244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</row>
    <row r="691" ht="14.2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4"/>
      <c r="M691" s="244"/>
      <c r="N691" s="348"/>
      <c r="O691" s="244"/>
      <c r="P691" s="244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</row>
    <row r="692" ht="14.2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4"/>
      <c r="M692" s="244"/>
      <c r="N692" s="348"/>
      <c r="O692" s="244"/>
      <c r="P692" s="244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</row>
    <row r="693" ht="14.2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4"/>
      <c r="M693" s="244"/>
      <c r="N693" s="348"/>
      <c r="O693" s="244"/>
      <c r="P693" s="244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</row>
    <row r="694" ht="14.2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4"/>
      <c r="M694" s="244"/>
      <c r="N694" s="348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</row>
    <row r="695" ht="14.2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4"/>
      <c r="M695" s="244"/>
      <c r="N695" s="348"/>
      <c r="O695" s="244"/>
      <c r="P695" s="244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</row>
    <row r="696" ht="14.2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4"/>
      <c r="M696" s="244"/>
      <c r="N696" s="348"/>
      <c r="O696" s="244"/>
      <c r="P696" s="244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</row>
    <row r="697" ht="14.2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4"/>
      <c r="M697" s="244"/>
      <c r="N697" s="348"/>
      <c r="O697" s="244"/>
      <c r="P697" s="244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</row>
    <row r="698" ht="14.2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4"/>
      <c r="M698" s="244"/>
      <c r="N698" s="348"/>
      <c r="O698" s="244"/>
      <c r="P698" s="244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</row>
    <row r="699" ht="14.2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4"/>
      <c r="M699" s="244"/>
      <c r="N699" s="348"/>
      <c r="O699" s="244"/>
      <c r="P699" s="244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</row>
    <row r="700" ht="14.2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4"/>
      <c r="M700" s="244"/>
      <c r="N700" s="348"/>
      <c r="O700" s="244"/>
      <c r="P700" s="244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</row>
    <row r="701" ht="14.2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4"/>
      <c r="M701" s="244"/>
      <c r="N701" s="348"/>
      <c r="O701" s="244"/>
      <c r="P701" s="244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</row>
    <row r="702" ht="14.2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4"/>
      <c r="M702" s="244"/>
      <c r="N702" s="348"/>
      <c r="O702" s="244"/>
      <c r="P702" s="244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</row>
    <row r="703" ht="14.2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4"/>
      <c r="M703" s="244"/>
      <c r="N703" s="348"/>
      <c r="O703" s="244"/>
      <c r="P703" s="244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</row>
    <row r="704" ht="14.2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4"/>
      <c r="M704" s="244"/>
      <c r="N704" s="348"/>
      <c r="O704" s="244"/>
      <c r="P704" s="244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  <c r="AD704" s="244"/>
      <c r="AE704" s="244"/>
      <c r="AF704" s="244"/>
      <c r="AG704" s="244"/>
      <c r="AH704" s="244"/>
      <c r="AI704" s="244"/>
      <c r="AJ704" s="244"/>
      <c r="AK704" s="244"/>
      <c r="AL704" s="244"/>
      <c r="AM704" s="244"/>
      <c r="AN704" s="244"/>
      <c r="AO704" s="244"/>
    </row>
    <row r="705" ht="14.2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4"/>
      <c r="M705" s="244"/>
      <c r="N705" s="348"/>
      <c r="O705" s="244"/>
      <c r="P705" s="244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  <c r="AD705" s="244"/>
      <c r="AE705" s="244"/>
      <c r="AF705" s="244"/>
      <c r="AG705" s="244"/>
      <c r="AH705" s="244"/>
      <c r="AI705" s="244"/>
      <c r="AJ705" s="244"/>
      <c r="AK705" s="244"/>
      <c r="AL705" s="244"/>
      <c r="AM705" s="244"/>
      <c r="AN705" s="244"/>
      <c r="AO705" s="244"/>
    </row>
    <row r="706" ht="14.2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4"/>
      <c r="M706" s="244"/>
      <c r="N706" s="348"/>
      <c r="O706" s="244"/>
      <c r="P706" s="244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  <c r="AD706" s="244"/>
      <c r="AE706" s="244"/>
      <c r="AF706" s="244"/>
      <c r="AG706" s="244"/>
      <c r="AH706" s="244"/>
      <c r="AI706" s="244"/>
      <c r="AJ706" s="244"/>
      <c r="AK706" s="244"/>
      <c r="AL706" s="244"/>
      <c r="AM706" s="244"/>
      <c r="AN706" s="244"/>
      <c r="AO706" s="244"/>
    </row>
    <row r="707" ht="14.2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4"/>
      <c r="M707" s="244"/>
      <c r="N707" s="348"/>
      <c r="O707" s="244"/>
      <c r="P707" s="244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  <c r="AD707" s="244"/>
      <c r="AE707" s="244"/>
      <c r="AF707" s="244"/>
      <c r="AG707" s="244"/>
      <c r="AH707" s="244"/>
      <c r="AI707" s="244"/>
      <c r="AJ707" s="244"/>
      <c r="AK707" s="244"/>
      <c r="AL707" s="244"/>
      <c r="AM707" s="244"/>
      <c r="AN707" s="244"/>
      <c r="AO707" s="244"/>
    </row>
    <row r="708" ht="14.2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4"/>
      <c r="M708" s="244"/>
      <c r="N708" s="348"/>
      <c r="O708" s="244"/>
      <c r="P708" s="244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  <c r="AD708" s="244"/>
      <c r="AE708" s="244"/>
      <c r="AF708" s="244"/>
      <c r="AG708" s="244"/>
      <c r="AH708" s="244"/>
      <c r="AI708" s="244"/>
      <c r="AJ708" s="244"/>
      <c r="AK708" s="244"/>
      <c r="AL708" s="244"/>
      <c r="AM708" s="244"/>
      <c r="AN708" s="244"/>
      <c r="AO708" s="244"/>
    </row>
    <row r="709" ht="14.2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4"/>
      <c r="M709" s="244"/>
      <c r="N709" s="348"/>
      <c r="O709" s="244"/>
      <c r="P709" s="244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  <c r="AD709" s="244"/>
      <c r="AE709" s="244"/>
      <c r="AF709" s="244"/>
      <c r="AG709" s="244"/>
      <c r="AH709" s="244"/>
      <c r="AI709" s="244"/>
      <c r="AJ709" s="244"/>
      <c r="AK709" s="244"/>
      <c r="AL709" s="244"/>
      <c r="AM709" s="244"/>
      <c r="AN709" s="244"/>
      <c r="AO709" s="244"/>
    </row>
    <row r="710" ht="14.2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4"/>
      <c r="M710" s="244"/>
      <c r="N710" s="348"/>
      <c r="O710" s="244"/>
      <c r="P710" s="244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  <c r="AD710" s="244"/>
      <c r="AE710" s="244"/>
      <c r="AF710" s="244"/>
      <c r="AG710" s="244"/>
      <c r="AH710" s="244"/>
      <c r="AI710" s="244"/>
      <c r="AJ710" s="244"/>
      <c r="AK710" s="244"/>
      <c r="AL710" s="244"/>
      <c r="AM710" s="244"/>
      <c r="AN710" s="244"/>
      <c r="AO710" s="244"/>
    </row>
    <row r="711" ht="14.2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4"/>
      <c r="M711" s="244"/>
      <c r="N711" s="348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4"/>
      <c r="AM711" s="244"/>
      <c r="AN711" s="244"/>
      <c r="AO711" s="244"/>
    </row>
    <row r="712" ht="14.2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4"/>
      <c r="M712" s="244"/>
      <c r="N712" s="348"/>
      <c r="O712" s="244"/>
      <c r="P712" s="244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4"/>
      <c r="AM712" s="244"/>
      <c r="AN712" s="244"/>
      <c r="AO712" s="244"/>
    </row>
    <row r="713" ht="14.2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4"/>
      <c r="M713" s="244"/>
      <c r="N713" s="348"/>
      <c r="O713" s="244"/>
      <c r="P713" s="244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4"/>
      <c r="AM713" s="244"/>
      <c r="AN713" s="244"/>
      <c r="AO713" s="244"/>
    </row>
    <row r="714" ht="14.2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4"/>
      <c r="M714" s="244"/>
      <c r="N714" s="348"/>
      <c r="O714" s="244"/>
      <c r="P714" s="244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4"/>
      <c r="AM714" s="244"/>
      <c r="AN714" s="244"/>
      <c r="AO714" s="244"/>
    </row>
    <row r="715" ht="14.2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4"/>
      <c r="M715" s="244"/>
      <c r="N715" s="348"/>
      <c r="O715" s="244"/>
      <c r="P715" s="244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4"/>
      <c r="AM715" s="244"/>
      <c r="AN715" s="244"/>
      <c r="AO715" s="244"/>
    </row>
    <row r="716" ht="14.2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4"/>
      <c r="M716" s="244"/>
      <c r="N716" s="348"/>
      <c r="O716" s="244"/>
      <c r="P716" s="244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4"/>
      <c r="AM716" s="244"/>
      <c r="AN716" s="244"/>
      <c r="AO716" s="244"/>
    </row>
    <row r="717" ht="14.2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4"/>
      <c r="M717" s="244"/>
      <c r="N717" s="348"/>
      <c r="O717" s="244"/>
      <c r="P717" s="244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4"/>
      <c r="AM717" s="244"/>
      <c r="AN717" s="244"/>
      <c r="AO717" s="244"/>
    </row>
    <row r="718" ht="14.2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4"/>
      <c r="M718" s="244"/>
      <c r="N718" s="348"/>
      <c r="O718" s="244"/>
      <c r="P718" s="244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4"/>
      <c r="AM718" s="244"/>
      <c r="AN718" s="244"/>
      <c r="AO718" s="244"/>
    </row>
    <row r="719" ht="14.2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4"/>
      <c r="M719" s="244"/>
      <c r="N719" s="348"/>
      <c r="O719" s="244"/>
      <c r="P719" s="244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4"/>
      <c r="AM719" s="244"/>
      <c r="AN719" s="244"/>
      <c r="AO719" s="244"/>
    </row>
    <row r="720" ht="14.2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4"/>
      <c r="M720" s="244"/>
      <c r="N720" s="348"/>
      <c r="O720" s="244"/>
      <c r="P720" s="244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4"/>
      <c r="AM720" s="244"/>
      <c r="AN720" s="244"/>
      <c r="AO720" s="244"/>
    </row>
    <row r="721" ht="14.2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4"/>
      <c r="M721" s="244"/>
      <c r="N721" s="348"/>
      <c r="O721" s="244"/>
      <c r="P721" s="244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4"/>
      <c r="AM721" s="244"/>
      <c r="AN721" s="244"/>
      <c r="AO721" s="244"/>
    </row>
    <row r="722" ht="14.2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4"/>
      <c r="M722" s="244"/>
      <c r="N722" s="348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4"/>
      <c r="AM722" s="244"/>
      <c r="AN722" s="244"/>
      <c r="AO722" s="244"/>
    </row>
    <row r="723" ht="14.2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4"/>
      <c r="M723" s="244"/>
      <c r="N723" s="348"/>
      <c r="O723" s="244"/>
      <c r="P723" s="244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4"/>
      <c r="AM723" s="244"/>
      <c r="AN723" s="244"/>
      <c r="AO723" s="244"/>
    </row>
    <row r="724" ht="14.2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4"/>
      <c r="M724" s="244"/>
      <c r="N724" s="348"/>
      <c r="O724" s="244"/>
      <c r="P724" s="244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4"/>
      <c r="AM724" s="244"/>
      <c r="AN724" s="244"/>
      <c r="AO724" s="244"/>
    </row>
    <row r="725" ht="14.2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4"/>
      <c r="M725" s="244"/>
      <c r="N725" s="348"/>
      <c r="O725" s="244"/>
      <c r="P725" s="244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  <c r="AD725" s="244"/>
      <c r="AE725" s="244"/>
      <c r="AF725" s="244"/>
      <c r="AG725" s="244"/>
      <c r="AH725" s="244"/>
      <c r="AI725" s="244"/>
      <c r="AJ725" s="244"/>
      <c r="AK725" s="244"/>
      <c r="AL725" s="244"/>
      <c r="AM725" s="244"/>
      <c r="AN725" s="244"/>
      <c r="AO725" s="244"/>
    </row>
    <row r="726" ht="14.2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4"/>
      <c r="M726" s="244"/>
      <c r="N726" s="348"/>
      <c r="O726" s="244"/>
      <c r="P726" s="244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  <c r="AD726" s="244"/>
      <c r="AE726" s="244"/>
      <c r="AF726" s="244"/>
      <c r="AG726" s="244"/>
      <c r="AH726" s="244"/>
      <c r="AI726" s="244"/>
      <c r="AJ726" s="244"/>
      <c r="AK726" s="244"/>
      <c r="AL726" s="244"/>
      <c r="AM726" s="244"/>
      <c r="AN726" s="244"/>
      <c r="AO726" s="244"/>
    </row>
    <row r="727" ht="14.2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4"/>
      <c r="M727" s="244"/>
      <c r="N727" s="348"/>
      <c r="O727" s="244"/>
      <c r="P727" s="244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  <c r="AD727" s="244"/>
      <c r="AE727" s="244"/>
      <c r="AF727" s="244"/>
      <c r="AG727" s="244"/>
      <c r="AH727" s="244"/>
      <c r="AI727" s="244"/>
      <c r="AJ727" s="244"/>
      <c r="AK727" s="244"/>
      <c r="AL727" s="244"/>
      <c r="AM727" s="244"/>
      <c r="AN727" s="244"/>
      <c r="AO727" s="244"/>
    </row>
    <row r="728" ht="14.2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4"/>
      <c r="M728" s="244"/>
      <c r="N728" s="348"/>
      <c r="O728" s="244"/>
      <c r="P728" s="244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  <c r="AD728" s="244"/>
      <c r="AE728" s="244"/>
      <c r="AF728" s="244"/>
      <c r="AG728" s="244"/>
      <c r="AH728" s="244"/>
      <c r="AI728" s="244"/>
      <c r="AJ728" s="244"/>
      <c r="AK728" s="244"/>
      <c r="AL728" s="244"/>
      <c r="AM728" s="244"/>
      <c r="AN728" s="244"/>
      <c r="AO728" s="244"/>
    </row>
    <row r="729" ht="14.2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4"/>
      <c r="M729" s="244"/>
      <c r="N729" s="348"/>
      <c r="O729" s="244"/>
      <c r="P729" s="244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  <c r="AD729" s="244"/>
      <c r="AE729" s="244"/>
      <c r="AF729" s="244"/>
      <c r="AG729" s="244"/>
      <c r="AH729" s="244"/>
      <c r="AI729" s="244"/>
      <c r="AJ729" s="244"/>
      <c r="AK729" s="244"/>
      <c r="AL729" s="244"/>
      <c r="AM729" s="244"/>
      <c r="AN729" s="244"/>
      <c r="AO729" s="244"/>
    </row>
    <row r="730" ht="14.2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4"/>
      <c r="M730" s="244"/>
      <c r="N730" s="348"/>
      <c r="O730" s="244"/>
      <c r="P730" s="244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  <c r="AD730" s="244"/>
      <c r="AE730" s="244"/>
      <c r="AF730" s="244"/>
      <c r="AG730" s="244"/>
      <c r="AH730" s="244"/>
      <c r="AI730" s="244"/>
      <c r="AJ730" s="244"/>
      <c r="AK730" s="244"/>
      <c r="AL730" s="244"/>
      <c r="AM730" s="244"/>
      <c r="AN730" s="244"/>
      <c r="AO730" s="244"/>
    </row>
    <row r="731" ht="14.2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4"/>
      <c r="M731" s="244"/>
      <c r="N731" s="348"/>
      <c r="O731" s="244"/>
      <c r="P731" s="244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  <c r="AD731" s="244"/>
      <c r="AE731" s="244"/>
      <c r="AF731" s="244"/>
      <c r="AG731" s="244"/>
      <c r="AH731" s="244"/>
      <c r="AI731" s="244"/>
      <c r="AJ731" s="244"/>
      <c r="AK731" s="244"/>
      <c r="AL731" s="244"/>
      <c r="AM731" s="244"/>
      <c r="AN731" s="244"/>
      <c r="AO731" s="244"/>
    </row>
    <row r="732" ht="14.2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4"/>
      <c r="M732" s="244"/>
      <c r="N732" s="348"/>
      <c r="O732" s="244"/>
      <c r="P732" s="244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  <c r="AD732" s="244"/>
      <c r="AE732" s="244"/>
      <c r="AF732" s="244"/>
      <c r="AG732" s="244"/>
      <c r="AH732" s="244"/>
      <c r="AI732" s="244"/>
      <c r="AJ732" s="244"/>
      <c r="AK732" s="244"/>
      <c r="AL732" s="244"/>
      <c r="AM732" s="244"/>
      <c r="AN732" s="244"/>
      <c r="AO732" s="244"/>
    </row>
    <row r="733" ht="14.2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4"/>
      <c r="M733" s="244"/>
      <c r="N733" s="348"/>
      <c r="O733" s="244"/>
      <c r="P733" s="244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  <c r="AD733" s="244"/>
      <c r="AE733" s="244"/>
      <c r="AF733" s="244"/>
      <c r="AG733" s="244"/>
      <c r="AH733" s="244"/>
      <c r="AI733" s="244"/>
      <c r="AJ733" s="244"/>
      <c r="AK733" s="244"/>
      <c r="AL733" s="244"/>
      <c r="AM733" s="244"/>
      <c r="AN733" s="244"/>
      <c r="AO733" s="244"/>
    </row>
    <row r="734" ht="14.2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4"/>
      <c r="M734" s="244"/>
      <c r="N734" s="348"/>
      <c r="O734" s="244"/>
      <c r="P734" s="244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  <c r="AD734" s="244"/>
      <c r="AE734" s="244"/>
      <c r="AF734" s="244"/>
      <c r="AG734" s="244"/>
      <c r="AH734" s="244"/>
      <c r="AI734" s="244"/>
      <c r="AJ734" s="244"/>
      <c r="AK734" s="244"/>
      <c r="AL734" s="244"/>
      <c r="AM734" s="244"/>
      <c r="AN734" s="244"/>
      <c r="AO734" s="244"/>
    </row>
    <row r="735" ht="14.2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4"/>
      <c r="M735" s="244"/>
      <c r="N735" s="348"/>
      <c r="O735" s="244"/>
      <c r="P735" s="244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  <c r="AD735" s="244"/>
      <c r="AE735" s="244"/>
      <c r="AF735" s="244"/>
      <c r="AG735" s="244"/>
      <c r="AH735" s="244"/>
      <c r="AI735" s="244"/>
      <c r="AJ735" s="244"/>
      <c r="AK735" s="244"/>
      <c r="AL735" s="244"/>
      <c r="AM735" s="244"/>
      <c r="AN735" s="244"/>
      <c r="AO735" s="244"/>
    </row>
    <row r="736" ht="14.2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4"/>
      <c r="M736" s="244"/>
      <c r="N736" s="348"/>
      <c r="O736" s="244"/>
      <c r="P736" s="244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  <c r="AD736" s="244"/>
      <c r="AE736" s="244"/>
      <c r="AF736" s="244"/>
      <c r="AG736" s="244"/>
      <c r="AH736" s="244"/>
      <c r="AI736" s="244"/>
      <c r="AJ736" s="244"/>
      <c r="AK736" s="244"/>
      <c r="AL736" s="244"/>
      <c r="AM736" s="244"/>
      <c r="AN736" s="244"/>
      <c r="AO736" s="244"/>
    </row>
    <row r="737" ht="14.2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4"/>
      <c r="M737" s="244"/>
      <c r="N737" s="348"/>
      <c r="O737" s="244"/>
      <c r="P737" s="244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  <c r="AD737" s="244"/>
      <c r="AE737" s="244"/>
      <c r="AF737" s="244"/>
      <c r="AG737" s="244"/>
      <c r="AH737" s="244"/>
      <c r="AI737" s="244"/>
      <c r="AJ737" s="244"/>
      <c r="AK737" s="244"/>
      <c r="AL737" s="244"/>
      <c r="AM737" s="244"/>
      <c r="AN737" s="244"/>
      <c r="AO737" s="244"/>
    </row>
    <row r="738" ht="14.2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4"/>
      <c r="M738" s="244"/>
      <c r="N738" s="348"/>
      <c r="O738" s="244"/>
      <c r="P738" s="244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  <c r="AD738" s="244"/>
      <c r="AE738" s="244"/>
      <c r="AF738" s="244"/>
      <c r="AG738" s="244"/>
      <c r="AH738" s="244"/>
      <c r="AI738" s="244"/>
      <c r="AJ738" s="244"/>
      <c r="AK738" s="244"/>
      <c r="AL738" s="244"/>
      <c r="AM738" s="244"/>
      <c r="AN738" s="244"/>
      <c r="AO738" s="244"/>
    </row>
    <row r="739" ht="14.2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4"/>
      <c r="M739" s="244"/>
      <c r="N739" s="348"/>
      <c r="O739" s="244"/>
      <c r="P739" s="244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  <c r="AD739" s="244"/>
      <c r="AE739" s="244"/>
      <c r="AF739" s="244"/>
      <c r="AG739" s="244"/>
      <c r="AH739" s="244"/>
      <c r="AI739" s="244"/>
      <c r="AJ739" s="244"/>
      <c r="AK739" s="244"/>
      <c r="AL739" s="244"/>
      <c r="AM739" s="244"/>
      <c r="AN739" s="244"/>
      <c r="AO739" s="244"/>
    </row>
    <row r="740" ht="14.2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4"/>
      <c r="M740" s="244"/>
      <c r="N740" s="348"/>
      <c r="O740" s="244"/>
      <c r="P740" s="244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  <c r="AD740" s="244"/>
      <c r="AE740" s="244"/>
      <c r="AF740" s="244"/>
      <c r="AG740" s="244"/>
      <c r="AH740" s="244"/>
      <c r="AI740" s="244"/>
      <c r="AJ740" s="244"/>
      <c r="AK740" s="244"/>
      <c r="AL740" s="244"/>
      <c r="AM740" s="244"/>
      <c r="AN740" s="244"/>
      <c r="AO740" s="244"/>
    </row>
    <row r="741" ht="14.2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4"/>
      <c r="M741" s="244"/>
      <c r="N741" s="348"/>
      <c r="O741" s="244"/>
      <c r="P741" s="244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  <c r="AD741" s="244"/>
      <c r="AE741" s="244"/>
      <c r="AF741" s="244"/>
      <c r="AG741" s="244"/>
      <c r="AH741" s="244"/>
      <c r="AI741" s="244"/>
      <c r="AJ741" s="244"/>
      <c r="AK741" s="244"/>
      <c r="AL741" s="244"/>
      <c r="AM741" s="244"/>
      <c r="AN741" s="244"/>
      <c r="AO741" s="244"/>
    </row>
    <row r="742" ht="14.2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4"/>
      <c r="M742" s="244"/>
      <c r="N742" s="348"/>
      <c r="O742" s="244"/>
      <c r="P742" s="244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  <c r="AD742" s="244"/>
      <c r="AE742" s="244"/>
      <c r="AF742" s="244"/>
      <c r="AG742" s="244"/>
      <c r="AH742" s="244"/>
      <c r="AI742" s="244"/>
      <c r="AJ742" s="244"/>
      <c r="AK742" s="244"/>
      <c r="AL742" s="244"/>
      <c r="AM742" s="244"/>
      <c r="AN742" s="244"/>
      <c r="AO742" s="244"/>
    </row>
    <row r="743" ht="14.2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4"/>
      <c r="M743" s="244"/>
      <c r="N743" s="348"/>
      <c r="O743" s="244"/>
      <c r="P743" s="244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  <c r="AD743" s="244"/>
      <c r="AE743" s="244"/>
      <c r="AF743" s="244"/>
      <c r="AG743" s="244"/>
      <c r="AH743" s="244"/>
      <c r="AI743" s="244"/>
      <c r="AJ743" s="244"/>
      <c r="AK743" s="244"/>
      <c r="AL743" s="244"/>
      <c r="AM743" s="244"/>
      <c r="AN743" s="244"/>
      <c r="AO743" s="244"/>
    </row>
    <row r="744" ht="14.2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4"/>
      <c r="M744" s="244"/>
      <c r="N744" s="348"/>
      <c r="O744" s="244"/>
      <c r="P744" s="244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  <c r="AD744" s="244"/>
      <c r="AE744" s="244"/>
      <c r="AF744" s="244"/>
      <c r="AG744" s="244"/>
      <c r="AH744" s="244"/>
      <c r="AI744" s="244"/>
      <c r="AJ744" s="244"/>
      <c r="AK744" s="244"/>
      <c r="AL744" s="244"/>
      <c r="AM744" s="244"/>
      <c r="AN744" s="244"/>
      <c r="AO744" s="244"/>
    </row>
    <row r="745" ht="14.2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4"/>
      <c r="M745" s="244"/>
      <c r="N745" s="348"/>
      <c r="O745" s="244"/>
      <c r="P745" s="244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  <c r="AD745" s="244"/>
      <c r="AE745" s="244"/>
      <c r="AF745" s="244"/>
      <c r="AG745" s="244"/>
      <c r="AH745" s="244"/>
      <c r="AI745" s="244"/>
      <c r="AJ745" s="244"/>
      <c r="AK745" s="244"/>
      <c r="AL745" s="244"/>
      <c r="AM745" s="244"/>
      <c r="AN745" s="244"/>
      <c r="AO745" s="244"/>
    </row>
    <row r="746" ht="14.2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4"/>
      <c r="M746" s="244"/>
      <c r="N746" s="348"/>
      <c r="O746" s="244"/>
      <c r="P746" s="244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  <c r="AD746" s="244"/>
      <c r="AE746" s="244"/>
      <c r="AF746" s="244"/>
      <c r="AG746" s="244"/>
      <c r="AH746" s="244"/>
      <c r="AI746" s="244"/>
      <c r="AJ746" s="244"/>
      <c r="AK746" s="244"/>
      <c r="AL746" s="244"/>
      <c r="AM746" s="244"/>
      <c r="AN746" s="244"/>
      <c r="AO746" s="244"/>
    </row>
    <row r="747" ht="14.2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4"/>
      <c r="M747" s="244"/>
      <c r="N747" s="348"/>
      <c r="O747" s="244"/>
      <c r="P747" s="244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  <c r="AD747" s="244"/>
      <c r="AE747" s="244"/>
      <c r="AF747" s="244"/>
      <c r="AG747" s="244"/>
      <c r="AH747" s="244"/>
      <c r="AI747" s="244"/>
      <c r="AJ747" s="244"/>
      <c r="AK747" s="244"/>
      <c r="AL747" s="244"/>
      <c r="AM747" s="244"/>
      <c r="AN747" s="244"/>
      <c r="AO747" s="244"/>
    </row>
    <row r="748" ht="14.2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4"/>
      <c r="M748" s="244"/>
      <c r="N748" s="348"/>
      <c r="O748" s="244"/>
      <c r="P748" s="244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  <c r="AD748" s="244"/>
      <c r="AE748" s="244"/>
      <c r="AF748" s="244"/>
      <c r="AG748" s="244"/>
      <c r="AH748" s="244"/>
      <c r="AI748" s="244"/>
      <c r="AJ748" s="244"/>
      <c r="AK748" s="244"/>
      <c r="AL748" s="244"/>
      <c r="AM748" s="244"/>
      <c r="AN748" s="244"/>
      <c r="AO748" s="244"/>
    </row>
    <row r="749" ht="14.2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4"/>
      <c r="M749" s="244"/>
      <c r="N749" s="348"/>
      <c r="O749" s="244"/>
      <c r="P749" s="244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  <c r="AD749" s="244"/>
      <c r="AE749" s="244"/>
      <c r="AF749" s="244"/>
      <c r="AG749" s="244"/>
      <c r="AH749" s="244"/>
      <c r="AI749" s="244"/>
      <c r="AJ749" s="244"/>
      <c r="AK749" s="244"/>
      <c r="AL749" s="244"/>
      <c r="AM749" s="244"/>
      <c r="AN749" s="244"/>
      <c r="AO749" s="244"/>
    </row>
    <row r="750" ht="14.2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4"/>
      <c r="M750" s="244"/>
      <c r="N750" s="348"/>
      <c r="O750" s="244"/>
      <c r="P750" s="244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  <c r="AD750" s="244"/>
      <c r="AE750" s="244"/>
      <c r="AF750" s="244"/>
      <c r="AG750" s="244"/>
      <c r="AH750" s="244"/>
      <c r="AI750" s="244"/>
      <c r="AJ750" s="244"/>
      <c r="AK750" s="244"/>
      <c r="AL750" s="244"/>
      <c r="AM750" s="244"/>
      <c r="AN750" s="244"/>
      <c r="AO750" s="244"/>
    </row>
    <row r="751" ht="14.2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4"/>
      <c r="M751" s="244"/>
      <c r="N751" s="348"/>
      <c r="O751" s="244"/>
      <c r="P751" s="244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  <c r="AD751" s="244"/>
      <c r="AE751" s="244"/>
      <c r="AF751" s="244"/>
      <c r="AG751" s="244"/>
      <c r="AH751" s="244"/>
      <c r="AI751" s="244"/>
      <c r="AJ751" s="244"/>
      <c r="AK751" s="244"/>
      <c r="AL751" s="244"/>
      <c r="AM751" s="244"/>
      <c r="AN751" s="244"/>
      <c r="AO751" s="244"/>
    </row>
    <row r="752" ht="14.2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4"/>
      <c r="M752" s="244"/>
      <c r="N752" s="348"/>
      <c r="O752" s="244"/>
      <c r="P752" s="244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  <c r="AD752" s="244"/>
      <c r="AE752" s="244"/>
      <c r="AF752" s="244"/>
      <c r="AG752" s="244"/>
      <c r="AH752" s="244"/>
      <c r="AI752" s="244"/>
      <c r="AJ752" s="244"/>
      <c r="AK752" s="244"/>
      <c r="AL752" s="244"/>
      <c r="AM752" s="244"/>
      <c r="AN752" s="244"/>
      <c r="AO752" s="244"/>
    </row>
    <row r="753" ht="14.2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4"/>
      <c r="M753" s="244"/>
      <c r="N753" s="348"/>
      <c r="O753" s="244"/>
      <c r="P753" s="244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  <c r="AD753" s="244"/>
      <c r="AE753" s="244"/>
      <c r="AF753" s="244"/>
      <c r="AG753" s="244"/>
      <c r="AH753" s="244"/>
      <c r="AI753" s="244"/>
      <c r="AJ753" s="244"/>
      <c r="AK753" s="244"/>
      <c r="AL753" s="244"/>
      <c r="AM753" s="244"/>
      <c r="AN753" s="244"/>
      <c r="AO753" s="244"/>
    </row>
    <row r="754" ht="14.2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4"/>
      <c r="M754" s="244"/>
      <c r="N754" s="348"/>
      <c r="O754" s="244"/>
      <c r="P754" s="244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  <c r="AD754" s="244"/>
      <c r="AE754" s="244"/>
      <c r="AF754" s="244"/>
      <c r="AG754" s="244"/>
      <c r="AH754" s="244"/>
      <c r="AI754" s="244"/>
      <c r="AJ754" s="244"/>
      <c r="AK754" s="244"/>
      <c r="AL754" s="244"/>
      <c r="AM754" s="244"/>
      <c r="AN754" s="244"/>
      <c r="AO754" s="244"/>
    </row>
    <row r="755" ht="14.2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4"/>
      <c r="M755" s="244"/>
      <c r="N755" s="348"/>
      <c r="O755" s="244"/>
      <c r="P755" s="244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  <c r="AD755" s="244"/>
      <c r="AE755" s="244"/>
      <c r="AF755" s="244"/>
      <c r="AG755" s="244"/>
      <c r="AH755" s="244"/>
      <c r="AI755" s="244"/>
      <c r="AJ755" s="244"/>
      <c r="AK755" s="244"/>
      <c r="AL755" s="244"/>
      <c r="AM755" s="244"/>
      <c r="AN755" s="244"/>
      <c r="AO755" s="244"/>
    </row>
    <row r="756" ht="14.2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4"/>
      <c r="M756" s="244"/>
      <c r="N756" s="348"/>
      <c r="O756" s="244"/>
      <c r="P756" s="244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  <c r="AD756" s="244"/>
      <c r="AE756" s="244"/>
      <c r="AF756" s="244"/>
      <c r="AG756" s="244"/>
      <c r="AH756" s="244"/>
      <c r="AI756" s="244"/>
      <c r="AJ756" s="244"/>
      <c r="AK756" s="244"/>
      <c r="AL756" s="244"/>
      <c r="AM756" s="244"/>
      <c r="AN756" s="244"/>
      <c r="AO756" s="244"/>
    </row>
    <row r="757" ht="14.2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4"/>
      <c r="M757" s="244"/>
      <c r="N757" s="348"/>
      <c r="O757" s="244"/>
      <c r="P757" s="244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  <c r="AD757" s="244"/>
      <c r="AE757" s="244"/>
      <c r="AF757" s="244"/>
      <c r="AG757" s="244"/>
      <c r="AH757" s="244"/>
      <c r="AI757" s="244"/>
      <c r="AJ757" s="244"/>
      <c r="AK757" s="244"/>
      <c r="AL757" s="244"/>
      <c r="AM757" s="244"/>
      <c r="AN757" s="244"/>
      <c r="AO757" s="244"/>
    </row>
    <row r="758" ht="14.2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4"/>
      <c r="M758" s="244"/>
      <c r="N758" s="348"/>
      <c r="O758" s="244"/>
      <c r="P758" s="244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  <c r="AD758" s="244"/>
      <c r="AE758" s="244"/>
      <c r="AF758" s="244"/>
      <c r="AG758" s="244"/>
      <c r="AH758" s="244"/>
      <c r="AI758" s="244"/>
      <c r="AJ758" s="244"/>
      <c r="AK758" s="244"/>
      <c r="AL758" s="244"/>
      <c r="AM758" s="244"/>
      <c r="AN758" s="244"/>
      <c r="AO758" s="244"/>
    </row>
    <row r="759" ht="14.2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4"/>
      <c r="M759" s="244"/>
      <c r="N759" s="348"/>
      <c r="O759" s="244"/>
      <c r="P759" s="244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  <c r="AD759" s="244"/>
      <c r="AE759" s="244"/>
      <c r="AF759" s="244"/>
      <c r="AG759" s="244"/>
      <c r="AH759" s="244"/>
      <c r="AI759" s="244"/>
      <c r="AJ759" s="244"/>
      <c r="AK759" s="244"/>
      <c r="AL759" s="244"/>
      <c r="AM759" s="244"/>
      <c r="AN759" s="244"/>
      <c r="AO759" s="244"/>
    </row>
    <row r="760" ht="14.2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4"/>
      <c r="M760" s="244"/>
      <c r="N760" s="348"/>
      <c r="O760" s="244"/>
      <c r="P760" s="244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  <c r="AD760" s="244"/>
      <c r="AE760" s="244"/>
      <c r="AF760" s="244"/>
      <c r="AG760" s="244"/>
      <c r="AH760" s="244"/>
      <c r="AI760" s="244"/>
      <c r="AJ760" s="244"/>
      <c r="AK760" s="244"/>
      <c r="AL760" s="244"/>
      <c r="AM760" s="244"/>
      <c r="AN760" s="244"/>
      <c r="AO760" s="244"/>
    </row>
    <row r="761" ht="14.2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4"/>
      <c r="M761" s="244"/>
      <c r="N761" s="348"/>
      <c r="O761" s="244"/>
      <c r="P761" s="244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  <c r="AD761" s="244"/>
      <c r="AE761" s="244"/>
      <c r="AF761" s="244"/>
      <c r="AG761" s="244"/>
      <c r="AH761" s="244"/>
      <c r="AI761" s="244"/>
      <c r="AJ761" s="244"/>
      <c r="AK761" s="244"/>
      <c r="AL761" s="244"/>
      <c r="AM761" s="244"/>
      <c r="AN761" s="244"/>
      <c r="AO761" s="244"/>
    </row>
    <row r="762" ht="14.2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4"/>
      <c r="M762" s="244"/>
      <c r="N762" s="348"/>
      <c r="O762" s="244"/>
      <c r="P762" s="244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  <c r="AD762" s="244"/>
      <c r="AE762" s="244"/>
      <c r="AF762" s="244"/>
      <c r="AG762" s="244"/>
      <c r="AH762" s="244"/>
      <c r="AI762" s="244"/>
      <c r="AJ762" s="244"/>
      <c r="AK762" s="244"/>
      <c r="AL762" s="244"/>
      <c r="AM762" s="244"/>
      <c r="AN762" s="244"/>
      <c r="AO762" s="244"/>
    </row>
    <row r="763" ht="14.2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4"/>
      <c r="M763" s="244"/>
      <c r="N763" s="348"/>
      <c r="O763" s="244"/>
      <c r="P763" s="244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  <c r="AD763" s="244"/>
      <c r="AE763" s="244"/>
      <c r="AF763" s="244"/>
      <c r="AG763" s="244"/>
      <c r="AH763" s="244"/>
      <c r="AI763" s="244"/>
      <c r="AJ763" s="244"/>
      <c r="AK763" s="244"/>
      <c r="AL763" s="244"/>
      <c r="AM763" s="244"/>
      <c r="AN763" s="244"/>
      <c r="AO763" s="244"/>
    </row>
    <row r="764" ht="14.2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4"/>
      <c r="M764" s="244"/>
      <c r="N764" s="348"/>
      <c r="O764" s="244"/>
      <c r="P764" s="244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  <c r="AD764" s="244"/>
      <c r="AE764" s="244"/>
      <c r="AF764" s="244"/>
      <c r="AG764" s="244"/>
      <c r="AH764" s="244"/>
      <c r="AI764" s="244"/>
      <c r="AJ764" s="244"/>
      <c r="AK764" s="244"/>
      <c r="AL764" s="244"/>
      <c r="AM764" s="244"/>
      <c r="AN764" s="244"/>
      <c r="AO764" s="244"/>
    </row>
    <row r="765" ht="14.2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4"/>
      <c r="M765" s="244"/>
      <c r="N765" s="348"/>
      <c r="O765" s="244"/>
      <c r="P765" s="244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  <c r="AD765" s="244"/>
      <c r="AE765" s="244"/>
      <c r="AF765" s="244"/>
      <c r="AG765" s="244"/>
      <c r="AH765" s="244"/>
      <c r="AI765" s="244"/>
      <c r="AJ765" s="244"/>
      <c r="AK765" s="244"/>
      <c r="AL765" s="244"/>
      <c r="AM765" s="244"/>
      <c r="AN765" s="244"/>
      <c r="AO765" s="244"/>
    </row>
    <row r="766" ht="14.2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4"/>
      <c r="M766" s="244"/>
      <c r="N766" s="348"/>
      <c r="O766" s="244"/>
      <c r="P766" s="244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  <c r="AD766" s="244"/>
      <c r="AE766" s="244"/>
      <c r="AF766" s="244"/>
      <c r="AG766" s="244"/>
      <c r="AH766" s="244"/>
      <c r="AI766" s="244"/>
      <c r="AJ766" s="244"/>
      <c r="AK766" s="244"/>
      <c r="AL766" s="244"/>
      <c r="AM766" s="244"/>
      <c r="AN766" s="244"/>
      <c r="AO766" s="244"/>
    </row>
    <row r="767" ht="14.2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4"/>
      <c r="M767" s="244"/>
      <c r="N767" s="348"/>
      <c r="O767" s="244"/>
      <c r="P767" s="244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4"/>
      <c r="AM767" s="244"/>
      <c r="AN767" s="244"/>
      <c r="AO767" s="244"/>
    </row>
    <row r="768" ht="14.2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4"/>
      <c r="M768" s="244"/>
      <c r="N768" s="348"/>
      <c r="O768" s="244"/>
      <c r="P768" s="244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4"/>
      <c r="AM768" s="244"/>
      <c r="AN768" s="244"/>
      <c r="AO768" s="244"/>
    </row>
    <row r="769" ht="14.2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4"/>
      <c r="M769" s="244"/>
      <c r="N769" s="348"/>
      <c r="O769" s="244"/>
      <c r="P769" s="244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4"/>
      <c r="AM769" s="244"/>
      <c r="AN769" s="244"/>
      <c r="AO769" s="244"/>
    </row>
    <row r="770" ht="14.2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4"/>
      <c r="M770" s="244"/>
      <c r="N770" s="348"/>
      <c r="O770" s="244"/>
      <c r="P770" s="244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4"/>
      <c r="AM770" s="244"/>
      <c r="AN770" s="244"/>
      <c r="AO770" s="244"/>
    </row>
    <row r="771" ht="14.2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4"/>
      <c r="M771" s="244"/>
      <c r="N771" s="348"/>
      <c r="O771" s="244"/>
      <c r="P771" s="244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4"/>
      <c r="AM771" s="244"/>
      <c r="AN771" s="244"/>
      <c r="AO771" s="244"/>
    </row>
    <row r="772" ht="14.2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4"/>
      <c r="M772" s="244"/>
      <c r="N772" s="348"/>
      <c r="O772" s="244"/>
      <c r="P772" s="244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4"/>
      <c r="AM772" s="244"/>
      <c r="AN772" s="244"/>
      <c r="AO772" s="244"/>
    </row>
    <row r="773" ht="14.2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4"/>
      <c r="M773" s="244"/>
      <c r="N773" s="348"/>
      <c r="O773" s="244"/>
      <c r="P773" s="244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4"/>
      <c r="AM773" s="244"/>
      <c r="AN773" s="244"/>
      <c r="AO773" s="244"/>
    </row>
    <row r="774" ht="14.2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4"/>
      <c r="M774" s="244"/>
      <c r="N774" s="348"/>
      <c r="O774" s="244"/>
      <c r="P774" s="244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4"/>
      <c r="AM774" s="244"/>
      <c r="AN774" s="244"/>
      <c r="AO774" s="244"/>
    </row>
    <row r="775" ht="14.2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4"/>
      <c r="M775" s="244"/>
      <c r="N775" s="348"/>
      <c r="O775" s="244"/>
      <c r="P775" s="244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4"/>
      <c r="AM775" s="244"/>
      <c r="AN775" s="244"/>
      <c r="AO775" s="244"/>
    </row>
    <row r="776" ht="14.2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4"/>
      <c r="M776" s="244"/>
      <c r="N776" s="348"/>
      <c r="O776" s="244"/>
      <c r="P776" s="244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  <c r="AD776" s="244"/>
      <c r="AE776" s="244"/>
      <c r="AF776" s="244"/>
      <c r="AG776" s="244"/>
      <c r="AH776" s="244"/>
      <c r="AI776" s="244"/>
      <c r="AJ776" s="244"/>
      <c r="AK776" s="244"/>
      <c r="AL776" s="244"/>
      <c r="AM776" s="244"/>
      <c r="AN776" s="244"/>
      <c r="AO776" s="244"/>
    </row>
    <row r="777" ht="14.2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4"/>
      <c r="M777" s="244"/>
      <c r="N777" s="348"/>
      <c r="O777" s="244"/>
      <c r="P777" s="244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4"/>
      <c r="AM777" s="244"/>
      <c r="AN777" s="244"/>
      <c r="AO777" s="244"/>
    </row>
    <row r="778" ht="14.2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4"/>
      <c r="M778" s="244"/>
      <c r="N778" s="348"/>
      <c r="O778" s="244"/>
      <c r="P778" s="244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4"/>
      <c r="AM778" s="244"/>
      <c r="AN778" s="244"/>
      <c r="AO778" s="244"/>
    </row>
    <row r="779" ht="14.2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4"/>
      <c r="M779" s="244"/>
      <c r="N779" s="348"/>
      <c r="O779" s="244"/>
      <c r="P779" s="244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  <c r="AO779" s="244"/>
    </row>
    <row r="780" ht="14.2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4"/>
      <c r="M780" s="244"/>
      <c r="N780" s="348"/>
      <c r="O780" s="244"/>
      <c r="P780" s="244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4"/>
      <c r="AM780" s="244"/>
      <c r="AN780" s="244"/>
      <c r="AO780" s="244"/>
    </row>
    <row r="781" ht="14.2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4"/>
      <c r="M781" s="244"/>
      <c r="N781" s="348"/>
      <c r="O781" s="244"/>
      <c r="P781" s="244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4"/>
      <c r="AM781" s="244"/>
      <c r="AN781" s="244"/>
      <c r="AO781" s="244"/>
    </row>
    <row r="782" ht="14.2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4"/>
      <c r="M782" s="244"/>
      <c r="N782" s="348"/>
      <c r="O782" s="244"/>
      <c r="P782" s="244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4"/>
      <c r="AM782" s="244"/>
      <c r="AN782" s="244"/>
      <c r="AO782" s="244"/>
    </row>
    <row r="783" ht="14.2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4"/>
      <c r="M783" s="244"/>
      <c r="N783" s="348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  <c r="AD783" s="244"/>
      <c r="AE783" s="244"/>
      <c r="AF783" s="244"/>
      <c r="AG783" s="244"/>
      <c r="AH783" s="244"/>
      <c r="AI783" s="244"/>
      <c r="AJ783" s="244"/>
      <c r="AK783" s="244"/>
      <c r="AL783" s="244"/>
      <c r="AM783" s="244"/>
      <c r="AN783" s="244"/>
      <c r="AO783" s="244"/>
    </row>
    <row r="784" ht="14.2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4"/>
      <c r="M784" s="244"/>
      <c r="N784" s="348"/>
      <c r="O784" s="244"/>
      <c r="P784" s="244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  <c r="AD784" s="244"/>
      <c r="AE784" s="244"/>
      <c r="AF784" s="244"/>
      <c r="AG784" s="244"/>
      <c r="AH784" s="244"/>
      <c r="AI784" s="244"/>
      <c r="AJ784" s="244"/>
      <c r="AK784" s="244"/>
      <c r="AL784" s="244"/>
      <c r="AM784" s="244"/>
      <c r="AN784" s="244"/>
      <c r="AO784" s="244"/>
    </row>
    <row r="785" ht="14.2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4"/>
      <c r="M785" s="244"/>
      <c r="N785" s="348"/>
      <c r="O785" s="244"/>
      <c r="P785" s="244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  <c r="AD785" s="244"/>
      <c r="AE785" s="244"/>
      <c r="AF785" s="244"/>
      <c r="AG785" s="244"/>
      <c r="AH785" s="244"/>
      <c r="AI785" s="244"/>
      <c r="AJ785" s="244"/>
      <c r="AK785" s="244"/>
      <c r="AL785" s="244"/>
      <c r="AM785" s="244"/>
      <c r="AN785" s="244"/>
      <c r="AO785" s="244"/>
    </row>
    <row r="786" ht="14.2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4"/>
      <c r="M786" s="244"/>
      <c r="N786" s="348"/>
      <c r="O786" s="244"/>
      <c r="P786" s="244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  <c r="AD786" s="244"/>
      <c r="AE786" s="244"/>
      <c r="AF786" s="244"/>
      <c r="AG786" s="244"/>
      <c r="AH786" s="244"/>
      <c r="AI786" s="244"/>
      <c r="AJ786" s="244"/>
      <c r="AK786" s="244"/>
      <c r="AL786" s="244"/>
      <c r="AM786" s="244"/>
      <c r="AN786" s="244"/>
      <c r="AO786" s="244"/>
    </row>
    <row r="787" ht="14.2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4"/>
      <c r="M787" s="244"/>
      <c r="N787" s="348"/>
      <c r="O787" s="244"/>
      <c r="P787" s="244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4"/>
      <c r="AM787" s="244"/>
      <c r="AN787" s="244"/>
      <c r="AO787" s="244"/>
    </row>
    <row r="788" ht="14.2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4"/>
      <c r="M788" s="244"/>
      <c r="N788" s="348"/>
      <c r="O788" s="244"/>
      <c r="P788" s="244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4"/>
      <c r="AM788" s="244"/>
      <c r="AN788" s="244"/>
      <c r="AO788" s="244"/>
    </row>
    <row r="789" ht="14.2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4"/>
      <c r="M789" s="244"/>
      <c r="N789" s="348"/>
      <c r="O789" s="244"/>
      <c r="P789" s="244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4"/>
      <c r="AM789" s="244"/>
      <c r="AN789" s="244"/>
      <c r="AO789" s="244"/>
    </row>
    <row r="790" ht="14.2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4"/>
      <c r="M790" s="244"/>
      <c r="N790" s="348"/>
      <c r="O790" s="244"/>
      <c r="P790" s="244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4"/>
      <c r="AM790" s="244"/>
      <c r="AN790" s="244"/>
      <c r="AO790" s="244"/>
    </row>
    <row r="791" ht="14.2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4"/>
      <c r="M791" s="244"/>
      <c r="N791" s="348"/>
      <c r="O791" s="244"/>
      <c r="P791" s="244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  <c r="AD791" s="244"/>
      <c r="AE791" s="244"/>
      <c r="AF791" s="244"/>
      <c r="AG791" s="244"/>
      <c r="AH791" s="244"/>
      <c r="AI791" s="244"/>
      <c r="AJ791" s="244"/>
      <c r="AK791" s="244"/>
      <c r="AL791" s="244"/>
      <c r="AM791" s="244"/>
      <c r="AN791" s="244"/>
      <c r="AO791" s="244"/>
    </row>
    <row r="792" ht="14.2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4"/>
      <c r="M792" s="244"/>
      <c r="N792" s="348"/>
      <c r="O792" s="244"/>
      <c r="P792" s="244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  <c r="AD792" s="244"/>
      <c r="AE792" s="244"/>
      <c r="AF792" s="244"/>
      <c r="AG792" s="244"/>
      <c r="AH792" s="244"/>
      <c r="AI792" s="244"/>
      <c r="AJ792" s="244"/>
      <c r="AK792" s="244"/>
      <c r="AL792" s="244"/>
      <c r="AM792" s="244"/>
      <c r="AN792" s="244"/>
      <c r="AO792" s="244"/>
    </row>
    <row r="793" ht="14.2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4"/>
      <c r="M793" s="244"/>
      <c r="N793" s="348"/>
      <c r="O793" s="244"/>
      <c r="P793" s="244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  <c r="AD793" s="244"/>
      <c r="AE793" s="244"/>
      <c r="AF793" s="244"/>
      <c r="AG793" s="244"/>
      <c r="AH793" s="244"/>
      <c r="AI793" s="244"/>
      <c r="AJ793" s="244"/>
      <c r="AK793" s="244"/>
      <c r="AL793" s="244"/>
      <c r="AM793" s="244"/>
      <c r="AN793" s="244"/>
      <c r="AO793" s="244"/>
    </row>
    <row r="794" ht="14.2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4"/>
      <c r="M794" s="244"/>
      <c r="N794" s="348"/>
      <c r="O794" s="244"/>
      <c r="P794" s="244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  <c r="AD794" s="244"/>
      <c r="AE794" s="244"/>
      <c r="AF794" s="244"/>
      <c r="AG794" s="244"/>
      <c r="AH794" s="244"/>
      <c r="AI794" s="244"/>
      <c r="AJ794" s="244"/>
      <c r="AK794" s="244"/>
      <c r="AL794" s="244"/>
      <c r="AM794" s="244"/>
      <c r="AN794" s="244"/>
      <c r="AO794" s="244"/>
    </row>
    <row r="795" ht="14.2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4"/>
      <c r="M795" s="244"/>
      <c r="N795" s="348"/>
      <c r="O795" s="244"/>
      <c r="P795" s="244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  <c r="AD795" s="244"/>
      <c r="AE795" s="244"/>
      <c r="AF795" s="244"/>
      <c r="AG795" s="244"/>
      <c r="AH795" s="244"/>
      <c r="AI795" s="244"/>
      <c r="AJ795" s="244"/>
      <c r="AK795" s="244"/>
      <c r="AL795" s="244"/>
      <c r="AM795" s="244"/>
      <c r="AN795" s="244"/>
      <c r="AO795" s="244"/>
    </row>
    <row r="796" ht="14.2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4"/>
      <c r="M796" s="244"/>
      <c r="N796" s="348"/>
      <c r="O796" s="244"/>
      <c r="P796" s="244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  <c r="AD796" s="244"/>
      <c r="AE796" s="244"/>
      <c r="AF796" s="244"/>
      <c r="AG796" s="244"/>
      <c r="AH796" s="244"/>
      <c r="AI796" s="244"/>
      <c r="AJ796" s="244"/>
      <c r="AK796" s="244"/>
      <c r="AL796" s="244"/>
      <c r="AM796" s="244"/>
      <c r="AN796" s="244"/>
      <c r="AO796" s="244"/>
    </row>
    <row r="797" ht="14.2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4"/>
      <c r="M797" s="244"/>
      <c r="N797" s="348"/>
      <c r="O797" s="244"/>
      <c r="P797" s="244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  <c r="AD797" s="244"/>
      <c r="AE797" s="244"/>
      <c r="AF797" s="244"/>
      <c r="AG797" s="244"/>
      <c r="AH797" s="244"/>
      <c r="AI797" s="244"/>
      <c r="AJ797" s="244"/>
      <c r="AK797" s="244"/>
      <c r="AL797" s="244"/>
      <c r="AM797" s="244"/>
      <c r="AN797" s="244"/>
      <c r="AO797" s="244"/>
    </row>
    <row r="798" ht="14.2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4"/>
      <c r="M798" s="244"/>
      <c r="N798" s="348"/>
      <c r="O798" s="244"/>
      <c r="P798" s="244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  <c r="AD798" s="244"/>
      <c r="AE798" s="244"/>
      <c r="AF798" s="244"/>
      <c r="AG798" s="244"/>
      <c r="AH798" s="244"/>
      <c r="AI798" s="244"/>
      <c r="AJ798" s="244"/>
      <c r="AK798" s="244"/>
      <c r="AL798" s="244"/>
      <c r="AM798" s="244"/>
      <c r="AN798" s="244"/>
      <c r="AO798" s="244"/>
    </row>
    <row r="799" ht="14.2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4"/>
      <c r="M799" s="244"/>
      <c r="N799" s="348"/>
      <c r="O799" s="244"/>
      <c r="P799" s="244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  <c r="AD799" s="244"/>
      <c r="AE799" s="244"/>
      <c r="AF799" s="244"/>
      <c r="AG799" s="244"/>
      <c r="AH799" s="244"/>
      <c r="AI799" s="244"/>
      <c r="AJ799" s="244"/>
      <c r="AK799" s="244"/>
      <c r="AL799" s="244"/>
      <c r="AM799" s="244"/>
      <c r="AN799" s="244"/>
      <c r="AO799" s="244"/>
    </row>
    <row r="800" ht="14.2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4"/>
      <c r="M800" s="244"/>
      <c r="N800" s="348"/>
      <c r="O800" s="244"/>
      <c r="P800" s="244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  <c r="AD800" s="244"/>
      <c r="AE800" s="244"/>
      <c r="AF800" s="244"/>
      <c r="AG800" s="244"/>
      <c r="AH800" s="244"/>
      <c r="AI800" s="244"/>
      <c r="AJ800" s="244"/>
      <c r="AK800" s="244"/>
      <c r="AL800" s="244"/>
      <c r="AM800" s="244"/>
      <c r="AN800" s="244"/>
      <c r="AO800" s="244"/>
    </row>
    <row r="801" ht="14.2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4"/>
      <c r="M801" s="244"/>
      <c r="N801" s="348"/>
      <c r="O801" s="244"/>
      <c r="P801" s="244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  <c r="AD801" s="244"/>
      <c r="AE801" s="244"/>
      <c r="AF801" s="244"/>
      <c r="AG801" s="244"/>
      <c r="AH801" s="244"/>
      <c r="AI801" s="244"/>
      <c r="AJ801" s="244"/>
      <c r="AK801" s="244"/>
      <c r="AL801" s="244"/>
      <c r="AM801" s="244"/>
      <c r="AN801" s="244"/>
      <c r="AO801" s="244"/>
    </row>
    <row r="802" ht="14.2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4"/>
      <c r="M802" s="244"/>
      <c r="N802" s="348"/>
      <c r="O802" s="244"/>
      <c r="P802" s="244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  <c r="AD802" s="244"/>
      <c r="AE802" s="244"/>
      <c r="AF802" s="244"/>
      <c r="AG802" s="244"/>
      <c r="AH802" s="244"/>
      <c r="AI802" s="244"/>
      <c r="AJ802" s="244"/>
      <c r="AK802" s="244"/>
      <c r="AL802" s="244"/>
      <c r="AM802" s="244"/>
      <c r="AN802" s="244"/>
      <c r="AO802" s="244"/>
    </row>
    <row r="803" ht="14.2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4"/>
      <c r="M803" s="244"/>
      <c r="N803" s="348"/>
      <c r="O803" s="244"/>
      <c r="P803" s="244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  <c r="AD803" s="244"/>
      <c r="AE803" s="244"/>
      <c r="AF803" s="244"/>
      <c r="AG803" s="244"/>
      <c r="AH803" s="244"/>
      <c r="AI803" s="244"/>
      <c r="AJ803" s="244"/>
      <c r="AK803" s="244"/>
      <c r="AL803" s="244"/>
      <c r="AM803" s="244"/>
      <c r="AN803" s="244"/>
      <c r="AO803" s="244"/>
    </row>
    <row r="804" ht="14.2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4"/>
      <c r="M804" s="244"/>
      <c r="N804" s="348"/>
      <c r="O804" s="244"/>
      <c r="P804" s="244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  <c r="AD804" s="244"/>
      <c r="AE804" s="244"/>
      <c r="AF804" s="244"/>
      <c r="AG804" s="244"/>
      <c r="AH804" s="244"/>
      <c r="AI804" s="244"/>
      <c r="AJ804" s="244"/>
      <c r="AK804" s="244"/>
      <c r="AL804" s="244"/>
      <c r="AM804" s="244"/>
      <c r="AN804" s="244"/>
      <c r="AO804" s="244"/>
    </row>
    <row r="805" ht="14.2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4"/>
      <c r="M805" s="244"/>
      <c r="N805" s="348"/>
      <c r="O805" s="244"/>
      <c r="P805" s="244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  <c r="AD805" s="244"/>
      <c r="AE805" s="244"/>
      <c r="AF805" s="244"/>
      <c r="AG805" s="244"/>
      <c r="AH805" s="244"/>
      <c r="AI805" s="244"/>
      <c r="AJ805" s="244"/>
      <c r="AK805" s="244"/>
      <c r="AL805" s="244"/>
      <c r="AM805" s="244"/>
      <c r="AN805" s="244"/>
      <c r="AO805" s="244"/>
    </row>
    <row r="806" ht="14.2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4"/>
      <c r="M806" s="244"/>
      <c r="N806" s="348"/>
      <c r="O806" s="244"/>
      <c r="P806" s="244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  <c r="AD806" s="244"/>
      <c r="AE806" s="244"/>
      <c r="AF806" s="244"/>
      <c r="AG806" s="244"/>
      <c r="AH806" s="244"/>
      <c r="AI806" s="244"/>
      <c r="AJ806" s="244"/>
      <c r="AK806" s="244"/>
      <c r="AL806" s="244"/>
      <c r="AM806" s="244"/>
      <c r="AN806" s="244"/>
      <c r="AO806" s="244"/>
    </row>
    <row r="807" ht="14.2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4"/>
      <c r="M807" s="244"/>
      <c r="N807" s="348"/>
      <c r="O807" s="244"/>
      <c r="P807" s="244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  <c r="AD807" s="244"/>
      <c r="AE807" s="244"/>
      <c r="AF807" s="244"/>
      <c r="AG807" s="244"/>
      <c r="AH807" s="244"/>
      <c r="AI807" s="244"/>
      <c r="AJ807" s="244"/>
      <c r="AK807" s="244"/>
      <c r="AL807" s="244"/>
      <c r="AM807" s="244"/>
      <c r="AN807" s="244"/>
      <c r="AO807" s="244"/>
    </row>
    <row r="808" ht="14.2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4"/>
      <c r="M808" s="244"/>
      <c r="N808" s="348"/>
      <c r="O808" s="244"/>
      <c r="P808" s="244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  <c r="AD808" s="244"/>
      <c r="AE808" s="244"/>
      <c r="AF808" s="244"/>
      <c r="AG808" s="244"/>
      <c r="AH808" s="244"/>
      <c r="AI808" s="244"/>
      <c r="AJ808" s="244"/>
      <c r="AK808" s="244"/>
      <c r="AL808" s="244"/>
      <c r="AM808" s="244"/>
      <c r="AN808" s="244"/>
      <c r="AO808" s="244"/>
    </row>
    <row r="809" ht="14.2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4"/>
      <c r="M809" s="244"/>
      <c r="N809" s="348"/>
      <c r="O809" s="244"/>
      <c r="P809" s="244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  <c r="AD809" s="244"/>
      <c r="AE809" s="244"/>
      <c r="AF809" s="244"/>
      <c r="AG809" s="244"/>
      <c r="AH809" s="244"/>
      <c r="AI809" s="244"/>
      <c r="AJ809" s="244"/>
      <c r="AK809" s="244"/>
      <c r="AL809" s="244"/>
      <c r="AM809" s="244"/>
      <c r="AN809" s="244"/>
      <c r="AO809" s="244"/>
    </row>
    <row r="810" ht="14.2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4"/>
      <c r="M810" s="244"/>
      <c r="N810" s="348"/>
      <c r="O810" s="244"/>
      <c r="P810" s="244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  <c r="AD810" s="244"/>
      <c r="AE810" s="244"/>
      <c r="AF810" s="244"/>
      <c r="AG810" s="244"/>
      <c r="AH810" s="244"/>
      <c r="AI810" s="244"/>
      <c r="AJ810" s="244"/>
      <c r="AK810" s="244"/>
      <c r="AL810" s="244"/>
      <c r="AM810" s="244"/>
      <c r="AN810" s="244"/>
      <c r="AO810" s="244"/>
    </row>
    <row r="811" ht="14.2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4"/>
      <c r="M811" s="244"/>
      <c r="N811" s="348"/>
      <c r="O811" s="244"/>
      <c r="P811" s="244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  <c r="AD811" s="244"/>
      <c r="AE811" s="244"/>
      <c r="AF811" s="244"/>
      <c r="AG811" s="244"/>
      <c r="AH811" s="244"/>
      <c r="AI811" s="244"/>
      <c r="AJ811" s="244"/>
      <c r="AK811" s="244"/>
      <c r="AL811" s="244"/>
      <c r="AM811" s="244"/>
      <c r="AN811" s="244"/>
      <c r="AO811" s="244"/>
    </row>
    <row r="812" ht="14.2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4"/>
      <c r="M812" s="244"/>
      <c r="N812" s="348"/>
      <c r="O812" s="244"/>
      <c r="P812" s="244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  <c r="AD812" s="244"/>
      <c r="AE812" s="244"/>
      <c r="AF812" s="244"/>
      <c r="AG812" s="244"/>
      <c r="AH812" s="244"/>
      <c r="AI812" s="244"/>
      <c r="AJ812" s="244"/>
      <c r="AK812" s="244"/>
      <c r="AL812" s="244"/>
      <c r="AM812" s="244"/>
      <c r="AN812" s="244"/>
      <c r="AO812" s="244"/>
    </row>
    <row r="813" ht="14.2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4"/>
      <c r="M813" s="244"/>
      <c r="N813" s="348"/>
      <c r="O813" s="244"/>
      <c r="P813" s="244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  <c r="AD813" s="244"/>
      <c r="AE813" s="244"/>
      <c r="AF813" s="244"/>
      <c r="AG813" s="244"/>
      <c r="AH813" s="244"/>
      <c r="AI813" s="244"/>
      <c r="AJ813" s="244"/>
      <c r="AK813" s="244"/>
      <c r="AL813" s="244"/>
      <c r="AM813" s="244"/>
      <c r="AN813" s="244"/>
      <c r="AO813" s="244"/>
    </row>
    <row r="814" ht="14.2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4"/>
      <c r="M814" s="244"/>
      <c r="N814" s="348"/>
      <c r="O814" s="244"/>
      <c r="P814" s="244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  <c r="AD814" s="244"/>
      <c r="AE814" s="244"/>
      <c r="AF814" s="244"/>
      <c r="AG814" s="244"/>
      <c r="AH814" s="244"/>
      <c r="AI814" s="244"/>
      <c r="AJ814" s="244"/>
      <c r="AK814" s="244"/>
      <c r="AL814" s="244"/>
      <c r="AM814" s="244"/>
      <c r="AN814" s="244"/>
      <c r="AO814" s="244"/>
    </row>
    <row r="815" ht="14.2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4"/>
      <c r="M815" s="244"/>
      <c r="N815" s="348"/>
      <c r="O815" s="244"/>
      <c r="P815" s="244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  <c r="AD815" s="244"/>
      <c r="AE815" s="244"/>
      <c r="AF815" s="244"/>
      <c r="AG815" s="244"/>
      <c r="AH815" s="244"/>
      <c r="AI815" s="244"/>
      <c r="AJ815" s="244"/>
      <c r="AK815" s="244"/>
      <c r="AL815" s="244"/>
      <c r="AM815" s="244"/>
      <c r="AN815" s="244"/>
      <c r="AO815" s="244"/>
    </row>
    <row r="816" ht="14.2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4"/>
      <c r="M816" s="244"/>
      <c r="N816" s="348"/>
      <c r="O816" s="244"/>
      <c r="P816" s="244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  <c r="AD816" s="244"/>
      <c r="AE816" s="244"/>
      <c r="AF816" s="244"/>
      <c r="AG816" s="244"/>
      <c r="AH816" s="244"/>
      <c r="AI816" s="244"/>
      <c r="AJ816" s="244"/>
      <c r="AK816" s="244"/>
      <c r="AL816" s="244"/>
      <c r="AM816" s="244"/>
      <c r="AN816" s="244"/>
      <c r="AO816" s="244"/>
    </row>
    <row r="817" ht="14.2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4"/>
      <c r="M817" s="244"/>
      <c r="N817" s="348"/>
      <c r="O817" s="244"/>
      <c r="P817" s="244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  <c r="AD817" s="244"/>
      <c r="AE817" s="244"/>
      <c r="AF817" s="244"/>
      <c r="AG817" s="244"/>
      <c r="AH817" s="244"/>
      <c r="AI817" s="244"/>
      <c r="AJ817" s="244"/>
      <c r="AK817" s="244"/>
      <c r="AL817" s="244"/>
      <c r="AM817" s="244"/>
      <c r="AN817" s="244"/>
      <c r="AO817" s="244"/>
    </row>
    <row r="818" ht="14.2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4"/>
      <c r="M818" s="244"/>
      <c r="N818" s="348"/>
      <c r="O818" s="244"/>
      <c r="P818" s="244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  <c r="AD818" s="244"/>
      <c r="AE818" s="244"/>
      <c r="AF818" s="244"/>
      <c r="AG818" s="244"/>
      <c r="AH818" s="244"/>
      <c r="AI818" s="244"/>
      <c r="AJ818" s="244"/>
      <c r="AK818" s="244"/>
      <c r="AL818" s="244"/>
      <c r="AM818" s="244"/>
      <c r="AN818" s="244"/>
      <c r="AO818" s="244"/>
    </row>
    <row r="819" ht="14.2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4"/>
      <c r="M819" s="244"/>
      <c r="N819" s="348"/>
      <c r="O819" s="244"/>
      <c r="P819" s="244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  <c r="AD819" s="244"/>
      <c r="AE819" s="244"/>
      <c r="AF819" s="244"/>
      <c r="AG819" s="244"/>
      <c r="AH819" s="244"/>
      <c r="AI819" s="244"/>
      <c r="AJ819" s="244"/>
      <c r="AK819" s="244"/>
      <c r="AL819" s="244"/>
      <c r="AM819" s="244"/>
      <c r="AN819" s="244"/>
      <c r="AO819" s="244"/>
    </row>
    <row r="820" ht="14.2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4"/>
      <c r="M820" s="244"/>
      <c r="N820" s="348"/>
      <c r="O820" s="244"/>
      <c r="P820" s="244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  <c r="AD820" s="244"/>
      <c r="AE820" s="244"/>
      <c r="AF820" s="244"/>
      <c r="AG820" s="244"/>
      <c r="AH820" s="244"/>
      <c r="AI820" s="244"/>
      <c r="AJ820" s="244"/>
      <c r="AK820" s="244"/>
      <c r="AL820" s="244"/>
      <c r="AM820" s="244"/>
      <c r="AN820" s="244"/>
      <c r="AO820" s="244"/>
    </row>
    <row r="821" ht="14.2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4"/>
      <c r="M821" s="244"/>
      <c r="N821" s="348"/>
      <c r="O821" s="244"/>
      <c r="P821" s="244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  <c r="AD821" s="244"/>
      <c r="AE821" s="244"/>
      <c r="AF821" s="244"/>
      <c r="AG821" s="244"/>
      <c r="AH821" s="244"/>
      <c r="AI821" s="244"/>
      <c r="AJ821" s="244"/>
      <c r="AK821" s="244"/>
      <c r="AL821" s="244"/>
      <c r="AM821" s="244"/>
      <c r="AN821" s="244"/>
      <c r="AO821" s="244"/>
    </row>
    <row r="822" ht="14.2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4"/>
      <c r="M822" s="244"/>
      <c r="N822" s="348"/>
      <c r="O822" s="244"/>
      <c r="P822" s="244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  <c r="AD822" s="244"/>
      <c r="AE822" s="244"/>
      <c r="AF822" s="244"/>
      <c r="AG822" s="244"/>
      <c r="AH822" s="244"/>
      <c r="AI822" s="244"/>
      <c r="AJ822" s="244"/>
      <c r="AK822" s="244"/>
      <c r="AL822" s="244"/>
      <c r="AM822" s="244"/>
      <c r="AN822" s="244"/>
      <c r="AO822" s="244"/>
    </row>
    <row r="823" ht="14.2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4"/>
      <c r="M823" s="244"/>
      <c r="N823" s="348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  <c r="AD823" s="244"/>
      <c r="AE823" s="244"/>
      <c r="AF823" s="244"/>
      <c r="AG823" s="244"/>
      <c r="AH823" s="244"/>
      <c r="AI823" s="244"/>
      <c r="AJ823" s="244"/>
      <c r="AK823" s="244"/>
      <c r="AL823" s="244"/>
      <c r="AM823" s="244"/>
      <c r="AN823" s="244"/>
      <c r="AO823" s="244"/>
    </row>
    <row r="824" ht="14.2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4"/>
      <c r="M824" s="244"/>
      <c r="N824" s="348"/>
      <c r="O824" s="244"/>
      <c r="P824" s="244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  <c r="AD824" s="244"/>
      <c r="AE824" s="244"/>
      <c r="AF824" s="244"/>
      <c r="AG824" s="244"/>
      <c r="AH824" s="244"/>
      <c r="AI824" s="244"/>
      <c r="AJ824" s="244"/>
      <c r="AK824" s="244"/>
      <c r="AL824" s="244"/>
      <c r="AM824" s="244"/>
      <c r="AN824" s="244"/>
      <c r="AO824" s="244"/>
    </row>
    <row r="825" ht="14.2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4"/>
      <c r="M825" s="244"/>
      <c r="N825" s="348"/>
      <c r="O825" s="244"/>
      <c r="P825" s="244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  <c r="AD825" s="244"/>
      <c r="AE825" s="244"/>
      <c r="AF825" s="244"/>
      <c r="AG825" s="244"/>
      <c r="AH825" s="244"/>
      <c r="AI825" s="244"/>
      <c r="AJ825" s="244"/>
      <c r="AK825" s="244"/>
      <c r="AL825" s="244"/>
      <c r="AM825" s="244"/>
      <c r="AN825" s="244"/>
      <c r="AO825" s="244"/>
    </row>
    <row r="826" ht="14.2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4"/>
      <c r="M826" s="244"/>
      <c r="N826" s="348"/>
      <c r="O826" s="244"/>
      <c r="P826" s="244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  <c r="AD826" s="244"/>
      <c r="AE826" s="244"/>
      <c r="AF826" s="244"/>
      <c r="AG826" s="244"/>
      <c r="AH826" s="244"/>
      <c r="AI826" s="244"/>
      <c r="AJ826" s="244"/>
      <c r="AK826" s="244"/>
      <c r="AL826" s="244"/>
      <c r="AM826" s="244"/>
      <c r="AN826" s="244"/>
      <c r="AO826" s="244"/>
    </row>
    <row r="827" ht="14.2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4"/>
      <c r="M827" s="244"/>
      <c r="N827" s="348"/>
      <c r="O827" s="244"/>
      <c r="P827" s="244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  <c r="AD827" s="244"/>
      <c r="AE827" s="244"/>
      <c r="AF827" s="244"/>
      <c r="AG827" s="244"/>
      <c r="AH827" s="244"/>
      <c r="AI827" s="244"/>
      <c r="AJ827" s="244"/>
      <c r="AK827" s="244"/>
      <c r="AL827" s="244"/>
      <c r="AM827" s="244"/>
      <c r="AN827" s="244"/>
      <c r="AO827" s="244"/>
    </row>
    <row r="828" ht="14.2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4"/>
      <c r="M828" s="244"/>
      <c r="N828" s="348"/>
      <c r="O828" s="244"/>
      <c r="P828" s="244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  <c r="AD828" s="244"/>
      <c r="AE828" s="244"/>
      <c r="AF828" s="244"/>
      <c r="AG828" s="244"/>
      <c r="AH828" s="244"/>
      <c r="AI828" s="244"/>
      <c r="AJ828" s="244"/>
      <c r="AK828" s="244"/>
      <c r="AL828" s="244"/>
      <c r="AM828" s="244"/>
      <c r="AN828" s="244"/>
      <c r="AO828" s="244"/>
    </row>
    <row r="829" ht="14.2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4"/>
      <c r="M829" s="244"/>
      <c r="N829" s="348"/>
      <c r="O829" s="244"/>
      <c r="P829" s="244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  <c r="AD829" s="244"/>
      <c r="AE829" s="244"/>
      <c r="AF829" s="244"/>
      <c r="AG829" s="244"/>
      <c r="AH829" s="244"/>
      <c r="AI829" s="244"/>
      <c r="AJ829" s="244"/>
      <c r="AK829" s="244"/>
      <c r="AL829" s="244"/>
      <c r="AM829" s="244"/>
      <c r="AN829" s="244"/>
      <c r="AO829" s="244"/>
    </row>
    <row r="830" ht="14.2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4"/>
      <c r="M830" s="244"/>
      <c r="N830" s="348"/>
      <c r="O830" s="244"/>
      <c r="P830" s="244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  <c r="AD830" s="244"/>
      <c r="AE830" s="244"/>
      <c r="AF830" s="244"/>
      <c r="AG830" s="244"/>
      <c r="AH830" s="244"/>
      <c r="AI830" s="244"/>
      <c r="AJ830" s="244"/>
      <c r="AK830" s="244"/>
      <c r="AL830" s="244"/>
      <c r="AM830" s="244"/>
      <c r="AN830" s="244"/>
      <c r="AO830" s="244"/>
    </row>
    <row r="831" ht="14.2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4"/>
      <c r="M831" s="244"/>
      <c r="N831" s="348"/>
      <c r="O831" s="244"/>
      <c r="P831" s="244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  <c r="AD831" s="244"/>
      <c r="AE831" s="244"/>
      <c r="AF831" s="244"/>
      <c r="AG831" s="244"/>
      <c r="AH831" s="244"/>
      <c r="AI831" s="244"/>
      <c r="AJ831" s="244"/>
      <c r="AK831" s="244"/>
      <c r="AL831" s="244"/>
      <c r="AM831" s="244"/>
      <c r="AN831" s="244"/>
      <c r="AO831" s="244"/>
    </row>
    <row r="832" ht="14.2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4"/>
      <c r="M832" s="244"/>
      <c r="N832" s="348"/>
      <c r="O832" s="244"/>
      <c r="P832" s="244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  <c r="AD832" s="244"/>
      <c r="AE832" s="244"/>
      <c r="AF832" s="244"/>
      <c r="AG832" s="244"/>
      <c r="AH832" s="244"/>
      <c r="AI832" s="244"/>
      <c r="AJ832" s="244"/>
      <c r="AK832" s="244"/>
      <c r="AL832" s="244"/>
      <c r="AM832" s="244"/>
      <c r="AN832" s="244"/>
      <c r="AO832" s="244"/>
    </row>
    <row r="833" ht="14.2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4"/>
      <c r="M833" s="244"/>
      <c r="N833" s="348"/>
      <c r="O833" s="244"/>
      <c r="P833" s="244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  <c r="AD833" s="244"/>
      <c r="AE833" s="244"/>
      <c r="AF833" s="244"/>
      <c r="AG833" s="244"/>
      <c r="AH833" s="244"/>
      <c r="AI833" s="244"/>
      <c r="AJ833" s="244"/>
      <c r="AK833" s="244"/>
      <c r="AL833" s="244"/>
      <c r="AM833" s="244"/>
      <c r="AN833" s="244"/>
      <c r="AO833" s="244"/>
    </row>
    <row r="834" ht="14.2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4"/>
      <c r="M834" s="244"/>
      <c r="N834" s="348"/>
      <c r="O834" s="244"/>
      <c r="P834" s="244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  <c r="AD834" s="244"/>
      <c r="AE834" s="244"/>
      <c r="AF834" s="244"/>
      <c r="AG834" s="244"/>
      <c r="AH834" s="244"/>
      <c r="AI834" s="244"/>
      <c r="AJ834" s="244"/>
      <c r="AK834" s="244"/>
      <c r="AL834" s="244"/>
      <c r="AM834" s="244"/>
      <c r="AN834" s="244"/>
      <c r="AO834" s="244"/>
    </row>
    <row r="835" ht="14.2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4"/>
      <c r="M835" s="244"/>
      <c r="N835" s="348"/>
      <c r="O835" s="244"/>
      <c r="P835" s="244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  <c r="AD835" s="244"/>
      <c r="AE835" s="244"/>
      <c r="AF835" s="244"/>
      <c r="AG835" s="244"/>
      <c r="AH835" s="244"/>
      <c r="AI835" s="244"/>
      <c r="AJ835" s="244"/>
      <c r="AK835" s="244"/>
      <c r="AL835" s="244"/>
      <c r="AM835" s="244"/>
      <c r="AN835" s="244"/>
      <c r="AO835" s="244"/>
    </row>
    <row r="836" ht="14.2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4"/>
      <c r="M836" s="244"/>
      <c r="N836" s="348"/>
      <c r="O836" s="244"/>
      <c r="P836" s="244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  <c r="AD836" s="244"/>
      <c r="AE836" s="244"/>
      <c r="AF836" s="244"/>
      <c r="AG836" s="244"/>
      <c r="AH836" s="244"/>
      <c r="AI836" s="244"/>
      <c r="AJ836" s="244"/>
      <c r="AK836" s="244"/>
      <c r="AL836" s="244"/>
      <c r="AM836" s="244"/>
      <c r="AN836" s="244"/>
      <c r="AO836" s="244"/>
    </row>
    <row r="837" ht="14.2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4"/>
      <c r="M837" s="244"/>
      <c r="N837" s="348"/>
      <c r="O837" s="244"/>
      <c r="P837" s="244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  <c r="AD837" s="244"/>
      <c r="AE837" s="244"/>
      <c r="AF837" s="244"/>
      <c r="AG837" s="244"/>
      <c r="AH837" s="244"/>
      <c r="AI837" s="244"/>
      <c r="AJ837" s="244"/>
      <c r="AK837" s="244"/>
      <c r="AL837" s="244"/>
      <c r="AM837" s="244"/>
      <c r="AN837" s="244"/>
      <c r="AO837" s="244"/>
    </row>
    <row r="838" ht="14.2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4"/>
      <c r="M838" s="244"/>
      <c r="N838" s="348"/>
      <c r="O838" s="244"/>
      <c r="P838" s="244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  <c r="AD838" s="244"/>
      <c r="AE838" s="244"/>
      <c r="AF838" s="244"/>
      <c r="AG838" s="244"/>
      <c r="AH838" s="244"/>
      <c r="AI838" s="244"/>
      <c r="AJ838" s="244"/>
      <c r="AK838" s="244"/>
      <c r="AL838" s="244"/>
      <c r="AM838" s="244"/>
      <c r="AN838" s="244"/>
      <c r="AO838" s="244"/>
    </row>
    <row r="839" ht="14.2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4"/>
      <c r="M839" s="244"/>
      <c r="N839" s="348"/>
      <c r="O839" s="244"/>
      <c r="P839" s="244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  <c r="AD839" s="244"/>
      <c r="AE839" s="244"/>
      <c r="AF839" s="244"/>
      <c r="AG839" s="244"/>
      <c r="AH839" s="244"/>
      <c r="AI839" s="244"/>
      <c r="AJ839" s="244"/>
      <c r="AK839" s="244"/>
      <c r="AL839" s="244"/>
      <c r="AM839" s="244"/>
      <c r="AN839" s="244"/>
      <c r="AO839" s="244"/>
    </row>
    <row r="840" ht="14.2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4"/>
      <c r="M840" s="244"/>
      <c r="N840" s="348"/>
      <c r="O840" s="244"/>
      <c r="P840" s="244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  <c r="AD840" s="244"/>
      <c r="AE840" s="244"/>
      <c r="AF840" s="244"/>
      <c r="AG840" s="244"/>
      <c r="AH840" s="244"/>
      <c r="AI840" s="244"/>
      <c r="AJ840" s="244"/>
      <c r="AK840" s="244"/>
      <c r="AL840" s="244"/>
      <c r="AM840" s="244"/>
      <c r="AN840" s="244"/>
      <c r="AO840" s="244"/>
    </row>
    <row r="841" ht="14.2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4"/>
      <c r="M841" s="244"/>
      <c r="N841" s="348"/>
      <c r="O841" s="244"/>
      <c r="P841" s="244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  <c r="AD841" s="244"/>
      <c r="AE841" s="244"/>
      <c r="AF841" s="244"/>
      <c r="AG841" s="244"/>
      <c r="AH841" s="244"/>
      <c r="AI841" s="244"/>
      <c r="AJ841" s="244"/>
      <c r="AK841" s="244"/>
      <c r="AL841" s="244"/>
      <c r="AM841" s="244"/>
      <c r="AN841" s="244"/>
      <c r="AO841" s="244"/>
    </row>
    <row r="842" ht="14.2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4"/>
      <c r="M842" s="244"/>
      <c r="N842" s="348"/>
      <c r="O842" s="244"/>
      <c r="P842" s="244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  <c r="AD842" s="244"/>
      <c r="AE842" s="244"/>
      <c r="AF842" s="244"/>
      <c r="AG842" s="244"/>
      <c r="AH842" s="244"/>
      <c r="AI842" s="244"/>
      <c r="AJ842" s="244"/>
      <c r="AK842" s="244"/>
      <c r="AL842" s="244"/>
      <c r="AM842" s="244"/>
      <c r="AN842" s="244"/>
      <c r="AO842" s="244"/>
    </row>
    <row r="843" ht="14.2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4"/>
      <c r="M843" s="244"/>
      <c r="N843" s="348"/>
      <c r="O843" s="244"/>
      <c r="P843" s="244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4"/>
      <c r="AM843" s="244"/>
      <c r="AN843" s="244"/>
      <c r="AO843" s="244"/>
    </row>
    <row r="844" ht="14.2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4"/>
      <c r="M844" s="244"/>
      <c r="N844" s="348"/>
      <c r="O844" s="244"/>
      <c r="P844" s="244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  <c r="AD844" s="244"/>
      <c r="AE844" s="244"/>
      <c r="AF844" s="244"/>
      <c r="AG844" s="244"/>
      <c r="AH844" s="244"/>
      <c r="AI844" s="244"/>
      <c r="AJ844" s="244"/>
      <c r="AK844" s="244"/>
      <c r="AL844" s="244"/>
      <c r="AM844" s="244"/>
      <c r="AN844" s="244"/>
      <c r="AO844" s="244"/>
    </row>
    <row r="845" ht="14.2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4"/>
      <c r="M845" s="244"/>
      <c r="N845" s="348"/>
      <c r="O845" s="244"/>
      <c r="P845" s="244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  <c r="AD845" s="244"/>
      <c r="AE845" s="244"/>
      <c r="AF845" s="244"/>
      <c r="AG845" s="244"/>
      <c r="AH845" s="244"/>
      <c r="AI845" s="244"/>
      <c r="AJ845" s="244"/>
      <c r="AK845" s="244"/>
      <c r="AL845" s="244"/>
      <c r="AM845" s="244"/>
      <c r="AN845" s="244"/>
      <c r="AO845" s="244"/>
    </row>
    <row r="846" ht="14.2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4"/>
      <c r="M846" s="244"/>
      <c r="N846" s="348"/>
      <c r="O846" s="244"/>
      <c r="P846" s="244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4"/>
      <c r="AM846" s="244"/>
      <c r="AN846" s="244"/>
      <c r="AO846" s="244"/>
    </row>
    <row r="847" ht="14.2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4"/>
      <c r="M847" s="244"/>
      <c r="N847" s="348"/>
      <c r="O847" s="244"/>
      <c r="P847" s="244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4"/>
      <c r="AM847" s="244"/>
      <c r="AN847" s="244"/>
      <c r="AO847" s="244"/>
    </row>
    <row r="848" ht="14.2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4"/>
      <c r="M848" s="244"/>
      <c r="N848" s="348"/>
      <c r="O848" s="244"/>
      <c r="P848" s="244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4"/>
      <c r="AM848" s="244"/>
      <c r="AN848" s="244"/>
      <c r="AO848" s="244"/>
    </row>
    <row r="849" ht="14.2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4"/>
      <c r="M849" s="244"/>
      <c r="N849" s="348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4"/>
      <c r="AM849" s="244"/>
      <c r="AN849" s="244"/>
      <c r="AO849" s="244"/>
    </row>
    <row r="850" ht="14.2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4"/>
      <c r="M850" s="244"/>
      <c r="N850" s="348"/>
      <c r="O850" s="244"/>
      <c r="P850" s="244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4"/>
      <c r="AM850" s="244"/>
      <c r="AN850" s="244"/>
      <c r="AO850" s="244"/>
    </row>
    <row r="851" ht="14.2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4"/>
      <c r="M851" s="244"/>
      <c r="N851" s="348"/>
      <c r="O851" s="244"/>
      <c r="P851" s="244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4"/>
      <c r="AM851" s="244"/>
      <c r="AN851" s="244"/>
      <c r="AO851" s="244"/>
    </row>
    <row r="852" ht="14.2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4"/>
      <c r="M852" s="244"/>
      <c r="N852" s="348"/>
      <c r="O852" s="244"/>
      <c r="P852" s="244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4"/>
      <c r="AM852" s="244"/>
      <c r="AN852" s="244"/>
      <c r="AO852" s="244"/>
    </row>
    <row r="853" ht="14.2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4"/>
      <c r="M853" s="244"/>
      <c r="N853" s="348"/>
      <c r="O853" s="244"/>
      <c r="P853" s="244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4"/>
      <c r="AM853" s="244"/>
      <c r="AN853" s="244"/>
      <c r="AO853" s="244"/>
    </row>
    <row r="854" ht="14.2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4"/>
      <c r="M854" s="244"/>
      <c r="N854" s="348"/>
      <c r="O854" s="244"/>
      <c r="P854" s="244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4"/>
      <c r="AM854" s="244"/>
      <c r="AN854" s="244"/>
      <c r="AO854" s="244"/>
    </row>
    <row r="855" ht="14.2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4"/>
      <c r="M855" s="244"/>
      <c r="N855" s="348"/>
      <c r="O855" s="244"/>
      <c r="P855" s="244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4"/>
      <c r="AM855" s="244"/>
      <c r="AN855" s="244"/>
      <c r="AO855" s="244"/>
    </row>
    <row r="856" ht="14.2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4"/>
      <c r="M856" s="244"/>
      <c r="N856" s="348"/>
      <c r="O856" s="244"/>
      <c r="P856" s="244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  <c r="AD856" s="244"/>
      <c r="AE856" s="244"/>
      <c r="AF856" s="244"/>
      <c r="AG856" s="244"/>
      <c r="AH856" s="244"/>
      <c r="AI856" s="244"/>
      <c r="AJ856" s="244"/>
      <c r="AK856" s="244"/>
      <c r="AL856" s="244"/>
      <c r="AM856" s="244"/>
      <c r="AN856" s="244"/>
      <c r="AO856" s="244"/>
    </row>
    <row r="857" ht="14.2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4"/>
      <c r="M857" s="244"/>
      <c r="N857" s="348"/>
      <c r="O857" s="244"/>
      <c r="P857" s="244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  <c r="AD857" s="244"/>
      <c r="AE857" s="244"/>
      <c r="AF857" s="244"/>
      <c r="AG857" s="244"/>
      <c r="AH857" s="244"/>
      <c r="AI857" s="244"/>
      <c r="AJ857" s="244"/>
      <c r="AK857" s="244"/>
      <c r="AL857" s="244"/>
      <c r="AM857" s="244"/>
      <c r="AN857" s="244"/>
      <c r="AO857" s="244"/>
    </row>
    <row r="858" ht="14.2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4"/>
      <c r="M858" s="244"/>
      <c r="N858" s="348"/>
      <c r="O858" s="244"/>
      <c r="P858" s="244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  <c r="AD858" s="244"/>
      <c r="AE858" s="244"/>
      <c r="AF858" s="244"/>
      <c r="AG858" s="244"/>
      <c r="AH858" s="244"/>
      <c r="AI858" s="244"/>
      <c r="AJ858" s="244"/>
      <c r="AK858" s="244"/>
      <c r="AL858" s="244"/>
      <c r="AM858" s="244"/>
      <c r="AN858" s="244"/>
      <c r="AO858" s="244"/>
    </row>
    <row r="859" ht="14.2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4"/>
      <c r="M859" s="244"/>
      <c r="N859" s="348"/>
      <c r="O859" s="244"/>
      <c r="P859" s="244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  <c r="AD859" s="244"/>
      <c r="AE859" s="244"/>
      <c r="AF859" s="244"/>
      <c r="AG859" s="244"/>
      <c r="AH859" s="244"/>
      <c r="AI859" s="244"/>
      <c r="AJ859" s="244"/>
      <c r="AK859" s="244"/>
      <c r="AL859" s="244"/>
      <c r="AM859" s="244"/>
      <c r="AN859" s="244"/>
      <c r="AO859" s="244"/>
    </row>
    <row r="860" ht="14.2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4"/>
      <c r="M860" s="244"/>
      <c r="N860" s="348"/>
      <c r="O860" s="244"/>
      <c r="P860" s="244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  <c r="AD860" s="244"/>
      <c r="AE860" s="244"/>
      <c r="AF860" s="244"/>
      <c r="AG860" s="244"/>
      <c r="AH860" s="244"/>
      <c r="AI860" s="244"/>
      <c r="AJ860" s="244"/>
      <c r="AK860" s="244"/>
      <c r="AL860" s="244"/>
      <c r="AM860" s="244"/>
      <c r="AN860" s="244"/>
      <c r="AO860" s="244"/>
    </row>
    <row r="861" ht="14.2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4"/>
      <c r="M861" s="244"/>
      <c r="N861" s="348"/>
      <c r="O861" s="244"/>
      <c r="P861" s="244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  <c r="AD861" s="244"/>
      <c r="AE861" s="244"/>
      <c r="AF861" s="244"/>
      <c r="AG861" s="244"/>
      <c r="AH861" s="244"/>
      <c r="AI861" s="244"/>
      <c r="AJ861" s="244"/>
      <c r="AK861" s="244"/>
      <c r="AL861" s="244"/>
      <c r="AM861" s="244"/>
      <c r="AN861" s="244"/>
      <c r="AO861" s="244"/>
    </row>
    <row r="862" ht="14.2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4"/>
      <c r="M862" s="244"/>
      <c r="N862" s="348"/>
      <c r="O862" s="244"/>
      <c r="P862" s="244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  <c r="AD862" s="244"/>
      <c r="AE862" s="244"/>
      <c r="AF862" s="244"/>
      <c r="AG862" s="244"/>
      <c r="AH862" s="244"/>
      <c r="AI862" s="244"/>
      <c r="AJ862" s="244"/>
      <c r="AK862" s="244"/>
      <c r="AL862" s="244"/>
      <c r="AM862" s="244"/>
      <c r="AN862" s="244"/>
      <c r="AO862" s="244"/>
    </row>
    <row r="863" ht="14.2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4"/>
      <c r="M863" s="244"/>
      <c r="N863" s="348"/>
      <c r="O863" s="244"/>
      <c r="P863" s="244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  <c r="AD863" s="244"/>
      <c r="AE863" s="244"/>
      <c r="AF863" s="244"/>
      <c r="AG863" s="244"/>
      <c r="AH863" s="244"/>
      <c r="AI863" s="244"/>
      <c r="AJ863" s="244"/>
      <c r="AK863" s="244"/>
      <c r="AL863" s="244"/>
      <c r="AM863" s="244"/>
      <c r="AN863" s="244"/>
      <c r="AO863" s="244"/>
    </row>
    <row r="864" ht="14.2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4"/>
      <c r="M864" s="244"/>
      <c r="N864" s="348"/>
      <c r="O864" s="244"/>
      <c r="P864" s="244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  <c r="AD864" s="244"/>
      <c r="AE864" s="244"/>
      <c r="AF864" s="244"/>
      <c r="AG864" s="244"/>
      <c r="AH864" s="244"/>
      <c r="AI864" s="244"/>
      <c r="AJ864" s="244"/>
      <c r="AK864" s="244"/>
      <c r="AL864" s="244"/>
      <c r="AM864" s="244"/>
      <c r="AN864" s="244"/>
      <c r="AO864" s="244"/>
    </row>
    <row r="865" ht="14.2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4"/>
      <c r="M865" s="244"/>
      <c r="N865" s="348"/>
      <c r="O865" s="244"/>
      <c r="P865" s="244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  <c r="AD865" s="244"/>
      <c r="AE865" s="244"/>
      <c r="AF865" s="244"/>
      <c r="AG865" s="244"/>
      <c r="AH865" s="244"/>
      <c r="AI865" s="244"/>
      <c r="AJ865" s="244"/>
      <c r="AK865" s="244"/>
      <c r="AL865" s="244"/>
      <c r="AM865" s="244"/>
      <c r="AN865" s="244"/>
      <c r="AO865" s="244"/>
    </row>
    <row r="866" ht="14.2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4"/>
      <c r="M866" s="244"/>
      <c r="N866" s="348"/>
      <c r="O866" s="244"/>
      <c r="P866" s="244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  <c r="AD866" s="244"/>
      <c r="AE866" s="244"/>
      <c r="AF866" s="244"/>
      <c r="AG866" s="244"/>
      <c r="AH866" s="244"/>
      <c r="AI866" s="244"/>
      <c r="AJ866" s="244"/>
      <c r="AK866" s="244"/>
      <c r="AL866" s="244"/>
      <c r="AM866" s="244"/>
      <c r="AN866" s="244"/>
      <c r="AO866" s="244"/>
    </row>
    <row r="867" ht="14.2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4"/>
      <c r="M867" s="244"/>
      <c r="N867" s="348"/>
      <c r="O867" s="244"/>
      <c r="P867" s="244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  <c r="AD867" s="244"/>
      <c r="AE867" s="244"/>
      <c r="AF867" s="244"/>
      <c r="AG867" s="244"/>
      <c r="AH867" s="244"/>
      <c r="AI867" s="244"/>
      <c r="AJ867" s="244"/>
      <c r="AK867" s="244"/>
      <c r="AL867" s="244"/>
      <c r="AM867" s="244"/>
      <c r="AN867" s="244"/>
      <c r="AO867" s="244"/>
    </row>
    <row r="868" ht="14.2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4"/>
      <c r="M868" s="244"/>
      <c r="N868" s="348"/>
      <c r="O868" s="244"/>
      <c r="P868" s="244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  <c r="AD868" s="244"/>
      <c r="AE868" s="244"/>
      <c r="AF868" s="244"/>
      <c r="AG868" s="244"/>
      <c r="AH868" s="244"/>
      <c r="AI868" s="244"/>
      <c r="AJ868" s="244"/>
      <c r="AK868" s="244"/>
      <c r="AL868" s="244"/>
      <c r="AM868" s="244"/>
      <c r="AN868" s="244"/>
      <c r="AO868" s="244"/>
    </row>
    <row r="869" ht="14.2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4"/>
      <c r="M869" s="244"/>
      <c r="N869" s="348"/>
      <c r="O869" s="244"/>
      <c r="P869" s="244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  <c r="AD869" s="244"/>
      <c r="AE869" s="244"/>
      <c r="AF869" s="244"/>
      <c r="AG869" s="244"/>
      <c r="AH869" s="244"/>
      <c r="AI869" s="244"/>
      <c r="AJ869" s="244"/>
      <c r="AK869" s="244"/>
      <c r="AL869" s="244"/>
      <c r="AM869" s="244"/>
      <c r="AN869" s="244"/>
      <c r="AO869" s="244"/>
    </row>
    <row r="870" ht="14.2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4"/>
      <c r="M870" s="244"/>
      <c r="N870" s="348"/>
      <c r="O870" s="244"/>
      <c r="P870" s="244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  <c r="AD870" s="244"/>
      <c r="AE870" s="244"/>
      <c r="AF870" s="244"/>
      <c r="AG870" s="244"/>
      <c r="AH870" s="244"/>
      <c r="AI870" s="244"/>
      <c r="AJ870" s="244"/>
      <c r="AK870" s="244"/>
      <c r="AL870" s="244"/>
      <c r="AM870" s="244"/>
      <c r="AN870" s="244"/>
      <c r="AO870" s="244"/>
    </row>
    <row r="871" ht="14.2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4"/>
      <c r="M871" s="244"/>
      <c r="N871" s="348"/>
      <c r="O871" s="244"/>
      <c r="P871" s="244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  <c r="AD871" s="244"/>
      <c r="AE871" s="244"/>
      <c r="AF871" s="244"/>
      <c r="AG871" s="244"/>
      <c r="AH871" s="244"/>
      <c r="AI871" s="244"/>
      <c r="AJ871" s="244"/>
      <c r="AK871" s="244"/>
      <c r="AL871" s="244"/>
      <c r="AM871" s="244"/>
      <c r="AN871" s="244"/>
      <c r="AO871" s="244"/>
    </row>
    <row r="872" ht="14.2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4"/>
      <c r="M872" s="244"/>
      <c r="N872" s="348"/>
      <c r="O872" s="244"/>
      <c r="P872" s="244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  <c r="AD872" s="244"/>
      <c r="AE872" s="244"/>
      <c r="AF872" s="244"/>
      <c r="AG872" s="244"/>
      <c r="AH872" s="244"/>
      <c r="AI872" s="244"/>
      <c r="AJ872" s="244"/>
      <c r="AK872" s="244"/>
      <c r="AL872" s="244"/>
      <c r="AM872" s="244"/>
      <c r="AN872" s="244"/>
      <c r="AO872" s="244"/>
    </row>
    <row r="873" ht="14.2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4"/>
      <c r="M873" s="244"/>
      <c r="N873" s="348"/>
      <c r="O873" s="244"/>
      <c r="P873" s="244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  <c r="AD873" s="244"/>
      <c r="AE873" s="244"/>
      <c r="AF873" s="244"/>
      <c r="AG873" s="244"/>
      <c r="AH873" s="244"/>
      <c r="AI873" s="244"/>
      <c r="AJ873" s="244"/>
      <c r="AK873" s="244"/>
      <c r="AL873" s="244"/>
      <c r="AM873" s="244"/>
      <c r="AN873" s="244"/>
      <c r="AO873" s="244"/>
    </row>
    <row r="874" ht="14.2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4"/>
      <c r="M874" s="244"/>
      <c r="N874" s="348"/>
      <c r="O874" s="244"/>
      <c r="P874" s="244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  <c r="AD874" s="244"/>
      <c r="AE874" s="244"/>
      <c r="AF874" s="244"/>
      <c r="AG874" s="244"/>
      <c r="AH874" s="244"/>
      <c r="AI874" s="244"/>
      <c r="AJ874" s="244"/>
      <c r="AK874" s="244"/>
      <c r="AL874" s="244"/>
      <c r="AM874" s="244"/>
      <c r="AN874" s="244"/>
      <c r="AO874" s="244"/>
    </row>
    <row r="875" ht="14.2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4"/>
      <c r="M875" s="244"/>
      <c r="N875" s="348"/>
      <c r="O875" s="244"/>
      <c r="P875" s="244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  <c r="AD875" s="244"/>
      <c r="AE875" s="244"/>
      <c r="AF875" s="244"/>
      <c r="AG875" s="244"/>
      <c r="AH875" s="244"/>
      <c r="AI875" s="244"/>
      <c r="AJ875" s="244"/>
      <c r="AK875" s="244"/>
      <c r="AL875" s="244"/>
      <c r="AM875" s="244"/>
      <c r="AN875" s="244"/>
      <c r="AO875" s="244"/>
    </row>
    <row r="876" ht="14.2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4"/>
      <c r="M876" s="244"/>
      <c r="N876" s="348"/>
      <c r="O876" s="244"/>
      <c r="P876" s="244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  <c r="AD876" s="244"/>
      <c r="AE876" s="244"/>
      <c r="AF876" s="244"/>
      <c r="AG876" s="244"/>
      <c r="AH876" s="244"/>
      <c r="AI876" s="244"/>
      <c r="AJ876" s="244"/>
      <c r="AK876" s="244"/>
      <c r="AL876" s="244"/>
      <c r="AM876" s="244"/>
      <c r="AN876" s="244"/>
      <c r="AO876" s="244"/>
    </row>
    <row r="877" ht="14.2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4"/>
      <c r="M877" s="244"/>
      <c r="N877" s="348"/>
      <c r="O877" s="244"/>
      <c r="P877" s="244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  <c r="AD877" s="244"/>
      <c r="AE877" s="244"/>
      <c r="AF877" s="244"/>
      <c r="AG877" s="244"/>
      <c r="AH877" s="244"/>
      <c r="AI877" s="244"/>
      <c r="AJ877" s="244"/>
      <c r="AK877" s="244"/>
      <c r="AL877" s="244"/>
      <c r="AM877" s="244"/>
      <c r="AN877" s="244"/>
      <c r="AO877" s="244"/>
    </row>
    <row r="878" ht="14.2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4"/>
      <c r="M878" s="244"/>
      <c r="N878" s="348"/>
      <c r="O878" s="244"/>
      <c r="P878" s="244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  <c r="AD878" s="244"/>
      <c r="AE878" s="244"/>
      <c r="AF878" s="244"/>
      <c r="AG878" s="244"/>
      <c r="AH878" s="244"/>
      <c r="AI878" s="244"/>
      <c r="AJ878" s="244"/>
      <c r="AK878" s="244"/>
      <c r="AL878" s="244"/>
      <c r="AM878" s="244"/>
      <c r="AN878" s="244"/>
      <c r="AO878" s="244"/>
    </row>
    <row r="879" ht="14.2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4"/>
      <c r="M879" s="244"/>
      <c r="N879" s="348"/>
      <c r="O879" s="244"/>
      <c r="P879" s="244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4"/>
      <c r="AM879" s="244"/>
      <c r="AN879" s="244"/>
      <c r="AO879" s="244"/>
    </row>
    <row r="880" ht="14.2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4"/>
      <c r="M880" s="244"/>
      <c r="N880" s="348"/>
      <c r="O880" s="244"/>
      <c r="P880" s="244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/>
      <c r="AJ880" s="244"/>
      <c r="AK880" s="244"/>
      <c r="AL880" s="244"/>
      <c r="AM880" s="244"/>
      <c r="AN880" s="244"/>
      <c r="AO880" s="244"/>
    </row>
    <row r="881" ht="14.2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4"/>
      <c r="M881" s="244"/>
      <c r="N881" s="348"/>
      <c r="O881" s="244"/>
      <c r="P881" s="244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  <c r="AD881" s="244"/>
      <c r="AE881" s="244"/>
      <c r="AF881" s="244"/>
      <c r="AG881" s="244"/>
      <c r="AH881" s="244"/>
      <c r="AI881" s="244"/>
      <c r="AJ881" s="244"/>
      <c r="AK881" s="244"/>
      <c r="AL881" s="244"/>
      <c r="AM881" s="244"/>
      <c r="AN881" s="244"/>
      <c r="AO881" s="244"/>
    </row>
    <row r="882" ht="14.2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4"/>
      <c r="M882" s="244"/>
      <c r="N882" s="348"/>
      <c r="O882" s="244"/>
      <c r="P882" s="244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  <c r="AD882" s="244"/>
      <c r="AE882" s="244"/>
      <c r="AF882" s="244"/>
      <c r="AG882" s="244"/>
      <c r="AH882" s="244"/>
      <c r="AI882" s="244"/>
      <c r="AJ882" s="244"/>
      <c r="AK882" s="244"/>
      <c r="AL882" s="244"/>
      <c r="AM882" s="244"/>
      <c r="AN882" s="244"/>
      <c r="AO882" s="244"/>
    </row>
    <row r="883" ht="14.2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4"/>
      <c r="M883" s="244"/>
      <c r="N883" s="348"/>
      <c r="O883" s="244"/>
      <c r="P883" s="244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  <c r="AD883" s="244"/>
      <c r="AE883" s="244"/>
      <c r="AF883" s="244"/>
      <c r="AG883" s="244"/>
      <c r="AH883" s="244"/>
      <c r="AI883" s="244"/>
      <c r="AJ883" s="244"/>
      <c r="AK883" s="244"/>
      <c r="AL883" s="244"/>
      <c r="AM883" s="244"/>
      <c r="AN883" s="244"/>
      <c r="AO883" s="244"/>
    </row>
    <row r="884" ht="14.2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4"/>
      <c r="M884" s="244"/>
      <c r="N884" s="348"/>
      <c r="O884" s="244"/>
      <c r="P884" s="244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  <c r="AD884" s="244"/>
      <c r="AE884" s="244"/>
      <c r="AF884" s="244"/>
      <c r="AG884" s="244"/>
      <c r="AH884" s="244"/>
      <c r="AI884" s="244"/>
      <c r="AJ884" s="244"/>
      <c r="AK884" s="244"/>
      <c r="AL884" s="244"/>
      <c r="AM884" s="244"/>
      <c r="AN884" s="244"/>
      <c r="AO884" s="244"/>
    </row>
    <row r="885" ht="14.2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4"/>
      <c r="M885" s="244"/>
      <c r="N885" s="348"/>
      <c r="O885" s="244"/>
      <c r="P885" s="244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  <c r="AD885" s="244"/>
      <c r="AE885" s="244"/>
      <c r="AF885" s="244"/>
      <c r="AG885" s="244"/>
      <c r="AH885" s="244"/>
      <c r="AI885" s="244"/>
      <c r="AJ885" s="244"/>
      <c r="AK885" s="244"/>
      <c r="AL885" s="244"/>
      <c r="AM885" s="244"/>
      <c r="AN885" s="244"/>
      <c r="AO885" s="244"/>
    </row>
    <row r="886" ht="14.2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4"/>
      <c r="M886" s="244"/>
      <c r="N886" s="348"/>
      <c r="O886" s="244"/>
      <c r="P886" s="244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  <c r="AD886" s="244"/>
      <c r="AE886" s="244"/>
      <c r="AF886" s="244"/>
      <c r="AG886" s="244"/>
      <c r="AH886" s="244"/>
      <c r="AI886" s="244"/>
      <c r="AJ886" s="244"/>
      <c r="AK886" s="244"/>
      <c r="AL886" s="244"/>
      <c r="AM886" s="244"/>
      <c r="AN886" s="244"/>
      <c r="AO886" s="244"/>
    </row>
    <row r="887" ht="14.2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4"/>
      <c r="M887" s="244"/>
      <c r="N887" s="348"/>
      <c r="O887" s="244"/>
      <c r="P887" s="244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  <c r="AD887" s="244"/>
      <c r="AE887" s="244"/>
      <c r="AF887" s="244"/>
      <c r="AG887" s="244"/>
      <c r="AH887" s="244"/>
      <c r="AI887" s="244"/>
      <c r="AJ887" s="244"/>
      <c r="AK887" s="244"/>
      <c r="AL887" s="244"/>
      <c r="AM887" s="244"/>
      <c r="AN887" s="244"/>
      <c r="AO887" s="244"/>
    </row>
    <row r="888" ht="14.2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4"/>
      <c r="M888" s="244"/>
      <c r="N888" s="348"/>
      <c r="O888" s="244"/>
      <c r="P888" s="244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  <c r="AD888" s="244"/>
      <c r="AE888" s="244"/>
      <c r="AF888" s="244"/>
      <c r="AG888" s="244"/>
      <c r="AH888" s="244"/>
      <c r="AI888" s="244"/>
      <c r="AJ888" s="244"/>
      <c r="AK888" s="244"/>
      <c r="AL888" s="244"/>
      <c r="AM888" s="244"/>
      <c r="AN888" s="244"/>
      <c r="AO888" s="244"/>
    </row>
    <row r="889" ht="14.2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4"/>
      <c r="M889" s="244"/>
      <c r="N889" s="348"/>
      <c r="O889" s="244"/>
      <c r="P889" s="244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  <c r="AD889" s="244"/>
      <c r="AE889" s="244"/>
      <c r="AF889" s="244"/>
      <c r="AG889" s="244"/>
      <c r="AH889" s="244"/>
      <c r="AI889" s="244"/>
      <c r="AJ889" s="244"/>
      <c r="AK889" s="244"/>
      <c r="AL889" s="244"/>
      <c r="AM889" s="244"/>
      <c r="AN889" s="244"/>
      <c r="AO889" s="244"/>
    </row>
    <row r="890" ht="14.2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4"/>
      <c r="M890" s="244"/>
      <c r="N890" s="348"/>
      <c r="O890" s="244"/>
      <c r="P890" s="244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  <c r="AD890" s="244"/>
      <c r="AE890" s="244"/>
      <c r="AF890" s="244"/>
      <c r="AG890" s="244"/>
      <c r="AH890" s="244"/>
      <c r="AI890" s="244"/>
      <c r="AJ890" s="244"/>
      <c r="AK890" s="244"/>
      <c r="AL890" s="244"/>
      <c r="AM890" s="244"/>
      <c r="AN890" s="244"/>
      <c r="AO890" s="244"/>
    </row>
    <row r="891" ht="14.2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4"/>
      <c r="M891" s="244"/>
      <c r="N891" s="348"/>
      <c r="O891" s="244"/>
      <c r="P891" s="244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  <c r="AD891" s="244"/>
      <c r="AE891" s="244"/>
      <c r="AF891" s="244"/>
      <c r="AG891" s="244"/>
      <c r="AH891" s="244"/>
      <c r="AI891" s="244"/>
      <c r="AJ891" s="244"/>
      <c r="AK891" s="244"/>
      <c r="AL891" s="244"/>
      <c r="AM891" s="244"/>
      <c r="AN891" s="244"/>
      <c r="AO891" s="244"/>
    </row>
    <row r="892" ht="14.2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4"/>
      <c r="M892" s="244"/>
      <c r="N892" s="348"/>
      <c r="O892" s="244"/>
      <c r="P892" s="244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  <c r="AD892" s="244"/>
      <c r="AE892" s="244"/>
      <c r="AF892" s="244"/>
      <c r="AG892" s="244"/>
      <c r="AH892" s="244"/>
      <c r="AI892" s="244"/>
      <c r="AJ892" s="244"/>
      <c r="AK892" s="244"/>
      <c r="AL892" s="244"/>
      <c r="AM892" s="244"/>
      <c r="AN892" s="244"/>
      <c r="AO892" s="244"/>
    </row>
    <row r="893" ht="14.2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4"/>
      <c r="M893" s="244"/>
      <c r="N893" s="348"/>
      <c r="O893" s="244"/>
      <c r="P893" s="244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  <c r="AD893" s="244"/>
      <c r="AE893" s="244"/>
      <c r="AF893" s="244"/>
      <c r="AG893" s="244"/>
      <c r="AH893" s="244"/>
      <c r="AI893" s="244"/>
      <c r="AJ893" s="244"/>
      <c r="AK893" s="244"/>
      <c r="AL893" s="244"/>
      <c r="AM893" s="244"/>
      <c r="AN893" s="244"/>
      <c r="AO893" s="244"/>
    </row>
    <row r="894" ht="14.2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4"/>
      <c r="M894" s="244"/>
      <c r="N894" s="348"/>
      <c r="O894" s="244"/>
      <c r="P894" s="244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  <c r="AD894" s="244"/>
      <c r="AE894" s="244"/>
      <c r="AF894" s="244"/>
      <c r="AG894" s="244"/>
      <c r="AH894" s="244"/>
      <c r="AI894" s="244"/>
      <c r="AJ894" s="244"/>
      <c r="AK894" s="244"/>
      <c r="AL894" s="244"/>
      <c r="AM894" s="244"/>
      <c r="AN894" s="244"/>
      <c r="AO894" s="244"/>
    </row>
    <row r="895" ht="14.2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4"/>
      <c r="M895" s="244"/>
      <c r="N895" s="348"/>
      <c r="O895" s="244"/>
      <c r="P895" s="244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4"/>
      <c r="AM895" s="244"/>
      <c r="AN895" s="244"/>
      <c r="AO895" s="244"/>
    </row>
    <row r="896" ht="14.2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4"/>
      <c r="M896" s="244"/>
      <c r="N896" s="348"/>
      <c r="O896" s="244"/>
      <c r="P896" s="244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4"/>
      <c r="AM896" s="244"/>
      <c r="AN896" s="244"/>
      <c r="AO896" s="244"/>
    </row>
    <row r="897" ht="14.2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4"/>
      <c r="M897" s="244"/>
      <c r="N897" s="348"/>
      <c r="O897" s="244"/>
      <c r="P897" s="244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4"/>
      <c r="AM897" s="244"/>
      <c r="AN897" s="244"/>
      <c r="AO897" s="244"/>
    </row>
    <row r="898" ht="14.2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4"/>
      <c r="M898" s="244"/>
      <c r="N898" s="348"/>
      <c r="O898" s="244"/>
      <c r="P898" s="244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4"/>
      <c r="AM898" s="244"/>
      <c r="AN898" s="244"/>
      <c r="AO898" s="244"/>
    </row>
    <row r="899" ht="14.2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4"/>
      <c r="M899" s="244"/>
      <c r="N899" s="348"/>
      <c r="O899" s="244"/>
      <c r="P899" s="244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4"/>
      <c r="AM899" s="244"/>
      <c r="AN899" s="244"/>
      <c r="AO899" s="244"/>
    </row>
    <row r="900" ht="14.2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4"/>
      <c r="M900" s="244"/>
      <c r="N900" s="348"/>
      <c r="O900" s="244"/>
      <c r="P900" s="244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4"/>
      <c r="AM900" s="244"/>
      <c r="AN900" s="244"/>
      <c r="AO900" s="244"/>
    </row>
    <row r="901" ht="14.2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4"/>
      <c r="M901" s="244"/>
      <c r="N901" s="348"/>
      <c r="O901" s="244"/>
      <c r="P901" s="244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4"/>
      <c r="AM901" s="244"/>
      <c r="AN901" s="244"/>
      <c r="AO901" s="244"/>
    </row>
    <row r="902" ht="14.2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4"/>
      <c r="M902" s="244"/>
      <c r="N902" s="348"/>
      <c r="O902" s="244"/>
      <c r="P902" s="244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  <c r="AD902" s="244"/>
      <c r="AE902" s="244"/>
      <c r="AF902" s="244"/>
      <c r="AG902" s="244"/>
      <c r="AH902" s="244"/>
      <c r="AI902" s="244"/>
      <c r="AJ902" s="244"/>
      <c r="AK902" s="244"/>
      <c r="AL902" s="244"/>
      <c r="AM902" s="244"/>
      <c r="AN902" s="244"/>
      <c r="AO902" s="244"/>
    </row>
    <row r="903" ht="14.2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4"/>
      <c r="M903" s="244"/>
      <c r="N903" s="348"/>
      <c r="O903" s="244"/>
      <c r="P903" s="244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  <c r="AD903" s="244"/>
      <c r="AE903" s="244"/>
      <c r="AF903" s="244"/>
      <c r="AG903" s="244"/>
      <c r="AH903" s="244"/>
      <c r="AI903" s="244"/>
      <c r="AJ903" s="244"/>
      <c r="AK903" s="244"/>
      <c r="AL903" s="244"/>
      <c r="AM903" s="244"/>
      <c r="AN903" s="244"/>
      <c r="AO903" s="244"/>
    </row>
    <row r="904" ht="14.2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4"/>
      <c r="M904" s="244"/>
      <c r="N904" s="348"/>
      <c r="O904" s="244"/>
      <c r="P904" s="244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4"/>
      <c r="AM904" s="244"/>
      <c r="AN904" s="244"/>
      <c r="AO904" s="244"/>
    </row>
    <row r="905" ht="14.2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4"/>
      <c r="M905" s="244"/>
      <c r="N905" s="348"/>
      <c r="O905" s="244"/>
      <c r="P905" s="244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4"/>
      <c r="AM905" s="244"/>
      <c r="AN905" s="244"/>
      <c r="AO905" s="244"/>
    </row>
    <row r="906" ht="14.2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4"/>
      <c r="M906" s="244"/>
      <c r="N906" s="348"/>
      <c r="O906" s="244"/>
      <c r="P906" s="244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4"/>
      <c r="AM906" s="244"/>
      <c r="AN906" s="244"/>
      <c r="AO906" s="244"/>
    </row>
    <row r="907" ht="14.2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4"/>
      <c r="M907" s="244"/>
      <c r="N907" s="348"/>
      <c r="O907" s="244"/>
      <c r="P907" s="244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4"/>
      <c r="AM907" s="244"/>
      <c r="AN907" s="244"/>
      <c r="AO907" s="244"/>
    </row>
    <row r="908" ht="14.2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4"/>
      <c r="M908" s="244"/>
      <c r="N908" s="348"/>
      <c r="O908" s="244"/>
      <c r="P908" s="244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4"/>
      <c r="AM908" s="244"/>
      <c r="AN908" s="244"/>
      <c r="AO908" s="244"/>
    </row>
    <row r="909" ht="14.2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4"/>
      <c r="M909" s="244"/>
      <c r="N909" s="348"/>
      <c r="O909" s="244"/>
      <c r="P909" s="244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4"/>
      <c r="AM909" s="244"/>
      <c r="AN909" s="244"/>
      <c r="AO909" s="244"/>
    </row>
    <row r="910" ht="14.2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4"/>
      <c r="M910" s="244"/>
      <c r="N910" s="348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4"/>
      <c r="AM910" s="244"/>
      <c r="AN910" s="244"/>
      <c r="AO910" s="244"/>
    </row>
    <row r="911" ht="14.2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4"/>
      <c r="M911" s="244"/>
      <c r="N911" s="348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4"/>
      <c r="AM911" s="244"/>
      <c r="AN911" s="244"/>
      <c r="AO911" s="244"/>
    </row>
    <row r="912" ht="14.2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4"/>
      <c r="M912" s="244"/>
      <c r="N912" s="348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4"/>
      <c r="AM912" s="244"/>
      <c r="AN912" s="244"/>
      <c r="AO912" s="244"/>
    </row>
    <row r="913" ht="14.2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4"/>
      <c r="M913" s="244"/>
      <c r="N913" s="348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4"/>
      <c r="AM913" s="244"/>
      <c r="AN913" s="244"/>
      <c r="AO913" s="244"/>
    </row>
    <row r="914" ht="14.2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4"/>
      <c r="M914" s="244"/>
      <c r="N914" s="348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4"/>
      <c r="AM914" s="244"/>
      <c r="AN914" s="244"/>
      <c r="AO914" s="244"/>
    </row>
    <row r="915" ht="14.2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4"/>
      <c r="M915" s="244"/>
      <c r="N915" s="348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4"/>
      <c r="AM915" s="244"/>
      <c r="AN915" s="244"/>
      <c r="AO915" s="244"/>
    </row>
    <row r="916" ht="14.2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4"/>
      <c r="M916" s="244"/>
      <c r="N916" s="348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4"/>
      <c r="AM916" s="244"/>
      <c r="AN916" s="244"/>
      <c r="AO916" s="244"/>
    </row>
    <row r="917" ht="14.2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4"/>
      <c r="M917" s="244"/>
      <c r="N917" s="348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4"/>
      <c r="AM917" s="244"/>
      <c r="AN917" s="244"/>
      <c r="AO917" s="244"/>
    </row>
    <row r="918" ht="14.2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4"/>
      <c r="M918" s="244"/>
      <c r="N918" s="348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4"/>
      <c r="AM918" s="244"/>
      <c r="AN918" s="244"/>
      <c r="AO918" s="244"/>
    </row>
    <row r="919" ht="14.2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4"/>
      <c r="M919" s="244"/>
      <c r="N919" s="348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  <c r="AA919" s="244"/>
      <c r="AB919" s="244"/>
      <c r="AC919" s="244"/>
      <c r="AD919" s="244"/>
      <c r="AE919" s="244"/>
      <c r="AF919" s="244"/>
      <c r="AG919" s="244"/>
      <c r="AH919" s="244"/>
      <c r="AI919" s="244"/>
      <c r="AJ919" s="244"/>
      <c r="AK919" s="244"/>
      <c r="AL919" s="244"/>
      <c r="AM919" s="244"/>
      <c r="AN919" s="244"/>
      <c r="AO919" s="244"/>
    </row>
    <row r="920" ht="14.2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4"/>
      <c r="M920" s="244"/>
      <c r="N920" s="348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  <c r="AA920" s="244"/>
      <c r="AB920" s="244"/>
      <c r="AC920" s="244"/>
      <c r="AD920" s="244"/>
      <c r="AE920" s="244"/>
      <c r="AF920" s="244"/>
      <c r="AG920" s="244"/>
      <c r="AH920" s="244"/>
      <c r="AI920" s="244"/>
      <c r="AJ920" s="244"/>
      <c r="AK920" s="244"/>
      <c r="AL920" s="244"/>
      <c r="AM920" s="244"/>
      <c r="AN920" s="244"/>
      <c r="AO920" s="244"/>
    </row>
    <row r="921" ht="14.2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4"/>
      <c r="M921" s="244"/>
      <c r="N921" s="348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  <c r="AA921" s="244"/>
      <c r="AB921" s="244"/>
      <c r="AC921" s="244"/>
      <c r="AD921" s="244"/>
      <c r="AE921" s="244"/>
      <c r="AF921" s="244"/>
      <c r="AG921" s="244"/>
      <c r="AH921" s="244"/>
      <c r="AI921" s="244"/>
      <c r="AJ921" s="244"/>
      <c r="AK921" s="244"/>
      <c r="AL921" s="244"/>
      <c r="AM921" s="244"/>
      <c r="AN921" s="244"/>
      <c r="AO921" s="244"/>
    </row>
    <row r="922" ht="14.2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4"/>
      <c r="M922" s="244"/>
      <c r="N922" s="348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  <c r="AA922" s="244"/>
      <c r="AB922" s="244"/>
      <c r="AC922" s="244"/>
      <c r="AD922" s="244"/>
      <c r="AE922" s="244"/>
      <c r="AF922" s="244"/>
      <c r="AG922" s="244"/>
      <c r="AH922" s="244"/>
      <c r="AI922" s="244"/>
      <c r="AJ922" s="244"/>
      <c r="AK922" s="244"/>
      <c r="AL922" s="244"/>
      <c r="AM922" s="244"/>
      <c r="AN922" s="244"/>
      <c r="AO922" s="244"/>
    </row>
    <row r="923" ht="14.2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4"/>
      <c r="M923" s="244"/>
      <c r="N923" s="348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  <c r="AA923" s="244"/>
      <c r="AB923" s="244"/>
      <c r="AC923" s="244"/>
      <c r="AD923" s="244"/>
      <c r="AE923" s="244"/>
      <c r="AF923" s="244"/>
      <c r="AG923" s="244"/>
      <c r="AH923" s="244"/>
      <c r="AI923" s="244"/>
      <c r="AJ923" s="244"/>
      <c r="AK923" s="244"/>
      <c r="AL923" s="244"/>
      <c r="AM923" s="244"/>
      <c r="AN923" s="244"/>
      <c r="AO923" s="244"/>
    </row>
    <row r="924" ht="14.2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4"/>
      <c r="M924" s="244"/>
      <c r="N924" s="348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4"/>
      <c r="AM924" s="244"/>
      <c r="AN924" s="244"/>
      <c r="AO924" s="244"/>
    </row>
    <row r="925" ht="14.2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4"/>
      <c r="M925" s="244"/>
      <c r="N925" s="348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4"/>
      <c r="AM925" s="244"/>
      <c r="AN925" s="244"/>
      <c r="AO925" s="244"/>
    </row>
    <row r="926" ht="14.2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4"/>
      <c r="M926" s="244"/>
      <c r="N926" s="348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  <c r="AA926" s="244"/>
      <c r="AB926" s="244"/>
      <c r="AC926" s="244"/>
      <c r="AD926" s="244"/>
      <c r="AE926" s="244"/>
      <c r="AF926" s="244"/>
      <c r="AG926" s="244"/>
      <c r="AH926" s="244"/>
      <c r="AI926" s="244"/>
      <c r="AJ926" s="244"/>
      <c r="AK926" s="244"/>
      <c r="AL926" s="244"/>
      <c r="AM926" s="244"/>
      <c r="AN926" s="244"/>
      <c r="AO926" s="244"/>
    </row>
    <row r="927" ht="14.2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4"/>
      <c r="M927" s="244"/>
      <c r="N927" s="348"/>
      <c r="O927" s="244"/>
      <c r="P927" s="244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  <c r="AA927" s="244"/>
      <c r="AB927" s="244"/>
      <c r="AC927" s="244"/>
      <c r="AD927" s="244"/>
      <c r="AE927" s="244"/>
      <c r="AF927" s="244"/>
      <c r="AG927" s="244"/>
      <c r="AH927" s="244"/>
      <c r="AI927" s="244"/>
      <c r="AJ927" s="244"/>
      <c r="AK927" s="244"/>
      <c r="AL927" s="244"/>
      <c r="AM927" s="244"/>
      <c r="AN927" s="244"/>
      <c r="AO927" s="244"/>
    </row>
    <row r="928" ht="14.2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4"/>
      <c r="M928" s="244"/>
      <c r="N928" s="348"/>
      <c r="O928" s="244"/>
      <c r="P928" s="244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  <c r="AA928" s="244"/>
      <c r="AB928" s="244"/>
      <c r="AC928" s="244"/>
      <c r="AD928" s="244"/>
      <c r="AE928" s="244"/>
      <c r="AF928" s="244"/>
      <c r="AG928" s="244"/>
      <c r="AH928" s="244"/>
      <c r="AI928" s="244"/>
      <c r="AJ928" s="244"/>
      <c r="AK928" s="244"/>
      <c r="AL928" s="244"/>
      <c r="AM928" s="244"/>
      <c r="AN928" s="244"/>
      <c r="AO928" s="244"/>
    </row>
    <row r="929" ht="14.2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4"/>
      <c r="M929" s="244"/>
      <c r="N929" s="348"/>
      <c r="O929" s="244"/>
      <c r="P929" s="244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  <c r="AA929" s="244"/>
      <c r="AB929" s="244"/>
      <c r="AC929" s="244"/>
      <c r="AD929" s="244"/>
      <c r="AE929" s="244"/>
      <c r="AF929" s="244"/>
      <c r="AG929" s="244"/>
      <c r="AH929" s="244"/>
      <c r="AI929" s="244"/>
      <c r="AJ929" s="244"/>
      <c r="AK929" s="244"/>
      <c r="AL929" s="244"/>
      <c r="AM929" s="244"/>
      <c r="AN929" s="244"/>
      <c r="AO929" s="244"/>
    </row>
    <row r="930" ht="14.2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4"/>
      <c r="M930" s="244"/>
      <c r="N930" s="348"/>
      <c r="O930" s="244"/>
      <c r="P930" s="244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  <c r="AA930" s="244"/>
      <c r="AB930" s="244"/>
      <c r="AC930" s="244"/>
      <c r="AD930" s="244"/>
      <c r="AE930" s="244"/>
      <c r="AF930" s="244"/>
      <c r="AG930" s="244"/>
      <c r="AH930" s="244"/>
      <c r="AI930" s="244"/>
      <c r="AJ930" s="244"/>
      <c r="AK930" s="244"/>
      <c r="AL930" s="244"/>
      <c r="AM930" s="244"/>
      <c r="AN930" s="244"/>
      <c r="AO930" s="244"/>
    </row>
    <row r="931" ht="14.2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4"/>
      <c r="M931" s="244"/>
      <c r="N931" s="348"/>
      <c r="O931" s="244"/>
      <c r="P931" s="244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  <c r="AA931" s="244"/>
      <c r="AB931" s="244"/>
      <c r="AC931" s="244"/>
      <c r="AD931" s="244"/>
      <c r="AE931" s="244"/>
      <c r="AF931" s="244"/>
      <c r="AG931" s="244"/>
      <c r="AH931" s="244"/>
      <c r="AI931" s="244"/>
      <c r="AJ931" s="244"/>
      <c r="AK931" s="244"/>
      <c r="AL931" s="244"/>
      <c r="AM931" s="244"/>
      <c r="AN931" s="244"/>
      <c r="AO931" s="244"/>
    </row>
    <row r="932" ht="14.2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4"/>
      <c r="M932" s="244"/>
      <c r="N932" s="348"/>
      <c r="O932" s="244"/>
      <c r="P932" s="244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  <c r="AA932" s="244"/>
      <c r="AB932" s="244"/>
      <c r="AC932" s="244"/>
      <c r="AD932" s="244"/>
      <c r="AE932" s="244"/>
      <c r="AF932" s="244"/>
      <c r="AG932" s="244"/>
      <c r="AH932" s="244"/>
      <c r="AI932" s="244"/>
      <c r="AJ932" s="244"/>
      <c r="AK932" s="244"/>
      <c r="AL932" s="244"/>
      <c r="AM932" s="244"/>
      <c r="AN932" s="244"/>
      <c r="AO932" s="244"/>
    </row>
    <row r="933" ht="14.2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4"/>
      <c r="M933" s="244"/>
      <c r="N933" s="348"/>
      <c r="O933" s="244"/>
      <c r="P933" s="244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  <c r="AA933" s="244"/>
      <c r="AB933" s="244"/>
      <c r="AC933" s="244"/>
      <c r="AD933" s="244"/>
      <c r="AE933" s="244"/>
      <c r="AF933" s="244"/>
      <c r="AG933" s="244"/>
      <c r="AH933" s="244"/>
      <c r="AI933" s="244"/>
      <c r="AJ933" s="244"/>
      <c r="AK933" s="244"/>
      <c r="AL933" s="244"/>
      <c r="AM933" s="244"/>
      <c r="AN933" s="244"/>
      <c r="AO933" s="244"/>
    </row>
    <row r="934" ht="14.2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4"/>
      <c r="M934" s="244"/>
      <c r="N934" s="348"/>
      <c r="O934" s="244"/>
      <c r="P934" s="244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  <c r="AA934" s="244"/>
      <c r="AB934" s="244"/>
      <c r="AC934" s="244"/>
      <c r="AD934" s="244"/>
      <c r="AE934" s="244"/>
      <c r="AF934" s="244"/>
      <c r="AG934" s="244"/>
      <c r="AH934" s="244"/>
      <c r="AI934" s="244"/>
      <c r="AJ934" s="244"/>
      <c r="AK934" s="244"/>
      <c r="AL934" s="244"/>
      <c r="AM934" s="244"/>
      <c r="AN934" s="244"/>
      <c r="AO934" s="244"/>
    </row>
    <row r="935" ht="14.2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4"/>
      <c r="M935" s="244"/>
      <c r="N935" s="348"/>
      <c r="O935" s="244"/>
      <c r="P935" s="244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  <c r="AA935" s="244"/>
      <c r="AB935" s="244"/>
      <c r="AC935" s="244"/>
      <c r="AD935" s="244"/>
      <c r="AE935" s="244"/>
      <c r="AF935" s="244"/>
      <c r="AG935" s="244"/>
      <c r="AH935" s="244"/>
      <c r="AI935" s="244"/>
      <c r="AJ935" s="244"/>
      <c r="AK935" s="244"/>
      <c r="AL935" s="244"/>
      <c r="AM935" s="244"/>
      <c r="AN935" s="244"/>
      <c r="AO935" s="244"/>
    </row>
    <row r="936" ht="14.2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4"/>
      <c r="M936" s="244"/>
      <c r="N936" s="348"/>
      <c r="O936" s="244"/>
      <c r="P936" s="244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  <c r="AA936" s="244"/>
      <c r="AB936" s="244"/>
      <c r="AC936" s="244"/>
      <c r="AD936" s="244"/>
      <c r="AE936" s="244"/>
      <c r="AF936" s="244"/>
      <c r="AG936" s="244"/>
      <c r="AH936" s="244"/>
      <c r="AI936" s="244"/>
      <c r="AJ936" s="244"/>
      <c r="AK936" s="244"/>
      <c r="AL936" s="244"/>
      <c r="AM936" s="244"/>
      <c r="AN936" s="244"/>
      <c r="AO936" s="244"/>
    </row>
    <row r="937" ht="14.2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4"/>
      <c r="M937" s="244"/>
      <c r="N937" s="348"/>
      <c r="O937" s="244"/>
      <c r="P937" s="244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  <c r="AA937" s="244"/>
      <c r="AB937" s="244"/>
      <c r="AC937" s="244"/>
      <c r="AD937" s="244"/>
      <c r="AE937" s="244"/>
      <c r="AF937" s="244"/>
      <c r="AG937" s="244"/>
      <c r="AH937" s="244"/>
      <c r="AI937" s="244"/>
      <c r="AJ937" s="244"/>
      <c r="AK937" s="244"/>
      <c r="AL937" s="244"/>
      <c r="AM937" s="244"/>
      <c r="AN937" s="244"/>
      <c r="AO937" s="244"/>
    </row>
    <row r="938" ht="14.2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4"/>
      <c r="M938" s="244"/>
      <c r="N938" s="348"/>
      <c r="O938" s="244"/>
      <c r="P938" s="244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  <c r="AA938" s="244"/>
      <c r="AB938" s="244"/>
      <c r="AC938" s="244"/>
      <c r="AD938" s="244"/>
      <c r="AE938" s="244"/>
      <c r="AF938" s="244"/>
      <c r="AG938" s="244"/>
      <c r="AH938" s="244"/>
      <c r="AI938" s="244"/>
      <c r="AJ938" s="244"/>
      <c r="AK938" s="244"/>
      <c r="AL938" s="244"/>
      <c r="AM938" s="244"/>
      <c r="AN938" s="244"/>
      <c r="AO938" s="244"/>
    </row>
    <row r="939" ht="14.2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4"/>
      <c r="M939" s="244"/>
      <c r="N939" s="348"/>
      <c r="O939" s="244"/>
      <c r="P939" s="244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  <c r="AA939" s="244"/>
      <c r="AB939" s="244"/>
      <c r="AC939" s="244"/>
      <c r="AD939" s="244"/>
      <c r="AE939" s="244"/>
      <c r="AF939" s="244"/>
      <c r="AG939" s="244"/>
      <c r="AH939" s="244"/>
      <c r="AI939" s="244"/>
      <c r="AJ939" s="244"/>
      <c r="AK939" s="244"/>
      <c r="AL939" s="244"/>
      <c r="AM939" s="244"/>
      <c r="AN939" s="244"/>
      <c r="AO939" s="244"/>
    </row>
    <row r="940" ht="14.2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4"/>
      <c r="M940" s="244"/>
      <c r="N940" s="348"/>
      <c r="O940" s="244"/>
      <c r="P940" s="244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  <c r="AA940" s="244"/>
      <c r="AB940" s="244"/>
      <c r="AC940" s="244"/>
      <c r="AD940" s="244"/>
      <c r="AE940" s="244"/>
      <c r="AF940" s="244"/>
      <c r="AG940" s="244"/>
      <c r="AH940" s="244"/>
      <c r="AI940" s="244"/>
      <c r="AJ940" s="244"/>
      <c r="AK940" s="244"/>
      <c r="AL940" s="244"/>
      <c r="AM940" s="244"/>
      <c r="AN940" s="244"/>
      <c r="AO940" s="244"/>
    </row>
    <row r="941" ht="14.2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4"/>
      <c r="M941" s="244"/>
      <c r="N941" s="348"/>
      <c r="O941" s="244"/>
      <c r="P941" s="244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  <c r="AA941" s="244"/>
      <c r="AB941" s="244"/>
      <c r="AC941" s="244"/>
      <c r="AD941" s="244"/>
      <c r="AE941" s="244"/>
      <c r="AF941" s="244"/>
      <c r="AG941" s="244"/>
      <c r="AH941" s="244"/>
      <c r="AI941" s="244"/>
      <c r="AJ941" s="244"/>
      <c r="AK941" s="244"/>
      <c r="AL941" s="244"/>
      <c r="AM941" s="244"/>
      <c r="AN941" s="244"/>
      <c r="AO941" s="244"/>
    </row>
    <row r="942" ht="14.2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4"/>
      <c r="M942" s="244"/>
      <c r="N942" s="348"/>
      <c r="O942" s="244"/>
      <c r="P942" s="244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  <c r="AA942" s="244"/>
      <c r="AB942" s="244"/>
      <c r="AC942" s="244"/>
      <c r="AD942" s="244"/>
      <c r="AE942" s="244"/>
      <c r="AF942" s="244"/>
      <c r="AG942" s="244"/>
      <c r="AH942" s="244"/>
      <c r="AI942" s="244"/>
      <c r="AJ942" s="244"/>
      <c r="AK942" s="244"/>
      <c r="AL942" s="244"/>
      <c r="AM942" s="244"/>
      <c r="AN942" s="244"/>
      <c r="AO942" s="244"/>
    </row>
    <row r="943" ht="14.2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4"/>
      <c r="M943" s="244"/>
      <c r="N943" s="348"/>
      <c r="O943" s="244"/>
      <c r="P943" s="244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  <c r="AA943" s="244"/>
      <c r="AB943" s="244"/>
      <c r="AC943" s="244"/>
      <c r="AD943" s="244"/>
      <c r="AE943" s="244"/>
      <c r="AF943" s="244"/>
      <c r="AG943" s="244"/>
      <c r="AH943" s="244"/>
      <c r="AI943" s="244"/>
      <c r="AJ943" s="244"/>
      <c r="AK943" s="244"/>
      <c r="AL943" s="244"/>
      <c r="AM943" s="244"/>
      <c r="AN943" s="244"/>
      <c r="AO943" s="244"/>
    </row>
    <row r="944" ht="14.2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4"/>
      <c r="M944" s="244"/>
      <c r="N944" s="348"/>
      <c r="O944" s="244"/>
      <c r="P944" s="244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  <c r="AA944" s="244"/>
      <c r="AB944" s="244"/>
      <c r="AC944" s="244"/>
      <c r="AD944" s="244"/>
      <c r="AE944" s="244"/>
      <c r="AF944" s="244"/>
      <c r="AG944" s="244"/>
      <c r="AH944" s="244"/>
      <c r="AI944" s="244"/>
      <c r="AJ944" s="244"/>
      <c r="AK944" s="244"/>
      <c r="AL944" s="244"/>
      <c r="AM944" s="244"/>
      <c r="AN944" s="244"/>
      <c r="AO944" s="244"/>
    </row>
    <row r="945" ht="14.2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4"/>
      <c r="M945" s="244"/>
      <c r="N945" s="348"/>
      <c r="O945" s="244"/>
      <c r="P945" s="244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  <c r="AA945" s="244"/>
      <c r="AB945" s="244"/>
      <c r="AC945" s="244"/>
      <c r="AD945" s="244"/>
      <c r="AE945" s="244"/>
      <c r="AF945" s="244"/>
      <c r="AG945" s="244"/>
      <c r="AH945" s="244"/>
      <c r="AI945" s="244"/>
      <c r="AJ945" s="244"/>
      <c r="AK945" s="244"/>
      <c r="AL945" s="244"/>
      <c r="AM945" s="244"/>
      <c r="AN945" s="244"/>
      <c r="AO945" s="244"/>
    </row>
    <row r="946" ht="14.2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4"/>
      <c r="M946" s="244"/>
      <c r="N946" s="348"/>
      <c r="O946" s="244"/>
      <c r="P946" s="244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  <c r="AA946" s="244"/>
      <c r="AB946" s="244"/>
      <c r="AC946" s="244"/>
      <c r="AD946" s="244"/>
      <c r="AE946" s="244"/>
      <c r="AF946" s="244"/>
      <c r="AG946" s="244"/>
      <c r="AH946" s="244"/>
      <c r="AI946" s="244"/>
      <c r="AJ946" s="244"/>
      <c r="AK946" s="244"/>
      <c r="AL946" s="244"/>
      <c r="AM946" s="244"/>
      <c r="AN946" s="244"/>
      <c r="AO946" s="244"/>
    </row>
    <row r="947" ht="14.2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4"/>
      <c r="M947" s="244"/>
      <c r="N947" s="348"/>
      <c r="O947" s="244"/>
      <c r="P947" s="244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  <c r="AA947" s="244"/>
      <c r="AB947" s="244"/>
      <c r="AC947" s="244"/>
      <c r="AD947" s="244"/>
      <c r="AE947" s="244"/>
      <c r="AF947" s="244"/>
      <c r="AG947" s="244"/>
      <c r="AH947" s="244"/>
      <c r="AI947" s="244"/>
      <c r="AJ947" s="244"/>
      <c r="AK947" s="244"/>
      <c r="AL947" s="244"/>
      <c r="AM947" s="244"/>
      <c r="AN947" s="244"/>
      <c r="AO947" s="244"/>
    </row>
    <row r="948" ht="14.2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4"/>
      <c r="M948" s="244"/>
      <c r="N948" s="348"/>
      <c r="O948" s="244"/>
      <c r="P948" s="244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  <c r="AA948" s="244"/>
      <c r="AB948" s="244"/>
      <c r="AC948" s="244"/>
      <c r="AD948" s="244"/>
      <c r="AE948" s="244"/>
      <c r="AF948" s="244"/>
      <c r="AG948" s="244"/>
      <c r="AH948" s="244"/>
      <c r="AI948" s="244"/>
      <c r="AJ948" s="244"/>
      <c r="AK948" s="244"/>
      <c r="AL948" s="244"/>
      <c r="AM948" s="244"/>
      <c r="AN948" s="244"/>
      <c r="AO948" s="244"/>
    </row>
    <row r="949" ht="14.2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4"/>
      <c r="M949" s="244"/>
      <c r="N949" s="348"/>
      <c r="O949" s="244"/>
      <c r="P949" s="244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  <c r="AA949" s="244"/>
      <c r="AB949" s="244"/>
      <c r="AC949" s="244"/>
      <c r="AD949" s="244"/>
      <c r="AE949" s="244"/>
      <c r="AF949" s="244"/>
      <c r="AG949" s="244"/>
      <c r="AH949" s="244"/>
      <c r="AI949" s="244"/>
      <c r="AJ949" s="244"/>
      <c r="AK949" s="244"/>
      <c r="AL949" s="244"/>
      <c r="AM949" s="244"/>
      <c r="AN949" s="244"/>
      <c r="AO949" s="244"/>
    </row>
    <row r="950" ht="14.2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4"/>
      <c r="M950" s="244"/>
      <c r="N950" s="348"/>
      <c r="O950" s="244"/>
      <c r="P950" s="244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  <c r="AA950" s="244"/>
      <c r="AB950" s="244"/>
      <c r="AC950" s="244"/>
      <c r="AD950" s="244"/>
      <c r="AE950" s="244"/>
      <c r="AF950" s="244"/>
      <c r="AG950" s="244"/>
      <c r="AH950" s="244"/>
      <c r="AI950" s="244"/>
      <c r="AJ950" s="244"/>
      <c r="AK950" s="244"/>
      <c r="AL950" s="244"/>
      <c r="AM950" s="244"/>
      <c r="AN950" s="244"/>
      <c r="AO950" s="244"/>
    </row>
    <row r="951" ht="14.2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4"/>
      <c r="M951" s="244"/>
      <c r="N951" s="348"/>
      <c r="O951" s="244"/>
      <c r="P951" s="244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  <c r="AA951" s="244"/>
      <c r="AB951" s="244"/>
      <c r="AC951" s="244"/>
      <c r="AD951" s="244"/>
      <c r="AE951" s="244"/>
      <c r="AF951" s="244"/>
      <c r="AG951" s="244"/>
      <c r="AH951" s="244"/>
      <c r="AI951" s="244"/>
      <c r="AJ951" s="244"/>
      <c r="AK951" s="244"/>
      <c r="AL951" s="244"/>
      <c r="AM951" s="244"/>
      <c r="AN951" s="244"/>
      <c r="AO951" s="244"/>
    </row>
    <row r="952" ht="14.2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4"/>
      <c r="M952" s="244"/>
      <c r="N952" s="348"/>
      <c r="O952" s="244"/>
      <c r="P952" s="244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  <c r="AA952" s="244"/>
      <c r="AB952" s="244"/>
      <c r="AC952" s="244"/>
      <c r="AD952" s="244"/>
      <c r="AE952" s="244"/>
      <c r="AF952" s="244"/>
      <c r="AG952" s="244"/>
      <c r="AH952" s="244"/>
      <c r="AI952" s="244"/>
      <c r="AJ952" s="244"/>
      <c r="AK952" s="244"/>
      <c r="AL952" s="244"/>
      <c r="AM952" s="244"/>
      <c r="AN952" s="244"/>
      <c r="AO952" s="244"/>
    </row>
    <row r="953" ht="14.2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4"/>
      <c r="M953" s="244"/>
      <c r="N953" s="348"/>
      <c r="O953" s="244"/>
      <c r="P953" s="244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  <c r="AA953" s="244"/>
      <c r="AB953" s="244"/>
      <c r="AC953" s="244"/>
      <c r="AD953" s="244"/>
      <c r="AE953" s="244"/>
      <c r="AF953" s="244"/>
      <c r="AG953" s="244"/>
      <c r="AH953" s="244"/>
      <c r="AI953" s="244"/>
      <c r="AJ953" s="244"/>
      <c r="AK953" s="244"/>
      <c r="AL953" s="244"/>
      <c r="AM953" s="244"/>
      <c r="AN953" s="244"/>
      <c r="AO953" s="244"/>
    </row>
    <row r="954" ht="14.2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4"/>
      <c r="M954" s="244"/>
      <c r="N954" s="348"/>
      <c r="O954" s="244"/>
      <c r="P954" s="244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  <c r="AA954" s="244"/>
      <c r="AB954" s="244"/>
      <c r="AC954" s="244"/>
      <c r="AD954" s="244"/>
      <c r="AE954" s="244"/>
      <c r="AF954" s="244"/>
      <c r="AG954" s="244"/>
      <c r="AH954" s="244"/>
      <c r="AI954" s="244"/>
      <c r="AJ954" s="244"/>
      <c r="AK954" s="244"/>
      <c r="AL954" s="244"/>
      <c r="AM954" s="244"/>
      <c r="AN954" s="244"/>
      <c r="AO954" s="244"/>
    </row>
    <row r="955" ht="14.2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4"/>
      <c r="M955" s="244"/>
      <c r="N955" s="348"/>
      <c r="O955" s="244"/>
      <c r="P955" s="244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  <c r="AA955" s="244"/>
      <c r="AB955" s="244"/>
      <c r="AC955" s="244"/>
      <c r="AD955" s="244"/>
      <c r="AE955" s="244"/>
      <c r="AF955" s="244"/>
      <c r="AG955" s="244"/>
      <c r="AH955" s="244"/>
      <c r="AI955" s="244"/>
      <c r="AJ955" s="244"/>
      <c r="AK955" s="244"/>
      <c r="AL955" s="244"/>
      <c r="AM955" s="244"/>
      <c r="AN955" s="244"/>
      <c r="AO955" s="244"/>
    </row>
    <row r="956" ht="14.2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4"/>
      <c r="M956" s="244"/>
      <c r="N956" s="348"/>
      <c r="O956" s="244"/>
      <c r="P956" s="244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  <c r="AA956" s="244"/>
      <c r="AB956" s="244"/>
      <c r="AC956" s="244"/>
      <c r="AD956" s="244"/>
      <c r="AE956" s="244"/>
      <c r="AF956" s="244"/>
      <c r="AG956" s="244"/>
      <c r="AH956" s="244"/>
      <c r="AI956" s="244"/>
      <c r="AJ956" s="244"/>
      <c r="AK956" s="244"/>
      <c r="AL956" s="244"/>
      <c r="AM956" s="244"/>
      <c r="AN956" s="244"/>
      <c r="AO956" s="244"/>
    </row>
    <row r="957" ht="14.2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4"/>
      <c r="M957" s="244"/>
      <c r="N957" s="348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  <c r="AA957" s="244"/>
      <c r="AB957" s="244"/>
      <c r="AC957" s="244"/>
      <c r="AD957" s="244"/>
      <c r="AE957" s="244"/>
      <c r="AF957" s="244"/>
      <c r="AG957" s="244"/>
      <c r="AH957" s="244"/>
      <c r="AI957" s="244"/>
      <c r="AJ957" s="244"/>
      <c r="AK957" s="244"/>
      <c r="AL957" s="244"/>
      <c r="AM957" s="244"/>
      <c r="AN957" s="244"/>
      <c r="AO957" s="244"/>
    </row>
    <row r="958" ht="14.2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4"/>
      <c r="M958" s="244"/>
      <c r="N958" s="348"/>
      <c r="O958" s="244"/>
      <c r="P958" s="244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  <c r="AA958" s="244"/>
      <c r="AB958" s="244"/>
      <c r="AC958" s="244"/>
      <c r="AD958" s="244"/>
      <c r="AE958" s="244"/>
      <c r="AF958" s="244"/>
      <c r="AG958" s="244"/>
      <c r="AH958" s="244"/>
      <c r="AI958" s="244"/>
      <c r="AJ958" s="244"/>
      <c r="AK958" s="244"/>
      <c r="AL958" s="244"/>
      <c r="AM958" s="244"/>
      <c r="AN958" s="244"/>
      <c r="AO958" s="244"/>
    </row>
    <row r="959" ht="14.2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4"/>
      <c r="M959" s="244"/>
      <c r="N959" s="348"/>
      <c r="O959" s="244"/>
      <c r="P959" s="244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  <c r="AA959" s="244"/>
      <c r="AB959" s="244"/>
      <c r="AC959" s="244"/>
      <c r="AD959" s="244"/>
      <c r="AE959" s="244"/>
      <c r="AF959" s="244"/>
      <c r="AG959" s="244"/>
      <c r="AH959" s="244"/>
      <c r="AI959" s="244"/>
      <c r="AJ959" s="244"/>
      <c r="AK959" s="244"/>
      <c r="AL959" s="244"/>
      <c r="AM959" s="244"/>
      <c r="AN959" s="244"/>
      <c r="AO959" s="244"/>
    </row>
    <row r="960" ht="14.2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4"/>
      <c r="M960" s="244"/>
      <c r="N960" s="348"/>
      <c r="O960" s="244"/>
      <c r="P960" s="244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  <c r="AA960" s="244"/>
      <c r="AB960" s="244"/>
      <c r="AC960" s="244"/>
      <c r="AD960" s="244"/>
      <c r="AE960" s="244"/>
      <c r="AF960" s="244"/>
      <c r="AG960" s="244"/>
      <c r="AH960" s="244"/>
      <c r="AI960" s="244"/>
      <c r="AJ960" s="244"/>
      <c r="AK960" s="244"/>
      <c r="AL960" s="244"/>
      <c r="AM960" s="244"/>
      <c r="AN960" s="244"/>
      <c r="AO960" s="244"/>
    </row>
    <row r="961" ht="14.2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4"/>
      <c r="M961" s="244"/>
      <c r="N961" s="348"/>
      <c r="O961" s="244"/>
      <c r="P961" s="244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  <c r="AA961" s="244"/>
      <c r="AB961" s="244"/>
      <c r="AC961" s="244"/>
      <c r="AD961" s="244"/>
      <c r="AE961" s="244"/>
      <c r="AF961" s="244"/>
      <c r="AG961" s="244"/>
      <c r="AH961" s="244"/>
      <c r="AI961" s="244"/>
      <c r="AJ961" s="244"/>
      <c r="AK961" s="244"/>
      <c r="AL961" s="244"/>
      <c r="AM961" s="244"/>
      <c r="AN961" s="244"/>
      <c r="AO961" s="244"/>
    </row>
    <row r="962" ht="14.2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4"/>
      <c r="M962" s="244"/>
      <c r="N962" s="348"/>
      <c r="O962" s="244"/>
      <c r="P962" s="244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  <c r="AA962" s="244"/>
      <c r="AB962" s="244"/>
      <c r="AC962" s="244"/>
      <c r="AD962" s="244"/>
      <c r="AE962" s="244"/>
      <c r="AF962" s="244"/>
      <c r="AG962" s="244"/>
      <c r="AH962" s="244"/>
      <c r="AI962" s="244"/>
      <c r="AJ962" s="244"/>
      <c r="AK962" s="244"/>
      <c r="AL962" s="244"/>
      <c r="AM962" s="244"/>
      <c r="AN962" s="244"/>
      <c r="AO962" s="244"/>
    </row>
    <row r="963" ht="14.2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4"/>
      <c r="M963" s="244"/>
      <c r="N963" s="348"/>
      <c r="O963" s="244"/>
      <c r="P963" s="244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  <c r="AA963" s="244"/>
      <c r="AB963" s="244"/>
      <c r="AC963" s="244"/>
      <c r="AD963" s="244"/>
      <c r="AE963" s="244"/>
      <c r="AF963" s="244"/>
      <c r="AG963" s="244"/>
      <c r="AH963" s="244"/>
      <c r="AI963" s="244"/>
      <c r="AJ963" s="244"/>
      <c r="AK963" s="244"/>
      <c r="AL963" s="244"/>
      <c r="AM963" s="244"/>
      <c r="AN963" s="244"/>
      <c r="AO963" s="244"/>
    </row>
    <row r="964" ht="14.2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4"/>
      <c r="M964" s="244"/>
      <c r="N964" s="348"/>
      <c r="O964" s="244"/>
      <c r="P964" s="244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  <c r="AA964" s="244"/>
      <c r="AB964" s="244"/>
      <c r="AC964" s="244"/>
      <c r="AD964" s="244"/>
      <c r="AE964" s="244"/>
      <c r="AF964" s="244"/>
      <c r="AG964" s="244"/>
      <c r="AH964" s="244"/>
      <c r="AI964" s="244"/>
      <c r="AJ964" s="244"/>
      <c r="AK964" s="244"/>
      <c r="AL964" s="244"/>
      <c r="AM964" s="244"/>
      <c r="AN964" s="244"/>
      <c r="AO964" s="244"/>
    </row>
    <row r="965" ht="14.2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4"/>
      <c r="M965" s="244"/>
      <c r="N965" s="348"/>
      <c r="O965" s="244"/>
      <c r="P965" s="244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  <c r="AA965" s="244"/>
      <c r="AB965" s="244"/>
      <c r="AC965" s="244"/>
      <c r="AD965" s="244"/>
      <c r="AE965" s="244"/>
      <c r="AF965" s="244"/>
      <c r="AG965" s="244"/>
      <c r="AH965" s="244"/>
      <c r="AI965" s="244"/>
      <c r="AJ965" s="244"/>
      <c r="AK965" s="244"/>
      <c r="AL965" s="244"/>
      <c r="AM965" s="244"/>
      <c r="AN965" s="244"/>
      <c r="AO965" s="244"/>
    </row>
    <row r="966" ht="14.2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4"/>
      <c r="M966" s="244"/>
      <c r="N966" s="348"/>
      <c r="O966" s="244"/>
      <c r="P966" s="244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  <c r="AA966" s="244"/>
      <c r="AB966" s="244"/>
      <c r="AC966" s="244"/>
      <c r="AD966" s="244"/>
      <c r="AE966" s="244"/>
      <c r="AF966" s="244"/>
      <c r="AG966" s="244"/>
      <c r="AH966" s="244"/>
      <c r="AI966" s="244"/>
      <c r="AJ966" s="244"/>
      <c r="AK966" s="244"/>
      <c r="AL966" s="244"/>
      <c r="AM966" s="244"/>
      <c r="AN966" s="244"/>
      <c r="AO966" s="244"/>
    </row>
    <row r="967" ht="14.2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4"/>
      <c r="M967" s="244"/>
      <c r="N967" s="348"/>
      <c r="O967" s="244"/>
      <c r="P967" s="244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  <c r="AA967" s="244"/>
      <c r="AB967" s="244"/>
      <c r="AC967" s="244"/>
      <c r="AD967" s="244"/>
      <c r="AE967" s="244"/>
      <c r="AF967" s="244"/>
      <c r="AG967" s="244"/>
      <c r="AH967" s="244"/>
      <c r="AI967" s="244"/>
      <c r="AJ967" s="244"/>
      <c r="AK967" s="244"/>
      <c r="AL967" s="244"/>
      <c r="AM967" s="244"/>
      <c r="AN967" s="244"/>
      <c r="AO967" s="244"/>
    </row>
    <row r="968" ht="14.2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4"/>
      <c r="M968" s="244"/>
      <c r="N968" s="348"/>
      <c r="O968" s="244"/>
      <c r="P968" s="244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  <c r="AA968" s="244"/>
      <c r="AB968" s="244"/>
      <c r="AC968" s="244"/>
      <c r="AD968" s="244"/>
      <c r="AE968" s="244"/>
      <c r="AF968" s="244"/>
      <c r="AG968" s="244"/>
      <c r="AH968" s="244"/>
      <c r="AI968" s="244"/>
      <c r="AJ968" s="244"/>
      <c r="AK968" s="244"/>
      <c r="AL968" s="244"/>
      <c r="AM968" s="244"/>
      <c r="AN968" s="244"/>
      <c r="AO968" s="244"/>
    </row>
    <row r="969" ht="14.2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4"/>
      <c r="M969" s="244"/>
      <c r="N969" s="348"/>
      <c r="O969" s="244"/>
      <c r="P969" s="244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  <c r="AA969" s="244"/>
      <c r="AB969" s="244"/>
      <c r="AC969" s="244"/>
      <c r="AD969" s="244"/>
      <c r="AE969" s="244"/>
      <c r="AF969" s="244"/>
      <c r="AG969" s="244"/>
      <c r="AH969" s="244"/>
      <c r="AI969" s="244"/>
      <c r="AJ969" s="244"/>
      <c r="AK969" s="244"/>
      <c r="AL969" s="244"/>
      <c r="AM969" s="244"/>
      <c r="AN969" s="244"/>
      <c r="AO969" s="244"/>
    </row>
    <row r="970" ht="14.2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4"/>
      <c r="M970" s="244"/>
      <c r="N970" s="348"/>
      <c r="O970" s="244"/>
      <c r="P970" s="244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  <c r="AA970" s="244"/>
      <c r="AB970" s="244"/>
      <c r="AC970" s="244"/>
      <c r="AD970" s="244"/>
      <c r="AE970" s="244"/>
      <c r="AF970" s="244"/>
      <c r="AG970" s="244"/>
      <c r="AH970" s="244"/>
      <c r="AI970" s="244"/>
      <c r="AJ970" s="244"/>
      <c r="AK970" s="244"/>
      <c r="AL970" s="244"/>
      <c r="AM970" s="244"/>
      <c r="AN970" s="244"/>
      <c r="AO970" s="244"/>
    </row>
    <row r="971" ht="14.2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4"/>
      <c r="M971" s="244"/>
      <c r="N971" s="348"/>
      <c r="O971" s="244"/>
      <c r="P971" s="244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  <c r="AA971" s="244"/>
      <c r="AB971" s="244"/>
      <c r="AC971" s="244"/>
      <c r="AD971" s="244"/>
      <c r="AE971" s="244"/>
      <c r="AF971" s="244"/>
      <c r="AG971" s="244"/>
      <c r="AH971" s="244"/>
      <c r="AI971" s="244"/>
      <c r="AJ971" s="244"/>
      <c r="AK971" s="244"/>
      <c r="AL971" s="244"/>
      <c r="AM971" s="244"/>
      <c r="AN971" s="244"/>
      <c r="AO971" s="244"/>
    </row>
    <row r="972" ht="14.2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4"/>
      <c r="M972" s="244"/>
      <c r="N972" s="348"/>
      <c r="O972" s="244"/>
      <c r="P972" s="244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  <c r="AA972" s="244"/>
      <c r="AB972" s="244"/>
      <c r="AC972" s="244"/>
      <c r="AD972" s="244"/>
      <c r="AE972" s="244"/>
      <c r="AF972" s="244"/>
      <c r="AG972" s="244"/>
      <c r="AH972" s="244"/>
      <c r="AI972" s="244"/>
      <c r="AJ972" s="244"/>
      <c r="AK972" s="244"/>
      <c r="AL972" s="244"/>
      <c r="AM972" s="244"/>
      <c r="AN972" s="244"/>
      <c r="AO972" s="244"/>
    </row>
    <row r="973" ht="14.2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4"/>
      <c r="M973" s="244"/>
      <c r="N973" s="348"/>
      <c r="O973" s="244"/>
      <c r="P973" s="244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  <c r="AA973" s="244"/>
      <c r="AB973" s="244"/>
      <c r="AC973" s="244"/>
      <c r="AD973" s="244"/>
      <c r="AE973" s="244"/>
      <c r="AF973" s="244"/>
      <c r="AG973" s="244"/>
      <c r="AH973" s="244"/>
      <c r="AI973" s="244"/>
      <c r="AJ973" s="244"/>
      <c r="AK973" s="244"/>
      <c r="AL973" s="244"/>
      <c r="AM973" s="244"/>
      <c r="AN973" s="244"/>
      <c r="AO973" s="244"/>
    </row>
    <row r="974" ht="14.2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4"/>
      <c r="M974" s="244"/>
      <c r="N974" s="348"/>
      <c r="O974" s="244"/>
      <c r="P974" s="244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  <c r="AA974" s="244"/>
      <c r="AB974" s="244"/>
      <c r="AC974" s="244"/>
      <c r="AD974" s="244"/>
      <c r="AE974" s="244"/>
      <c r="AF974" s="244"/>
      <c r="AG974" s="244"/>
      <c r="AH974" s="244"/>
      <c r="AI974" s="244"/>
      <c r="AJ974" s="244"/>
      <c r="AK974" s="244"/>
      <c r="AL974" s="244"/>
      <c r="AM974" s="244"/>
      <c r="AN974" s="244"/>
      <c r="AO974" s="244"/>
    </row>
    <row r="975" ht="14.2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4"/>
      <c r="M975" s="244"/>
      <c r="N975" s="348"/>
      <c r="O975" s="244"/>
      <c r="P975" s="244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  <c r="AA975" s="244"/>
      <c r="AB975" s="244"/>
      <c r="AC975" s="244"/>
      <c r="AD975" s="244"/>
      <c r="AE975" s="244"/>
      <c r="AF975" s="244"/>
      <c r="AG975" s="244"/>
      <c r="AH975" s="244"/>
      <c r="AI975" s="244"/>
      <c r="AJ975" s="244"/>
      <c r="AK975" s="244"/>
      <c r="AL975" s="244"/>
      <c r="AM975" s="244"/>
      <c r="AN975" s="244"/>
      <c r="AO975" s="244"/>
    </row>
    <row r="976" ht="14.2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4"/>
      <c r="M976" s="244"/>
      <c r="N976" s="348"/>
      <c r="O976" s="244"/>
      <c r="P976" s="244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  <c r="AA976" s="244"/>
      <c r="AB976" s="244"/>
      <c r="AC976" s="244"/>
      <c r="AD976" s="244"/>
      <c r="AE976" s="244"/>
      <c r="AF976" s="244"/>
      <c r="AG976" s="244"/>
      <c r="AH976" s="244"/>
      <c r="AI976" s="244"/>
      <c r="AJ976" s="244"/>
      <c r="AK976" s="244"/>
      <c r="AL976" s="244"/>
      <c r="AM976" s="244"/>
      <c r="AN976" s="244"/>
      <c r="AO976" s="244"/>
    </row>
    <row r="977" ht="14.2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4"/>
      <c r="M977" s="244"/>
      <c r="N977" s="348"/>
      <c r="O977" s="244"/>
      <c r="P977" s="244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  <c r="AA977" s="244"/>
      <c r="AB977" s="244"/>
      <c r="AC977" s="244"/>
      <c r="AD977" s="244"/>
      <c r="AE977" s="244"/>
      <c r="AF977" s="244"/>
      <c r="AG977" s="244"/>
      <c r="AH977" s="244"/>
      <c r="AI977" s="244"/>
      <c r="AJ977" s="244"/>
      <c r="AK977" s="244"/>
      <c r="AL977" s="244"/>
      <c r="AM977" s="244"/>
      <c r="AN977" s="244"/>
      <c r="AO977" s="244"/>
    </row>
    <row r="978" ht="14.2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4"/>
      <c r="M978" s="244"/>
      <c r="N978" s="348"/>
      <c r="O978" s="244"/>
      <c r="P978" s="244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  <c r="AA978" s="244"/>
      <c r="AB978" s="244"/>
      <c r="AC978" s="244"/>
      <c r="AD978" s="244"/>
      <c r="AE978" s="244"/>
      <c r="AF978" s="244"/>
      <c r="AG978" s="244"/>
      <c r="AH978" s="244"/>
      <c r="AI978" s="244"/>
      <c r="AJ978" s="244"/>
      <c r="AK978" s="244"/>
      <c r="AL978" s="244"/>
      <c r="AM978" s="244"/>
      <c r="AN978" s="244"/>
      <c r="AO978" s="244"/>
    </row>
    <row r="979" ht="14.2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4"/>
      <c r="M979" s="244"/>
      <c r="N979" s="348"/>
      <c r="O979" s="244"/>
      <c r="P979" s="244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  <c r="AA979" s="244"/>
      <c r="AB979" s="244"/>
      <c r="AC979" s="244"/>
      <c r="AD979" s="244"/>
      <c r="AE979" s="244"/>
      <c r="AF979" s="244"/>
      <c r="AG979" s="244"/>
      <c r="AH979" s="244"/>
      <c r="AI979" s="244"/>
      <c r="AJ979" s="244"/>
      <c r="AK979" s="244"/>
      <c r="AL979" s="244"/>
      <c r="AM979" s="244"/>
      <c r="AN979" s="244"/>
      <c r="AO979" s="244"/>
    </row>
    <row r="980" ht="14.2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4"/>
      <c r="M980" s="244"/>
      <c r="N980" s="348"/>
      <c r="O980" s="244"/>
      <c r="P980" s="244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  <c r="AA980" s="244"/>
      <c r="AB980" s="244"/>
      <c r="AC980" s="244"/>
      <c r="AD980" s="244"/>
      <c r="AE980" s="244"/>
      <c r="AF980" s="244"/>
      <c r="AG980" s="244"/>
      <c r="AH980" s="244"/>
      <c r="AI980" s="244"/>
      <c r="AJ980" s="244"/>
      <c r="AK980" s="244"/>
      <c r="AL980" s="244"/>
      <c r="AM980" s="244"/>
      <c r="AN980" s="244"/>
      <c r="AO980" s="244"/>
    </row>
    <row r="981" ht="14.2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4"/>
      <c r="M981" s="244"/>
      <c r="N981" s="348"/>
      <c r="O981" s="244"/>
      <c r="P981" s="244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4"/>
      <c r="AM981" s="244"/>
      <c r="AN981" s="244"/>
      <c r="AO981" s="244"/>
    </row>
    <row r="982" ht="14.2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4"/>
      <c r="M982" s="244"/>
      <c r="N982" s="348"/>
      <c r="O982" s="244"/>
      <c r="P982" s="244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  <c r="AA982" s="244"/>
      <c r="AB982" s="244"/>
      <c r="AC982" s="244"/>
      <c r="AD982" s="244"/>
      <c r="AE982" s="244"/>
      <c r="AF982" s="244"/>
      <c r="AG982" s="244"/>
      <c r="AH982" s="244"/>
      <c r="AI982" s="244"/>
      <c r="AJ982" s="244"/>
      <c r="AK982" s="244"/>
      <c r="AL982" s="244"/>
      <c r="AM982" s="244"/>
      <c r="AN982" s="244"/>
      <c r="AO982" s="244"/>
    </row>
    <row r="983" ht="14.2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4"/>
      <c r="M983" s="244"/>
      <c r="N983" s="348"/>
      <c r="O983" s="244"/>
      <c r="P983" s="244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  <c r="AA983" s="244"/>
      <c r="AB983" s="244"/>
      <c r="AC983" s="244"/>
      <c r="AD983" s="244"/>
      <c r="AE983" s="244"/>
      <c r="AF983" s="244"/>
      <c r="AG983" s="244"/>
      <c r="AH983" s="244"/>
      <c r="AI983" s="244"/>
      <c r="AJ983" s="244"/>
      <c r="AK983" s="244"/>
      <c r="AL983" s="244"/>
      <c r="AM983" s="244"/>
      <c r="AN983" s="244"/>
      <c r="AO983" s="244"/>
    </row>
    <row r="984" ht="14.2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4"/>
      <c r="M984" s="244"/>
      <c r="N984" s="348"/>
      <c r="O984" s="244"/>
      <c r="P984" s="244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  <c r="AA984" s="244"/>
      <c r="AB984" s="244"/>
      <c r="AC984" s="244"/>
      <c r="AD984" s="244"/>
      <c r="AE984" s="244"/>
      <c r="AF984" s="244"/>
      <c r="AG984" s="244"/>
      <c r="AH984" s="244"/>
      <c r="AI984" s="244"/>
      <c r="AJ984" s="244"/>
      <c r="AK984" s="244"/>
      <c r="AL984" s="244"/>
      <c r="AM984" s="244"/>
      <c r="AN984" s="244"/>
      <c r="AO984" s="244"/>
    </row>
    <row r="985" ht="14.2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4"/>
      <c r="M985" s="244"/>
      <c r="N985" s="348"/>
      <c r="O985" s="244"/>
      <c r="P985" s="244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  <c r="AA985" s="244"/>
      <c r="AB985" s="244"/>
      <c r="AC985" s="244"/>
      <c r="AD985" s="244"/>
      <c r="AE985" s="244"/>
      <c r="AF985" s="244"/>
      <c r="AG985" s="244"/>
      <c r="AH985" s="244"/>
      <c r="AI985" s="244"/>
      <c r="AJ985" s="244"/>
      <c r="AK985" s="244"/>
      <c r="AL985" s="244"/>
      <c r="AM985" s="244"/>
      <c r="AN985" s="244"/>
      <c r="AO985" s="244"/>
    </row>
    <row r="986" ht="14.2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4"/>
      <c r="M986" s="244"/>
      <c r="N986" s="348"/>
      <c r="O986" s="244"/>
      <c r="P986" s="244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4"/>
      <c r="AM986" s="244"/>
      <c r="AN986" s="244"/>
      <c r="AO986" s="244"/>
    </row>
    <row r="987" ht="14.2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4"/>
      <c r="M987" s="244"/>
      <c r="N987" s="348"/>
      <c r="O987" s="244"/>
      <c r="P987" s="244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  <c r="AA987" s="244"/>
      <c r="AB987" s="244"/>
      <c r="AC987" s="244"/>
      <c r="AD987" s="244"/>
      <c r="AE987" s="244"/>
      <c r="AF987" s="244"/>
      <c r="AG987" s="244"/>
      <c r="AH987" s="244"/>
      <c r="AI987" s="244"/>
      <c r="AJ987" s="244"/>
      <c r="AK987" s="244"/>
      <c r="AL987" s="244"/>
      <c r="AM987" s="244"/>
      <c r="AN987" s="244"/>
      <c r="AO987" s="244"/>
    </row>
    <row r="988" ht="14.2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4"/>
      <c r="M988" s="244"/>
      <c r="N988" s="348"/>
      <c r="O988" s="244"/>
      <c r="P988" s="244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  <c r="AA988" s="244"/>
      <c r="AB988" s="244"/>
      <c r="AC988" s="244"/>
      <c r="AD988" s="244"/>
      <c r="AE988" s="244"/>
      <c r="AF988" s="244"/>
      <c r="AG988" s="244"/>
      <c r="AH988" s="244"/>
      <c r="AI988" s="244"/>
      <c r="AJ988" s="244"/>
      <c r="AK988" s="244"/>
      <c r="AL988" s="244"/>
      <c r="AM988" s="244"/>
      <c r="AN988" s="244"/>
      <c r="AO988" s="244"/>
    </row>
    <row r="989" ht="14.2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4"/>
      <c r="M989" s="244"/>
      <c r="N989" s="348"/>
      <c r="O989" s="244"/>
      <c r="P989" s="244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  <c r="AA989" s="244"/>
      <c r="AB989" s="244"/>
      <c r="AC989" s="244"/>
      <c r="AD989" s="244"/>
      <c r="AE989" s="244"/>
      <c r="AF989" s="244"/>
      <c r="AG989" s="244"/>
      <c r="AH989" s="244"/>
      <c r="AI989" s="244"/>
      <c r="AJ989" s="244"/>
      <c r="AK989" s="244"/>
      <c r="AL989" s="244"/>
      <c r="AM989" s="244"/>
      <c r="AN989" s="244"/>
      <c r="AO989" s="244"/>
    </row>
    <row r="990" ht="14.2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4"/>
      <c r="M990" s="244"/>
      <c r="N990" s="348"/>
      <c r="O990" s="244"/>
      <c r="P990" s="244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  <c r="AA990" s="244"/>
      <c r="AB990" s="244"/>
      <c r="AC990" s="244"/>
      <c r="AD990" s="244"/>
      <c r="AE990" s="244"/>
      <c r="AF990" s="244"/>
      <c r="AG990" s="244"/>
      <c r="AH990" s="244"/>
      <c r="AI990" s="244"/>
      <c r="AJ990" s="244"/>
      <c r="AK990" s="244"/>
      <c r="AL990" s="244"/>
      <c r="AM990" s="244"/>
      <c r="AN990" s="244"/>
      <c r="AO990" s="244"/>
    </row>
    <row r="991" ht="14.2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4"/>
      <c r="M991" s="244"/>
      <c r="N991" s="348"/>
      <c r="O991" s="244"/>
      <c r="P991" s="244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4"/>
      <c r="AM991" s="244"/>
      <c r="AN991" s="244"/>
      <c r="AO991" s="244"/>
    </row>
    <row r="992" ht="14.2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4"/>
      <c r="M992" s="244"/>
      <c r="N992" s="348"/>
      <c r="O992" s="244"/>
      <c r="P992" s="244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4"/>
      <c r="AM992" s="244"/>
      <c r="AN992" s="244"/>
      <c r="AO992" s="244"/>
    </row>
    <row r="993" ht="14.2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4"/>
      <c r="M993" s="244"/>
      <c r="N993" s="348"/>
      <c r="O993" s="244"/>
      <c r="P993" s="244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  <c r="AA993" s="244"/>
      <c r="AB993" s="244"/>
      <c r="AC993" s="244"/>
      <c r="AD993" s="244"/>
      <c r="AE993" s="244"/>
      <c r="AF993" s="244"/>
      <c r="AG993" s="244"/>
      <c r="AH993" s="244"/>
      <c r="AI993" s="244"/>
      <c r="AJ993" s="244"/>
      <c r="AK993" s="244"/>
      <c r="AL993" s="244"/>
      <c r="AM993" s="244"/>
      <c r="AN993" s="244"/>
      <c r="AO993" s="244"/>
    </row>
    <row r="994" ht="14.2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4"/>
      <c r="M994" s="244"/>
      <c r="N994" s="348"/>
      <c r="O994" s="244"/>
      <c r="P994" s="244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  <c r="AA994" s="244"/>
      <c r="AB994" s="244"/>
      <c r="AC994" s="244"/>
      <c r="AD994" s="244"/>
      <c r="AE994" s="244"/>
      <c r="AF994" s="244"/>
      <c r="AG994" s="244"/>
      <c r="AH994" s="244"/>
      <c r="AI994" s="244"/>
      <c r="AJ994" s="244"/>
      <c r="AK994" s="244"/>
      <c r="AL994" s="244"/>
      <c r="AM994" s="244"/>
      <c r="AN994" s="244"/>
      <c r="AO994" s="244"/>
    </row>
    <row r="995" ht="14.2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4"/>
      <c r="M995" s="244"/>
      <c r="N995" s="348"/>
      <c r="O995" s="244"/>
      <c r="P995" s="244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  <c r="AA995" s="244"/>
      <c r="AB995" s="244"/>
      <c r="AC995" s="244"/>
      <c r="AD995" s="244"/>
      <c r="AE995" s="244"/>
      <c r="AF995" s="244"/>
      <c r="AG995" s="244"/>
      <c r="AH995" s="244"/>
      <c r="AI995" s="244"/>
      <c r="AJ995" s="244"/>
      <c r="AK995" s="244"/>
      <c r="AL995" s="244"/>
      <c r="AM995" s="244"/>
      <c r="AN995" s="244"/>
      <c r="AO995" s="244"/>
    </row>
    <row r="996" ht="14.2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4"/>
      <c r="M996" s="244"/>
      <c r="N996" s="348"/>
      <c r="O996" s="244"/>
      <c r="P996" s="244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4"/>
      <c r="AM996" s="244"/>
      <c r="AN996" s="244"/>
      <c r="AO996" s="244"/>
    </row>
    <row r="997" ht="14.2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4"/>
      <c r="M997" s="244"/>
      <c r="N997" s="348"/>
      <c r="O997" s="244"/>
      <c r="P997" s="244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4"/>
      <c r="AM997" s="244"/>
      <c r="AN997" s="244"/>
      <c r="AO997" s="244"/>
    </row>
    <row r="998" ht="14.2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4"/>
      <c r="M998" s="244"/>
      <c r="N998" s="348"/>
      <c r="O998" s="244"/>
      <c r="P998" s="244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  <c r="AA998" s="244"/>
      <c r="AB998" s="244"/>
      <c r="AC998" s="244"/>
      <c r="AD998" s="244"/>
      <c r="AE998" s="244"/>
      <c r="AF998" s="244"/>
      <c r="AG998" s="244"/>
      <c r="AH998" s="244"/>
      <c r="AI998" s="244"/>
      <c r="AJ998" s="244"/>
      <c r="AK998" s="244"/>
      <c r="AL998" s="244"/>
      <c r="AM998" s="244"/>
      <c r="AN998" s="244"/>
      <c r="AO998" s="244"/>
    </row>
    <row r="999" ht="14.2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4"/>
      <c r="M999" s="244"/>
      <c r="N999" s="348"/>
      <c r="O999" s="244"/>
      <c r="P999" s="244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  <c r="AA999" s="244"/>
      <c r="AB999" s="244"/>
      <c r="AC999" s="244"/>
      <c r="AD999" s="244"/>
      <c r="AE999" s="244"/>
      <c r="AF999" s="244"/>
      <c r="AG999" s="244"/>
      <c r="AH999" s="244"/>
      <c r="AI999" s="244"/>
      <c r="AJ999" s="244"/>
      <c r="AK999" s="244"/>
      <c r="AL999" s="244"/>
      <c r="AM999" s="244"/>
      <c r="AN999" s="244"/>
      <c r="AO999" s="244"/>
    </row>
    <row r="1000" ht="14.25" customHeight="1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4"/>
      <c r="M1000" s="244"/>
      <c r="N1000" s="348"/>
      <c r="O1000" s="244"/>
      <c r="P1000" s="244"/>
      <c r="Q1000" s="244"/>
      <c r="R1000" s="244"/>
      <c r="S1000" s="244"/>
      <c r="T1000" s="244"/>
      <c r="U1000" s="244"/>
      <c r="V1000" s="244"/>
      <c r="W1000" s="244"/>
      <c r="X1000" s="244"/>
      <c r="Y1000" s="244"/>
      <c r="Z1000" s="244"/>
      <c r="AA1000" s="244"/>
      <c r="AB1000" s="244"/>
      <c r="AC1000" s="244"/>
      <c r="AD1000" s="244"/>
      <c r="AE1000" s="244"/>
      <c r="AF1000" s="244"/>
      <c r="AG1000" s="244"/>
      <c r="AH1000" s="244"/>
      <c r="AI1000" s="244"/>
      <c r="AJ1000" s="244"/>
      <c r="AK1000" s="244"/>
      <c r="AL1000" s="244"/>
      <c r="AM1000" s="244"/>
      <c r="AN1000" s="244"/>
      <c r="AO1000" s="244"/>
    </row>
  </sheetData>
  <mergeCells count="615">
    <mergeCell ref="A93:B93"/>
    <mergeCell ref="C93:D93"/>
    <mergeCell ref="E93:F93"/>
    <mergeCell ref="G93:H93"/>
    <mergeCell ref="I93:J93"/>
    <mergeCell ref="K93:L93"/>
    <mergeCell ref="A94:B94"/>
    <mergeCell ref="K94:L94"/>
    <mergeCell ref="M99:AC99"/>
    <mergeCell ref="M100:AC100"/>
    <mergeCell ref="C101:D101"/>
    <mergeCell ref="M101:AC101"/>
    <mergeCell ref="G94:H94"/>
    <mergeCell ref="I94:J94"/>
    <mergeCell ref="M97:AC98"/>
    <mergeCell ref="A98:I98"/>
    <mergeCell ref="A100:B101"/>
    <mergeCell ref="C100:G100"/>
    <mergeCell ref="H100:I101"/>
    <mergeCell ref="C102:D102"/>
    <mergeCell ref="H102:I102"/>
    <mergeCell ref="M102:AC102"/>
    <mergeCell ref="M103:AC103"/>
    <mergeCell ref="A104:I104"/>
    <mergeCell ref="M104:AC104"/>
    <mergeCell ref="A106:J106"/>
    <mergeCell ref="A102:B102"/>
    <mergeCell ref="A108:C108"/>
    <mergeCell ref="D108:F108"/>
    <mergeCell ref="G108:I108"/>
    <mergeCell ref="J108:L108"/>
    <mergeCell ref="A109:C109"/>
    <mergeCell ref="D109:F109"/>
    <mergeCell ref="I135:V135"/>
    <mergeCell ref="I136:V136"/>
    <mergeCell ref="I137:V137"/>
    <mergeCell ref="I138:X138"/>
    <mergeCell ref="S141:Z141"/>
    <mergeCell ref="D127:F127"/>
    <mergeCell ref="G127:I127"/>
    <mergeCell ref="J127:T127"/>
    <mergeCell ref="J128:U128"/>
    <mergeCell ref="A129:R129"/>
    <mergeCell ref="I133:V133"/>
    <mergeCell ref="I134:V134"/>
    <mergeCell ref="A121:B121"/>
    <mergeCell ref="A122:B122"/>
    <mergeCell ref="A124:I124"/>
    <mergeCell ref="A126:C126"/>
    <mergeCell ref="D126:F126"/>
    <mergeCell ref="G126:I126"/>
    <mergeCell ref="A127:C127"/>
    <mergeCell ref="D134:F134"/>
    <mergeCell ref="G134:H134"/>
    <mergeCell ref="A131:C132"/>
    <mergeCell ref="D131:F132"/>
    <mergeCell ref="G131:H132"/>
    <mergeCell ref="A133:C133"/>
    <mergeCell ref="D133:F133"/>
    <mergeCell ref="G133:H133"/>
    <mergeCell ref="A134:C134"/>
    <mergeCell ref="D137:F137"/>
    <mergeCell ref="G137:H137"/>
    <mergeCell ref="A135:C135"/>
    <mergeCell ref="D135:F135"/>
    <mergeCell ref="G135:H135"/>
    <mergeCell ref="A136:C136"/>
    <mergeCell ref="D136:F136"/>
    <mergeCell ref="G136:H136"/>
    <mergeCell ref="A137:C137"/>
    <mergeCell ref="A138:C138"/>
    <mergeCell ref="D138:F138"/>
    <mergeCell ref="G138:H138"/>
    <mergeCell ref="A139:C139"/>
    <mergeCell ref="D139:F139"/>
    <mergeCell ref="G139:H139"/>
    <mergeCell ref="A141:L141"/>
    <mergeCell ref="C144:D144"/>
    <mergeCell ref="E144:F144"/>
    <mergeCell ref="K144:L144"/>
    <mergeCell ref="A4:S4"/>
    <mergeCell ref="E6:G6"/>
    <mergeCell ref="H6:M6"/>
    <mergeCell ref="H8:J8"/>
    <mergeCell ref="L8:N8"/>
    <mergeCell ref="A10:S10"/>
    <mergeCell ref="A12:J12"/>
    <mergeCell ref="H14:J14"/>
    <mergeCell ref="A15:G15"/>
    <mergeCell ref="H15:J15"/>
    <mergeCell ref="A16:G16"/>
    <mergeCell ref="H16:J16"/>
    <mergeCell ref="A17:F17"/>
    <mergeCell ref="H17:J18"/>
    <mergeCell ref="A18:F18"/>
    <mergeCell ref="A19:G19"/>
    <mergeCell ref="H19:J19"/>
    <mergeCell ref="A20:G20"/>
    <mergeCell ref="H20:J20"/>
    <mergeCell ref="H21:J21"/>
    <mergeCell ref="K21:Z21"/>
    <mergeCell ref="A21:G21"/>
    <mergeCell ref="A22:F22"/>
    <mergeCell ref="H22:J23"/>
    <mergeCell ref="K22:R23"/>
    <mergeCell ref="A23:F23"/>
    <mergeCell ref="A25:J25"/>
    <mergeCell ref="G27:J27"/>
    <mergeCell ref="A27:F27"/>
    <mergeCell ref="A28:F28"/>
    <mergeCell ref="G28:J28"/>
    <mergeCell ref="A29:F29"/>
    <mergeCell ref="G29:J29"/>
    <mergeCell ref="A30:F30"/>
    <mergeCell ref="G30:J30"/>
    <mergeCell ref="A31:F31"/>
    <mergeCell ref="G31:J31"/>
    <mergeCell ref="A32:F32"/>
    <mergeCell ref="G32:J32"/>
    <mergeCell ref="A33:F33"/>
    <mergeCell ref="G33:J33"/>
    <mergeCell ref="A34:F34"/>
    <mergeCell ref="G34:J34"/>
    <mergeCell ref="K34:Z34"/>
    <mergeCell ref="A36:S36"/>
    <mergeCell ref="A37:S37"/>
    <mergeCell ref="A38:J38"/>
    <mergeCell ref="H39:J39"/>
    <mergeCell ref="H40:J40"/>
    <mergeCell ref="A40:G40"/>
    <mergeCell ref="A41:G41"/>
    <mergeCell ref="H41:J41"/>
    <mergeCell ref="A42:F42"/>
    <mergeCell ref="H42:J43"/>
    <mergeCell ref="A43:F43"/>
    <mergeCell ref="H44:J44"/>
    <mergeCell ref="A44:G44"/>
    <mergeCell ref="A45:G45"/>
    <mergeCell ref="H45:J45"/>
    <mergeCell ref="A46:G46"/>
    <mergeCell ref="H46:J46"/>
    <mergeCell ref="A48:H48"/>
    <mergeCell ref="I52:Z52"/>
    <mergeCell ref="A50:H50"/>
    <mergeCell ref="A54:J54"/>
    <mergeCell ref="C56:D56"/>
    <mergeCell ref="E56:F56"/>
    <mergeCell ref="G58:V58"/>
    <mergeCell ref="A60:S60"/>
    <mergeCell ref="A62:K62"/>
    <mergeCell ref="D64:K64"/>
    <mergeCell ref="A71:C71"/>
    <mergeCell ref="A72:C72"/>
    <mergeCell ref="A73:C73"/>
    <mergeCell ref="L73:Z73"/>
    <mergeCell ref="A76:L76"/>
    <mergeCell ref="A56:B56"/>
    <mergeCell ref="A64:C65"/>
    <mergeCell ref="A66:C66"/>
    <mergeCell ref="A67:C67"/>
    <mergeCell ref="A68:C68"/>
    <mergeCell ref="A69:C69"/>
    <mergeCell ref="A70:C70"/>
    <mergeCell ref="A78:B78"/>
    <mergeCell ref="C78:D78"/>
    <mergeCell ref="E78:F78"/>
    <mergeCell ref="G78:H78"/>
    <mergeCell ref="I78:J78"/>
    <mergeCell ref="K78:L78"/>
    <mergeCell ref="A79:B79"/>
    <mergeCell ref="K79:L79"/>
    <mergeCell ref="A81:B81"/>
    <mergeCell ref="A82:B82"/>
    <mergeCell ref="C82:D82"/>
    <mergeCell ref="E82:F82"/>
    <mergeCell ref="G82:H82"/>
    <mergeCell ref="I82:J82"/>
    <mergeCell ref="K82:L82"/>
    <mergeCell ref="I92:J92"/>
    <mergeCell ref="K92:L92"/>
    <mergeCell ref="E88:F88"/>
    <mergeCell ref="G88:H88"/>
    <mergeCell ref="A90:L90"/>
    <mergeCell ref="A92:B92"/>
    <mergeCell ref="C92:D92"/>
    <mergeCell ref="E92:F92"/>
    <mergeCell ref="G92:H92"/>
    <mergeCell ref="G79:H79"/>
    <mergeCell ref="I79:J79"/>
    <mergeCell ref="G80:H80"/>
    <mergeCell ref="I80:J80"/>
    <mergeCell ref="K80:L80"/>
    <mergeCell ref="G81:H81"/>
    <mergeCell ref="I81:J81"/>
    <mergeCell ref="K81:L81"/>
    <mergeCell ref="C79:D79"/>
    <mergeCell ref="E79:F79"/>
    <mergeCell ref="A80:B80"/>
    <mergeCell ref="C80:D80"/>
    <mergeCell ref="E80:F80"/>
    <mergeCell ref="C81:D81"/>
    <mergeCell ref="E81:F81"/>
    <mergeCell ref="G84:H84"/>
    <mergeCell ref="I84:J84"/>
    <mergeCell ref="G85:H85"/>
    <mergeCell ref="I85:J85"/>
    <mergeCell ref="K85:L85"/>
    <mergeCell ref="G86:H86"/>
    <mergeCell ref="I86:J86"/>
    <mergeCell ref="K86:L86"/>
    <mergeCell ref="A83:B83"/>
    <mergeCell ref="C83:D83"/>
    <mergeCell ref="E83:F83"/>
    <mergeCell ref="G83:H83"/>
    <mergeCell ref="I83:J83"/>
    <mergeCell ref="K83:L83"/>
    <mergeCell ref="A84:B84"/>
    <mergeCell ref="K84:L84"/>
    <mergeCell ref="A86:B86"/>
    <mergeCell ref="A87:B87"/>
    <mergeCell ref="C87:D87"/>
    <mergeCell ref="E87:F87"/>
    <mergeCell ref="G87:H87"/>
    <mergeCell ref="I87:J87"/>
    <mergeCell ref="K87:L87"/>
    <mergeCell ref="C84:D84"/>
    <mergeCell ref="E84:F84"/>
    <mergeCell ref="A85:B85"/>
    <mergeCell ref="C85:D85"/>
    <mergeCell ref="E85:F85"/>
    <mergeCell ref="C86:D86"/>
    <mergeCell ref="E86:F86"/>
    <mergeCell ref="E95:F95"/>
    <mergeCell ref="E96:F96"/>
    <mergeCell ref="G96:H96"/>
    <mergeCell ref="I96:J96"/>
    <mergeCell ref="K96:L96"/>
    <mergeCell ref="C94:D94"/>
    <mergeCell ref="E94:F94"/>
    <mergeCell ref="A95:B95"/>
    <mergeCell ref="C95:D95"/>
    <mergeCell ref="G95:H95"/>
    <mergeCell ref="I95:J95"/>
    <mergeCell ref="K95:L95"/>
    <mergeCell ref="J109:Z109"/>
    <mergeCell ref="J110:T110"/>
    <mergeCell ref="G109:I109"/>
    <mergeCell ref="A111:L112"/>
    <mergeCell ref="A114:B115"/>
    <mergeCell ref="C114:D114"/>
    <mergeCell ref="E114:F114"/>
    <mergeCell ref="G114:H114"/>
    <mergeCell ref="I116:W116"/>
    <mergeCell ref="I119:V119"/>
    <mergeCell ref="I120:W120"/>
    <mergeCell ref="A116:B116"/>
    <mergeCell ref="A117:B117"/>
    <mergeCell ref="I117:W117"/>
    <mergeCell ref="A118:B118"/>
    <mergeCell ref="I118:W118"/>
    <mergeCell ref="A119:B119"/>
    <mergeCell ref="A120:B120"/>
    <mergeCell ref="A161:L161"/>
    <mergeCell ref="A163:L163"/>
    <mergeCell ref="E165:L165"/>
    <mergeCell ref="E166:F166"/>
    <mergeCell ref="G166:H166"/>
    <mergeCell ref="I166:J166"/>
    <mergeCell ref="K166:L166"/>
    <mergeCell ref="A165:D166"/>
    <mergeCell ref="A167:D167"/>
    <mergeCell ref="E167:F167"/>
    <mergeCell ref="G167:H167"/>
    <mergeCell ref="I167:J167"/>
    <mergeCell ref="K167:L167"/>
    <mergeCell ref="A169:L169"/>
    <mergeCell ref="O208:O210"/>
    <mergeCell ref="P208:Q210"/>
    <mergeCell ref="A205:S205"/>
    <mergeCell ref="E207:L207"/>
    <mergeCell ref="M207:Q207"/>
    <mergeCell ref="E208:F210"/>
    <mergeCell ref="G208:H210"/>
    <mergeCell ref="I208:J210"/>
    <mergeCell ref="K208:L210"/>
    <mergeCell ref="E212:F212"/>
    <mergeCell ref="G212:H212"/>
    <mergeCell ref="I212:J212"/>
    <mergeCell ref="K212:L212"/>
    <mergeCell ref="M212:N212"/>
    <mergeCell ref="P212:Q212"/>
    <mergeCell ref="R212:S212"/>
    <mergeCell ref="A208:D210"/>
    <mergeCell ref="A211:D211"/>
    <mergeCell ref="E211:F211"/>
    <mergeCell ref="G211:H211"/>
    <mergeCell ref="I211:J211"/>
    <mergeCell ref="K211:L211"/>
    <mergeCell ref="A212:D212"/>
    <mergeCell ref="E213:F213"/>
    <mergeCell ref="G213:H213"/>
    <mergeCell ref="I213:J213"/>
    <mergeCell ref="K213:L213"/>
    <mergeCell ref="M213:N213"/>
    <mergeCell ref="P213:Q213"/>
    <mergeCell ref="R213:S213"/>
    <mergeCell ref="P214:Q214"/>
    <mergeCell ref="R214:S214"/>
    <mergeCell ref="T214:Z215"/>
    <mergeCell ref="A213:D213"/>
    <mergeCell ref="A214:D214"/>
    <mergeCell ref="E214:F214"/>
    <mergeCell ref="G214:H214"/>
    <mergeCell ref="I214:J214"/>
    <mergeCell ref="K214:L214"/>
    <mergeCell ref="M214:N214"/>
    <mergeCell ref="M223:U223"/>
    <mergeCell ref="M224:U224"/>
    <mergeCell ref="M225:U225"/>
    <mergeCell ref="M226:U226"/>
    <mergeCell ref="M238:Y238"/>
    <mergeCell ref="M250:Z250"/>
    <mergeCell ref="A216:S216"/>
    <mergeCell ref="A218:S218"/>
    <mergeCell ref="A220:D220"/>
    <mergeCell ref="E220:F220"/>
    <mergeCell ref="G220:H220"/>
    <mergeCell ref="I220:J220"/>
    <mergeCell ref="K220:L220"/>
    <mergeCell ref="C269:D269"/>
    <mergeCell ref="E269:F269"/>
    <mergeCell ref="A269:B270"/>
    <mergeCell ref="A271:B271"/>
    <mergeCell ref="A272:B272"/>
    <mergeCell ref="A273:B273"/>
    <mergeCell ref="A274:B274"/>
    <mergeCell ref="A275:B275"/>
    <mergeCell ref="A276:B276"/>
    <mergeCell ref="A233:D233"/>
    <mergeCell ref="A234:D234"/>
    <mergeCell ref="A235:D235"/>
    <mergeCell ref="A236:D236"/>
    <mergeCell ref="A237:D237"/>
    <mergeCell ref="A238:D238"/>
    <mergeCell ref="E242:L242"/>
    <mergeCell ref="A250:D250"/>
    <mergeCell ref="A252:S252"/>
    <mergeCell ref="A254:L254"/>
    <mergeCell ref="A242:D243"/>
    <mergeCell ref="A244:D244"/>
    <mergeCell ref="A245:D245"/>
    <mergeCell ref="A246:D246"/>
    <mergeCell ref="A247:D247"/>
    <mergeCell ref="A248:D248"/>
    <mergeCell ref="A249:D249"/>
    <mergeCell ref="A256:B257"/>
    <mergeCell ref="C256:D256"/>
    <mergeCell ref="E256:F256"/>
    <mergeCell ref="G256:H256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7:L267"/>
    <mergeCell ref="G269:H269"/>
    <mergeCell ref="A277:B277"/>
    <mergeCell ref="A278:B278"/>
    <mergeCell ref="A280:S280"/>
    <mergeCell ref="E283:F283"/>
    <mergeCell ref="G283:H283"/>
    <mergeCell ref="A285:S285"/>
    <mergeCell ref="A316:I316"/>
    <mergeCell ref="A317:I317"/>
    <mergeCell ref="A319:J319"/>
    <mergeCell ref="A320:I320"/>
    <mergeCell ref="A322:S322"/>
    <mergeCell ref="A324:I324"/>
    <mergeCell ref="A326:S326"/>
    <mergeCell ref="A328:L328"/>
    <mergeCell ref="A330:H330"/>
    <mergeCell ref="I330:L330"/>
    <mergeCell ref="A331:H331"/>
    <mergeCell ref="I331:L331"/>
    <mergeCell ref="A332:H332"/>
    <mergeCell ref="I332:L332"/>
    <mergeCell ref="A333:H333"/>
    <mergeCell ref="I333:L333"/>
    <mergeCell ref="A334:E334"/>
    <mergeCell ref="F334:H334"/>
    <mergeCell ref="I334:L335"/>
    <mergeCell ref="A335:E335"/>
    <mergeCell ref="F335:H335"/>
    <mergeCell ref="A336:H336"/>
    <mergeCell ref="I336:L336"/>
    <mergeCell ref="F337:H337"/>
    <mergeCell ref="A338:H338"/>
    <mergeCell ref="A339:E339"/>
    <mergeCell ref="F339:H339"/>
    <mergeCell ref="F340:H340"/>
    <mergeCell ref="A344:E344"/>
    <mergeCell ref="F344:H344"/>
    <mergeCell ref="A345:E345"/>
    <mergeCell ref="F345:H345"/>
    <mergeCell ref="A340:E340"/>
    <mergeCell ref="A341:E341"/>
    <mergeCell ref="F341:H341"/>
    <mergeCell ref="A342:E342"/>
    <mergeCell ref="F342:H342"/>
    <mergeCell ref="A343:E343"/>
    <mergeCell ref="F343:H343"/>
    <mergeCell ref="A282:B282"/>
    <mergeCell ref="C282:D282"/>
    <mergeCell ref="E282:F282"/>
    <mergeCell ref="G282:H282"/>
    <mergeCell ref="I282:J282"/>
    <mergeCell ref="A283:B283"/>
    <mergeCell ref="I283:J283"/>
    <mergeCell ref="C283:D283"/>
    <mergeCell ref="A288:I288"/>
    <mergeCell ref="A289:I289"/>
    <mergeCell ref="A292:E292"/>
    <mergeCell ref="F292:I292"/>
    <mergeCell ref="A293:E293"/>
    <mergeCell ref="F293:I293"/>
    <mergeCell ref="H301:I301"/>
    <mergeCell ref="J301:K301"/>
    <mergeCell ref="A294:E294"/>
    <mergeCell ref="F294:I294"/>
    <mergeCell ref="A295:E295"/>
    <mergeCell ref="F295:I295"/>
    <mergeCell ref="A298:I298"/>
    <mergeCell ref="A300:K300"/>
    <mergeCell ref="A301:E301"/>
    <mergeCell ref="H304:I304"/>
    <mergeCell ref="J304:K304"/>
    <mergeCell ref="A302:E302"/>
    <mergeCell ref="H302:I302"/>
    <mergeCell ref="J302:K302"/>
    <mergeCell ref="A303:E303"/>
    <mergeCell ref="H303:I303"/>
    <mergeCell ref="J303:K303"/>
    <mergeCell ref="A304:E304"/>
    <mergeCell ref="A307:I307"/>
    <mergeCell ref="J307:K307"/>
    <mergeCell ref="A309:S309"/>
    <mergeCell ref="A311:I311"/>
    <mergeCell ref="A313:S313"/>
    <mergeCell ref="A315:J315"/>
    <mergeCell ref="T316:AG316"/>
    <mergeCell ref="C150:D150"/>
    <mergeCell ref="A156:D157"/>
    <mergeCell ref="E156:F157"/>
    <mergeCell ref="A158:D159"/>
    <mergeCell ref="E158:F159"/>
    <mergeCell ref="A150:B150"/>
    <mergeCell ref="E150:F150"/>
    <mergeCell ref="G150:H150"/>
    <mergeCell ref="I150:J150"/>
    <mergeCell ref="K150:L150"/>
    <mergeCell ref="A152:L152"/>
    <mergeCell ref="A154:L154"/>
    <mergeCell ref="A171:C171"/>
    <mergeCell ref="D171:F171"/>
    <mergeCell ref="G171:I171"/>
    <mergeCell ref="J171:L171"/>
    <mergeCell ref="D172:F172"/>
    <mergeCell ref="G172:I172"/>
    <mergeCell ref="J172:L172"/>
    <mergeCell ref="A172:C172"/>
    <mergeCell ref="A173:C173"/>
    <mergeCell ref="D173:F173"/>
    <mergeCell ref="G173:I173"/>
    <mergeCell ref="J173:L173"/>
    <mergeCell ref="A174:C174"/>
    <mergeCell ref="D174:F174"/>
    <mergeCell ref="D176:F176"/>
    <mergeCell ref="G176:I176"/>
    <mergeCell ref="G174:I174"/>
    <mergeCell ref="J174:L174"/>
    <mergeCell ref="A175:C175"/>
    <mergeCell ref="D175:F175"/>
    <mergeCell ref="G175:I175"/>
    <mergeCell ref="J175:L175"/>
    <mergeCell ref="J176:L176"/>
    <mergeCell ref="G144:H144"/>
    <mergeCell ref="I144:J144"/>
    <mergeCell ref="A143:B143"/>
    <mergeCell ref="C143:D143"/>
    <mergeCell ref="E143:F143"/>
    <mergeCell ref="G143:H143"/>
    <mergeCell ref="I143:J143"/>
    <mergeCell ref="K143:L143"/>
    <mergeCell ref="A144:B144"/>
    <mergeCell ref="G146:H146"/>
    <mergeCell ref="I146:J146"/>
    <mergeCell ref="G147:H147"/>
    <mergeCell ref="I147:J147"/>
    <mergeCell ref="K147:L147"/>
    <mergeCell ref="G148:H148"/>
    <mergeCell ref="I148:J148"/>
    <mergeCell ref="K148:L148"/>
    <mergeCell ref="A145:B145"/>
    <mergeCell ref="C145:D145"/>
    <mergeCell ref="E145:F145"/>
    <mergeCell ref="G145:H145"/>
    <mergeCell ref="I145:J145"/>
    <mergeCell ref="K145:L145"/>
    <mergeCell ref="A146:B146"/>
    <mergeCell ref="K146:L146"/>
    <mergeCell ref="A148:B148"/>
    <mergeCell ref="A149:B149"/>
    <mergeCell ref="C149:D149"/>
    <mergeCell ref="E149:F149"/>
    <mergeCell ref="G149:H149"/>
    <mergeCell ref="I149:J149"/>
    <mergeCell ref="K149:L149"/>
    <mergeCell ref="C146:D146"/>
    <mergeCell ref="E146:F146"/>
    <mergeCell ref="A147:B147"/>
    <mergeCell ref="C147:D147"/>
    <mergeCell ref="E147:F147"/>
    <mergeCell ref="C148:D148"/>
    <mergeCell ref="E148:F148"/>
    <mergeCell ref="A179:C179"/>
    <mergeCell ref="D179:F179"/>
    <mergeCell ref="G179:I179"/>
    <mergeCell ref="J179:L179"/>
    <mergeCell ref="E199:L199"/>
    <mergeCell ref="A201:D202"/>
    <mergeCell ref="A203:D203"/>
    <mergeCell ref="E203:F203"/>
    <mergeCell ref="G203:H203"/>
    <mergeCell ref="I203:J203"/>
    <mergeCell ref="K203:L203"/>
    <mergeCell ref="I192:J192"/>
    <mergeCell ref="I193:J193"/>
    <mergeCell ref="A195:S195"/>
    <mergeCell ref="A197:S197"/>
    <mergeCell ref="M199:Q199"/>
    <mergeCell ref="R199:S202"/>
    <mergeCell ref="P200:Q202"/>
    <mergeCell ref="A176:C176"/>
    <mergeCell ref="A177:C177"/>
    <mergeCell ref="D177:F177"/>
    <mergeCell ref="G177:I177"/>
    <mergeCell ref="J177:L177"/>
    <mergeCell ref="A178:C178"/>
    <mergeCell ref="D178:F178"/>
    <mergeCell ref="G178:I178"/>
    <mergeCell ref="J178:L178"/>
    <mergeCell ref="A183:S183"/>
    <mergeCell ref="A185:C185"/>
    <mergeCell ref="D185:F185"/>
    <mergeCell ref="G185:I185"/>
    <mergeCell ref="J185:L185"/>
    <mergeCell ref="A186:C186"/>
    <mergeCell ref="D186:F186"/>
    <mergeCell ref="G186:I186"/>
    <mergeCell ref="J186:L186"/>
    <mergeCell ref="A188:S188"/>
    <mergeCell ref="I190:J190"/>
    <mergeCell ref="I191:J191"/>
    <mergeCell ref="E200:F202"/>
    <mergeCell ref="G200:H202"/>
    <mergeCell ref="I200:J202"/>
    <mergeCell ref="K200:L202"/>
    <mergeCell ref="M211:N211"/>
    <mergeCell ref="P211:Q211"/>
    <mergeCell ref="R211:S211"/>
    <mergeCell ref="M200:N202"/>
    <mergeCell ref="O200:O202"/>
    <mergeCell ref="M203:N203"/>
    <mergeCell ref="P203:Q203"/>
    <mergeCell ref="R203:S203"/>
    <mergeCell ref="R207:S210"/>
    <mergeCell ref="M208:N210"/>
    <mergeCell ref="G222:H222"/>
    <mergeCell ref="I222:J222"/>
    <mergeCell ref="A221:D221"/>
    <mergeCell ref="E221:F221"/>
    <mergeCell ref="G221:H221"/>
    <mergeCell ref="I221:J221"/>
    <mergeCell ref="K221:L221"/>
    <mergeCell ref="E222:F222"/>
    <mergeCell ref="K222:L222"/>
    <mergeCell ref="E224:F224"/>
    <mergeCell ref="G224:H224"/>
    <mergeCell ref="I224:J224"/>
    <mergeCell ref="K224:L224"/>
    <mergeCell ref="A222:D222"/>
    <mergeCell ref="A223:D223"/>
    <mergeCell ref="E223:F223"/>
    <mergeCell ref="G223:H223"/>
    <mergeCell ref="I223:J223"/>
    <mergeCell ref="K223:L223"/>
    <mergeCell ref="A224:D224"/>
    <mergeCell ref="A225:D225"/>
    <mergeCell ref="E225:F225"/>
    <mergeCell ref="G225:H225"/>
    <mergeCell ref="I225:J225"/>
    <mergeCell ref="K225:L225"/>
    <mergeCell ref="A226:D226"/>
    <mergeCell ref="E226:F226"/>
    <mergeCell ref="K226:L226"/>
    <mergeCell ref="G226:H226"/>
    <mergeCell ref="I226:J226"/>
    <mergeCell ref="F227:H227"/>
    <mergeCell ref="A228:S228"/>
    <mergeCell ref="A230:D231"/>
    <mergeCell ref="E230:L230"/>
    <mergeCell ref="A232:D232"/>
  </mergeCells>
  <dataValidations>
    <dataValidation type="decimal" operator="greaterThanOrEqual" allowBlank="1" showErrorMessage="1" sqref="G24 G35 A53:F53 H53 J53 C140:H140 M165 A168:L168 D180 G180:L180 F312:I312 I331:I333 F334:F335 I336 F340:F345">
      <formula1>0.0</formula1>
    </dataValidation>
    <dataValidation type="decimal" operator="greaterThan" allowBlank="1" showErrorMessage="1" sqref="H15:H16 G17:G18 K15:K20 H19:H21 G22:G23 K24:K25 G26:K26 K27:K33 G28:G34 K35 H40:H41 G42:G43 H44:H47 A52:H52 A58:F58 D66:K73 C79:C87 K79:K87 G79:G88 C93:C95 G93:G96 K93:K96 A102 C102 E102:H102 A109 D109 G109 C116:H122 A127 D127 G127 D133:D139 G133:G139 C144:C150 E144:E150 G144:G150 I144:I150 K144:K150 E156 A167 E167 G167 I167 K167 D172:D179 G172:G179 J172:J179 A186 D186 G186 J186 I191:I193 A203 E203 G203 I203 K203 M203 O203:P203 R203 G211:G212 I211:I212 K211:K212 O211:P212 T212 P213 E211:E214 G214 I214 K214 M211:M214 O214:P214 R211:R214 E215:L215 E221:E226 G221:G226 I221:I226 K221:K226 E232:L238 E244:L250 C258:H262 C263:I263 C264:H265 C266:L266 C271:H278 A283 C283 E283 G283 I283 K283 J288:J289 F292:F297 J298 F299:I299 F302:H304 J302:J304 F305:K305 F306 J311 J316:J317 J320:J321 J323:J324">
      <formula1>-1.0</formula1>
    </dataValidation>
  </dataValidations>
  <printOptions/>
  <pageMargins bottom="0.75" footer="0.0" header="0.0" left="0.25" right="0.25" top="0.75"/>
  <pageSetup paperSize="5" orientation="landscape"/>
  <rowBreaks count="9" manualBreakCount="9">
    <brk id="214" man="1"/>
    <brk id="167" man="1"/>
    <brk id="311" man="1"/>
    <brk id="265" man="1"/>
    <brk id="186" man="1"/>
    <brk id="75" man="1"/>
    <brk id="140" man="1"/>
    <brk id="238" man="1"/>
    <brk id="127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9.0"/>
    <col customWidth="1" min="3" max="3" width="9.14"/>
    <col customWidth="1" min="4" max="4" width="18.86"/>
    <col customWidth="1" min="5" max="26" width="9.0"/>
  </cols>
  <sheetData>
    <row r="1">
      <c r="A1" s="624" t="s">
        <v>412</v>
      </c>
      <c r="B1" s="624">
        <f>ATI!D6</f>
        <v>122</v>
      </c>
      <c r="C1" s="625"/>
    </row>
    <row r="2">
      <c r="A2" s="624" t="s">
        <v>413</v>
      </c>
      <c r="B2" s="624" t="s">
        <v>414</v>
      </c>
      <c r="C2" s="625"/>
    </row>
    <row r="3">
      <c r="A3" s="624" t="s">
        <v>415</v>
      </c>
      <c r="B3" s="624">
        <f>ATI!H14</f>
        <v>0</v>
      </c>
      <c r="C3" s="625" t="s">
        <v>416</v>
      </c>
    </row>
    <row r="4">
      <c r="A4" s="624" t="s">
        <v>417</v>
      </c>
      <c r="B4" s="624">
        <f>ATI!H15</f>
        <v>1212</v>
      </c>
      <c r="C4" s="625" t="s">
        <v>416</v>
      </c>
    </row>
    <row r="5">
      <c r="A5" s="626" t="s">
        <v>418</v>
      </c>
      <c r="B5" s="626">
        <f>ATI!G16</f>
        <v>1212</v>
      </c>
      <c r="C5" s="627" t="s">
        <v>416</v>
      </c>
    </row>
    <row r="6">
      <c r="A6" s="626" t="s">
        <v>419</v>
      </c>
      <c r="B6" s="626">
        <f>ATI!G17</f>
        <v>0</v>
      </c>
      <c r="C6" s="627" t="s">
        <v>416</v>
      </c>
    </row>
    <row r="7">
      <c r="A7" s="624" t="s">
        <v>420</v>
      </c>
      <c r="B7" s="624">
        <f>ATI!H18</f>
        <v>1212</v>
      </c>
      <c r="C7" s="625" t="s">
        <v>416</v>
      </c>
    </row>
    <row r="8">
      <c r="A8" s="624" t="s">
        <v>421</v>
      </c>
      <c r="B8" s="624">
        <f>ATI!H19</f>
        <v>0</v>
      </c>
      <c r="C8" s="625" t="s">
        <v>416</v>
      </c>
    </row>
    <row r="9">
      <c r="A9" s="624" t="s">
        <v>422</v>
      </c>
      <c r="B9" s="624">
        <f>ATI!H20</f>
        <v>0</v>
      </c>
      <c r="C9" s="625" t="s">
        <v>416</v>
      </c>
    </row>
    <row r="10">
      <c r="A10" s="626" t="s">
        <v>423</v>
      </c>
      <c r="B10" s="626">
        <f>ATI!G21</f>
        <v>0</v>
      </c>
      <c r="C10" s="627" t="s">
        <v>416</v>
      </c>
    </row>
    <row r="11">
      <c r="A11" s="626" t="s">
        <v>424</v>
      </c>
      <c r="B11" s="626">
        <f>ATI!G22</f>
        <v>0</v>
      </c>
      <c r="C11" s="627" t="s">
        <v>416</v>
      </c>
    </row>
    <row r="12">
      <c r="A12" s="628" t="s">
        <v>425</v>
      </c>
      <c r="B12" s="628">
        <f>ATI!G27</f>
        <v>0</v>
      </c>
      <c r="C12" s="629" t="s">
        <v>426</v>
      </c>
    </row>
    <row r="13">
      <c r="A13" s="628" t="s">
        <v>427</v>
      </c>
      <c r="B13" s="628">
        <f>ATI!G28</f>
        <v>0</v>
      </c>
      <c r="C13" s="629" t="s">
        <v>426</v>
      </c>
    </row>
    <row r="14">
      <c r="A14" s="628" t="s">
        <v>428</v>
      </c>
      <c r="B14" s="628">
        <f>ATI!G29</f>
        <v>0</v>
      </c>
      <c r="C14" s="629" t="s">
        <v>426</v>
      </c>
    </row>
    <row r="15">
      <c r="A15" s="628" t="s">
        <v>429</v>
      </c>
      <c r="B15" s="628">
        <f>ATI!G30</f>
        <v>0</v>
      </c>
      <c r="C15" s="629" t="s">
        <v>426</v>
      </c>
    </row>
    <row r="16">
      <c r="A16" s="628" t="s">
        <v>430</v>
      </c>
      <c r="B16" s="628">
        <f>ATI!G31</f>
        <v>0</v>
      </c>
      <c r="C16" s="629" t="s">
        <v>426</v>
      </c>
    </row>
    <row r="17">
      <c r="A17" s="628" t="s">
        <v>431</v>
      </c>
      <c r="B17" s="628">
        <f>ATI!G32</f>
        <v>0</v>
      </c>
      <c r="C17" s="629" t="s">
        <v>426</v>
      </c>
    </row>
    <row r="18">
      <c r="A18" s="628" t="s">
        <v>432</v>
      </c>
      <c r="B18" s="628">
        <f>ATI!G33</f>
        <v>0</v>
      </c>
      <c r="C18" s="629" t="s">
        <v>426</v>
      </c>
    </row>
    <row r="19">
      <c r="A19" s="626" t="s">
        <v>433</v>
      </c>
      <c r="B19" s="626">
        <f>ATI!G38</f>
        <v>0</v>
      </c>
      <c r="C19" s="627" t="s">
        <v>434</v>
      </c>
    </row>
    <row r="20">
      <c r="A20" s="626" t="s">
        <v>435</v>
      </c>
      <c r="B20" s="626">
        <f>ATI!G39</f>
        <v>0</v>
      </c>
      <c r="C20" s="627" t="s">
        <v>434</v>
      </c>
    </row>
    <row r="21" ht="15.75" customHeight="1">
      <c r="A21" s="626" t="s">
        <v>436</v>
      </c>
      <c r="B21" s="626">
        <f>ATI!G40</f>
        <v>0</v>
      </c>
      <c r="C21" s="627" t="s">
        <v>434</v>
      </c>
    </row>
    <row r="22" ht="15.75" customHeight="1">
      <c r="A22" s="626" t="s">
        <v>437</v>
      </c>
      <c r="B22" s="626">
        <f>ATI!G41</f>
        <v>0</v>
      </c>
      <c r="C22" s="627" t="s">
        <v>434</v>
      </c>
    </row>
    <row r="23" ht="15.75" customHeight="1">
      <c r="A23" s="626" t="s">
        <v>438</v>
      </c>
      <c r="B23" s="626">
        <f>ATI!G42</f>
        <v>0</v>
      </c>
      <c r="C23" s="627" t="s">
        <v>434</v>
      </c>
    </row>
    <row r="24" ht="15.75" customHeight="1">
      <c r="A24" s="626" t="s">
        <v>439</v>
      </c>
      <c r="B24" s="626">
        <f>ATI!G43</f>
        <v>0</v>
      </c>
      <c r="C24" s="627" t="s">
        <v>434</v>
      </c>
    </row>
    <row r="25" ht="15.75" customHeight="1">
      <c r="A25" s="626" t="s">
        <v>440</v>
      </c>
      <c r="B25" s="626">
        <f>ATI!G44</f>
        <v>0</v>
      </c>
      <c r="C25" s="627" t="s">
        <v>434</v>
      </c>
    </row>
    <row r="26" ht="15.75" customHeight="1">
      <c r="A26" s="626" t="s">
        <v>441</v>
      </c>
      <c r="B26" s="626">
        <f>ATI!H50</f>
        <v>0</v>
      </c>
      <c r="C26" s="627" t="s">
        <v>442</v>
      </c>
    </row>
    <row r="27" ht="15.75" customHeight="1">
      <c r="A27" s="626" t="s">
        <v>443</v>
      </c>
      <c r="B27" s="626">
        <f>ATI!H51</f>
        <v>0</v>
      </c>
      <c r="C27" s="627" t="s">
        <v>442</v>
      </c>
    </row>
    <row r="28" ht="15.75" customHeight="1">
      <c r="A28" s="626" t="s">
        <v>444</v>
      </c>
      <c r="B28" s="626">
        <f>ATI!G52</f>
        <v>0</v>
      </c>
      <c r="C28" s="627" t="s">
        <v>442</v>
      </c>
    </row>
    <row r="29" ht="15.75" customHeight="1">
      <c r="A29" s="626" t="s">
        <v>445</v>
      </c>
      <c r="B29" s="626">
        <f>ATI!G53</f>
        <v>0</v>
      </c>
      <c r="C29" s="627" t="s">
        <v>442</v>
      </c>
    </row>
    <row r="30" ht="15.75" customHeight="1">
      <c r="A30" s="626" t="s">
        <v>446</v>
      </c>
      <c r="B30" s="626">
        <f>ATI!H54</f>
        <v>0</v>
      </c>
      <c r="C30" s="627" t="s">
        <v>442</v>
      </c>
    </row>
    <row r="31" ht="15.75" customHeight="1">
      <c r="A31" s="626" t="s">
        <v>447</v>
      </c>
      <c r="B31" s="626">
        <f>ATI!H55</f>
        <v>0</v>
      </c>
      <c r="C31" s="627" t="s">
        <v>442</v>
      </c>
    </row>
    <row r="32" ht="15.75" customHeight="1">
      <c r="A32" s="626" t="s">
        <v>448</v>
      </c>
      <c r="B32" s="626">
        <f>ATI!H56</f>
        <v>0</v>
      </c>
      <c r="C32" s="627" t="s">
        <v>442</v>
      </c>
    </row>
    <row r="33" ht="15.75" customHeight="1">
      <c r="A33" s="626" t="s">
        <v>449</v>
      </c>
      <c r="B33" s="626" t="str">
        <f>ATI!#REF!</f>
        <v>#ERROR!</v>
      </c>
      <c r="C33" s="627" t="s">
        <v>450</v>
      </c>
    </row>
    <row r="34" ht="15.75" customHeight="1">
      <c r="A34" s="626" t="s">
        <v>451</v>
      </c>
      <c r="B34" s="626" t="str">
        <f>ATI!#REF!</f>
        <v>#ERROR!</v>
      </c>
      <c r="C34" s="627" t="s">
        <v>450</v>
      </c>
    </row>
    <row r="35" ht="15.75" customHeight="1">
      <c r="A35" s="626" t="s">
        <v>452</v>
      </c>
      <c r="B35" s="626" t="str">
        <f>ATI!#REF!</f>
        <v>#ERROR!</v>
      </c>
      <c r="C35" s="627" t="s">
        <v>450</v>
      </c>
    </row>
    <row r="36" ht="15.75" customHeight="1">
      <c r="A36" s="626" t="s">
        <v>453</v>
      </c>
      <c r="B36" s="626" t="str">
        <f>ATI!#REF!</f>
        <v>#ERROR!</v>
      </c>
      <c r="C36" s="627" t="s">
        <v>450</v>
      </c>
    </row>
    <row r="37" ht="15.75" customHeight="1">
      <c r="A37" s="626" t="s">
        <v>454</v>
      </c>
      <c r="B37" s="626" t="str">
        <f>ATI!#REF!</f>
        <v>#ERROR!</v>
      </c>
      <c r="C37" s="627" t="s">
        <v>450</v>
      </c>
    </row>
    <row r="38" ht="15.75" customHeight="1">
      <c r="A38" s="626" t="s">
        <v>455</v>
      </c>
      <c r="B38" s="626" t="str">
        <f>ATI!#REF!</f>
        <v>#ERROR!</v>
      </c>
      <c r="C38" s="627" t="s">
        <v>450</v>
      </c>
    </row>
    <row r="39" ht="15.75" customHeight="1">
      <c r="A39" s="626" t="s">
        <v>456</v>
      </c>
      <c r="B39" s="626" t="str">
        <f>ATI!#REF!</f>
        <v>#ERROR!</v>
      </c>
      <c r="C39" s="627" t="s">
        <v>450</v>
      </c>
    </row>
    <row r="40" ht="15.75" customHeight="1">
      <c r="A40" s="628" t="s">
        <v>457</v>
      </c>
      <c r="B40" s="628">
        <f>ATI!A63</f>
        <v>0</v>
      </c>
      <c r="C40" s="629" t="s">
        <v>458</v>
      </c>
    </row>
    <row r="41" ht="15.75" customHeight="1">
      <c r="A41" s="628" t="s">
        <v>459</v>
      </c>
      <c r="B41" s="628">
        <f>ATI!B63</f>
        <v>0</v>
      </c>
      <c r="C41" s="629" t="s">
        <v>458</v>
      </c>
    </row>
    <row r="42" ht="15.75" customHeight="1">
      <c r="A42" s="628" t="s">
        <v>460</v>
      </c>
      <c r="B42" s="628">
        <f>ATI!C63</f>
        <v>0</v>
      </c>
      <c r="C42" s="629" t="s">
        <v>458</v>
      </c>
    </row>
    <row r="43" ht="15.75" customHeight="1">
      <c r="A43" s="628" t="s">
        <v>461</v>
      </c>
      <c r="B43" s="628">
        <f>ATI!D63</f>
        <v>0</v>
      </c>
      <c r="C43" s="629" t="s">
        <v>458</v>
      </c>
    </row>
    <row r="44" ht="15.75" customHeight="1">
      <c r="A44" s="628" t="s">
        <v>462</v>
      </c>
      <c r="B44" s="628">
        <f>ATI!E63</f>
        <v>0</v>
      </c>
      <c r="C44" s="629" t="s">
        <v>458</v>
      </c>
    </row>
    <row r="45" ht="15.75" customHeight="1">
      <c r="A45" s="628" t="s">
        <v>463</v>
      </c>
      <c r="B45" s="628">
        <f>ATI!F63</f>
        <v>0</v>
      </c>
      <c r="C45" s="629" t="s">
        <v>458</v>
      </c>
    </row>
    <row r="46" ht="15.75" customHeight="1">
      <c r="A46" s="628" t="s">
        <v>464</v>
      </c>
      <c r="B46" s="628">
        <f>ATI!G63</f>
        <v>0</v>
      </c>
      <c r="C46" s="629" t="s">
        <v>458</v>
      </c>
    </row>
    <row r="47" ht="15.75" customHeight="1">
      <c r="A47" s="626" t="s">
        <v>465</v>
      </c>
      <c r="B47" s="626" t="str">
        <f>ATI!#REF!</f>
        <v>#ERROR!</v>
      </c>
      <c r="C47" s="627" t="s">
        <v>466</v>
      </c>
    </row>
    <row r="48" ht="15.75" customHeight="1">
      <c r="A48" s="626" t="s">
        <v>467</v>
      </c>
      <c r="B48" s="626" t="str">
        <f>ATI!#REF!</f>
        <v>#ERROR!</v>
      </c>
      <c r="C48" s="627" t="s">
        <v>466</v>
      </c>
    </row>
    <row r="49" ht="15.75" customHeight="1">
      <c r="A49" s="626" t="s">
        <v>468</v>
      </c>
      <c r="B49" s="626" t="str">
        <f>ATI!#REF!</f>
        <v>#ERROR!</v>
      </c>
      <c r="C49" s="627" t="s">
        <v>466</v>
      </c>
    </row>
    <row r="50" ht="15.75" customHeight="1">
      <c r="A50" s="626" t="s">
        <v>469</v>
      </c>
      <c r="B50" s="626" t="str">
        <f>ATI!#REF!</f>
        <v>#ERROR!</v>
      </c>
      <c r="C50" s="627" t="s">
        <v>466</v>
      </c>
    </row>
    <row r="51" ht="15.75" customHeight="1">
      <c r="A51" s="626" t="s">
        <v>470</v>
      </c>
      <c r="B51" s="626" t="str">
        <f>ATI!#REF!</f>
        <v>#ERROR!</v>
      </c>
      <c r="C51" s="627" t="s">
        <v>466</v>
      </c>
    </row>
    <row r="52" ht="15.75" customHeight="1">
      <c r="A52" s="626" t="s">
        <v>471</v>
      </c>
      <c r="B52" s="626" t="str">
        <f>ATI!#REF!</f>
        <v>#ERROR!</v>
      </c>
      <c r="C52" s="627" t="s">
        <v>466</v>
      </c>
    </row>
    <row r="53" ht="15.75" customHeight="1">
      <c r="A53" s="626" t="s">
        <v>472</v>
      </c>
      <c r="B53" s="626" t="str">
        <f>ATI!#REF!</f>
        <v>#ERROR!</v>
      </c>
      <c r="C53" s="627" t="s">
        <v>466</v>
      </c>
    </row>
    <row r="54" ht="15.75" customHeight="1">
      <c r="A54" s="626" t="s">
        <v>473</v>
      </c>
      <c r="B54" s="626" t="str">
        <f>ATI!#REF!</f>
        <v>#ERROR!</v>
      </c>
      <c r="C54" s="627" t="s">
        <v>466</v>
      </c>
    </row>
    <row r="55" ht="15.75" customHeight="1">
      <c r="A55" s="626" t="s">
        <v>474</v>
      </c>
      <c r="B55" s="626" t="str">
        <f>ATI!#REF!</f>
        <v>#ERROR!</v>
      </c>
      <c r="C55" s="627" t="s">
        <v>466</v>
      </c>
    </row>
    <row r="56" ht="15.75" customHeight="1">
      <c r="A56" s="626" t="s">
        <v>475</v>
      </c>
      <c r="B56" s="626" t="str">
        <f>ATI!#REF!</f>
        <v>#ERROR!</v>
      </c>
      <c r="C56" s="627" t="s">
        <v>466</v>
      </c>
    </row>
    <row r="57" ht="15.75" customHeight="1">
      <c r="A57" s="626" t="s">
        <v>476</v>
      </c>
      <c r="B57" s="626">
        <f>ATI!A70</f>
        <v>0</v>
      </c>
      <c r="C57" s="627" t="s">
        <v>477</v>
      </c>
    </row>
    <row r="58" ht="15.75" customHeight="1">
      <c r="A58" s="626" t="s">
        <v>478</v>
      </c>
      <c r="B58" s="626">
        <f>ATI!B70</f>
        <v>0</v>
      </c>
      <c r="C58" s="627" t="s">
        <v>477</v>
      </c>
    </row>
    <row r="59" ht="15.75" customHeight="1">
      <c r="A59" s="626" t="s">
        <v>479</v>
      </c>
      <c r="B59" s="626" t="str">
        <f>ATI!#REF!</f>
        <v>#ERROR!</v>
      </c>
      <c r="C59" s="627" t="s">
        <v>477</v>
      </c>
    </row>
    <row r="60" ht="15.75" customHeight="1">
      <c r="A60" s="626" t="s">
        <v>480</v>
      </c>
      <c r="B60" s="626" t="str">
        <f>ATI!#REF!</f>
        <v>#ERROR!</v>
      </c>
      <c r="C60" s="627" t="s">
        <v>477</v>
      </c>
    </row>
    <row r="61" ht="15.75" customHeight="1">
      <c r="A61" s="626" t="s">
        <v>481</v>
      </c>
      <c r="B61" s="626">
        <f>ATI!C70</f>
        <v>0</v>
      </c>
      <c r="C61" s="627" t="s">
        <v>477</v>
      </c>
    </row>
    <row r="62" ht="15.75" customHeight="1">
      <c r="A62" s="626" t="s">
        <v>482</v>
      </c>
      <c r="B62" s="626">
        <f>ATI!D70</f>
        <v>0</v>
      </c>
      <c r="C62" s="627" t="s">
        <v>477</v>
      </c>
    </row>
    <row r="63" ht="15.75" customHeight="1">
      <c r="A63" s="626" t="s">
        <v>483</v>
      </c>
      <c r="B63" s="626" t="str">
        <f>ATI!#REF!</f>
        <v>#ERROR!</v>
      </c>
      <c r="C63" s="627" t="s">
        <v>477</v>
      </c>
    </row>
    <row r="64" ht="15.75" customHeight="1">
      <c r="A64" s="626" t="s">
        <v>484</v>
      </c>
      <c r="B64" s="626" t="str">
        <f>ATI!#REF!</f>
        <v>#ERROR!</v>
      </c>
      <c r="C64" s="627" t="s">
        <v>477</v>
      </c>
    </row>
    <row r="65" ht="15.75" customHeight="1">
      <c r="A65" s="626" t="s">
        <v>485</v>
      </c>
      <c r="B65" s="626">
        <f>ATI!E70</f>
        <v>0</v>
      </c>
      <c r="C65" s="627" t="s">
        <v>477</v>
      </c>
    </row>
    <row r="66" ht="15.75" customHeight="1">
      <c r="A66" s="626" t="s">
        <v>486</v>
      </c>
      <c r="B66" s="626">
        <f>ATI!F70</f>
        <v>0</v>
      </c>
      <c r="C66" s="627" t="s">
        <v>477</v>
      </c>
    </row>
    <row r="67" ht="15.75" customHeight="1">
      <c r="A67" s="624" t="s">
        <v>487</v>
      </c>
      <c r="B67" s="624">
        <f>ATI!H75</f>
        <v>0</v>
      </c>
      <c r="C67" s="625">
        <v>3.0</v>
      </c>
    </row>
    <row r="68" ht="15.75" customHeight="1">
      <c r="A68" s="624" t="s">
        <v>488</v>
      </c>
      <c r="B68" s="624">
        <f>ATI!H76</f>
        <v>0</v>
      </c>
      <c r="C68" s="625">
        <v>3.0</v>
      </c>
    </row>
    <row r="69" ht="15.75" customHeight="1">
      <c r="A69" s="624" t="s">
        <v>489</v>
      </c>
      <c r="B69" s="624">
        <f>ATI!H77</f>
        <v>0</v>
      </c>
      <c r="C69" s="625">
        <v>3.0</v>
      </c>
    </row>
    <row r="70" ht="15.75" customHeight="1">
      <c r="A70" s="624" t="s">
        <v>490</v>
      </c>
      <c r="B70" s="624">
        <f>ATI!H78</f>
        <v>0</v>
      </c>
      <c r="C70" s="625">
        <v>3.0</v>
      </c>
    </row>
    <row r="71" ht="15.75" customHeight="1">
      <c r="A71" s="624" t="s">
        <v>491</v>
      </c>
      <c r="B71" s="624">
        <f>ATI!H79</f>
        <v>0</v>
      </c>
      <c r="C71" s="625">
        <v>3.0</v>
      </c>
    </row>
    <row r="72" ht="15.75" customHeight="1">
      <c r="A72" s="626" t="s">
        <v>492</v>
      </c>
      <c r="B72" s="626">
        <f>ATI!H80</f>
        <v>0</v>
      </c>
      <c r="C72" s="627">
        <v>3.0</v>
      </c>
    </row>
    <row r="73" ht="15.75" customHeight="1">
      <c r="A73" s="624" t="s">
        <v>493</v>
      </c>
      <c r="B73" s="624">
        <f>ATI!H81</f>
        <v>0</v>
      </c>
      <c r="C73" s="625">
        <v>3.0</v>
      </c>
    </row>
    <row r="74" ht="15.75" customHeight="1">
      <c r="A74" s="624" t="s">
        <v>494</v>
      </c>
      <c r="B74" s="624">
        <f>ATI!E89</f>
        <v>0</v>
      </c>
      <c r="C74" s="625" t="s">
        <v>495</v>
      </c>
    </row>
    <row r="75" ht="15.75" customHeight="1">
      <c r="A75" s="624" t="s">
        <v>496</v>
      </c>
      <c r="B75" s="624">
        <f>ATI!F89</f>
        <v>0</v>
      </c>
      <c r="C75" s="625" t="s">
        <v>495</v>
      </c>
    </row>
    <row r="76" ht="15.75" customHeight="1">
      <c r="A76" s="624" t="s">
        <v>497</v>
      </c>
      <c r="B76" s="624">
        <f>ATI!G89</f>
        <v>0</v>
      </c>
      <c r="C76" s="625" t="s">
        <v>495</v>
      </c>
    </row>
    <row r="77" ht="15.75" customHeight="1">
      <c r="A77" s="624" t="s">
        <v>498</v>
      </c>
      <c r="B77" s="624">
        <f>ATI!H89</f>
        <v>0</v>
      </c>
      <c r="C77" s="625" t="s">
        <v>495</v>
      </c>
    </row>
    <row r="78" ht="15.75" customHeight="1">
      <c r="A78" s="624" t="s">
        <v>499</v>
      </c>
      <c r="B78" s="624">
        <f>ATI!I89</f>
        <v>0</v>
      </c>
      <c r="C78" s="625" t="s">
        <v>495</v>
      </c>
    </row>
    <row r="79" ht="15.75" customHeight="1">
      <c r="A79" s="624" t="s">
        <v>500</v>
      </c>
      <c r="B79" s="624">
        <f>ATI!J89</f>
        <v>0</v>
      </c>
      <c r="C79" s="625" t="s">
        <v>495</v>
      </c>
    </row>
    <row r="80" ht="15.75" customHeight="1">
      <c r="A80" s="624" t="s">
        <v>501</v>
      </c>
      <c r="B80" s="624">
        <f>ATI!K89</f>
        <v>0</v>
      </c>
      <c r="C80" s="625" t="s">
        <v>495</v>
      </c>
    </row>
    <row r="81" ht="15.75" customHeight="1">
      <c r="A81" s="624" t="s">
        <v>502</v>
      </c>
      <c r="B81" s="624">
        <f>ATI!E90</f>
        <v>0</v>
      </c>
      <c r="C81" s="625" t="s">
        <v>495</v>
      </c>
    </row>
    <row r="82" ht="15.75" customHeight="1">
      <c r="A82" s="624" t="s">
        <v>503</v>
      </c>
      <c r="B82" s="624">
        <f>ATI!F90</f>
        <v>0</v>
      </c>
      <c r="C82" s="625" t="s">
        <v>495</v>
      </c>
    </row>
    <row r="83" ht="15.75" customHeight="1">
      <c r="A83" s="624" t="s">
        <v>504</v>
      </c>
      <c r="B83" s="624">
        <f>ATI!G90</f>
        <v>0</v>
      </c>
      <c r="C83" s="625" t="s">
        <v>495</v>
      </c>
    </row>
    <row r="84" ht="15.75" customHeight="1">
      <c r="A84" s="624" t="s">
        <v>505</v>
      </c>
      <c r="B84" s="624">
        <f>ATI!H90</f>
        <v>0</v>
      </c>
      <c r="C84" s="625" t="s">
        <v>495</v>
      </c>
    </row>
    <row r="85" ht="15.75" customHeight="1">
      <c r="A85" s="624" t="s">
        <v>506</v>
      </c>
      <c r="B85" s="624">
        <f>ATI!I90</f>
        <v>0</v>
      </c>
      <c r="C85" s="625" t="s">
        <v>495</v>
      </c>
    </row>
    <row r="86" ht="15.75" customHeight="1">
      <c r="A86" s="624" t="s">
        <v>507</v>
      </c>
      <c r="B86" s="624">
        <f>ATI!J90</f>
        <v>0</v>
      </c>
      <c r="C86" s="625" t="s">
        <v>495</v>
      </c>
    </row>
    <row r="87" ht="15.75" customHeight="1">
      <c r="A87" s="624" t="s">
        <v>508</v>
      </c>
      <c r="B87" s="624">
        <f>ATI!K90</f>
        <v>0</v>
      </c>
      <c r="C87" s="625" t="s">
        <v>495</v>
      </c>
    </row>
    <row r="88" ht="15.75" customHeight="1">
      <c r="A88" s="624" t="s">
        <v>509</v>
      </c>
      <c r="B88" s="624">
        <f>ATI!E91</f>
        <v>0</v>
      </c>
      <c r="C88" s="625" t="s">
        <v>495</v>
      </c>
    </row>
    <row r="89" ht="15.75" customHeight="1">
      <c r="A89" s="624" t="s">
        <v>510</v>
      </c>
      <c r="B89" s="624">
        <f>ATI!F91</f>
        <v>0</v>
      </c>
      <c r="C89" s="625" t="s">
        <v>495</v>
      </c>
    </row>
    <row r="90" ht="15.75" customHeight="1">
      <c r="A90" s="624" t="s">
        <v>511</v>
      </c>
      <c r="B90" s="624">
        <f>ATI!G91</f>
        <v>0</v>
      </c>
      <c r="C90" s="625" t="s">
        <v>495</v>
      </c>
    </row>
    <row r="91" ht="15.75" customHeight="1">
      <c r="A91" s="624" t="s">
        <v>512</v>
      </c>
      <c r="B91" s="624">
        <f>ATI!H91</f>
        <v>0</v>
      </c>
      <c r="C91" s="625" t="s">
        <v>495</v>
      </c>
    </row>
    <row r="92" ht="15.75" customHeight="1">
      <c r="A92" s="624" t="s">
        <v>513</v>
      </c>
      <c r="B92" s="624">
        <f>ATI!I91</f>
        <v>0</v>
      </c>
      <c r="C92" s="625" t="s">
        <v>495</v>
      </c>
    </row>
    <row r="93" ht="15.75" customHeight="1">
      <c r="A93" s="624" t="s">
        <v>514</v>
      </c>
      <c r="B93" s="624">
        <f>ATI!J91</f>
        <v>0</v>
      </c>
      <c r="C93" s="625" t="s">
        <v>495</v>
      </c>
    </row>
    <row r="94" ht="15.75" customHeight="1">
      <c r="A94" s="624" t="s">
        <v>515</v>
      </c>
      <c r="B94" s="624">
        <f>ATI!K91</f>
        <v>0</v>
      </c>
      <c r="C94" s="625" t="s">
        <v>495</v>
      </c>
    </row>
    <row r="95" ht="15.75" customHeight="1">
      <c r="A95" s="624" t="s">
        <v>516</v>
      </c>
      <c r="B95" s="624">
        <f>ATI!E92</f>
        <v>0</v>
      </c>
      <c r="C95" s="625" t="s">
        <v>495</v>
      </c>
    </row>
    <row r="96" ht="15.75" customHeight="1">
      <c r="A96" s="624" t="s">
        <v>517</v>
      </c>
      <c r="B96" s="624">
        <f>ATI!F92</f>
        <v>0</v>
      </c>
      <c r="C96" s="625" t="s">
        <v>495</v>
      </c>
    </row>
    <row r="97" ht="15.75" customHeight="1">
      <c r="A97" s="624" t="s">
        <v>518</v>
      </c>
      <c r="B97" s="624">
        <f>ATI!G92</f>
        <v>0</v>
      </c>
      <c r="C97" s="625" t="s">
        <v>495</v>
      </c>
    </row>
    <row r="98" ht="15.75" customHeight="1">
      <c r="A98" s="624" t="s">
        <v>519</v>
      </c>
      <c r="B98" s="624">
        <f>ATI!H92</f>
        <v>0</v>
      </c>
      <c r="C98" s="625" t="s">
        <v>495</v>
      </c>
    </row>
    <row r="99" ht="15.75" customHeight="1">
      <c r="A99" s="624" t="s">
        <v>520</v>
      </c>
      <c r="B99" s="624">
        <f>ATI!I92</f>
        <v>0</v>
      </c>
      <c r="C99" s="625" t="s">
        <v>495</v>
      </c>
    </row>
    <row r="100" ht="15.75" customHeight="1">
      <c r="A100" s="624" t="s">
        <v>521</v>
      </c>
      <c r="B100" s="624">
        <f>ATI!J92</f>
        <v>0</v>
      </c>
      <c r="C100" s="625" t="s">
        <v>495</v>
      </c>
    </row>
    <row r="101" ht="15.75" customHeight="1">
      <c r="A101" s="624" t="s">
        <v>522</v>
      </c>
      <c r="B101" s="624">
        <f>ATI!K92</f>
        <v>0</v>
      </c>
      <c r="C101" s="625" t="s">
        <v>495</v>
      </c>
    </row>
    <row r="102" ht="15.75" customHeight="1">
      <c r="A102" s="624" t="s">
        <v>523</v>
      </c>
      <c r="B102" s="624">
        <f>ATI!E93</f>
        <v>0</v>
      </c>
      <c r="C102" s="625" t="s">
        <v>495</v>
      </c>
    </row>
    <row r="103" ht="15.75" customHeight="1">
      <c r="A103" s="624" t="s">
        <v>524</v>
      </c>
      <c r="B103" s="624">
        <f>ATI!F93</f>
        <v>0</v>
      </c>
      <c r="C103" s="625" t="s">
        <v>495</v>
      </c>
    </row>
    <row r="104" ht="15.75" customHeight="1">
      <c r="A104" s="624" t="s">
        <v>525</v>
      </c>
      <c r="B104" s="624">
        <f>ATI!G93</f>
        <v>0</v>
      </c>
      <c r="C104" s="625" t="s">
        <v>495</v>
      </c>
    </row>
    <row r="105" ht="15.75" customHeight="1">
      <c r="A105" s="624" t="s">
        <v>526</v>
      </c>
      <c r="B105" s="624">
        <f>ATI!H93</f>
        <v>0</v>
      </c>
      <c r="C105" s="625" t="s">
        <v>495</v>
      </c>
    </row>
    <row r="106" ht="15.75" customHeight="1">
      <c r="A106" s="624" t="s">
        <v>527</v>
      </c>
      <c r="B106" s="624">
        <f>ATI!I93</f>
        <v>0</v>
      </c>
      <c r="C106" s="625" t="s">
        <v>495</v>
      </c>
    </row>
    <row r="107" ht="15.75" customHeight="1">
      <c r="A107" s="624" t="s">
        <v>528</v>
      </c>
      <c r="B107" s="624">
        <f>ATI!J93</f>
        <v>0</v>
      </c>
      <c r="C107" s="625" t="s">
        <v>495</v>
      </c>
    </row>
    <row r="108" ht="15.75" customHeight="1">
      <c r="A108" s="624" t="s">
        <v>529</v>
      </c>
      <c r="B108" s="624">
        <f>ATI!K93</f>
        <v>0</v>
      </c>
      <c r="C108" s="625" t="s">
        <v>495</v>
      </c>
    </row>
    <row r="109" ht="15.75" customHeight="1">
      <c r="A109" s="624" t="s">
        <v>530</v>
      </c>
      <c r="B109" s="624">
        <f>ATI!E94</f>
        <v>0</v>
      </c>
      <c r="C109" s="625" t="s">
        <v>495</v>
      </c>
    </row>
    <row r="110" ht="15.75" customHeight="1">
      <c r="A110" s="624" t="s">
        <v>531</v>
      </c>
      <c r="B110" s="624">
        <f>ATI!F94</f>
        <v>0</v>
      </c>
      <c r="C110" s="625" t="s">
        <v>495</v>
      </c>
    </row>
    <row r="111" ht="15.75" customHeight="1">
      <c r="A111" s="624" t="s">
        <v>532</v>
      </c>
      <c r="B111" s="624">
        <f>ATI!G94</f>
        <v>0</v>
      </c>
      <c r="C111" s="625" t="s">
        <v>495</v>
      </c>
    </row>
    <row r="112" ht="15.75" customHeight="1">
      <c r="A112" s="624" t="s">
        <v>533</v>
      </c>
      <c r="B112" s="624">
        <f>ATI!H94</f>
        <v>0</v>
      </c>
      <c r="C112" s="625" t="s">
        <v>495</v>
      </c>
    </row>
    <row r="113" ht="15.75" customHeight="1">
      <c r="A113" s="624" t="s">
        <v>534</v>
      </c>
      <c r="B113" s="624">
        <f>ATI!I94</f>
        <v>0</v>
      </c>
      <c r="C113" s="625" t="s">
        <v>495</v>
      </c>
    </row>
    <row r="114" ht="15.75" customHeight="1">
      <c r="A114" s="624" t="s">
        <v>535</v>
      </c>
      <c r="B114" s="624">
        <f>ATI!J94</f>
        <v>0</v>
      </c>
      <c r="C114" s="625" t="s">
        <v>495</v>
      </c>
    </row>
    <row r="115" ht="15.75" customHeight="1">
      <c r="A115" s="624" t="s">
        <v>536</v>
      </c>
      <c r="B115" s="624">
        <f>ATI!K94</f>
        <v>0</v>
      </c>
      <c r="C115" s="625" t="s">
        <v>495</v>
      </c>
    </row>
    <row r="116" ht="15.75" customHeight="1">
      <c r="A116" s="624" t="s">
        <v>537</v>
      </c>
      <c r="B116" s="624">
        <f>ATI!E95</f>
        <v>0</v>
      </c>
      <c r="C116" s="625" t="s">
        <v>495</v>
      </c>
    </row>
    <row r="117" ht="15.75" customHeight="1">
      <c r="A117" s="624" t="s">
        <v>538</v>
      </c>
      <c r="B117" s="624">
        <f>ATI!F95</f>
        <v>0</v>
      </c>
      <c r="C117" s="625" t="s">
        <v>495</v>
      </c>
    </row>
    <row r="118" ht="15.75" customHeight="1">
      <c r="A118" s="624" t="s">
        <v>539</v>
      </c>
      <c r="B118" s="624">
        <f>ATI!G95</f>
        <v>0</v>
      </c>
      <c r="C118" s="625" t="s">
        <v>495</v>
      </c>
    </row>
    <row r="119" ht="15.75" customHeight="1">
      <c r="A119" s="624" t="s">
        <v>540</v>
      </c>
      <c r="B119" s="624">
        <f>ATI!H95</f>
        <v>0</v>
      </c>
      <c r="C119" s="625" t="s">
        <v>495</v>
      </c>
    </row>
    <row r="120" ht="15.75" customHeight="1">
      <c r="A120" s="624" t="s">
        <v>541</v>
      </c>
      <c r="B120" s="624">
        <f>ATI!I95</f>
        <v>0</v>
      </c>
      <c r="C120" s="625" t="s">
        <v>495</v>
      </c>
    </row>
    <row r="121" ht="15.75" customHeight="1">
      <c r="A121" s="624" t="s">
        <v>542</v>
      </c>
      <c r="B121" s="624">
        <f>ATI!J95</f>
        <v>0</v>
      </c>
      <c r="C121" s="625" t="s">
        <v>495</v>
      </c>
    </row>
    <row r="122" ht="15.75" customHeight="1">
      <c r="A122" s="624" t="s">
        <v>543</v>
      </c>
      <c r="B122" s="624">
        <f>ATI!K95</f>
        <v>0</v>
      </c>
      <c r="C122" s="625" t="s">
        <v>495</v>
      </c>
    </row>
    <row r="123" ht="15.75" customHeight="1">
      <c r="A123" s="624" t="s">
        <v>544</v>
      </c>
      <c r="B123" s="624">
        <f>ATI!E96</f>
        <v>0</v>
      </c>
      <c r="C123" s="625" t="s">
        <v>495</v>
      </c>
    </row>
    <row r="124" ht="15.75" customHeight="1">
      <c r="A124" s="624" t="s">
        <v>545</v>
      </c>
      <c r="B124" s="624">
        <f>ATI!F96</f>
        <v>0</v>
      </c>
      <c r="C124" s="625" t="s">
        <v>495</v>
      </c>
    </row>
    <row r="125" ht="15.75" customHeight="1">
      <c r="A125" s="624" t="s">
        <v>546</v>
      </c>
      <c r="B125" s="624">
        <f>ATI!G96</f>
        <v>0</v>
      </c>
      <c r="C125" s="625" t="s">
        <v>495</v>
      </c>
    </row>
    <row r="126" ht="15.75" customHeight="1">
      <c r="A126" s="624" t="s">
        <v>547</v>
      </c>
      <c r="B126" s="624">
        <f>ATI!H96</f>
        <v>0</v>
      </c>
      <c r="C126" s="625" t="s">
        <v>495</v>
      </c>
    </row>
    <row r="127" ht="15.75" customHeight="1">
      <c r="A127" s="624" t="s">
        <v>548</v>
      </c>
      <c r="B127" s="624">
        <f>ATI!I96</f>
        <v>0</v>
      </c>
      <c r="C127" s="625" t="s">
        <v>495</v>
      </c>
    </row>
    <row r="128" ht="15.75" customHeight="1">
      <c r="A128" s="624" t="s">
        <v>549</v>
      </c>
      <c r="B128" s="624">
        <f>ATI!J96</f>
        <v>0</v>
      </c>
      <c r="C128" s="625" t="s">
        <v>495</v>
      </c>
    </row>
    <row r="129" ht="15.75" customHeight="1">
      <c r="A129" s="624" t="s">
        <v>550</v>
      </c>
      <c r="B129" s="624">
        <f>ATI!K96</f>
        <v>0</v>
      </c>
      <c r="C129" s="625" t="s">
        <v>495</v>
      </c>
    </row>
    <row r="130" ht="15.75" customHeight="1">
      <c r="A130" s="624" t="s">
        <v>551</v>
      </c>
      <c r="B130" s="624">
        <f>ATI!E97</f>
        <v>0</v>
      </c>
      <c r="C130" s="625" t="s">
        <v>495</v>
      </c>
    </row>
    <row r="131" ht="15.75" customHeight="1">
      <c r="A131" s="624" t="s">
        <v>552</v>
      </c>
      <c r="B131" s="624">
        <f>ATI!F97</f>
        <v>0</v>
      </c>
      <c r="C131" s="625" t="s">
        <v>495</v>
      </c>
    </row>
    <row r="132" ht="15.75" customHeight="1">
      <c r="A132" s="624" t="s">
        <v>553</v>
      </c>
      <c r="B132" s="624">
        <f>ATI!G97</f>
        <v>0</v>
      </c>
      <c r="C132" s="625" t="s">
        <v>495</v>
      </c>
    </row>
    <row r="133" ht="15.75" customHeight="1">
      <c r="A133" s="624" t="s">
        <v>554</v>
      </c>
      <c r="B133" s="624">
        <f>ATI!H97</f>
        <v>0</v>
      </c>
      <c r="C133" s="625" t="s">
        <v>495</v>
      </c>
    </row>
    <row r="134" ht="15.75" customHeight="1">
      <c r="A134" s="624" t="s">
        <v>555</v>
      </c>
      <c r="B134" s="624">
        <f>ATI!I97</f>
        <v>0</v>
      </c>
      <c r="C134" s="625" t="s">
        <v>495</v>
      </c>
    </row>
    <row r="135" ht="15.75" customHeight="1">
      <c r="A135" s="624" t="s">
        <v>556</v>
      </c>
      <c r="B135" s="624">
        <f>ATI!J97</f>
        <v>0</v>
      </c>
      <c r="C135" s="625" t="s">
        <v>495</v>
      </c>
    </row>
    <row r="136" ht="15.75" customHeight="1">
      <c r="A136" s="624" t="s">
        <v>557</v>
      </c>
      <c r="B136" s="624">
        <f>ATI!K97</f>
        <v>0</v>
      </c>
      <c r="C136" s="625" t="s">
        <v>495</v>
      </c>
    </row>
    <row r="137" ht="15.75" customHeight="1">
      <c r="A137" s="628" t="s">
        <v>558</v>
      </c>
      <c r="B137" s="628">
        <f>ATI!C103</f>
        <v>0</v>
      </c>
      <c r="C137" s="629" t="s">
        <v>559</v>
      </c>
    </row>
    <row r="138" ht="15.75" customHeight="1">
      <c r="A138" s="628" t="s">
        <v>560</v>
      </c>
      <c r="B138" s="628">
        <f>ATI!C104</f>
        <v>0</v>
      </c>
      <c r="C138" s="629" t="s">
        <v>559</v>
      </c>
    </row>
    <row r="139" ht="15.75" customHeight="1">
      <c r="A139" s="628" t="s">
        <v>561</v>
      </c>
      <c r="B139" s="628">
        <f>ATI!C105</f>
        <v>0</v>
      </c>
      <c r="C139" s="629" t="s">
        <v>559</v>
      </c>
    </row>
    <row r="140" ht="15.75" customHeight="1">
      <c r="A140" s="628" t="s">
        <v>562</v>
      </c>
      <c r="B140" s="628">
        <f>ATI!C106</f>
        <v>0</v>
      </c>
      <c r="C140" s="629" t="s">
        <v>559</v>
      </c>
    </row>
    <row r="141" ht="15.75" customHeight="1">
      <c r="A141" s="628" t="s">
        <v>563</v>
      </c>
      <c r="B141" s="628">
        <f>ATI!C107</f>
        <v>0</v>
      </c>
      <c r="C141" s="629" t="s">
        <v>559</v>
      </c>
    </row>
    <row r="142" ht="15.75" customHeight="1">
      <c r="A142" s="628" t="s">
        <v>564</v>
      </c>
      <c r="B142" s="628">
        <f>ATI!C108</f>
        <v>0</v>
      </c>
      <c r="C142" s="629" t="s">
        <v>559</v>
      </c>
    </row>
    <row r="143" ht="15.75" customHeight="1">
      <c r="A143" s="628" t="s">
        <v>565</v>
      </c>
      <c r="B143" s="628">
        <f>ATI!C109</f>
        <v>0</v>
      </c>
      <c r="C143" s="629" t="s">
        <v>559</v>
      </c>
    </row>
    <row r="144" ht="15.75" customHeight="1">
      <c r="A144" s="628" t="s">
        <v>566</v>
      </c>
      <c r="B144" s="628">
        <f>ATI!C110</f>
        <v>0</v>
      </c>
      <c r="C144" s="629" t="s">
        <v>559</v>
      </c>
    </row>
    <row r="145" ht="15.75" customHeight="1">
      <c r="A145" s="628" t="s">
        <v>567</v>
      </c>
      <c r="B145" s="628">
        <f>ATI!C111</f>
        <v>0</v>
      </c>
      <c r="C145" s="629" t="s">
        <v>559</v>
      </c>
    </row>
    <row r="146" ht="15.75" customHeight="1">
      <c r="A146" s="628" t="s">
        <v>568</v>
      </c>
      <c r="B146" s="628">
        <f>ATI!C112</f>
        <v>0</v>
      </c>
      <c r="C146" s="629" t="s">
        <v>559</v>
      </c>
    </row>
    <row r="147" ht="15.75" customHeight="1">
      <c r="A147" s="628" t="s">
        <v>569</v>
      </c>
      <c r="B147" s="628">
        <f>ATI!C113</f>
        <v>0</v>
      </c>
      <c r="C147" s="629" t="s">
        <v>559</v>
      </c>
    </row>
    <row r="148" ht="15.75" customHeight="1">
      <c r="A148" s="628" t="s">
        <v>570</v>
      </c>
      <c r="B148" s="628">
        <f>ATI!C114</f>
        <v>0</v>
      </c>
      <c r="C148" s="629" t="s">
        <v>559</v>
      </c>
    </row>
    <row r="149" ht="15.75" customHeight="1">
      <c r="A149" s="628" t="s">
        <v>571</v>
      </c>
      <c r="B149" s="628">
        <f>ATI!C115</f>
        <v>0</v>
      </c>
      <c r="C149" s="629" t="s">
        <v>559</v>
      </c>
    </row>
    <row r="150" ht="15.75" customHeight="1">
      <c r="A150" s="628" t="s">
        <v>572</v>
      </c>
      <c r="B150" s="628">
        <f>ATI!C116</f>
        <v>0</v>
      </c>
      <c r="C150" s="629" t="s">
        <v>559</v>
      </c>
    </row>
    <row r="151" ht="15.75" customHeight="1">
      <c r="A151" s="628" t="s">
        <v>573</v>
      </c>
      <c r="B151" s="628">
        <f>ATI!C117</f>
        <v>0</v>
      </c>
      <c r="C151" s="629" t="s">
        <v>559</v>
      </c>
    </row>
    <row r="152" ht="15.75" customHeight="1">
      <c r="A152" s="628" t="s">
        <v>574</v>
      </c>
      <c r="B152" s="628">
        <f>ATI!C118</f>
        <v>0</v>
      </c>
      <c r="C152" s="629" t="s">
        <v>559</v>
      </c>
    </row>
    <row r="153" ht="15.75" customHeight="1">
      <c r="A153" s="628" t="s">
        <v>575</v>
      </c>
      <c r="B153" s="628">
        <f>ATI!C119</f>
        <v>0</v>
      </c>
      <c r="C153" s="629" t="s">
        <v>559</v>
      </c>
    </row>
    <row r="154" ht="15.75" customHeight="1">
      <c r="A154" s="628" t="s">
        <v>576</v>
      </c>
      <c r="B154" s="628">
        <f>ATI!C120</f>
        <v>0</v>
      </c>
      <c r="C154" s="629" t="s">
        <v>559</v>
      </c>
    </row>
    <row r="155" ht="15.75" customHeight="1">
      <c r="A155" s="628" t="s">
        <v>577</v>
      </c>
      <c r="B155" s="628">
        <f>ATI!F103</f>
        <v>0</v>
      </c>
      <c r="C155" s="629" t="s">
        <v>559</v>
      </c>
    </row>
    <row r="156" ht="15.75" customHeight="1">
      <c r="A156" s="628" t="s">
        <v>578</v>
      </c>
      <c r="B156" s="628">
        <f>ATI!F104</f>
        <v>0</v>
      </c>
      <c r="C156" s="629" t="s">
        <v>559</v>
      </c>
    </row>
    <row r="157" ht="15.75" customHeight="1">
      <c r="A157" s="628" t="s">
        <v>579</v>
      </c>
      <c r="B157" s="628">
        <f>ATI!F105</f>
        <v>0</v>
      </c>
      <c r="C157" s="629" t="s">
        <v>559</v>
      </c>
    </row>
    <row r="158" ht="15.75" customHeight="1">
      <c r="A158" s="628" t="s">
        <v>580</v>
      </c>
      <c r="B158" s="628">
        <f>ATI!F106</f>
        <v>0</v>
      </c>
      <c r="C158" s="629" t="s">
        <v>559</v>
      </c>
    </row>
    <row r="159" ht="15.75" customHeight="1">
      <c r="A159" s="628" t="s">
        <v>581</v>
      </c>
      <c r="B159" s="628">
        <f>ATI!F107</f>
        <v>0</v>
      </c>
      <c r="C159" s="629" t="s">
        <v>559</v>
      </c>
    </row>
    <row r="160" ht="15.75" customHeight="1">
      <c r="A160" s="628" t="s">
        <v>582</v>
      </c>
      <c r="B160" s="628">
        <f>ATI!F108</f>
        <v>0</v>
      </c>
      <c r="C160" s="629" t="s">
        <v>559</v>
      </c>
    </row>
    <row r="161" ht="15.75" customHeight="1">
      <c r="A161" s="628" t="s">
        <v>583</v>
      </c>
      <c r="B161" s="628">
        <f>ATI!F109</f>
        <v>0</v>
      </c>
      <c r="C161" s="629" t="s">
        <v>559</v>
      </c>
    </row>
    <row r="162" ht="15.75" customHeight="1">
      <c r="A162" s="628" t="s">
        <v>584</v>
      </c>
      <c r="B162" s="628">
        <f>ATI!F110</f>
        <v>0</v>
      </c>
      <c r="C162" s="629" t="s">
        <v>559</v>
      </c>
    </row>
    <row r="163" ht="15.75" customHeight="1">
      <c r="A163" s="628" t="s">
        <v>585</v>
      </c>
      <c r="B163" s="628">
        <f>ATI!F111</f>
        <v>0</v>
      </c>
      <c r="C163" s="629" t="s">
        <v>559</v>
      </c>
    </row>
    <row r="164" ht="15.75" customHeight="1">
      <c r="A164" s="628" t="s">
        <v>586</v>
      </c>
      <c r="B164" s="628">
        <f>ATI!F112</f>
        <v>0</v>
      </c>
      <c r="C164" s="629" t="s">
        <v>559</v>
      </c>
    </row>
    <row r="165" ht="15.75" customHeight="1">
      <c r="A165" s="628" t="s">
        <v>587</v>
      </c>
      <c r="B165" s="628">
        <f>ATI!F113</f>
        <v>0</v>
      </c>
      <c r="C165" s="629" t="s">
        <v>559</v>
      </c>
    </row>
    <row r="166" ht="15.75" customHeight="1">
      <c r="A166" s="628" t="s">
        <v>588</v>
      </c>
      <c r="B166" s="628">
        <f>ATI!F114</f>
        <v>0</v>
      </c>
      <c r="C166" s="629" t="s">
        <v>559</v>
      </c>
    </row>
    <row r="167" ht="15.75" customHeight="1">
      <c r="A167" s="628" t="s">
        <v>589</v>
      </c>
      <c r="B167" s="628">
        <f>ATI!F115</f>
        <v>0</v>
      </c>
      <c r="C167" s="629" t="s">
        <v>559</v>
      </c>
    </row>
    <row r="168" ht="15.75" customHeight="1">
      <c r="A168" s="628" t="s">
        <v>590</v>
      </c>
      <c r="B168" s="628">
        <f>ATI!F116</f>
        <v>0</v>
      </c>
      <c r="C168" s="629" t="s">
        <v>559</v>
      </c>
    </row>
    <row r="169" ht="15.75" customHeight="1">
      <c r="A169" s="628" t="s">
        <v>591</v>
      </c>
      <c r="B169" s="628">
        <f>ATI!F117</f>
        <v>0</v>
      </c>
      <c r="C169" s="629" t="s">
        <v>559</v>
      </c>
    </row>
    <row r="170" ht="15.75" customHeight="1">
      <c r="A170" s="628" t="s">
        <v>592</v>
      </c>
      <c r="B170" s="628">
        <f>ATI!F118</f>
        <v>0</v>
      </c>
      <c r="C170" s="629" t="s">
        <v>559</v>
      </c>
    </row>
    <row r="171" ht="15.75" customHeight="1">
      <c r="A171" s="628" t="s">
        <v>593</v>
      </c>
      <c r="B171" s="628">
        <f>ATI!I103</f>
        <v>0</v>
      </c>
      <c r="C171" s="629" t="s">
        <v>559</v>
      </c>
    </row>
    <row r="172" ht="15.75" customHeight="1">
      <c r="A172" s="628" t="s">
        <v>594</v>
      </c>
      <c r="B172" s="628">
        <f>ATI!I104</f>
        <v>0</v>
      </c>
      <c r="C172" s="629" t="s">
        <v>559</v>
      </c>
    </row>
    <row r="173" ht="15.75" customHeight="1">
      <c r="A173" s="628" t="s">
        <v>595</v>
      </c>
      <c r="B173" s="628">
        <f>ATI!I105</f>
        <v>0</v>
      </c>
      <c r="C173" s="629" t="s">
        <v>559</v>
      </c>
    </row>
    <row r="174" ht="15.75" customHeight="1">
      <c r="A174" s="628" t="s">
        <v>596</v>
      </c>
      <c r="B174" s="628">
        <f>ATI!I106</f>
        <v>0</v>
      </c>
      <c r="C174" s="629" t="s">
        <v>559</v>
      </c>
    </row>
    <row r="175" ht="15.75" customHeight="1">
      <c r="A175" s="628" t="s">
        <v>597</v>
      </c>
      <c r="B175" s="628">
        <f>ATI!I107</f>
        <v>0</v>
      </c>
      <c r="C175" s="629" t="s">
        <v>559</v>
      </c>
    </row>
    <row r="176" ht="15.75" customHeight="1">
      <c r="A176" s="628" t="s">
        <v>598</v>
      </c>
      <c r="B176" s="628">
        <f>ATI!I108</f>
        <v>0</v>
      </c>
      <c r="C176" s="629" t="s">
        <v>559</v>
      </c>
    </row>
    <row r="177" ht="15.75" customHeight="1">
      <c r="A177" s="628" t="s">
        <v>599</v>
      </c>
      <c r="B177" s="628">
        <f>ATI!I109</f>
        <v>0</v>
      </c>
      <c r="C177" s="629" t="s">
        <v>559</v>
      </c>
    </row>
    <row r="178" ht="15.75" customHeight="1">
      <c r="A178" s="628" t="s">
        <v>600</v>
      </c>
      <c r="B178" s="628">
        <f>ATI!I110</f>
        <v>0</v>
      </c>
      <c r="C178" s="629" t="s">
        <v>559</v>
      </c>
    </row>
    <row r="179" ht="15.75" customHeight="1">
      <c r="A179" s="628" t="s">
        <v>601</v>
      </c>
      <c r="B179" s="628">
        <f>ATI!I111</f>
        <v>0</v>
      </c>
      <c r="C179" s="629" t="s">
        <v>559</v>
      </c>
    </row>
    <row r="180" ht="15.75" customHeight="1">
      <c r="A180" s="628" t="s">
        <v>602</v>
      </c>
      <c r="B180" s="628">
        <f>ATI!I112</f>
        <v>0</v>
      </c>
      <c r="C180" s="629" t="s">
        <v>559</v>
      </c>
    </row>
    <row r="181" ht="15.75" customHeight="1">
      <c r="A181" s="628" t="s">
        <v>603</v>
      </c>
      <c r="B181" s="628">
        <f>ATI!I113</f>
        <v>0</v>
      </c>
      <c r="C181" s="629" t="s">
        <v>559</v>
      </c>
    </row>
    <row r="182" ht="15.75" customHeight="1">
      <c r="A182" s="628" t="s">
        <v>604</v>
      </c>
      <c r="B182" s="628">
        <f>ATI!I114</f>
        <v>0</v>
      </c>
      <c r="C182" s="629" t="s">
        <v>559</v>
      </c>
    </row>
    <row r="183" ht="15.75" customHeight="1">
      <c r="A183" s="628" t="s">
        <v>605</v>
      </c>
      <c r="B183" s="628">
        <f>ATI!I115</f>
        <v>0</v>
      </c>
      <c r="C183" s="629" t="s">
        <v>559</v>
      </c>
    </row>
    <row r="184" ht="15.75" customHeight="1">
      <c r="A184" s="628" t="s">
        <v>606</v>
      </c>
      <c r="B184" s="628">
        <f>ATI!I116</f>
        <v>0</v>
      </c>
      <c r="C184" s="629" t="s">
        <v>559</v>
      </c>
    </row>
    <row r="185" ht="15.75" customHeight="1">
      <c r="A185" s="628" t="s">
        <v>607</v>
      </c>
      <c r="B185" s="628">
        <f>ATI!L103</f>
        <v>0</v>
      </c>
      <c r="C185" s="629" t="s">
        <v>559</v>
      </c>
    </row>
    <row r="186" ht="15.75" customHeight="1">
      <c r="A186" s="628" t="s">
        <v>608</v>
      </c>
      <c r="B186" s="628">
        <f>ATI!L104</f>
        <v>0</v>
      </c>
      <c r="C186" s="629" t="s">
        <v>559</v>
      </c>
    </row>
    <row r="187" ht="15.75" customHeight="1">
      <c r="A187" s="628" t="s">
        <v>609</v>
      </c>
      <c r="B187" s="628">
        <f>ATI!L105</f>
        <v>0</v>
      </c>
      <c r="C187" s="629" t="s">
        <v>559</v>
      </c>
    </row>
    <row r="188" ht="15.75" customHeight="1">
      <c r="A188" s="628" t="s">
        <v>610</v>
      </c>
      <c r="B188" s="628">
        <f>ATI!L106</f>
        <v>0</v>
      </c>
      <c r="C188" s="629" t="s">
        <v>559</v>
      </c>
    </row>
    <row r="189" ht="15.75" customHeight="1">
      <c r="A189" s="628" t="s">
        <v>611</v>
      </c>
      <c r="B189" s="628">
        <f>ATI!L107</f>
        <v>0</v>
      </c>
      <c r="C189" s="629" t="s">
        <v>559</v>
      </c>
    </row>
    <row r="190" ht="15.75" customHeight="1">
      <c r="A190" s="628" t="s">
        <v>612</v>
      </c>
      <c r="B190" s="628">
        <f>ATI!L108</f>
        <v>0</v>
      </c>
      <c r="C190" s="629" t="s">
        <v>559</v>
      </c>
    </row>
    <row r="191" ht="15.75" customHeight="1">
      <c r="A191" s="628" t="s">
        <v>613</v>
      </c>
      <c r="B191" s="628">
        <f>ATI!L109</f>
        <v>0</v>
      </c>
      <c r="C191" s="629" t="s">
        <v>559</v>
      </c>
    </row>
    <row r="192" ht="15.75" customHeight="1">
      <c r="A192" s="628" t="s">
        <v>614</v>
      </c>
      <c r="B192" s="628">
        <f>ATI!L110</f>
        <v>0</v>
      </c>
      <c r="C192" s="629" t="s">
        <v>559</v>
      </c>
    </row>
    <row r="193" ht="15.75" customHeight="1">
      <c r="A193" s="628" t="s">
        <v>615</v>
      </c>
      <c r="B193" s="628">
        <f>ATI!L111</f>
        <v>0</v>
      </c>
      <c r="C193" s="629" t="s">
        <v>559</v>
      </c>
    </row>
    <row r="194" ht="15.75" customHeight="1">
      <c r="A194" s="628" t="s">
        <v>616</v>
      </c>
      <c r="B194" s="628">
        <f>ATI!L112</f>
        <v>0</v>
      </c>
      <c r="C194" s="629" t="s">
        <v>559</v>
      </c>
    </row>
    <row r="195" ht="15.75" customHeight="1">
      <c r="A195" s="628" t="s">
        <v>617</v>
      </c>
      <c r="B195" s="628">
        <f>ATI!L113</f>
        <v>0</v>
      </c>
      <c r="C195" s="629" t="s">
        <v>559</v>
      </c>
    </row>
    <row r="196" ht="15.75" customHeight="1">
      <c r="A196" s="628" t="s">
        <v>618</v>
      </c>
      <c r="B196" s="628">
        <f>ATI!L114</f>
        <v>0</v>
      </c>
      <c r="C196" s="629" t="s">
        <v>559</v>
      </c>
    </row>
    <row r="197" ht="15.75" customHeight="1">
      <c r="A197" s="628" t="s">
        <v>619</v>
      </c>
      <c r="B197" s="628">
        <f>ATI!L115</f>
        <v>0</v>
      </c>
      <c r="C197" s="629" t="s">
        <v>559</v>
      </c>
    </row>
    <row r="198" ht="15.75" customHeight="1">
      <c r="A198" s="628" t="s">
        <v>620</v>
      </c>
      <c r="B198" s="628">
        <f>ATI!C125</f>
        <v>0</v>
      </c>
      <c r="C198" s="629" t="s">
        <v>621</v>
      </c>
    </row>
    <row r="199" ht="15.75" customHeight="1">
      <c r="A199" s="628" t="s">
        <v>622</v>
      </c>
      <c r="B199" s="628">
        <f>ATI!C126</f>
        <v>0</v>
      </c>
      <c r="C199" s="629" t="s">
        <v>621</v>
      </c>
    </row>
    <row r="200" ht="15.75" customHeight="1">
      <c r="A200" s="628" t="s">
        <v>623</v>
      </c>
      <c r="B200" s="628">
        <f>ATI!C127</f>
        <v>0</v>
      </c>
      <c r="C200" s="629" t="s">
        <v>621</v>
      </c>
    </row>
    <row r="201" ht="15.75" customHeight="1">
      <c r="A201" s="628" t="s">
        <v>624</v>
      </c>
      <c r="B201" s="628">
        <f>ATI!C128</f>
        <v>0</v>
      </c>
      <c r="C201" s="629" t="s">
        <v>621</v>
      </c>
    </row>
    <row r="202" ht="15.75" customHeight="1">
      <c r="A202" s="628" t="s">
        <v>625</v>
      </c>
      <c r="B202" s="628">
        <f>ATI!C129</f>
        <v>0</v>
      </c>
      <c r="C202" s="629" t="s">
        <v>621</v>
      </c>
    </row>
    <row r="203" ht="15.75" customHeight="1">
      <c r="A203" s="628" t="s">
        <v>626</v>
      </c>
      <c r="B203" s="628">
        <f>ATI!C130</f>
        <v>0</v>
      </c>
      <c r="C203" s="629" t="s">
        <v>621</v>
      </c>
    </row>
    <row r="204" ht="15.75" customHeight="1">
      <c r="A204" s="628" t="s">
        <v>627</v>
      </c>
      <c r="B204" s="628">
        <f>ATI!G125</f>
        <v>0</v>
      </c>
      <c r="C204" s="629" t="s">
        <v>621</v>
      </c>
    </row>
    <row r="205" ht="15.75" customHeight="1">
      <c r="A205" s="628" t="s">
        <v>628</v>
      </c>
      <c r="B205" s="628">
        <f>ATI!G126</f>
        <v>0</v>
      </c>
      <c r="C205" s="629" t="s">
        <v>621</v>
      </c>
    </row>
    <row r="206" ht="15.75" customHeight="1">
      <c r="A206" s="628" t="s">
        <v>629</v>
      </c>
      <c r="B206" s="628">
        <f>ATI!G127</f>
        <v>0</v>
      </c>
      <c r="C206" s="629" t="s">
        <v>621</v>
      </c>
    </row>
    <row r="207" ht="15.75" customHeight="1">
      <c r="A207" s="628" t="s">
        <v>630</v>
      </c>
      <c r="B207" s="628">
        <f>ATI!G128</f>
        <v>0</v>
      </c>
      <c r="C207" s="629" t="s">
        <v>621</v>
      </c>
    </row>
    <row r="208" ht="15.75" customHeight="1">
      <c r="A208" s="628" t="s">
        <v>631</v>
      </c>
      <c r="B208" s="628">
        <f>ATI!G129</f>
        <v>0</v>
      </c>
      <c r="C208" s="629" t="s">
        <v>621</v>
      </c>
    </row>
    <row r="209" ht="15.75" customHeight="1">
      <c r="A209" s="628" t="s">
        <v>632</v>
      </c>
      <c r="B209" s="628">
        <f>ATI!G130</f>
        <v>0</v>
      </c>
      <c r="C209" s="629" t="s">
        <v>621</v>
      </c>
    </row>
    <row r="210" ht="15.75" customHeight="1">
      <c r="A210" s="628" t="s">
        <v>633</v>
      </c>
      <c r="B210" s="628">
        <f>ATI!G131</f>
        <v>0</v>
      </c>
      <c r="C210" s="629" t="s">
        <v>621</v>
      </c>
    </row>
    <row r="211" ht="15.75" customHeight="1">
      <c r="A211" s="628" t="s">
        <v>634</v>
      </c>
      <c r="B211" s="628">
        <f>ATI!K125</f>
        <v>0</v>
      </c>
      <c r="C211" s="629" t="s">
        <v>621</v>
      </c>
    </row>
    <row r="212" ht="15.75" customHeight="1">
      <c r="A212" s="628" t="s">
        <v>635</v>
      </c>
      <c r="B212" s="628">
        <f>ATI!K126</f>
        <v>0</v>
      </c>
      <c r="C212" s="629" t="s">
        <v>621</v>
      </c>
    </row>
    <row r="213" ht="15.75" customHeight="1">
      <c r="A213" s="628" t="s">
        <v>636</v>
      </c>
      <c r="B213" s="628">
        <f>ATI!K127</f>
        <v>0</v>
      </c>
      <c r="C213" s="629" t="s">
        <v>621</v>
      </c>
    </row>
    <row r="214" ht="15.75" customHeight="1">
      <c r="A214" s="628" t="s">
        <v>637</v>
      </c>
      <c r="B214" s="628">
        <f>ATI!K128</f>
        <v>0</v>
      </c>
      <c r="C214" s="629" t="s">
        <v>621</v>
      </c>
    </row>
    <row r="215" ht="15.75" customHeight="1">
      <c r="A215" s="628" t="s">
        <v>638</v>
      </c>
      <c r="B215" s="628">
        <f>ATI!K129</f>
        <v>0</v>
      </c>
      <c r="C215" s="629" t="s">
        <v>621</v>
      </c>
    </row>
    <row r="216" ht="15.75" customHeight="1">
      <c r="A216" s="628" t="s">
        <v>639</v>
      </c>
      <c r="B216" s="628">
        <f>ATI!K130</f>
        <v>0</v>
      </c>
      <c r="C216" s="629" t="s">
        <v>621</v>
      </c>
    </row>
    <row r="217" ht="15.75" customHeight="1">
      <c r="A217" s="628" t="s">
        <v>640</v>
      </c>
      <c r="B217" s="628">
        <f>ATI!K131</f>
        <v>0</v>
      </c>
      <c r="C217" s="629" t="s">
        <v>621</v>
      </c>
    </row>
    <row r="218" ht="15.75" customHeight="1">
      <c r="A218" s="624" t="s">
        <v>641</v>
      </c>
      <c r="B218" s="624">
        <f>ATI!A137</f>
        <v>0</v>
      </c>
      <c r="C218" s="625" t="s">
        <v>642</v>
      </c>
    </row>
    <row r="219" ht="15.75" customHeight="1">
      <c r="A219" s="626" t="s">
        <v>643</v>
      </c>
      <c r="B219" s="626">
        <f>ATI!C137</f>
        <v>0</v>
      </c>
      <c r="C219" s="627" t="s">
        <v>642</v>
      </c>
    </row>
    <row r="220" ht="15.75" customHeight="1">
      <c r="A220" s="626" t="s">
        <v>644</v>
      </c>
      <c r="B220" s="626">
        <f>ATI!E137</f>
        <v>0</v>
      </c>
      <c r="C220" s="627" t="s">
        <v>642</v>
      </c>
    </row>
    <row r="221" ht="15.75" customHeight="1">
      <c r="A221" s="626" t="s">
        <v>645</v>
      </c>
      <c r="B221" s="626">
        <f>ATI!F137</f>
        <v>0</v>
      </c>
      <c r="C221" s="627" t="s">
        <v>642</v>
      </c>
    </row>
    <row r="222" ht="15.75" customHeight="1">
      <c r="A222" s="626" t="s">
        <v>646</v>
      </c>
      <c r="B222" s="626">
        <f>ATI!G137</f>
        <v>0</v>
      </c>
      <c r="C222" s="627" t="s">
        <v>642</v>
      </c>
    </row>
    <row r="223" ht="15.75" customHeight="1">
      <c r="A223" s="624" t="s">
        <v>647</v>
      </c>
      <c r="B223" s="624">
        <f>ATI!H137</f>
        <v>0</v>
      </c>
      <c r="C223" s="625" t="s">
        <v>642</v>
      </c>
    </row>
    <row r="224" ht="15.75" customHeight="1">
      <c r="A224" s="626" t="s">
        <v>648</v>
      </c>
      <c r="B224" s="626">
        <f>ATI!A144</f>
        <v>0</v>
      </c>
      <c r="C224" s="627" t="s">
        <v>649</v>
      </c>
    </row>
    <row r="225" ht="15.75" customHeight="1">
      <c r="A225" s="626" t="s">
        <v>650</v>
      </c>
      <c r="B225" s="626">
        <f>ATI!D144</f>
        <v>0</v>
      </c>
      <c r="C225" s="627" t="s">
        <v>649</v>
      </c>
    </row>
    <row r="226" ht="15.75" customHeight="1">
      <c r="A226" s="626" t="s">
        <v>651</v>
      </c>
      <c r="B226" s="626">
        <f>ATI!G144</f>
        <v>0</v>
      </c>
      <c r="C226" s="627" t="s">
        <v>649</v>
      </c>
    </row>
    <row r="227" ht="15.75" customHeight="1">
      <c r="A227" s="626" t="s">
        <v>652</v>
      </c>
      <c r="B227" s="626">
        <f t="array" ref="B227:B232">TRANSPOSE(ATI!C151:H151)</f>
        <v>0</v>
      </c>
      <c r="C227" s="627" t="s">
        <v>653</v>
      </c>
    </row>
    <row r="228" ht="15.75" customHeight="1">
      <c r="A228" s="626" t="s">
        <v>654</v>
      </c>
      <c r="B228" s="626">
        <v>0.0</v>
      </c>
      <c r="C228" s="627" t="s">
        <v>653</v>
      </c>
    </row>
    <row r="229" ht="15.75" customHeight="1">
      <c r="A229" s="626" t="s">
        <v>655</v>
      </c>
      <c r="B229" s="626">
        <v>0.0</v>
      </c>
      <c r="C229" s="627" t="s">
        <v>653</v>
      </c>
    </row>
    <row r="230" ht="15.75" customHeight="1">
      <c r="A230" s="626" t="s">
        <v>656</v>
      </c>
      <c r="B230" s="626">
        <v>0.0</v>
      </c>
      <c r="C230" s="627" t="s">
        <v>653</v>
      </c>
    </row>
    <row r="231" ht="15.75" customHeight="1">
      <c r="A231" s="626" t="s">
        <v>657</v>
      </c>
      <c r="B231" s="626">
        <v>0.0</v>
      </c>
      <c r="C231" s="627" t="s">
        <v>653</v>
      </c>
    </row>
    <row r="232" ht="15.75" customHeight="1">
      <c r="A232" s="626" t="s">
        <v>658</v>
      </c>
      <c r="B232" s="626">
        <v>0.0</v>
      </c>
      <c r="C232" s="627" t="s">
        <v>653</v>
      </c>
    </row>
    <row r="233" ht="15.75" customHeight="1">
      <c r="A233" s="626" t="s">
        <v>659</v>
      </c>
      <c r="B233" s="626"/>
      <c r="C233" s="627" t="s">
        <v>653</v>
      </c>
    </row>
    <row r="234" ht="15.75" customHeight="1">
      <c r="A234" s="626" t="s">
        <v>660</v>
      </c>
      <c r="B234" s="626"/>
      <c r="C234" s="627" t="s">
        <v>653</v>
      </c>
    </row>
    <row r="235" ht="15.75" customHeight="1">
      <c r="A235" s="626" t="s">
        <v>661</v>
      </c>
      <c r="B235" s="626"/>
      <c r="C235" s="627" t="s">
        <v>653</v>
      </c>
    </row>
    <row r="236" ht="15.75" customHeight="1">
      <c r="A236" s="626" t="s">
        <v>662</v>
      </c>
      <c r="B236" s="626"/>
      <c r="C236" s="627" t="s">
        <v>653</v>
      </c>
    </row>
    <row r="237" ht="15.75" customHeight="1">
      <c r="A237" s="626" t="s">
        <v>663</v>
      </c>
      <c r="B237" s="626">
        <f t="array" ref="B237:B242">TRANSPOSE(ATI!C152:H152)</f>
        <v>0</v>
      </c>
      <c r="C237" s="627" t="s">
        <v>653</v>
      </c>
    </row>
    <row r="238" ht="15.75" customHeight="1">
      <c r="A238" s="626" t="s">
        <v>664</v>
      </c>
      <c r="B238" s="626">
        <v>0.0</v>
      </c>
      <c r="C238" s="627" t="s">
        <v>653</v>
      </c>
    </row>
    <row r="239" ht="15.75" customHeight="1">
      <c r="A239" s="626" t="s">
        <v>665</v>
      </c>
      <c r="B239" s="626">
        <v>0.0</v>
      </c>
      <c r="C239" s="627" t="s">
        <v>653</v>
      </c>
    </row>
    <row r="240" ht="15.75" customHeight="1">
      <c r="A240" s="626" t="s">
        <v>666</v>
      </c>
      <c r="B240" s="626">
        <v>0.0</v>
      </c>
      <c r="C240" s="627" t="s">
        <v>653</v>
      </c>
    </row>
    <row r="241" ht="15.75" customHeight="1">
      <c r="A241" s="626" t="s">
        <v>667</v>
      </c>
      <c r="B241" s="626">
        <v>0.0</v>
      </c>
      <c r="C241" s="627" t="s">
        <v>653</v>
      </c>
    </row>
    <row r="242" ht="15.75" customHeight="1">
      <c r="A242" s="626" t="s">
        <v>668</v>
      </c>
      <c r="B242" s="626">
        <v>0.0</v>
      </c>
      <c r="C242" s="627" t="s">
        <v>653</v>
      </c>
    </row>
    <row r="243" ht="15.75" customHeight="1">
      <c r="A243" s="626" t="s">
        <v>669</v>
      </c>
      <c r="B243" s="626"/>
      <c r="C243" s="627" t="s">
        <v>653</v>
      </c>
    </row>
    <row r="244" ht="15.75" customHeight="1">
      <c r="A244" s="626" t="s">
        <v>670</v>
      </c>
      <c r="B244" s="626"/>
      <c r="C244" s="627" t="s">
        <v>653</v>
      </c>
    </row>
    <row r="245" ht="15.75" customHeight="1">
      <c r="A245" s="626" t="s">
        <v>671</v>
      </c>
      <c r="B245" s="626"/>
      <c r="C245" s="627" t="s">
        <v>653</v>
      </c>
    </row>
    <row r="246" ht="15.75" customHeight="1">
      <c r="A246" s="626" t="s">
        <v>672</v>
      </c>
      <c r="B246" s="626"/>
      <c r="C246" s="627" t="s">
        <v>653</v>
      </c>
    </row>
    <row r="247" ht="15.75" customHeight="1">
      <c r="A247" s="626" t="s">
        <v>673</v>
      </c>
      <c r="B247" s="626">
        <f t="array" ref="B247:B252">TRANSPOSE(ATI!C153:H153)</f>
        <v>0</v>
      </c>
      <c r="C247" s="627" t="s">
        <v>653</v>
      </c>
    </row>
    <row r="248" ht="15.75" customHeight="1">
      <c r="A248" s="626" t="s">
        <v>674</v>
      </c>
      <c r="B248" s="626">
        <v>0.0</v>
      </c>
      <c r="C248" s="627" t="s">
        <v>653</v>
      </c>
    </row>
    <row r="249" ht="15.75" customHeight="1">
      <c r="A249" s="626" t="s">
        <v>675</v>
      </c>
      <c r="B249" s="626">
        <v>0.0</v>
      </c>
      <c r="C249" s="627" t="s">
        <v>653</v>
      </c>
    </row>
    <row r="250" ht="15.75" customHeight="1">
      <c r="A250" s="626" t="s">
        <v>676</v>
      </c>
      <c r="B250" s="626">
        <v>0.0</v>
      </c>
      <c r="C250" s="627" t="s">
        <v>653</v>
      </c>
    </row>
    <row r="251" ht="15.75" customHeight="1">
      <c r="A251" s="626" t="s">
        <v>677</v>
      </c>
      <c r="B251" s="626">
        <v>0.0</v>
      </c>
      <c r="C251" s="627" t="s">
        <v>653</v>
      </c>
    </row>
    <row r="252" ht="15.75" customHeight="1">
      <c r="A252" s="626" t="s">
        <v>678</v>
      </c>
      <c r="B252" s="626">
        <v>0.0</v>
      </c>
      <c r="C252" s="627" t="s">
        <v>653</v>
      </c>
    </row>
    <row r="253" ht="15.75" customHeight="1">
      <c r="A253" s="626" t="s">
        <v>679</v>
      </c>
      <c r="B253" s="626"/>
      <c r="C253" s="627" t="s">
        <v>653</v>
      </c>
    </row>
    <row r="254" ht="15.75" customHeight="1">
      <c r="A254" s="626" t="s">
        <v>680</v>
      </c>
      <c r="B254" s="626"/>
      <c r="C254" s="627" t="s">
        <v>653</v>
      </c>
    </row>
    <row r="255" ht="15.75" customHeight="1">
      <c r="A255" s="626" t="s">
        <v>681</v>
      </c>
      <c r="B255" s="626"/>
      <c r="C255" s="627" t="s">
        <v>653</v>
      </c>
    </row>
    <row r="256" ht="15.75" customHeight="1">
      <c r="A256" s="626" t="s">
        <v>682</v>
      </c>
      <c r="B256" s="626"/>
      <c r="C256" s="627" t="s">
        <v>653</v>
      </c>
    </row>
    <row r="257" ht="15.75" customHeight="1">
      <c r="A257" s="626" t="s">
        <v>683</v>
      </c>
      <c r="B257" s="626">
        <f t="array" ref="B257:B262">TRANSPOSE(ATI!C154:H154)</f>
        <v>0</v>
      </c>
      <c r="C257" s="627" t="s">
        <v>653</v>
      </c>
    </row>
    <row r="258" ht="15.75" customHeight="1">
      <c r="A258" s="626" t="s">
        <v>684</v>
      </c>
      <c r="B258" s="626">
        <v>0.0</v>
      </c>
      <c r="C258" s="627" t="s">
        <v>653</v>
      </c>
    </row>
    <row r="259" ht="15.75" customHeight="1">
      <c r="A259" s="626" t="s">
        <v>685</v>
      </c>
      <c r="B259" s="626">
        <v>0.0</v>
      </c>
      <c r="C259" s="627" t="s">
        <v>653</v>
      </c>
    </row>
    <row r="260" ht="15.75" customHeight="1">
      <c r="A260" s="626" t="s">
        <v>686</v>
      </c>
      <c r="B260" s="626">
        <v>0.0</v>
      </c>
      <c r="C260" s="627" t="s">
        <v>653</v>
      </c>
    </row>
    <row r="261" ht="15.75" customHeight="1">
      <c r="A261" s="626" t="s">
        <v>687</v>
      </c>
      <c r="B261" s="626">
        <v>0.0</v>
      </c>
      <c r="C261" s="627" t="s">
        <v>653</v>
      </c>
    </row>
    <row r="262" ht="15.75" customHeight="1">
      <c r="A262" s="626" t="s">
        <v>688</v>
      </c>
      <c r="B262" s="626">
        <v>0.0</v>
      </c>
      <c r="C262" s="627" t="s">
        <v>653</v>
      </c>
    </row>
    <row r="263" ht="15.75" customHeight="1">
      <c r="A263" s="626" t="s">
        <v>689</v>
      </c>
      <c r="B263" s="626"/>
      <c r="C263" s="627" t="s">
        <v>653</v>
      </c>
    </row>
    <row r="264" ht="15.75" customHeight="1">
      <c r="A264" s="626" t="s">
        <v>690</v>
      </c>
      <c r="B264" s="626"/>
      <c r="C264" s="627" t="s">
        <v>653</v>
      </c>
    </row>
    <row r="265" ht="15.75" customHeight="1">
      <c r="A265" s="626" t="s">
        <v>691</v>
      </c>
      <c r="B265" s="626"/>
      <c r="C265" s="627" t="s">
        <v>653</v>
      </c>
    </row>
    <row r="266" ht="15.75" customHeight="1">
      <c r="A266" s="626" t="s">
        <v>692</v>
      </c>
      <c r="B266" s="626"/>
      <c r="C266" s="627" t="s">
        <v>653</v>
      </c>
    </row>
    <row r="267" ht="15.75" customHeight="1">
      <c r="A267" s="626" t="s">
        <v>693</v>
      </c>
      <c r="B267" s="626">
        <f t="array" ref="B267:B272">TRANSPOSE(ATI!C155:H155)</f>
        <v>0</v>
      </c>
      <c r="C267" s="627" t="s">
        <v>653</v>
      </c>
    </row>
    <row r="268" ht="15.75" customHeight="1">
      <c r="A268" s="626" t="s">
        <v>694</v>
      </c>
      <c r="B268" s="626">
        <v>0.0</v>
      </c>
      <c r="C268" s="627" t="s">
        <v>653</v>
      </c>
    </row>
    <row r="269" ht="15.75" customHeight="1">
      <c r="A269" s="626" t="s">
        <v>695</v>
      </c>
      <c r="B269" s="626">
        <v>0.0</v>
      </c>
      <c r="C269" s="627" t="s">
        <v>653</v>
      </c>
    </row>
    <row r="270" ht="15.75" customHeight="1">
      <c r="A270" s="626" t="s">
        <v>696</v>
      </c>
      <c r="B270" s="626">
        <v>0.0</v>
      </c>
      <c r="C270" s="627" t="s">
        <v>653</v>
      </c>
    </row>
    <row r="271" ht="15.75" customHeight="1">
      <c r="A271" s="626" t="s">
        <v>697</v>
      </c>
      <c r="B271" s="626">
        <v>0.0</v>
      </c>
      <c r="C271" s="627" t="s">
        <v>653</v>
      </c>
    </row>
    <row r="272" ht="15.75" customHeight="1">
      <c r="A272" s="626" t="s">
        <v>698</v>
      </c>
      <c r="B272" s="626">
        <v>0.0</v>
      </c>
      <c r="C272" s="627" t="s">
        <v>653</v>
      </c>
    </row>
    <row r="273" ht="15.75" customHeight="1">
      <c r="A273" s="626" t="s">
        <v>699</v>
      </c>
      <c r="B273" s="626"/>
      <c r="C273" s="627" t="s">
        <v>653</v>
      </c>
    </row>
    <row r="274" ht="15.75" customHeight="1">
      <c r="A274" s="626" t="s">
        <v>700</v>
      </c>
      <c r="B274" s="626"/>
      <c r="C274" s="627" t="s">
        <v>653</v>
      </c>
    </row>
    <row r="275" ht="15.75" customHeight="1">
      <c r="A275" s="626" t="s">
        <v>701</v>
      </c>
      <c r="B275" s="626"/>
      <c r="C275" s="627" t="s">
        <v>653</v>
      </c>
    </row>
    <row r="276" ht="15.75" customHeight="1">
      <c r="A276" s="626" t="s">
        <v>702</v>
      </c>
      <c r="B276" s="626"/>
      <c r="C276" s="627" t="s">
        <v>653</v>
      </c>
    </row>
    <row r="277" ht="15.75" customHeight="1">
      <c r="A277" s="626" t="s">
        <v>703</v>
      </c>
      <c r="B277" s="626">
        <f t="array" ref="B277:B282">TRANSPOSE(ATI!C156:H156)</f>
        <v>0</v>
      </c>
      <c r="C277" s="627" t="s">
        <v>653</v>
      </c>
    </row>
    <row r="278" ht="15.75" customHeight="1">
      <c r="A278" s="626" t="s">
        <v>704</v>
      </c>
      <c r="B278" s="626">
        <v>0.0</v>
      </c>
      <c r="C278" s="627" t="s">
        <v>653</v>
      </c>
    </row>
    <row r="279" ht="15.75" customHeight="1">
      <c r="A279" s="626" t="s">
        <v>705</v>
      </c>
      <c r="B279" s="626">
        <v>0.0</v>
      </c>
      <c r="C279" s="627" t="s">
        <v>653</v>
      </c>
    </row>
    <row r="280" ht="15.75" customHeight="1">
      <c r="A280" s="626" t="s">
        <v>706</v>
      </c>
      <c r="B280" s="626">
        <v>0.0</v>
      </c>
      <c r="C280" s="627" t="s">
        <v>653</v>
      </c>
    </row>
    <row r="281" ht="15.75" customHeight="1">
      <c r="A281" s="626" t="s">
        <v>707</v>
      </c>
      <c r="B281" s="626">
        <v>0.0</v>
      </c>
      <c r="C281" s="627" t="s">
        <v>653</v>
      </c>
    </row>
    <row r="282" ht="15.75" customHeight="1">
      <c r="A282" s="626" t="s">
        <v>708</v>
      </c>
      <c r="B282" s="626">
        <v>0.0</v>
      </c>
      <c r="C282" s="627" t="s">
        <v>653</v>
      </c>
    </row>
    <row r="283" ht="15.75" customHeight="1">
      <c r="A283" s="626" t="s">
        <v>709</v>
      </c>
      <c r="B283" s="626"/>
      <c r="C283" s="627" t="s">
        <v>653</v>
      </c>
    </row>
    <row r="284" ht="15.75" customHeight="1">
      <c r="A284" s="626" t="s">
        <v>710</v>
      </c>
      <c r="B284" s="626"/>
      <c r="C284" s="627" t="s">
        <v>653</v>
      </c>
    </row>
    <row r="285" ht="15.75" customHeight="1">
      <c r="A285" s="626" t="s">
        <v>711</v>
      </c>
      <c r="B285" s="626"/>
      <c r="C285" s="627" t="s">
        <v>653</v>
      </c>
    </row>
    <row r="286" ht="15.75" customHeight="1">
      <c r="A286" s="626" t="s">
        <v>712</v>
      </c>
      <c r="B286" s="626"/>
      <c r="C286" s="627" t="s">
        <v>653</v>
      </c>
    </row>
    <row r="287" ht="15.75" customHeight="1">
      <c r="A287" s="626" t="s">
        <v>713</v>
      </c>
      <c r="B287" s="626">
        <f t="array" ref="B287:B292">TRANSPOSE(ATI!C157:H157)</f>
        <v>0</v>
      </c>
      <c r="C287" s="627" t="s">
        <v>653</v>
      </c>
    </row>
    <row r="288" ht="15.75" customHeight="1">
      <c r="A288" s="626" t="s">
        <v>714</v>
      </c>
      <c r="B288" s="626">
        <v>0.0</v>
      </c>
      <c r="C288" s="627" t="s">
        <v>653</v>
      </c>
    </row>
    <row r="289" ht="15.75" customHeight="1">
      <c r="A289" s="626" t="s">
        <v>715</v>
      </c>
      <c r="B289" s="626">
        <v>0.0</v>
      </c>
      <c r="C289" s="627" t="s">
        <v>653</v>
      </c>
    </row>
    <row r="290" ht="15.75" customHeight="1">
      <c r="A290" s="626" t="s">
        <v>716</v>
      </c>
      <c r="B290" s="626">
        <v>0.0</v>
      </c>
      <c r="C290" s="627" t="s">
        <v>653</v>
      </c>
    </row>
    <row r="291" ht="15.75" customHeight="1">
      <c r="A291" s="626" t="s">
        <v>717</v>
      </c>
      <c r="B291" s="626">
        <v>0.0</v>
      </c>
      <c r="C291" s="627" t="s">
        <v>653</v>
      </c>
    </row>
    <row r="292" ht="15.75" customHeight="1">
      <c r="A292" s="626" t="s">
        <v>718</v>
      </c>
      <c r="B292" s="626">
        <v>0.0</v>
      </c>
      <c r="C292" s="627" t="s">
        <v>653</v>
      </c>
    </row>
    <row r="293" ht="15.75" customHeight="1">
      <c r="A293" s="626" t="s">
        <v>719</v>
      </c>
      <c r="B293" s="626"/>
      <c r="C293" s="627" t="s">
        <v>653</v>
      </c>
    </row>
    <row r="294" ht="15.75" customHeight="1">
      <c r="A294" s="626" t="s">
        <v>720</v>
      </c>
      <c r="B294" s="626"/>
      <c r="C294" s="627" t="s">
        <v>653</v>
      </c>
    </row>
    <row r="295" ht="15.75" customHeight="1">
      <c r="A295" s="626" t="s">
        <v>721</v>
      </c>
      <c r="B295" s="626"/>
      <c r="C295" s="627" t="s">
        <v>653</v>
      </c>
    </row>
    <row r="296" ht="15.75" customHeight="1">
      <c r="A296" s="626" t="s">
        <v>722</v>
      </c>
      <c r="B296" s="626"/>
      <c r="C296" s="627" t="s">
        <v>653</v>
      </c>
    </row>
    <row r="297" ht="15.75" customHeight="1">
      <c r="A297" s="626" t="s">
        <v>723</v>
      </c>
      <c r="B297" s="626">
        <f>ATI!A163</f>
        <v>0</v>
      </c>
      <c r="C297" s="627" t="s">
        <v>724</v>
      </c>
    </row>
    <row r="298" ht="15.75" customHeight="1">
      <c r="A298" s="626" t="s">
        <v>725</v>
      </c>
      <c r="B298" s="626">
        <f>ATI!D163</f>
        <v>0</v>
      </c>
      <c r="C298" s="627" t="s">
        <v>724</v>
      </c>
    </row>
    <row r="299" ht="15.75" customHeight="1">
      <c r="A299" s="626" t="s">
        <v>726</v>
      </c>
      <c r="B299" s="626">
        <f>ATI!G163</f>
        <v>0</v>
      </c>
      <c r="C299" s="627" t="s">
        <v>724</v>
      </c>
    </row>
    <row r="300" ht="15.75" customHeight="1">
      <c r="A300" s="626" t="s">
        <v>727</v>
      </c>
      <c r="B300" s="626">
        <f>ATI!C168</f>
        <v>0</v>
      </c>
      <c r="C300" s="627" t="s">
        <v>728</v>
      </c>
    </row>
    <row r="301" ht="15.75" customHeight="1">
      <c r="A301" s="626" t="s">
        <v>729</v>
      </c>
      <c r="B301" s="626">
        <f>ATI!D168</f>
        <v>0</v>
      </c>
      <c r="C301" s="627" t="s">
        <v>728</v>
      </c>
    </row>
    <row r="302" ht="15.75" customHeight="1">
      <c r="A302" s="626" t="s">
        <v>730</v>
      </c>
      <c r="B302" s="626" t="str">
        <f>ATI!#REF!</f>
        <v>#ERROR!</v>
      </c>
      <c r="C302" s="627" t="s">
        <v>728</v>
      </c>
    </row>
    <row r="303" ht="15.75" customHeight="1">
      <c r="A303" s="626" t="s">
        <v>731</v>
      </c>
      <c r="B303" s="626" t="str">
        <f>ATI!#REF!</f>
        <v>#ERROR!</v>
      </c>
      <c r="C303" s="627" t="s">
        <v>728</v>
      </c>
    </row>
    <row r="304" ht="15.75" customHeight="1">
      <c r="A304" s="626" t="s">
        <v>732</v>
      </c>
      <c r="B304" s="626" t="str">
        <f>ATI!#REF!</f>
        <v>#ERROR!</v>
      </c>
      <c r="C304" s="627" t="s">
        <v>728</v>
      </c>
    </row>
    <row r="305" ht="15.75" customHeight="1">
      <c r="A305" s="626" t="s">
        <v>733</v>
      </c>
      <c r="B305" s="626" t="str">
        <f>ATI!#REF!</f>
        <v>#ERROR!</v>
      </c>
      <c r="C305" s="627" t="s">
        <v>728</v>
      </c>
    </row>
    <row r="306" ht="15.75" customHeight="1">
      <c r="A306" s="626" t="s">
        <v>734</v>
      </c>
      <c r="B306" s="626">
        <f>ATI!C169</f>
        <v>0</v>
      </c>
      <c r="C306" s="627" t="s">
        <v>728</v>
      </c>
    </row>
    <row r="307" ht="15.75" customHeight="1">
      <c r="A307" s="626" t="s">
        <v>735</v>
      </c>
      <c r="B307" s="630">
        <f>ATI!D169</f>
        <v>0</v>
      </c>
      <c r="C307" s="627" t="s">
        <v>728</v>
      </c>
    </row>
    <row r="308" ht="15.75" customHeight="1">
      <c r="A308" s="626" t="s">
        <v>736</v>
      </c>
      <c r="B308" s="626" t="str">
        <f>ATI!#REF!</f>
        <v>#ERROR!</v>
      </c>
      <c r="C308" s="627" t="s">
        <v>728</v>
      </c>
    </row>
    <row r="309" ht="15.75" customHeight="1">
      <c r="A309" s="626" t="s">
        <v>737</v>
      </c>
      <c r="B309" s="626" t="str">
        <f>ATI!#REF!</f>
        <v>#ERROR!</v>
      </c>
      <c r="C309" s="627" t="s">
        <v>728</v>
      </c>
    </row>
    <row r="310" ht="15.75" customHeight="1">
      <c r="A310" s="626" t="s">
        <v>738</v>
      </c>
      <c r="B310" s="626" t="str">
        <f>ATI!#REF!</f>
        <v>#ERROR!</v>
      </c>
      <c r="C310" s="627" t="s">
        <v>728</v>
      </c>
    </row>
    <row r="311" ht="15.75" customHeight="1">
      <c r="A311" s="626" t="s">
        <v>739</v>
      </c>
      <c r="B311" s="626" t="str">
        <f>ATI!#REF!</f>
        <v>#ERROR!</v>
      </c>
      <c r="C311" s="627" t="s">
        <v>728</v>
      </c>
    </row>
    <row r="312" ht="15.75" customHeight="1">
      <c r="A312" s="626" t="s">
        <v>740</v>
      </c>
      <c r="B312" s="626">
        <f>ATI!C170</f>
        <v>0</v>
      </c>
      <c r="C312" s="627" t="s">
        <v>728</v>
      </c>
    </row>
    <row r="313" ht="15.75" customHeight="1">
      <c r="A313" s="626" t="s">
        <v>741</v>
      </c>
      <c r="B313" s="626">
        <f>ATI!D170</f>
        <v>0</v>
      </c>
      <c r="C313" s="627" t="s">
        <v>728</v>
      </c>
    </row>
    <row r="314" ht="15.75" customHeight="1">
      <c r="A314" s="626" t="s">
        <v>742</v>
      </c>
      <c r="B314" s="626" t="str">
        <f>ATI!#REF!</f>
        <v>#ERROR!</v>
      </c>
      <c r="C314" s="627" t="s">
        <v>728</v>
      </c>
    </row>
    <row r="315" ht="15.75" customHeight="1">
      <c r="A315" s="626" t="s">
        <v>743</v>
      </c>
      <c r="B315" s="626" t="str">
        <f>ATI!#REF!</f>
        <v>#ERROR!</v>
      </c>
      <c r="C315" s="627" t="s">
        <v>728</v>
      </c>
    </row>
    <row r="316" ht="15.75" customHeight="1">
      <c r="A316" s="626" t="s">
        <v>744</v>
      </c>
      <c r="B316" s="626" t="str">
        <f>ATI!#REF!</f>
        <v>#ERROR!</v>
      </c>
      <c r="C316" s="627" t="s">
        <v>728</v>
      </c>
    </row>
    <row r="317" ht="15.75" customHeight="1">
      <c r="A317" s="626" t="s">
        <v>745</v>
      </c>
      <c r="B317" s="626" t="str">
        <f>ATI!#REF!</f>
        <v>#ERROR!</v>
      </c>
      <c r="C317" s="627" t="s">
        <v>728</v>
      </c>
    </row>
    <row r="318" ht="15.75" customHeight="1">
      <c r="A318" s="626" t="s">
        <v>746</v>
      </c>
      <c r="B318" s="626">
        <f>ATI!C171</f>
        <v>0</v>
      </c>
      <c r="C318" s="627" t="s">
        <v>728</v>
      </c>
    </row>
    <row r="319" ht="15.75" customHeight="1">
      <c r="A319" s="626" t="s">
        <v>747</v>
      </c>
      <c r="B319" s="626">
        <f>ATI!D171</f>
        <v>0</v>
      </c>
      <c r="C319" s="627" t="s">
        <v>728</v>
      </c>
    </row>
    <row r="320" ht="15.75" customHeight="1">
      <c r="A320" s="626" t="s">
        <v>748</v>
      </c>
      <c r="B320" s="626" t="str">
        <f>ATI!#REF!</f>
        <v>#ERROR!</v>
      </c>
      <c r="C320" s="627" t="s">
        <v>728</v>
      </c>
    </row>
    <row r="321" ht="15.75" customHeight="1">
      <c r="A321" s="626" t="s">
        <v>749</v>
      </c>
      <c r="B321" s="626" t="str">
        <f>ATI!#REF!</f>
        <v>#ERROR!</v>
      </c>
      <c r="C321" s="627" t="s">
        <v>728</v>
      </c>
    </row>
    <row r="322" ht="15.75" customHeight="1">
      <c r="A322" s="626" t="s">
        <v>750</v>
      </c>
      <c r="B322" s="626" t="str">
        <f>ATI!#REF!</f>
        <v>#ERROR!</v>
      </c>
      <c r="C322" s="627" t="s">
        <v>728</v>
      </c>
    </row>
    <row r="323" ht="15.75" customHeight="1">
      <c r="A323" s="626" t="s">
        <v>751</v>
      </c>
      <c r="B323" s="626" t="str">
        <f>ATI!#REF!</f>
        <v>#ERROR!</v>
      </c>
      <c r="C323" s="627" t="s">
        <v>728</v>
      </c>
    </row>
    <row r="324" ht="15.75" customHeight="1">
      <c r="A324" s="626" t="s">
        <v>752</v>
      </c>
      <c r="B324" s="626">
        <f>ATI!C172</f>
        <v>0</v>
      </c>
      <c r="C324" s="627" t="s">
        <v>728</v>
      </c>
    </row>
    <row r="325" ht="15.75" customHeight="1">
      <c r="A325" s="626" t="s">
        <v>753</v>
      </c>
      <c r="B325" s="626">
        <f>ATI!D172</f>
        <v>0</v>
      </c>
      <c r="C325" s="627" t="s">
        <v>728</v>
      </c>
    </row>
    <row r="326" ht="15.75" customHeight="1">
      <c r="A326" s="626" t="s">
        <v>754</v>
      </c>
      <c r="B326" s="626" t="str">
        <f>ATI!#REF!</f>
        <v>#ERROR!</v>
      </c>
      <c r="C326" s="627" t="s">
        <v>728</v>
      </c>
    </row>
    <row r="327" ht="15.75" customHeight="1">
      <c r="A327" s="626" t="s">
        <v>755</v>
      </c>
      <c r="B327" s="626" t="str">
        <f>ATI!#REF!</f>
        <v>#ERROR!</v>
      </c>
      <c r="C327" s="627" t="s">
        <v>728</v>
      </c>
    </row>
    <row r="328" ht="15.75" customHeight="1">
      <c r="A328" s="626" t="s">
        <v>756</v>
      </c>
      <c r="B328" s="626" t="str">
        <f>ATI!#REF!</f>
        <v>#ERROR!</v>
      </c>
      <c r="C328" s="627" t="s">
        <v>728</v>
      </c>
    </row>
    <row r="329" ht="15.75" customHeight="1">
      <c r="A329" s="626" t="s">
        <v>757</v>
      </c>
      <c r="B329" s="626" t="str">
        <f>ATI!#REF!</f>
        <v>#ERROR!</v>
      </c>
      <c r="C329" s="627" t="s">
        <v>728</v>
      </c>
    </row>
    <row r="330" ht="15.75" customHeight="1">
      <c r="A330" s="626" t="s">
        <v>758</v>
      </c>
      <c r="B330" s="626">
        <f>ATI!C173</f>
        <v>0</v>
      </c>
      <c r="C330" s="627" t="s">
        <v>728</v>
      </c>
    </row>
    <row r="331" ht="15.75" customHeight="1">
      <c r="A331" s="626" t="s">
        <v>759</v>
      </c>
      <c r="B331" s="626">
        <f>ATI!D173</f>
        <v>0</v>
      </c>
      <c r="C331" s="627" t="s">
        <v>728</v>
      </c>
    </row>
    <row r="332" ht="15.75" customHeight="1">
      <c r="A332" s="626" t="s">
        <v>760</v>
      </c>
      <c r="B332" s="626" t="str">
        <f>ATI!#REF!</f>
        <v>#ERROR!</v>
      </c>
      <c r="C332" s="627" t="s">
        <v>728</v>
      </c>
    </row>
    <row r="333" ht="15.75" customHeight="1">
      <c r="A333" s="626" t="s">
        <v>761</v>
      </c>
      <c r="B333" s="626" t="str">
        <f>ATI!#REF!</f>
        <v>#ERROR!</v>
      </c>
      <c r="C333" s="627" t="s">
        <v>728</v>
      </c>
    </row>
    <row r="334" ht="15.75" customHeight="1">
      <c r="A334" s="626" t="s">
        <v>762</v>
      </c>
      <c r="B334" s="626" t="str">
        <f>ATI!#REF!</f>
        <v>#ERROR!</v>
      </c>
      <c r="C334" s="627" t="s">
        <v>728</v>
      </c>
    </row>
    <row r="335" ht="15.75" customHeight="1">
      <c r="A335" s="626" t="s">
        <v>763</v>
      </c>
      <c r="B335" s="626" t="str">
        <f>ATI!#REF!</f>
        <v>#ERROR!</v>
      </c>
      <c r="C335" s="627" t="s">
        <v>728</v>
      </c>
    </row>
    <row r="336" ht="15.75" customHeight="1">
      <c r="A336" s="626" t="s">
        <v>764</v>
      </c>
      <c r="B336" s="626">
        <f>ATI!C174</f>
        <v>0</v>
      </c>
      <c r="C336" s="627" t="s">
        <v>728</v>
      </c>
    </row>
    <row r="337" ht="15.75" customHeight="1">
      <c r="A337" s="626" t="s">
        <v>765</v>
      </c>
      <c r="B337" s="626">
        <f>ATI!D174</f>
        <v>0</v>
      </c>
      <c r="C337" s="627" t="s">
        <v>728</v>
      </c>
    </row>
    <row r="338" ht="15.75" customHeight="1">
      <c r="A338" s="626" t="s">
        <v>766</v>
      </c>
      <c r="B338" s="626" t="str">
        <f>ATI!#REF!</f>
        <v>#ERROR!</v>
      </c>
      <c r="C338" s="627" t="s">
        <v>728</v>
      </c>
    </row>
    <row r="339" ht="15.75" customHeight="1">
      <c r="A339" s="626" t="s">
        <v>767</v>
      </c>
      <c r="B339" s="626" t="str">
        <f>ATI!#REF!</f>
        <v>#ERROR!</v>
      </c>
      <c r="C339" s="627" t="s">
        <v>728</v>
      </c>
    </row>
    <row r="340" ht="15.75" customHeight="1">
      <c r="A340" s="626" t="s">
        <v>768</v>
      </c>
      <c r="B340" s="626" t="str">
        <f>ATI!#REF!</f>
        <v>#ERROR!</v>
      </c>
      <c r="C340" s="627" t="s">
        <v>728</v>
      </c>
    </row>
    <row r="341" ht="15.75" customHeight="1">
      <c r="A341" s="626" t="s">
        <v>769</v>
      </c>
      <c r="B341" s="626" t="str">
        <f>ATI!#REF!</f>
        <v>#ERROR!</v>
      </c>
      <c r="C341" s="627" t="s">
        <v>728</v>
      </c>
    </row>
    <row r="342" ht="15.75" customHeight="1">
      <c r="A342" s="626" t="s">
        <v>770</v>
      </c>
      <c r="B342" s="626" t="str">
        <f>ATI!#REF!</f>
        <v>#ERROR!</v>
      </c>
      <c r="C342" s="627" t="s">
        <v>771</v>
      </c>
    </row>
    <row r="343" ht="15.75" customHeight="1">
      <c r="A343" s="626" t="s">
        <v>772</v>
      </c>
      <c r="B343" s="626" t="str">
        <f>ATI!#REF!</f>
        <v>#ERROR!</v>
      </c>
      <c r="C343" s="627" t="s">
        <v>771</v>
      </c>
    </row>
    <row r="344" ht="15.75" customHeight="1">
      <c r="A344" s="626" t="s">
        <v>773</v>
      </c>
      <c r="B344" s="626" t="str">
        <f>ATI!#REF!</f>
        <v>#ERROR!</v>
      </c>
      <c r="C344" s="627" t="s">
        <v>771</v>
      </c>
    </row>
    <row r="345" ht="15.75" customHeight="1">
      <c r="A345" s="626" t="s">
        <v>774</v>
      </c>
      <c r="B345" s="626" t="str">
        <f>ATI!#REF!</f>
        <v>#ERROR!</v>
      </c>
      <c r="C345" s="627" t="s">
        <v>775</v>
      </c>
    </row>
    <row r="346" ht="15.75" customHeight="1">
      <c r="A346" s="626" t="s">
        <v>776</v>
      </c>
      <c r="B346" s="626" t="str">
        <f>ATI!#REF!</f>
        <v>#ERROR!</v>
      </c>
      <c r="C346" s="627" t="s">
        <v>775</v>
      </c>
    </row>
    <row r="347" ht="15.75" customHeight="1">
      <c r="A347" s="626" t="s">
        <v>777</v>
      </c>
      <c r="B347" s="626" t="str">
        <f>ATI!#REF!</f>
        <v>#ERROR!</v>
      </c>
      <c r="C347" s="627" t="s">
        <v>775</v>
      </c>
    </row>
    <row r="348" ht="15.75" customHeight="1">
      <c r="A348" s="626" t="s">
        <v>778</v>
      </c>
      <c r="B348" s="626" t="str">
        <f>ATI!#REF!</f>
        <v>#ERROR!</v>
      </c>
      <c r="C348" s="627" t="s">
        <v>775</v>
      </c>
    </row>
    <row r="349" ht="15.75" customHeight="1">
      <c r="A349" s="626" t="s">
        <v>779</v>
      </c>
      <c r="B349" s="626" t="str">
        <f>ATI!#REF!</f>
        <v>#ERROR!</v>
      </c>
      <c r="C349" s="627" t="s">
        <v>775</v>
      </c>
    </row>
    <row r="350" ht="15.75" customHeight="1">
      <c r="A350" s="626" t="s">
        <v>780</v>
      </c>
      <c r="B350" s="626" t="str">
        <f>ATI!#REF!</f>
        <v>#ERROR!</v>
      </c>
      <c r="C350" s="627" t="s">
        <v>775</v>
      </c>
    </row>
    <row r="351" ht="15.75" customHeight="1">
      <c r="A351" s="626" t="s">
        <v>781</v>
      </c>
      <c r="B351" s="626" t="str">
        <f>ATI!#REF!</f>
        <v>#ERROR!</v>
      </c>
      <c r="C351" s="627" t="s">
        <v>775</v>
      </c>
    </row>
    <row r="352" ht="15.75" customHeight="1">
      <c r="A352" s="626" t="s">
        <v>782</v>
      </c>
      <c r="B352" s="626" t="str">
        <f>ATI!#REF!</f>
        <v>#ERROR!</v>
      </c>
      <c r="C352" s="627" t="s">
        <v>775</v>
      </c>
    </row>
    <row r="353" ht="15.75" customHeight="1">
      <c r="A353" s="626" t="s">
        <v>783</v>
      </c>
      <c r="B353" s="626" t="str">
        <f>ATI!#REF!</f>
        <v>#ERROR!</v>
      </c>
      <c r="C353" s="627" t="s">
        <v>775</v>
      </c>
    </row>
    <row r="354" ht="15.75" customHeight="1">
      <c r="A354" s="626" t="s">
        <v>784</v>
      </c>
      <c r="B354" s="626" t="str">
        <f>ATI!#REF!</f>
        <v>#ERROR!</v>
      </c>
      <c r="C354" s="627" t="s">
        <v>775</v>
      </c>
    </row>
    <row r="355" ht="15.75" customHeight="1">
      <c r="A355" s="626" t="s">
        <v>785</v>
      </c>
      <c r="B355" s="626" t="str">
        <f>ATI!#REF!</f>
        <v>#ERROR!</v>
      </c>
      <c r="C355" s="627" t="s">
        <v>775</v>
      </c>
    </row>
    <row r="356" ht="15.75" customHeight="1">
      <c r="A356" s="626" t="s">
        <v>786</v>
      </c>
      <c r="B356" s="626" t="str">
        <f>ATI!#REF!</f>
        <v>#ERROR!</v>
      </c>
      <c r="C356" s="627" t="s">
        <v>775</v>
      </c>
    </row>
    <row r="357" ht="15.75" customHeight="1">
      <c r="A357" s="626" t="s">
        <v>787</v>
      </c>
      <c r="B357" s="626" t="str">
        <f>ATI!#REF!</f>
        <v>#ERROR!</v>
      </c>
      <c r="C357" s="627" t="s">
        <v>775</v>
      </c>
    </row>
    <row r="358" ht="15.75" customHeight="1">
      <c r="A358" s="626" t="s">
        <v>788</v>
      </c>
      <c r="B358" s="626" t="str">
        <f>ATI!#REF!</f>
        <v>#ERROR!</v>
      </c>
      <c r="C358" s="627" t="s">
        <v>775</v>
      </c>
    </row>
    <row r="359" ht="15.75" customHeight="1">
      <c r="A359" s="626" t="s">
        <v>789</v>
      </c>
      <c r="B359" s="626" t="str">
        <f>ATI!#REF!</f>
        <v>#ERROR!</v>
      </c>
      <c r="C359" s="627" t="s">
        <v>775</v>
      </c>
    </row>
    <row r="360" ht="15.75" customHeight="1">
      <c r="A360" s="626" t="s">
        <v>790</v>
      </c>
      <c r="B360" s="626" t="str">
        <f>ATI!#REF!</f>
        <v>#ERROR!</v>
      </c>
      <c r="C360" s="627" t="s">
        <v>775</v>
      </c>
    </row>
    <row r="361" ht="15.75" customHeight="1">
      <c r="A361" s="626" t="s">
        <v>791</v>
      </c>
      <c r="B361" s="626" t="str">
        <f>ATI!#REF!</f>
        <v>#ERROR!</v>
      </c>
      <c r="C361" s="627" t="s">
        <v>775</v>
      </c>
    </row>
    <row r="362" ht="15.75" customHeight="1">
      <c r="A362" s="626" t="s">
        <v>792</v>
      </c>
      <c r="B362" s="626" t="str">
        <f>ATI!#REF!</f>
        <v>#ERROR!</v>
      </c>
      <c r="C362" s="627" t="s">
        <v>775</v>
      </c>
    </row>
    <row r="363" ht="15.75" customHeight="1">
      <c r="A363" s="626" t="s">
        <v>793</v>
      </c>
      <c r="B363" s="626" t="str">
        <f>ATI!#REF!</f>
        <v>#ERROR!</v>
      </c>
      <c r="C363" s="627" t="s">
        <v>775</v>
      </c>
    </row>
    <row r="364" ht="15.75" customHeight="1">
      <c r="A364" s="626" t="s">
        <v>794</v>
      </c>
      <c r="B364" s="626" t="str">
        <f>ATI!#REF!</f>
        <v>#ERROR!</v>
      </c>
      <c r="C364" s="627" t="s">
        <v>775</v>
      </c>
    </row>
    <row r="365" ht="15.75" customHeight="1">
      <c r="A365" s="626" t="s">
        <v>795</v>
      </c>
      <c r="B365" s="626" t="str">
        <f>ATI!#REF!</f>
        <v>#ERROR!</v>
      </c>
      <c r="C365" s="627" t="s">
        <v>775</v>
      </c>
    </row>
    <row r="366" ht="15.75" customHeight="1">
      <c r="A366" s="626" t="s">
        <v>796</v>
      </c>
      <c r="B366" s="626" t="str">
        <f>ATI!#REF!</f>
        <v>#ERROR!</v>
      </c>
      <c r="C366" s="627" t="s">
        <v>775</v>
      </c>
    </row>
    <row r="367" ht="15.75" customHeight="1">
      <c r="A367" s="626" t="s">
        <v>797</v>
      </c>
      <c r="B367" s="626" t="str">
        <f>ATI!#REF!</f>
        <v>#ERROR!</v>
      </c>
      <c r="C367" s="627" t="s">
        <v>775</v>
      </c>
    </row>
    <row r="368" ht="15.75" customHeight="1">
      <c r="A368" s="626" t="s">
        <v>798</v>
      </c>
      <c r="B368" s="626" t="str">
        <f>ATI!#REF!</f>
        <v>#ERROR!</v>
      </c>
      <c r="C368" s="627" t="s">
        <v>775</v>
      </c>
    </row>
    <row r="369" ht="15.75" customHeight="1">
      <c r="A369" s="626" t="s">
        <v>799</v>
      </c>
      <c r="B369" s="626" t="str">
        <f>ATI!#REF!</f>
        <v>#ERROR!</v>
      </c>
      <c r="C369" s="627" t="s">
        <v>775</v>
      </c>
    </row>
    <row r="370" ht="15.75" customHeight="1">
      <c r="A370" s="626" t="s">
        <v>800</v>
      </c>
      <c r="B370" s="626" t="str">
        <f>ATI!#REF!</f>
        <v>#ERROR!</v>
      </c>
      <c r="C370" s="627" t="s">
        <v>775</v>
      </c>
    </row>
    <row r="371" ht="15.75" customHeight="1">
      <c r="A371" s="626" t="s">
        <v>801</v>
      </c>
      <c r="B371" s="626" t="str">
        <f>ATI!#REF!</f>
        <v>#ERROR!</v>
      </c>
      <c r="C371" s="627" t="s">
        <v>775</v>
      </c>
    </row>
    <row r="372" ht="15.75" customHeight="1">
      <c r="A372" s="626" t="s">
        <v>802</v>
      </c>
      <c r="B372" s="626" t="str">
        <f>ATI!#REF!</f>
        <v>#ERROR!</v>
      </c>
      <c r="C372" s="627" t="s">
        <v>775</v>
      </c>
    </row>
    <row r="373" ht="15.75" customHeight="1">
      <c r="A373" s="626" t="s">
        <v>803</v>
      </c>
      <c r="B373" s="626" t="str">
        <f>ATI!#REF!</f>
        <v>#ERROR!</v>
      </c>
      <c r="C373" s="627" t="s">
        <v>775</v>
      </c>
    </row>
    <row r="374" ht="15.75" customHeight="1">
      <c r="A374" s="626" t="s">
        <v>804</v>
      </c>
      <c r="B374" s="626" t="str">
        <f>ATI!#REF!</f>
        <v>#ERROR!</v>
      </c>
      <c r="C374" s="627" t="s">
        <v>775</v>
      </c>
    </row>
    <row r="375" ht="15.75" customHeight="1">
      <c r="A375" s="626" t="s">
        <v>805</v>
      </c>
      <c r="B375" s="626" t="str">
        <f>ATI!#REF!</f>
        <v>#ERROR!</v>
      </c>
      <c r="C375" s="627" t="s">
        <v>775</v>
      </c>
    </row>
    <row r="376" ht="15.75" customHeight="1">
      <c r="A376" s="626" t="s">
        <v>806</v>
      </c>
      <c r="B376" s="626" t="str">
        <f>ATI!#REF!</f>
        <v>#ERROR!</v>
      </c>
      <c r="C376" s="627" t="s">
        <v>775</v>
      </c>
    </row>
    <row r="377" ht="15.75" customHeight="1">
      <c r="A377" s="626" t="s">
        <v>807</v>
      </c>
      <c r="B377" s="626" t="str">
        <f>ATI!#REF!</f>
        <v>#ERROR!</v>
      </c>
      <c r="C377" s="627" t="s">
        <v>775</v>
      </c>
    </row>
    <row r="378" ht="15.75" customHeight="1">
      <c r="A378" s="626" t="s">
        <v>808</v>
      </c>
      <c r="B378" s="626" t="str">
        <f>ATI!#REF!</f>
        <v>#ERROR!</v>
      </c>
      <c r="C378" s="627" t="s">
        <v>775</v>
      </c>
    </row>
    <row r="379" ht="15.75" customHeight="1">
      <c r="A379" s="626" t="s">
        <v>809</v>
      </c>
      <c r="B379" s="626" t="str">
        <f>ATI!#REF!</f>
        <v>#ERROR!</v>
      </c>
      <c r="C379" s="627" t="s">
        <v>775</v>
      </c>
    </row>
    <row r="380" ht="15.75" customHeight="1">
      <c r="A380" s="626" t="s">
        <v>810</v>
      </c>
      <c r="B380" s="626" t="str">
        <f>ATI!#REF!</f>
        <v>#ERROR!</v>
      </c>
      <c r="C380" s="627" t="s">
        <v>775</v>
      </c>
    </row>
    <row r="381" ht="15.75" customHeight="1">
      <c r="A381" s="626" t="s">
        <v>811</v>
      </c>
      <c r="B381" s="626" t="str">
        <f>ATI!#REF!</f>
        <v>#ERROR!</v>
      </c>
      <c r="C381" s="627" t="s">
        <v>775</v>
      </c>
    </row>
    <row r="382" ht="15.75" customHeight="1">
      <c r="A382" s="626" t="s">
        <v>812</v>
      </c>
      <c r="B382" s="626" t="str">
        <f>ATI!#REF!</f>
        <v>#ERROR!</v>
      </c>
      <c r="C382" s="627" t="s">
        <v>775</v>
      </c>
    </row>
    <row r="383" ht="15.75" customHeight="1">
      <c r="A383" s="626" t="s">
        <v>813</v>
      </c>
      <c r="B383" s="626" t="str">
        <f>ATI!#REF!</f>
        <v>#ERROR!</v>
      </c>
      <c r="C383" s="627" t="s">
        <v>775</v>
      </c>
    </row>
    <row r="384" ht="15.75" customHeight="1">
      <c r="A384" s="626" t="s">
        <v>814</v>
      </c>
      <c r="B384" s="626" t="str">
        <f>ATI!#REF!</f>
        <v>#ERROR!</v>
      </c>
      <c r="C384" s="627" t="s">
        <v>775</v>
      </c>
    </row>
    <row r="385" ht="15.75" customHeight="1">
      <c r="A385" s="626" t="s">
        <v>815</v>
      </c>
      <c r="B385" s="626" t="str">
        <f>ATI!#REF!</f>
        <v>#ERROR!</v>
      </c>
      <c r="C385" s="627" t="s">
        <v>775</v>
      </c>
    </row>
    <row r="386" ht="15.75" customHeight="1">
      <c r="A386" s="626" t="s">
        <v>816</v>
      </c>
      <c r="B386" s="626" t="str">
        <f>ATI!#REF!</f>
        <v>#ERROR!</v>
      </c>
      <c r="C386" s="627" t="s">
        <v>775</v>
      </c>
    </row>
    <row r="387" ht="15.75" customHeight="1">
      <c r="A387" s="624" t="s">
        <v>817</v>
      </c>
      <c r="B387" s="624">
        <f>ATI!C180</f>
        <v>0</v>
      </c>
      <c r="C387" s="625" t="s">
        <v>818</v>
      </c>
    </row>
    <row r="388" ht="15.75" customHeight="1">
      <c r="A388" s="624" t="s">
        <v>819</v>
      </c>
      <c r="B388" s="624">
        <f>ATI!E180</f>
        <v>0</v>
      </c>
      <c r="C388" s="625" t="s">
        <v>818</v>
      </c>
    </row>
    <row r="389" ht="15.75" customHeight="1">
      <c r="A389" s="624" t="s">
        <v>820</v>
      </c>
      <c r="B389" s="624">
        <f>ATI!G180</f>
        <v>0</v>
      </c>
      <c r="C389" s="625" t="s">
        <v>818</v>
      </c>
    </row>
    <row r="390" ht="15.75" customHeight="1">
      <c r="A390" s="624" t="s">
        <v>821</v>
      </c>
      <c r="B390" s="624">
        <f>ATI!C181</f>
        <v>0</v>
      </c>
      <c r="C390" s="625" t="s">
        <v>818</v>
      </c>
    </row>
    <row r="391" ht="15.75" customHeight="1">
      <c r="A391" s="624" t="s">
        <v>822</v>
      </c>
      <c r="B391" s="624">
        <f>ATI!E181</f>
        <v>0</v>
      </c>
      <c r="C391" s="625" t="s">
        <v>818</v>
      </c>
    </row>
    <row r="392" ht="15.75" customHeight="1">
      <c r="A392" s="624" t="s">
        <v>823</v>
      </c>
      <c r="B392" s="624">
        <f>ATI!G181</f>
        <v>0</v>
      </c>
      <c r="C392" s="625" t="s">
        <v>818</v>
      </c>
    </row>
    <row r="393" ht="15.75" customHeight="1">
      <c r="A393" s="624" t="s">
        <v>824</v>
      </c>
      <c r="B393" s="624">
        <f>ATI!C182</f>
        <v>0</v>
      </c>
      <c r="C393" s="625" t="s">
        <v>818</v>
      </c>
    </row>
    <row r="394" ht="15.75" customHeight="1">
      <c r="A394" s="624" t="s">
        <v>825</v>
      </c>
      <c r="B394" s="624">
        <f>ATI!E182</f>
        <v>0</v>
      </c>
      <c r="C394" s="625" t="s">
        <v>818</v>
      </c>
    </row>
    <row r="395" ht="15.75" customHeight="1">
      <c r="A395" s="624" t="s">
        <v>826</v>
      </c>
      <c r="B395" s="624">
        <f>ATI!G182</f>
        <v>0</v>
      </c>
      <c r="C395" s="625" t="s">
        <v>818</v>
      </c>
    </row>
    <row r="396" ht="15.75" customHeight="1">
      <c r="A396" s="624" t="s">
        <v>827</v>
      </c>
      <c r="B396" s="624">
        <f>ATI!C183</f>
        <v>0</v>
      </c>
      <c r="C396" s="625" t="s">
        <v>818</v>
      </c>
    </row>
    <row r="397" ht="15.75" customHeight="1">
      <c r="A397" s="624" t="s">
        <v>828</v>
      </c>
      <c r="B397" s="624">
        <f>ATI!E183</f>
        <v>0</v>
      </c>
      <c r="C397" s="625" t="s">
        <v>818</v>
      </c>
    </row>
    <row r="398" ht="15.75" customHeight="1">
      <c r="A398" s="624" t="s">
        <v>829</v>
      </c>
      <c r="B398" s="624">
        <f>ATI!G183</f>
        <v>0</v>
      </c>
      <c r="C398" s="625" t="s">
        <v>818</v>
      </c>
    </row>
    <row r="399" ht="15.75" customHeight="1">
      <c r="A399" s="624" t="s">
        <v>830</v>
      </c>
      <c r="B399" s="624">
        <f>ATI!C184</f>
        <v>0</v>
      </c>
      <c r="C399" s="625" t="s">
        <v>818</v>
      </c>
    </row>
    <row r="400" ht="15.75" customHeight="1">
      <c r="A400" s="624" t="s">
        <v>831</v>
      </c>
      <c r="B400" s="624">
        <f>ATI!E184</f>
        <v>0</v>
      </c>
      <c r="C400" s="625" t="s">
        <v>818</v>
      </c>
    </row>
    <row r="401" ht="15.75" customHeight="1">
      <c r="A401" s="624" t="s">
        <v>832</v>
      </c>
      <c r="B401" s="624">
        <f>ATI!G184</f>
        <v>0</v>
      </c>
      <c r="C401" s="625" t="s">
        <v>818</v>
      </c>
    </row>
    <row r="402" ht="15.75" customHeight="1">
      <c r="A402" s="624" t="s">
        <v>833</v>
      </c>
      <c r="B402" s="624">
        <f>ATI!C185</f>
        <v>0</v>
      </c>
      <c r="C402" s="625" t="s">
        <v>818</v>
      </c>
    </row>
    <row r="403" ht="15.75" customHeight="1">
      <c r="A403" s="624" t="s">
        <v>834</v>
      </c>
      <c r="B403" s="624">
        <f>ATI!E185</f>
        <v>0</v>
      </c>
      <c r="C403" s="625" t="s">
        <v>818</v>
      </c>
    </row>
    <row r="404" ht="15.75" customHeight="1">
      <c r="A404" s="624" t="s">
        <v>835</v>
      </c>
      <c r="B404" s="624">
        <f>ATI!G185</f>
        <v>0</v>
      </c>
      <c r="C404" s="625" t="s">
        <v>818</v>
      </c>
    </row>
    <row r="405" ht="15.75" customHeight="1">
      <c r="A405" s="624" t="s">
        <v>836</v>
      </c>
      <c r="B405" s="624">
        <f>ATI!C186</f>
        <v>0</v>
      </c>
      <c r="C405" s="625" t="s">
        <v>818</v>
      </c>
    </row>
    <row r="406" ht="15.75" customHeight="1">
      <c r="A406" s="624" t="s">
        <v>837</v>
      </c>
      <c r="B406" s="624">
        <f>ATI!E186</f>
        <v>0</v>
      </c>
      <c r="C406" s="625" t="s">
        <v>818</v>
      </c>
    </row>
    <row r="407" ht="15.75" customHeight="1">
      <c r="A407" s="624" t="s">
        <v>838</v>
      </c>
      <c r="B407" s="624">
        <f>ATI!G186</f>
        <v>0</v>
      </c>
      <c r="C407" s="625" t="s">
        <v>818</v>
      </c>
    </row>
    <row r="408" ht="15.75" customHeight="1">
      <c r="A408" s="624" t="s">
        <v>839</v>
      </c>
      <c r="B408" s="624">
        <f>ATI!E193</f>
        <v>0</v>
      </c>
      <c r="C408" s="625" t="s">
        <v>840</v>
      </c>
    </row>
    <row r="409" ht="15.75" customHeight="1">
      <c r="A409" s="624" t="s">
        <v>841</v>
      </c>
      <c r="B409" s="624" t="str">
        <f>ATI!E195</f>
        <v>0</v>
      </c>
      <c r="C409" s="625" t="s">
        <v>840</v>
      </c>
    </row>
    <row r="410" ht="15.75" customHeight="1">
      <c r="A410" s="624" t="s">
        <v>842</v>
      </c>
      <c r="B410" s="624">
        <f>ATI!A203</f>
        <v>0</v>
      </c>
      <c r="C410" s="625" t="s">
        <v>843</v>
      </c>
    </row>
    <row r="411" ht="15.75" customHeight="1">
      <c r="A411" s="624" t="s">
        <v>844</v>
      </c>
      <c r="B411" s="624">
        <f>ATI!E203</f>
        <v>0</v>
      </c>
      <c r="C411" s="625" t="s">
        <v>843</v>
      </c>
    </row>
    <row r="412" ht="15.75" customHeight="1">
      <c r="A412" s="624" t="s">
        <v>845</v>
      </c>
      <c r="B412" s="624">
        <f>ATI!G203</f>
        <v>0</v>
      </c>
      <c r="C412" s="625" t="s">
        <v>843</v>
      </c>
    </row>
    <row r="413" ht="15.75" customHeight="1">
      <c r="A413" s="624" t="s">
        <v>846</v>
      </c>
      <c r="B413" s="624">
        <f>ATI!I203</f>
        <v>0</v>
      </c>
      <c r="C413" s="625" t="s">
        <v>843</v>
      </c>
    </row>
    <row r="414" ht="15.75" customHeight="1">
      <c r="A414" s="624" t="s">
        <v>847</v>
      </c>
      <c r="B414" s="624">
        <f>ATI!K203</f>
        <v>0</v>
      </c>
      <c r="C414" s="625" t="s">
        <v>843</v>
      </c>
    </row>
    <row r="415" ht="15.75" customHeight="1">
      <c r="A415" s="624" t="s">
        <v>848</v>
      </c>
      <c r="B415" s="624">
        <f>ATI!D208</f>
        <v>0</v>
      </c>
      <c r="C415" s="625" t="s">
        <v>849</v>
      </c>
    </row>
    <row r="416" ht="15.75" customHeight="1">
      <c r="A416" s="624" t="s">
        <v>850</v>
      </c>
      <c r="B416" s="624">
        <f>ATI!G208</f>
        <v>0</v>
      </c>
      <c r="C416" s="625" t="s">
        <v>849</v>
      </c>
    </row>
    <row r="417" ht="15.75" customHeight="1">
      <c r="A417" s="624" t="s">
        <v>851</v>
      </c>
      <c r="B417" s="624">
        <f>ATI!D209</f>
        <v>0</v>
      </c>
      <c r="C417" s="625" t="s">
        <v>849</v>
      </c>
    </row>
    <row r="418" ht="15.75" customHeight="1">
      <c r="A418" s="624" t="s">
        <v>852</v>
      </c>
      <c r="B418" s="624">
        <f>ATI!G209</f>
        <v>0</v>
      </c>
      <c r="C418" s="625" t="s">
        <v>849</v>
      </c>
    </row>
    <row r="419" ht="15.75" customHeight="1">
      <c r="A419" s="624" t="s">
        <v>853</v>
      </c>
      <c r="B419" s="624">
        <f>ATI!D210</f>
        <v>0</v>
      </c>
      <c r="C419" s="625" t="s">
        <v>849</v>
      </c>
    </row>
    <row r="420" ht="15.75" customHeight="1">
      <c r="A420" s="624" t="s">
        <v>854</v>
      </c>
      <c r="B420" s="624">
        <f>ATI!G210</f>
        <v>0</v>
      </c>
      <c r="C420" s="625" t="s">
        <v>849</v>
      </c>
    </row>
    <row r="421" ht="15.75" customHeight="1">
      <c r="A421" s="624" t="s">
        <v>855</v>
      </c>
      <c r="B421" s="624">
        <f>ATI!D211</f>
        <v>0</v>
      </c>
      <c r="C421" s="625" t="s">
        <v>849</v>
      </c>
    </row>
    <row r="422" ht="15.75" customHeight="1">
      <c r="A422" s="624" t="s">
        <v>856</v>
      </c>
      <c r="B422" s="624">
        <f>ATI!G211</f>
        <v>0</v>
      </c>
      <c r="C422" s="625" t="s">
        <v>849</v>
      </c>
    </row>
    <row r="423" ht="15.75" customHeight="1">
      <c r="A423" s="624" t="s">
        <v>857</v>
      </c>
      <c r="B423" s="624">
        <f>ATI!D212</f>
        <v>0</v>
      </c>
      <c r="C423" s="625" t="s">
        <v>849</v>
      </c>
    </row>
    <row r="424" ht="15.75" customHeight="1">
      <c r="A424" s="624" t="s">
        <v>858</v>
      </c>
      <c r="B424" s="624">
        <f>ATI!G212</f>
        <v>0</v>
      </c>
      <c r="C424" s="625" t="s">
        <v>849</v>
      </c>
    </row>
    <row r="425" ht="15.75" customHeight="1">
      <c r="A425" s="624" t="s">
        <v>859</v>
      </c>
      <c r="B425" s="624">
        <f>ATI!D213</f>
        <v>0</v>
      </c>
      <c r="C425" s="625" t="s">
        <v>849</v>
      </c>
    </row>
    <row r="426" ht="15.75" customHeight="1">
      <c r="A426" s="624" t="s">
        <v>860</v>
      </c>
      <c r="B426" s="624">
        <f>ATI!G213</f>
        <v>0</v>
      </c>
      <c r="C426" s="625" t="s">
        <v>849</v>
      </c>
    </row>
    <row r="427" ht="15.75" customHeight="1">
      <c r="A427" s="624" t="s">
        <v>861</v>
      </c>
      <c r="B427" s="624">
        <f>ATI!D214</f>
        <v>0</v>
      </c>
      <c r="C427" s="625" t="s">
        <v>849</v>
      </c>
    </row>
    <row r="428" ht="15.75" customHeight="1">
      <c r="A428" s="624" t="s">
        <v>862</v>
      </c>
      <c r="B428" s="624">
        <f>ATI!G214</f>
        <v>0</v>
      </c>
      <c r="C428" s="625" t="s">
        <v>849</v>
      </c>
    </row>
    <row r="429" ht="15.75" customHeight="1">
      <c r="A429" s="624" t="s">
        <v>863</v>
      </c>
      <c r="B429" s="624" t="str">
        <f>ATI!#REF!</f>
        <v>#ERROR!</v>
      </c>
      <c r="C429" s="625" t="s">
        <v>864</v>
      </c>
    </row>
    <row r="430" ht="15.75" customHeight="1">
      <c r="A430" s="624" t="s">
        <v>865</v>
      </c>
      <c r="B430" s="624" t="str">
        <f>ATI!#REF!</f>
        <v>#ERROR!</v>
      </c>
      <c r="C430" s="625" t="s">
        <v>864</v>
      </c>
    </row>
    <row r="431" ht="15.75" customHeight="1">
      <c r="A431" s="624" t="s">
        <v>866</v>
      </c>
      <c r="B431" s="624" t="str">
        <f>ATI!#REF!</f>
        <v>#ERROR!</v>
      </c>
      <c r="C431" s="625" t="s">
        <v>864</v>
      </c>
    </row>
    <row r="432" ht="15.75" customHeight="1">
      <c r="A432" s="624" t="s">
        <v>867</v>
      </c>
      <c r="B432" s="624" t="str">
        <f>ATI!#REF!</f>
        <v>#ERROR!</v>
      </c>
      <c r="C432" s="625" t="s">
        <v>864</v>
      </c>
    </row>
    <row r="433" ht="15.75" customHeight="1">
      <c r="A433" s="624" t="s">
        <v>868</v>
      </c>
      <c r="B433" s="624">
        <f>ATI!E223</f>
        <v>0</v>
      </c>
      <c r="C433" s="625" t="s">
        <v>869</v>
      </c>
    </row>
    <row r="434" ht="15.75" customHeight="1">
      <c r="A434" s="624" t="s">
        <v>870</v>
      </c>
      <c r="B434" s="624">
        <f>ATI!G223</f>
        <v>0</v>
      </c>
      <c r="C434" s="625" t="s">
        <v>869</v>
      </c>
    </row>
    <row r="435" ht="15.75" customHeight="1">
      <c r="A435" s="624" t="s">
        <v>871</v>
      </c>
      <c r="B435" s="624">
        <f>ATI!I223</f>
        <v>0</v>
      </c>
      <c r="C435" s="625" t="s">
        <v>869</v>
      </c>
    </row>
    <row r="436" ht="15.75" customHeight="1">
      <c r="A436" s="624" t="s">
        <v>872</v>
      </c>
      <c r="B436" s="624">
        <f>ATI!K223</f>
        <v>0</v>
      </c>
      <c r="C436" s="625" t="s">
        <v>869</v>
      </c>
    </row>
    <row r="437" ht="15.75" customHeight="1">
      <c r="A437" s="624" t="s">
        <v>873</v>
      </c>
      <c r="B437" s="624">
        <f>ATI!E224</f>
        <v>0</v>
      </c>
      <c r="C437" s="625" t="s">
        <v>869</v>
      </c>
    </row>
    <row r="438" ht="15.75" customHeight="1">
      <c r="A438" s="624" t="s">
        <v>874</v>
      </c>
      <c r="B438" s="624">
        <f>ATI!G224</f>
        <v>0</v>
      </c>
      <c r="C438" s="625" t="s">
        <v>869</v>
      </c>
    </row>
    <row r="439" ht="15.75" customHeight="1">
      <c r="A439" s="624" t="s">
        <v>875</v>
      </c>
      <c r="B439" s="624">
        <f>ATI!I224</f>
        <v>0</v>
      </c>
      <c r="C439" s="625" t="s">
        <v>869</v>
      </c>
    </row>
    <row r="440" ht="15.75" customHeight="1">
      <c r="A440" s="624" t="s">
        <v>876</v>
      </c>
      <c r="B440" s="624">
        <f>ATI!K224</f>
        <v>0</v>
      </c>
      <c r="C440" s="625" t="s">
        <v>869</v>
      </c>
    </row>
    <row r="441" ht="15.75" customHeight="1">
      <c r="A441" s="624" t="s">
        <v>877</v>
      </c>
      <c r="B441" s="624">
        <f>ATI!E225</f>
        <v>0</v>
      </c>
      <c r="C441" s="625" t="s">
        <v>869</v>
      </c>
    </row>
    <row r="442" ht="15.75" customHeight="1">
      <c r="A442" s="624" t="s">
        <v>878</v>
      </c>
      <c r="B442" s="624">
        <f>ATI!G225</f>
        <v>0</v>
      </c>
      <c r="C442" s="625" t="s">
        <v>869</v>
      </c>
    </row>
    <row r="443" ht="15.75" customHeight="1">
      <c r="A443" s="624" t="s">
        <v>879</v>
      </c>
      <c r="B443" s="624">
        <f>ATI!I225</f>
        <v>0</v>
      </c>
      <c r="C443" s="625" t="s">
        <v>869</v>
      </c>
    </row>
    <row r="444" ht="15.75" customHeight="1">
      <c r="A444" s="624" t="s">
        <v>880</v>
      </c>
      <c r="B444" s="624">
        <f>ATI!K225</f>
        <v>0</v>
      </c>
      <c r="C444" s="625" t="s">
        <v>869</v>
      </c>
    </row>
    <row r="445" ht="15.75" customHeight="1">
      <c r="A445" s="624" t="s">
        <v>881</v>
      </c>
      <c r="B445" s="624">
        <f>ATI!E226</f>
        <v>0</v>
      </c>
      <c r="C445" s="625" t="s">
        <v>869</v>
      </c>
    </row>
    <row r="446" ht="15.75" customHeight="1">
      <c r="A446" s="624" t="s">
        <v>882</v>
      </c>
      <c r="B446" s="624">
        <f>ATI!G226</f>
        <v>0</v>
      </c>
      <c r="C446" s="625" t="s">
        <v>869</v>
      </c>
    </row>
    <row r="447" ht="15.75" customHeight="1">
      <c r="A447" s="624" t="s">
        <v>883</v>
      </c>
      <c r="B447" s="624">
        <f>ATI!I226</f>
        <v>0</v>
      </c>
      <c r="C447" s="625" t="s">
        <v>869</v>
      </c>
    </row>
    <row r="448" ht="15.75" customHeight="1">
      <c r="A448" s="624" t="s">
        <v>884</v>
      </c>
      <c r="B448" s="624">
        <f>ATI!K226</f>
        <v>0</v>
      </c>
      <c r="C448" s="625" t="s">
        <v>869</v>
      </c>
    </row>
    <row r="449" ht="15.75" customHeight="1">
      <c r="A449" s="624" t="s">
        <v>885</v>
      </c>
      <c r="B449" s="624">
        <f>ATI!E227</f>
        <v>0</v>
      </c>
      <c r="C449" s="625" t="s">
        <v>869</v>
      </c>
    </row>
    <row r="450" ht="15.75" customHeight="1">
      <c r="A450" s="624" t="s">
        <v>886</v>
      </c>
      <c r="B450" s="624">
        <f>ATI!G227</f>
        <v>0</v>
      </c>
      <c r="C450" s="625" t="s">
        <v>869</v>
      </c>
    </row>
    <row r="451" ht="15.75" customHeight="1">
      <c r="A451" s="624" t="s">
        <v>887</v>
      </c>
      <c r="B451" s="624">
        <f>ATI!I227</f>
        <v>0</v>
      </c>
      <c r="C451" s="625" t="s">
        <v>869</v>
      </c>
    </row>
    <row r="452" ht="15.75" customHeight="1">
      <c r="A452" s="624" t="s">
        <v>888</v>
      </c>
      <c r="B452" s="624">
        <f>ATI!K227</f>
        <v>0</v>
      </c>
      <c r="C452" s="625" t="s">
        <v>869</v>
      </c>
    </row>
    <row r="453" ht="15.75" customHeight="1">
      <c r="A453" s="624" t="s">
        <v>889</v>
      </c>
      <c r="B453" s="624">
        <f>ATI!E228</f>
        <v>0</v>
      </c>
      <c r="C453" s="625" t="s">
        <v>869</v>
      </c>
    </row>
    <row r="454" ht="15.75" customHeight="1">
      <c r="A454" s="624" t="s">
        <v>890</v>
      </c>
      <c r="B454" s="624">
        <f>ATI!G228</f>
        <v>0</v>
      </c>
      <c r="C454" s="625" t="s">
        <v>869</v>
      </c>
    </row>
    <row r="455" ht="15.75" customHeight="1">
      <c r="A455" s="624" t="s">
        <v>891</v>
      </c>
      <c r="B455" s="624">
        <f>ATI!I228</f>
        <v>0</v>
      </c>
      <c r="C455" s="625" t="s">
        <v>869</v>
      </c>
    </row>
    <row r="456" ht="15.75" customHeight="1">
      <c r="A456" s="624" t="s">
        <v>892</v>
      </c>
      <c r="B456" s="624">
        <f>ATI!K228</f>
        <v>0</v>
      </c>
      <c r="C456" s="625" t="s">
        <v>869</v>
      </c>
    </row>
    <row r="457" ht="15.75" customHeight="1">
      <c r="A457" s="624" t="s">
        <v>893</v>
      </c>
      <c r="B457" s="624">
        <f>ATI!E229</f>
        <v>0</v>
      </c>
      <c r="C457" s="625" t="s">
        <v>869</v>
      </c>
    </row>
    <row r="458" ht="15.75" customHeight="1">
      <c r="A458" s="624" t="s">
        <v>894</v>
      </c>
      <c r="B458" s="624">
        <f>ATI!G229</f>
        <v>0</v>
      </c>
      <c r="C458" s="625" t="s">
        <v>869</v>
      </c>
    </row>
    <row r="459" ht="15.75" customHeight="1">
      <c r="A459" s="624" t="s">
        <v>895</v>
      </c>
      <c r="B459" s="624">
        <f>ATI!I229</f>
        <v>0</v>
      </c>
      <c r="C459" s="625" t="s">
        <v>869</v>
      </c>
    </row>
    <row r="460" ht="15.75" customHeight="1">
      <c r="A460" s="624" t="s">
        <v>896</v>
      </c>
      <c r="B460" s="624">
        <f>ATI!K229</f>
        <v>0</v>
      </c>
      <c r="C460" s="625" t="s">
        <v>869</v>
      </c>
    </row>
    <row r="461" ht="15.75" customHeight="1">
      <c r="A461" s="624" t="s">
        <v>897</v>
      </c>
      <c r="B461" s="624">
        <f>ATI!E236</f>
        <v>0</v>
      </c>
      <c r="C461" s="625" t="s">
        <v>898</v>
      </c>
    </row>
    <row r="462" ht="15.75" customHeight="1">
      <c r="A462" s="624" t="s">
        <v>899</v>
      </c>
      <c r="B462" s="624">
        <f>ATI!G236</f>
        <v>0</v>
      </c>
      <c r="C462" s="625" t="s">
        <v>898</v>
      </c>
    </row>
    <row r="463" ht="15.75" customHeight="1">
      <c r="A463" s="624" t="s">
        <v>900</v>
      </c>
      <c r="B463" s="624">
        <f>ATI!I236</f>
        <v>0</v>
      </c>
      <c r="C463" s="625" t="s">
        <v>898</v>
      </c>
    </row>
    <row r="464" ht="15.75" customHeight="1">
      <c r="A464" s="624" t="s">
        <v>901</v>
      </c>
      <c r="B464" s="624">
        <f>ATI!K236</f>
        <v>0</v>
      </c>
      <c r="C464" s="625" t="s">
        <v>898</v>
      </c>
    </row>
    <row r="465" ht="15.75" customHeight="1">
      <c r="A465" s="624" t="s">
        <v>902</v>
      </c>
      <c r="B465" s="624">
        <f>ATI!E237</f>
        <v>0</v>
      </c>
      <c r="C465" s="625" t="s">
        <v>898</v>
      </c>
    </row>
    <row r="466" ht="15.75" customHeight="1">
      <c r="A466" s="624" t="s">
        <v>903</v>
      </c>
      <c r="B466" s="624">
        <f>ATI!G237</f>
        <v>0</v>
      </c>
      <c r="C466" s="625" t="s">
        <v>898</v>
      </c>
    </row>
    <row r="467" ht="15.75" customHeight="1">
      <c r="A467" s="624" t="s">
        <v>904</v>
      </c>
      <c r="B467" s="624">
        <f>ATI!I237</f>
        <v>0</v>
      </c>
      <c r="C467" s="625" t="s">
        <v>898</v>
      </c>
    </row>
    <row r="468" ht="15.75" customHeight="1">
      <c r="A468" s="624" t="s">
        <v>905</v>
      </c>
      <c r="B468" s="624">
        <f>ATI!K237</f>
        <v>0</v>
      </c>
      <c r="C468" s="625" t="s">
        <v>898</v>
      </c>
    </row>
    <row r="469" ht="15.75" customHeight="1">
      <c r="A469" s="624" t="s">
        <v>906</v>
      </c>
      <c r="B469" s="624">
        <f>ATI!E238</f>
        <v>0</v>
      </c>
      <c r="C469" s="625" t="s">
        <v>898</v>
      </c>
    </row>
    <row r="470" ht="15.75" customHeight="1">
      <c r="A470" s="624" t="s">
        <v>907</v>
      </c>
      <c r="B470" s="624">
        <f>ATI!G238</f>
        <v>0</v>
      </c>
      <c r="C470" s="625" t="s">
        <v>898</v>
      </c>
    </row>
    <row r="471" ht="15.75" customHeight="1">
      <c r="A471" s="624" t="s">
        <v>908</v>
      </c>
      <c r="B471" s="624">
        <f>ATI!I238</f>
        <v>0</v>
      </c>
      <c r="C471" s="625" t="s">
        <v>898</v>
      </c>
    </row>
    <row r="472" ht="15.75" customHeight="1">
      <c r="A472" s="624" t="s">
        <v>909</v>
      </c>
      <c r="B472" s="624">
        <f>ATI!K238</f>
        <v>0</v>
      </c>
      <c r="C472" s="625" t="s">
        <v>898</v>
      </c>
    </row>
    <row r="473" ht="15.75" customHeight="1">
      <c r="A473" s="624" t="s">
        <v>910</v>
      </c>
      <c r="B473" s="624">
        <f>ATI!E239</f>
        <v>0</v>
      </c>
      <c r="C473" s="625" t="s">
        <v>898</v>
      </c>
    </row>
    <row r="474" ht="15.75" customHeight="1">
      <c r="A474" s="624" t="s">
        <v>911</v>
      </c>
      <c r="B474" s="624">
        <f>ATI!G239</f>
        <v>0</v>
      </c>
      <c r="C474" s="625" t="s">
        <v>898</v>
      </c>
    </row>
    <row r="475" ht="15.75" customHeight="1">
      <c r="A475" s="624" t="s">
        <v>912</v>
      </c>
      <c r="B475" s="624">
        <f>ATI!I239</f>
        <v>0</v>
      </c>
      <c r="C475" s="625" t="s">
        <v>898</v>
      </c>
    </row>
    <row r="476" ht="15.75" customHeight="1">
      <c r="A476" s="624" t="s">
        <v>913</v>
      </c>
      <c r="B476" s="624">
        <f>ATI!K239</f>
        <v>0</v>
      </c>
      <c r="C476" s="625" t="s">
        <v>898</v>
      </c>
    </row>
    <row r="477" ht="15.75" customHeight="1">
      <c r="A477" s="624" t="s">
        <v>914</v>
      </c>
      <c r="B477" s="624">
        <f>ATI!E240</f>
        <v>0</v>
      </c>
      <c r="C477" s="625" t="s">
        <v>898</v>
      </c>
    </row>
    <row r="478" ht="15.75" customHeight="1">
      <c r="A478" s="624" t="s">
        <v>915</v>
      </c>
      <c r="B478" s="624">
        <f>ATI!G240</f>
        <v>0</v>
      </c>
      <c r="C478" s="625" t="s">
        <v>898</v>
      </c>
    </row>
    <row r="479" ht="15.75" customHeight="1">
      <c r="A479" s="624" t="s">
        <v>916</v>
      </c>
      <c r="B479" s="624">
        <f>ATI!I240</f>
        <v>0</v>
      </c>
      <c r="C479" s="625" t="s">
        <v>898</v>
      </c>
    </row>
    <row r="480" ht="15.75" customHeight="1">
      <c r="A480" s="624" t="s">
        <v>917</v>
      </c>
      <c r="B480" s="624">
        <f>ATI!K240</f>
        <v>0</v>
      </c>
      <c r="C480" s="625" t="s">
        <v>898</v>
      </c>
    </row>
    <row r="481" ht="15.75" customHeight="1">
      <c r="A481" s="624" t="s">
        <v>918</v>
      </c>
      <c r="B481" s="624">
        <f>ATI!E241</f>
        <v>0</v>
      </c>
      <c r="C481" s="625" t="s">
        <v>898</v>
      </c>
    </row>
    <row r="482" ht="15.75" customHeight="1">
      <c r="A482" s="624" t="s">
        <v>919</v>
      </c>
      <c r="B482" s="624">
        <f>ATI!G241</f>
        <v>0</v>
      </c>
      <c r="C482" s="625" t="s">
        <v>898</v>
      </c>
    </row>
    <row r="483" ht="15.75" customHeight="1">
      <c r="A483" s="624" t="s">
        <v>920</v>
      </c>
      <c r="B483" s="624">
        <f>ATI!I241</f>
        <v>0</v>
      </c>
      <c r="C483" s="625" t="s">
        <v>898</v>
      </c>
    </row>
    <row r="484" ht="15.75" customHeight="1">
      <c r="A484" s="624" t="s">
        <v>921</v>
      </c>
      <c r="B484" s="624">
        <f>ATI!K241</f>
        <v>0</v>
      </c>
      <c r="C484" s="625" t="s">
        <v>898</v>
      </c>
    </row>
    <row r="485" ht="15.75" customHeight="1">
      <c r="A485" s="624" t="s">
        <v>922</v>
      </c>
      <c r="B485" s="624">
        <f>ATI!C248</f>
        <v>0</v>
      </c>
      <c r="C485" s="625">
        <v>6.0</v>
      </c>
    </row>
    <row r="486" ht="15.75" customHeight="1">
      <c r="A486" s="624" t="s">
        <v>923</v>
      </c>
      <c r="B486" s="631">
        <f>ATI!D248</f>
        <v>0</v>
      </c>
      <c r="C486" s="625">
        <v>6.0</v>
      </c>
    </row>
    <row r="487" ht="15.75" customHeight="1">
      <c r="A487" s="626" t="s">
        <v>924</v>
      </c>
      <c r="B487" s="626">
        <f>ATI!F248</f>
        <v>0</v>
      </c>
      <c r="C487" s="627">
        <v>6.0</v>
      </c>
    </row>
    <row r="488" ht="15.75" customHeight="1">
      <c r="A488" s="626" t="s">
        <v>925</v>
      </c>
      <c r="B488" s="632">
        <f>ATI!G248</f>
        <v>0</v>
      </c>
      <c r="C488" s="627">
        <v>6.0</v>
      </c>
    </row>
    <row r="489" ht="15.75" customHeight="1">
      <c r="A489" s="626" t="s">
        <v>926</v>
      </c>
      <c r="B489" s="626">
        <f>ATI!I248</f>
        <v>0</v>
      </c>
      <c r="C489" s="627">
        <v>6.0</v>
      </c>
    </row>
    <row r="490" ht="15.75" customHeight="1">
      <c r="A490" s="626" t="s">
        <v>927</v>
      </c>
      <c r="B490" s="632">
        <f>ATI!J248</f>
        <v>0</v>
      </c>
      <c r="C490" s="627">
        <v>6.0</v>
      </c>
    </row>
    <row r="491" ht="15.75" customHeight="1">
      <c r="A491" s="624" t="s">
        <v>928</v>
      </c>
      <c r="B491" s="624">
        <f>ATI!C249</f>
        <v>0</v>
      </c>
      <c r="C491" s="625">
        <v>6.0</v>
      </c>
    </row>
    <row r="492" ht="15.75" customHeight="1">
      <c r="A492" s="624" t="s">
        <v>929</v>
      </c>
      <c r="B492" s="631">
        <f>ATI!D249</f>
        <v>0</v>
      </c>
      <c r="C492" s="625">
        <v>6.0</v>
      </c>
    </row>
    <row r="493" ht="15.75" customHeight="1">
      <c r="A493" s="626" t="s">
        <v>930</v>
      </c>
      <c r="B493" s="626">
        <f>ATI!F249</f>
        <v>0</v>
      </c>
      <c r="C493" s="627">
        <v>6.0</v>
      </c>
    </row>
    <row r="494" ht="15.75" customHeight="1">
      <c r="A494" s="626" t="s">
        <v>931</v>
      </c>
      <c r="B494" s="632">
        <f>ATI!G249</f>
        <v>0</v>
      </c>
      <c r="C494" s="627">
        <v>6.0</v>
      </c>
    </row>
    <row r="495" ht="15.75" customHeight="1">
      <c r="A495" s="626" t="s">
        <v>932</v>
      </c>
      <c r="B495" s="626">
        <f>ATI!I249</f>
        <v>0</v>
      </c>
      <c r="C495" s="627">
        <v>6.0</v>
      </c>
    </row>
    <row r="496" ht="15.75" customHeight="1">
      <c r="A496" s="626" t="s">
        <v>933</v>
      </c>
      <c r="B496" s="632">
        <f>ATI!J249</f>
        <v>0</v>
      </c>
      <c r="C496" s="627">
        <v>6.0</v>
      </c>
    </row>
    <row r="497" ht="15.75" customHeight="1">
      <c r="A497" s="624" t="s">
        <v>934</v>
      </c>
      <c r="B497" s="624">
        <f>ATI!E257</f>
        <v>0</v>
      </c>
      <c r="C497" s="625" t="s">
        <v>935</v>
      </c>
    </row>
    <row r="498" ht="15.75" customHeight="1">
      <c r="A498" s="624" t="s">
        <v>936</v>
      </c>
      <c r="B498" s="624">
        <f>ATI!G257</f>
        <v>0</v>
      </c>
      <c r="C498" s="625" t="s">
        <v>935</v>
      </c>
    </row>
    <row r="499" ht="15.75" customHeight="1">
      <c r="A499" s="624" t="s">
        <v>937</v>
      </c>
      <c r="B499" s="624">
        <f>ATI!I257</f>
        <v>0</v>
      </c>
      <c r="C499" s="625" t="s">
        <v>935</v>
      </c>
    </row>
    <row r="500" ht="15.75" customHeight="1">
      <c r="A500" s="624" t="s">
        <v>938</v>
      </c>
      <c r="B500" s="624">
        <f>ATI!K257</f>
        <v>0</v>
      </c>
      <c r="C500" s="625" t="s">
        <v>935</v>
      </c>
    </row>
    <row r="501" ht="15.75" customHeight="1">
      <c r="A501" s="624" t="s">
        <v>939</v>
      </c>
      <c r="B501" s="624">
        <f>ATI!E258</f>
        <v>0</v>
      </c>
      <c r="C501" s="625" t="s">
        <v>935</v>
      </c>
    </row>
    <row r="502" ht="15.75" customHeight="1">
      <c r="A502" s="624" t="s">
        <v>940</v>
      </c>
      <c r="B502" s="624">
        <f>ATI!G258</f>
        <v>0</v>
      </c>
      <c r="C502" s="625" t="s">
        <v>935</v>
      </c>
    </row>
    <row r="503" ht="15.75" customHeight="1">
      <c r="A503" s="624" t="s">
        <v>941</v>
      </c>
      <c r="B503" s="624">
        <f>ATI!I258</f>
        <v>0</v>
      </c>
      <c r="C503" s="625" t="s">
        <v>935</v>
      </c>
    </row>
    <row r="504" ht="15.75" customHeight="1">
      <c r="A504" s="624" t="s">
        <v>942</v>
      </c>
      <c r="B504" s="624">
        <f>ATI!K258</f>
        <v>0</v>
      </c>
      <c r="C504" s="625" t="s">
        <v>935</v>
      </c>
    </row>
    <row r="505" ht="15.75" customHeight="1">
      <c r="A505" s="624" t="s">
        <v>943</v>
      </c>
      <c r="B505" s="624">
        <f>ATI!E260</f>
        <v>0</v>
      </c>
      <c r="C505" s="625" t="s">
        <v>935</v>
      </c>
    </row>
    <row r="506" ht="15.75" customHeight="1">
      <c r="A506" s="624" t="s">
        <v>944</v>
      </c>
      <c r="B506" s="624">
        <f>ATI!G260</f>
        <v>0</v>
      </c>
      <c r="C506" s="625" t="s">
        <v>935</v>
      </c>
    </row>
    <row r="507" ht="15.75" customHeight="1">
      <c r="A507" s="624" t="s">
        <v>945</v>
      </c>
      <c r="B507" s="624">
        <f>ATI!I260</f>
        <v>0</v>
      </c>
      <c r="C507" s="625" t="s">
        <v>935</v>
      </c>
    </row>
    <row r="508" ht="15.75" customHeight="1">
      <c r="A508" s="624" t="s">
        <v>946</v>
      </c>
      <c r="B508" s="624">
        <f>ATI!K260</f>
        <v>0</v>
      </c>
      <c r="C508" s="625" t="s">
        <v>935</v>
      </c>
    </row>
    <row r="509" ht="15.75" customHeight="1">
      <c r="A509" s="626" t="s">
        <v>947</v>
      </c>
      <c r="B509" s="626">
        <f>ATI!E261</f>
        <v>0</v>
      </c>
      <c r="C509" s="627" t="s">
        <v>935</v>
      </c>
    </row>
    <row r="510" ht="15.75" customHeight="1">
      <c r="A510" s="626" t="s">
        <v>948</v>
      </c>
      <c r="B510" s="626">
        <f>ATI!G261</f>
        <v>0</v>
      </c>
      <c r="C510" s="627" t="s">
        <v>935</v>
      </c>
    </row>
    <row r="511" ht="15.75" customHeight="1">
      <c r="A511" s="626" t="s">
        <v>949</v>
      </c>
      <c r="B511" s="626">
        <f>ATI!I261</f>
        <v>0</v>
      </c>
      <c r="C511" s="627" t="s">
        <v>935</v>
      </c>
    </row>
    <row r="512" ht="15.75" customHeight="1">
      <c r="A512" s="626" t="s">
        <v>950</v>
      </c>
      <c r="B512" s="626">
        <f>ATI!K261</f>
        <v>0</v>
      </c>
      <c r="C512" s="627" t="s">
        <v>935</v>
      </c>
    </row>
    <row r="513" ht="15.75" customHeight="1">
      <c r="A513" s="626" t="s">
        <v>951</v>
      </c>
      <c r="B513" s="626">
        <f>ATI!E262</f>
        <v>0</v>
      </c>
      <c r="C513" s="627" t="s">
        <v>935</v>
      </c>
    </row>
    <row r="514" ht="15.75" customHeight="1">
      <c r="A514" s="626" t="s">
        <v>952</v>
      </c>
      <c r="B514" s="626">
        <f>ATI!G262</f>
        <v>0</v>
      </c>
      <c r="C514" s="627" t="s">
        <v>935</v>
      </c>
    </row>
    <row r="515" ht="15.75" customHeight="1">
      <c r="A515" s="626" t="s">
        <v>953</v>
      </c>
      <c r="B515" s="626">
        <f>ATI!I262</f>
        <v>0</v>
      </c>
      <c r="C515" s="627" t="s">
        <v>935</v>
      </c>
    </row>
    <row r="516" ht="15.75" customHeight="1">
      <c r="A516" s="626" t="s">
        <v>954</v>
      </c>
      <c r="B516" s="626">
        <f>ATI!K262</f>
        <v>0</v>
      </c>
      <c r="C516" s="627" t="s">
        <v>935</v>
      </c>
    </row>
    <row r="517" ht="15.75" customHeight="1">
      <c r="A517" s="624" t="s">
        <v>955</v>
      </c>
      <c r="B517" s="624">
        <f>ATI!E268</f>
        <v>0</v>
      </c>
      <c r="C517" s="625" t="s">
        <v>956</v>
      </c>
    </row>
    <row r="518" ht="15.75" customHeight="1">
      <c r="A518" s="624" t="s">
        <v>957</v>
      </c>
      <c r="B518" s="624">
        <f>ATI!F268</f>
        <v>0</v>
      </c>
      <c r="C518" s="625" t="s">
        <v>956</v>
      </c>
    </row>
    <row r="519" ht="15.75" customHeight="1">
      <c r="A519" s="624" t="s">
        <v>958</v>
      </c>
      <c r="B519" s="624">
        <f>ATI!G268</f>
        <v>0</v>
      </c>
      <c r="C519" s="625" t="s">
        <v>956</v>
      </c>
    </row>
    <row r="520" ht="15.75" customHeight="1">
      <c r="A520" s="624" t="s">
        <v>959</v>
      </c>
      <c r="B520" s="624">
        <f>ATI!H268</f>
        <v>0</v>
      </c>
      <c r="C520" s="625" t="s">
        <v>956</v>
      </c>
    </row>
    <row r="521" ht="15.75" customHeight="1">
      <c r="A521" s="624" t="s">
        <v>960</v>
      </c>
      <c r="B521" s="624">
        <f>ATI!I268</f>
        <v>0</v>
      </c>
      <c r="C521" s="625" t="s">
        <v>956</v>
      </c>
    </row>
    <row r="522" ht="15.75" customHeight="1">
      <c r="A522" s="624" t="s">
        <v>961</v>
      </c>
      <c r="B522" s="624">
        <f>ATI!J268</f>
        <v>0</v>
      </c>
      <c r="C522" s="625" t="s">
        <v>956</v>
      </c>
    </row>
    <row r="523" ht="15.75" customHeight="1">
      <c r="A523" s="624" t="s">
        <v>962</v>
      </c>
      <c r="B523" s="624">
        <f>ATI!K268</f>
        <v>0</v>
      </c>
      <c r="C523" s="625" t="s">
        <v>956</v>
      </c>
    </row>
    <row r="524" ht="15.75" customHeight="1">
      <c r="A524" s="624" t="s">
        <v>963</v>
      </c>
      <c r="B524" s="624">
        <f>ATI!E269</f>
        <v>0</v>
      </c>
      <c r="C524" s="625" t="s">
        <v>956</v>
      </c>
    </row>
    <row r="525" ht="15.75" customHeight="1">
      <c r="A525" s="624" t="s">
        <v>964</v>
      </c>
      <c r="B525" s="624">
        <f>ATI!F269</f>
        <v>0</v>
      </c>
      <c r="C525" s="625" t="s">
        <v>956</v>
      </c>
    </row>
    <row r="526" ht="15.75" customHeight="1">
      <c r="A526" s="624" t="s">
        <v>965</v>
      </c>
      <c r="B526" s="624">
        <f>ATI!G269</f>
        <v>0</v>
      </c>
      <c r="C526" s="625" t="s">
        <v>956</v>
      </c>
    </row>
    <row r="527" ht="15.75" customHeight="1">
      <c r="A527" s="624" t="s">
        <v>966</v>
      </c>
      <c r="B527" s="624">
        <f>ATI!H269</f>
        <v>0</v>
      </c>
      <c r="C527" s="625" t="s">
        <v>956</v>
      </c>
    </row>
    <row r="528" ht="15.75" customHeight="1">
      <c r="A528" s="624" t="s">
        <v>967</v>
      </c>
      <c r="B528" s="624">
        <f>ATI!I269</f>
        <v>0</v>
      </c>
      <c r="C528" s="625" t="s">
        <v>956</v>
      </c>
    </row>
    <row r="529" ht="15.75" customHeight="1">
      <c r="A529" s="624" t="s">
        <v>968</v>
      </c>
      <c r="B529" s="624">
        <f>ATI!J269</f>
        <v>0</v>
      </c>
      <c r="C529" s="625" t="s">
        <v>956</v>
      </c>
    </row>
    <row r="530" ht="15.75" customHeight="1">
      <c r="A530" s="624" t="s">
        <v>969</v>
      </c>
      <c r="B530" s="624">
        <f>ATI!K269</f>
        <v>0</v>
      </c>
      <c r="C530" s="625" t="s">
        <v>956</v>
      </c>
    </row>
    <row r="531" ht="15.75" customHeight="1">
      <c r="A531" s="624" t="s">
        <v>970</v>
      </c>
      <c r="B531" s="624">
        <f>ATI!E270</f>
        <v>0</v>
      </c>
      <c r="C531" s="625" t="s">
        <v>956</v>
      </c>
    </row>
    <row r="532" ht="15.75" customHeight="1">
      <c r="A532" s="624" t="s">
        <v>971</v>
      </c>
      <c r="B532" s="624">
        <f>ATI!F270</f>
        <v>0</v>
      </c>
      <c r="C532" s="625" t="s">
        <v>956</v>
      </c>
    </row>
    <row r="533" ht="15.75" customHeight="1">
      <c r="A533" s="624" t="s">
        <v>972</v>
      </c>
      <c r="B533" s="624">
        <f>ATI!G270</f>
        <v>0</v>
      </c>
      <c r="C533" s="625" t="s">
        <v>956</v>
      </c>
    </row>
    <row r="534" ht="15.75" customHeight="1">
      <c r="A534" s="624" t="s">
        <v>973</v>
      </c>
      <c r="B534" s="624">
        <f>ATI!H270</f>
        <v>0</v>
      </c>
      <c r="C534" s="625" t="s">
        <v>956</v>
      </c>
    </row>
    <row r="535" ht="15.75" customHeight="1">
      <c r="A535" s="624" t="s">
        <v>974</v>
      </c>
      <c r="B535" s="624">
        <f>ATI!I270</f>
        <v>0</v>
      </c>
      <c r="C535" s="625" t="s">
        <v>956</v>
      </c>
    </row>
    <row r="536" ht="15.75" customHeight="1">
      <c r="A536" s="624" t="s">
        <v>975</v>
      </c>
      <c r="B536" s="624">
        <f>ATI!J270</f>
        <v>0</v>
      </c>
      <c r="C536" s="625" t="s">
        <v>956</v>
      </c>
    </row>
    <row r="537" ht="15.75" customHeight="1">
      <c r="A537" s="624" t="s">
        <v>976</v>
      </c>
      <c r="B537" s="624">
        <f>ATI!K270</f>
        <v>0</v>
      </c>
      <c r="C537" s="625" t="s">
        <v>956</v>
      </c>
    </row>
    <row r="538" ht="15.75" customHeight="1">
      <c r="A538" s="624" t="s">
        <v>977</v>
      </c>
      <c r="B538" s="624">
        <f>ATI!E271</f>
        <v>0</v>
      </c>
      <c r="C538" s="625" t="s">
        <v>956</v>
      </c>
    </row>
    <row r="539" ht="15.75" customHeight="1">
      <c r="A539" s="624" t="s">
        <v>978</v>
      </c>
      <c r="B539" s="624">
        <f>ATI!F271</f>
        <v>0</v>
      </c>
      <c r="C539" s="625" t="s">
        <v>956</v>
      </c>
    </row>
    <row r="540" ht="15.75" customHeight="1">
      <c r="A540" s="624" t="s">
        <v>979</v>
      </c>
      <c r="B540" s="624">
        <f>ATI!G271</f>
        <v>0</v>
      </c>
      <c r="C540" s="625" t="s">
        <v>956</v>
      </c>
    </row>
    <row r="541" ht="15.75" customHeight="1">
      <c r="A541" s="624" t="s">
        <v>980</v>
      </c>
      <c r="B541" s="624">
        <f>ATI!H271</f>
        <v>0</v>
      </c>
      <c r="C541" s="625" t="s">
        <v>956</v>
      </c>
    </row>
    <row r="542" ht="15.75" customHeight="1">
      <c r="A542" s="624" t="s">
        <v>981</v>
      </c>
      <c r="B542" s="624">
        <f>ATI!I271</f>
        <v>0</v>
      </c>
      <c r="C542" s="625" t="s">
        <v>956</v>
      </c>
    </row>
    <row r="543" ht="15.75" customHeight="1">
      <c r="A543" s="624" t="s">
        <v>982</v>
      </c>
      <c r="B543" s="624">
        <f>ATI!J271</f>
        <v>0</v>
      </c>
      <c r="C543" s="625" t="s">
        <v>956</v>
      </c>
    </row>
    <row r="544" ht="15.75" customHeight="1">
      <c r="A544" s="624" t="s">
        <v>983</v>
      </c>
      <c r="B544" s="624">
        <f>ATI!K271</f>
        <v>0</v>
      </c>
      <c r="C544" s="625" t="s">
        <v>956</v>
      </c>
    </row>
    <row r="545" ht="15.75" customHeight="1">
      <c r="A545" s="624" t="s">
        <v>984</v>
      </c>
      <c r="B545" s="624">
        <f>ATI!E272</f>
        <v>0</v>
      </c>
      <c r="C545" s="625" t="s">
        <v>956</v>
      </c>
    </row>
    <row r="546" ht="15.75" customHeight="1">
      <c r="A546" s="624" t="s">
        <v>985</v>
      </c>
      <c r="B546" s="624">
        <f>ATI!F272</f>
        <v>0</v>
      </c>
      <c r="C546" s="625" t="s">
        <v>956</v>
      </c>
    </row>
    <row r="547" ht="15.75" customHeight="1">
      <c r="A547" s="624" t="s">
        <v>986</v>
      </c>
      <c r="B547" s="624">
        <f>ATI!G272</f>
        <v>0</v>
      </c>
      <c r="C547" s="625" t="s">
        <v>956</v>
      </c>
    </row>
    <row r="548" ht="15.75" customHeight="1">
      <c r="A548" s="624" t="s">
        <v>987</v>
      </c>
      <c r="B548" s="624">
        <f>ATI!H272</f>
        <v>0</v>
      </c>
      <c r="C548" s="625" t="s">
        <v>956</v>
      </c>
    </row>
    <row r="549" ht="15.75" customHeight="1">
      <c r="A549" s="624" t="s">
        <v>988</v>
      </c>
      <c r="B549" s="624">
        <f>ATI!I272</f>
        <v>0</v>
      </c>
      <c r="C549" s="625" t="s">
        <v>956</v>
      </c>
    </row>
    <row r="550" ht="15.75" customHeight="1">
      <c r="A550" s="624" t="s">
        <v>989</v>
      </c>
      <c r="B550" s="624">
        <f>ATI!J272</f>
        <v>0</v>
      </c>
      <c r="C550" s="625" t="s">
        <v>956</v>
      </c>
    </row>
    <row r="551" ht="15.75" customHeight="1">
      <c r="A551" s="624" t="s">
        <v>990</v>
      </c>
      <c r="B551" s="624">
        <f>ATI!K272</f>
        <v>0</v>
      </c>
      <c r="C551" s="625" t="s">
        <v>956</v>
      </c>
    </row>
    <row r="552" ht="15.75" customHeight="1">
      <c r="A552" s="624" t="s">
        <v>991</v>
      </c>
      <c r="B552" s="624">
        <f>ATI!E273</f>
        <v>0</v>
      </c>
      <c r="C552" s="625" t="s">
        <v>956</v>
      </c>
    </row>
    <row r="553" ht="15.75" customHeight="1">
      <c r="A553" s="624" t="s">
        <v>992</v>
      </c>
      <c r="B553" s="624">
        <f>ATI!F273</f>
        <v>0</v>
      </c>
      <c r="C553" s="625" t="s">
        <v>956</v>
      </c>
    </row>
    <row r="554" ht="15.75" customHeight="1">
      <c r="A554" s="624" t="s">
        <v>993</v>
      </c>
      <c r="B554" s="624">
        <f>ATI!G273</f>
        <v>0</v>
      </c>
      <c r="C554" s="625" t="s">
        <v>956</v>
      </c>
    </row>
    <row r="555" ht="15.75" customHeight="1">
      <c r="A555" s="624" t="s">
        <v>994</v>
      </c>
      <c r="B555" s="624">
        <f>ATI!H273</f>
        <v>0</v>
      </c>
      <c r="C555" s="625" t="s">
        <v>956</v>
      </c>
    </row>
    <row r="556" ht="15.75" customHeight="1">
      <c r="A556" s="624" t="s">
        <v>995</v>
      </c>
      <c r="B556" s="624">
        <f>ATI!I273</f>
        <v>0</v>
      </c>
      <c r="C556" s="625" t="s">
        <v>956</v>
      </c>
    </row>
    <row r="557" ht="15.75" customHeight="1">
      <c r="A557" s="624" t="s">
        <v>996</v>
      </c>
      <c r="B557" s="624">
        <f>ATI!J273</f>
        <v>0</v>
      </c>
      <c r="C557" s="625" t="s">
        <v>956</v>
      </c>
    </row>
    <row r="558" ht="15.75" customHeight="1">
      <c r="A558" s="624" t="s">
        <v>997</v>
      </c>
      <c r="B558" s="624">
        <f>ATI!K273</f>
        <v>0</v>
      </c>
      <c r="C558" s="625" t="s">
        <v>956</v>
      </c>
    </row>
    <row r="559" ht="15.75" customHeight="1">
      <c r="A559" s="624" t="s">
        <v>998</v>
      </c>
      <c r="B559" s="624">
        <f>ATI!E280</f>
        <v>0</v>
      </c>
      <c r="C559" s="625" t="s">
        <v>999</v>
      </c>
    </row>
    <row r="560" ht="15.75" customHeight="1">
      <c r="A560" s="624" t="s">
        <v>1000</v>
      </c>
      <c r="B560" s="624">
        <f>ATI!F280</f>
        <v>0</v>
      </c>
      <c r="C560" s="625" t="s">
        <v>999</v>
      </c>
    </row>
    <row r="561" ht="15.75" customHeight="1">
      <c r="A561" s="624" t="s">
        <v>1001</v>
      </c>
      <c r="B561" s="624">
        <f>ATI!G280</f>
        <v>0</v>
      </c>
      <c r="C561" s="625" t="s">
        <v>999</v>
      </c>
    </row>
    <row r="562" ht="15.75" customHeight="1">
      <c r="A562" s="624" t="s">
        <v>1002</v>
      </c>
      <c r="B562" s="624">
        <f>ATI!H280</f>
        <v>0</v>
      </c>
      <c r="C562" s="625" t="s">
        <v>999</v>
      </c>
    </row>
    <row r="563" ht="15.75" customHeight="1">
      <c r="A563" s="624" t="s">
        <v>1003</v>
      </c>
      <c r="B563" s="624">
        <f>ATI!I280</f>
        <v>0</v>
      </c>
      <c r="C563" s="625" t="s">
        <v>999</v>
      </c>
    </row>
    <row r="564" ht="15.75" customHeight="1">
      <c r="A564" s="624" t="s">
        <v>1004</v>
      </c>
      <c r="B564" s="624">
        <f>ATI!J280</f>
        <v>0</v>
      </c>
      <c r="C564" s="625" t="s">
        <v>999</v>
      </c>
    </row>
    <row r="565" ht="15.75" customHeight="1">
      <c r="A565" s="624" t="s">
        <v>1005</v>
      </c>
      <c r="B565" s="624">
        <f>ATI!K280</f>
        <v>0</v>
      </c>
      <c r="C565" s="625" t="s">
        <v>999</v>
      </c>
    </row>
    <row r="566" ht="15.75" customHeight="1">
      <c r="A566" s="624" t="s">
        <v>1006</v>
      </c>
      <c r="B566" s="624">
        <f>ATI!E281</f>
        <v>0</v>
      </c>
      <c r="C566" s="625" t="s">
        <v>999</v>
      </c>
    </row>
    <row r="567" ht="15.75" customHeight="1">
      <c r="A567" s="624" t="s">
        <v>1007</v>
      </c>
      <c r="B567" s="624">
        <f>ATI!F281</f>
        <v>0</v>
      </c>
      <c r="C567" s="625" t="s">
        <v>999</v>
      </c>
    </row>
    <row r="568" ht="15.75" customHeight="1">
      <c r="A568" s="624" t="s">
        <v>1008</v>
      </c>
      <c r="B568" s="624">
        <f>ATI!G281</f>
        <v>0</v>
      </c>
      <c r="C568" s="625" t="s">
        <v>999</v>
      </c>
    </row>
    <row r="569" ht="15.75" customHeight="1">
      <c r="A569" s="624" t="s">
        <v>1009</v>
      </c>
      <c r="B569" s="624">
        <f>ATI!H281</f>
        <v>0</v>
      </c>
      <c r="C569" s="625" t="s">
        <v>999</v>
      </c>
    </row>
    <row r="570" ht="15.75" customHeight="1">
      <c r="A570" s="624" t="s">
        <v>1010</v>
      </c>
      <c r="B570" s="624">
        <f>ATI!I281</f>
        <v>0</v>
      </c>
      <c r="C570" s="625" t="s">
        <v>999</v>
      </c>
    </row>
    <row r="571" ht="15.75" customHeight="1">
      <c r="A571" s="624" t="s">
        <v>1011</v>
      </c>
      <c r="B571" s="624">
        <f>ATI!J281</f>
        <v>0</v>
      </c>
      <c r="C571" s="625" t="s">
        <v>999</v>
      </c>
    </row>
    <row r="572" ht="15.75" customHeight="1">
      <c r="A572" s="624" t="s">
        <v>1012</v>
      </c>
      <c r="B572" s="624">
        <f>ATI!K281</f>
        <v>0</v>
      </c>
      <c r="C572" s="625" t="s">
        <v>999</v>
      </c>
    </row>
    <row r="573" ht="15.75" customHeight="1">
      <c r="A573" s="624" t="s">
        <v>1013</v>
      </c>
      <c r="B573" s="624">
        <f>ATI!E282</f>
        <v>0</v>
      </c>
      <c r="C573" s="625" t="s">
        <v>999</v>
      </c>
    </row>
    <row r="574" ht="15.75" customHeight="1">
      <c r="A574" s="624" t="s">
        <v>1014</v>
      </c>
      <c r="B574" s="624">
        <f>ATI!F282</f>
        <v>0</v>
      </c>
      <c r="C574" s="625" t="s">
        <v>999</v>
      </c>
    </row>
    <row r="575" ht="15.75" customHeight="1">
      <c r="A575" s="624" t="s">
        <v>1015</v>
      </c>
      <c r="B575" s="624">
        <f>ATI!G282</f>
        <v>0</v>
      </c>
      <c r="C575" s="625" t="s">
        <v>999</v>
      </c>
    </row>
    <row r="576" ht="15.75" customHeight="1">
      <c r="A576" s="624" t="s">
        <v>1016</v>
      </c>
      <c r="B576" s="624">
        <f>ATI!H282</f>
        <v>0</v>
      </c>
      <c r="C576" s="625" t="s">
        <v>999</v>
      </c>
    </row>
    <row r="577" ht="15.75" customHeight="1">
      <c r="A577" s="624" t="s">
        <v>1017</v>
      </c>
      <c r="B577" s="624">
        <f>ATI!I282</f>
        <v>0</v>
      </c>
      <c r="C577" s="625" t="s">
        <v>999</v>
      </c>
    </row>
    <row r="578" ht="15.75" customHeight="1">
      <c r="A578" s="624" t="s">
        <v>1018</v>
      </c>
      <c r="B578" s="624">
        <f>ATI!J282</f>
        <v>0</v>
      </c>
      <c r="C578" s="625" t="s">
        <v>999</v>
      </c>
    </row>
    <row r="579" ht="15.75" customHeight="1">
      <c r="A579" s="624" t="s">
        <v>1019</v>
      </c>
      <c r="B579" s="624">
        <f>ATI!K282</f>
        <v>0</v>
      </c>
      <c r="C579" s="625" t="s">
        <v>999</v>
      </c>
    </row>
    <row r="580" ht="15.75" customHeight="1">
      <c r="A580" s="624" t="s">
        <v>1020</v>
      </c>
      <c r="B580" s="624">
        <f>ATI!E283</f>
        <v>0</v>
      </c>
      <c r="C580" s="625" t="s">
        <v>999</v>
      </c>
    </row>
    <row r="581" ht="15.75" customHeight="1">
      <c r="A581" s="624" t="s">
        <v>1021</v>
      </c>
      <c r="B581" s="624">
        <f>ATI!F283</f>
        <v>0</v>
      </c>
      <c r="C581" s="625" t="s">
        <v>999</v>
      </c>
    </row>
    <row r="582" ht="15.75" customHeight="1">
      <c r="A582" s="624" t="s">
        <v>1022</v>
      </c>
      <c r="B582" s="624">
        <f>ATI!G283</f>
        <v>0</v>
      </c>
      <c r="C582" s="625" t="s">
        <v>999</v>
      </c>
    </row>
    <row r="583" ht="15.75" customHeight="1">
      <c r="A583" s="624" t="s">
        <v>1023</v>
      </c>
      <c r="B583" s="624">
        <f>ATI!H283</f>
        <v>0</v>
      </c>
      <c r="C583" s="625" t="s">
        <v>999</v>
      </c>
    </row>
    <row r="584" ht="15.75" customHeight="1">
      <c r="A584" s="624" t="s">
        <v>1024</v>
      </c>
      <c r="B584" s="624">
        <f>ATI!I283</f>
        <v>0</v>
      </c>
      <c r="C584" s="625" t="s">
        <v>999</v>
      </c>
    </row>
    <row r="585" ht="15.75" customHeight="1">
      <c r="A585" s="624" t="s">
        <v>1025</v>
      </c>
      <c r="B585" s="624">
        <f>ATI!J283</f>
        <v>0</v>
      </c>
      <c r="C585" s="625" t="s">
        <v>999</v>
      </c>
    </row>
    <row r="586" ht="15.75" customHeight="1">
      <c r="A586" s="624" t="s">
        <v>1026</v>
      </c>
      <c r="B586" s="624">
        <f>ATI!K283</f>
        <v>0</v>
      </c>
      <c r="C586" s="625" t="s">
        <v>999</v>
      </c>
    </row>
    <row r="587" ht="15.75" customHeight="1">
      <c r="A587" s="624" t="s">
        <v>1027</v>
      </c>
      <c r="B587" s="624">
        <f>ATI!E284</f>
        <v>0</v>
      </c>
      <c r="C587" s="625" t="s">
        <v>999</v>
      </c>
    </row>
    <row r="588" ht="15.75" customHeight="1">
      <c r="A588" s="624" t="s">
        <v>1028</v>
      </c>
      <c r="B588" s="624">
        <f>ATI!F284</f>
        <v>0</v>
      </c>
      <c r="C588" s="625" t="s">
        <v>999</v>
      </c>
    </row>
    <row r="589" ht="15.75" customHeight="1">
      <c r="A589" s="624" t="s">
        <v>1029</v>
      </c>
      <c r="B589" s="624">
        <f>ATI!G284</f>
        <v>0</v>
      </c>
      <c r="C589" s="625" t="s">
        <v>999</v>
      </c>
    </row>
    <row r="590" ht="15.75" customHeight="1">
      <c r="A590" s="624" t="s">
        <v>1030</v>
      </c>
      <c r="B590" s="624">
        <f>ATI!H284</f>
        <v>0</v>
      </c>
      <c r="C590" s="625" t="s">
        <v>999</v>
      </c>
    </row>
    <row r="591" ht="15.75" customHeight="1">
      <c r="A591" s="624" t="s">
        <v>1031</v>
      </c>
      <c r="B591" s="624">
        <f>ATI!I284</f>
        <v>0</v>
      </c>
      <c r="C591" s="625" t="s">
        <v>999</v>
      </c>
    </row>
    <row r="592" ht="15.75" customHeight="1">
      <c r="A592" s="624" t="s">
        <v>1032</v>
      </c>
      <c r="B592" s="624">
        <f>ATI!J284</f>
        <v>0</v>
      </c>
      <c r="C592" s="625" t="s">
        <v>999</v>
      </c>
    </row>
    <row r="593" ht="15.75" customHeight="1">
      <c r="A593" s="624" t="s">
        <v>1033</v>
      </c>
      <c r="B593" s="624">
        <f>ATI!K284</f>
        <v>0</v>
      </c>
      <c r="C593" s="625" t="s">
        <v>999</v>
      </c>
    </row>
    <row r="594" ht="15.75" customHeight="1">
      <c r="A594" s="624" t="s">
        <v>1034</v>
      </c>
      <c r="B594" s="624">
        <f>ATI!E285</f>
        <v>0</v>
      </c>
      <c r="C594" s="625" t="s">
        <v>999</v>
      </c>
    </row>
    <row r="595" ht="15.75" customHeight="1">
      <c r="A595" s="624" t="s">
        <v>1035</v>
      </c>
      <c r="B595" s="624">
        <f>ATI!F285</f>
        <v>0</v>
      </c>
      <c r="C595" s="625" t="s">
        <v>999</v>
      </c>
    </row>
    <row r="596" ht="15.75" customHeight="1">
      <c r="A596" s="624" t="s">
        <v>1036</v>
      </c>
      <c r="B596" s="624">
        <f>ATI!G285</f>
        <v>0</v>
      </c>
      <c r="C596" s="625" t="s">
        <v>999</v>
      </c>
    </row>
    <row r="597" ht="15.75" customHeight="1">
      <c r="A597" s="624" t="s">
        <v>1037</v>
      </c>
      <c r="B597" s="624">
        <f>ATI!H285</f>
        <v>0</v>
      </c>
      <c r="C597" s="625" t="s">
        <v>999</v>
      </c>
    </row>
    <row r="598" ht="15.75" customHeight="1">
      <c r="A598" s="624" t="s">
        <v>1038</v>
      </c>
      <c r="B598" s="624">
        <f>ATI!I285</f>
        <v>0</v>
      </c>
      <c r="C598" s="625" t="s">
        <v>999</v>
      </c>
    </row>
    <row r="599" ht="15.75" customHeight="1">
      <c r="A599" s="624" t="s">
        <v>1039</v>
      </c>
      <c r="B599" s="624">
        <f>ATI!J285</f>
        <v>0</v>
      </c>
      <c r="C599" s="625" t="s">
        <v>999</v>
      </c>
    </row>
    <row r="600" ht="15.75" customHeight="1">
      <c r="A600" s="624" t="s">
        <v>1040</v>
      </c>
      <c r="B600" s="624">
        <f>ATI!K285</f>
        <v>0</v>
      </c>
      <c r="C600" s="625" t="s">
        <v>999</v>
      </c>
    </row>
    <row r="601" ht="15.75" customHeight="1">
      <c r="A601" s="624" t="s">
        <v>1041</v>
      </c>
      <c r="B601" s="624">
        <f>ATI!C294</f>
        <v>0</v>
      </c>
      <c r="C601" s="625" t="s">
        <v>1042</v>
      </c>
    </row>
    <row r="602" ht="15.75" customHeight="1">
      <c r="A602" s="624" t="s">
        <v>1043</v>
      </c>
      <c r="B602" s="624">
        <f>ATI!D294</f>
        <v>0</v>
      </c>
      <c r="C602" s="625" t="s">
        <v>1042</v>
      </c>
    </row>
    <row r="603" ht="15.75" customHeight="1">
      <c r="A603" s="624" t="s">
        <v>1044</v>
      </c>
      <c r="B603" s="624" t="str">
        <f>ATI!#REF!</f>
        <v>#ERROR!</v>
      </c>
      <c r="C603" s="625" t="s">
        <v>1042</v>
      </c>
    </row>
    <row r="604" ht="15.75" customHeight="1">
      <c r="A604" s="624" t="s">
        <v>1045</v>
      </c>
      <c r="B604" s="624" t="str">
        <f>ATI!#REF!</f>
        <v>#ERROR!</v>
      </c>
      <c r="C604" s="625" t="s">
        <v>1042</v>
      </c>
    </row>
    <row r="605" ht="15.75" customHeight="1">
      <c r="A605" s="624" t="s">
        <v>1046</v>
      </c>
      <c r="B605" s="624">
        <f>ATI!E294</f>
        <v>0</v>
      </c>
      <c r="C605" s="625" t="s">
        <v>1042</v>
      </c>
    </row>
    <row r="606" ht="15.75" customHeight="1">
      <c r="A606" s="624" t="s">
        <v>1047</v>
      </c>
      <c r="B606" s="624">
        <f>ATI!F294</f>
        <v>0</v>
      </c>
      <c r="C606" s="625" t="s">
        <v>1042</v>
      </c>
    </row>
    <row r="607" ht="15.75" customHeight="1">
      <c r="A607" s="624" t="s">
        <v>1048</v>
      </c>
      <c r="B607" s="624" t="str">
        <f>ATI!#REF!</f>
        <v>#ERROR!</v>
      </c>
      <c r="C607" s="625" t="s">
        <v>1042</v>
      </c>
    </row>
    <row r="608" ht="15.75" customHeight="1">
      <c r="A608" s="624" t="s">
        <v>1049</v>
      </c>
      <c r="B608" s="624" t="str">
        <f>ATI!#REF!</f>
        <v>#ERROR!</v>
      </c>
      <c r="C608" s="625" t="s">
        <v>1042</v>
      </c>
    </row>
    <row r="609" ht="15.75" customHeight="1">
      <c r="A609" s="624" t="s">
        <v>1050</v>
      </c>
      <c r="B609" s="624">
        <f>ATI!G294</f>
        <v>0</v>
      </c>
      <c r="C609" s="625" t="s">
        <v>1042</v>
      </c>
    </row>
    <row r="610" ht="15.75" customHeight="1">
      <c r="A610" s="624" t="s">
        <v>1051</v>
      </c>
      <c r="B610" s="624">
        <f>ATI!H294</f>
        <v>0</v>
      </c>
      <c r="C610" s="625" t="s">
        <v>1042</v>
      </c>
    </row>
    <row r="611" ht="15.75" customHeight="1">
      <c r="A611" s="624" t="s">
        <v>1052</v>
      </c>
      <c r="B611" s="624">
        <f>ATI!C295</f>
        <v>0</v>
      </c>
      <c r="C611" s="625" t="s">
        <v>1042</v>
      </c>
    </row>
    <row r="612" ht="15.75" customHeight="1">
      <c r="A612" s="624" t="s">
        <v>1053</v>
      </c>
      <c r="B612" s="624">
        <f>ATI!D295</f>
        <v>0</v>
      </c>
      <c r="C612" s="625" t="s">
        <v>1042</v>
      </c>
    </row>
    <row r="613" ht="15.75" customHeight="1">
      <c r="A613" s="624" t="s">
        <v>1054</v>
      </c>
      <c r="B613" s="624" t="str">
        <f>ATI!#REF!</f>
        <v>#ERROR!</v>
      </c>
      <c r="C613" s="625" t="s">
        <v>1042</v>
      </c>
    </row>
    <row r="614" ht="15.75" customHeight="1">
      <c r="A614" s="624" t="s">
        <v>1055</v>
      </c>
      <c r="B614" s="624" t="str">
        <f>ATI!#REF!</f>
        <v>#ERROR!</v>
      </c>
      <c r="C614" s="625" t="s">
        <v>1042</v>
      </c>
    </row>
    <row r="615" ht="15.75" customHeight="1">
      <c r="A615" s="624" t="s">
        <v>1056</v>
      </c>
      <c r="B615" s="624">
        <f>ATI!E295</f>
        <v>0</v>
      </c>
      <c r="C615" s="625" t="s">
        <v>1042</v>
      </c>
    </row>
    <row r="616" ht="15.75" customHeight="1">
      <c r="A616" s="624" t="s">
        <v>1057</v>
      </c>
      <c r="B616" s="624">
        <f>ATI!F295</f>
        <v>0</v>
      </c>
      <c r="C616" s="625" t="s">
        <v>1042</v>
      </c>
    </row>
    <row r="617" ht="15.75" customHeight="1">
      <c r="A617" s="624" t="s">
        <v>1058</v>
      </c>
      <c r="B617" s="624" t="str">
        <f>ATI!#REF!</f>
        <v>#ERROR!</v>
      </c>
      <c r="C617" s="625" t="s">
        <v>1042</v>
      </c>
    </row>
    <row r="618" ht="15.75" customHeight="1">
      <c r="A618" s="624" t="s">
        <v>1059</v>
      </c>
      <c r="B618" s="624" t="str">
        <f>ATI!#REF!</f>
        <v>#ERROR!</v>
      </c>
      <c r="C618" s="625" t="s">
        <v>1042</v>
      </c>
    </row>
    <row r="619" ht="15.75" customHeight="1">
      <c r="A619" s="624" t="s">
        <v>1060</v>
      </c>
      <c r="B619" s="624">
        <f>ATI!G295</f>
        <v>0</v>
      </c>
      <c r="C619" s="625" t="s">
        <v>1042</v>
      </c>
    </row>
    <row r="620" ht="15.75" customHeight="1">
      <c r="A620" s="624" t="s">
        <v>1061</v>
      </c>
      <c r="B620" s="624">
        <f>ATI!H295</f>
        <v>0</v>
      </c>
      <c r="C620" s="625" t="s">
        <v>1042</v>
      </c>
    </row>
    <row r="621" ht="15.75" customHeight="1">
      <c r="A621" s="624" t="s">
        <v>1062</v>
      </c>
      <c r="B621" s="624">
        <f>ATI!C296</f>
        <v>0</v>
      </c>
      <c r="C621" s="625" t="s">
        <v>1042</v>
      </c>
    </row>
    <row r="622" ht="15.75" customHeight="1">
      <c r="A622" s="624" t="s">
        <v>1063</v>
      </c>
      <c r="B622" s="624">
        <f>ATI!D296</f>
        <v>0</v>
      </c>
      <c r="C622" s="625" t="s">
        <v>1042</v>
      </c>
    </row>
    <row r="623" ht="15.75" customHeight="1">
      <c r="A623" s="624" t="s">
        <v>1064</v>
      </c>
      <c r="B623" s="624" t="str">
        <f>ATI!#REF!</f>
        <v>#ERROR!</v>
      </c>
      <c r="C623" s="625" t="s">
        <v>1042</v>
      </c>
    </row>
    <row r="624" ht="15.75" customHeight="1">
      <c r="A624" s="624" t="s">
        <v>1065</v>
      </c>
      <c r="B624" s="624" t="str">
        <f>ATI!#REF!</f>
        <v>#ERROR!</v>
      </c>
      <c r="C624" s="625" t="s">
        <v>1042</v>
      </c>
    </row>
    <row r="625" ht="15.75" customHeight="1">
      <c r="A625" s="624" t="s">
        <v>1066</v>
      </c>
      <c r="B625" s="624">
        <f>ATI!E296</f>
        <v>0</v>
      </c>
      <c r="C625" s="625" t="s">
        <v>1042</v>
      </c>
    </row>
    <row r="626" ht="15.75" customHeight="1">
      <c r="A626" s="624" t="s">
        <v>1067</v>
      </c>
      <c r="B626" s="624">
        <f>ATI!F296</f>
        <v>0</v>
      </c>
      <c r="C626" s="625" t="s">
        <v>1042</v>
      </c>
    </row>
    <row r="627" ht="15.75" customHeight="1">
      <c r="A627" s="624" t="s">
        <v>1068</v>
      </c>
      <c r="B627" s="624" t="str">
        <f>ATI!#REF!</f>
        <v>#ERROR!</v>
      </c>
      <c r="C627" s="625" t="s">
        <v>1042</v>
      </c>
    </row>
    <row r="628" ht="15.75" customHeight="1">
      <c r="A628" s="624" t="s">
        <v>1069</v>
      </c>
      <c r="B628" s="624" t="str">
        <f>ATI!#REF!</f>
        <v>#ERROR!</v>
      </c>
      <c r="C628" s="625" t="s">
        <v>1042</v>
      </c>
    </row>
    <row r="629" ht="15.75" customHeight="1">
      <c r="A629" s="624" t="s">
        <v>1070</v>
      </c>
      <c r="B629" s="624">
        <f>ATI!G296</f>
        <v>0</v>
      </c>
      <c r="C629" s="625" t="s">
        <v>1042</v>
      </c>
    </row>
    <row r="630" ht="15.75" customHeight="1">
      <c r="A630" s="624" t="s">
        <v>1071</v>
      </c>
      <c r="B630" s="624">
        <f>ATI!H296</f>
        <v>0</v>
      </c>
      <c r="C630" s="625" t="s">
        <v>1042</v>
      </c>
    </row>
    <row r="631" ht="15.75" customHeight="1">
      <c r="A631" s="624" t="s">
        <v>1072</v>
      </c>
      <c r="B631" s="624">
        <f>ATI!C297</f>
        <v>0</v>
      </c>
      <c r="C631" s="625" t="s">
        <v>1042</v>
      </c>
    </row>
    <row r="632" ht="15.75" customHeight="1">
      <c r="A632" s="624" t="s">
        <v>1073</v>
      </c>
      <c r="B632" s="624">
        <f>ATI!D297</f>
        <v>0</v>
      </c>
      <c r="C632" s="625" t="s">
        <v>1042</v>
      </c>
    </row>
    <row r="633" ht="15.75" customHeight="1">
      <c r="A633" s="624" t="s">
        <v>1074</v>
      </c>
      <c r="B633" s="624" t="str">
        <f>ATI!#REF!</f>
        <v>#ERROR!</v>
      </c>
      <c r="C633" s="625" t="s">
        <v>1042</v>
      </c>
    </row>
    <row r="634" ht="15.75" customHeight="1">
      <c r="A634" s="624" t="s">
        <v>1075</v>
      </c>
      <c r="B634" s="624" t="str">
        <f>ATI!#REF!</f>
        <v>#ERROR!</v>
      </c>
      <c r="C634" s="625" t="s">
        <v>1042</v>
      </c>
    </row>
    <row r="635" ht="15.75" customHeight="1">
      <c r="A635" s="624" t="s">
        <v>1076</v>
      </c>
      <c r="B635" s="624">
        <f>ATI!E297</f>
        <v>0</v>
      </c>
      <c r="C635" s="625" t="s">
        <v>1042</v>
      </c>
    </row>
    <row r="636" ht="15.75" customHeight="1">
      <c r="A636" s="624" t="s">
        <v>1077</v>
      </c>
      <c r="B636" s="624">
        <f>ATI!F297</f>
        <v>0</v>
      </c>
      <c r="C636" s="625" t="s">
        <v>1042</v>
      </c>
    </row>
    <row r="637" ht="15.75" customHeight="1">
      <c r="A637" s="624" t="s">
        <v>1078</v>
      </c>
      <c r="B637" s="624" t="str">
        <f>ATI!#REF!</f>
        <v>#ERROR!</v>
      </c>
      <c r="C637" s="625" t="s">
        <v>1042</v>
      </c>
    </row>
    <row r="638" ht="15.75" customHeight="1">
      <c r="A638" s="624" t="s">
        <v>1079</v>
      </c>
      <c r="B638" s="624" t="str">
        <f>ATI!#REF!</f>
        <v>#ERROR!</v>
      </c>
      <c r="C638" s="625" t="s">
        <v>1042</v>
      </c>
    </row>
    <row r="639" ht="15.75" customHeight="1">
      <c r="A639" s="624" t="s">
        <v>1080</v>
      </c>
      <c r="B639" s="624">
        <f>ATI!G297</f>
        <v>0</v>
      </c>
      <c r="C639" s="625" t="s">
        <v>1042</v>
      </c>
    </row>
    <row r="640" ht="15.75" customHeight="1">
      <c r="A640" s="624" t="s">
        <v>1081</v>
      </c>
      <c r="B640" s="624">
        <f>ATI!H297</f>
        <v>0</v>
      </c>
      <c r="C640" s="625" t="s">
        <v>1042</v>
      </c>
    </row>
    <row r="641" ht="15.75" customHeight="1">
      <c r="A641" s="624" t="s">
        <v>1082</v>
      </c>
      <c r="B641" s="624">
        <f>ATI!C298</f>
        <v>0</v>
      </c>
      <c r="C641" s="625" t="s">
        <v>1042</v>
      </c>
    </row>
    <row r="642" ht="15.75" customHeight="1">
      <c r="A642" s="624" t="s">
        <v>1083</v>
      </c>
      <c r="B642" s="624">
        <f>ATI!D298</f>
        <v>0</v>
      </c>
      <c r="C642" s="625" t="s">
        <v>1042</v>
      </c>
    </row>
    <row r="643" ht="15.75" customHeight="1">
      <c r="A643" s="624" t="s">
        <v>1084</v>
      </c>
      <c r="B643" s="624" t="str">
        <f>ATI!#REF!</f>
        <v>#ERROR!</v>
      </c>
      <c r="C643" s="625" t="s">
        <v>1042</v>
      </c>
    </row>
    <row r="644" ht="15.75" customHeight="1">
      <c r="A644" s="624" t="s">
        <v>1085</v>
      </c>
      <c r="B644" s="624" t="str">
        <f>ATI!#REF!</f>
        <v>#ERROR!</v>
      </c>
      <c r="C644" s="625" t="s">
        <v>1042</v>
      </c>
    </row>
    <row r="645" ht="15.75" customHeight="1">
      <c r="A645" s="624" t="s">
        <v>1086</v>
      </c>
      <c r="B645" s="624">
        <f>ATI!E298</f>
        <v>0</v>
      </c>
      <c r="C645" s="625" t="s">
        <v>1042</v>
      </c>
    </row>
    <row r="646" ht="15.75" customHeight="1">
      <c r="A646" s="624" t="s">
        <v>1087</v>
      </c>
      <c r="B646" s="624">
        <f>ATI!F298</f>
        <v>0</v>
      </c>
      <c r="C646" s="625" t="s">
        <v>1042</v>
      </c>
    </row>
    <row r="647" ht="15.75" customHeight="1">
      <c r="A647" s="624" t="s">
        <v>1088</v>
      </c>
      <c r="B647" s="624" t="str">
        <f>ATI!#REF!</f>
        <v>#ERROR!</v>
      </c>
      <c r="C647" s="625" t="s">
        <v>1042</v>
      </c>
    </row>
    <row r="648" ht="15.75" customHeight="1">
      <c r="A648" s="624" t="s">
        <v>1089</v>
      </c>
      <c r="B648" s="624" t="str">
        <f>ATI!#REF!</f>
        <v>#ERROR!</v>
      </c>
      <c r="C648" s="625" t="s">
        <v>1042</v>
      </c>
    </row>
    <row r="649" ht="15.75" customHeight="1">
      <c r="A649" s="624" t="s">
        <v>1090</v>
      </c>
      <c r="B649" s="624">
        <f>ATI!G298</f>
        <v>0</v>
      </c>
      <c r="C649" s="625" t="s">
        <v>1042</v>
      </c>
    </row>
    <row r="650" ht="15.75" customHeight="1">
      <c r="A650" s="624" t="s">
        <v>1091</v>
      </c>
      <c r="B650" s="624">
        <f>ATI!H298</f>
        <v>0</v>
      </c>
      <c r="C650" s="625" t="s">
        <v>1042</v>
      </c>
    </row>
    <row r="651" ht="15.75" customHeight="1">
      <c r="A651" s="624" t="s">
        <v>1092</v>
      </c>
      <c r="B651" s="624">
        <f>ATI!C299</f>
        <v>0</v>
      </c>
      <c r="C651" s="625" t="s">
        <v>1042</v>
      </c>
    </row>
    <row r="652" ht="15.75" customHeight="1">
      <c r="A652" s="624" t="s">
        <v>1093</v>
      </c>
      <c r="B652" s="624">
        <f>ATI!D299</f>
        <v>0</v>
      </c>
      <c r="C652" s="625" t="s">
        <v>1042</v>
      </c>
    </row>
    <row r="653" ht="15.75" customHeight="1">
      <c r="A653" s="624" t="s">
        <v>1094</v>
      </c>
      <c r="B653" s="624" t="str">
        <f>ATI!#REF!</f>
        <v>#ERROR!</v>
      </c>
      <c r="C653" s="625" t="s">
        <v>1042</v>
      </c>
    </row>
    <row r="654" ht="15.75" customHeight="1">
      <c r="A654" s="624" t="s">
        <v>1095</v>
      </c>
      <c r="B654" s="624" t="str">
        <f>ATI!#REF!</f>
        <v>#ERROR!</v>
      </c>
      <c r="C654" s="625" t="s">
        <v>1042</v>
      </c>
    </row>
    <row r="655" ht="15.75" customHeight="1">
      <c r="A655" s="624" t="s">
        <v>1096</v>
      </c>
      <c r="B655" s="624">
        <f>ATI!E299</f>
        <v>0</v>
      </c>
      <c r="C655" s="625" t="s">
        <v>1042</v>
      </c>
    </row>
    <row r="656" ht="15.75" customHeight="1">
      <c r="A656" s="624" t="s">
        <v>1097</v>
      </c>
      <c r="B656" s="624">
        <f>ATI!F299</f>
        <v>0</v>
      </c>
      <c r="C656" s="625" t="s">
        <v>1042</v>
      </c>
    </row>
    <row r="657" ht="15.75" customHeight="1">
      <c r="A657" s="624" t="s">
        <v>1098</v>
      </c>
      <c r="B657" s="624" t="str">
        <f>ATI!#REF!</f>
        <v>#ERROR!</v>
      </c>
      <c r="C657" s="625" t="s">
        <v>1042</v>
      </c>
    </row>
    <row r="658" ht="15.75" customHeight="1">
      <c r="A658" s="624" t="s">
        <v>1099</v>
      </c>
      <c r="B658" s="624" t="str">
        <f>ATI!#REF!</f>
        <v>#ERROR!</v>
      </c>
      <c r="C658" s="625" t="s">
        <v>1042</v>
      </c>
    </row>
    <row r="659" ht="15.75" customHeight="1">
      <c r="A659" s="624" t="s">
        <v>1100</v>
      </c>
      <c r="B659" s="624">
        <f>ATI!G299</f>
        <v>0</v>
      </c>
      <c r="C659" s="625" t="s">
        <v>1042</v>
      </c>
    </row>
    <row r="660" ht="15.75" customHeight="1">
      <c r="A660" s="624" t="s">
        <v>1101</v>
      </c>
      <c r="B660" s="624">
        <f>ATI!H299</f>
        <v>0</v>
      </c>
      <c r="C660" s="625" t="s">
        <v>1042</v>
      </c>
    </row>
    <row r="661" ht="15.75" customHeight="1">
      <c r="A661" s="624" t="s">
        <v>1102</v>
      </c>
      <c r="B661" s="624">
        <f>ATI!C300</f>
        <v>0</v>
      </c>
      <c r="C661" s="625" t="s">
        <v>1042</v>
      </c>
    </row>
    <row r="662" ht="15.75" customHeight="1">
      <c r="A662" s="624" t="s">
        <v>1103</v>
      </c>
      <c r="B662" s="624">
        <f>ATI!D300</f>
        <v>0</v>
      </c>
      <c r="C662" s="625" t="s">
        <v>1042</v>
      </c>
    </row>
    <row r="663" ht="15.75" customHeight="1">
      <c r="A663" s="624" t="s">
        <v>1104</v>
      </c>
      <c r="B663" s="624" t="str">
        <f>ATI!#REF!</f>
        <v>#ERROR!</v>
      </c>
      <c r="C663" s="625" t="s">
        <v>1042</v>
      </c>
    </row>
    <row r="664" ht="15.75" customHeight="1">
      <c r="A664" s="624" t="s">
        <v>1105</v>
      </c>
      <c r="B664" s="624" t="str">
        <f>ATI!#REF!</f>
        <v>#ERROR!</v>
      </c>
      <c r="C664" s="625" t="s">
        <v>1042</v>
      </c>
    </row>
    <row r="665" ht="15.75" customHeight="1">
      <c r="A665" s="624" t="s">
        <v>1106</v>
      </c>
      <c r="B665" s="624">
        <f>ATI!E300</f>
        <v>0</v>
      </c>
      <c r="C665" s="625" t="s">
        <v>1042</v>
      </c>
    </row>
    <row r="666" ht="15.75" customHeight="1">
      <c r="A666" s="624" t="s">
        <v>1107</v>
      </c>
      <c r="B666" s="624">
        <f>ATI!F300</f>
        <v>0</v>
      </c>
      <c r="C666" s="625" t="s">
        <v>1042</v>
      </c>
    </row>
    <row r="667" ht="15.75" customHeight="1">
      <c r="A667" s="624" t="s">
        <v>1108</v>
      </c>
      <c r="B667" s="624" t="str">
        <f>ATI!#REF!</f>
        <v>#ERROR!</v>
      </c>
      <c r="C667" s="625" t="s">
        <v>1042</v>
      </c>
    </row>
    <row r="668" ht="15.75" customHeight="1">
      <c r="A668" s="624" t="s">
        <v>1109</v>
      </c>
      <c r="B668" s="624" t="str">
        <f>ATI!#REF!</f>
        <v>#ERROR!</v>
      </c>
      <c r="C668" s="625" t="s">
        <v>1042</v>
      </c>
    </row>
    <row r="669" ht="15.75" customHeight="1">
      <c r="A669" s="624" t="s">
        <v>1110</v>
      </c>
      <c r="B669" s="624">
        <f>ATI!G300</f>
        <v>0</v>
      </c>
      <c r="C669" s="625" t="s">
        <v>1042</v>
      </c>
    </row>
    <row r="670" ht="15.75" customHeight="1">
      <c r="A670" s="624" t="s">
        <v>1111</v>
      </c>
      <c r="B670" s="624">
        <f>ATI!H300</f>
        <v>0</v>
      </c>
      <c r="C670" s="625" t="s">
        <v>1042</v>
      </c>
    </row>
    <row r="671" ht="15.75" customHeight="1">
      <c r="A671" s="624" t="s">
        <v>1112</v>
      </c>
      <c r="B671" s="624">
        <f>ATI!C307</f>
        <v>0</v>
      </c>
      <c r="C671" s="625" t="s">
        <v>1113</v>
      </c>
    </row>
    <row r="672" ht="15.75" customHeight="1">
      <c r="A672" s="624" t="s">
        <v>1114</v>
      </c>
      <c r="B672" s="624">
        <f>ATI!D307</f>
        <v>0</v>
      </c>
      <c r="C672" s="625" t="s">
        <v>1113</v>
      </c>
    </row>
    <row r="673" ht="15.75" customHeight="1">
      <c r="A673" s="624" t="s">
        <v>1115</v>
      </c>
      <c r="B673" s="624" t="str">
        <f>ATI!#REF!</f>
        <v>#ERROR!</v>
      </c>
      <c r="C673" s="625" t="s">
        <v>1113</v>
      </c>
    </row>
    <row r="674" ht="15.75" customHeight="1">
      <c r="A674" s="624" t="s">
        <v>1116</v>
      </c>
      <c r="B674" s="624" t="str">
        <f>ATI!#REF!</f>
        <v>#ERROR!</v>
      </c>
      <c r="C674" s="625" t="s">
        <v>1113</v>
      </c>
    </row>
    <row r="675" ht="15.75" customHeight="1">
      <c r="A675" s="624" t="s">
        <v>1117</v>
      </c>
      <c r="B675" s="624">
        <f>ATI!E307</f>
        <v>0</v>
      </c>
      <c r="C675" s="625" t="s">
        <v>1113</v>
      </c>
    </row>
    <row r="676" ht="15.75" customHeight="1">
      <c r="A676" s="624" t="s">
        <v>1118</v>
      </c>
      <c r="B676" s="624">
        <f>ATI!F307</f>
        <v>0</v>
      </c>
      <c r="C676" s="625" t="s">
        <v>1113</v>
      </c>
    </row>
    <row r="677" ht="15.75" customHeight="1">
      <c r="A677" s="624" t="s">
        <v>1119</v>
      </c>
      <c r="B677" s="624" t="str">
        <f>ATI!#REF!</f>
        <v>#ERROR!</v>
      </c>
      <c r="C677" s="625" t="s">
        <v>1113</v>
      </c>
    </row>
    <row r="678" ht="15.75" customHeight="1">
      <c r="A678" s="624" t="s">
        <v>1120</v>
      </c>
      <c r="B678" s="624" t="str">
        <f>ATI!#REF!</f>
        <v>#ERROR!</v>
      </c>
      <c r="C678" s="625" t="s">
        <v>1113</v>
      </c>
    </row>
    <row r="679" ht="15.75" customHeight="1">
      <c r="A679" s="624" t="s">
        <v>1121</v>
      </c>
      <c r="B679" s="624">
        <f>ATI!G307</f>
        <v>0</v>
      </c>
      <c r="C679" s="625" t="s">
        <v>1113</v>
      </c>
    </row>
    <row r="680" ht="15.75" customHeight="1">
      <c r="A680" s="624" t="s">
        <v>1122</v>
      </c>
      <c r="B680" s="624">
        <f>ATI!H307</f>
        <v>0</v>
      </c>
      <c r="C680" s="625" t="s">
        <v>1113</v>
      </c>
    </row>
    <row r="681" ht="15.75" customHeight="1">
      <c r="A681" s="624" t="s">
        <v>1123</v>
      </c>
      <c r="B681" s="624">
        <f>ATI!C308</f>
        <v>0</v>
      </c>
      <c r="C681" s="625" t="s">
        <v>1113</v>
      </c>
    </row>
    <row r="682" ht="15.75" customHeight="1">
      <c r="A682" s="624" t="s">
        <v>1124</v>
      </c>
      <c r="B682" s="624">
        <f>ATI!D308</f>
        <v>0</v>
      </c>
      <c r="C682" s="625" t="s">
        <v>1113</v>
      </c>
    </row>
    <row r="683" ht="15.75" customHeight="1">
      <c r="A683" s="624" t="s">
        <v>1125</v>
      </c>
      <c r="B683" s="624" t="str">
        <f>ATI!#REF!</f>
        <v>#ERROR!</v>
      </c>
      <c r="C683" s="625" t="s">
        <v>1113</v>
      </c>
    </row>
    <row r="684" ht="15.75" customHeight="1">
      <c r="A684" s="624" t="s">
        <v>1126</v>
      </c>
      <c r="B684" s="624" t="str">
        <f>ATI!#REF!</f>
        <v>#ERROR!</v>
      </c>
      <c r="C684" s="625" t="s">
        <v>1113</v>
      </c>
    </row>
    <row r="685" ht="15.75" customHeight="1">
      <c r="A685" s="624" t="s">
        <v>1127</v>
      </c>
      <c r="B685" s="624">
        <f>ATI!E308</f>
        <v>0</v>
      </c>
      <c r="C685" s="625" t="s">
        <v>1113</v>
      </c>
    </row>
    <row r="686" ht="15.75" customHeight="1">
      <c r="A686" s="624" t="s">
        <v>1128</v>
      </c>
      <c r="B686" s="624">
        <f>ATI!F308</f>
        <v>0</v>
      </c>
      <c r="C686" s="625" t="s">
        <v>1113</v>
      </c>
    </row>
    <row r="687" ht="15.75" customHeight="1">
      <c r="A687" s="624" t="s">
        <v>1129</v>
      </c>
      <c r="B687" s="624" t="str">
        <f>ATI!#REF!</f>
        <v>#ERROR!</v>
      </c>
      <c r="C687" s="625" t="s">
        <v>1113</v>
      </c>
    </row>
    <row r="688" ht="15.75" customHeight="1">
      <c r="A688" s="624" t="s">
        <v>1130</v>
      </c>
      <c r="B688" s="624" t="str">
        <f>ATI!#REF!</f>
        <v>#ERROR!</v>
      </c>
      <c r="C688" s="625" t="s">
        <v>1113</v>
      </c>
    </row>
    <row r="689" ht="15.75" customHeight="1">
      <c r="A689" s="624" t="s">
        <v>1131</v>
      </c>
      <c r="B689" s="624">
        <f>ATI!G308</f>
        <v>0</v>
      </c>
      <c r="C689" s="625" t="s">
        <v>1113</v>
      </c>
    </row>
    <row r="690" ht="15.75" customHeight="1">
      <c r="A690" s="624" t="s">
        <v>1132</v>
      </c>
      <c r="B690" s="624">
        <f>ATI!H308</f>
        <v>0</v>
      </c>
      <c r="C690" s="625" t="s">
        <v>1113</v>
      </c>
    </row>
    <row r="691" ht="15.75" customHeight="1">
      <c r="A691" s="624" t="s">
        <v>1133</v>
      </c>
      <c r="B691" s="624">
        <f>ATI!C309</f>
        <v>0</v>
      </c>
      <c r="C691" s="625" t="s">
        <v>1113</v>
      </c>
    </row>
    <row r="692" ht="15.75" customHeight="1">
      <c r="A692" s="624" t="s">
        <v>1134</v>
      </c>
      <c r="B692" s="624">
        <f>ATI!D309</f>
        <v>0</v>
      </c>
      <c r="C692" s="625" t="s">
        <v>1113</v>
      </c>
    </row>
    <row r="693" ht="15.75" customHeight="1">
      <c r="A693" s="624" t="s">
        <v>1135</v>
      </c>
      <c r="B693" s="624" t="str">
        <f>ATI!#REF!</f>
        <v>#ERROR!</v>
      </c>
      <c r="C693" s="625" t="s">
        <v>1113</v>
      </c>
    </row>
    <row r="694" ht="15.75" customHeight="1">
      <c r="A694" s="624" t="s">
        <v>1136</v>
      </c>
      <c r="B694" s="624" t="str">
        <f>ATI!#REF!</f>
        <v>#ERROR!</v>
      </c>
      <c r="C694" s="625" t="s">
        <v>1113</v>
      </c>
    </row>
    <row r="695" ht="15.75" customHeight="1">
      <c r="A695" s="624" t="s">
        <v>1137</v>
      </c>
      <c r="B695" s="624">
        <f>ATI!E309</f>
        <v>0</v>
      </c>
      <c r="C695" s="625" t="s">
        <v>1113</v>
      </c>
    </row>
    <row r="696" ht="15.75" customHeight="1">
      <c r="A696" s="624" t="s">
        <v>1138</v>
      </c>
      <c r="B696" s="624">
        <f>ATI!F309</f>
        <v>0</v>
      </c>
      <c r="C696" s="625" t="s">
        <v>1113</v>
      </c>
    </row>
    <row r="697" ht="15.75" customHeight="1">
      <c r="A697" s="624" t="s">
        <v>1139</v>
      </c>
      <c r="B697" s="624" t="str">
        <f>ATI!#REF!</f>
        <v>#ERROR!</v>
      </c>
      <c r="C697" s="625" t="s">
        <v>1113</v>
      </c>
    </row>
    <row r="698" ht="15.75" customHeight="1">
      <c r="A698" s="624" t="s">
        <v>1140</v>
      </c>
      <c r="B698" s="624" t="str">
        <f>ATI!#REF!</f>
        <v>#ERROR!</v>
      </c>
      <c r="C698" s="625" t="s">
        <v>1113</v>
      </c>
    </row>
    <row r="699" ht="15.75" customHeight="1">
      <c r="A699" s="624" t="s">
        <v>1141</v>
      </c>
      <c r="B699" s="624">
        <f>ATI!G309</f>
        <v>0</v>
      </c>
      <c r="C699" s="625" t="s">
        <v>1113</v>
      </c>
    </row>
    <row r="700" ht="15.75" customHeight="1">
      <c r="A700" s="624" t="s">
        <v>1142</v>
      </c>
      <c r="B700" s="624">
        <f>ATI!H309</f>
        <v>0</v>
      </c>
      <c r="C700" s="625" t="s">
        <v>1113</v>
      </c>
    </row>
    <row r="701" ht="15.75" customHeight="1">
      <c r="A701" s="624" t="s">
        <v>1143</v>
      </c>
      <c r="B701" s="624">
        <f>ATI!C310</f>
        <v>0</v>
      </c>
      <c r="C701" s="625" t="s">
        <v>1113</v>
      </c>
    </row>
    <row r="702" ht="15.75" customHeight="1">
      <c r="A702" s="624" t="s">
        <v>1144</v>
      </c>
      <c r="B702" s="624">
        <f>ATI!D310</f>
        <v>0</v>
      </c>
      <c r="C702" s="625" t="s">
        <v>1113</v>
      </c>
    </row>
    <row r="703" ht="15.75" customHeight="1">
      <c r="A703" s="624" t="s">
        <v>1145</v>
      </c>
      <c r="B703" s="624" t="str">
        <f>ATI!#REF!</f>
        <v>#ERROR!</v>
      </c>
      <c r="C703" s="625" t="s">
        <v>1113</v>
      </c>
    </row>
    <row r="704" ht="15.75" customHeight="1">
      <c r="A704" s="624" t="s">
        <v>1146</v>
      </c>
      <c r="B704" s="624" t="str">
        <f>ATI!#REF!</f>
        <v>#ERROR!</v>
      </c>
      <c r="C704" s="625" t="s">
        <v>1113</v>
      </c>
    </row>
    <row r="705" ht="15.75" customHeight="1">
      <c r="A705" s="624" t="s">
        <v>1147</v>
      </c>
      <c r="B705" s="624">
        <f>ATI!E310</f>
        <v>0</v>
      </c>
      <c r="C705" s="625" t="s">
        <v>1113</v>
      </c>
    </row>
    <row r="706" ht="15.75" customHeight="1">
      <c r="A706" s="624" t="s">
        <v>1148</v>
      </c>
      <c r="B706" s="624">
        <f>ATI!F310</f>
        <v>0</v>
      </c>
      <c r="C706" s="625" t="s">
        <v>1113</v>
      </c>
    </row>
    <row r="707" ht="15.75" customHeight="1">
      <c r="A707" s="624" t="s">
        <v>1149</v>
      </c>
      <c r="B707" s="624" t="str">
        <f>ATI!#REF!</f>
        <v>#ERROR!</v>
      </c>
      <c r="C707" s="625" t="s">
        <v>1113</v>
      </c>
    </row>
    <row r="708" ht="15.75" customHeight="1">
      <c r="A708" s="624" t="s">
        <v>1150</v>
      </c>
      <c r="B708" s="624" t="str">
        <f>ATI!#REF!</f>
        <v>#ERROR!</v>
      </c>
      <c r="C708" s="625" t="s">
        <v>1113</v>
      </c>
    </row>
    <row r="709" ht="15.75" customHeight="1">
      <c r="A709" s="624" t="s">
        <v>1151</v>
      </c>
      <c r="B709" s="624">
        <f>ATI!G310</f>
        <v>0</v>
      </c>
      <c r="C709" s="625" t="s">
        <v>1113</v>
      </c>
    </row>
    <row r="710" ht="15.75" customHeight="1">
      <c r="A710" s="624" t="s">
        <v>1152</v>
      </c>
      <c r="B710" s="624">
        <f>ATI!H310</f>
        <v>0</v>
      </c>
      <c r="C710" s="625" t="s">
        <v>1113</v>
      </c>
    </row>
    <row r="711" ht="15.75" customHeight="1">
      <c r="A711" s="624" t="s">
        <v>1153</v>
      </c>
      <c r="B711" s="624">
        <f>ATI!C311</f>
        <v>0</v>
      </c>
      <c r="C711" s="625" t="s">
        <v>1113</v>
      </c>
    </row>
    <row r="712" ht="15.75" customHeight="1">
      <c r="A712" s="624" t="s">
        <v>1154</v>
      </c>
      <c r="B712" s="624">
        <f>ATI!D311</f>
        <v>0</v>
      </c>
      <c r="C712" s="625" t="s">
        <v>1113</v>
      </c>
    </row>
    <row r="713" ht="15.75" customHeight="1">
      <c r="A713" s="624" t="s">
        <v>1155</v>
      </c>
      <c r="B713" s="624" t="str">
        <f>ATI!#REF!</f>
        <v>#ERROR!</v>
      </c>
      <c r="C713" s="625" t="s">
        <v>1113</v>
      </c>
    </row>
    <row r="714" ht="15.75" customHeight="1">
      <c r="A714" s="624" t="s">
        <v>1156</v>
      </c>
      <c r="B714" s="624" t="str">
        <f>ATI!#REF!</f>
        <v>#ERROR!</v>
      </c>
      <c r="C714" s="625" t="s">
        <v>1113</v>
      </c>
    </row>
    <row r="715" ht="15.75" customHeight="1">
      <c r="A715" s="624" t="s">
        <v>1157</v>
      </c>
      <c r="B715" s="624">
        <f>ATI!E311</f>
        <v>0</v>
      </c>
      <c r="C715" s="625" t="s">
        <v>1113</v>
      </c>
    </row>
    <row r="716" ht="15.75" customHeight="1">
      <c r="A716" s="624" t="s">
        <v>1158</v>
      </c>
      <c r="B716" s="624">
        <f>ATI!F311</f>
        <v>0</v>
      </c>
      <c r="C716" s="625" t="s">
        <v>1113</v>
      </c>
    </row>
    <row r="717" ht="15.75" customHeight="1">
      <c r="A717" s="624" t="s">
        <v>1159</v>
      </c>
      <c r="B717" s="624" t="str">
        <f>ATI!#REF!</f>
        <v>#ERROR!</v>
      </c>
      <c r="C717" s="625" t="s">
        <v>1113</v>
      </c>
    </row>
    <row r="718" ht="15.75" customHeight="1">
      <c r="A718" s="624" t="s">
        <v>1160</v>
      </c>
      <c r="B718" s="624" t="str">
        <f>ATI!#REF!</f>
        <v>#ERROR!</v>
      </c>
      <c r="C718" s="625" t="s">
        <v>1113</v>
      </c>
    </row>
    <row r="719" ht="15.75" customHeight="1">
      <c r="A719" s="624" t="s">
        <v>1161</v>
      </c>
      <c r="B719" s="624">
        <f>ATI!G311</f>
        <v>0</v>
      </c>
      <c r="C719" s="625" t="s">
        <v>1113</v>
      </c>
    </row>
    <row r="720" ht="15.75" customHeight="1">
      <c r="A720" s="624" t="s">
        <v>1162</v>
      </c>
      <c r="B720" s="624">
        <f>ATI!H311</f>
        <v>0</v>
      </c>
      <c r="C720" s="625" t="s">
        <v>1113</v>
      </c>
    </row>
    <row r="721" ht="15.75" customHeight="1">
      <c r="A721" s="624" t="s">
        <v>1163</v>
      </c>
      <c r="B721" s="624">
        <f>ATI!C312</f>
        <v>0</v>
      </c>
      <c r="C721" s="625" t="s">
        <v>1113</v>
      </c>
    </row>
    <row r="722" ht="15.75" customHeight="1">
      <c r="A722" s="624" t="s">
        <v>1164</v>
      </c>
      <c r="B722" s="624">
        <f>ATI!D312</f>
        <v>0</v>
      </c>
      <c r="C722" s="625" t="s">
        <v>1113</v>
      </c>
    </row>
    <row r="723" ht="15.75" customHeight="1">
      <c r="A723" s="624" t="s">
        <v>1165</v>
      </c>
      <c r="B723" s="624" t="str">
        <f>ATI!#REF!</f>
        <v>#ERROR!</v>
      </c>
      <c r="C723" s="625" t="s">
        <v>1113</v>
      </c>
    </row>
    <row r="724" ht="15.75" customHeight="1">
      <c r="A724" s="624" t="s">
        <v>1166</v>
      </c>
      <c r="B724" s="624" t="str">
        <f>ATI!#REF!</f>
        <v>#ERROR!</v>
      </c>
      <c r="C724" s="625" t="s">
        <v>1113</v>
      </c>
    </row>
    <row r="725" ht="15.75" customHeight="1">
      <c r="A725" s="624" t="s">
        <v>1167</v>
      </c>
      <c r="B725" s="624">
        <f>ATI!E312</f>
        <v>0</v>
      </c>
      <c r="C725" s="625" t="s">
        <v>1113</v>
      </c>
    </row>
    <row r="726" ht="15.75" customHeight="1">
      <c r="A726" s="624" t="s">
        <v>1168</v>
      </c>
      <c r="B726" s="624">
        <f>ATI!F312</f>
        <v>0</v>
      </c>
      <c r="C726" s="625" t="s">
        <v>1113</v>
      </c>
    </row>
    <row r="727" ht="15.75" customHeight="1">
      <c r="A727" s="624" t="s">
        <v>1169</v>
      </c>
      <c r="B727" s="624" t="str">
        <f>ATI!#REF!</f>
        <v>#ERROR!</v>
      </c>
      <c r="C727" s="625" t="s">
        <v>1113</v>
      </c>
    </row>
    <row r="728" ht="15.75" customHeight="1">
      <c r="A728" s="624" t="s">
        <v>1170</v>
      </c>
      <c r="B728" s="624" t="str">
        <f>ATI!#REF!</f>
        <v>#ERROR!</v>
      </c>
      <c r="C728" s="625" t="s">
        <v>1113</v>
      </c>
    </row>
    <row r="729" ht="15.75" customHeight="1">
      <c r="A729" s="624" t="s">
        <v>1171</v>
      </c>
      <c r="B729" s="624">
        <f>ATI!G312</f>
        <v>0</v>
      </c>
      <c r="C729" s="625" t="s">
        <v>1113</v>
      </c>
    </row>
    <row r="730" ht="15.75" customHeight="1">
      <c r="A730" s="624" t="s">
        <v>1172</v>
      </c>
      <c r="B730" s="624">
        <f>ATI!H312</f>
        <v>0</v>
      </c>
      <c r="C730" s="625" t="s">
        <v>1113</v>
      </c>
    </row>
    <row r="731" ht="15.75" customHeight="1">
      <c r="A731" s="624" t="s">
        <v>1173</v>
      </c>
      <c r="B731" s="624">
        <f>ATI!C313</f>
        <v>0</v>
      </c>
      <c r="C731" s="625" t="s">
        <v>1113</v>
      </c>
    </row>
    <row r="732" ht="15.75" customHeight="1">
      <c r="A732" s="624" t="s">
        <v>1174</v>
      </c>
      <c r="B732" s="624">
        <f>ATI!D313</f>
        <v>0</v>
      </c>
      <c r="C732" s="625" t="s">
        <v>1113</v>
      </c>
    </row>
    <row r="733" ht="15.75" customHeight="1">
      <c r="A733" s="624" t="s">
        <v>1175</v>
      </c>
      <c r="B733" s="624" t="str">
        <f>ATI!#REF!</f>
        <v>#ERROR!</v>
      </c>
      <c r="C733" s="625" t="s">
        <v>1113</v>
      </c>
    </row>
    <row r="734" ht="15.75" customHeight="1">
      <c r="A734" s="624" t="s">
        <v>1176</v>
      </c>
      <c r="B734" s="624" t="str">
        <f>ATI!#REF!</f>
        <v>#ERROR!</v>
      </c>
      <c r="C734" s="625" t="s">
        <v>1113</v>
      </c>
    </row>
    <row r="735" ht="15.75" customHeight="1">
      <c r="A735" s="624" t="s">
        <v>1177</v>
      </c>
      <c r="B735" s="624">
        <f>ATI!E313</f>
        <v>0</v>
      </c>
      <c r="C735" s="625" t="s">
        <v>1113</v>
      </c>
    </row>
    <row r="736" ht="15.75" customHeight="1">
      <c r="A736" s="624" t="s">
        <v>1178</v>
      </c>
      <c r="B736" s="624">
        <f>ATI!F313</f>
        <v>0</v>
      </c>
      <c r="C736" s="625" t="s">
        <v>1113</v>
      </c>
    </row>
    <row r="737" ht="15.75" customHeight="1">
      <c r="A737" s="624" t="s">
        <v>1179</v>
      </c>
      <c r="B737" s="624" t="str">
        <f>ATI!#REF!</f>
        <v>#ERROR!</v>
      </c>
      <c r="C737" s="625" t="s">
        <v>1113</v>
      </c>
    </row>
    <row r="738" ht="15.75" customHeight="1">
      <c r="A738" s="624" t="s">
        <v>1180</v>
      </c>
      <c r="B738" s="624" t="str">
        <f>ATI!#REF!</f>
        <v>#ERROR!</v>
      </c>
      <c r="C738" s="625" t="s">
        <v>1113</v>
      </c>
    </row>
    <row r="739" ht="15.75" customHeight="1">
      <c r="A739" s="624" t="s">
        <v>1181</v>
      </c>
      <c r="B739" s="624">
        <f>ATI!G313</f>
        <v>0</v>
      </c>
      <c r="C739" s="625" t="s">
        <v>1113</v>
      </c>
    </row>
    <row r="740" ht="15.75" customHeight="1">
      <c r="A740" s="624" t="s">
        <v>1182</v>
      </c>
      <c r="B740" s="624">
        <f>ATI!H313</f>
        <v>0</v>
      </c>
      <c r="C740" s="625" t="s">
        <v>1113</v>
      </c>
    </row>
    <row r="741" ht="15.75" customHeight="1">
      <c r="A741" s="624" t="s">
        <v>1183</v>
      </c>
      <c r="B741" s="624">
        <f>ATI!A321</f>
        <v>0</v>
      </c>
      <c r="C741" s="625" t="s">
        <v>1184</v>
      </c>
    </row>
    <row r="742" ht="15.75" customHeight="1">
      <c r="A742" s="624" t="s">
        <v>1185</v>
      </c>
      <c r="B742" s="624">
        <f>ATI!C321</f>
        <v>0</v>
      </c>
      <c r="C742" s="625" t="s">
        <v>1184</v>
      </c>
    </row>
    <row r="743" ht="15.75" customHeight="1">
      <c r="A743" s="624" t="s">
        <v>1186</v>
      </c>
      <c r="B743" s="624">
        <f>ATI!E321</f>
        <v>0</v>
      </c>
      <c r="C743" s="625" t="s">
        <v>1184</v>
      </c>
    </row>
    <row r="744" ht="15.75" customHeight="1">
      <c r="A744" s="624" t="s">
        <v>1187</v>
      </c>
      <c r="B744" s="624">
        <f>ATI!A327</f>
        <v>0</v>
      </c>
      <c r="C744" s="625" t="s">
        <v>1188</v>
      </c>
    </row>
    <row r="745" ht="15.75" customHeight="1">
      <c r="A745" s="624" t="s">
        <v>1189</v>
      </c>
      <c r="B745" s="624">
        <f>ATI!C327</f>
        <v>0</v>
      </c>
      <c r="C745" s="625" t="s">
        <v>1188</v>
      </c>
    </row>
    <row r="746" ht="15.75" customHeight="1">
      <c r="A746" s="624" t="s">
        <v>1190</v>
      </c>
      <c r="B746" s="624">
        <f>ATI!E327</f>
        <v>0</v>
      </c>
      <c r="C746" s="625" t="s">
        <v>1188</v>
      </c>
    </row>
    <row r="747" ht="15.75" customHeight="1">
      <c r="A747" s="626" t="s">
        <v>1191</v>
      </c>
      <c r="B747" s="626">
        <f>ATI!G327</f>
        <v>0</v>
      </c>
      <c r="C747" s="627" t="s">
        <v>1188</v>
      </c>
    </row>
    <row r="748" ht="15.75" customHeight="1">
      <c r="A748" s="626" t="s">
        <v>1192</v>
      </c>
      <c r="B748" s="626">
        <f>ATI!I327</f>
        <v>0</v>
      </c>
      <c r="C748" s="627" t="s">
        <v>1188</v>
      </c>
    </row>
    <row r="749" ht="15.75" customHeight="1">
      <c r="A749" s="626" t="s">
        <v>1193</v>
      </c>
      <c r="B749" s="626">
        <f>ATI!K327</f>
        <v>0</v>
      </c>
      <c r="C749" s="627" t="s">
        <v>1188</v>
      </c>
    </row>
    <row r="750" ht="15.75" customHeight="1">
      <c r="A750" s="624" t="s">
        <v>1194</v>
      </c>
      <c r="B750" s="624">
        <f>ATI!A335</f>
        <v>0</v>
      </c>
      <c r="C750" s="625" t="s">
        <v>1195</v>
      </c>
    </row>
    <row r="751" ht="15.75" customHeight="1">
      <c r="A751" s="624" t="s">
        <v>1196</v>
      </c>
      <c r="B751" s="624">
        <f>ATI!C335</f>
        <v>0</v>
      </c>
      <c r="C751" s="625" t="s">
        <v>1195</v>
      </c>
    </row>
    <row r="752" ht="15.75" customHeight="1">
      <c r="A752" s="624" t="s">
        <v>1197</v>
      </c>
      <c r="B752" s="624">
        <f>ATI!E335</f>
        <v>0</v>
      </c>
      <c r="C752" s="625" t="s">
        <v>1195</v>
      </c>
    </row>
    <row r="753" ht="15.75" customHeight="1">
      <c r="A753" s="624" t="s">
        <v>1198</v>
      </c>
      <c r="B753" s="624">
        <f>ATI!G335</f>
        <v>0</v>
      </c>
      <c r="C753" s="625" t="s">
        <v>1195</v>
      </c>
    </row>
    <row r="754" ht="15.75" customHeight="1">
      <c r="A754" s="626" t="s">
        <v>1199</v>
      </c>
      <c r="B754" s="626">
        <f>ATI!A340</f>
        <v>0</v>
      </c>
      <c r="C754" s="627" t="s">
        <v>1200</v>
      </c>
    </row>
    <row r="755" ht="15.75" customHeight="1">
      <c r="A755" s="624" t="s">
        <v>1201</v>
      </c>
      <c r="B755" s="633">
        <f>ATI!H347</f>
        <v>0</v>
      </c>
      <c r="C755" s="625" t="s">
        <v>1202</v>
      </c>
    </row>
    <row r="756" ht="15.75" customHeight="1">
      <c r="A756" s="624" t="s">
        <v>1203</v>
      </c>
      <c r="B756" s="633">
        <f>ATI!H348</f>
        <v>0</v>
      </c>
      <c r="C756" s="625" t="s">
        <v>1202</v>
      </c>
    </row>
    <row r="757" ht="15.75" customHeight="1">
      <c r="A757" s="624" t="s">
        <v>1204</v>
      </c>
      <c r="B757" s="633">
        <f>ATI!H349</f>
        <v>0</v>
      </c>
      <c r="C757" s="625" t="s">
        <v>1202</v>
      </c>
    </row>
    <row r="758" ht="15.75" customHeight="1">
      <c r="A758" s="624" t="s">
        <v>1205</v>
      </c>
      <c r="B758" s="633">
        <f>ATI!F350</f>
        <v>0</v>
      </c>
      <c r="C758" s="625" t="s">
        <v>1202</v>
      </c>
    </row>
    <row r="759" ht="15.75" customHeight="1">
      <c r="A759" s="624" t="s">
        <v>1206</v>
      </c>
      <c r="B759" s="633">
        <f>ATI!F351</f>
        <v>0</v>
      </c>
      <c r="C759" s="625" t="s">
        <v>1202</v>
      </c>
    </row>
    <row r="760" ht="15.75" customHeight="1">
      <c r="A760" s="626" t="s">
        <v>1207</v>
      </c>
      <c r="B760" s="634">
        <f>ATI!F357</f>
        <v>0</v>
      </c>
      <c r="C760" s="627" t="s">
        <v>1208</v>
      </c>
    </row>
    <row r="761" ht="15.75" customHeight="1">
      <c r="A761" s="626" t="s">
        <v>1209</v>
      </c>
      <c r="B761" s="634">
        <f>ATI!F358</f>
        <v>0</v>
      </c>
      <c r="C761" s="627" t="s">
        <v>1208</v>
      </c>
    </row>
    <row r="762" ht="15.75" customHeight="1">
      <c r="A762" s="626" t="s">
        <v>1210</v>
      </c>
      <c r="B762" s="634">
        <f>ATI!F359</f>
        <v>0</v>
      </c>
      <c r="C762" s="627" t="s">
        <v>1208</v>
      </c>
    </row>
    <row r="763" ht="15.75" customHeight="1">
      <c r="A763" s="626" t="s">
        <v>1211</v>
      </c>
      <c r="B763" s="634">
        <f>ATI!F360</f>
        <v>0</v>
      </c>
      <c r="C763" s="627" t="s">
        <v>1208</v>
      </c>
    </row>
    <row r="764" ht="15.75" customHeight="1">
      <c r="A764" s="626" t="s">
        <v>1212</v>
      </c>
      <c r="B764" s="634">
        <f>ATI!F361</f>
        <v>0</v>
      </c>
      <c r="C764" s="627" t="s">
        <v>1208</v>
      </c>
    </row>
    <row r="765" ht="15.75" customHeight="1">
      <c r="C765" s="635"/>
    </row>
    <row r="766" ht="15.75" customHeight="1">
      <c r="C766" s="635"/>
    </row>
    <row r="767" ht="15.75" customHeight="1">
      <c r="C767" s="635"/>
    </row>
    <row r="768" ht="15.75" customHeight="1">
      <c r="C768" s="635"/>
    </row>
    <row r="769" ht="15.75" customHeight="1">
      <c r="C769" s="635"/>
    </row>
    <row r="770" ht="15.75" customHeight="1">
      <c r="C770" s="635"/>
    </row>
    <row r="771" ht="15.75" customHeight="1">
      <c r="C771" s="635"/>
    </row>
    <row r="772" ht="15.75" customHeight="1">
      <c r="C772" s="635"/>
    </row>
    <row r="773" ht="15.75" customHeight="1">
      <c r="C773" s="635"/>
    </row>
    <row r="774" ht="15.75" customHeight="1">
      <c r="C774" s="635"/>
    </row>
    <row r="775" ht="15.75" customHeight="1">
      <c r="C775" s="635"/>
    </row>
    <row r="776" ht="15.75" customHeight="1">
      <c r="C776" s="635"/>
    </row>
    <row r="777" ht="15.75" customHeight="1">
      <c r="C777" s="635"/>
    </row>
    <row r="778" ht="15.75" customHeight="1">
      <c r="C778" s="635"/>
    </row>
    <row r="779" ht="15.75" customHeight="1">
      <c r="C779" s="635"/>
    </row>
    <row r="780" ht="15.75" customHeight="1">
      <c r="C780" s="635"/>
    </row>
    <row r="781" ht="15.75" customHeight="1">
      <c r="C781" s="635"/>
    </row>
    <row r="782" ht="15.75" customHeight="1">
      <c r="C782" s="635"/>
    </row>
    <row r="783" ht="15.75" customHeight="1">
      <c r="C783" s="635"/>
    </row>
    <row r="784" ht="15.75" customHeight="1">
      <c r="C784" s="635"/>
    </row>
    <row r="785" ht="15.75" customHeight="1">
      <c r="C785" s="635"/>
    </row>
    <row r="786" ht="15.75" customHeight="1">
      <c r="C786" s="635"/>
    </row>
    <row r="787" ht="15.75" customHeight="1">
      <c r="C787" s="635"/>
    </row>
    <row r="788" ht="15.75" customHeight="1">
      <c r="C788" s="635"/>
    </row>
    <row r="789" ht="15.75" customHeight="1">
      <c r="C789" s="635"/>
    </row>
    <row r="790" ht="15.75" customHeight="1">
      <c r="C790" s="635"/>
    </row>
    <row r="791" ht="15.75" customHeight="1">
      <c r="C791" s="635"/>
    </row>
    <row r="792" ht="15.75" customHeight="1">
      <c r="C792" s="635"/>
    </row>
    <row r="793" ht="15.75" customHeight="1">
      <c r="C793" s="635"/>
    </row>
    <row r="794" ht="15.75" customHeight="1">
      <c r="C794" s="635"/>
    </row>
    <row r="795" ht="15.75" customHeight="1">
      <c r="C795" s="635"/>
    </row>
    <row r="796" ht="15.75" customHeight="1">
      <c r="C796" s="635"/>
    </row>
    <row r="797" ht="15.75" customHeight="1">
      <c r="C797" s="635"/>
    </row>
    <row r="798" ht="15.75" customHeight="1">
      <c r="C798" s="635"/>
    </row>
    <row r="799" ht="15.75" customHeight="1">
      <c r="C799" s="635"/>
    </row>
    <row r="800" ht="15.75" customHeight="1">
      <c r="C800" s="635"/>
    </row>
    <row r="801" ht="15.75" customHeight="1">
      <c r="C801" s="635"/>
    </row>
    <row r="802" ht="15.75" customHeight="1">
      <c r="C802" s="635"/>
    </row>
    <row r="803" ht="15.75" customHeight="1">
      <c r="C803" s="635"/>
    </row>
    <row r="804" ht="15.75" customHeight="1">
      <c r="C804" s="635"/>
    </row>
    <row r="805" ht="15.75" customHeight="1">
      <c r="C805" s="635"/>
    </row>
    <row r="806" ht="15.75" customHeight="1">
      <c r="C806" s="635"/>
    </row>
    <row r="807" ht="15.75" customHeight="1">
      <c r="C807" s="635"/>
    </row>
    <row r="808" ht="15.75" customHeight="1">
      <c r="C808" s="635"/>
    </row>
    <row r="809" ht="15.75" customHeight="1">
      <c r="C809" s="635"/>
    </row>
    <row r="810" ht="15.75" customHeight="1">
      <c r="C810" s="635"/>
    </row>
    <row r="811" ht="15.75" customHeight="1">
      <c r="C811" s="635"/>
    </row>
    <row r="812" ht="15.75" customHeight="1">
      <c r="C812" s="635"/>
    </row>
    <row r="813" ht="15.75" customHeight="1">
      <c r="C813" s="635"/>
    </row>
    <row r="814" ht="15.75" customHeight="1">
      <c r="C814" s="635"/>
    </row>
    <row r="815" ht="15.75" customHeight="1">
      <c r="C815" s="635"/>
    </row>
    <row r="816" ht="15.75" customHeight="1">
      <c r="C816" s="635"/>
    </row>
    <row r="817" ht="15.75" customHeight="1">
      <c r="C817" s="635"/>
    </row>
    <row r="818" ht="15.75" customHeight="1">
      <c r="C818" s="635"/>
    </row>
    <row r="819" ht="15.75" customHeight="1">
      <c r="C819" s="635"/>
    </row>
    <row r="820" ht="15.75" customHeight="1">
      <c r="C820" s="635"/>
    </row>
    <row r="821" ht="15.75" customHeight="1">
      <c r="C821" s="635"/>
    </row>
    <row r="822" ht="15.75" customHeight="1">
      <c r="C822" s="635"/>
    </row>
    <row r="823" ht="15.75" customHeight="1">
      <c r="C823" s="635"/>
    </row>
    <row r="824" ht="15.75" customHeight="1">
      <c r="C824" s="635"/>
    </row>
    <row r="825" ht="15.75" customHeight="1">
      <c r="C825" s="635"/>
    </row>
    <row r="826" ht="15.75" customHeight="1">
      <c r="C826" s="635"/>
    </row>
    <row r="827" ht="15.75" customHeight="1">
      <c r="C827" s="635"/>
    </row>
    <row r="828" ht="15.75" customHeight="1">
      <c r="C828" s="635"/>
    </row>
    <row r="829" ht="15.75" customHeight="1">
      <c r="C829" s="635"/>
    </row>
    <row r="830" ht="15.75" customHeight="1">
      <c r="C830" s="635"/>
    </row>
    <row r="831" ht="15.75" customHeight="1">
      <c r="C831" s="635"/>
    </row>
    <row r="832" ht="15.75" customHeight="1">
      <c r="C832" s="635"/>
    </row>
    <row r="833" ht="15.75" customHeight="1">
      <c r="C833" s="635"/>
    </row>
    <row r="834" ht="15.75" customHeight="1">
      <c r="C834" s="635"/>
    </row>
    <row r="835" ht="15.75" customHeight="1">
      <c r="C835" s="635"/>
    </row>
    <row r="836" ht="15.75" customHeight="1">
      <c r="C836" s="635"/>
    </row>
    <row r="837" ht="15.75" customHeight="1">
      <c r="C837" s="635"/>
    </row>
    <row r="838" ht="15.75" customHeight="1">
      <c r="C838" s="635"/>
    </row>
    <row r="839" ht="15.75" customHeight="1">
      <c r="C839" s="635"/>
    </row>
    <row r="840" ht="15.75" customHeight="1">
      <c r="C840" s="635"/>
    </row>
    <row r="841" ht="15.75" customHeight="1">
      <c r="C841" s="635"/>
    </row>
    <row r="842" ht="15.75" customHeight="1">
      <c r="C842" s="635"/>
    </row>
    <row r="843" ht="15.75" customHeight="1">
      <c r="C843" s="635"/>
    </row>
    <row r="844" ht="15.75" customHeight="1">
      <c r="C844" s="635"/>
    </row>
    <row r="845" ht="15.75" customHeight="1">
      <c r="C845" s="635"/>
    </row>
    <row r="846" ht="15.75" customHeight="1">
      <c r="C846" s="635"/>
    </row>
    <row r="847" ht="15.75" customHeight="1">
      <c r="C847" s="635"/>
    </row>
    <row r="848" ht="15.75" customHeight="1">
      <c r="C848" s="635"/>
    </row>
    <row r="849" ht="15.75" customHeight="1">
      <c r="C849" s="635"/>
    </row>
    <row r="850" ht="15.75" customHeight="1">
      <c r="C850" s="635"/>
    </row>
    <row r="851" ht="15.75" customHeight="1">
      <c r="C851" s="635"/>
    </row>
    <row r="852" ht="15.75" customHeight="1">
      <c r="C852" s="635"/>
    </row>
    <row r="853" ht="15.75" customHeight="1">
      <c r="C853" s="635"/>
    </row>
    <row r="854" ht="15.75" customHeight="1">
      <c r="C854" s="635"/>
    </row>
    <row r="855" ht="15.75" customHeight="1">
      <c r="C855" s="635"/>
    </row>
    <row r="856" ht="15.75" customHeight="1">
      <c r="C856" s="635"/>
    </row>
    <row r="857" ht="15.75" customHeight="1">
      <c r="C857" s="635"/>
    </row>
    <row r="858" ht="15.75" customHeight="1">
      <c r="C858" s="635"/>
    </row>
    <row r="859" ht="15.75" customHeight="1">
      <c r="C859" s="635"/>
    </row>
    <row r="860" ht="15.75" customHeight="1">
      <c r="C860" s="635"/>
    </row>
    <row r="861" ht="15.75" customHeight="1">
      <c r="C861" s="635"/>
    </row>
    <row r="862" ht="15.75" customHeight="1">
      <c r="C862" s="635"/>
    </row>
    <row r="863" ht="15.75" customHeight="1">
      <c r="C863" s="635"/>
    </row>
    <row r="864" ht="15.75" customHeight="1">
      <c r="C864" s="635"/>
    </row>
    <row r="865" ht="15.75" customHeight="1">
      <c r="C865" s="635"/>
    </row>
    <row r="866" ht="15.75" customHeight="1">
      <c r="C866" s="635"/>
    </row>
    <row r="867" ht="15.75" customHeight="1">
      <c r="C867" s="635"/>
    </row>
    <row r="868" ht="15.75" customHeight="1">
      <c r="C868" s="635"/>
    </row>
    <row r="869" ht="15.75" customHeight="1">
      <c r="C869" s="635"/>
    </row>
    <row r="870" ht="15.75" customHeight="1">
      <c r="C870" s="635"/>
    </row>
    <row r="871" ht="15.75" customHeight="1">
      <c r="C871" s="635"/>
    </row>
    <row r="872" ht="15.75" customHeight="1">
      <c r="C872" s="635"/>
    </row>
    <row r="873" ht="15.75" customHeight="1">
      <c r="C873" s="635"/>
    </row>
    <row r="874" ht="15.75" customHeight="1">
      <c r="C874" s="635"/>
    </row>
    <row r="875" ht="15.75" customHeight="1">
      <c r="C875" s="635"/>
    </row>
    <row r="876" ht="15.75" customHeight="1">
      <c r="C876" s="635"/>
    </row>
    <row r="877" ht="15.75" customHeight="1">
      <c r="C877" s="635"/>
    </row>
    <row r="878" ht="15.75" customHeight="1">
      <c r="C878" s="635"/>
    </row>
    <row r="879" ht="15.75" customHeight="1">
      <c r="C879" s="635"/>
    </row>
    <row r="880" ht="15.75" customHeight="1">
      <c r="C880" s="635"/>
    </row>
    <row r="881" ht="15.75" customHeight="1">
      <c r="C881" s="635"/>
    </row>
    <row r="882" ht="15.75" customHeight="1">
      <c r="C882" s="635"/>
    </row>
    <row r="883" ht="15.75" customHeight="1">
      <c r="C883" s="635"/>
    </row>
    <row r="884" ht="15.75" customHeight="1">
      <c r="C884" s="635"/>
    </row>
    <row r="885" ht="15.75" customHeight="1">
      <c r="C885" s="635"/>
    </row>
    <row r="886" ht="15.75" customHeight="1">
      <c r="C886" s="635"/>
    </row>
    <row r="887" ht="15.75" customHeight="1">
      <c r="C887" s="635"/>
    </row>
    <row r="888" ht="15.75" customHeight="1">
      <c r="C888" s="635"/>
    </row>
    <row r="889" ht="15.75" customHeight="1">
      <c r="C889" s="635"/>
    </row>
    <row r="890" ht="15.75" customHeight="1">
      <c r="C890" s="635"/>
    </row>
    <row r="891" ht="15.75" customHeight="1">
      <c r="C891" s="635"/>
    </row>
    <row r="892" ht="15.75" customHeight="1">
      <c r="C892" s="635"/>
    </row>
    <row r="893" ht="15.75" customHeight="1">
      <c r="C893" s="635"/>
    </row>
    <row r="894" ht="15.75" customHeight="1">
      <c r="C894" s="635"/>
    </row>
    <row r="895" ht="15.75" customHeight="1">
      <c r="C895" s="635"/>
    </row>
    <row r="896" ht="15.75" customHeight="1">
      <c r="C896" s="635"/>
    </row>
    <row r="897" ht="15.75" customHeight="1">
      <c r="C897" s="635"/>
    </row>
    <row r="898" ht="15.75" customHeight="1">
      <c r="C898" s="635"/>
    </row>
    <row r="899" ht="15.75" customHeight="1">
      <c r="C899" s="635"/>
    </row>
    <row r="900" ht="15.75" customHeight="1">
      <c r="C900" s="635"/>
    </row>
    <row r="901" ht="15.75" customHeight="1">
      <c r="C901" s="635"/>
    </row>
    <row r="902" ht="15.75" customHeight="1">
      <c r="C902" s="635"/>
    </row>
    <row r="903" ht="15.75" customHeight="1">
      <c r="C903" s="635"/>
    </row>
    <row r="904" ht="15.75" customHeight="1">
      <c r="C904" s="635"/>
    </row>
    <row r="905" ht="15.75" customHeight="1">
      <c r="C905" s="635"/>
    </row>
    <row r="906" ht="15.75" customHeight="1">
      <c r="C906" s="635"/>
    </row>
    <row r="907" ht="15.75" customHeight="1">
      <c r="C907" s="635"/>
    </row>
    <row r="908" ht="15.75" customHeight="1">
      <c r="C908" s="635"/>
    </row>
    <row r="909" ht="15.75" customHeight="1">
      <c r="C909" s="635"/>
    </row>
    <row r="910" ht="15.75" customHeight="1">
      <c r="C910" s="635"/>
    </row>
    <row r="911" ht="15.75" customHeight="1">
      <c r="C911" s="635"/>
    </row>
    <row r="912" ht="15.75" customHeight="1">
      <c r="C912" s="635"/>
    </row>
    <row r="913" ht="15.75" customHeight="1">
      <c r="C913" s="635"/>
    </row>
    <row r="914" ht="15.75" customHeight="1">
      <c r="C914" s="635"/>
    </row>
    <row r="915" ht="15.75" customHeight="1">
      <c r="C915" s="635"/>
    </row>
    <row r="916" ht="15.75" customHeight="1">
      <c r="C916" s="635"/>
    </row>
    <row r="917" ht="15.75" customHeight="1">
      <c r="C917" s="635"/>
    </row>
    <row r="918" ht="15.75" customHeight="1">
      <c r="C918" s="635"/>
    </row>
    <row r="919" ht="15.75" customHeight="1">
      <c r="C919" s="635"/>
    </row>
    <row r="920" ht="15.75" customHeight="1">
      <c r="C920" s="635"/>
    </row>
    <row r="921" ht="15.75" customHeight="1">
      <c r="C921" s="635"/>
    </row>
    <row r="922" ht="15.75" customHeight="1">
      <c r="C922" s="635"/>
    </row>
    <row r="923" ht="15.75" customHeight="1">
      <c r="C923" s="635"/>
    </row>
    <row r="924" ht="15.75" customHeight="1">
      <c r="C924" s="635"/>
    </row>
    <row r="925" ht="15.75" customHeight="1">
      <c r="C925" s="635"/>
    </row>
    <row r="926" ht="15.75" customHeight="1">
      <c r="C926" s="635"/>
    </row>
    <row r="927" ht="15.75" customHeight="1">
      <c r="C927" s="635"/>
    </row>
    <row r="928" ht="15.75" customHeight="1">
      <c r="C928" s="635"/>
    </row>
    <row r="929" ht="15.75" customHeight="1">
      <c r="C929" s="635"/>
    </row>
    <row r="930" ht="15.75" customHeight="1">
      <c r="C930" s="635"/>
    </row>
    <row r="931" ht="15.75" customHeight="1">
      <c r="C931" s="635"/>
    </row>
    <row r="932" ht="15.75" customHeight="1">
      <c r="C932" s="635"/>
    </row>
    <row r="933" ht="15.75" customHeight="1">
      <c r="C933" s="635"/>
    </row>
    <row r="934" ht="15.75" customHeight="1">
      <c r="C934" s="635"/>
    </row>
    <row r="935" ht="15.75" customHeight="1">
      <c r="C935" s="635"/>
    </row>
    <row r="936" ht="15.75" customHeight="1">
      <c r="C936" s="635"/>
    </row>
    <row r="937" ht="15.75" customHeight="1">
      <c r="C937" s="635"/>
    </row>
    <row r="938" ht="15.75" customHeight="1">
      <c r="C938" s="635"/>
    </row>
    <row r="939" ht="15.75" customHeight="1">
      <c r="C939" s="635"/>
    </row>
    <row r="940" ht="15.75" customHeight="1">
      <c r="C940" s="635"/>
    </row>
    <row r="941" ht="15.75" customHeight="1">
      <c r="C941" s="635"/>
    </row>
    <row r="942" ht="15.75" customHeight="1">
      <c r="C942" s="635"/>
    </row>
    <row r="943" ht="15.75" customHeight="1">
      <c r="C943" s="635"/>
    </row>
    <row r="944" ht="15.75" customHeight="1">
      <c r="C944" s="635"/>
    </row>
    <row r="945" ht="15.75" customHeight="1">
      <c r="C945" s="635"/>
    </row>
    <row r="946" ht="15.75" customHeight="1">
      <c r="C946" s="635"/>
    </row>
    <row r="947" ht="15.75" customHeight="1">
      <c r="C947" s="635"/>
    </row>
    <row r="948" ht="15.75" customHeight="1">
      <c r="C948" s="635"/>
    </row>
    <row r="949" ht="15.75" customHeight="1">
      <c r="C949" s="635"/>
    </row>
    <row r="950" ht="15.75" customHeight="1">
      <c r="C950" s="635"/>
    </row>
    <row r="951" ht="15.75" customHeight="1">
      <c r="C951" s="635"/>
    </row>
    <row r="952" ht="15.75" customHeight="1">
      <c r="C952" s="635"/>
    </row>
    <row r="953" ht="15.75" customHeight="1">
      <c r="C953" s="635"/>
    </row>
    <row r="954" ht="15.75" customHeight="1">
      <c r="C954" s="635"/>
    </row>
    <row r="955" ht="15.75" customHeight="1">
      <c r="C955" s="635"/>
    </row>
    <row r="956" ht="15.75" customHeight="1">
      <c r="C956" s="635"/>
    </row>
    <row r="957" ht="15.75" customHeight="1">
      <c r="C957" s="635"/>
    </row>
    <row r="958" ht="15.75" customHeight="1">
      <c r="C958" s="635"/>
    </row>
    <row r="959" ht="15.75" customHeight="1">
      <c r="C959" s="635"/>
    </row>
    <row r="960" ht="15.75" customHeight="1">
      <c r="C960" s="635"/>
    </row>
    <row r="961" ht="15.75" customHeight="1">
      <c r="C961" s="635"/>
    </row>
    <row r="962" ht="15.75" customHeight="1">
      <c r="C962" s="635"/>
    </row>
    <row r="963" ht="15.75" customHeight="1">
      <c r="C963" s="635"/>
    </row>
    <row r="964" ht="15.75" customHeight="1">
      <c r="C964" s="635"/>
    </row>
    <row r="965" ht="15.75" customHeight="1">
      <c r="C965" s="635"/>
    </row>
    <row r="966" ht="15.75" customHeight="1">
      <c r="C966" s="635"/>
    </row>
    <row r="967" ht="15.75" customHeight="1">
      <c r="C967" s="635"/>
    </row>
    <row r="968" ht="15.75" customHeight="1">
      <c r="C968" s="635"/>
    </row>
    <row r="969" ht="15.75" customHeight="1">
      <c r="C969" s="635"/>
    </row>
    <row r="970" ht="15.75" customHeight="1">
      <c r="C970" s="635"/>
    </row>
    <row r="971" ht="15.75" customHeight="1">
      <c r="C971" s="635"/>
    </row>
    <row r="972" ht="15.75" customHeight="1">
      <c r="C972" s="635"/>
    </row>
    <row r="973" ht="15.75" customHeight="1">
      <c r="C973" s="635"/>
    </row>
    <row r="974" ht="15.75" customHeight="1">
      <c r="C974" s="635"/>
    </row>
    <row r="975" ht="15.75" customHeight="1">
      <c r="C975" s="635"/>
    </row>
    <row r="976" ht="15.75" customHeight="1">
      <c r="C976" s="635"/>
    </row>
    <row r="977" ht="15.75" customHeight="1">
      <c r="C977" s="635"/>
    </row>
    <row r="978" ht="15.75" customHeight="1">
      <c r="C978" s="635"/>
    </row>
    <row r="979" ht="15.75" customHeight="1">
      <c r="C979" s="635"/>
    </row>
    <row r="980" ht="15.75" customHeight="1">
      <c r="C980" s="635"/>
    </row>
    <row r="981" ht="15.75" customHeight="1">
      <c r="C981" s="635"/>
    </row>
    <row r="982" ht="15.75" customHeight="1">
      <c r="C982" s="635"/>
    </row>
    <row r="983" ht="15.75" customHeight="1">
      <c r="C983" s="635"/>
    </row>
    <row r="984" ht="15.75" customHeight="1">
      <c r="C984" s="635"/>
    </row>
    <row r="985" ht="15.75" customHeight="1">
      <c r="C985" s="635"/>
    </row>
    <row r="986" ht="15.75" customHeight="1">
      <c r="C986" s="635"/>
    </row>
    <row r="987" ht="15.75" customHeight="1">
      <c r="C987" s="635"/>
    </row>
    <row r="988" ht="15.75" customHeight="1">
      <c r="C988" s="635"/>
    </row>
    <row r="989" ht="15.75" customHeight="1">
      <c r="C989" s="635"/>
    </row>
    <row r="990" ht="15.75" customHeight="1">
      <c r="C990" s="635"/>
    </row>
    <row r="991" ht="15.75" customHeight="1">
      <c r="C991" s="635"/>
    </row>
    <row r="992" ht="15.75" customHeight="1">
      <c r="C992" s="635"/>
    </row>
    <row r="993" ht="15.75" customHeight="1">
      <c r="C993" s="635"/>
    </row>
    <row r="994" ht="15.75" customHeight="1">
      <c r="C994" s="635"/>
    </row>
    <row r="995" ht="15.75" customHeight="1">
      <c r="C995" s="635"/>
    </row>
    <row r="996" ht="15.75" customHeight="1">
      <c r="C996" s="635"/>
    </row>
    <row r="997" ht="15.75" customHeight="1">
      <c r="C997" s="635"/>
    </row>
    <row r="998" ht="15.75" customHeight="1">
      <c r="C998" s="635"/>
    </row>
    <row r="999" ht="15.75" customHeight="1">
      <c r="C999" s="635"/>
    </row>
    <row r="1000" ht="15.75" customHeight="1">
      <c r="C1000" s="63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9.14"/>
    <col customWidth="1" min="4" max="26" width="9.0"/>
  </cols>
  <sheetData>
    <row r="1">
      <c r="A1" s="624" t="s">
        <v>412</v>
      </c>
      <c r="B1" s="624" t="str">
        <f>Priv!H6</f>
        <v/>
      </c>
      <c r="C1" s="635"/>
    </row>
    <row r="2">
      <c r="A2" s="624" t="s">
        <v>413</v>
      </c>
      <c r="B2" s="624" t="s">
        <v>414</v>
      </c>
      <c r="C2" s="635"/>
    </row>
    <row r="3">
      <c r="A3" s="624" t="s">
        <v>415</v>
      </c>
      <c r="B3" s="624">
        <f>Priv!H15</f>
        <v>0</v>
      </c>
      <c r="C3" s="625" t="s">
        <v>416</v>
      </c>
    </row>
    <row r="4">
      <c r="A4" s="624" t="s">
        <v>417</v>
      </c>
      <c r="B4" s="624">
        <f>Priv!H16</f>
        <v>0</v>
      </c>
      <c r="C4" s="625" t="s">
        <v>416</v>
      </c>
    </row>
    <row r="5">
      <c r="A5" s="626" t="s">
        <v>418</v>
      </c>
      <c r="B5" s="626">
        <f>Priv!G17</f>
        <v>0</v>
      </c>
      <c r="C5" s="627" t="s">
        <v>416</v>
      </c>
    </row>
    <row r="6">
      <c r="A6" s="626" t="s">
        <v>419</v>
      </c>
      <c r="B6" s="626">
        <f>Priv!G18</f>
        <v>0</v>
      </c>
      <c r="C6" s="627" t="s">
        <v>416</v>
      </c>
    </row>
    <row r="7">
      <c r="A7" s="624" t="s">
        <v>420</v>
      </c>
      <c r="B7" s="624">
        <f>Priv!H19</f>
        <v>0</v>
      </c>
      <c r="C7" s="625" t="s">
        <v>416</v>
      </c>
    </row>
    <row r="8">
      <c r="A8" s="624" t="s">
        <v>421</v>
      </c>
      <c r="B8" s="624">
        <f>Priv!H20</f>
        <v>0</v>
      </c>
      <c r="C8" s="625" t="s">
        <v>416</v>
      </c>
    </row>
    <row r="9">
      <c r="A9" s="624" t="s">
        <v>422</v>
      </c>
      <c r="B9" s="624">
        <f>Priv!H21</f>
        <v>0</v>
      </c>
      <c r="C9" s="625" t="s">
        <v>416</v>
      </c>
    </row>
    <row r="10">
      <c r="A10" s="626" t="s">
        <v>423</v>
      </c>
      <c r="B10" s="626">
        <f>Priv!G22</f>
        <v>0</v>
      </c>
      <c r="C10" s="627" t="s">
        <v>416</v>
      </c>
    </row>
    <row r="11">
      <c r="A11" s="626" t="s">
        <v>424</v>
      </c>
      <c r="B11" s="626">
        <f>Priv!G23</f>
        <v>0</v>
      </c>
      <c r="C11" s="627" t="s">
        <v>416</v>
      </c>
    </row>
    <row r="12">
      <c r="A12" s="626" t="s">
        <v>425</v>
      </c>
      <c r="B12" s="626">
        <f>Priv!G28</f>
        <v>0</v>
      </c>
      <c r="C12" s="627" t="s">
        <v>426</v>
      </c>
    </row>
    <row r="13">
      <c r="A13" s="636" t="s">
        <v>427</v>
      </c>
      <c r="B13" s="626">
        <f>Priv!G29</f>
        <v>0</v>
      </c>
      <c r="C13" s="627" t="s">
        <v>426</v>
      </c>
    </row>
    <row r="14">
      <c r="A14" s="636" t="s">
        <v>428</v>
      </c>
      <c r="B14" s="626">
        <f>Priv!G30</f>
        <v>0</v>
      </c>
      <c r="C14" s="627" t="s">
        <v>426</v>
      </c>
    </row>
    <row r="15">
      <c r="A15" s="636" t="s">
        <v>429</v>
      </c>
      <c r="B15" s="626">
        <f>Priv!G31</f>
        <v>0</v>
      </c>
      <c r="C15" s="627" t="s">
        <v>426</v>
      </c>
    </row>
    <row r="16">
      <c r="A16" s="636" t="s">
        <v>430</v>
      </c>
      <c r="B16" s="626">
        <f>Priv!G32</f>
        <v>0</v>
      </c>
      <c r="C16" s="627" t="s">
        <v>426</v>
      </c>
    </row>
    <row r="17">
      <c r="A17" s="636" t="s">
        <v>431</v>
      </c>
      <c r="B17" s="626">
        <f>Priv!G33</f>
        <v>0</v>
      </c>
      <c r="C17" s="627" t="s">
        <v>426</v>
      </c>
    </row>
    <row r="18">
      <c r="A18" s="636" t="s">
        <v>432</v>
      </c>
      <c r="B18" s="626">
        <f>Priv!G34</f>
        <v>0</v>
      </c>
      <c r="C18" s="627" t="s">
        <v>426</v>
      </c>
    </row>
    <row r="19">
      <c r="A19" s="626" t="s">
        <v>433</v>
      </c>
      <c r="B19" s="626">
        <f>Priv!H40</f>
        <v>0</v>
      </c>
      <c r="C19" s="627" t="s">
        <v>442</v>
      </c>
    </row>
    <row r="20">
      <c r="A20" s="630" t="s">
        <v>435</v>
      </c>
      <c r="B20" s="626">
        <f>Priv!H41</f>
        <v>0</v>
      </c>
      <c r="C20" s="627" t="s">
        <v>442</v>
      </c>
    </row>
    <row r="21" ht="15.75" customHeight="1">
      <c r="A21" s="630" t="s">
        <v>436</v>
      </c>
      <c r="B21" s="626">
        <f>Priv!G42</f>
        <v>0</v>
      </c>
      <c r="C21" s="627" t="s">
        <v>442</v>
      </c>
    </row>
    <row r="22" ht="15.75" customHeight="1">
      <c r="A22" s="630" t="s">
        <v>437</v>
      </c>
      <c r="B22" s="626">
        <f>Priv!G43</f>
        <v>0</v>
      </c>
      <c r="C22" s="627" t="s">
        <v>442</v>
      </c>
    </row>
    <row r="23" ht="15.75" customHeight="1">
      <c r="A23" s="630" t="s">
        <v>438</v>
      </c>
      <c r="B23" s="626">
        <f>Priv!H44</f>
        <v>0</v>
      </c>
      <c r="C23" s="627" t="s">
        <v>442</v>
      </c>
    </row>
    <row r="24" ht="15.75" customHeight="1">
      <c r="A24" s="630" t="s">
        <v>439</v>
      </c>
      <c r="B24" s="626">
        <f>Priv!H45</f>
        <v>0</v>
      </c>
      <c r="C24" s="627" t="s">
        <v>442</v>
      </c>
    </row>
    <row r="25" ht="15.75" customHeight="1">
      <c r="A25" s="630" t="s">
        <v>440</v>
      </c>
      <c r="B25" s="626">
        <f>Priv!H46</f>
        <v>0</v>
      </c>
      <c r="C25" s="627" t="s">
        <v>442</v>
      </c>
    </row>
    <row r="26" ht="15.75" customHeight="1">
      <c r="A26" s="626" t="s">
        <v>441</v>
      </c>
      <c r="B26" s="626" t="str">
        <f>Priv!#REF!</f>
        <v>#ERROR!</v>
      </c>
      <c r="C26" s="627" t="s">
        <v>450</v>
      </c>
    </row>
    <row r="27" ht="15.75" customHeight="1">
      <c r="A27" s="630" t="s">
        <v>443</v>
      </c>
      <c r="B27" s="626" t="str">
        <f>Priv!#REF!</f>
        <v>#ERROR!</v>
      </c>
      <c r="C27" s="627" t="s">
        <v>450</v>
      </c>
    </row>
    <row r="28" ht="15.75" customHeight="1">
      <c r="A28" s="630" t="s">
        <v>444</v>
      </c>
      <c r="B28" s="626" t="str">
        <f>Priv!#REF!</f>
        <v>#ERROR!</v>
      </c>
      <c r="C28" s="627" t="s">
        <v>450</v>
      </c>
    </row>
    <row r="29" ht="15.75" customHeight="1">
      <c r="A29" s="630" t="s">
        <v>445</v>
      </c>
      <c r="B29" s="626" t="str">
        <f>Priv!#REF!</f>
        <v>#ERROR!</v>
      </c>
      <c r="C29" s="627" t="s">
        <v>450</v>
      </c>
    </row>
    <row r="30" ht="15.75" customHeight="1">
      <c r="A30" s="630" t="s">
        <v>446</v>
      </c>
      <c r="B30" s="626" t="str">
        <f>Priv!#REF!</f>
        <v>#ERROR!</v>
      </c>
      <c r="C30" s="627" t="s">
        <v>450</v>
      </c>
    </row>
    <row r="31" ht="15.75" customHeight="1">
      <c r="A31" s="630" t="s">
        <v>447</v>
      </c>
      <c r="B31" s="626" t="str">
        <f>Priv!#REF!</f>
        <v>#ERROR!</v>
      </c>
      <c r="C31" s="627" t="s">
        <v>450</v>
      </c>
    </row>
    <row r="32" ht="15.75" customHeight="1">
      <c r="A32" s="630" t="s">
        <v>448</v>
      </c>
      <c r="B32" s="626" t="str">
        <f>Priv!#REF!</f>
        <v>#ERROR!</v>
      </c>
      <c r="C32" s="627" t="s">
        <v>450</v>
      </c>
    </row>
    <row r="33" ht="15.75" customHeight="1">
      <c r="A33" s="626" t="s">
        <v>449</v>
      </c>
      <c r="B33" s="626">
        <f>Priv!A52</f>
        <v>0</v>
      </c>
      <c r="C33" s="627" t="s">
        <v>458</v>
      </c>
    </row>
    <row r="34" ht="15.75" customHeight="1">
      <c r="A34" s="626" t="s">
        <v>1213</v>
      </c>
      <c r="B34" s="626">
        <f>Priv!B52</f>
        <v>0</v>
      </c>
      <c r="C34" s="627" t="s">
        <v>458</v>
      </c>
    </row>
    <row r="35" ht="15.75" customHeight="1">
      <c r="A35" s="626" t="s">
        <v>1214</v>
      </c>
      <c r="B35" s="626">
        <f>Priv!C52</f>
        <v>0</v>
      </c>
      <c r="C35" s="627" t="s">
        <v>458</v>
      </c>
    </row>
    <row r="36" ht="15.75" customHeight="1">
      <c r="A36" s="626" t="s">
        <v>1215</v>
      </c>
      <c r="B36" s="626">
        <f>Priv!D52</f>
        <v>0</v>
      </c>
      <c r="C36" s="627" t="s">
        <v>458</v>
      </c>
    </row>
    <row r="37" ht="15.75" customHeight="1">
      <c r="A37" s="626" t="s">
        <v>1216</v>
      </c>
      <c r="B37" s="626">
        <f>Priv!E52</f>
        <v>0</v>
      </c>
      <c r="C37" s="627" t="s">
        <v>458</v>
      </c>
    </row>
    <row r="38" ht="15.75" customHeight="1">
      <c r="A38" s="626" t="s">
        <v>1217</v>
      </c>
      <c r="B38" s="626">
        <f>Priv!F52</f>
        <v>0</v>
      </c>
      <c r="C38" s="627" t="s">
        <v>458</v>
      </c>
    </row>
    <row r="39" ht="15.75" customHeight="1">
      <c r="A39" s="626" t="s">
        <v>1218</v>
      </c>
      <c r="B39" s="626">
        <f>Priv!G52</f>
        <v>0</v>
      </c>
      <c r="C39" s="627" t="s">
        <v>458</v>
      </c>
    </row>
    <row r="40" ht="15.75" customHeight="1">
      <c r="A40" s="626" t="s">
        <v>457</v>
      </c>
      <c r="B40" s="626">
        <f>Priv!A58</f>
        <v>0</v>
      </c>
      <c r="C40" s="627" t="s">
        <v>466</v>
      </c>
    </row>
    <row r="41" ht="15.75" customHeight="1">
      <c r="A41" s="636" t="s">
        <v>459</v>
      </c>
      <c r="B41" s="626">
        <f>Priv!B58</f>
        <v>0</v>
      </c>
      <c r="C41" s="627" t="s">
        <v>466</v>
      </c>
    </row>
    <row r="42" ht="15.75" customHeight="1">
      <c r="A42" s="636" t="s">
        <v>460</v>
      </c>
      <c r="B42" s="626" t="str">
        <f>Priv!#REF!</f>
        <v>#ERROR!</v>
      </c>
      <c r="C42" s="627" t="s">
        <v>466</v>
      </c>
    </row>
    <row r="43" ht="15.75" customHeight="1">
      <c r="A43" s="636" t="s">
        <v>461</v>
      </c>
      <c r="B43" s="626" t="str">
        <f>Priv!#REF!</f>
        <v>#ERROR!</v>
      </c>
      <c r="C43" s="627" t="s">
        <v>466</v>
      </c>
    </row>
    <row r="44" ht="15.75" customHeight="1">
      <c r="A44" s="636" t="s">
        <v>462</v>
      </c>
      <c r="B44" s="626">
        <f>Priv!C58</f>
        <v>0</v>
      </c>
      <c r="C44" s="627" t="s">
        <v>466</v>
      </c>
    </row>
    <row r="45" ht="15.75" customHeight="1">
      <c r="A45" s="636" t="s">
        <v>463</v>
      </c>
      <c r="B45" s="626">
        <f>Priv!D58</f>
        <v>0</v>
      </c>
      <c r="C45" s="627" t="s">
        <v>466</v>
      </c>
    </row>
    <row r="46" ht="15.75" customHeight="1">
      <c r="A46" s="636" t="s">
        <v>464</v>
      </c>
      <c r="B46" s="626" t="str">
        <f>Priv!#REF!</f>
        <v>#ERROR!</v>
      </c>
      <c r="C46" s="627" t="s">
        <v>466</v>
      </c>
    </row>
    <row r="47" ht="15.75" customHeight="1">
      <c r="A47" s="636" t="s">
        <v>1219</v>
      </c>
      <c r="B47" s="626" t="str">
        <f>Priv!#REF!</f>
        <v>#ERROR!</v>
      </c>
      <c r="C47" s="627" t="s">
        <v>466</v>
      </c>
    </row>
    <row r="48" ht="15.75" customHeight="1">
      <c r="A48" s="636" t="s">
        <v>1220</v>
      </c>
      <c r="B48" s="626">
        <f>Priv!E58</f>
        <v>0</v>
      </c>
      <c r="C48" s="627" t="s">
        <v>466</v>
      </c>
    </row>
    <row r="49" ht="15.75" customHeight="1">
      <c r="A49" s="636" t="s">
        <v>1221</v>
      </c>
      <c r="B49" s="626">
        <f>Priv!F58</f>
        <v>0</v>
      </c>
      <c r="C49" s="627" t="s">
        <v>466</v>
      </c>
    </row>
    <row r="50" ht="15.75" customHeight="1">
      <c r="A50" s="624" t="s">
        <v>465</v>
      </c>
      <c r="B50" s="624">
        <f>Priv!D66</f>
        <v>0</v>
      </c>
      <c r="C50" s="625" t="s">
        <v>1222</v>
      </c>
    </row>
    <row r="51" ht="15.75" customHeight="1">
      <c r="A51" s="637" t="s">
        <v>467</v>
      </c>
      <c r="B51" s="624">
        <f>Priv!E66</f>
        <v>0</v>
      </c>
      <c r="C51" s="625" t="s">
        <v>1222</v>
      </c>
    </row>
    <row r="52" ht="15.75" customHeight="1">
      <c r="A52" s="637" t="s">
        <v>468</v>
      </c>
      <c r="B52" s="624">
        <f>Priv!F66</f>
        <v>0</v>
      </c>
      <c r="C52" s="625" t="s">
        <v>1222</v>
      </c>
    </row>
    <row r="53" ht="15.75" customHeight="1">
      <c r="A53" s="637" t="s">
        <v>469</v>
      </c>
      <c r="B53" s="624">
        <f>Priv!G66</f>
        <v>0</v>
      </c>
      <c r="C53" s="625" t="s">
        <v>1222</v>
      </c>
    </row>
    <row r="54" ht="15.75" customHeight="1">
      <c r="A54" s="637" t="s">
        <v>470</v>
      </c>
      <c r="B54" s="624">
        <f>Priv!H66</f>
        <v>0</v>
      </c>
      <c r="C54" s="625" t="s">
        <v>1222</v>
      </c>
    </row>
    <row r="55" ht="15.75" customHeight="1">
      <c r="A55" s="637" t="s">
        <v>471</v>
      </c>
      <c r="B55" s="624">
        <f>Priv!I66</f>
        <v>0</v>
      </c>
      <c r="C55" s="625" t="s">
        <v>1222</v>
      </c>
    </row>
    <row r="56" ht="15.75" customHeight="1">
      <c r="A56" s="637" t="s">
        <v>472</v>
      </c>
      <c r="B56" s="624">
        <f>Priv!J66</f>
        <v>0</v>
      </c>
      <c r="C56" s="625" t="s">
        <v>1222</v>
      </c>
    </row>
    <row r="57" ht="15.75" customHeight="1">
      <c r="A57" s="624" t="s">
        <v>1223</v>
      </c>
      <c r="B57" s="624">
        <f>Priv!D67</f>
        <v>0</v>
      </c>
      <c r="C57" s="625" t="s">
        <v>1222</v>
      </c>
    </row>
    <row r="58" ht="15.75" customHeight="1">
      <c r="A58" s="637" t="s">
        <v>1224</v>
      </c>
      <c r="B58" s="624">
        <f>Priv!E67</f>
        <v>0</v>
      </c>
      <c r="C58" s="625" t="s">
        <v>1222</v>
      </c>
    </row>
    <row r="59" ht="15.75" customHeight="1">
      <c r="A59" s="637" t="s">
        <v>1225</v>
      </c>
      <c r="B59" s="624">
        <f>Priv!F67</f>
        <v>0</v>
      </c>
      <c r="C59" s="625" t="s">
        <v>1222</v>
      </c>
    </row>
    <row r="60" ht="15.75" customHeight="1">
      <c r="A60" s="637" t="s">
        <v>1226</v>
      </c>
      <c r="B60" s="624">
        <f>Priv!G67</f>
        <v>0</v>
      </c>
      <c r="C60" s="625" t="s">
        <v>1222</v>
      </c>
    </row>
    <row r="61" ht="15.75" customHeight="1">
      <c r="A61" s="637" t="s">
        <v>1227</v>
      </c>
      <c r="B61" s="624">
        <f>Priv!H67</f>
        <v>0</v>
      </c>
      <c r="C61" s="625" t="s">
        <v>1222</v>
      </c>
    </row>
    <row r="62" ht="15.75" customHeight="1">
      <c r="A62" s="637" t="s">
        <v>1228</v>
      </c>
      <c r="B62" s="624">
        <f>Priv!I67</f>
        <v>0</v>
      </c>
      <c r="C62" s="625" t="s">
        <v>1222</v>
      </c>
    </row>
    <row r="63" ht="15.75" customHeight="1">
      <c r="A63" s="637" t="s">
        <v>1229</v>
      </c>
      <c r="B63" s="624">
        <f>Priv!J67</f>
        <v>0</v>
      </c>
      <c r="C63" s="625" t="s">
        <v>1222</v>
      </c>
    </row>
    <row r="64" ht="15.75" customHeight="1">
      <c r="A64" s="624" t="s">
        <v>1230</v>
      </c>
      <c r="B64" s="624">
        <f>Priv!D68</f>
        <v>0</v>
      </c>
      <c r="C64" s="625" t="s">
        <v>1222</v>
      </c>
    </row>
    <row r="65" ht="15.75" customHeight="1">
      <c r="A65" s="637" t="s">
        <v>1231</v>
      </c>
      <c r="B65" s="624">
        <f>Priv!E68</f>
        <v>0</v>
      </c>
      <c r="C65" s="625" t="s">
        <v>1222</v>
      </c>
    </row>
    <row r="66" ht="15.75" customHeight="1">
      <c r="A66" s="637" t="s">
        <v>1232</v>
      </c>
      <c r="B66" s="624">
        <f>Priv!F68</f>
        <v>0</v>
      </c>
      <c r="C66" s="625" t="s">
        <v>1222</v>
      </c>
    </row>
    <row r="67" ht="15.75" customHeight="1">
      <c r="A67" s="637" t="s">
        <v>1233</v>
      </c>
      <c r="B67" s="624">
        <f>Priv!G68</f>
        <v>0</v>
      </c>
      <c r="C67" s="625" t="s">
        <v>1222</v>
      </c>
    </row>
    <row r="68" ht="15.75" customHeight="1">
      <c r="A68" s="637" t="s">
        <v>1234</v>
      </c>
      <c r="B68" s="624">
        <f>Priv!H68</f>
        <v>0</v>
      </c>
      <c r="C68" s="625" t="s">
        <v>1222</v>
      </c>
    </row>
    <row r="69" ht="15.75" customHeight="1">
      <c r="A69" s="637" t="s">
        <v>1235</v>
      </c>
      <c r="B69" s="624">
        <f>Priv!I68</f>
        <v>0</v>
      </c>
      <c r="C69" s="625" t="s">
        <v>1222</v>
      </c>
    </row>
    <row r="70" ht="15.75" customHeight="1">
      <c r="A70" s="637" t="s">
        <v>1229</v>
      </c>
      <c r="B70" s="624">
        <f>Priv!J68</f>
        <v>0</v>
      </c>
      <c r="C70" s="625" t="s">
        <v>1222</v>
      </c>
    </row>
    <row r="71" ht="15.75" customHeight="1">
      <c r="A71" s="624" t="s">
        <v>1236</v>
      </c>
      <c r="B71" s="624">
        <f>Priv!D69</f>
        <v>0</v>
      </c>
      <c r="C71" s="625" t="s">
        <v>1222</v>
      </c>
    </row>
    <row r="72" ht="15.75" customHeight="1">
      <c r="A72" s="637" t="s">
        <v>1237</v>
      </c>
      <c r="B72" s="624">
        <f>Priv!E69</f>
        <v>0</v>
      </c>
      <c r="C72" s="625" t="s">
        <v>1222</v>
      </c>
    </row>
    <row r="73" ht="15.75" customHeight="1">
      <c r="A73" s="637" t="s">
        <v>1238</v>
      </c>
      <c r="B73" s="624">
        <f>Priv!F69</f>
        <v>0</v>
      </c>
      <c r="C73" s="625" t="s">
        <v>1222</v>
      </c>
    </row>
    <row r="74" ht="15.75" customHeight="1">
      <c r="A74" s="637" t="s">
        <v>1239</v>
      </c>
      <c r="B74" s="624">
        <f>Priv!G69</f>
        <v>0</v>
      </c>
      <c r="C74" s="625" t="s">
        <v>1222</v>
      </c>
    </row>
    <row r="75" ht="15.75" customHeight="1">
      <c r="A75" s="637" t="s">
        <v>1240</v>
      </c>
      <c r="B75" s="624">
        <f>Priv!H69</f>
        <v>0</v>
      </c>
      <c r="C75" s="625" t="s">
        <v>1222</v>
      </c>
    </row>
    <row r="76" ht="15.75" customHeight="1">
      <c r="A76" s="637" t="s">
        <v>1241</v>
      </c>
      <c r="B76" s="624">
        <f>Priv!I69</f>
        <v>0</v>
      </c>
      <c r="C76" s="625" t="s">
        <v>1222</v>
      </c>
    </row>
    <row r="77" ht="15.75" customHeight="1">
      <c r="A77" s="637" t="s">
        <v>1242</v>
      </c>
      <c r="B77" s="624">
        <f>Priv!J69</f>
        <v>0</v>
      </c>
      <c r="C77" s="625" t="s">
        <v>1222</v>
      </c>
    </row>
    <row r="78" ht="15.75" customHeight="1">
      <c r="A78" s="624" t="s">
        <v>1243</v>
      </c>
      <c r="B78" s="624">
        <f>Priv!D70</f>
        <v>0</v>
      </c>
      <c r="C78" s="625" t="s">
        <v>1222</v>
      </c>
    </row>
    <row r="79" ht="15.75" customHeight="1">
      <c r="A79" s="637" t="s">
        <v>1244</v>
      </c>
      <c r="B79" s="624">
        <f>Priv!E70</f>
        <v>0</v>
      </c>
      <c r="C79" s="625" t="s">
        <v>1222</v>
      </c>
    </row>
    <row r="80" ht="15.75" customHeight="1">
      <c r="A80" s="637" t="s">
        <v>1245</v>
      </c>
      <c r="B80" s="624">
        <f>Priv!F70</f>
        <v>0</v>
      </c>
      <c r="C80" s="625" t="s">
        <v>1222</v>
      </c>
    </row>
    <row r="81" ht="15.75" customHeight="1">
      <c r="A81" s="637" t="s">
        <v>1246</v>
      </c>
      <c r="B81" s="624">
        <f>Priv!G70</f>
        <v>0</v>
      </c>
      <c r="C81" s="625" t="s">
        <v>1222</v>
      </c>
    </row>
    <row r="82" ht="15.75" customHeight="1">
      <c r="A82" s="637" t="s">
        <v>1247</v>
      </c>
      <c r="B82" s="624">
        <f>Priv!H70</f>
        <v>0</v>
      </c>
      <c r="C82" s="625" t="s">
        <v>1222</v>
      </c>
    </row>
    <row r="83" ht="15.75" customHeight="1">
      <c r="A83" s="637" t="s">
        <v>1248</v>
      </c>
      <c r="B83" s="624">
        <f>Priv!I70</f>
        <v>0</v>
      </c>
      <c r="C83" s="625" t="s">
        <v>1222</v>
      </c>
    </row>
    <row r="84" ht="15.75" customHeight="1">
      <c r="A84" s="637" t="s">
        <v>1249</v>
      </c>
      <c r="B84" s="624">
        <f>Priv!J70</f>
        <v>0</v>
      </c>
      <c r="C84" s="625" t="s">
        <v>1222</v>
      </c>
    </row>
    <row r="85" ht="15.75" customHeight="1">
      <c r="A85" s="624" t="s">
        <v>1250</v>
      </c>
      <c r="B85" s="624">
        <f>Priv!D71</f>
        <v>0</v>
      </c>
      <c r="C85" s="625" t="s">
        <v>1222</v>
      </c>
    </row>
    <row r="86" ht="15.75" customHeight="1">
      <c r="A86" s="637" t="s">
        <v>1251</v>
      </c>
      <c r="B86" s="624">
        <f>Priv!E71</f>
        <v>0</v>
      </c>
      <c r="C86" s="625" t="s">
        <v>1222</v>
      </c>
    </row>
    <row r="87" ht="15.75" customHeight="1">
      <c r="A87" s="637" t="s">
        <v>1252</v>
      </c>
      <c r="B87" s="624">
        <f>Priv!F71</f>
        <v>0</v>
      </c>
      <c r="C87" s="625" t="s">
        <v>1222</v>
      </c>
    </row>
    <row r="88" ht="15.75" customHeight="1">
      <c r="A88" s="637" t="s">
        <v>1253</v>
      </c>
      <c r="B88" s="624">
        <f>Priv!G71</f>
        <v>0</v>
      </c>
      <c r="C88" s="625" t="s">
        <v>1222</v>
      </c>
    </row>
    <row r="89" ht="15.75" customHeight="1">
      <c r="A89" s="637" t="s">
        <v>1254</v>
      </c>
      <c r="B89" s="624">
        <f>Priv!H71</f>
        <v>0</v>
      </c>
      <c r="C89" s="625" t="s">
        <v>1222</v>
      </c>
    </row>
    <row r="90" ht="15.75" customHeight="1">
      <c r="A90" s="637" t="s">
        <v>1255</v>
      </c>
      <c r="B90" s="624">
        <f>Priv!I71</f>
        <v>0</v>
      </c>
      <c r="C90" s="625" t="s">
        <v>1222</v>
      </c>
    </row>
    <row r="91" ht="15.75" customHeight="1">
      <c r="A91" s="637" t="s">
        <v>1256</v>
      </c>
      <c r="B91" s="624">
        <f>Priv!J71</f>
        <v>0</v>
      </c>
      <c r="C91" s="625" t="s">
        <v>1222</v>
      </c>
    </row>
    <row r="92" ht="15.75" customHeight="1">
      <c r="A92" s="624" t="s">
        <v>1257</v>
      </c>
      <c r="B92" s="624">
        <f>Priv!D72</f>
        <v>0</v>
      </c>
      <c r="C92" s="625" t="s">
        <v>1222</v>
      </c>
    </row>
    <row r="93" ht="15.75" customHeight="1">
      <c r="A93" s="637" t="s">
        <v>1258</v>
      </c>
      <c r="B93" s="624">
        <f>Priv!E72</f>
        <v>0</v>
      </c>
      <c r="C93" s="625" t="s">
        <v>1222</v>
      </c>
    </row>
    <row r="94" ht="15.75" customHeight="1">
      <c r="A94" s="637" t="s">
        <v>1259</v>
      </c>
      <c r="B94" s="624">
        <f>Priv!F72</f>
        <v>0</v>
      </c>
      <c r="C94" s="625" t="s">
        <v>1222</v>
      </c>
    </row>
    <row r="95" ht="15.75" customHeight="1">
      <c r="A95" s="637" t="s">
        <v>1260</v>
      </c>
      <c r="B95" s="624">
        <f>Priv!G72</f>
        <v>0</v>
      </c>
      <c r="C95" s="625" t="s">
        <v>1222</v>
      </c>
    </row>
    <row r="96" ht="15.75" customHeight="1">
      <c r="A96" s="637" t="s">
        <v>1261</v>
      </c>
      <c r="B96" s="624">
        <f>Priv!H72</f>
        <v>0</v>
      </c>
      <c r="C96" s="625" t="s">
        <v>1222</v>
      </c>
    </row>
    <row r="97" ht="15.75" customHeight="1">
      <c r="A97" s="637" t="s">
        <v>1262</v>
      </c>
      <c r="B97" s="624">
        <f>Priv!I72</f>
        <v>0</v>
      </c>
      <c r="C97" s="625" t="s">
        <v>1222</v>
      </c>
    </row>
    <row r="98" ht="15.75" customHeight="1">
      <c r="A98" s="637" t="s">
        <v>1263</v>
      </c>
      <c r="B98" s="624">
        <f>Priv!J72</f>
        <v>0</v>
      </c>
      <c r="C98" s="625" t="s">
        <v>1222</v>
      </c>
    </row>
    <row r="99" ht="15.75" customHeight="1">
      <c r="A99" s="624" t="s">
        <v>476</v>
      </c>
      <c r="B99" s="624">
        <f>Priv!C79</f>
        <v>0</v>
      </c>
      <c r="C99" s="625" t="s">
        <v>1264</v>
      </c>
    </row>
    <row r="100" ht="15.75" customHeight="1">
      <c r="A100" s="624" t="s">
        <v>1265</v>
      </c>
      <c r="B100" s="624">
        <f>Priv!C80</f>
        <v>0</v>
      </c>
      <c r="C100" s="625" t="s">
        <v>1264</v>
      </c>
    </row>
    <row r="101" ht="15.75" customHeight="1">
      <c r="A101" s="624" t="s">
        <v>1266</v>
      </c>
      <c r="B101" s="624">
        <f>Priv!C81</f>
        <v>0</v>
      </c>
      <c r="C101" s="625" t="s">
        <v>1264</v>
      </c>
    </row>
    <row r="102" ht="15.75" customHeight="1">
      <c r="A102" s="624" t="s">
        <v>1267</v>
      </c>
      <c r="B102" s="624">
        <f>Priv!C82</f>
        <v>0</v>
      </c>
      <c r="C102" s="625" t="s">
        <v>1264</v>
      </c>
    </row>
    <row r="103" ht="15.75" customHeight="1">
      <c r="A103" s="624" t="s">
        <v>1268</v>
      </c>
      <c r="B103" s="624">
        <f>Priv!C83</f>
        <v>0</v>
      </c>
      <c r="C103" s="625" t="s">
        <v>1264</v>
      </c>
    </row>
    <row r="104" ht="15.75" customHeight="1">
      <c r="A104" s="624" t="s">
        <v>1269</v>
      </c>
      <c r="B104" s="624">
        <f>Priv!C84</f>
        <v>0</v>
      </c>
      <c r="C104" s="625" t="s">
        <v>1264</v>
      </c>
    </row>
    <row r="105" ht="15.75" customHeight="1">
      <c r="A105" s="624" t="s">
        <v>1270</v>
      </c>
      <c r="B105" s="624">
        <f>Priv!C85</f>
        <v>0</v>
      </c>
      <c r="C105" s="625" t="s">
        <v>1264</v>
      </c>
    </row>
    <row r="106" ht="15.75" customHeight="1">
      <c r="A106" s="624" t="s">
        <v>1271</v>
      </c>
      <c r="B106" s="624">
        <f>Priv!C86</f>
        <v>0</v>
      </c>
      <c r="C106" s="625" t="s">
        <v>1264</v>
      </c>
    </row>
    <row r="107" ht="15.75" customHeight="1">
      <c r="A107" s="624" t="s">
        <v>1272</v>
      </c>
      <c r="B107" s="624">
        <f>Priv!C87</f>
        <v>0</v>
      </c>
      <c r="C107" s="625" t="s">
        <v>1264</v>
      </c>
    </row>
    <row r="108" ht="15.75" customHeight="1">
      <c r="A108" s="624" t="s">
        <v>1273</v>
      </c>
      <c r="B108" s="624">
        <f>Priv!G79</f>
        <v>0</v>
      </c>
      <c r="C108" s="625" t="s">
        <v>1264</v>
      </c>
    </row>
    <row r="109" ht="15.75" customHeight="1">
      <c r="A109" s="624" t="s">
        <v>1274</v>
      </c>
      <c r="B109" s="624">
        <f>Priv!G80</f>
        <v>0</v>
      </c>
      <c r="C109" s="625" t="s">
        <v>1264</v>
      </c>
    </row>
    <row r="110" ht="15.75" customHeight="1">
      <c r="A110" s="624" t="s">
        <v>1275</v>
      </c>
      <c r="B110" s="624">
        <f>Priv!G81</f>
        <v>0</v>
      </c>
      <c r="C110" s="625" t="s">
        <v>1264</v>
      </c>
    </row>
    <row r="111" ht="15.75" customHeight="1">
      <c r="A111" s="624" t="s">
        <v>1276</v>
      </c>
      <c r="B111" s="624">
        <f>Priv!G82</f>
        <v>0</v>
      </c>
      <c r="C111" s="625" t="s">
        <v>1264</v>
      </c>
    </row>
    <row r="112" ht="15.75" customHeight="1">
      <c r="A112" s="624" t="s">
        <v>1277</v>
      </c>
      <c r="B112" s="624">
        <f>Priv!G83</f>
        <v>0</v>
      </c>
      <c r="C112" s="625" t="s">
        <v>1264</v>
      </c>
    </row>
    <row r="113" ht="15.75" customHeight="1">
      <c r="A113" s="624" t="s">
        <v>1278</v>
      </c>
      <c r="B113" s="624">
        <f>Priv!G84</f>
        <v>0</v>
      </c>
      <c r="C113" s="625" t="s">
        <v>1264</v>
      </c>
    </row>
    <row r="114" ht="15.75" customHeight="1">
      <c r="A114" s="624" t="s">
        <v>1279</v>
      </c>
      <c r="B114" s="624">
        <f>Priv!G85</f>
        <v>0</v>
      </c>
      <c r="C114" s="625" t="s">
        <v>1264</v>
      </c>
    </row>
    <row r="115" ht="15.75" customHeight="1">
      <c r="A115" s="624" t="s">
        <v>1280</v>
      </c>
      <c r="B115" s="624">
        <f>Priv!G86</f>
        <v>0</v>
      </c>
      <c r="C115" s="625" t="s">
        <v>1264</v>
      </c>
    </row>
    <row r="116" ht="15.75" customHeight="1">
      <c r="A116" s="624" t="s">
        <v>1281</v>
      </c>
      <c r="B116" s="624">
        <f>Priv!G87</f>
        <v>0</v>
      </c>
      <c r="C116" s="625" t="s">
        <v>1264</v>
      </c>
    </row>
    <row r="117" ht="15.75" customHeight="1">
      <c r="A117" s="624" t="s">
        <v>1282</v>
      </c>
      <c r="B117" s="624">
        <f>Priv!G88</f>
        <v>0</v>
      </c>
      <c r="C117" s="625" t="s">
        <v>1264</v>
      </c>
    </row>
    <row r="118" ht="15.75" customHeight="1">
      <c r="A118" s="624" t="s">
        <v>1283</v>
      </c>
      <c r="B118" s="624">
        <f>Priv!K79</f>
        <v>0</v>
      </c>
      <c r="C118" s="625" t="s">
        <v>1264</v>
      </c>
    </row>
    <row r="119" ht="15.75" customHeight="1">
      <c r="A119" s="624" t="s">
        <v>1284</v>
      </c>
      <c r="B119" s="624">
        <f>Priv!K80</f>
        <v>0</v>
      </c>
      <c r="C119" s="625" t="s">
        <v>1264</v>
      </c>
    </row>
    <row r="120" ht="15.75" customHeight="1">
      <c r="A120" s="624" t="s">
        <v>1285</v>
      </c>
      <c r="B120" s="624">
        <f>Priv!K81</f>
        <v>0</v>
      </c>
      <c r="C120" s="625" t="s">
        <v>1264</v>
      </c>
    </row>
    <row r="121" ht="15.75" customHeight="1">
      <c r="A121" s="624" t="s">
        <v>1286</v>
      </c>
      <c r="B121" s="624">
        <f>Priv!K82</f>
        <v>0</v>
      </c>
      <c r="C121" s="625" t="s">
        <v>1264</v>
      </c>
    </row>
    <row r="122" ht="15.75" customHeight="1">
      <c r="A122" s="624" t="s">
        <v>1287</v>
      </c>
      <c r="B122" s="624">
        <f>Priv!K83</f>
        <v>0</v>
      </c>
      <c r="C122" s="625" t="s">
        <v>1264</v>
      </c>
    </row>
    <row r="123" ht="15.75" customHeight="1">
      <c r="A123" s="624" t="s">
        <v>1288</v>
      </c>
      <c r="B123" s="624">
        <f>Priv!K84</f>
        <v>0</v>
      </c>
      <c r="C123" s="625" t="s">
        <v>1264</v>
      </c>
    </row>
    <row r="124" ht="15.75" customHeight="1">
      <c r="A124" s="624" t="s">
        <v>1289</v>
      </c>
      <c r="B124" s="624">
        <f>Priv!K85</f>
        <v>0</v>
      </c>
      <c r="C124" s="625" t="s">
        <v>1264</v>
      </c>
    </row>
    <row r="125" ht="15.75" customHeight="1">
      <c r="A125" s="624" t="s">
        <v>1290</v>
      </c>
      <c r="B125" s="624">
        <f>Priv!K86</f>
        <v>0</v>
      </c>
      <c r="C125" s="625" t="s">
        <v>1264</v>
      </c>
    </row>
    <row r="126" ht="15.75" customHeight="1">
      <c r="A126" s="624" t="s">
        <v>1291</v>
      </c>
      <c r="B126" s="624">
        <f>Priv!K87</f>
        <v>0</v>
      </c>
      <c r="C126" s="625" t="s">
        <v>1264</v>
      </c>
    </row>
    <row r="127" ht="15.75" customHeight="1">
      <c r="A127" s="624" t="s">
        <v>487</v>
      </c>
      <c r="B127" s="624">
        <f>Priv!C93</f>
        <v>0</v>
      </c>
      <c r="C127" s="625" t="s">
        <v>1292</v>
      </c>
    </row>
    <row r="128" ht="15.75" customHeight="1">
      <c r="A128" s="637" t="s">
        <v>488</v>
      </c>
      <c r="B128" s="624">
        <f>Priv!C94</f>
        <v>0</v>
      </c>
      <c r="C128" s="625" t="s">
        <v>1292</v>
      </c>
    </row>
    <row r="129" ht="15.75" customHeight="1">
      <c r="A129" s="637" t="s">
        <v>489</v>
      </c>
      <c r="B129" s="624">
        <f>Priv!C95</f>
        <v>0</v>
      </c>
      <c r="C129" s="625" t="s">
        <v>1292</v>
      </c>
    </row>
    <row r="130" ht="15.75" customHeight="1">
      <c r="A130" s="637" t="s">
        <v>490</v>
      </c>
      <c r="B130" s="624">
        <f>Priv!G93</f>
        <v>0</v>
      </c>
      <c r="C130" s="625" t="s">
        <v>1292</v>
      </c>
    </row>
    <row r="131" ht="15.75" customHeight="1">
      <c r="A131" s="637" t="s">
        <v>491</v>
      </c>
      <c r="B131" s="624">
        <f>Priv!G94</f>
        <v>0</v>
      </c>
      <c r="C131" s="625" t="s">
        <v>1292</v>
      </c>
    </row>
    <row r="132" ht="15.75" customHeight="1">
      <c r="A132" s="637" t="s">
        <v>492</v>
      </c>
      <c r="B132" s="624">
        <f>Priv!G95</f>
        <v>0</v>
      </c>
      <c r="C132" s="625" t="s">
        <v>1292</v>
      </c>
    </row>
    <row r="133" ht="15.75" customHeight="1">
      <c r="A133" s="637" t="s">
        <v>493</v>
      </c>
      <c r="B133" s="624">
        <f>Priv!G96</f>
        <v>0</v>
      </c>
      <c r="C133" s="625" t="s">
        <v>1292</v>
      </c>
    </row>
    <row r="134" ht="15.75" customHeight="1">
      <c r="A134" s="637" t="s">
        <v>1293</v>
      </c>
      <c r="B134" s="624">
        <f>Priv!K93</f>
        <v>0</v>
      </c>
      <c r="C134" s="625" t="s">
        <v>1292</v>
      </c>
    </row>
    <row r="135" ht="15.75" customHeight="1">
      <c r="A135" s="637" t="s">
        <v>1294</v>
      </c>
      <c r="B135" s="624">
        <f>Priv!K94</f>
        <v>0</v>
      </c>
      <c r="C135" s="625" t="s">
        <v>1292</v>
      </c>
    </row>
    <row r="136" ht="15.75" customHeight="1">
      <c r="A136" s="637" t="s">
        <v>1295</v>
      </c>
      <c r="B136" s="624">
        <f>Priv!K95</f>
        <v>0</v>
      </c>
      <c r="C136" s="625" t="s">
        <v>1292</v>
      </c>
    </row>
    <row r="137" ht="15.75" customHeight="1">
      <c r="A137" s="637" t="s">
        <v>1296</v>
      </c>
      <c r="B137" s="624">
        <f>Priv!K96</f>
        <v>0</v>
      </c>
      <c r="C137" s="625" t="s">
        <v>1292</v>
      </c>
    </row>
    <row r="138" ht="15.75" customHeight="1">
      <c r="A138" s="624" t="s">
        <v>494</v>
      </c>
      <c r="B138" s="624">
        <f>Priv!A102</f>
        <v>0</v>
      </c>
      <c r="C138" s="625" t="s">
        <v>1297</v>
      </c>
    </row>
    <row r="139" ht="15.75" customHeight="1">
      <c r="A139" s="626" t="s">
        <v>496</v>
      </c>
      <c r="B139" s="626">
        <f>Priv!C102</f>
        <v>0</v>
      </c>
      <c r="C139" s="627" t="s">
        <v>1297</v>
      </c>
    </row>
    <row r="140" ht="15.75" customHeight="1">
      <c r="A140" s="626" t="s">
        <v>497</v>
      </c>
      <c r="B140" s="626">
        <f>Priv!E102</f>
        <v>0</v>
      </c>
      <c r="C140" s="627" t="s">
        <v>1297</v>
      </c>
    </row>
    <row r="141" ht="15.75" customHeight="1">
      <c r="A141" s="626" t="s">
        <v>498</v>
      </c>
      <c r="B141" s="626">
        <f>Priv!F102</f>
        <v>0</v>
      </c>
      <c r="C141" s="627" t="s">
        <v>1297</v>
      </c>
    </row>
    <row r="142" ht="15.75" customHeight="1">
      <c r="A142" s="626" t="s">
        <v>499</v>
      </c>
      <c r="B142" s="626">
        <f>Priv!G102</f>
        <v>0</v>
      </c>
      <c r="C142" s="627" t="s">
        <v>1297</v>
      </c>
    </row>
    <row r="143" ht="15.75" customHeight="1">
      <c r="A143" s="624" t="s">
        <v>500</v>
      </c>
      <c r="B143" s="624">
        <f>Priv!H102</f>
        <v>0</v>
      </c>
      <c r="C143" s="625" t="s">
        <v>1297</v>
      </c>
    </row>
    <row r="144" ht="15.75" customHeight="1">
      <c r="A144" s="624" t="s">
        <v>558</v>
      </c>
      <c r="B144" s="624">
        <f>Priv!A109</f>
        <v>0</v>
      </c>
      <c r="C144" s="625" t="s">
        <v>1298</v>
      </c>
    </row>
    <row r="145" ht="15.75" customHeight="1">
      <c r="A145" s="624" t="s">
        <v>1299</v>
      </c>
      <c r="B145" s="624">
        <f>Priv!D109</f>
        <v>0</v>
      </c>
      <c r="C145" s="625" t="s">
        <v>1298</v>
      </c>
    </row>
    <row r="146" ht="15.75" customHeight="1">
      <c r="A146" s="624" t="s">
        <v>1300</v>
      </c>
      <c r="B146" s="624">
        <f>Priv!G109</f>
        <v>0</v>
      </c>
      <c r="C146" s="625" t="s">
        <v>1298</v>
      </c>
    </row>
    <row r="147" ht="15.75" customHeight="1">
      <c r="A147" s="626" t="s">
        <v>620</v>
      </c>
      <c r="B147" s="626">
        <f>Priv!C116</f>
        <v>0</v>
      </c>
      <c r="C147" s="627" t="s">
        <v>1301</v>
      </c>
    </row>
    <row r="148" ht="15.75" customHeight="1">
      <c r="A148" s="626" t="s">
        <v>1302</v>
      </c>
      <c r="B148" s="626">
        <f>Priv!D116</f>
        <v>0</v>
      </c>
      <c r="C148" s="627" t="s">
        <v>1301</v>
      </c>
    </row>
    <row r="149" ht="15.75" customHeight="1">
      <c r="A149" s="626" t="s">
        <v>1303</v>
      </c>
      <c r="B149" s="626" t="str">
        <f>Priv!#REF!</f>
        <v>#ERROR!</v>
      </c>
      <c r="C149" s="627" t="s">
        <v>1301</v>
      </c>
    </row>
    <row r="150" ht="15.75" customHeight="1">
      <c r="A150" s="626" t="s">
        <v>1304</v>
      </c>
      <c r="B150" s="626" t="str">
        <f>Priv!#REF!</f>
        <v>#ERROR!</v>
      </c>
      <c r="C150" s="627" t="s">
        <v>1301</v>
      </c>
    </row>
    <row r="151" ht="15.75" customHeight="1">
      <c r="A151" s="626" t="s">
        <v>1305</v>
      </c>
      <c r="B151" s="626">
        <f>Priv!E116</f>
        <v>0</v>
      </c>
      <c r="C151" s="627" t="s">
        <v>1301</v>
      </c>
    </row>
    <row r="152" ht="15.75" customHeight="1">
      <c r="A152" s="626" t="s">
        <v>1306</v>
      </c>
      <c r="B152" s="626">
        <f>Priv!F116</f>
        <v>0</v>
      </c>
      <c r="C152" s="627" t="s">
        <v>1301</v>
      </c>
    </row>
    <row r="153" ht="15.75" customHeight="1">
      <c r="A153" s="626" t="s">
        <v>1307</v>
      </c>
      <c r="B153" s="626" t="str">
        <f>Priv!#REF!</f>
        <v>#ERROR!</v>
      </c>
      <c r="C153" s="627" t="s">
        <v>1301</v>
      </c>
    </row>
    <row r="154" ht="15.75" customHeight="1">
      <c r="A154" s="626" t="s">
        <v>1308</v>
      </c>
      <c r="B154" s="626" t="str">
        <f>Priv!#REF!</f>
        <v>#ERROR!</v>
      </c>
      <c r="C154" s="627" t="s">
        <v>1301</v>
      </c>
    </row>
    <row r="155" ht="15.75" customHeight="1">
      <c r="A155" s="626" t="s">
        <v>1309</v>
      </c>
      <c r="B155" s="626">
        <f>Priv!G116</f>
        <v>0</v>
      </c>
      <c r="C155" s="627" t="s">
        <v>1301</v>
      </c>
    </row>
    <row r="156" ht="15.75" customHeight="1">
      <c r="A156" s="626" t="s">
        <v>1310</v>
      </c>
      <c r="B156" s="626">
        <f>Priv!H116</f>
        <v>0</v>
      </c>
      <c r="C156" s="627" t="s">
        <v>1301</v>
      </c>
    </row>
    <row r="157" ht="15.75" customHeight="1">
      <c r="A157" s="626" t="s">
        <v>622</v>
      </c>
      <c r="B157" s="626">
        <f>Priv!C117</f>
        <v>0</v>
      </c>
      <c r="C157" s="627" t="s">
        <v>1301</v>
      </c>
    </row>
    <row r="158" ht="15.75" customHeight="1">
      <c r="A158" s="626" t="s">
        <v>1311</v>
      </c>
      <c r="B158" s="626">
        <f>Priv!D117</f>
        <v>0</v>
      </c>
      <c r="C158" s="627" t="s">
        <v>1301</v>
      </c>
    </row>
    <row r="159" ht="15.75" customHeight="1">
      <c r="A159" s="626" t="s">
        <v>1312</v>
      </c>
      <c r="B159" s="626" t="str">
        <f>Priv!#REF!</f>
        <v>#ERROR!</v>
      </c>
      <c r="C159" s="627" t="s">
        <v>1301</v>
      </c>
    </row>
    <row r="160" ht="15.75" customHeight="1">
      <c r="A160" s="626" t="s">
        <v>1313</v>
      </c>
      <c r="B160" s="626" t="str">
        <f>Priv!#REF!</f>
        <v>#ERROR!</v>
      </c>
      <c r="C160" s="627" t="s">
        <v>1301</v>
      </c>
    </row>
    <row r="161" ht="15.75" customHeight="1">
      <c r="A161" s="626" t="s">
        <v>1314</v>
      </c>
      <c r="B161" s="626">
        <f>Priv!E117</f>
        <v>0</v>
      </c>
      <c r="C161" s="627" t="s">
        <v>1301</v>
      </c>
    </row>
    <row r="162" ht="15.75" customHeight="1">
      <c r="A162" s="626" t="s">
        <v>1315</v>
      </c>
      <c r="B162" s="626">
        <f>Priv!F117</f>
        <v>0</v>
      </c>
      <c r="C162" s="627" t="s">
        <v>1301</v>
      </c>
    </row>
    <row r="163" ht="15.75" customHeight="1">
      <c r="A163" s="626" t="s">
        <v>1316</v>
      </c>
      <c r="B163" s="626" t="str">
        <f>Priv!#REF!</f>
        <v>#ERROR!</v>
      </c>
      <c r="C163" s="627" t="s">
        <v>1301</v>
      </c>
    </row>
    <row r="164" ht="15.75" customHeight="1">
      <c r="A164" s="626" t="s">
        <v>1317</v>
      </c>
      <c r="B164" s="626" t="str">
        <f>Priv!#REF!</f>
        <v>#ERROR!</v>
      </c>
      <c r="C164" s="627" t="s">
        <v>1301</v>
      </c>
    </row>
    <row r="165" ht="15.75" customHeight="1">
      <c r="A165" s="626" t="s">
        <v>1318</v>
      </c>
      <c r="B165" s="626">
        <f>Priv!G117</f>
        <v>0</v>
      </c>
      <c r="C165" s="627" t="s">
        <v>1301</v>
      </c>
    </row>
    <row r="166" ht="15.75" customHeight="1">
      <c r="A166" s="626" t="s">
        <v>1319</v>
      </c>
      <c r="B166" s="626">
        <f>Priv!H117</f>
        <v>0</v>
      </c>
      <c r="C166" s="627" t="s">
        <v>1301</v>
      </c>
    </row>
    <row r="167" ht="15.75" customHeight="1">
      <c r="A167" s="626" t="s">
        <v>623</v>
      </c>
      <c r="B167" s="626">
        <f>Priv!C118</f>
        <v>0</v>
      </c>
      <c r="C167" s="627" t="s">
        <v>1301</v>
      </c>
    </row>
    <row r="168" ht="15.75" customHeight="1">
      <c r="A168" s="626" t="s">
        <v>1320</v>
      </c>
      <c r="B168" s="626">
        <f>Priv!D118</f>
        <v>0</v>
      </c>
      <c r="C168" s="627" t="s">
        <v>1301</v>
      </c>
    </row>
    <row r="169" ht="15.75" customHeight="1">
      <c r="A169" s="626" t="s">
        <v>1321</v>
      </c>
      <c r="B169" s="626" t="str">
        <f>Priv!#REF!</f>
        <v>#ERROR!</v>
      </c>
      <c r="C169" s="627" t="s">
        <v>1301</v>
      </c>
    </row>
    <row r="170" ht="15.75" customHeight="1">
      <c r="A170" s="626" t="s">
        <v>1322</v>
      </c>
      <c r="B170" s="626" t="str">
        <f>Priv!#REF!</f>
        <v>#ERROR!</v>
      </c>
      <c r="C170" s="627" t="s">
        <v>1301</v>
      </c>
    </row>
    <row r="171" ht="15.75" customHeight="1">
      <c r="A171" s="626" t="s">
        <v>1323</v>
      </c>
      <c r="B171" s="626">
        <f>Priv!E118</f>
        <v>0</v>
      </c>
      <c r="C171" s="627" t="s">
        <v>1301</v>
      </c>
    </row>
    <row r="172" ht="15.75" customHeight="1">
      <c r="A172" s="626" t="s">
        <v>1324</v>
      </c>
      <c r="B172" s="626">
        <f>Priv!F118</f>
        <v>0</v>
      </c>
      <c r="C172" s="627" t="s">
        <v>1301</v>
      </c>
    </row>
    <row r="173" ht="15.75" customHeight="1">
      <c r="A173" s="626" t="s">
        <v>1325</v>
      </c>
      <c r="B173" s="626" t="str">
        <f>Priv!#REF!</f>
        <v>#ERROR!</v>
      </c>
      <c r="C173" s="627" t="s">
        <v>1301</v>
      </c>
    </row>
    <row r="174" ht="15.75" customHeight="1">
      <c r="A174" s="626" t="s">
        <v>1326</v>
      </c>
      <c r="B174" s="626" t="str">
        <f>Priv!#REF!</f>
        <v>#ERROR!</v>
      </c>
      <c r="C174" s="627" t="s">
        <v>1301</v>
      </c>
    </row>
    <row r="175" ht="15.75" customHeight="1">
      <c r="A175" s="626" t="s">
        <v>1327</v>
      </c>
      <c r="B175" s="626">
        <f>Priv!G118</f>
        <v>0</v>
      </c>
      <c r="C175" s="627" t="s">
        <v>1301</v>
      </c>
    </row>
    <row r="176" ht="15.75" customHeight="1">
      <c r="A176" s="626" t="s">
        <v>1328</v>
      </c>
      <c r="B176" s="626">
        <f>Priv!H118</f>
        <v>0</v>
      </c>
      <c r="C176" s="627" t="s">
        <v>1301</v>
      </c>
    </row>
    <row r="177" ht="15.75" customHeight="1">
      <c r="A177" s="626" t="s">
        <v>624</v>
      </c>
      <c r="B177" s="626">
        <f>Priv!C119</f>
        <v>0</v>
      </c>
      <c r="C177" s="627" t="s">
        <v>1301</v>
      </c>
    </row>
    <row r="178" ht="15.75" customHeight="1">
      <c r="A178" s="626" t="s">
        <v>1329</v>
      </c>
      <c r="B178" s="626">
        <f>Priv!D119</f>
        <v>0</v>
      </c>
      <c r="C178" s="627" t="s">
        <v>1301</v>
      </c>
    </row>
    <row r="179" ht="15.75" customHeight="1">
      <c r="A179" s="626" t="s">
        <v>1330</v>
      </c>
      <c r="B179" s="626" t="str">
        <f>Priv!#REF!</f>
        <v>#ERROR!</v>
      </c>
      <c r="C179" s="627" t="s">
        <v>1301</v>
      </c>
    </row>
    <row r="180" ht="15.75" customHeight="1">
      <c r="A180" s="626" t="s">
        <v>1331</v>
      </c>
      <c r="B180" s="626" t="str">
        <f>Priv!#REF!</f>
        <v>#ERROR!</v>
      </c>
      <c r="C180" s="627" t="s">
        <v>1301</v>
      </c>
    </row>
    <row r="181" ht="15.75" customHeight="1">
      <c r="A181" s="626" t="s">
        <v>1332</v>
      </c>
      <c r="B181" s="626">
        <f>Priv!E119</f>
        <v>0</v>
      </c>
      <c r="C181" s="627" t="s">
        <v>1301</v>
      </c>
    </row>
    <row r="182" ht="15.75" customHeight="1">
      <c r="A182" s="626" t="s">
        <v>1333</v>
      </c>
      <c r="B182" s="626">
        <f>Priv!F119</f>
        <v>0</v>
      </c>
      <c r="C182" s="627" t="s">
        <v>1301</v>
      </c>
    </row>
    <row r="183" ht="15.75" customHeight="1">
      <c r="A183" s="626" t="s">
        <v>1334</v>
      </c>
      <c r="B183" s="626" t="str">
        <f>Priv!#REF!</f>
        <v>#ERROR!</v>
      </c>
      <c r="C183" s="627" t="s">
        <v>1301</v>
      </c>
    </row>
    <row r="184" ht="15.75" customHeight="1">
      <c r="A184" s="626" t="s">
        <v>1335</v>
      </c>
      <c r="B184" s="626" t="str">
        <f>Priv!#REF!</f>
        <v>#ERROR!</v>
      </c>
      <c r="C184" s="627" t="s">
        <v>1301</v>
      </c>
    </row>
    <row r="185" ht="15.75" customHeight="1">
      <c r="A185" s="626" t="s">
        <v>1336</v>
      </c>
      <c r="B185" s="626">
        <f>Priv!G119</f>
        <v>0</v>
      </c>
      <c r="C185" s="627" t="s">
        <v>1301</v>
      </c>
    </row>
    <row r="186" ht="15.75" customHeight="1">
      <c r="A186" s="626" t="s">
        <v>1337</v>
      </c>
      <c r="B186" s="626">
        <f>Priv!H119</f>
        <v>0</v>
      </c>
      <c r="C186" s="627" t="s">
        <v>1301</v>
      </c>
    </row>
    <row r="187" ht="15.75" customHeight="1">
      <c r="A187" s="626" t="s">
        <v>625</v>
      </c>
      <c r="B187" s="626">
        <f>Priv!C120</f>
        <v>0</v>
      </c>
      <c r="C187" s="627" t="s">
        <v>1301</v>
      </c>
    </row>
    <row r="188" ht="15.75" customHeight="1">
      <c r="A188" s="626" t="s">
        <v>1338</v>
      </c>
      <c r="B188" s="626">
        <f>Priv!D120</f>
        <v>0</v>
      </c>
      <c r="C188" s="627" t="s">
        <v>1301</v>
      </c>
    </row>
    <row r="189" ht="15.75" customHeight="1">
      <c r="A189" s="626" t="s">
        <v>1339</v>
      </c>
      <c r="B189" s="626" t="str">
        <f>Priv!#REF!</f>
        <v>#ERROR!</v>
      </c>
      <c r="C189" s="627" t="s">
        <v>1301</v>
      </c>
    </row>
    <row r="190" ht="15.75" customHeight="1">
      <c r="A190" s="626" t="s">
        <v>1340</v>
      </c>
      <c r="B190" s="626" t="str">
        <f>Priv!#REF!</f>
        <v>#ERROR!</v>
      </c>
      <c r="C190" s="627" t="s">
        <v>1301</v>
      </c>
    </row>
    <row r="191" ht="15.75" customHeight="1">
      <c r="A191" s="626" t="s">
        <v>1341</v>
      </c>
      <c r="B191" s="626">
        <f>Priv!E120</f>
        <v>0</v>
      </c>
      <c r="C191" s="627" t="s">
        <v>1301</v>
      </c>
    </row>
    <row r="192" ht="15.75" customHeight="1">
      <c r="A192" s="626" t="s">
        <v>1342</v>
      </c>
      <c r="B192" s="626">
        <f>Priv!F120</f>
        <v>0</v>
      </c>
      <c r="C192" s="627" t="s">
        <v>1301</v>
      </c>
    </row>
    <row r="193" ht="15.75" customHeight="1">
      <c r="A193" s="626" t="s">
        <v>1343</v>
      </c>
      <c r="B193" s="626" t="str">
        <f>Priv!#REF!</f>
        <v>#ERROR!</v>
      </c>
      <c r="C193" s="627" t="s">
        <v>1301</v>
      </c>
    </row>
    <row r="194" ht="15.75" customHeight="1">
      <c r="A194" s="626" t="s">
        <v>1344</v>
      </c>
      <c r="B194" s="626" t="str">
        <f>Priv!#REF!</f>
        <v>#ERROR!</v>
      </c>
      <c r="C194" s="627" t="s">
        <v>1301</v>
      </c>
    </row>
    <row r="195" ht="15.75" customHeight="1">
      <c r="A195" s="626" t="s">
        <v>1345</v>
      </c>
      <c r="B195" s="626">
        <f>Priv!G120</f>
        <v>0</v>
      </c>
      <c r="C195" s="627" t="s">
        <v>1301</v>
      </c>
    </row>
    <row r="196" ht="15.75" customHeight="1">
      <c r="A196" s="626" t="s">
        <v>1346</v>
      </c>
      <c r="B196" s="626">
        <f>Priv!H120</f>
        <v>0</v>
      </c>
      <c r="C196" s="627" t="s">
        <v>1301</v>
      </c>
    </row>
    <row r="197" ht="15.75" customHeight="1">
      <c r="A197" s="626" t="s">
        <v>626</v>
      </c>
      <c r="B197" s="626">
        <f>Priv!C121</f>
        <v>0</v>
      </c>
      <c r="C197" s="627" t="s">
        <v>1301</v>
      </c>
    </row>
    <row r="198" ht="15.75" customHeight="1">
      <c r="A198" s="626" t="s">
        <v>1347</v>
      </c>
      <c r="B198" s="626">
        <f>Priv!D121</f>
        <v>0</v>
      </c>
      <c r="C198" s="627" t="s">
        <v>1301</v>
      </c>
    </row>
    <row r="199" ht="15.75" customHeight="1">
      <c r="A199" s="626" t="s">
        <v>1348</v>
      </c>
      <c r="B199" s="626" t="str">
        <f>Priv!#REF!</f>
        <v>#ERROR!</v>
      </c>
      <c r="C199" s="627" t="s">
        <v>1301</v>
      </c>
    </row>
    <row r="200" ht="15.75" customHeight="1">
      <c r="A200" s="626" t="s">
        <v>1349</v>
      </c>
      <c r="B200" s="626" t="str">
        <f>Priv!#REF!</f>
        <v>#ERROR!</v>
      </c>
      <c r="C200" s="627" t="s">
        <v>1301</v>
      </c>
    </row>
    <row r="201" ht="15.75" customHeight="1">
      <c r="A201" s="626" t="s">
        <v>1350</v>
      </c>
      <c r="B201" s="626">
        <f>Priv!E121</f>
        <v>0</v>
      </c>
      <c r="C201" s="627" t="s">
        <v>1301</v>
      </c>
    </row>
    <row r="202" ht="15.75" customHeight="1">
      <c r="A202" s="626" t="s">
        <v>1351</v>
      </c>
      <c r="B202" s="626">
        <f>Priv!F121</f>
        <v>0</v>
      </c>
      <c r="C202" s="627" t="s">
        <v>1301</v>
      </c>
    </row>
    <row r="203" ht="15.75" customHeight="1">
      <c r="A203" s="626" t="s">
        <v>1352</v>
      </c>
      <c r="B203" s="626" t="str">
        <f>Priv!#REF!</f>
        <v>#ERROR!</v>
      </c>
      <c r="C203" s="627" t="s">
        <v>1301</v>
      </c>
    </row>
    <row r="204" ht="15.75" customHeight="1">
      <c r="A204" s="626" t="s">
        <v>1353</v>
      </c>
      <c r="B204" s="626" t="str">
        <f>Priv!#REF!</f>
        <v>#ERROR!</v>
      </c>
      <c r="C204" s="627" t="s">
        <v>1301</v>
      </c>
    </row>
    <row r="205" ht="15.75" customHeight="1">
      <c r="A205" s="626" t="s">
        <v>1354</v>
      </c>
      <c r="B205" s="626">
        <f>Priv!G121</f>
        <v>0</v>
      </c>
      <c r="C205" s="627" t="s">
        <v>1301</v>
      </c>
    </row>
    <row r="206" ht="15.75" customHeight="1">
      <c r="A206" s="626" t="s">
        <v>1355</v>
      </c>
      <c r="B206" s="626">
        <f>Priv!H121</f>
        <v>0</v>
      </c>
      <c r="C206" s="627" t="s">
        <v>1301</v>
      </c>
    </row>
    <row r="207" ht="15.75" customHeight="1">
      <c r="A207" s="626" t="s">
        <v>641</v>
      </c>
      <c r="B207" s="626">
        <f>Priv!A127</f>
        <v>0</v>
      </c>
      <c r="C207" s="627" t="s">
        <v>1356</v>
      </c>
    </row>
    <row r="208" ht="15.75" customHeight="1">
      <c r="A208" s="626" t="s">
        <v>643</v>
      </c>
      <c r="B208" s="626">
        <f>Priv!D127</f>
        <v>0</v>
      </c>
      <c r="C208" s="627" t="s">
        <v>1356</v>
      </c>
    </row>
    <row r="209" ht="15.75" customHeight="1">
      <c r="A209" s="626" t="s">
        <v>644</v>
      </c>
      <c r="B209" s="626">
        <f>Priv!G127</f>
        <v>0</v>
      </c>
      <c r="C209" s="627" t="s">
        <v>1356</v>
      </c>
    </row>
    <row r="210" ht="15.75" customHeight="1">
      <c r="A210" s="626" t="s">
        <v>648</v>
      </c>
      <c r="B210" s="626">
        <f>Priv!D133</f>
        <v>0</v>
      </c>
      <c r="C210" s="627" t="s">
        <v>1357</v>
      </c>
    </row>
    <row r="211" ht="15.75" customHeight="1">
      <c r="A211" s="626" t="s">
        <v>650</v>
      </c>
      <c r="B211" s="626">
        <f>Priv!G133</f>
        <v>0</v>
      </c>
      <c r="C211" s="627" t="s">
        <v>1357</v>
      </c>
    </row>
    <row r="212" ht="15.75" customHeight="1">
      <c r="A212" s="626" t="s">
        <v>651</v>
      </c>
      <c r="B212" s="626" t="str">
        <f>Priv!#REF!</f>
        <v>#ERROR!</v>
      </c>
      <c r="C212" s="627" t="s">
        <v>1357</v>
      </c>
    </row>
    <row r="213" ht="15.75" customHeight="1">
      <c r="A213" s="626" t="s">
        <v>1358</v>
      </c>
      <c r="B213" s="626" t="str">
        <f>Priv!#REF!</f>
        <v>#ERROR!</v>
      </c>
      <c r="C213" s="627" t="s">
        <v>1357</v>
      </c>
    </row>
    <row r="214" ht="15.75" customHeight="1">
      <c r="A214" s="626" t="s">
        <v>1359</v>
      </c>
      <c r="B214" s="626" t="str">
        <f>Priv!#REF!</f>
        <v>#ERROR!</v>
      </c>
      <c r="C214" s="627" t="s">
        <v>1357</v>
      </c>
    </row>
    <row r="215" ht="15.75" customHeight="1">
      <c r="A215" s="626" t="s">
        <v>1360</v>
      </c>
      <c r="B215" s="626" t="str">
        <f>Priv!#REF!</f>
        <v>#ERROR!</v>
      </c>
      <c r="C215" s="627" t="s">
        <v>1357</v>
      </c>
    </row>
    <row r="216" ht="15.75" customHeight="1">
      <c r="A216" s="626" t="s">
        <v>1361</v>
      </c>
      <c r="B216" s="626">
        <f>Priv!D134</f>
        <v>0</v>
      </c>
      <c r="C216" s="627" t="s">
        <v>1357</v>
      </c>
    </row>
    <row r="217" ht="15.75" customHeight="1">
      <c r="A217" s="626" t="s">
        <v>1362</v>
      </c>
      <c r="B217" s="626">
        <f>Priv!G134</f>
        <v>0</v>
      </c>
      <c r="C217" s="627" t="s">
        <v>1357</v>
      </c>
    </row>
    <row r="218" ht="15.75" customHeight="1">
      <c r="A218" s="626" t="s">
        <v>1363</v>
      </c>
      <c r="B218" s="626" t="str">
        <f>Priv!#REF!</f>
        <v>#ERROR!</v>
      </c>
      <c r="C218" s="627" t="s">
        <v>1357</v>
      </c>
    </row>
    <row r="219" ht="15.75" customHeight="1">
      <c r="A219" s="626" t="s">
        <v>1364</v>
      </c>
      <c r="B219" s="626" t="str">
        <f>Priv!#REF!</f>
        <v>#ERROR!</v>
      </c>
      <c r="C219" s="627" t="s">
        <v>1357</v>
      </c>
    </row>
    <row r="220" ht="15.75" customHeight="1">
      <c r="A220" s="626" t="s">
        <v>1365</v>
      </c>
      <c r="B220" s="626" t="str">
        <f>Priv!#REF!</f>
        <v>#ERROR!</v>
      </c>
      <c r="C220" s="627" t="s">
        <v>1357</v>
      </c>
    </row>
    <row r="221" ht="15.75" customHeight="1">
      <c r="A221" s="626" t="s">
        <v>1366</v>
      </c>
      <c r="B221" s="626" t="str">
        <f>Priv!#REF!</f>
        <v>#ERROR!</v>
      </c>
      <c r="C221" s="627" t="s">
        <v>1357</v>
      </c>
    </row>
    <row r="222" ht="15.75" customHeight="1">
      <c r="A222" s="626" t="s">
        <v>1367</v>
      </c>
      <c r="B222" s="626">
        <f>Priv!D135</f>
        <v>0</v>
      </c>
      <c r="C222" s="627" t="s">
        <v>1357</v>
      </c>
    </row>
    <row r="223" ht="15.75" customHeight="1">
      <c r="A223" s="626" t="s">
        <v>1368</v>
      </c>
      <c r="B223" s="626">
        <f>Priv!G135</f>
        <v>0</v>
      </c>
      <c r="C223" s="627" t="s">
        <v>1357</v>
      </c>
    </row>
    <row r="224" ht="15.75" customHeight="1">
      <c r="A224" s="626" t="s">
        <v>1369</v>
      </c>
      <c r="B224" s="626" t="str">
        <f>Priv!#REF!</f>
        <v>#ERROR!</v>
      </c>
      <c r="C224" s="627" t="s">
        <v>1357</v>
      </c>
    </row>
    <row r="225" ht="15.75" customHeight="1">
      <c r="A225" s="626" t="s">
        <v>1370</v>
      </c>
      <c r="B225" s="626" t="str">
        <f>Priv!#REF!</f>
        <v>#ERROR!</v>
      </c>
      <c r="C225" s="627" t="s">
        <v>1357</v>
      </c>
    </row>
    <row r="226" ht="15.75" customHeight="1">
      <c r="A226" s="626" t="s">
        <v>1371</v>
      </c>
      <c r="B226" s="626" t="str">
        <f>Priv!#REF!</f>
        <v>#ERROR!</v>
      </c>
      <c r="C226" s="627" t="s">
        <v>1357</v>
      </c>
    </row>
    <row r="227" ht="15.75" customHeight="1">
      <c r="A227" s="626" t="s">
        <v>1372</v>
      </c>
      <c r="B227" s="626" t="str">
        <f>Priv!#REF!</f>
        <v>#ERROR!</v>
      </c>
      <c r="C227" s="627" t="s">
        <v>1357</v>
      </c>
    </row>
    <row r="228" ht="15.75" customHeight="1">
      <c r="A228" s="626" t="s">
        <v>1373</v>
      </c>
      <c r="B228" s="626">
        <f>Priv!D136</f>
        <v>0</v>
      </c>
      <c r="C228" s="627" t="s">
        <v>1357</v>
      </c>
    </row>
    <row r="229" ht="15.75" customHeight="1">
      <c r="A229" s="626" t="s">
        <v>1374</v>
      </c>
      <c r="B229" s="626">
        <f>Priv!G136</f>
        <v>0</v>
      </c>
      <c r="C229" s="627" t="s">
        <v>1357</v>
      </c>
    </row>
    <row r="230" ht="15.75" customHeight="1">
      <c r="A230" s="626" t="s">
        <v>1375</v>
      </c>
      <c r="B230" s="626" t="str">
        <f>Priv!#REF!</f>
        <v>#ERROR!</v>
      </c>
      <c r="C230" s="627" t="s">
        <v>1357</v>
      </c>
    </row>
    <row r="231" ht="15.75" customHeight="1">
      <c r="A231" s="626" t="s">
        <v>1376</v>
      </c>
      <c r="B231" s="626" t="str">
        <f>Priv!#REF!</f>
        <v>#ERROR!</v>
      </c>
      <c r="C231" s="627" t="s">
        <v>1357</v>
      </c>
    </row>
    <row r="232" ht="15.75" customHeight="1">
      <c r="A232" s="626" t="s">
        <v>1377</v>
      </c>
      <c r="B232" s="626" t="str">
        <f>Priv!#REF!</f>
        <v>#ERROR!</v>
      </c>
      <c r="C232" s="627" t="s">
        <v>1357</v>
      </c>
    </row>
    <row r="233" ht="15.75" customHeight="1">
      <c r="A233" s="626" t="s">
        <v>1378</v>
      </c>
      <c r="B233" s="626" t="str">
        <f>Priv!#REF!</f>
        <v>#ERROR!</v>
      </c>
      <c r="C233" s="627" t="s">
        <v>1357</v>
      </c>
    </row>
    <row r="234" ht="15.75" customHeight="1">
      <c r="A234" s="626" t="s">
        <v>1379</v>
      </c>
      <c r="B234" s="626">
        <f>Priv!D137</f>
        <v>0</v>
      </c>
      <c r="C234" s="627" t="s">
        <v>1357</v>
      </c>
    </row>
    <row r="235" ht="15.75" customHeight="1">
      <c r="A235" s="626" t="s">
        <v>1380</v>
      </c>
      <c r="B235" s="626">
        <f>Priv!G137</f>
        <v>0</v>
      </c>
      <c r="C235" s="627" t="s">
        <v>1357</v>
      </c>
    </row>
    <row r="236" ht="15.75" customHeight="1">
      <c r="A236" s="626" t="s">
        <v>1381</v>
      </c>
      <c r="B236" s="626" t="str">
        <f>Priv!#REF!</f>
        <v>#ERROR!</v>
      </c>
      <c r="C236" s="627" t="s">
        <v>1357</v>
      </c>
    </row>
    <row r="237" ht="15.75" customHeight="1">
      <c r="A237" s="626" t="s">
        <v>1382</v>
      </c>
      <c r="B237" s="626" t="str">
        <f>Priv!#REF!</f>
        <v>#ERROR!</v>
      </c>
      <c r="C237" s="627" t="s">
        <v>1357</v>
      </c>
    </row>
    <row r="238" ht="15.75" customHeight="1">
      <c r="A238" s="626" t="s">
        <v>1383</v>
      </c>
      <c r="B238" s="626" t="str">
        <f>Priv!#REF!</f>
        <v>#ERROR!</v>
      </c>
      <c r="C238" s="627" t="s">
        <v>1357</v>
      </c>
    </row>
    <row r="239" ht="15.75" customHeight="1">
      <c r="A239" s="626" t="s">
        <v>1384</v>
      </c>
      <c r="B239" s="626" t="str">
        <f>Priv!#REF!</f>
        <v>#ERROR!</v>
      </c>
      <c r="C239" s="627" t="s">
        <v>1357</v>
      </c>
    </row>
    <row r="240" ht="15.75" customHeight="1">
      <c r="A240" s="626" t="s">
        <v>1385</v>
      </c>
      <c r="B240" s="626">
        <f>Priv!D138</f>
        <v>0</v>
      </c>
      <c r="C240" s="627" t="s">
        <v>1357</v>
      </c>
    </row>
    <row r="241" ht="15.75" customHeight="1">
      <c r="A241" s="626" t="s">
        <v>1386</v>
      </c>
      <c r="B241" s="626">
        <f>Priv!G138</f>
        <v>0</v>
      </c>
      <c r="C241" s="627" t="s">
        <v>1357</v>
      </c>
    </row>
    <row r="242" ht="15.75" customHeight="1">
      <c r="A242" s="626" t="s">
        <v>1387</v>
      </c>
      <c r="B242" s="626" t="str">
        <f>Priv!#REF!</f>
        <v>#ERROR!</v>
      </c>
      <c r="C242" s="627" t="s">
        <v>1357</v>
      </c>
    </row>
    <row r="243" ht="15.75" customHeight="1">
      <c r="A243" s="626" t="s">
        <v>1388</v>
      </c>
      <c r="B243" s="626" t="str">
        <f>Priv!#REF!</f>
        <v>#ERROR!</v>
      </c>
      <c r="C243" s="627" t="s">
        <v>1357</v>
      </c>
    </row>
    <row r="244" ht="15.75" customHeight="1">
      <c r="A244" s="626" t="s">
        <v>1389</v>
      </c>
      <c r="B244" s="626" t="str">
        <f>Priv!#REF!</f>
        <v>#ERROR!</v>
      </c>
      <c r="C244" s="627" t="s">
        <v>1357</v>
      </c>
    </row>
    <row r="245" ht="15.75" customHeight="1">
      <c r="A245" s="626" t="s">
        <v>1390</v>
      </c>
      <c r="B245" s="626" t="str">
        <f>Priv!#REF!</f>
        <v>#ERROR!</v>
      </c>
      <c r="C245" s="627" t="s">
        <v>1357</v>
      </c>
    </row>
    <row r="246" ht="15.75" customHeight="1">
      <c r="A246" s="626" t="s">
        <v>652</v>
      </c>
      <c r="B246" s="626" t="str">
        <f>Priv!#REF!</f>
        <v>#ERROR!</v>
      </c>
      <c r="C246" s="627" t="s">
        <v>1391</v>
      </c>
    </row>
    <row r="247" ht="15.75" customHeight="1">
      <c r="A247" s="626" t="s">
        <v>654</v>
      </c>
      <c r="B247" s="626" t="str">
        <f>Priv!#REF!</f>
        <v>#ERROR!</v>
      </c>
      <c r="C247" s="627" t="s">
        <v>1391</v>
      </c>
    </row>
    <row r="248" ht="15.75" customHeight="1">
      <c r="A248" s="626" t="s">
        <v>655</v>
      </c>
      <c r="B248" s="626" t="str">
        <f>Priv!#REF!</f>
        <v>#ERROR!</v>
      </c>
      <c r="C248" s="627" t="s">
        <v>1391</v>
      </c>
    </row>
    <row r="249" ht="15.75" customHeight="1">
      <c r="A249" s="626" t="s">
        <v>723</v>
      </c>
      <c r="B249" s="626" t="str">
        <f>Priv!#REF!</f>
        <v>#ERROR!</v>
      </c>
      <c r="C249" s="627" t="s">
        <v>1392</v>
      </c>
    </row>
    <row r="250" ht="15.75" customHeight="1">
      <c r="A250" s="626" t="s">
        <v>725</v>
      </c>
      <c r="B250" s="626" t="str">
        <f>Priv!#REF!</f>
        <v>#ERROR!</v>
      </c>
      <c r="C250" s="627" t="s">
        <v>1392</v>
      </c>
    </row>
    <row r="251" ht="15.75" customHeight="1">
      <c r="A251" s="626" t="s">
        <v>726</v>
      </c>
      <c r="B251" s="626" t="str">
        <f>Priv!#REF!</f>
        <v>#ERROR!</v>
      </c>
      <c r="C251" s="627" t="s">
        <v>1392</v>
      </c>
    </row>
    <row r="252" ht="15.75" customHeight="1">
      <c r="A252" s="626" t="s">
        <v>1393</v>
      </c>
      <c r="B252" s="626" t="str">
        <f>Priv!#REF!</f>
        <v>#ERROR!</v>
      </c>
      <c r="C252" s="627" t="s">
        <v>1392</v>
      </c>
    </row>
    <row r="253" ht="15.75" customHeight="1">
      <c r="A253" s="626" t="s">
        <v>1394</v>
      </c>
      <c r="B253" s="626" t="str">
        <f>Priv!#REF!</f>
        <v>#ERROR!</v>
      </c>
      <c r="C253" s="627" t="s">
        <v>1392</v>
      </c>
    </row>
    <row r="254" ht="15.75" customHeight="1">
      <c r="A254" s="626" t="s">
        <v>1395</v>
      </c>
      <c r="B254" s="626" t="str">
        <f>Priv!#REF!</f>
        <v>#ERROR!</v>
      </c>
      <c r="C254" s="627" t="s">
        <v>1392</v>
      </c>
    </row>
    <row r="255" ht="15.75" customHeight="1">
      <c r="A255" s="626" t="s">
        <v>1396</v>
      </c>
      <c r="B255" s="626" t="str">
        <f>Priv!#REF!</f>
        <v>#ERROR!</v>
      </c>
      <c r="C255" s="627" t="s">
        <v>1392</v>
      </c>
    </row>
    <row r="256" ht="15.75" customHeight="1">
      <c r="A256" s="626" t="s">
        <v>1397</v>
      </c>
      <c r="B256" s="626" t="str">
        <f>Priv!#REF!</f>
        <v>#ERROR!</v>
      </c>
      <c r="C256" s="627" t="s">
        <v>1392</v>
      </c>
    </row>
    <row r="257" ht="15.75" customHeight="1">
      <c r="A257" s="626" t="s">
        <v>1398</v>
      </c>
      <c r="B257" s="626" t="str">
        <f>Priv!#REF!</f>
        <v>#ERROR!</v>
      </c>
      <c r="C257" s="627" t="s">
        <v>1392</v>
      </c>
    </row>
    <row r="258" ht="15.75" customHeight="1">
      <c r="A258" s="626" t="s">
        <v>1399</v>
      </c>
      <c r="B258" s="626" t="str">
        <f>Priv!#REF!</f>
        <v>#ERROR!</v>
      </c>
      <c r="C258" s="627" t="s">
        <v>1392</v>
      </c>
    </row>
    <row r="259" ht="15.75" customHeight="1">
      <c r="A259" s="626" t="s">
        <v>1400</v>
      </c>
      <c r="B259" s="626" t="str">
        <f>Priv!#REF!</f>
        <v>#ERROR!</v>
      </c>
      <c r="C259" s="627" t="s">
        <v>1392</v>
      </c>
    </row>
    <row r="260" ht="15.75" customHeight="1">
      <c r="A260" s="626" t="s">
        <v>1401</v>
      </c>
      <c r="B260" s="626" t="str">
        <f>Priv!#REF!</f>
        <v>#ERROR!</v>
      </c>
      <c r="C260" s="627" t="s">
        <v>1392</v>
      </c>
    </row>
    <row r="261" ht="15.75" customHeight="1">
      <c r="A261" s="626" t="s">
        <v>1402</v>
      </c>
      <c r="B261" s="626" t="str">
        <f>Priv!#REF!</f>
        <v>#ERROR!</v>
      </c>
      <c r="C261" s="627" t="s">
        <v>1392</v>
      </c>
    </row>
    <row r="262" ht="15.75" customHeight="1">
      <c r="A262" s="626" t="s">
        <v>1403</v>
      </c>
      <c r="B262" s="626" t="str">
        <f>Priv!#REF!</f>
        <v>#ERROR!</v>
      </c>
      <c r="C262" s="627" t="s">
        <v>1392</v>
      </c>
    </row>
    <row r="263" ht="15.75" customHeight="1">
      <c r="A263" s="626" t="s">
        <v>1404</v>
      </c>
      <c r="B263" s="626" t="str">
        <f>Priv!#REF!</f>
        <v>#ERROR!</v>
      </c>
      <c r="C263" s="627" t="s">
        <v>1392</v>
      </c>
    </row>
    <row r="264" ht="15.75" customHeight="1">
      <c r="A264" s="626" t="s">
        <v>1405</v>
      </c>
      <c r="B264" s="626" t="str">
        <f>Priv!#REF!</f>
        <v>#ERROR!</v>
      </c>
      <c r="C264" s="627" t="s">
        <v>1392</v>
      </c>
    </row>
    <row r="265" ht="15.75" customHeight="1">
      <c r="A265" s="626" t="s">
        <v>1406</v>
      </c>
      <c r="B265" s="626" t="str">
        <f>Priv!#REF!</f>
        <v>#ERROR!</v>
      </c>
      <c r="C265" s="627" t="s">
        <v>1392</v>
      </c>
    </row>
    <row r="266" ht="15.75" customHeight="1">
      <c r="A266" s="626" t="s">
        <v>1407</v>
      </c>
      <c r="B266" s="626" t="str">
        <f>Priv!#REF!</f>
        <v>#ERROR!</v>
      </c>
      <c r="C266" s="627" t="s">
        <v>1392</v>
      </c>
    </row>
    <row r="267" ht="15.75" customHeight="1">
      <c r="A267" s="626" t="s">
        <v>1408</v>
      </c>
      <c r="B267" s="626" t="str">
        <f>Priv!#REF!</f>
        <v>#ERROR!</v>
      </c>
      <c r="C267" s="627" t="s">
        <v>1392</v>
      </c>
    </row>
    <row r="268" ht="15.75" customHeight="1">
      <c r="A268" s="626" t="s">
        <v>1409</v>
      </c>
      <c r="B268" s="626" t="str">
        <f>Priv!#REF!</f>
        <v>#ERROR!</v>
      </c>
      <c r="C268" s="627" t="s">
        <v>1392</v>
      </c>
    </row>
    <row r="269" ht="15.75" customHeight="1">
      <c r="A269" s="626" t="s">
        <v>1410</v>
      </c>
      <c r="B269" s="626" t="str">
        <f>Priv!#REF!</f>
        <v>#ERROR!</v>
      </c>
      <c r="C269" s="627" t="s">
        <v>1392</v>
      </c>
    </row>
    <row r="270" ht="15.75" customHeight="1">
      <c r="A270" s="626" t="s">
        <v>1411</v>
      </c>
      <c r="B270" s="626" t="str">
        <f>Priv!#REF!</f>
        <v>#ERROR!</v>
      </c>
      <c r="C270" s="627" t="s">
        <v>1392</v>
      </c>
    </row>
    <row r="271" ht="15.75" customHeight="1">
      <c r="A271" s="626" t="s">
        <v>1412</v>
      </c>
      <c r="B271" s="626" t="str">
        <f>Priv!#REF!</f>
        <v>#ERROR!</v>
      </c>
      <c r="C271" s="627" t="s">
        <v>1392</v>
      </c>
    </row>
    <row r="272" ht="15.75" customHeight="1">
      <c r="A272" s="626" t="s">
        <v>1413</v>
      </c>
      <c r="B272" s="626" t="str">
        <f>Priv!#REF!</f>
        <v>#ERROR!</v>
      </c>
      <c r="C272" s="627" t="s">
        <v>1392</v>
      </c>
    </row>
    <row r="273" ht="15.75" customHeight="1">
      <c r="A273" s="626" t="s">
        <v>1414</v>
      </c>
      <c r="B273" s="626" t="str">
        <f>Priv!#REF!</f>
        <v>#ERROR!</v>
      </c>
      <c r="C273" s="627" t="s">
        <v>1392</v>
      </c>
    </row>
    <row r="274" ht="15.75" customHeight="1">
      <c r="A274" s="626" t="s">
        <v>1415</v>
      </c>
      <c r="B274" s="626" t="str">
        <f>Priv!#REF!</f>
        <v>#ERROR!</v>
      </c>
      <c r="C274" s="627" t="s">
        <v>1392</v>
      </c>
    </row>
    <row r="275" ht="15.75" customHeight="1">
      <c r="A275" s="626" t="s">
        <v>1416</v>
      </c>
      <c r="B275" s="626" t="str">
        <f>Priv!#REF!</f>
        <v>#ERROR!</v>
      </c>
      <c r="C275" s="627" t="s">
        <v>1392</v>
      </c>
    </row>
    <row r="276" ht="15.75" customHeight="1">
      <c r="A276" s="626" t="s">
        <v>1417</v>
      </c>
      <c r="B276" s="626" t="str">
        <f>Priv!#REF!</f>
        <v>#ERROR!</v>
      </c>
      <c r="C276" s="627" t="s">
        <v>1392</v>
      </c>
    </row>
    <row r="277" ht="15.75" customHeight="1">
      <c r="A277" s="626" t="s">
        <v>1418</v>
      </c>
      <c r="B277" s="626" t="str">
        <f>Priv!#REF!</f>
        <v>#ERROR!</v>
      </c>
      <c r="C277" s="627" t="s">
        <v>1392</v>
      </c>
    </row>
    <row r="278" ht="15.75" customHeight="1">
      <c r="A278" s="626" t="s">
        <v>1419</v>
      </c>
      <c r="B278" s="626" t="str">
        <f>Priv!#REF!</f>
        <v>#ERROR!</v>
      </c>
      <c r="C278" s="627" t="s">
        <v>1392</v>
      </c>
    </row>
    <row r="279" ht="15.75" customHeight="1">
      <c r="A279" s="626" t="s">
        <v>1420</v>
      </c>
      <c r="B279" s="626" t="str">
        <f>Priv!#REF!</f>
        <v>#ERROR!</v>
      </c>
      <c r="C279" s="627" t="s">
        <v>1392</v>
      </c>
    </row>
    <row r="280" ht="15.75" customHeight="1">
      <c r="A280" s="626" t="s">
        <v>1421</v>
      </c>
      <c r="B280" s="626" t="str">
        <f>Priv!#REF!</f>
        <v>#ERROR!</v>
      </c>
      <c r="C280" s="627" t="s">
        <v>1392</v>
      </c>
    </row>
    <row r="281" ht="15.75" customHeight="1">
      <c r="A281" s="626" t="s">
        <v>1422</v>
      </c>
      <c r="B281" s="626" t="str">
        <f>Priv!#REF!</f>
        <v>#ERROR!</v>
      </c>
      <c r="C281" s="627" t="s">
        <v>1392</v>
      </c>
    </row>
    <row r="282" ht="15.75" customHeight="1">
      <c r="A282" s="626" t="s">
        <v>1423</v>
      </c>
      <c r="B282" s="626" t="str">
        <f>Priv!#REF!</f>
        <v>#ERROR!</v>
      </c>
      <c r="C282" s="627" t="s">
        <v>1392</v>
      </c>
    </row>
    <row r="283" ht="15.75" customHeight="1">
      <c r="A283" s="626" t="s">
        <v>1424</v>
      </c>
      <c r="B283" s="626" t="str">
        <f>Priv!#REF!</f>
        <v>#ERROR!</v>
      </c>
      <c r="C283" s="627" t="s">
        <v>1392</v>
      </c>
    </row>
    <row r="284" ht="15.75" customHeight="1">
      <c r="A284" s="626" t="s">
        <v>1425</v>
      </c>
      <c r="B284" s="626" t="str">
        <f>Priv!#REF!</f>
        <v>#ERROR!</v>
      </c>
      <c r="C284" s="627" t="s">
        <v>1392</v>
      </c>
    </row>
    <row r="285" ht="15.75" customHeight="1">
      <c r="A285" s="624" t="s">
        <v>727</v>
      </c>
      <c r="B285" s="624">
        <f>Priv!C144</f>
        <v>0</v>
      </c>
      <c r="C285" s="625" t="s">
        <v>1426</v>
      </c>
    </row>
    <row r="286" ht="15.75" customHeight="1">
      <c r="A286" s="624" t="s">
        <v>729</v>
      </c>
      <c r="B286" s="624">
        <f>Priv!E144</f>
        <v>0</v>
      </c>
      <c r="C286" s="625" t="s">
        <v>1426</v>
      </c>
    </row>
    <row r="287" ht="15.75" customHeight="1">
      <c r="A287" s="624" t="s">
        <v>730</v>
      </c>
      <c r="B287" s="624">
        <f>Priv!G144</f>
        <v>0</v>
      </c>
      <c r="C287" s="625" t="s">
        <v>1426</v>
      </c>
    </row>
    <row r="288" ht="15.75" customHeight="1">
      <c r="A288" s="624" t="s">
        <v>731</v>
      </c>
      <c r="B288" s="624">
        <f>Priv!I144</f>
        <v>0</v>
      </c>
      <c r="C288" s="625" t="s">
        <v>1426</v>
      </c>
    </row>
    <row r="289" ht="15.75" customHeight="1">
      <c r="A289" s="624" t="s">
        <v>734</v>
      </c>
      <c r="B289" s="624">
        <f>Priv!C145</f>
        <v>0</v>
      </c>
      <c r="C289" s="625" t="s">
        <v>1426</v>
      </c>
    </row>
    <row r="290" ht="15.75" customHeight="1">
      <c r="A290" s="624" t="s">
        <v>735</v>
      </c>
      <c r="B290" s="624">
        <f>Priv!E145</f>
        <v>0</v>
      </c>
      <c r="C290" s="625" t="s">
        <v>1426</v>
      </c>
    </row>
    <row r="291" ht="15.75" customHeight="1">
      <c r="A291" s="624" t="s">
        <v>736</v>
      </c>
      <c r="B291" s="624">
        <f>Priv!G145</f>
        <v>0</v>
      </c>
      <c r="C291" s="625" t="s">
        <v>1426</v>
      </c>
    </row>
    <row r="292" ht="15.75" customHeight="1">
      <c r="A292" s="624" t="s">
        <v>737</v>
      </c>
      <c r="B292" s="624">
        <f>Priv!I145</f>
        <v>0</v>
      </c>
      <c r="C292" s="625" t="s">
        <v>1426</v>
      </c>
    </row>
    <row r="293" ht="15.75" customHeight="1">
      <c r="A293" s="624" t="s">
        <v>740</v>
      </c>
      <c r="B293" s="624">
        <f>Priv!C146</f>
        <v>0</v>
      </c>
      <c r="C293" s="625" t="s">
        <v>1426</v>
      </c>
    </row>
    <row r="294" ht="15.75" customHeight="1">
      <c r="A294" s="624" t="s">
        <v>741</v>
      </c>
      <c r="B294" s="624">
        <f>Priv!E146</f>
        <v>0</v>
      </c>
      <c r="C294" s="625" t="s">
        <v>1426</v>
      </c>
    </row>
    <row r="295" ht="15.75" customHeight="1">
      <c r="A295" s="624" t="s">
        <v>742</v>
      </c>
      <c r="B295" s="624">
        <f>Priv!G146</f>
        <v>0</v>
      </c>
      <c r="C295" s="625" t="s">
        <v>1426</v>
      </c>
    </row>
    <row r="296" ht="15.75" customHeight="1">
      <c r="A296" s="624" t="s">
        <v>743</v>
      </c>
      <c r="B296" s="624">
        <f>Priv!I146</f>
        <v>0</v>
      </c>
      <c r="C296" s="625" t="s">
        <v>1426</v>
      </c>
    </row>
    <row r="297" ht="15.75" customHeight="1">
      <c r="A297" s="624" t="s">
        <v>746</v>
      </c>
      <c r="B297" s="624">
        <f>Priv!C147</f>
        <v>0</v>
      </c>
      <c r="C297" s="625" t="s">
        <v>1426</v>
      </c>
    </row>
    <row r="298" ht="15.75" customHeight="1">
      <c r="A298" s="624" t="s">
        <v>747</v>
      </c>
      <c r="B298" s="624">
        <f>Priv!E147</f>
        <v>0</v>
      </c>
      <c r="C298" s="625" t="s">
        <v>1426</v>
      </c>
    </row>
    <row r="299" ht="15.75" customHeight="1">
      <c r="A299" s="624" t="s">
        <v>748</v>
      </c>
      <c r="B299" s="624">
        <f>Priv!G147</f>
        <v>0</v>
      </c>
      <c r="C299" s="625" t="s">
        <v>1426</v>
      </c>
    </row>
    <row r="300" ht="15.75" customHeight="1">
      <c r="A300" s="624" t="s">
        <v>749</v>
      </c>
      <c r="B300" s="624">
        <f>Priv!I147</f>
        <v>0</v>
      </c>
      <c r="C300" s="625" t="s">
        <v>1426</v>
      </c>
    </row>
    <row r="301" ht="15.75" customHeight="1">
      <c r="A301" s="624" t="s">
        <v>752</v>
      </c>
      <c r="B301" s="624">
        <f>Priv!C148</f>
        <v>0</v>
      </c>
      <c r="C301" s="625" t="s">
        <v>1426</v>
      </c>
    </row>
    <row r="302" ht="15.75" customHeight="1">
      <c r="A302" s="624" t="s">
        <v>753</v>
      </c>
      <c r="B302" s="624">
        <f>Priv!E148</f>
        <v>0</v>
      </c>
      <c r="C302" s="625" t="s">
        <v>1426</v>
      </c>
    </row>
    <row r="303" ht="15.75" customHeight="1">
      <c r="A303" s="624" t="s">
        <v>754</v>
      </c>
      <c r="B303" s="624">
        <f>Priv!G148</f>
        <v>0</v>
      </c>
      <c r="C303" s="625" t="s">
        <v>1426</v>
      </c>
    </row>
    <row r="304" ht="15.75" customHeight="1">
      <c r="A304" s="624" t="s">
        <v>755</v>
      </c>
      <c r="B304" s="624">
        <f>Priv!I148</f>
        <v>0</v>
      </c>
      <c r="C304" s="625" t="s">
        <v>1426</v>
      </c>
    </row>
    <row r="305" ht="15.75" customHeight="1">
      <c r="A305" s="624" t="s">
        <v>758</v>
      </c>
      <c r="B305" s="624">
        <f>Priv!C149</f>
        <v>0</v>
      </c>
      <c r="C305" s="625" t="s">
        <v>1426</v>
      </c>
    </row>
    <row r="306" ht="15.75" customHeight="1">
      <c r="A306" s="624" t="s">
        <v>759</v>
      </c>
      <c r="B306" s="624">
        <f>Priv!E149</f>
        <v>0</v>
      </c>
      <c r="C306" s="625" t="s">
        <v>1426</v>
      </c>
    </row>
    <row r="307" ht="15.75" customHeight="1">
      <c r="A307" s="624" t="s">
        <v>760</v>
      </c>
      <c r="B307" s="624">
        <f>Priv!G149</f>
        <v>0</v>
      </c>
      <c r="C307" s="625" t="s">
        <v>1426</v>
      </c>
    </row>
    <row r="308" ht="15.75" customHeight="1">
      <c r="A308" s="624" t="s">
        <v>761</v>
      </c>
      <c r="B308" s="624">
        <f>Priv!I149</f>
        <v>0</v>
      </c>
      <c r="C308" s="625" t="s">
        <v>1426</v>
      </c>
    </row>
    <row r="309" ht="15.75" customHeight="1">
      <c r="A309" s="624" t="s">
        <v>770</v>
      </c>
      <c r="B309" s="624">
        <f>Priv!E156</f>
        <v>0</v>
      </c>
      <c r="C309" s="625" t="s">
        <v>1427</v>
      </c>
    </row>
    <row r="310" ht="15.75" customHeight="1">
      <c r="A310" s="624" t="s">
        <v>1428</v>
      </c>
      <c r="B310" s="624" t="str">
        <f>Priv!E158</f>
        <v>0</v>
      </c>
      <c r="C310" s="625" t="s">
        <v>1427</v>
      </c>
    </row>
    <row r="311" ht="15.75" customHeight="1">
      <c r="A311" s="624" t="s">
        <v>774</v>
      </c>
      <c r="B311" s="624">
        <f>Priv!A167</f>
        <v>0</v>
      </c>
      <c r="C311" s="625" t="s">
        <v>1429</v>
      </c>
    </row>
    <row r="312" ht="15.75" customHeight="1">
      <c r="A312" s="624" t="s">
        <v>776</v>
      </c>
      <c r="B312" s="624">
        <f>Priv!E167</f>
        <v>0</v>
      </c>
      <c r="C312" s="625" t="s">
        <v>1429</v>
      </c>
    </row>
    <row r="313" ht="15.75" customHeight="1">
      <c r="A313" s="624" t="s">
        <v>777</v>
      </c>
      <c r="B313" s="624">
        <f>Priv!G167</f>
        <v>0</v>
      </c>
      <c r="C313" s="625" t="s">
        <v>1429</v>
      </c>
    </row>
    <row r="314" ht="15.75" customHeight="1">
      <c r="A314" s="624" t="s">
        <v>778</v>
      </c>
      <c r="B314" s="624">
        <f>Priv!I167</f>
        <v>0</v>
      </c>
      <c r="C314" s="625" t="s">
        <v>1429</v>
      </c>
    </row>
    <row r="315" ht="15.75" customHeight="1">
      <c r="A315" s="624" t="s">
        <v>779</v>
      </c>
      <c r="B315" s="624">
        <f>Priv!K167</f>
        <v>0</v>
      </c>
      <c r="C315" s="625" t="s">
        <v>1429</v>
      </c>
    </row>
    <row r="316" ht="15.75" customHeight="1">
      <c r="A316" s="624" t="s">
        <v>817</v>
      </c>
      <c r="B316" s="624">
        <f>Priv!D172</f>
        <v>0</v>
      </c>
      <c r="C316" s="625" t="s">
        <v>1430</v>
      </c>
    </row>
    <row r="317" ht="15.75" customHeight="1">
      <c r="A317" s="624" t="s">
        <v>819</v>
      </c>
      <c r="B317" s="624">
        <f>Priv!G172</f>
        <v>0</v>
      </c>
      <c r="C317" s="625" t="s">
        <v>1430</v>
      </c>
    </row>
    <row r="318" ht="15.75" customHeight="1">
      <c r="A318" s="624" t="s">
        <v>821</v>
      </c>
      <c r="B318" s="624">
        <f>Priv!D173</f>
        <v>0</v>
      </c>
      <c r="C318" s="625" t="s">
        <v>1430</v>
      </c>
    </row>
    <row r="319" ht="15.75" customHeight="1">
      <c r="A319" s="624" t="s">
        <v>822</v>
      </c>
      <c r="B319" s="624">
        <f>Priv!G173</f>
        <v>0</v>
      </c>
      <c r="C319" s="625" t="s">
        <v>1430</v>
      </c>
    </row>
    <row r="320" ht="15.75" customHeight="1">
      <c r="A320" s="624" t="s">
        <v>824</v>
      </c>
      <c r="B320" s="624">
        <f>Priv!D174</f>
        <v>0</v>
      </c>
      <c r="C320" s="625" t="s">
        <v>1430</v>
      </c>
    </row>
    <row r="321" ht="15.75" customHeight="1">
      <c r="A321" s="624" t="s">
        <v>825</v>
      </c>
      <c r="B321" s="624">
        <f>Priv!G174</f>
        <v>0</v>
      </c>
      <c r="C321" s="625" t="s">
        <v>1430</v>
      </c>
    </row>
    <row r="322" ht="15.75" customHeight="1">
      <c r="A322" s="624" t="s">
        <v>827</v>
      </c>
      <c r="B322" s="624">
        <f>Priv!D175</f>
        <v>0</v>
      </c>
      <c r="C322" s="625" t="s">
        <v>1430</v>
      </c>
    </row>
    <row r="323" ht="15.75" customHeight="1">
      <c r="A323" s="624" t="s">
        <v>828</v>
      </c>
      <c r="B323" s="624">
        <f>Priv!G175</f>
        <v>0</v>
      </c>
      <c r="C323" s="625" t="s">
        <v>1430</v>
      </c>
    </row>
    <row r="324" ht="15.75" customHeight="1">
      <c r="A324" s="624" t="s">
        <v>830</v>
      </c>
      <c r="B324" s="624">
        <f>Priv!D176</f>
        <v>0</v>
      </c>
      <c r="C324" s="625" t="s">
        <v>1430</v>
      </c>
    </row>
    <row r="325" ht="15.75" customHeight="1">
      <c r="A325" s="624" t="s">
        <v>831</v>
      </c>
      <c r="B325" s="624">
        <f>Priv!G176</f>
        <v>0</v>
      </c>
      <c r="C325" s="625" t="s">
        <v>1430</v>
      </c>
    </row>
    <row r="326" ht="15.75" customHeight="1">
      <c r="A326" s="624" t="s">
        <v>833</v>
      </c>
      <c r="B326" s="624">
        <f>Priv!D177</f>
        <v>0</v>
      </c>
      <c r="C326" s="625" t="s">
        <v>1430</v>
      </c>
    </row>
    <row r="327" ht="15.75" customHeight="1">
      <c r="A327" s="624" t="s">
        <v>834</v>
      </c>
      <c r="B327" s="624">
        <f>Priv!G177</f>
        <v>0</v>
      </c>
      <c r="C327" s="625" t="s">
        <v>1430</v>
      </c>
    </row>
    <row r="328" ht="15.75" customHeight="1">
      <c r="A328" s="624" t="s">
        <v>836</v>
      </c>
      <c r="B328" s="624">
        <f>Priv!D178</f>
        <v>0</v>
      </c>
      <c r="C328" s="625" t="s">
        <v>1430</v>
      </c>
    </row>
    <row r="329" ht="15.75" customHeight="1">
      <c r="A329" s="624" t="s">
        <v>837</v>
      </c>
      <c r="B329" s="624">
        <f>Priv!G178</f>
        <v>0</v>
      </c>
      <c r="C329" s="625" t="s">
        <v>1430</v>
      </c>
    </row>
    <row r="330" ht="15.75" customHeight="1">
      <c r="A330" s="624" t="s">
        <v>839</v>
      </c>
      <c r="B330" s="624" t="str">
        <f>Priv!#REF!</f>
        <v>#ERROR!</v>
      </c>
      <c r="C330" s="625" t="s">
        <v>1431</v>
      </c>
    </row>
    <row r="331" ht="15.75" customHeight="1">
      <c r="A331" s="624" t="s">
        <v>1432</v>
      </c>
      <c r="B331" s="624" t="str">
        <f>Priv!#REF!</f>
        <v>#ERROR!</v>
      </c>
      <c r="C331" s="625" t="s">
        <v>1431</v>
      </c>
    </row>
    <row r="332" ht="15.75" customHeight="1">
      <c r="A332" s="624" t="s">
        <v>841</v>
      </c>
      <c r="B332" s="624" t="str">
        <f>Priv!#REF!</f>
        <v>#ERROR!</v>
      </c>
      <c r="C332" s="625" t="s">
        <v>1431</v>
      </c>
    </row>
    <row r="333" ht="15.75" customHeight="1">
      <c r="A333" s="624" t="s">
        <v>1433</v>
      </c>
      <c r="B333" s="624" t="str">
        <f>Priv!#REF!</f>
        <v>#ERROR!</v>
      </c>
      <c r="C333" s="625" t="s">
        <v>1431</v>
      </c>
    </row>
    <row r="334" ht="15.75" customHeight="1">
      <c r="A334" s="624" t="s">
        <v>842</v>
      </c>
      <c r="B334" s="624">
        <f>Priv!A186</f>
        <v>0</v>
      </c>
      <c r="C334" s="625">
        <v>4.0</v>
      </c>
    </row>
    <row r="335" ht="15.75" customHeight="1">
      <c r="A335" s="624" t="s">
        <v>844</v>
      </c>
      <c r="B335" s="624">
        <f>Priv!D186</f>
        <v>0</v>
      </c>
      <c r="C335" s="625">
        <v>4.0</v>
      </c>
    </row>
    <row r="336" ht="15.75" customHeight="1">
      <c r="A336" s="624" t="s">
        <v>845</v>
      </c>
      <c r="B336" s="624">
        <f>Priv!G186</f>
        <v>0</v>
      </c>
      <c r="C336" s="625">
        <v>4.0</v>
      </c>
    </row>
    <row r="337" ht="15.75" customHeight="1">
      <c r="A337" s="624" t="s">
        <v>848</v>
      </c>
      <c r="B337" s="624">
        <f>Priv!I191</f>
        <v>0</v>
      </c>
      <c r="C337" s="625">
        <v>5.0</v>
      </c>
    </row>
    <row r="338" ht="15.75" customHeight="1">
      <c r="A338" s="624" t="s">
        <v>851</v>
      </c>
      <c r="B338" s="624">
        <f>Priv!I192</f>
        <v>0</v>
      </c>
      <c r="C338" s="625">
        <v>5.0</v>
      </c>
    </row>
    <row r="339" ht="15.75" customHeight="1">
      <c r="A339" s="624" t="s">
        <v>863</v>
      </c>
      <c r="B339" s="624">
        <f>Priv!E203</f>
        <v>0</v>
      </c>
      <c r="C339" s="625" t="s">
        <v>1434</v>
      </c>
    </row>
    <row r="340" ht="15.75" customHeight="1">
      <c r="A340" s="624" t="s">
        <v>865</v>
      </c>
      <c r="B340" s="624">
        <f>Priv!G203</f>
        <v>0</v>
      </c>
      <c r="C340" s="625" t="s">
        <v>1434</v>
      </c>
    </row>
    <row r="341" ht="15.75" customHeight="1">
      <c r="A341" s="624" t="s">
        <v>1435</v>
      </c>
      <c r="B341" s="624">
        <f>Priv!I203</f>
        <v>0</v>
      </c>
      <c r="C341" s="625" t="s">
        <v>1434</v>
      </c>
    </row>
    <row r="342" ht="15.75" customHeight="1">
      <c r="A342" s="624" t="s">
        <v>1436</v>
      </c>
      <c r="B342" s="624">
        <f>Priv!K203</f>
        <v>0</v>
      </c>
      <c r="C342" s="625" t="s">
        <v>1434</v>
      </c>
    </row>
    <row r="343" ht="15.75" customHeight="1">
      <c r="A343" s="624" t="s">
        <v>1437</v>
      </c>
      <c r="B343" s="624">
        <f>Priv!M203</f>
        <v>0</v>
      </c>
      <c r="C343" s="625" t="s">
        <v>1434</v>
      </c>
    </row>
    <row r="344" ht="15.75" customHeight="1">
      <c r="A344" s="624" t="s">
        <v>1438</v>
      </c>
      <c r="B344" s="624">
        <f>Priv!O203</f>
        <v>0</v>
      </c>
      <c r="C344" s="625" t="s">
        <v>1434</v>
      </c>
    </row>
    <row r="345" ht="15.75" customHeight="1">
      <c r="A345" s="624" t="s">
        <v>1439</v>
      </c>
      <c r="B345" s="624">
        <f>Priv!P203</f>
        <v>0</v>
      </c>
      <c r="C345" s="625" t="s">
        <v>1434</v>
      </c>
    </row>
    <row r="346" ht="15.75" customHeight="1">
      <c r="A346" s="624" t="s">
        <v>1440</v>
      </c>
      <c r="B346" s="624">
        <f>Priv!R203</f>
        <v>0</v>
      </c>
      <c r="C346" s="625" t="s">
        <v>1434</v>
      </c>
    </row>
    <row r="347" ht="15.75" customHeight="1">
      <c r="A347" s="624" t="s">
        <v>868</v>
      </c>
      <c r="B347" s="624">
        <f>Priv!E211</f>
        <v>0</v>
      </c>
      <c r="C347" s="625" t="s">
        <v>1441</v>
      </c>
    </row>
    <row r="348" ht="15.75" customHeight="1">
      <c r="A348" s="624" t="s">
        <v>870</v>
      </c>
      <c r="B348" s="624">
        <f>Priv!G211</f>
        <v>0</v>
      </c>
      <c r="C348" s="625" t="s">
        <v>1441</v>
      </c>
    </row>
    <row r="349" ht="15.75" customHeight="1">
      <c r="A349" s="624" t="s">
        <v>871</v>
      </c>
      <c r="B349" s="624">
        <f>Priv!I211</f>
        <v>0</v>
      </c>
      <c r="C349" s="625" t="s">
        <v>1441</v>
      </c>
    </row>
    <row r="350" ht="15.75" customHeight="1">
      <c r="A350" s="624" t="s">
        <v>872</v>
      </c>
      <c r="B350" s="624">
        <f>Priv!K211</f>
        <v>0</v>
      </c>
      <c r="C350" s="625" t="s">
        <v>1441</v>
      </c>
    </row>
    <row r="351" ht="15.75" customHeight="1">
      <c r="A351" s="624" t="s">
        <v>1442</v>
      </c>
      <c r="B351" s="624">
        <f>Priv!M211</f>
        <v>0</v>
      </c>
      <c r="C351" s="625" t="s">
        <v>1441</v>
      </c>
    </row>
    <row r="352" ht="15.75" customHeight="1">
      <c r="A352" s="624" t="s">
        <v>1443</v>
      </c>
      <c r="B352" s="624">
        <f>Priv!O211</f>
        <v>0</v>
      </c>
      <c r="C352" s="625" t="s">
        <v>1441</v>
      </c>
    </row>
    <row r="353" ht="15.75" customHeight="1">
      <c r="A353" s="624" t="s">
        <v>1444</v>
      </c>
      <c r="B353" s="624">
        <f>Priv!P211</f>
        <v>0</v>
      </c>
      <c r="C353" s="625" t="s">
        <v>1441</v>
      </c>
    </row>
    <row r="354" ht="15.75" customHeight="1">
      <c r="A354" s="624" t="s">
        <v>1445</v>
      </c>
      <c r="B354" s="624">
        <f>Priv!R211</f>
        <v>0</v>
      </c>
      <c r="C354" s="625" t="s">
        <v>1441</v>
      </c>
    </row>
    <row r="355" ht="15.75" customHeight="1">
      <c r="A355" s="624" t="s">
        <v>873</v>
      </c>
      <c r="B355" s="624">
        <f>Priv!E212</f>
        <v>0</v>
      </c>
      <c r="C355" s="625" t="s">
        <v>1441</v>
      </c>
    </row>
    <row r="356" ht="15.75" customHeight="1">
      <c r="A356" s="624" t="s">
        <v>874</v>
      </c>
      <c r="B356" s="624">
        <f>Priv!G212</f>
        <v>0</v>
      </c>
      <c r="C356" s="625" t="s">
        <v>1441</v>
      </c>
    </row>
    <row r="357" ht="15.75" customHeight="1">
      <c r="A357" s="624" t="s">
        <v>875</v>
      </c>
      <c r="B357" s="624">
        <f>Priv!I212</f>
        <v>0</v>
      </c>
      <c r="C357" s="625" t="s">
        <v>1441</v>
      </c>
    </row>
    <row r="358" ht="15.75" customHeight="1">
      <c r="A358" s="624" t="s">
        <v>876</v>
      </c>
      <c r="B358" s="624">
        <f>Priv!K212</f>
        <v>0</v>
      </c>
      <c r="C358" s="625" t="s">
        <v>1441</v>
      </c>
    </row>
    <row r="359" ht="15.75" customHeight="1">
      <c r="A359" s="624" t="s">
        <v>1446</v>
      </c>
      <c r="B359" s="624">
        <f>Priv!M212</f>
        <v>0</v>
      </c>
      <c r="C359" s="625" t="s">
        <v>1441</v>
      </c>
    </row>
    <row r="360" ht="15.75" customHeight="1">
      <c r="A360" s="624" t="s">
        <v>1447</v>
      </c>
      <c r="B360" s="624">
        <f>Priv!O212</f>
        <v>0</v>
      </c>
      <c r="C360" s="625" t="s">
        <v>1441</v>
      </c>
    </row>
    <row r="361" ht="15.75" customHeight="1">
      <c r="A361" s="624" t="s">
        <v>1448</v>
      </c>
      <c r="B361" s="624">
        <f>Priv!P212</f>
        <v>0</v>
      </c>
      <c r="C361" s="625" t="s">
        <v>1441</v>
      </c>
    </row>
    <row r="362" ht="15.75" customHeight="1">
      <c r="A362" s="624" t="s">
        <v>1449</v>
      </c>
      <c r="B362" s="624">
        <f>Priv!R212</f>
        <v>0</v>
      </c>
      <c r="C362" s="625" t="s">
        <v>1441</v>
      </c>
    </row>
    <row r="363" ht="15.75" customHeight="1">
      <c r="A363" s="624" t="s">
        <v>877</v>
      </c>
      <c r="B363" s="624">
        <v>0.0</v>
      </c>
      <c r="C363" s="625" t="s">
        <v>1441</v>
      </c>
      <c r="D363" s="638" t="s">
        <v>1450</v>
      </c>
    </row>
    <row r="364" ht="15.75" customHeight="1">
      <c r="A364" s="624" t="s">
        <v>878</v>
      </c>
      <c r="B364" s="624">
        <v>0.0</v>
      </c>
      <c r="C364" s="625" t="s">
        <v>1441</v>
      </c>
      <c r="D364" s="638" t="s">
        <v>1450</v>
      </c>
    </row>
    <row r="365" ht="15.75" customHeight="1">
      <c r="A365" s="624" t="s">
        <v>879</v>
      </c>
      <c r="B365" s="624">
        <v>0.0</v>
      </c>
      <c r="C365" s="625" t="s">
        <v>1441</v>
      </c>
      <c r="D365" s="638" t="s">
        <v>1450</v>
      </c>
    </row>
    <row r="366" ht="15.75" customHeight="1">
      <c r="A366" s="624" t="s">
        <v>880</v>
      </c>
      <c r="B366" s="624">
        <v>0.0</v>
      </c>
      <c r="C366" s="625" t="s">
        <v>1441</v>
      </c>
      <c r="D366" s="638" t="s">
        <v>1450</v>
      </c>
    </row>
    <row r="367" ht="15.75" customHeight="1">
      <c r="A367" s="624" t="s">
        <v>1451</v>
      </c>
      <c r="B367" s="624">
        <v>0.0</v>
      </c>
      <c r="C367" s="625" t="s">
        <v>1441</v>
      </c>
      <c r="D367" s="638" t="s">
        <v>1450</v>
      </c>
    </row>
    <row r="368" ht="15.75" customHeight="1">
      <c r="A368" s="624" t="s">
        <v>1452</v>
      </c>
      <c r="B368" s="624">
        <v>0.0</v>
      </c>
      <c r="C368" s="625" t="s">
        <v>1441</v>
      </c>
      <c r="D368" s="638" t="s">
        <v>1450</v>
      </c>
    </row>
    <row r="369" ht="15.75" customHeight="1">
      <c r="A369" s="624" t="s">
        <v>1453</v>
      </c>
      <c r="B369" s="624">
        <v>0.0</v>
      </c>
      <c r="C369" s="625" t="s">
        <v>1441</v>
      </c>
      <c r="D369" s="638" t="s">
        <v>1450</v>
      </c>
    </row>
    <row r="370" ht="15.75" customHeight="1">
      <c r="A370" s="624" t="s">
        <v>1454</v>
      </c>
      <c r="B370" s="624">
        <f>Priv!R213</f>
        <v>0</v>
      </c>
      <c r="C370" s="625" t="s">
        <v>1441</v>
      </c>
    </row>
    <row r="371" ht="15.75" customHeight="1">
      <c r="A371" s="624" t="s">
        <v>897</v>
      </c>
      <c r="B371" s="624">
        <f>Priv!E221</f>
        <v>0</v>
      </c>
      <c r="C371" s="625" t="s">
        <v>935</v>
      </c>
    </row>
    <row r="372" ht="15.75" customHeight="1">
      <c r="A372" s="624" t="s">
        <v>899</v>
      </c>
      <c r="B372" s="624">
        <f>Priv!G221</f>
        <v>0</v>
      </c>
      <c r="C372" s="625" t="s">
        <v>935</v>
      </c>
    </row>
    <row r="373" ht="15.75" customHeight="1">
      <c r="A373" s="624" t="s">
        <v>900</v>
      </c>
      <c r="B373" s="624">
        <f>Priv!I221</f>
        <v>0</v>
      </c>
      <c r="C373" s="625" t="s">
        <v>935</v>
      </c>
    </row>
    <row r="374" ht="15.75" customHeight="1">
      <c r="A374" s="624" t="s">
        <v>901</v>
      </c>
      <c r="B374" s="624">
        <f>Priv!K221</f>
        <v>0</v>
      </c>
      <c r="C374" s="625" t="s">
        <v>935</v>
      </c>
    </row>
    <row r="375" ht="15.75" customHeight="1">
      <c r="A375" s="624" t="s">
        <v>902</v>
      </c>
      <c r="B375" s="624">
        <f>Priv!E222</f>
        <v>0</v>
      </c>
      <c r="C375" s="625" t="s">
        <v>935</v>
      </c>
    </row>
    <row r="376" ht="15.75" customHeight="1">
      <c r="A376" s="624" t="s">
        <v>903</v>
      </c>
      <c r="B376" s="624">
        <f>Priv!G222</f>
        <v>0</v>
      </c>
      <c r="C376" s="625" t="s">
        <v>935</v>
      </c>
    </row>
    <row r="377" ht="15.75" customHeight="1">
      <c r="A377" s="624" t="s">
        <v>904</v>
      </c>
      <c r="B377" s="624">
        <f>Priv!I222</f>
        <v>0</v>
      </c>
      <c r="C377" s="625" t="s">
        <v>935</v>
      </c>
    </row>
    <row r="378" ht="15.75" customHeight="1">
      <c r="A378" s="624" t="s">
        <v>905</v>
      </c>
      <c r="B378" s="624">
        <f>Priv!K222</f>
        <v>0</v>
      </c>
      <c r="C378" s="625" t="s">
        <v>935</v>
      </c>
    </row>
    <row r="379" ht="15.75" customHeight="1">
      <c r="A379" s="624" t="s">
        <v>906</v>
      </c>
      <c r="B379" s="624">
        <f>Priv!E223</f>
        <v>0</v>
      </c>
      <c r="C379" s="625" t="s">
        <v>935</v>
      </c>
    </row>
    <row r="380" ht="15.75" customHeight="1">
      <c r="A380" s="624" t="s">
        <v>907</v>
      </c>
      <c r="B380" s="624">
        <f>Priv!G223</f>
        <v>0</v>
      </c>
      <c r="C380" s="625" t="s">
        <v>935</v>
      </c>
    </row>
    <row r="381" ht="15.75" customHeight="1">
      <c r="A381" s="624" t="s">
        <v>908</v>
      </c>
      <c r="B381" s="624">
        <f>Priv!I223</f>
        <v>0</v>
      </c>
      <c r="C381" s="625" t="s">
        <v>935</v>
      </c>
    </row>
    <row r="382" ht="15.75" customHeight="1">
      <c r="A382" s="624" t="s">
        <v>909</v>
      </c>
      <c r="B382" s="624">
        <f>Priv!K223</f>
        <v>0</v>
      </c>
      <c r="C382" s="625" t="s">
        <v>935</v>
      </c>
    </row>
    <row r="383" ht="15.75" customHeight="1">
      <c r="A383" s="624" t="s">
        <v>910</v>
      </c>
      <c r="B383" s="624">
        <f>Priv!E224</f>
        <v>0</v>
      </c>
      <c r="C383" s="625" t="s">
        <v>935</v>
      </c>
    </row>
    <row r="384" ht="15.75" customHeight="1">
      <c r="A384" s="624" t="s">
        <v>911</v>
      </c>
      <c r="B384" s="624">
        <f>Priv!G224</f>
        <v>0</v>
      </c>
      <c r="C384" s="625" t="s">
        <v>935</v>
      </c>
    </row>
    <row r="385" ht="15.75" customHeight="1">
      <c r="A385" s="624" t="s">
        <v>912</v>
      </c>
      <c r="B385" s="624">
        <f>Priv!I224</f>
        <v>0</v>
      </c>
      <c r="C385" s="625" t="s">
        <v>935</v>
      </c>
    </row>
    <row r="386" ht="15.75" customHeight="1">
      <c r="A386" s="624" t="s">
        <v>913</v>
      </c>
      <c r="B386" s="624">
        <f>Priv!K224</f>
        <v>0</v>
      </c>
      <c r="C386" s="625" t="s">
        <v>935</v>
      </c>
    </row>
    <row r="387" ht="15.75" customHeight="1">
      <c r="A387" s="626" t="s">
        <v>914</v>
      </c>
      <c r="B387" s="626">
        <f>Priv!E225</f>
        <v>0</v>
      </c>
      <c r="C387" s="627" t="s">
        <v>935</v>
      </c>
    </row>
    <row r="388" ht="15.75" customHeight="1">
      <c r="A388" s="626" t="s">
        <v>915</v>
      </c>
      <c r="B388" s="626">
        <f>Priv!G225</f>
        <v>0</v>
      </c>
      <c r="C388" s="627" t="s">
        <v>935</v>
      </c>
    </row>
    <row r="389" ht="15.75" customHeight="1">
      <c r="A389" s="626" t="s">
        <v>916</v>
      </c>
      <c r="B389" s="626">
        <f>Priv!I225</f>
        <v>0</v>
      </c>
      <c r="C389" s="627" t="s">
        <v>935</v>
      </c>
    </row>
    <row r="390" ht="15.75" customHeight="1">
      <c r="A390" s="626" t="s">
        <v>917</v>
      </c>
      <c r="B390" s="626">
        <f>Priv!K225</f>
        <v>0</v>
      </c>
      <c r="C390" s="627" t="s">
        <v>935</v>
      </c>
    </row>
    <row r="391" ht="15.75" customHeight="1">
      <c r="A391" s="626" t="s">
        <v>918</v>
      </c>
      <c r="B391" s="626">
        <f>Priv!E226</f>
        <v>0</v>
      </c>
      <c r="C391" s="627" t="s">
        <v>935</v>
      </c>
    </row>
    <row r="392" ht="15.75" customHeight="1">
      <c r="A392" s="626" t="s">
        <v>919</v>
      </c>
      <c r="B392" s="626">
        <f>Priv!G226</f>
        <v>0</v>
      </c>
      <c r="C392" s="627" t="s">
        <v>935</v>
      </c>
    </row>
    <row r="393" ht="15.75" customHeight="1">
      <c r="A393" s="626" t="s">
        <v>920</v>
      </c>
      <c r="B393" s="626">
        <f>Priv!I226</f>
        <v>0</v>
      </c>
      <c r="C393" s="627" t="s">
        <v>935</v>
      </c>
    </row>
    <row r="394" ht="15.75" customHeight="1">
      <c r="A394" s="626" t="s">
        <v>921</v>
      </c>
      <c r="B394" s="626">
        <f>Priv!K226</f>
        <v>0</v>
      </c>
      <c r="C394" s="627" t="s">
        <v>935</v>
      </c>
    </row>
    <row r="395" ht="15.75" customHeight="1">
      <c r="A395" s="624" t="s">
        <v>922</v>
      </c>
      <c r="B395" s="624">
        <f>Priv!E232</f>
        <v>0</v>
      </c>
      <c r="C395" s="625" t="s">
        <v>956</v>
      </c>
    </row>
    <row r="396" ht="15.75" customHeight="1">
      <c r="A396" s="624" t="s">
        <v>923</v>
      </c>
      <c r="B396" s="624">
        <f>Priv!F232</f>
        <v>0</v>
      </c>
      <c r="C396" s="625" t="s">
        <v>956</v>
      </c>
    </row>
    <row r="397" ht="15.75" customHeight="1">
      <c r="A397" s="624" t="s">
        <v>924</v>
      </c>
      <c r="B397" s="624">
        <f>Priv!G232</f>
        <v>0</v>
      </c>
      <c r="C397" s="625" t="s">
        <v>956</v>
      </c>
    </row>
    <row r="398" ht="15.75" customHeight="1">
      <c r="A398" s="624" t="s">
        <v>925</v>
      </c>
      <c r="B398" s="624">
        <f>Priv!H232</f>
        <v>0</v>
      </c>
      <c r="C398" s="625" t="s">
        <v>956</v>
      </c>
    </row>
    <row r="399" ht="15.75" customHeight="1">
      <c r="A399" s="624" t="s">
        <v>926</v>
      </c>
      <c r="B399" s="624">
        <f>Priv!I232</f>
        <v>0</v>
      </c>
      <c r="C399" s="625" t="s">
        <v>956</v>
      </c>
    </row>
    <row r="400" ht="15.75" customHeight="1">
      <c r="A400" s="624" t="s">
        <v>927</v>
      </c>
      <c r="B400" s="624">
        <f>Priv!J232</f>
        <v>0</v>
      </c>
      <c r="C400" s="625" t="s">
        <v>956</v>
      </c>
    </row>
    <row r="401" ht="15.75" customHeight="1">
      <c r="A401" s="624" t="s">
        <v>1455</v>
      </c>
      <c r="B401" s="624">
        <f>Priv!K232</f>
        <v>0</v>
      </c>
      <c r="C401" s="625" t="s">
        <v>956</v>
      </c>
    </row>
    <row r="402" ht="15.75" customHeight="1">
      <c r="A402" s="624" t="s">
        <v>1456</v>
      </c>
      <c r="B402" s="624">
        <f>Priv!L232</f>
        <v>0</v>
      </c>
      <c r="C402" s="625" t="s">
        <v>956</v>
      </c>
    </row>
    <row r="403" ht="15.75" customHeight="1">
      <c r="A403" s="624" t="s">
        <v>928</v>
      </c>
      <c r="B403" s="624">
        <f>Priv!E233</f>
        <v>0</v>
      </c>
      <c r="C403" s="625" t="s">
        <v>956</v>
      </c>
    </row>
    <row r="404" ht="15.75" customHeight="1">
      <c r="A404" s="624" t="s">
        <v>929</v>
      </c>
      <c r="B404" s="624">
        <f>Priv!F233</f>
        <v>0</v>
      </c>
      <c r="C404" s="625" t="s">
        <v>956</v>
      </c>
    </row>
    <row r="405" ht="15.75" customHeight="1">
      <c r="A405" s="624" t="s">
        <v>930</v>
      </c>
      <c r="B405" s="624">
        <f>Priv!G233</f>
        <v>0</v>
      </c>
      <c r="C405" s="625" t="s">
        <v>956</v>
      </c>
    </row>
    <row r="406" ht="15.75" customHeight="1">
      <c r="A406" s="624" t="s">
        <v>931</v>
      </c>
      <c r="B406" s="624">
        <f>Priv!H233</f>
        <v>0</v>
      </c>
      <c r="C406" s="625" t="s">
        <v>956</v>
      </c>
    </row>
    <row r="407" ht="15.75" customHeight="1">
      <c r="A407" s="624" t="s">
        <v>932</v>
      </c>
      <c r="B407" s="624">
        <f>Priv!I233</f>
        <v>0</v>
      </c>
      <c r="C407" s="625" t="s">
        <v>956</v>
      </c>
    </row>
    <row r="408" ht="15.75" customHeight="1">
      <c r="A408" s="624" t="s">
        <v>933</v>
      </c>
      <c r="B408" s="624">
        <f>Priv!J233</f>
        <v>0</v>
      </c>
      <c r="C408" s="625" t="s">
        <v>956</v>
      </c>
    </row>
    <row r="409" ht="15.75" customHeight="1">
      <c r="A409" s="624" t="s">
        <v>1457</v>
      </c>
      <c r="B409" s="624">
        <f>Priv!K233</f>
        <v>0</v>
      </c>
      <c r="C409" s="625" t="s">
        <v>956</v>
      </c>
    </row>
    <row r="410" ht="15.75" customHeight="1">
      <c r="A410" s="624" t="s">
        <v>1458</v>
      </c>
      <c r="B410" s="624">
        <f>Priv!L233</f>
        <v>0</v>
      </c>
      <c r="C410" s="625" t="s">
        <v>956</v>
      </c>
    </row>
    <row r="411" ht="15.75" customHeight="1">
      <c r="A411" s="624" t="s">
        <v>1459</v>
      </c>
      <c r="B411" s="624">
        <f>Priv!E234</f>
        <v>0</v>
      </c>
      <c r="C411" s="625" t="s">
        <v>956</v>
      </c>
    </row>
    <row r="412" ht="15.75" customHeight="1">
      <c r="A412" s="624" t="s">
        <v>1460</v>
      </c>
      <c r="B412" s="624">
        <f>Priv!F234</f>
        <v>0</v>
      </c>
      <c r="C412" s="625" t="s">
        <v>956</v>
      </c>
    </row>
    <row r="413" ht="15.75" customHeight="1">
      <c r="A413" s="624" t="s">
        <v>1461</v>
      </c>
      <c r="B413" s="624">
        <f>Priv!G234</f>
        <v>0</v>
      </c>
      <c r="C413" s="625" t="s">
        <v>956</v>
      </c>
    </row>
    <row r="414" ht="15.75" customHeight="1">
      <c r="A414" s="624" t="s">
        <v>1462</v>
      </c>
      <c r="B414" s="624">
        <f>Priv!H234</f>
        <v>0</v>
      </c>
      <c r="C414" s="625" t="s">
        <v>956</v>
      </c>
    </row>
    <row r="415" ht="15.75" customHeight="1">
      <c r="A415" s="624" t="s">
        <v>1463</v>
      </c>
      <c r="B415" s="624">
        <f>Priv!I234</f>
        <v>0</v>
      </c>
      <c r="C415" s="625" t="s">
        <v>956</v>
      </c>
    </row>
    <row r="416" ht="15.75" customHeight="1">
      <c r="A416" s="624" t="s">
        <v>1464</v>
      </c>
      <c r="B416" s="624">
        <f>Priv!J234</f>
        <v>0</v>
      </c>
      <c r="C416" s="625" t="s">
        <v>956</v>
      </c>
    </row>
    <row r="417" ht="15.75" customHeight="1">
      <c r="A417" s="624" t="s">
        <v>1465</v>
      </c>
      <c r="B417" s="624">
        <f>Priv!K234</f>
        <v>0</v>
      </c>
      <c r="C417" s="625" t="s">
        <v>956</v>
      </c>
    </row>
    <row r="418" ht="15.75" customHeight="1">
      <c r="A418" s="624" t="s">
        <v>1466</v>
      </c>
      <c r="B418" s="624">
        <f>Priv!L234</f>
        <v>0</v>
      </c>
      <c r="C418" s="625" t="s">
        <v>956</v>
      </c>
    </row>
    <row r="419" ht="15.75" customHeight="1">
      <c r="A419" s="624" t="s">
        <v>1467</v>
      </c>
      <c r="B419" s="624">
        <f>Priv!E235</f>
        <v>0</v>
      </c>
      <c r="C419" s="625" t="s">
        <v>956</v>
      </c>
    </row>
    <row r="420" ht="15.75" customHeight="1">
      <c r="A420" s="624" t="s">
        <v>1468</v>
      </c>
      <c r="B420" s="624">
        <f>Priv!F235</f>
        <v>0</v>
      </c>
      <c r="C420" s="625" t="s">
        <v>956</v>
      </c>
    </row>
    <row r="421" ht="15.75" customHeight="1">
      <c r="A421" s="624" t="s">
        <v>1469</v>
      </c>
      <c r="B421" s="624">
        <f>Priv!G235</f>
        <v>0</v>
      </c>
      <c r="C421" s="625" t="s">
        <v>956</v>
      </c>
    </row>
    <row r="422" ht="15.75" customHeight="1">
      <c r="A422" s="624" t="s">
        <v>1470</v>
      </c>
      <c r="B422" s="624">
        <f>Priv!H235</f>
        <v>0</v>
      </c>
      <c r="C422" s="625" t="s">
        <v>956</v>
      </c>
    </row>
    <row r="423" ht="15.75" customHeight="1">
      <c r="A423" s="624" t="s">
        <v>1471</v>
      </c>
      <c r="B423" s="624">
        <f>Priv!I235</f>
        <v>0</v>
      </c>
      <c r="C423" s="625" t="s">
        <v>956</v>
      </c>
    </row>
    <row r="424" ht="15.75" customHeight="1">
      <c r="A424" s="624" t="s">
        <v>1472</v>
      </c>
      <c r="B424" s="624">
        <f>Priv!J235</f>
        <v>0</v>
      </c>
      <c r="C424" s="625" t="s">
        <v>956</v>
      </c>
    </row>
    <row r="425" ht="15.75" customHeight="1">
      <c r="A425" s="624" t="s">
        <v>1473</v>
      </c>
      <c r="B425" s="624">
        <f>Priv!K235</f>
        <v>0</v>
      </c>
      <c r="C425" s="625" t="s">
        <v>956</v>
      </c>
    </row>
    <row r="426" ht="15.75" customHeight="1">
      <c r="A426" s="624" t="s">
        <v>1474</v>
      </c>
      <c r="B426" s="624">
        <f>Priv!L235</f>
        <v>0</v>
      </c>
      <c r="C426" s="625" t="s">
        <v>956</v>
      </c>
    </row>
    <row r="427" ht="15.75" customHeight="1">
      <c r="A427" s="624" t="s">
        <v>1475</v>
      </c>
      <c r="B427" s="624">
        <f>Priv!E236</f>
        <v>0</v>
      </c>
      <c r="C427" s="625" t="s">
        <v>956</v>
      </c>
    </row>
    <row r="428" ht="15.75" customHeight="1">
      <c r="A428" s="624" t="s">
        <v>1476</v>
      </c>
      <c r="B428" s="624">
        <f>Priv!F236</f>
        <v>0</v>
      </c>
      <c r="C428" s="625" t="s">
        <v>956</v>
      </c>
    </row>
    <row r="429" ht="15.75" customHeight="1">
      <c r="A429" s="624" t="s">
        <v>1477</v>
      </c>
      <c r="B429" s="624">
        <f>Priv!G236</f>
        <v>0</v>
      </c>
      <c r="C429" s="625" t="s">
        <v>956</v>
      </c>
    </row>
    <row r="430" ht="15.75" customHeight="1">
      <c r="A430" s="624" t="s">
        <v>1478</v>
      </c>
      <c r="B430" s="624">
        <f>Priv!H236</f>
        <v>0</v>
      </c>
      <c r="C430" s="625" t="s">
        <v>956</v>
      </c>
    </row>
    <row r="431" ht="15.75" customHeight="1">
      <c r="A431" s="624" t="s">
        <v>1479</v>
      </c>
      <c r="B431" s="624">
        <f>Priv!I236</f>
        <v>0</v>
      </c>
      <c r="C431" s="625" t="s">
        <v>956</v>
      </c>
    </row>
    <row r="432" ht="15.75" customHeight="1">
      <c r="A432" s="624" t="s">
        <v>1480</v>
      </c>
      <c r="B432" s="624">
        <f>Priv!J236</f>
        <v>0</v>
      </c>
      <c r="C432" s="625" t="s">
        <v>956</v>
      </c>
    </row>
    <row r="433" ht="15.75" customHeight="1">
      <c r="A433" s="624" t="s">
        <v>1481</v>
      </c>
      <c r="B433" s="624">
        <f>Priv!K236</f>
        <v>0</v>
      </c>
      <c r="C433" s="625" t="s">
        <v>956</v>
      </c>
    </row>
    <row r="434" ht="15.75" customHeight="1">
      <c r="A434" s="624" t="s">
        <v>1482</v>
      </c>
      <c r="B434" s="624">
        <f>Priv!L236</f>
        <v>0</v>
      </c>
      <c r="C434" s="625" t="s">
        <v>956</v>
      </c>
    </row>
    <row r="435" ht="15.75" customHeight="1">
      <c r="A435" s="624" t="s">
        <v>1483</v>
      </c>
      <c r="B435" s="624">
        <f>Priv!E237</f>
        <v>0</v>
      </c>
      <c r="C435" s="625" t="s">
        <v>956</v>
      </c>
    </row>
    <row r="436" ht="15.75" customHeight="1">
      <c r="A436" s="624" t="s">
        <v>1484</v>
      </c>
      <c r="B436" s="624">
        <f>Priv!F237</f>
        <v>0</v>
      </c>
      <c r="C436" s="625" t="s">
        <v>956</v>
      </c>
    </row>
    <row r="437" ht="15.75" customHeight="1">
      <c r="A437" s="624" t="s">
        <v>1485</v>
      </c>
      <c r="B437" s="624">
        <f>Priv!G237</f>
        <v>0</v>
      </c>
      <c r="C437" s="625" t="s">
        <v>956</v>
      </c>
    </row>
    <row r="438" ht="15.75" customHeight="1">
      <c r="A438" s="624" t="s">
        <v>1486</v>
      </c>
      <c r="B438" s="624">
        <f>Priv!H237</f>
        <v>0</v>
      </c>
      <c r="C438" s="625" t="s">
        <v>956</v>
      </c>
    </row>
    <row r="439" ht="15.75" customHeight="1">
      <c r="A439" s="624" t="s">
        <v>1487</v>
      </c>
      <c r="B439" s="624">
        <f>Priv!I237</f>
        <v>0</v>
      </c>
      <c r="C439" s="625" t="s">
        <v>956</v>
      </c>
    </row>
    <row r="440" ht="15.75" customHeight="1">
      <c r="A440" s="624" t="s">
        <v>1488</v>
      </c>
      <c r="B440" s="624">
        <f>Priv!J237</f>
        <v>0</v>
      </c>
      <c r="C440" s="625" t="s">
        <v>956</v>
      </c>
    </row>
    <row r="441" ht="15.75" customHeight="1">
      <c r="A441" s="624" t="s">
        <v>1489</v>
      </c>
      <c r="B441" s="624">
        <f>Priv!K237</f>
        <v>0</v>
      </c>
      <c r="C441" s="625" t="s">
        <v>956</v>
      </c>
    </row>
    <row r="442" ht="15.75" customHeight="1">
      <c r="A442" s="624" t="s">
        <v>1490</v>
      </c>
      <c r="B442" s="624">
        <f>Priv!L237</f>
        <v>0</v>
      </c>
      <c r="C442" s="625" t="s">
        <v>956</v>
      </c>
    </row>
    <row r="443" ht="15.75" customHeight="1">
      <c r="A443" s="624" t="s">
        <v>1491</v>
      </c>
      <c r="B443" s="624">
        <f>Priv!E238</f>
        <v>0</v>
      </c>
      <c r="C443" s="625" t="s">
        <v>956</v>
      </c>
    </row>
    <row r="444" ht="15.75" customHeight="1">
      <c r="A444" s="624" t="s">
        <v>1492</v>
      </c>
      <c r="B444" s="624">
        <f>Priv!F238</f>
        <v>0</v>
      </c>
      <c r="C444" s="625" t="s">
        <v>956</v>
      </c>
    </row>
    <row r="445" ht="15.75" customHeight="1">
      <c r="A445" s="624" t="s">
        <v>1493</v>
      </c>
      <c r="B445" s="624">
        <f>Priv!G238</f>
        <v>0</v>
      </c>
      <c r="C445" s="625" t="s">
        <v>956</v>
      </c>
    </row>
    <row r="446" ht="15.75" customHeight="1">
      <c r="A446" s="624" t="s">
        <v>1494</v>
      </c>
      <c r="B446" s="624">
        <f>Priv!H238</f>
        <v>0</v>
      </c>
      <c r="C446" s="625" t="s">
        <v>956</v>
      </c>
    </row>
    <row r="447" ht="15.75" customHeight="1">
      <c r="A447" s="624" t="s">
        <v>1495</v>
      </c>
      <c r="B447" s="624">
        <f>Priv!I238</f>
        <v>0</v>
      </c>
      <c r="C447" s="625" t="s">
        <v>956</v>
      </c>
    </row>
    <row r="448" ht="15.75" customHeight="1">
      <c r="A448" s="624" t="s">
        <v>1496</v>
      </c>
      <c r="B448" s="624">
        <f>Priv!J238</f>
        <v>0</v>
      </c>
      <c r="C448" s="625" t="s">
        <v>956</v>
      </c>
    </row>
    <row r="449" ht="15.75" customHeight="1">
      <c r="A449" s="624" t="s">
        <v>1497</v>
      </c>
      <c r="B449" s="624">
        <f>Priv!K238</f>
        <v>0</v>
      </c>
      <c r="C449" s="625" t="s">
        <v>956</v>
      </c>
    </row>
    <row r="450" ht="15.75" customHeight="1">
      <c r="A450" s="624" t="s">
        <v>1498</v>
      </c>
      <c r="B450" s="624">
        <f>Priv!L238</f>
        <v>0</v>
      </c>
      <c r="C450" s="625" t="s">
        <v>956</v>
      </c>
    </row>
    <row r="451" ht="15.75" customHeight="1">
      <c r="A451" s="624" t="s">
        <v>934</v>
      </c>
      <c r="B451" s="624">
        <f>Priv!E244</f>
        <v>0</v>
      </c>
      <c r="C451" s="625" t="s">
        <v>999</v>
      </c>
    </row>
    <row r="452" ht="15.75" customHeight="1">
      <c r="A452" s="624" t="s">
        <v>936</v>
      </c>
      <c r="B452" s="624">
        <f>Priv!F244</f>
        <v>0</v>
      </c>
      <c r="C452" s="625" t="s">
        <v>999</v>
      </c>
    </row>
    <row r="453" ht="15.75" customHeight="1">
      <c r="A453" s="624" t="s">
        <v>937</v>
      </c>
      <c r="B453" s="624">
        <f>Priv!G244</f>
        <v>0</v>
      </c>
      <c r="C453" s="625" t="s">
        <v>999</v>
      </c>
    </row>
    <row r="454" ht="15.75" customHeight="1">
      <c r="A454" s="624" t="s">
        <v>938</v>
      </c>
      <c r="B454" s="624">
        <f>Priv!H244</f>
        <v>0</v>
      </c>
      <c r="C454" s="625" t="s">
        <v>999</v>
      </c>
    </row>
    <row r="455" ht="15.75" customHeight="1">
      <c r="A455" s="624" t="s">
        <v>1499</v>
      </c>
      <c r="B455" s="624">
        <f>Priv!I244</f>
        <v>0</v>
      </c>
      <c r="C455" s="625" t="s">
        <v>999</v>
      </c>
    </row>
    <row r="456" ht="15.75" customHeight="1">
      <c r="A456" s="624" t="s">
        <v>1500</v>
      </c>
      <c r="B456" s="624">
        <f>Priv!J244</f>
        <v>0</v>
      </c>
      <c r="C456" s="625" t="s">
        <v>999</v>
      </c>
    </row>
    <row r="457" ht="15.75" customHeight="1">
      <c r="A457" s="624" t="s">
        <v>1501</v>
      </c>
      <c r="B457" s="624">
        <f>Priv!K244</f>
        <v>0</v>
      </c>
      <c r="C457" s="625" t="s">
        <v>999</v>
      </c>
    </row>
    <row r="458" ht="15.75" customHeight="1">
      <c r="A458" s="624" t="s">
        <v>1502</v>
      </c>
      <c r="B458" s="624">
        <f>Priv!L244</f>
        <v>0</v>
      </c>
      <c r="C458" s="625" t="s">
        <v>999</v>
      </c>
    </row>
    <row r="459" ht="15.75" customHeight="1">
      <c r="A459" s="624" t="s">
        <v>939</v>
      </c>
      <c r="B459" s="624">
        <f>Priv!E245</f>
        <v>0</v>
      </c>
      <c r="C459" s="625" t="s">
        <v>999</v>
      </c>
    </row>
    <row r="460" ht="15.75" customHeight="1">
      <c r="A460" s="624" t="s">
        <v>940</v>
      </c>
      <c r="B460" s="624">
        <f>Priv!F245</f>
        <v>0</v>
      </c>
      <c r="C460" s="625" t="s">
        <v>999</v>
      </c>
    </row>
    <row r="461" ht="15.75" customHeight="1">
      <c r="A461" s="624" t="s">
        <v>941</v>
      </c>
      <c r="B461" s="624">
        <f>Priv!G245</f>
        <v>0</v>
      </c>
      <c r="C461" s="625" t="s">
        <v>999</v>
      </c>
    </row>
    <row r="462" ht="15.75" customHeight="1">
      <c r="A462" s="624" t="s">
        <v>942</v>
      </c>
      <c r="B462" s="624">
        <f>Priv!H245</f>
        <v>0</v>
      </c>
      <c r="C462" s="625" t="s">
        <v>999</v>
      </c>
    </row>
    <row r="463" ht="15.75" customHeight="1">
      <c r="A463" s="624" t="s">
        <v>1503</v>
      </c>
      <c r="B463" s="624">
        <f>Priv!I245</f>
        <v>0</v>
      </c>
      <c r="C463" s="625" t="s">
        <v>999</v>
      </c>
    </row>
    <row r="464" ht="15.75" customHeight="1">
      <c r="A464" s="624" t="s">
        <v>1504</v>
      </c>
      <c r="B464" s="624">
        <f>Priv!J245</f>
        <v>0</v>
      </c>
      <c r="C464" s="625" t="s">
        <v>999</v>
      </c>
    </row>
    <row r="465" ht="15.75" customHeight="1">
      <c r="A465" s="624" t="s">
        <v>1505</v>
      </c>
      <c r="B465" s="624">
        <f>Priv!K245</f>
        <v>0</v>
      </c>
      <c r="C465" s="625" t="s">
        <v>999</v>
      </c>
    </row>
    <row r="466" ht="15.75" customHeight="1">
      <c r="A466" s="624" t="s">
        <v>1506</v>
      </c>
      <c r="B466" s="624">
        <f>Priv!L245</f>
        <v>0</v>
      </c>
      <c r="C466" s="625" t="s">
        <v>999</v>
      </c>
    </row>
    <row r="467" ht="15.75" customHeight="1">
      <c r="A467" s="624" t="s">
        <v>943</v>
      </c>
      <c r="B467" s="624">
        <f>Priv!E246</f>
        <v>0</v>
      </c>
      <c r="C467" s="625" t="s">
        <v>999</v>
      </c>
    </row>
    <row r="468" ht="15.75" customHeight="1">
      <c r="A468" s="624" t="s">
        <v>944</v>
      </c>
      <c r="B468" s="624">
        <f>Priv!F246</f>
        <v>0</v>
      </c>
      <c r="C468" s="625" t="s">
        <v>999</v>
      </c>
    </row>
    <row r="469" ht="15.75" customHeight="1">
      <c r="A469" s="624" t="s">
        <v>945</v>
      </c>
      <c r="B469" s="624">
        <f>Priv!G246</f>
        <v>0</v>
      </c>
      <c r="C469" s="625" t="s">
        <v>999</v>
      </c>
    </row>
    <row r="470" ht="15.75" customHeight="1">
      <c r="A470" s="624" t="s">
        <v>946</v>
      </c>
      <c r="B470" s="624">
        <f>Priv!H246</f>
        <v>0</v>
      </c>
      <c r="C470" s="625" t="s">
        <v>999</v>
      </c>
    </row>
    <row r="471" ht="15.75" customHeight="1">
      <c r="A471" s="624" t="s">
        <v>1507</v>
      </c>
      <c r="B471" s="624">
        <f>Priv!I246</f>
        <v>0</v>
      </c>
      <c r="C471" s="625" t="s">
        <v>999</v>
      </c>
    </row>
    <row r="472" ht="15.75" customHeight="1">
      <c r="A472" s="624" t="s">
        <v>1508</v>
      </c>
      <c r="B472" s="624">
        <f>Priv!J246</f>
        <v>0</v>
      </c>
      <c r="C472" s="625" t="s">
        <v>999</v>
      </c>
    </row>
    <row r="473" ht="15.75" customHeight="1">
      <c r="A473" s="624" t="s">
        <v>1509</v>
      </c>
      <c r="B473" s="624">
        <f>Priv!K246</f>
        <v>0</v>
      </c>
      <c r="C473" s="625" t="s">
        <v>999</v>
      </c>
    </row>
    <row r="474" ht="15.75" customHeight="1">
      <c r="A474" s="624" t="s">
        <v>1510</v>
      </c>
      <c r="B474" s="624">
        <f>Priv!L246</f>
        <v>0</v>
      </c>
      <c r="C474" s="625" t="s">
        <v>999</v>
      </c>
    </row>
    <row r="475" ht="15.75" customHeight="1">
      <c r="A475" s="624" t="s">
        <v>947</v>
      </c>
      <c r="B475" s="624">
        <f>Priv!E247</f>
        <v>0</v>
      </c>
      <c r="C475" s="625" t="s">
        <v>999</v>
      </c>
    </row>
    <row r="476" ht="15.75" customHeight="1">
      <c r="A476" s="624" t="s">
        <v>948</v>
      </c>
      <c r="B476" s="624">
        <f>Priv!F247</f>
        <v>0</v>
      </c>
      <c r="C476" s="625" t="s">
        <v>999</v>
      </c>
    </row>
    <row r="477" ht="15.75" customHeight="1">
      <c r="A477" s="624" t="s">
        <v>949</v>
      </c>
      <c r="B477" s="624">
        <f>Priv!G247</f>
        <v>0</v>
      </c>
      <c r="C477" s="625" t="s">
        <v>999</v>
      </c>
    </row>
    <row r="478" ht="15.75" customHeight="1">
      <c r="A478" s="624" t="s">
        <v>950</v>
      </c>
      <c r="B478" s="624">
        <f>Priv!H247</f>
        <v>0</v>
      </c>
      <c r="C478" s="625" t="s">
        <v>999</v>
      </c>
    </row>
    <row r="479" ht="15.75" customHeight="1">
      <c r="A479" s="624" t="s">
        <v>1511</v>
      </c>
      <c r="B479" s="624">
        <f>Priv!I247</f>
        <v>0</v>
      </c>
      <c r="C479" s="625" t="s">
        <v>999</v>
      </c>
    </row>
    <row r="480" ht="15.75" customHeight="1">
      <c r="A480" s="624" t="s">
        <v>1512</v>
      </c>
      <c r="B480" s="624">
        <f>Priv!J247</f>
        <v>0</v>
      </c>
      <c r="C480" s="625" t="s">
        <v>999</v>
      </c>
    </row>
    <row r="481" ht="15.75" customHeight="1">
      <c r="A481" s="624" t="s">
        <v>1513</v>
      </c>
      <c r="B481" s="624">
        <f>Priv!K247</f>
        <v>0</v>
      </c>
      <c r="C481" s="625" t="s">
        <v>999</v>
      </c>
    </row>
    <row r="482" ht="15.75" customHeight="1">
      <c r="A482" s="624" t="s">
        <v>1514</v>
      </c>
      <c r="B482" s="624">
        <f>Priv!L247</f>
        <v>0</v>
      </c>
      <c r="C482" s="625" t="s">
        <v>999</v>
      </c>
    </row>
    <row r="483" ht="15.75" customHeight="1">
      <c r="A483" s="624" t="s">
        <v>951</v>
      </c>
      <c r="B483" s="624">
        <f>Priv!E248</f>
        <v>0</v>
      </c>
      <c r="C483" s="625" t="s">
        <v>999</v>
      </c>
    </row>
    <row r="484" ht="15.75" customHeight="1">
      <c r="A484" s="624" t="s">
        <v>952</v>
      </c>
      <c r="B484" s="624">
        <f>Priv!F248</f>
        <v>0</v>
      </c>
      <c r="C484" s="625" t="s">
        <v>999</v>
      </c>
    </row>
    <row r="485" ht="15.75" customHeight="1">
      <c r="A485" s="624" t="s">
        <v>953</v>
      </c>
      <c r="B485" s="624">
        <f>Priv!G248</f>
        <v>0</v>
      </c>
      <c r="C485" s="625" t="s">
        <v>999</v>
      </c>
    </row>
    <row r="486" ht="15.75" customHeight="1">
      <c r="A486" s="624" t="s">
        <v>954</v>
      </c>
      <c r="B486" s="624">
        <f>Priv!H248</f>
        <v>0</v>
      </c>
      <c r="C486" s="625" t="s">
        <v>999</v>
      </c>
    </row>
    <row r="487" ht="15.75" customHeight="1">
      <c r="A487" s="624" t="s">
        <v>1515</v>
      </c>
      <c r="B487" s="624">
        <f>Priv!I248</f>
        <v>0</v>
      </c>
      <c r="C487" s="625" t="s">
        <v>999</v>
      </c>
    </row>
    <row r="488" ht="15.75" customHeight="1">
      <c r="A488" s="624" t="s">
        <v>1516</v>
      </c>
      <c r="B488" s="624">
        <f>Priv!J248</f>
        <v>0</v>
      </c>
      <c r="C488" s="625" t="s">
        <v>999</v>
      </c>
    </row>
    <row r="489" ht="15.75" customHeight="1">
      <c r="A489" s="624" t="s">
        <v>1517</v>
      </c>
      <c r="B489" s="624">
        <f>Priv!K248</f>
        <v>0</v>
      </c>
      <c r="C489" s="625" t="s">
        <v>999</v>
      </c>
    </row>
    <row r="490" ht="15.75" customHeight="1">
      <c r="A490" s="624" t="s">
        <v>1518</v>
      </c>
      <c r="B490" s="624">
        <f>Priv!L248</f>
        <v>0</v>
      </c>
      <c r="C490" s="625" t="s">
        <v>999</v>
      </c>
    </row>
    <row r="491" ht="15.75" customHeight="1">
      <c r="A491" s="624" t="s">
        <v>1519</v>
      </c>
      <c r="B491" s="624">
        <f>Priv!E249</f>
        <v>0</v>
      </c>
      <c r="C491" s="625" t="s">
        <v>999</v>
      </c>
    </row>
    <row r="492" ht="15.75" customHeight="1">
      <c r="A492" s="624" t="s">
        <v>1520</v>
      </c>
      <c r="B492" s="624">
        <f>Priv!F249</f>
        <v>0</v>
      </c>
      <c r="C492" s="625" t="s">
        <v>999</v>
      </c>
    </row>
    <row r="493" ht="15.75" customHeight="1">
      <c r="A493" s="624" t="s">
        <v>1521</v>
      </c>
      <c r="B493" s="624">
        <f>Priv!G249</f>
        <v>0</v>
      </c>
      <c r="C493" s="625" t="s">
        <v>999</v>
      </c>
    </row>
    <row r="494" ht="15.75" customHeight="1">
      <c r="A494" s="624" t="s">
        <v>1522</v>
      </c>
      <c r="B494" s="624">
        <f>Priv!H249</f>
        <v>0</v>
      </c>
      <c r="C494" s="625" t="s">
        <v>999</v>
      </c>
    </row>
    <row r="495" ht="15.75" customHeight="1">
      <c r="A495" s="624" t="s">
        <v>1523</v>
      </c>
      <c r="B495" s="624">
        <f>Priv!I249</f>
        <v>0</v>
      </c>
      <c r="C495" s="625" t="s">
        <v>999</v>
      </c>
    </row>
    <row r="496" ht="15.75" customHeight="1">
      <c r="A496" s="624" t="s">
        <v>1524</v>
      </c>
      <c r="B496" s="624">
        <f>Priv!J249</f>
        <v>0</v>
      </c>
      <c r="C496" s="625" t="s">
        <v>999</v>
      </c>
    </row>
    <row r="497" ht="15.75" customHeight="1">
      <c r="A497" s="624" t="s">
        <v>1525</v>
      </c>
      <c r="B497" s="624">
        <f>Priv!K249</f>
        <v>0</v>
      </c>
      <c r="C497" s="625" t="s">
        <v>999</v>
      </c>
    </row>
    <row r="498" ht="15.75" customHeight="1">
      <c r="A498" s="624" t="s">
        <v>1526</v>
      </c>
      <c r="B498" s="624">
        <f>Priv!L249</f>
        <v>0</v>
      </c>
      <c r="C498" s="625" t="s">
        <v>999</v>
      </c>
    </row>
    <row r="499" ht="15.75" customHeight="1">
      <c r="A499" s="624" t="s">
        <v>1527</v>
      </c>
      <c r="B499" s="624">
        <f>Priv!E250</f>
        <v>0</v>
      </c>
      <c r="C499" s="625" t="s">
        <v>999</v>
      </c>
    </row>
    <row r="500" ht="15.75" customHeight="1">
      <c r="A500" s="624" t="s">
        <v>1528</v>
      </c>
      <c r="B500" s="624">
        <f>Priv!F250</f>
        <v>0</v>
      </c>
      <c r="C500" s="625" t="s">
        <v>999</v>
      </c>
    </row>
    <row r="501" ht="15.75" customHeight="1">
      <c r="A501" s="624" t="s">
        <v>1529</v>
      </c>
      <c r="B501" s="624">
        <f>Priv!G250</f>
        <v>0</v>
      </c>
      <c r="C501" s="625" t="s">
        <v>999</v>
      </c>
    </row>
    <row r="502" ht="15.75" customHeight="1">
      <c r="A502" s="624" t="s">
        <v>1530</v>
      </c>
      <c r="B502" s="624">
        <f>Priv!H250</f>
        <v>0</v>
      </c>
      <c r="C502" s="625" t="s">
        <v>999</v>
      </c>
    </row>
    <row r="503" ht="15.75" customHeight="1">
      <c r="A503" s="624" t="s">
        <v>1531</v>
      </c>
      <c r="B503" s="624">
        <f>Priv!I250</f>
        <v>0</v>
      </c>
      <c r="C503" s="625" t="s">
        <v>999</v>
      </c>
    </row>
    <row r="504" ht="15.75" customHeight="1">
      <c r="A504" s="624" t="s">
        <v>1532</v>
      </c>
      <c r="B504" s="624">
        <f>Priv!J250</f>
        <v>0</v>
      </c>
      <c r="C504" s="625" t="s">
        <v>999</v>
      </c>
    </row>
    <row r="505" ht="15.75" customHeight="1">
      <c r="A505" s="624" t="s">
        <v>1533</v>
      </c>
      <c r="B505" s="624">
        <f>Priv!K250</f>
        <v>0</v>
      </c>
      <c r="C505" s="625" t="s">
        <v>999</v>
      </c>
    </row>
    <row r="506" ht="15.75" customHeight="1">
      <c r="A506" s="624" t="s">
        <v>1534</v>
      </c>
      <c r="B506" s="624">
        <f>Priv!L250</f>
        <v>0</v>
      </c>
      <c r="C506" s="625" t="s">
        <v>999</v>
      </c>
    </row>
    <row r="507" ht="15.75" customHeight="1">
      <c r="A507" s="624" t="s">
        <v>955</v>
      </c>
      <c r="B507" s="624">
        <f>Priv!C258</f>
        <v>0</v>
      </c>
      <c r="C507" s="625" t="s">
        <v>1042</v>
      </c>
    </row>
    <row r="508" ht="15.75" customHeight="1">
      <c r="A508" s="624" t="s">
        <v>957</v>
      </c>
      <c r="B508" s="624">
        <f>Priv!D258</f>
        <v>0</v>
      </c>
      <c r="C508" s="625" t="s">
        <v>1042</v>
      </c>
    </row>
    <row r="509" ht="15.75" customHeight="1">
      <c r="A509" s="624" t="s">
        <v>958</v>
      </c>
      <c r="B509" s="624" t="str">
        <f>Priv!#REF!</f>
        <v>#ERROR!</v>
      </c>
      <c r="C509" s="625" t="s">
        <v>1042</v>
      </c>
    </row>
    <row r="510" ht="15.75" customHeight="1">
      <c r="A510" s="624" t="s">
        <v>959</v>
      </c>
      <c r="B510" s="624" t="str">
        <f>Priv!#REF!</f>
        <v>#ERROR!</v>
      </c>
      <c r="C510" s="625" t="s">
        <v>1042</v>
      </c>
    </row>
    <row r="511" ht="15.75" customHeight="1">
      <c r="A511" s="624" t="s">
        <v>960</v>
      </c>
      <c r="B511" s="624">
        <f>Priv!E258</f>
        <v>0</v>
      </c>
      <c r="C511" s="625" t="s">
        <v>1042</v>
      </c>
    </row>
    <row r="512" ht="15.75" customHeight="1">
      <c r="A512" s="624" t="s">
        <v>961</v>
      </c>
      <c r="B512" s="624">
        <f>Priv!F258</f>
        <v>0</v>
      </c>
      <c r="C512" s="625" t="s">
        <v>1042</v>
      </c>
    </row>
    <row r="513" ht="15.75" customHeight="1">
      <c r="A513" s="624" t="s">
        <v>962</v>
      </c>
      <c r="B513" s="624" t="str">
        <f>Priv!#REF!</f>
        <v>#ERROR!</v>
      </c>
      <c r="C513" s="625" t="s">
        <v>1042</v>
      </c>
    </row>
    <row r="514" ht="15.75" customHeight="1">
      <c r="A514" s="624" t="s">
        <v>1535</v>
      </c>
      <c r="B514" s="624" t="str">
        <f>Priv!#REF!</f>
        <v>#ERROR!</v>
      </c>
      <c r="C514" s="625" t="s">
        <v>1042</v>
      </c>
    </row>
    <row r="515" ht="15.75" customHeight="1">
      <c r="A515" s="624" t="s">
        <v>1536</v>
      </c>
      <c r="B515" s="624">
        <f>Priv!G258</f>
        <v>0</v>
      </c>
      <c r="C515" s="625" t="s">
        <v>1042</v>
      </c>
    </row>
    <row r="516" ht="15.75" customHeight="1">
      <c r="A516" s="624" t="s">
        <v>1537</v>
      </c>
      <c r="B516" s="624">
        <f>Priv!H258</f>
        <v>0</v>
      </c>
      <c r="C516" s="625" t="s">
        <v>1042</v>
      </c>
    </row>
    <row r="517" ht="15.75" customHeight="1">
      <c r="A517" s="624" t="s">
        <v>963</v>
      </c>
      <c r="B517" s="624">
        <f>Priv!C259</f>
        <v>0</v>
      </c>
      <c r="C517" s="625" t="s">
        <v>1042</v>
      </c>
    </row>
    <row r="518" ht="15.75" customHeight="1">
      <c r="A518" s="624" t="s">
        <v>964</v>
      </c>
      <c r="B518" s="624">
        <f>Priv!D259</f>
        <v>0</v>
      </c>
      <c r="C518" s="625" t="s">
        <v>1042</v>
      </c>
    </row>
    <row r="519" ht="15.75" customHeight="1">
      <c r="A519" s="624" t="s">
        <v>965</v>
      </c>
      <c r="B519" s="624" t="str">
        <f>Priv!#REF!</f>
        <v>#ERROR!</v>
      </c>
      <c r="C519" s="625" t="s">
        <v>1042</v>
      </c>
    </row>
    <row r="520" ht="15.75" customHeight="1">
      <c r="A520" s="624" t="s">
        <v>966</v>
      </c>
      <c r="B520" s="624" t="str">
        <f>Priv!#REF!</f>
        <v>#ERROR!</v>
      </c>
      <c r="C520" s="625" t="s">
        <v>1042</v>
      </c>
    </row>
    <row r="521" ht="15.75" customHeight="1">
      <c r="A521" s="624" t="s">
        <v>967</v>
      </c>
      <c r="B521" s="624">
        <f>Priv!E259</f>
        <v>0</v>
      </c>
      <c r="C521" s="625" t="s">
        <v>1042</v>
      </c>
    </row>
    <row r="522" ht="15.75" customHeight="1">
      <c r="A522" s="624" t="s">
        <v>968</v>
      </c>
      <c r="B522" s="624">
        <f>Priv!F259</f>
        <v>0</v>
      </c>
      <c r="C522" s="625" t="s">
        <v>1042</v>
      </c>
    </row>
    <row r="523" ht="15.75" customHeight="1">
      <c r="A523" s="624" t="s">
        <v>969</v>
      </c>
      <c r="B523" s="624" t="str">
        <f>Priv!#REF!</f>
        <v>#ERROR!</v>
      </c>
      <c r="C523" s="625" t="s">
        <v>1042</v>
      </c>
    </row>
    <row r="524" ht="15.75" customHeight="1">
      <c r="A524" s="624" t="s">
        <v>1538</v>
      </c>
      <c r="B524" s="624" t="str">
        <f>Priv!#REF!</f>
        <v>#ERROR!</v>
      </c>
      <c r="C524" s="625" t="s">
        <v>1042</v>
      </c>
    </row>
    <row r="525" ht="15.75" customHeight="1">
      <c r="A525" s="624" t="s">
        <v>1539</v>
      </c>
      <c r="B525" s="624">
        <f>Priv!G259</f>
        <v>0</v>
      </c>
      <c r="C525" s="625" t="s">
        <v>1042</v>
      </c>
    </row>
    <row r="526" ht="15.75" customHeight="1">
      <c r="A526" s="624" t="s">
        <v>1540</v>
      </c>
      <c r="B526" s="624">
        <f>Priv!H259</f>
        <v>0</v>
      </c>
      <c r="C526" s="625" t="s">
        <v>1042</v>
      </c>
    </row>
    <row r="527" ht="15.75" customHeight="1">
      <c r="A527" s="624" t="s">
        <v>970</v>
      </c>
      <c r="B527" s="624">
        <f>Priv!C260</f>
        <v>0</v>
      </c>
      <c r="C527" s="625" t="s">
        <v>1042</v>
      </c>
    </row>
    <row r="528" ht="15.75" customHeight="1">
      <c r="A528" s="624" t="s">
        <v>971</v>
      </c>
      <c r="B528" s="624">
        <f>Priv!D260</f>
        <v>0</v>
      </c>
      <c r="C528" s="625" t="s">
        <v>1042</v>
      </c>
    </row>
    <row r="529" ht="15.75" customHeight="1">
      <c r="A529" s="624" t="s">
        <v>972</v>
      </c>
      <c r="B529" s="624" t="str">
        <f>Priv!#REF!</f>
        <v>#ERROR!</v>
      </c>
      <c r="C529" s="625" t="s">
        <v>1042</v>
      </c>
    </row>
    <row r="530" ht="15.75" customHeight="1">
      <c r="A530" s="624" t="s">
        <v>973</v>
      </c>
      <c r="B530" s="624" t="str">
        <f>Priv!#REF!</f>
        <v>#ERROR!</v>
      </c>
      <c r="C530" s="625" t="s">
        <v>1042</v>
      </c>
    </row>
    <row r="531" ht="15.75" customHeight="1">
      <c r="A531" s="624" t="s">
        <v>974</v>
      </c>
      <c r="B531" s="624">
        <f>Priv!E260</f>
        <v>0</v>
      </c>
      <c r="C531" s="625" t="s">
        <v>1042</v>
      </c>
    </row>
    <row r="532" ht="15.75" customHeight="1">
      <c r="A532" s="624" t="s">
        <v>975</v>
      </c>
      <c r="B532" s="624">
        <f>Priv!F260</f>
        <v>0</v>
      </c>
      <c r="C532" s="625" t="s">
        <v>1042</v>
      </c>
    </row>
    <row r="533" ht="15.75" customHeight="1">
      <c r="A533" s="624" t="s">
        <v>976</v>
      </c>
      <c r="B533" s="624" t="str">
        <f>Priv!#REF!</f>
        <v>#ERROR!</v>
      </c>
      <c r="C533" s="625" t="s">
        <v>1042</v>
      </c>
    </row>
    <row r="534" ht="15.75" customHeight="1">
      <c r="A534" s="624" t="s">
        <v>1541</v>
      </c>
      <c r="B534" s="624" t="str">
        <f>Priv!#REF!</f>
        <v>#ERROR!</v>
      </c>
      <c r="C534" s="625" t="s">
        <v>1042</v>
      </c>
    </row>
    <row r="535" ht="15.75" customHeight="1">
      <c r="A535" s="624" t="s">
        <v>1542</v>
      </c>
      <c r="B535" s="624">
        <f>Priv!G260</f>
        <v>0</v>
      </c>
      <c r="C535" s="625" t="s">
        <v>1042</v>
      </c>
    </row>
    <row r="536" ht="15.75" customHeight="1">
      <c r="A536" s="624" t="s">
        <v>1543</v>
      </c>
      <c r="B536" s="624">
        <f>Priv!H260</f>
        <v>0</v>
      </c>
      <c r="C536" s="625" t="s">
        <v>1042</v>
      </c>
    </row>
    <row r="537" ht="15.75" customHeight="1">
      <c r="A537" s="624" t="s">
        <v>977</v>
      </c>
      <c r="B537" s="624">
        <f>Priv!C261</f>
        <v>0</v>
      </c>
      <c r="C537" s="625" t="s">
        <v>1042</v>
      </c>
    </row>
    <row r="538" ht="15.75" customHeight="1">
      <c r="A538" s="624" t="s">
        <v>978</v>
      </c>
      <c r="B538" s="624">
        <f>Priv!D261</f>
        <v>0</v>
      </c>
      <c r="C538" s="625" t="s">
        <v>1042</v>
      </c>
    </row>
    <row r="539" ht="15.75" customHeight="1">
      <c r="A539" s="624" t="s">
        <v>979</v>
      </c>
      <c r="B539" s="624" t="str">
        <f>Priv!#REF!</f>
        <v>#ERROR!</v>
      </c>
      <c r="C539" s="625" t="s">
        <v>1042</v>
      </c>
    </row>
    <row r="540" ht="15.75" customHeight="1">
      <c r="A540" s="624" t="s">
        <v>980</v>
      </c>
      <c r="B540" s="624" t="str">
        <f>Priv!#REF!</f>
        <v>#ERROR!</v>
      </c>
      <c r="C540" s="625" t="s">
        <v>1042</v>
      </c>
    </row>
    <row r="541" ht="15.75" customHeight="1">
      <c r="A541" s="624" t="s">
        <v>981</v>
      </c>
      <c r="B541" s="624">
        <f>Priv!E261</f>
        <v>0</v>
      </c>
      <c r="C541" s="625" t="s">
        <v>1042</v>
      </c>
    </row>
    <row r="542" ht="15.75" customHeight="1">
      <c r="A542" s="624" t="s">
        <v>982</v>
      </c>
      <c r="B542" s="624">
        <f>Priv!F261</f>
        <v>0</v>
      </c>
      <c r="C542" s="625" t="s">
        <v>1042</v>
      </c>
    </row>
    <row r="543" ht="15.75" customHeight="1">
      <c r="A543" s="624" t="s">
        <v>983</v>
      </c>
      <c r="B543" s="624" t="str">
        <f>Priv!#REF!</f>
        <v>#ERROR!</v>
      </c>
      <c r="C543" s="625" t="s">
        <v>1042</v>
      </c>
    </row>
    <row r="544" ht="15.75" customHeight="1">
      <c r="A544" s="624" t="s">
        <v>1544</v>
      </c>
      <c r="B544" s="624" t="str">
        <f>Priv!#REF!</f>
        <v>#ERROR!</v>
      </c>
      <c r="C544" s="625" t="s">
        <v>1042</v>
      </c>
    </row>
    <row r="545" ht="15.75" customHeight="1">
      <c r="A545" s="624" t="s">
        <v>1545</v>
      </c>
      <c r="B545" s="624">
        <f>Priv!G261</f>
        <v>0</v>
      </c>
      <c r="C545" s="625" t="s">
        <v>1042</v>
      </c>
    </row>
    <row r="546" ht="15.75" customHeight="1">
      <c r="A546" s="624" t="s">
        <v>1546</v>
      </c>
      <c r="B546" s="624">
        <f>Priv!H261</f>
        <v>0</v>
      </c>
      <c r="C546" s="625" t="s">
        <v>1042</v>
      </c>
    </row>
    <row r="547" ht="15.75" customHeight="1">
      <c r="A547" s="624" t="s">
        <v>984</v>
      </c>
      <c r="B547" s="624">
        <f>Priv!C262</f>
        <v>0</v>
      </c>
      <c r="C547" s="625" t="s">
        <v>1042</v>
      </c>
    </row>
    <row r="548" ht="15.75" customHeight="1">
      <c r="A548" s="624" t="s">
        <v>985</v>
      </c>
      <c r="B548" s="624">
        <f>Priv!D262</f>
        <v>0</v>
      </c>
      <c r="C548" s="625" t="s">
        <v>1042</v>
      </c>
    </row>
    <row r="549" ht="15.75" customHeight="1">
      <c r="A549" s="624" t="s">
        <v>986</v>
      </c>
      <c r="B549" s="624" t="str">
        <f>Priv!#REF!</f>
        <v>#ERROR!</v>
      </c>
      <c r="C549" s="625" t="s">
        <v>1042</v>
      </c>
    </row>
    <row r="550" ht="15.75" customHeight="1">
      <c r="A550" s="624" t="s">
        <v>987</v>
      </c>
      <c r="B550" s="624" t="str">
        <f>Priv!#REF!</f>
        <v>#ERROR!</v>
      </c>
      <c r="C550" s="625" t="s">
        <v>1042</v>
      </c>
    </row>
    <row r="551" ht="15.75" customHeight="1">
      <c r="A551" s="624" t="s">
        <v>988</v>
      </c>
      <c r="B551" s="624">
        <f>Priv!E262</f>
        <v>0</v>
      </c>
      <c r="C551" s="625" t="s">
        <v>1042</v>
      </c>
    </row>
    <row r="552" ht="15.75" customHeight="1">
      <c r="A552" s="624" t="s">
        <v>989</v>
      </c>
      <c r="B552" s="624">
        <f>Priv!F262</f>
        <v>0</v>
      </c>
      <c r="C552" s="625" t="s">
        <v>1042</v>
      </c>
    </row>
    <row r="553" ht="15.75" customHeight="1">
      <c r="A553" s="624" t="s">
        <v>990</v>
      </c>
      <c r="B553" s="624" t="str">
        <f>Priv!#REF!</f>
        <v>#ERROR!</v>
      </c>
      <c r="C553" s="625" t="s">
        <v>1042</v>
      </c>
    </row>
    <row r="554" ht="15.75" customHeight="1">
      <c r="A554" s="624" t="s">
        <v>1547</v>
      </c>
      <c r="B554" s="624" t="str">
        <f>Priv!#REF!</f>
        <v>#ERROR!</v>
      </c>
      <c r="C554" s="625" t="s">
        <v>1042</v>
      </c>
    </row>
    <row r="555" ht="15.75" customHeight="1">
      <c r="A555" s="624" t="s">
        <v>1548</v>
      </c>
      <c r="B555" s="624">
        <f>Priv!G262</f>
        <v>0</v>
      </c>
      <c r="C555" s="625" t="s">
        <v>1042</v>
      </c>
    </row>
    <row r="556" ht="15.75" customHeight="1">
      <c r="A556" s="624" t="s">
        <v>1549</v>
      </c>
      <c r="B556" s="624">
        <f>Priv!H262</f>
        <v>0</v>
      </c>
      <c r="C556" s="625" t="s">
        <v>1042</v>
      </c>
    </row>
    <row r="557" ht="15.75" customHeight="1">
      <c r="A557" s="624" t="s">
        <v>991</v>
      </c>
      <c r="B557" s="624">
        <f>Priv!C263</f>
        <v>0</v>
      </c>
      <c r="C557" s="625" t="s">
        <v>1042</v>
      </c>
    </row>
    <row r="558" ht="15.75" customHeight="1">
      <c r="A558" s="624" t="s">
        <v>992</v>
      </c>
      <c r="B558" s="624">
        <f>Priv!D263</f>
        <v>0</v>
      </c>
      <c r="C558" s="625" t="s">
        <v>1042</v>
      </c>
    </row>
    <row r="559" ht="15.75" customHeight="1">
      <c r="A559" s="624" t="s">
        <v>993</v>
      </c>
      <c r="B559" s="624" t="str">
        <f>Priv!#REF!</f>
        <v>#ERROR!</v>
      </c>
      <c r="C559" s="625" t="s">
        <v>1042</v>
      </c>
    </row>
    <row r="560" ht="15.75" customHeight="1">
      <c r="A560" s="624" t="s">
        <v>994</v>
      </c>
      <c r="B560" s="624" t="str">
        <f>Priv!#REF!</f>
        <v>#ERROR!</v>
      </c>
      <c r="C560" s="625" t="s">
        <v>1042</v>
      </c>
    </row>
    <row r="561" ht="15.75" customHeight="1">
      <c r="A561" s="624" t="s">
        <v>995</v>
      </c>
      <c r="B561" s="624">
        <f>Priv!E263</f>
        <v>0</v>
      </c>
      <c r="C561" s="625" t="s">
        <v>1042</v>
      </c>
    </row>
    <row r="562" ht="15.75" customHeight="1">
      <c r="A562" s="624" t="s">
        <v>996</v>
      </c>
      <c r="B562" s="624">
        <f>Priv!F263</f>
        <v>0</v>
      </c>
      <c r="C562" s="625" t="s">
        <v>1042</v>
      </c>
    </row>
    <row r="563" ht="15.75" customHeight="1">
      <c r="A563" s="624" t="s">
        <v>997</v>
      </c>
      <c r="B563" s="624" t="str">
        <f>Priv!#REF!</f>
        <v>#ERROR!</v>
      </c>
      <c r="C563" s="625" t="s">
        <v>1042</v>
      </c>
    </row>
    <row r="564" ht="15.75" customHeight="1">
      <c r="A564" s="624" t="s">
        <v>1550</v>
      </c>
      <c r="B564" s="624" t="str">
        <f>Priv!#REF!</f>
        <v>#ERROR!</v>
      </c>
      <c r="C564" s="625" t="s">
        <v>1042</v>
      </c>
    </row>
    <row r="565" ht="15.75" customHeight="1">
      <c r="A565" s="624" t="s">
        <v>1551</v>
      </c>
      <c r="B565" s="624">
        <f>Priv!G263</f>
        <v>0</v>
      </c>
      <c r="C565" s="625" t="s">
        <v>1042</v>
      </c>
    </row>
    <row r="566" ht="15.75" customHeight="1">
      <c r="A566" s="624" t="s">
        <v>1552</v>
      </c>
      <c r="B566" s="624">
        <f>Priv!H263</f>
        <v>0</v>
      </c>
      <c r="C566" s="625" t="s">
        <v>1042</v>
      </c>
    </row>
    <row r="567" ht="15.75" customHeight="1">
      <c r="A567" s="624" t="s">
        <v>1553</v>
      </c>
      <c r="B567" s="624">
        <f>Priv!C264</f>
        <v>0</v>
      </c>
      <c r="C567" s="625" t="s">
        <v>1042</v>
      </c>
    </row>
    <row r="568" ht="15.75" customHeight="1">
      <c r="A568" s="624" t="s">
        <v>1554</v>
      </c>
      <c r="B568" s="624">
        <f>Priv!D264</f>
        <v>0</v>
      </c>
      <c r="C568" s="625" t="s">
        <v>1042</v>
      </c>
    </row>
    <row r="569" ht="15.75" customHeight="1">
      <c r="A569" s="624" t="s">
        <v>1555</v>
      </c>
      <c r="B569" s="624" t="str">
        <f>Priv!#REF!</f>
        <v>#ERROR!</v>
      </c>
      <c r="C569" s="625" t="s">
        <v>1042</v>
      </c>
    </row>
    <row r="570" ht="15.75" customHeight="1">
      <c r="A570" s="624" t="s">
        <v>1556</v>
      </c>
      <c r="B570" s="624" t="str">
        <f>Priv!#REF!</f>
        <v>#ERROR!</v>
      </c>
      <c r="C570" s="625" t="s">
        <v>1042</v>
      </c>
    </row>
    <row r="571" ht="15.75" customHeight="1">
      <c r="A571" s="624" t="s">
        <v>1557</v>
      </c>
      <c r="B571" s="624">
        <f>Priv!E264</f>
        <v>0</v>
      </c>
      <c r="C571" s="625" t="s">
        <v>1042</v>
      </c>
    </row>
    <row r="572" ht="15.75" customHeight="1">
      <c r="A572" s="624" t="s">
        <v>1558</v>
      </c>
      <c r="B572" s="624">
        <f>Priv!F264</f>
        <v>0</v>
      </c>
      <c r="C572" s="625" t="s">
        <v>1042</v>
      </c>
    </row>
    <row r="573" ht="15.75" customHeight="1">
      <c r="A573" s="624" t="s">
        <v>1559</v>
      </c>
      <c r="B573" s="624" t="str">
        <f>Priv!#REF!</f>
        <v>#ERROR!</v>
      </c>
      <c r="C573" s="625" t="s">
        <v>1042</v>
      </c>
    </row>
    <row r="574" ht="15.75" customHeight="1">
      <c r="A574" s="624" t="s">
        <v>1560</v>
      </c>
      <c r="B574" s="624" t="str">
        <f>Priv!#REF!</f>
        <v>#ERROR!</v>
      </c>
      <c r="C574" s="625" t="s">
        <v>1042</v>
      </c>
    </row>
    <row r="575" ht="15.75" customHeight="1">
      <c r="A575" s="624" t="s">
        <v>1561</v>
      </c>
      <c r="B575" s="624">
        <f>Priv!G264</f>
        <v>0</v>
      </c>
      <c r="C575" s="625" t="s">
        <v>1042</v>
      </c>
    </row>
    <row r="576" ht="15.75" customHeight="1">
      <c r="A576" s="624" t="s">
        <v>1562</v>
      </c>
      <c r="B576" s="624">
        <f>Priv!H264</f>
        <v>0</v>
      </c>
      <c r="C576" s="625" t="s">
        <v>1042</v>
      </c>
    </row>
    <row r="577" ht="15.75" customHeight="1">
      <c r="A577" s="624" t="s">
        <v>998</v>
      </c>
      <c r="B577" s="624">
        <f>Priv!C271</f>
        <v>0</v>
      </c>
      <c r="C577" s="625" t="s">
        <v>1113</v>
      </c>
    </row>
    <row r="578" ht="15.75" customHeight="1">
      <c r="A578" s="624" t="s">
        <v>1000</v>
      </c>
      <c r="B578" s="624">
        <f>Priv!D271</f>
        <v>0</v>
      </c>
      <c r="C578" s="625" t="s">
        <v>1113</v>
      </c>
    </row>
    <row r="579" ht="15.75" customHeight="1">
      <c r="A579" s="624" t="s">
        <v>1001</v>
      </c>
      <c r="B579" s="624" t="str">
        <f>Priv!#REF!</f>
        <v>#ERROR!</v>
      </c>
      <c r="C579" s="625" t="s">
        <v>1113</v>
      </c>
    </row>
    <row r="580" ht="15.75" customHeight="1">
      <c r="A580" s="624" t="s">
        <v>1002</v>
      </c>
      <c r="B580" s="624" t="str">
        <f>Priv!#REF!</f>
        <v>#ERROR!</v>
      </c>
      <c r="C580" s="625" t="s">
        <v>1113</v>
      </c>
    </row>
    <row r="581" ht="15.75" customHeight="1">
      <c r="A581" s="624" t="s">
        <v>1003</v>
      </c>
      <c r="B581" s="624">
        <f>Priv!E271</f>
        <v>0</v>
      </c>
      <c r="C581" s="625" t="s">
        <v>1113</v>
      </c>
    </row>
    <row r="582" ht="15.75" customHeight="1">
      <c r="A582" s="624" t="s">
        <v>1004</v>
      </c>
      <c r="B582" s="624">
        <f>Priv!F271</f>
        <v>0</v>
      </c>
      <c r="C582" s="625" t="s">
        <v>1113</v>
      </c>
    </row>
    <row r="583" ht="15.75" customHeight="1">
      <c r="A583" s="624" t="s">
        <v>1005</v>
      </c>
      <c r="B583" s="624" t="str">
        <f>Priv!#REF!</f>
        <v>#ERROR!</v>
      </c>
      <c r="C583" s="625" t="s">
        <v>1113</v>
      </c>
    </row>
    <row r="584" ht="15.75" customHeight="1">
      <c r="A584" s="624" t="s">
        <v>1563</v>
      </c>
      <c r="B584" s="624" t="str">
        <f>Priv!#REF!</f>
        <v>#ERROR!</v>
      </c>
      <c r="C584" s="625" t="s">
        <v>1113</v>
      </c>
    </row>
    <row r="585" ht="15.75" customHeight="1">
      <c r="A585" s="624" t="s">
        <v>1564</v>
      </c>
      <c r="B585" s="624">
        <f>Priv!G271</f>
        <v>0</v>
      </c>
      <c r="C585" s="625" t="s">
        <v>1113</v>
      </c>
    </row>
    <row r="586" ht="15.75" customHeight="1">
      <c r="A586" s="624" t="s">
        <v>1565</v>
      </c>
      <c r="B586" s="624">
        <f>Priv!H271</f>
        <v>0</v>
      </c>
      <c r="C586" s="625" t="s">
        <v>1113</v>
      </c>
    </row>
    <row r="587" ht="15.75" customHeight="1">
      <c r="A587" s="624" t="s">
        <v>1006</v>
      </c>
      <c r="B587" s="624">
        <f>Priv!C272</f>
        <v>0</v>
      </c>
      <c r="C587" s="625" t="s">
        <v>1113</v>
      </c>
    </row>
    <row r="588" ht="15.75" customHeight="1">
      <c r="A588" s="624" t="s">
        <v>1007</v>
      </c>
      <c r="B588" s="624">
        <f>Priv!D272</f>
        <v>0</v>
      </c>
      <c r="C588" s="625" t="s">
        <v>1113</v>
      </c>
    </row>
    <row r="589" ht="15.75" customHeight="1">
      <c r="A589" s="624" t="s">
        <v>1008</v>
      </c>
      <c r="B589" s="624" t="str">
        <f>Priv!#REF!</f>
        <v>#ERROR!</v>
      </c>
      <c r="C589" s="625" t="s">
        <v>1113</v>
      </c>
    </row>
    <row r="590" ht="15.75" customHeight="1">
      <c r="A590" s="624" t="s">
        <v>1009</v>
      </c>
      <c r="B590" s="624" t="str">
        <f>Priv!#REF!</f>
        <v>#ERROR!</v>
      </c>
      <c r="C590" s="625" t="s">
        <v>1113</v>
      </c>
    </row>
    <row r="591" ht="15.75" customHeight="1">
      <c r="A591" s="624" t="s">
        <v>1010</v>
      </c>
      <c r="B591" s="624">
        <f>Priv!E272</f>
        <v>0</v>
      </c>
      <c r="C591" s="625" t="s">
        <v>1113</v>
      </c>
    </row>
    <row r="592" ht="15.75" customHeight="1">
      <c r="A592" s="624" t="s">
        <v>1011</v>
      </c>
      <c r="B592" s="624">
        <f>Priv!F272</f>
        <v>0</v>
      </c>
      <c r="C592" s="625" t="s">
        <v>1113</v>
      </c>
    </row>
    <row r="593" ht="15.75" customHeight="1">
      <c r="A593" s="624" t="s">
        <v>1012</v>
      </c>
      <c r="B593" s="624" t="str">
        <f>Priv!#REF!</f>
        <v>#ERROR!</v>
      </c>
      <c r="C593" s="625" t="s">
        <v>1113</v>
      </c>
    </row>
    <row r="594" ht="15.75" customHeight="1">
      <c r="A594" s="624" t="s">
        <v>1566</v>
      </c>
      <c r="B594" s="624" t="str">
        <f>Priv!#REF!</f>
        <v>#ERROR!</v>
      </c>
      <c r="C594" s="625" t="s">
        <v>1113</v>
      </c>
    </row>
    <row r="595" ht="15.75" customHeight="1">
      <c r="A595" s="624" t="s">
        <v>1567</v>
      </c>
      <c r="B595" s="624">
        <f>Priv!G272</f>
        <v>0</v>
      </c>
      <c r="C595" s="625" t="s">
        <v>1113</v>
      </c>
    </row>
    <row r="596" ht="15.75" customHeight="1">
      <c r="A596" s="624" t="s">
        <v>1568</v>
      </c>
      <c r="B596" s="624">
        <f>Priv!H272</f>
        <v>0</v>
      </c>
      <c r="C596" s="625" t="s">
        <v>1113</v>
      </c>
    </row>
    <row r="597" ht="15.75" customHeight="1">
      <c r="A597" s="624" t="s">
        <v>1013</v>
      </c>
      <c r="B597" s="624">
        <f>Priv!C273</f>
        <v>0</v>
      </c>
      <c r="C597" s="625" t="s">
        <v>1113</v>
      </c>
    </row>
    <row r="598" ht="15.75" customHeight="1">
      <c r="A598" s="624" t="s">
        <v>1014</v>
      </c>
      <c r="B598" s="624">
        <f>Priv!D273</f>
        <v>0</v>
      </c>
      <c r="C598" s="625" t="s">
        <v>1113</v>
      </c>
    </row>
    <row r="599" ht="15.75" customHeight="1">
      <c r="A599" s="624" t="s">
        <v>1015</v>
      </c>
      <c r="B599" s="624" t="str">
        <f>Priv!#REF!</f>
        <v>#ERROR!</v>
      </c>
      <c r="C599" s="625" t="s">
        <v>1113</v>
      </c>
    </row>
    <row r="600" ht="15.75" customHeight="1">
      <c r="A600" s="624" t="s">
        <v>1016</v>
      </c>
      <c r="B600" s="624" t="str">
        <f>Priv!#REF!</f>
        <v>#ERROR!</v>
      </c>
      <c r="C600" s="625" t="s">
        <v>1113</v>
      </c>
    </row>
    <row r="601" ht="15.75" customHeight="1">
      <c r="A601" s="624" t="s">
        <v>1017</v>
      </c>
      <c r="B601" s="624">
        <f>Priv!E273</f>
        <v>0</v>
      </c>
      <c r="C601" s="625" t="s">
        <v>1113</v>
      </c>
    </row>
    <row r="602" ht="15.75" customHeight="1">
      <c r="A602" s="624" t="s">
        <v>1018</v>
      </c>
      <c r="B602" s="624">
        <f>Priv!F273</f>
        <v>0</v>
      </c>
      <c r="C602" s="625" t="s">
        <v>1113</v>
      </c>
    </row>
    <row r="603" ht="15.75" customHeight="1">
      <c r="A603" s="624" t="s">
        <v>1019</v>
      </c>
      <c r="B603" s="624" t="str">
        <f>Priv!#REF!</f>
        <v>#ERROR!</v>
      </c>
      <c r="C603" s="625" t="s">
        <v>1113</v>
      </c>
    </row>
    <row r="604" ht="15.75" customHeight="1">
      <c r="A604" s="624" t="s">
        <v>1569</v>
      </c>
      <c r="B604" s="624" t="str">
        <f>Priv!#REF!</f>
        <v>#ERROR!</v>
      </c>
      <c r="C604" s="625" t="s">
        <v>1113</v>
      </c>
    </row>
    <row r="605" ht="15.75" customHeight="1">
      <c r="A605" s="624" t="s">
        <v>1570</v>
      </c>
      <c r="B605" s="624">
        <f>Priv!G273</f>
        <v>0</v>
      </c>
      <c r="C605" s="625" t="s">
        <v>1113</v>
      </c>
    </row>
    <row r="606" ht="15.75" customHeight="1">
      <c r="A606" s="624" t="s">
        <v>1571</v>
      </c>
      <c r="B606" s="624">
        <f>Priv!H273</f>
        <v>0</v>
      </c>
      <c r="C606" s="625" t="s">
        <v>1113</v>
      </c>
    </row>
    <row r="607" ht="15.75" customHeight="1">
      <c r="A607" s="624" t="s">
        <v>1020</v>
      </c>
      <c r="B607" s="624">
        <f>Priv!C274</f>
        <v>0</v>
      </c>
      <c r="C607" s="625" t="s">
        <v>1113</v>
      </c>
    </row>
    <row r="608" ht="15.75" customHeight="1">
      <c r="A608" s="624" t="s">
        <v>1021</v>
      </c>
      <c r="B608" s="624">
        <f>Priv!D274</f>
        <v>0</v>
      </c>
      <c r="C608" s="625" t="s">
        <v>1113</v>
      </c>
    </row>
    <row r="609" ht="15.75" customHeight="1">
      <c r="A609" s="624" t="s">
        <v>1022</v>
      </c>
      <c r="B609" s="624" t="str">
        <f>Priv!#REF!</f>
        <v>#ERROR!</v>
      </c>
      <c r="C609" s="625" t="s">
        <v>1113</v>
      </c>
    </row>
    <row r="610" ht="15.75" customHeight="1">
      <c r="A610" s="624" t="s">
        <v>1023</v>
      </c>
      <c r="B610" s="624" t="str">
        <f>Priv!#REF!</f>
        <v>#ERROR!</v>
      </c>
      <c r="C610" s="625" t="s">
        <v>1113</v>
      </c>
    </row>
    <row r="611" ht="15.75" customHeight="1">
      <c r="A611" s="624" t="s">
        <v>1024</v>
      </c>
      <c r="B611" s="624">
        <f>Priv!E274</f>
        <v>0</v>
      </c>
      <c r="C611" s="625" t="s">
        <v>1113</v>
      </c>
    </row>
    <row r="612" ht="15.75" customHeight="1">
      <c r="A612" s="624" t="s">
        <v>1025</v>
      </c>
      <c r="B612" s="624">
        <f>Priv!F274</f>
        <v>0</v>
      </c>
      <c r="C612" s="625" t="s">
        <v>1113</v>
      </c>
    </row>
    <row r="613" ht="15.75" customHeight="1">
      <c r="A613" s="624" t="s">
        <v>1026</v>
      </c>
      <c r="B613" s="624" t="str">
        <f>Priv!#REF!</f>
        <v>#ERROR!</v>
      </c>
      <c r="C613" s="625" t="s">
        <v>1113</v>
      </c>
    </row>
    <row r="614" ht="15.75" customHeight="1">
      <c r="A614" s="624" t="s">
        <v>1572</v>
      </c>
      <c r="B614" s="624" t="str">
        <f>Priv!#REF!</f>
        <v>#ERROR!</v>
      </c>
      <c r="C614" s="625" t="s">
        <v>1113</v>
      </c>
    </row>
    <row r="615" ht="15.75" customHeight="1">
      <c r="A615" s="624" t="s">
        <v>1573</v>
      </c>
      <c r="B615" s="624">
        <f>Priv!G274</f>
        <v>0</v>
      </c>
      <c r="C615" s="625" t="s">
        <v>1113</v>
      </c>
    </row>
    <row r="616" ht="15.75" customHeight="1">
      <c r="A616" s="624" t="s">
        <v>1574</v>
      </c>
      <c r="B616" s="624">
        <f>Priv!H274</f>
        <v>0</v>
      </c>
      <c r="C616" s="625" t="s">
        <v>1113</v>
      </c>
    </row>
    <row r="617" ht="15.75" customHeight="1">
      <c r="A617" s="624" t="s">
        <v>1027</v>
      </c>
      <c r="B617" s="624">
        <f>Priv!C275</f>
        <v>0</v>
      </c>
      <c r="C617" s="625" t="s">
        <v>1113</v>
      </c>
    </row>
    <row r="618" ht="15.75" customHeight="1">
      <c r="A618" s="624" t="s">
        <v>1028</v>
      </c>
      <c r="B618" s="624">
        <f>Priv!D275</f>
        <v>0</v>
      </c>
      <c r="C618" s="625" t="s">
        <v>1113</v>
      </c>
    </row>
    <row r="619" ht="15.75" customHeight="1">
      <c r="A619" s="624" t="s">
        <v>1029</v>
      </c>
      <c r="B619" s="624" t="str">
        <f>Priv!#REF!</f>
        <v>#ERROR!</v>
      </c>
      <c r="C619" s="625" t="s">
        <v>1113</v>
      </c>
    </row>
    <row r="620" ht="15.75" customHeight="1">
      <c r="A620" s="624" t="s">
        <v>1030</v>
      </c>
      <c r="B620" s="624" t="str">
        <f>Priv!#REF!</f>
        <v>#ERROR!</v>
      </c>
      <c r="C620" s="625" t="s">
        <v>1113</v>
      </c>
    </row>
    <row r="621" ht="15.75" customHeight="1">
      <c r="A621" s="624" t="s">
        <v>1031</v>
      </c>
      <c r="B621" s="624">
        <f>Priv!E275</f>
        <v>0</v>
      </c>
      <c r="C621" s="625" t="s">
        <v>1113</v>
      </c>
    </row>
    <row r="622" ht="15.75" customHeight="1">
      <c r="A622" s="624" t="s">
        <v>1032</v>
      </c>
      <c r="B622" s="624">
        <f>Priv!F275</f>
        <v>0</v>
      </c>
      <c r="C622" s="625" t="s">
        <v>1113</v>
      </c>
    </row>
    <row r="623" ht="15.75" customHeight="1">
      <c r="A623" s="624" t="s">
        <v>1033</v>
      </c>
      <c r="B623" s="624" t="str">
        <f>Priv!#REF!</f>
        <v>#ERROR!</v>
      </c>
      <c r="C623" s="625" t="s">
        <v>1113</v>
      </c>
    </row>
    <row r="624" ht="15.75" customHeight="1">
      <c r="A624" s="624" t="s">
        <v>1575</v>
      </c>
      <c r="B624" s="624" t="str">
        <f>Priv!#REF!</f>
        <v>#ERROR!</v>
      </c>
      <c r="C624" s="625" t="s">
        <v>1113</v>
      </c>
    </row>
    <row r="625" ht="15.75" customHeight="1">
      <c r="A625" s="624" t="s">
        <v>1576</v>
      </c>
      <c r="B625" s="624">
        <f>Priv!G275</f>
        <v>0</v>
      </c>
      <c r="C625" s="625" t="s">
        <v>1113</v>
      </c>
    </row>
    <row r="626" ht="15.75" customHeight="1">
      <c r="A626" s="624" t="s">
        <v>1577</v>
      </c>
      <c r="B626" s="624">
        <f>Priv!H275</f>
        <v>0</v>
      </c>
      <c r="C626" s="625" t="s">
        <v>1113</v>
      </c>
    </row>
    <row r="627" ht="15.75" customHeight="1">
      <c r="A627" s="624" t="s">
        <v>1034</v>
      </c>
      <c r="B627" s="624">
        <f>Priv!C276</f>
        <v>0</v>
      </c>
      <c r="C627" s="625" t="s">
        <v>1113</v>
      </c>
    </row>
    <row r="628" ht="15.75" customHeight="1">
      <c r="A628" s="624" t="s">
        <v>1035</v>
      </c>
      <c r="B628" s="624">
        <f>Priv!D276</f>
        <v>0</v>
      </c>
      <c r="C628" s="625" t="s">
        <v>1113</v>
      </c>
    </row>
    <row r="629" ht="15.75" customHeight="1">
      <c r="A629" s="624" t="s">
        <v>1036</v>
      </c>
      <c r="B629" s="624" t="str">
        <f>Priv!#REF!</f>
        <v>#ERROR!</v>
      </c>
      <c r="C629" s="625" t="s">
        <v>1113</v>
      </c>
    </row>
    <row r="630" ht="15.75" customHeight="1">
      <c r="A630" s="624" t="s">
        <v>1037</v>
      </c>
      <c r="B630" s="624" t="str">
        <f>Priv!#REF!</f>
        <v>#ERROR!</v>
      </c>
      <c r="C630" s="625" t="s">
        <v>1113</v>
      </c>
    </row>
    <row r="631" ht="15.75" customHeight="1">
      <c r="A631" s="624" t="s">
        <v>1038</v>
      </c>
      <c r="B631" s="624">
        <f>Priv!E276</f>
        <v>0</v>
      </c>
      <c r="C631" s="625" t="s">
        <v>1113</v>
      </c>
    </row>
    <row r="632" ht="15.75" customHeight="1">
      <c r="A632" s="624" t="s">
        <v>1039</v>
      </c>
      <c r="B632" s="624">
        <f>Priv!F276</f>
        <v>0</v>
      </c>
      <c r="C632" s="625" t="s">
        <v>1113</v>
      </c>
    </row>
    <row r="633" ht="15.75" customHeight="1">
      <c r="A633" s="624" t="s">
        <v>1040</v>
      </c>
      <c r="B633" s="624" t="str">
        <f>Priv!#REF!</f>
        <v>#ERROR!</v>
      </c>
      <c r="C633" s="625" t="s">
        <v>1113</v>
      </c>
    </row>
    <row r="634" ht="15.75" customHeight="1">
      <c r="A634" s="624" t="s">
        <v>1578</v>
      </c>
      <c r="B634" s="624" t="str">
        <f>Priv!#REF!</f>
        <v>#ERROR!</v>
      </c>
      <c r="C634" s="625" t="s">
        <v>1113</v>
      </c>
    </row>
    <row r="635" ht="15.75" customHeight="1">
      <c r="A635" s="624" t="s">
        <v>1579</v>
      </c>
      <c r="B635" s="624">
        <f>Priv!G276</f>
        <v>0</v>
      </c>
      <c r="C635" s="625" t="s">
        <v>1113</v>
      </c>
    </row>
    <row r="636" ht="15.75" customHeight="1">
      <c r="A636" s="624" t="s">
        <v>1580</v>
      </c>
      <c r="B636" s="624">
        <f>Priv!H276</f>
        <v>0</v>
      </c>
      <c r="C636" s="625" t="s">
        <v>1113</v>
      </c>
    </row>
    <row r="637" ht="15.75" customHeight="1">
      <c r="A637" s="624" t="s">
        <v>1581</v>
      </c>
      <c r="B637" s="624">
        <f>Priv!C277</f>
        <v>0</v>
      </c>
      <c r="C637" s="625" t="s">
        <v>1113</v>
      </c>
    </row>
    <row r="638" ht="15.75" customHeight="1">
      <c r="A638" s="624" t="s">
        <v>1582</v>
      </c>
      <c r="B638" s="624">
        <f>Priv!D277</f>
        <v>0</v>
      </c>
      <c r="C638" s="625" t="s">
        <v>1113</v>
      </c>
    </row>
    <row r="639" ht="15.75" customHeight="1">
      <c r="A639" s="624" t="s">
        <v>1583</v>
      </c>
      <c r="B639" s="624" t="str">
        <f>Priv!#REF!</f>
        <v>#ERROR!</v>
      </c>
      <c r="C639" s="625" t="s">
        <v>1113</v>
      </c>
    </row>
    <row r="640" ht="15.75" customHeight="1">
      <c r="A640" s="624" t="s">
        <v>1584</v>
      </c>
      <c r="B640" s="624" t="str">
        <f>Priv!#REF!</f>
        <v>#ERROR!</v>
      </c>
      <c r="C640" s="625" t="s">
        <v>1113</v>
      </c>
    </row>
    <row r="641" ht="15.75" customHeight="1">
      <c r="A641" s="624" t="s">
        <v>1585</v>
      </c>
      <c r="B641" s="624">
        <f>Priv!E277</f>
        <v>0</v>
      </c>
      <c r="C641" s="625" t="s">
        <v>1113</v>
      </c>
    </row>
    <row r="642" ht="15.75" customHeight="1">
      <c r="A642" s="624" t="s">
        <v>1586</v>
      </c>
      <c r="B642" s="624">
        <f>Priv!F277</f>
        <v>0</v>
      </c>
      <c r="C642" s="625" t="s">
        <v>1113</v>
      </c>
    </row>
    <row r="643" ht="15.75" customHeight="1">
      <c r="A643" s="624" t="s">
        <v>1587</v>
      </c>
      <c r="B643" s="624" t="str">
        <f>Priv!#REF!</f>
        <v>#ERROR!</v>
      </c>
      <c r="C643" s="625" t="s">
        <v>1113</v>
      </c>
    </row>
    <row r="644" ht="15.75" customHeight="1">
      <c r="A644" s="624" t="s">
        <v>1588</v>
      </c>
      <c r="B644" s="624" t="str">
        <f>Priv!#REF!</f>
        <v>#ERROR!</v>
      </c>
      <c r="C644" s="625" t="s">
        <v>1113</v>
      </c>
    </row>
    <row r="645" ht="15.75" customHeight="1">
      <c r="A645" s="624" t="s">
        <v>1589</v>
      </c>
      <c r="B645" s="624">
        <f>Priv!G277</f>
        <v>0</v>
      </c>
      <c r="C645" s="625" t="s">
        <v>1113</v>
      </c>
    </row>
    <row r="646" ht="15.75" customHeight="1">
      <c r="A646" s="624" t="s">
        <v>1590</v>
      </c>
      <c r="B646" s="624">
        <f>Priv!H277</f>
        <v>0</v>
      </c>
      <c r="C646" s="625" t="s">
        <v>1113</v>
      </c>
    </row>
    <row r="647" ht="15.75" customHeight="1">
      <c r="A647" s="624" t="s">
        <v>1041</v>
      </c>
      <c r="B647" s="624">
        <f>Priv!A283</f>
        <v>0</v>
      </c>
      <c r="C647" s="625">
        <v>9.0</v>
      </c>
    </row>
    <row r="648" ht="15.75" customHeight="1">
      <c r="A648" s="624" t="s">
        <v>1043</v>
      </c>
      <c r="B648" s="624">
        <f>Priv!C283</f>
        <v>0</v>
      </c>
      <c r="C648" s="625">
        <v>9.0</v>
      </c>
    </row>
    <row r="649" ht="15.75" customHeight="1">
      <c r="A649" s="624" t="s">
        <v>1044</v>
      </c>
      <c r="B649" s="624">
        <f>Priv!E283</f>
        <v>0</v>
      </c>
      <c r="C649" s="625">
        <v>9.0</v>
      </c>
    </row>
    <row r="650" ht="15.75" customHeight="1">
      <c r="A650" s="624" t="s">
        <v>1045</v>
      </c>
      <c r="B650" s="624">
        <f>Priv!G283</f>
        <v>0</v>
      </c>
      <c r="C650" s="625">
        <v>9.0</v>
      </c>
    </row>
    <row r="651" ht="15.75" customHeight="1">
      <c r="A651" s="624" t="s">
        <v>1112</v>
      </c>
      <c r="B651" s="624">
        <f>Priv!F292</f>
        <v>0</v>
      </c>
      <c r="C651" s="625" t="s">
        <v>1195</v>
      </c>
    </row>
    <row r="652" ht="15.75" customHeight="1">
      <c r="A652" s="626" t="s">
        <v>1123</v>
      </c>
      <c r="B652" s="626">
        <f>Priv!F293</f>
        <v>0</v>
      </c>
      <c r="C652" s="627" t="s">
        <v>1195</v>
      </c>
    </row>
    <row r="653" ht="15.75" customHeight="1">
      <c r="A653" s="626" t="s">
        <v>1183</v>
      </c>
      <c r="B653" s="626">
        <f>Priv!F302</f>
        <v>0</v>
      </c>
      <c r="C653" s="627" t="s">
        <v>1200</v>
      </c>
    </row>
    <row r="654" ht="15.75" customHeight="1">
      <c r="A654" s="626" t="s">
        <v>1185</v>
      </c>
      <c r="B654" s="626">
        <f>Priv!G302</f>
        <v>0</v>
      </c>
      <c r="C654" s="627" t="s">
        <v>1200</v>
      </c>
    </row>
    <row r="655" ht="15.75" customHeight="1">
      <c r="A655" s="626" t="s">
        <v>1186</v>
      </c>
      <c r="B655" s="626">
        <f>Priv!H302</f>
        <v>0</v>
      </c>
      <c r="C655" s="627" t="s">
        <v>1200</v>
      </c>
    </row>
    <row r="656" ht="15.75" customHeight="1">
      <c r="A656" s="626" t="s">
        <v>1591</v>
      </c>
      <c r="B656" s="626">
        <f>Priv!J302</f>
        <v>0</v>
      </c>
      <c r="C656" s="627" t="s">
        <v>1200</v>
      </c>
    </row>
    <row r="657" ht="15.75" customHeight="1">
      <c r="A657" s="626" t="s">
        <v>1592</v>
      </c>
      <c r="B657" s="626">
        <f>Priv!F303</f>
        <v>0</v>
      </c>
      <c r="C657" s="627" t="s">
        <v>1200</v>
      </c>
    </row>
    <row r="658" ht="15.75" customHeight="1">
      <c r="A658" s="626" t="s">
        <v>1593</v>
      </c>
      <c r="B658" s="626">
        <f>Priv!G303</f>
        <v>0</v>
      </c>
      <c r="C658" s="627" t="s">
        <v>1200</v>
      </c>
    </row>
    <row r="659" ht="15.75" customHeight="1">
      <c r="A659" s="626" t="s">
        <v>1594</v>
      </c>
      <c r="B659" s="626">
        <f>Priv!H303</f>
        <v>0</v>
      </c>
      <c r="C659" s="627" t="s">
        <v>1200</v>
      </c>
    </row>
    <row r="660" ht="15.75" customHeight="1">
      <c r="A660" s="626" t="s">
        <v>1595</v>
      </c>
      <c r="B660" s="626">
        <f>Priv!J303</f>
        <v>0</v>
      </c>
      <c r="C660" s="627" t="s">
        <v>1200</v>
      </c>
    </row>
    <row r="661" ht="15.75" customHeight="1">
      <c r="A661" s="624" t="s">
        <v>1187</v>
      </c>
      <c r="B661" s="624">
        <f>Priv!J316</f>
        <v>0</v>
      </c>
      <c r="C661" s="625" t="s">
        <v>1202</v>
      </c>
    </row>
    <row r="662" ht="15.75" customHeight="1">
      <c r="A662" s="624" t="s">
        <v>1596</v>
      </c>
      <c r="B662" s="624">
        <f>Priv!J317</f>
        <v>0</v>
      </c>
      <c r="C662" s="625" t="s">
        <v>1202</v>
      </c>
    </row>
    <row r="663" ht="15.75" customHeight="1">
      <c r="A663" s="626" t="s">
        <v>1194</v>
      </c>
      <c r="B663" s="626">
        <f>Priv!J320</f>
        <v>0</v>
      </c>
      <c r="C663" s="627" t="s">
        <v>1208</v>
      </c>
    </row>
    <row r="664" ht="15.75" customHeight="1">
      <c r="A664" s="624" t="s">
        <v>1199</v>
      </c>
      <c r="B664" s="633">
        <f>Priv!I331</f>
        <v>0</v>
      </c>
      <c r="C664" s="625" t="s">
        <v>1597</v>
      </c>
    </row>
    <row r="665" ht="15.75" customHeight="1">
      <c r="A665" s="624" t="s">
        <v>1598</v>
      </c>
      <c r="B665" s="633">
        <f>Priv!I332</f>
        <v>0</v>
      </c>
      <c r="C665" s="625" t="s">
        <v>1597</v>
      </c>
    </row>
    <row r="666" ht="15.75" customHeight="1">
      <c r="A666" s="624" t="s">
        <v>1599</v>
      </c>
      <c r="B666" s="633">
        <f>Priv!I333</f>
        <v>0</v>
      </c>
      <c r="C666" s="625" t="s">
        <v>1597</v>
      </c>
    </row>
    <row r="667" ht="15.75" customHeight="1">
      <c r="A667" s="624" t="s">
        <v>1600</v>
      </c>
      <c r="B667" s="633">
        <f>Priv!F334</f>
        <v>0</v>
      </c>
      <c r="C667" s="625" t="s">
        <v>1597</v>
      </c>
    </row>
    <row r="668" ht="15.75" customHeight="1">
      <c r="A668" s="624" t="s">
        <v>1601</v>
      </c>
      <c r="B668" s="633">
        <f>Priv!F335</f>
        <v>0</v>
      </c>
      <c r="C668" s="625" t="s">
        <v>1597</v>
      </c>
    </row>
    <row r="669" ht="15.75" customHeight="1">
      <c r="A669" s="626" t="s">
        <v>1201</v>
      </c>
      <c r="B669" s="634">
        <f>Priv!F340</f>
        <v>0</v>
      </c>
      <c r="C669" s="627" t="s">
        <v>1602</v>
      </c>
    </row>
    <row r="670" ht="15.75" customHeight="1">
      <c r="A670" s="626" t="s">
        <v>1203</v>
      </c>
      <c r="B670" s="634">
        <f>Priv!F341</f>
        <v>0</v>
      </c>
      <c r="C670" s="627" t="s">
        <v>1602</v>
      </c>
    </row>
    <row r="671" ht="15.75" customHeight="1">
      <c r="A671" s="626" t="s">
        <v>1204</v>
      </c>
      <c r="B671" s="634">
        <f>Priv!F342</f>
        <v>0</v>
      </c>
      <c r="C671" s="627" t="s">
        <v>1602</v>
      </c>
    </row>
    <row r="672" ht="15.75" customHeight="1">
      <c r="A672" s="626" t="s">
        <v>1205</v>
      </c>
      <c r="B672" s="634">
        <f>Priv!F343</f>
        <v>0</v>
      </c>
      <c r="C672" s="627" t="s">
        <v>1602</v>
      </c>
    </row>
    <row r="673" ht="15.75" customHeight="1">
      <c r="A673" s="626" t="s">
        <v>1206</v>
      </c>
      <c r="B673" s="634">
        <f>Priv!F344</f>
        <v>0</v>
      </c>
      <c r="C673" s="627" t="s">
        <v>1602</v>
      </c>
    </row>
    <row r="674" ht="15.75" customHeight="1">
      <c r="C674" s="635"/>
    </row>
    <row r="675" ht="15.75" customHeight="1">
      <c r="C675" s="635"/>
    </row>
    <row r="676" ht="15.75" customHeight="1">
      <c r="C676" s="635"/>
    </row>
    <row r="677" ht="15.75" customHeight="1">
      <c r="C677" s="635"/>
    </row>
    <row r="678" ht="15.75" customHeight="1">
      <c r="C678" s="635"/>
    </row>
    <row r="679" ht="15.75" customHeight="1">
      <c r="C679" s="635"/>
    </row>
    <row r="680" ht="15.75" customHeight="1">
      <c r="C680" s="635"/>
    </row>
    <row r="681" ht="15.75" customHeight="1">
      <c r="C681" s="635"/>
    </row>
    <row r="682" ht="15.75" customHeight="1">
      <c r="C682" s="635"/>
    </row>
    <row r="683" ht="15.75" customHeight="1">
      <c r="C683" s="635"/>
    </row>
    <row r="684" ht="15.75" customHeight="1">
      <c r="C684" s="635"/>
    </row>
    <row r="685" ht="15.75" customHeight="1">
      <c r="C685" s="635"/>
    </row>
    <row r="686" ht="15.75" customHeight="1">
      <c r="C686" s="635"/>
    </row>
    <row r="687" ht="15.75" customHeight="1">
      <c r="C687" s="635"/>
    </row>
    <row r="688" ht="15.75" customHeight="1">
      <c r="C688" s="635"/>
    </row>
    <row r="689" ht="15.75" customHeight="1">
      <c r="C689" s="635"/>
    </row>
    <row r="690" ht="15.75" customHeight="1">
      <c r="C690" s="635"/>
    </row>
    <row r="691" ht="15.75" customHeight="1">
      <c r="C691" s="635"/>
    </row>
    <row r="692" ht="15.75" customHeight="1">
      <c r="C692" s="635"/>
    </row>
    <row r="693" ht="15.75" customHeight="1">
      <c r="C693" s="635"/>
    </row>
    <row r="694" ht="15.75" customHeight="1">
      <c r="C694" s="635"/>
    </row>
    <row r="695" ht="15.75" customHeight="1">
      <c r="C695" s="635"/>
    </row>
    <row r="696" ht="15.75" customHeight="1">
      <c r="C696" s="635"/>
    </row>
    <row r="697" ht="15.75" customHeight="1">
      <c r="C697" s="635"/>
    </row>
    <row r="698" ht="15.75" customHeight="1">
      <c r="C698" s="635"/>
    </row>
    <row r="699" ht="15.75" customHeight="1">
      <c r="C699" s="635"/>
    </row>
    <row r="700" ht="15.75" customHeight="1">
      <c r="C700" s="635"/>
    </row>
    <row r="701" ht="15.75" customHeight="1">
      <c r="C701" s="635"/>
    </row>
    <row r="702" ht="15.75" customHeight="1">
      <c r="C702" s="635"/>
    </row>
    <row r="703" ht="15.75" customHeight="1">
      <c r="C703" s="635"/>
    </row>
    <row r="704" ht="15.75" customHeight="1">
      <c r="C704" s="635"/>
    </row>
    <row r="705" ht="15.75" customHeight="1">
      <c r="C705" s="635"/>
    </row>
    <row r="706" ht="15.75" customHeight="1">
      <c r="C706" s="635"/>
    </row>
    <row r="707" ht="15.75" customHeight="1">
      <c r="C707" s="635"/>
    </row>
    <row r="708" ht="15.75" customHeight="1">
      <c r="C708" s="635"/>
    </row>
    <row r="709" ht="15.75" customHeight="1">
      <c r="C709" s="635"/>
    </row>
    <row r="710" ht="15.75" customHeight="1">
      <c r="C710" s="635"/>
    </row>
    <row r="711" ht="15.75" customHeight="1">
      <c r="C711" s="635"/>
    </row>
    <row r="712" ht="15.75" customHeight="1">
      <c r="C712" s="635"/>
    </row>
    <row r="713" ht="15.75" customHeight="1">
      <c r="C713" s="635"/>
    </row>
    <row r="714" ht="15.75" customHeight="1">
      <c r="C714" s="635"/>
    </row>
    <row r="715" ht="15.75" customHeight="1">
      <c r="C715" s="635"/>
    </row>
    <row r="716" ht="15.75" customHeight="1">
      <c r="C716" s="635"/>
    </row>
    <row r="717" ht="15.75" customHeight="1">
      <c r="C717" s="635"/>
    </row>
    <row r="718" ht="15.75" customHeight="1">
      <c r="C718" s="635"/>
    </row>
    <row r="719" ht="15.75" customHeight="1">
      <c r="C719" s="635"/>
    </row>
    <row r="720" ht="15.75" customHeight="1">
      <c r="C720" s="635"/>
    </row>
    <row r="721" ht="15.75" customHeight="1">
      <c r="C721" s="635"/>
    </row>
    <row r="722" ht="15.75" customHeight="1">
      <c r="C722" s="635"/>
    </row>
    <row r="723" ht="15.75" customHeight="1">
      <c r="C723" s="635"/>
    </row>
    <row r="724" ht="15.75" customHeight="1">
      <c r="C724" s="635"/>
    </row>
    <row r="725" ht="15.75" customHeight="1">
      <c r="C725" s="635"/>
    </row>
    <row r="726" ht="15.75" customHeight="1">
      <c r="C726" s="635"/>
    </row>
    <row r="727" ht="15.75" customHeight="1">
      <c r="C727" s="635"/>
    </row>
    <row r="728" ht="15.75" customHeight="1">
      <c r="C728" s="635"/>
    </row>
    <row r="729" ht="15.75" customHeight="1">
      <c r="C729" s="635"/>
    </row>
    <row r="730" ht="15.75" customHeight="1">
      <c r="C730" s="635"/>
    </row>
    <row r="731" ht="15.75" customHeight="1">
      <c r="C731" s="635"/>
    </row>
    <row r="732" ht="15.75" customHeight="1">
      <c r="C732" s="635"/>
    </row>
    <row r="733" ht="15.75" customHeight="1">
      <c r="C733" s="635"/>
    </row>
    <row r="734" ht="15.75" customHeight="1">
      <c r="C734" s="635"/>
    </row>
    <row r="735" ht="15.75" customHeight="1">
      <c r="C735" s="635"/>
    </row>
    <row r="736" ht="15.75" customHeight="1">
      <c r="C736" s="635"/>
    </row>
    <row r="737" ht="15.75" customHeight="1">
      <c r="C737" s="635"/>
    </row>
    <row r="738" ht="15.75" customHeight="1">
      <c r="C738" s="635"/>
    </row>
    <row r="739" ht="15.75" customHeight="1">
      <c r="C739" s="635"/>
    </row>
    <row r="740" ht="15.75" customHeight="1">
      <c r="C740" s="635"/>
    </row>
    <row r="741" ht="15.75" customHeight="1">
      <c r="C741" s="635"/>
    </row>
    <row r="742" ht="15.75" customHeight="1">
      <c r="C742" s="635"/>
    </row>
    <row r="743" ht="15.75" customHeight="1">
      <c r="C743" s="635"/>
    </row>
    <row r="744" ht="15.75" customHeight="1">
      <c r="C744" s="635"/>
    </row>
    <row r="745" ht="15.75" customHeight="1">
      <c r="C745" s="635"/>
    </row>
    <row r="746" ht="15.75" customHeight="1">
      <c r="C746" s="635"/>
    </row>
    <row r="747" ht="15.75" customHeight="1">
      <c r="C747" s="635"/>
    </row>
    <row r="748" ht="15.75" customHeight="1">
      <c r="C748" s="635"/>
    </row>
    <row r="749" ht="15.75" customHeight="1">
      <c r="C749" s="635"/>
    </row>
    <row r="750" ht="15.75" customHeight="1">
      <c r="C750" s="635"/>
    </row>
    <row r="751" ht="15.75" customHeight="1">
      <c r="C751" s="635"/>
    </row>
    <row r="752" ht="15.75" customHeight="1">
      <c r="C752" s="635"/>
    </row>
    <row r="753" ht="15.75" customHeight="1">
      <c r="C753" s="635"/>
    </row>
    <row r="754" ht="15.75" customHeight="1">
      <c r="C754" s="635"/>
    </row>
    <row r="755" ht="15.75" customHeight="1">
      <c r="C755" s="635"/>
    </row>
    <row r="756" ht="15.75" customHeight="1">
      <c r="C756" s="635"/>
    </row>
    <row r="757" ht="15.75" customHeight="1">
      <c r="C757" s="635"/>
    </row>
    <row r="758" ht="15.75" customHeight="1">
      <c r="C758" s="635"/>
    </row>
    <row r="759" ht="15.75" customHeight="1">
      <c r="C759" s="635"/>
    </row>
    <row r="760" ht="15.75" customHeight="1">
      <c r="C760" s="635"/>
    </row>
    <row r="761" ht="15.75" customHeight="1">
      <c r="C761" s="635"/>
    </row>
    <row r="762" ht="15.75" customHeight="1">
      <c r="C762" s="635"/>
    </row>
    <row r="763" ht="15.75" customHeight="1">
      <c r="C763" s="635"/>
    </row>
    <row r="764" ht="15.75" customHeight="1">
      <c r="C764" s="635"/>
    </row>
    <row r="765" ht="15.75" customHeight="1">
      <c r="C765" s="635"/>
    </row>
    <row r="766" ht="15.75" customHeight="1">
      <c r="C766" s="635"/>
    </row>
    <row r="767" ht="15.75" customHeight="1">
      <c r="C767" s="635"/>
    </row>
    <row r="768" ht="15.75" customHeight="1">
      <c r="C768" s="635"/>
    </row>
    <row r="769" ht="15.75" customHeight="1">
      <c r="C769" s="635"/>
    </row>
    <row r="770" ht="15.75" customHeight="1">
      <c r="C770" s="635"/>
    </row>
    <row r="771" ht="15.75" customHeight="1">
      <c r="C771" s="635"/>
    </row>
    <row r="772" ht="15.75" customHeight="1">
      <c r="C772" s="635"/>
    </row>
    <row r="773" ht="15.75" customHeight="1">
      <c r="C773" s="635"/>
    </row>
    <row r="774" ht="15.75" customHeight="1">
      <c r="C774" s="635"/>
    </row>
    <row r="775" ht="15.75" customHeight="1">
      <c r="C775" s="635"/>
    </row>
    <row r="776" ht="15.75" customHeight="1">
      <c r="C776" s="635"/>
    </row>
    <row r="777" ht="15.75" customHeight="1">
      <c r="C777" s="635"/>
    </row>
    <row r="778" ht="15.75" customHeight="1">
      <c r="C778" s="635"/>
    </row>
    <row r="779" ht="15.75" customHeight="1">
      <c r="C779" s="635"/>
    </row>
    <row r="780" ht="15.75" customHeight="1">
      <c r="C780" s="635"/>
    </row>
    <row r="781" ht="15.75" customHeight="1">
      <c r="C781" s="635"/>
    </row>
    <row r="782" ht="15.75" customHeight="1">
      <c r="C782" s="635"/>
    </row>
    <row r="783" ht="15.75" customHeight="1">
      <c r="C783" s="635"/>
    </row>
    <row r="784" ht="15.75" customHeight="1">
      <c r="C784" s="635"/>
    </row>
    <row r="785" ht="15.75" customHeight="1">
      <c r="C785" s="635"/>
    </row>
    <row r="786" ht="15.75" customHeight="1">
      <c r="C786" s="635"/>
    </row>
    <row r="787" ht="15.75" customHeight="1">
      <c r="C787" s="635"/>
    </row>
    <row r="788" ht="15.75" customHeight="1">
      <c r="C788" s="635"/>
    </row>
    <row r="789" ht="15.75" customHeight="1">
      <c r="C789" s="635"/>
    </row>
    <row r="790" ht="15.75" customHeight="1">
      <c r="C790" s="635"/>
    </row>
    <row r="791" ht="15.75" customHeight="1">
      <c r="C791" s="635"/>
    </row>
    <row r="792" ht="15.75" customHeight="1">
      <c r="C792" s="635"/>
    </row>
    <row r="793" ht="15.75" customHeight="1">
      <c r="C793" s="635"/>
    </row>
    <row r="794" ht="15.75" customHeight="1">
      <c r="C794" s="635"/>
    </row>
    <row r="795" ht="15.75" customHeight="1">
      <c r="C795" s="635"/>
    </row>
    <row r="796" ht="15.75" customHeight="1">
      <c r="C796" s="635"/>
    </row>
    <row r="797" ht="15.75" customHeight="1">
      <c r="C797" s="635"/>
    </row>
    <row r="798" ht="15.75" customHeight="1">
      <c r="C798" s="635"/>
    </row>
    <row r="799" ht="15.75" customHeight="1">
      <c r="C799" s="635"/>
    </row>
    <row r="800" ht="15.75" customHeight="1">
      <c r="C800" s="635"/>
    </row>
    <row r="801" ht="15.75" customHeight="1">
      <c r="C801" s="635"/>
    </row>
    <row r="802" ht="15.75" customHeight="1">
      <c r="C802" s="635"/>
    </row>
    <row r="803" ht="15.75" customHeight="1">
      <c r="C803" s="635"/>
    </row>
    <row r="804" ht="15.75" customHeight="1">
      <c r="C804" s="635"/>
    </row>
    <row r="805" ht="15.75" customHeight="1">
      <c r="C805" s="635"/>
    </row>
    <row r="806" ht="15.75" customHeight="1">
      <c r="C806" s="635"/>
    </row>
    <row r="807" ht="15.75" customHeight="1">
      <c r="C807" s="635"/>
    </row>
    <row r="808" ht="15.75" customHeight="1">
      <c r="C808" s="635"/>
    </row>
    <row r="809" ht="15.75" customHeight="1">
      <c r="C809" s="635"/>
    </row>
    <row r="810" ht="15.75" customHeight="1">
      <c r="C810" s="635"/>
    </row>
    <row r="811" ht="15.75" customHeight="1">
      <c r="C811" s="635"/>
    </row>
    <row r="812" ht="15.75" customHeight="1">
      <c r="C812" s="635"/>
    </row>
    <row r="813" ht="15.75" customHeight="1">
      <c r="C813" s="635"/>
    </row>
    <row r="814" ht="15.75" customHeight="1">
      <c r="C814" s="635"/>
    </row>
    <row r="815" ht="15.75" customHeight="1">
      <c r="C815" s="635"/>
    </row>
    <row r="816" ht="15.75" customHeight="1">
      <c r="C816" s="635"/>
    </row>
    <row r="817" ht="15.75" customHeight="1">
      <c r="C817" s="635"/>
    </row>
    <row r="818" ht="15.75" customHeight="1">
      <c r="C818" s="635"/>
    </row>
    <row r="819" ht="15.75" customHeight="1">
      <c r="C819" s="635"/>
    </row>
    <row r="820" ht="15.75" customHeight="1">
      <c r="C820" s="635"/>
    </row>
    <row r="821" ht="15.75" customHeight="1">
      <c r="C821" s="635"/>
    </row>
    <row r="822" ht="15.75" customHeight="1">
      <c r="C822" s="635"/>
    </row>
    <row r="823" ht="15.75" customHeight="1">
      <c r="C823" s="635"/>
    </row>
    <row r="824" ht="15.75" customHeight="1">
      <c r="C824" s="635"/>
    </row>
    <row r="825" ht="15.75" customHeight="1">
      <c r="C825" s="635"/>
    </row>
    <row r="826" ht="15.75" customHeight="1">
      <c r="C826" s="635"/>
    </row>
    <row r="827" ht="15.75" customHeight="1">
      <c r="C827" s="635"/>
    </row>
    <row r="828" ht="15.75" customHeight="1">
      <c r="C828" s="635"/>
    </row>
    <row r="829" ht="15.75" customHeight="1">
      <c r="C829" s="635"/>
    </row>
    <row r="830" ht="15.75" customHeight="1">
      <c r="C830" s="635"/>
    </row>
    <row r="831" ht="15.75" customHeight="1">
      <c r="C831" s="635"/>
    </row>
    <row r="832" ht="15.75" customHeight="1">
      <c r="C832" s="635"/>
    </row>
    <row r="833" ht="15.75" customHeight="1">
      <c r="C833" s="635"/>
    </row>
    <row r="834" ht="15.75" customHeight="1">
      <c r="C834" s="635"/>
    </row>
    <row r="835" ht="15.75" customHeight="1">
      <c r="C835" s="635"/>
    </row>
    <row r="836" ht="15.75" customHeight="1">
      <c r="C836" s="635"/>
    </row>
    <row r="837" ht="15.75" customHeight="1">
      <c r="C837" s="635"/>
    </row>
    <row r="838" ht="15.75" customHeight="1">
      <c r="C838" s="635"/>
    </row>
    <row r="839" ht="15.75" customHeight="1">
      <c r="C839" s="635"/>
    </row>
    <row r="840" ht="15.75" customHeight="1">
      <c r="C840" s="635"/>
    </row>
    <row r="841" ht="15.75" customHeight="1">
      <c r="C841" s="635"/>
    </row>
    <row r="842" ht="15.75" customHeight="1">
      <c r="C842" s="635"/>
    </row>
    <row r="843" ht="15.75" customHeight="1">
      <c r="C843" s="635"/>
    </row>
    <row r="844" ht="15.75" customHeight="1">
      <c r="C844" s="635"/>
    </row>
    <row r="845" ht="15.75" customHeight="1">
      <c r="C845" s="635"/>
    </row>
    <row r="846" ht="15.75" customHeight="1">
      <c r="C846" s="635"/>
    </row>
    <row r="847" ht="15.75" customHeight="1">
      <c r="C847" s="635"/>
    </row>
    <row r="848" ht="15.75" customHeight="1">
      <c r="C848" s="635"/>
    </row>
    <row r="849" ht="15.75" customHeight="1">
      <c r="C849" s="635"/>
    </row>
    <row r="850" ht="15.75" customHeight="1">
      <c r="C850" s="635"/>
    </row>
    <row r="851" ht="15.75" customHeight="1">
      <c r="C851" s="635"/>
    </row>
    <row r="852" ht="15.75" customHeight="1">
      <c r="C852" s="635"/>
    </row>
    <row r="853" ht="15.75" customHeight="1">
      <c r="C853" s="635"/>
    </row>
    <row r="854" ht="15.75" customHeight="1">
      <c r="C854" s="635"/>
    </row>
    <row r="855" ht="15.75" customHeight="1">
      <c r="C855" s="635"/>
    </row>
    <row r="856" ht="15.75" customHeight="1">
      <c r="C856" s="635"/>
    </row>
    <row r="857" ht="15.75" customHeight="1">
      <c r="C857" s="635"/>
    </row>
    <row r="858" ht="15.75" customHeight="1">
      <c r="C858" s="635"/>
    </row>
    <row r="859" ht="15.75" customHeight="1">
      <c r="C859" s="635"/>
    </row>
    <row r="860" ht="15.75" customHeight="1">
      <c r="C860" s="635"/>
    </row>
    <row r="861" ht="15.75" customHeight="1">
      <c r="C861" s="635"/>
    </row>
    <row r="862" ht="15.75" customHeight="1">
      <c r="C862" s="635"/>
    </row>
    <row r="863" ht="15.75" customHeight="1">
      <c r="C863" s="635"/>
    </row>
    <row r="864" ht="15.75" customHeight="1">
      <c r="C864" s="635"/>
    </row>
    <row r="865" ht="15.75" customHeight="1">
      <c r="C865" s="635"/>
    </row>
    <row r="866" ht="15.75" customHeight="1">
      <c r="C866" s="635"/>
    </row>
    <row r="867" ht="15.75" customHeight="1">
      <c r="C867" s="635"/>
    </row>
    <row r="868" ht="15.75" customHeight="1">
      <c r="C868" s="635"/>
    </row>
    <row r="869" ht="15.75" customHeight="1">
      <c r="C869" s="635"/>
    </row>
    <row r="870" ht="15.75" customHeight="1">
      <c r="C870" s="635"/>
    </row>
    <row r="871" ht="15.75" customHeight="1">
      <c r="C871" s="635"/>
    </row>
    <row r="872" ht="15.75" customHeight="1">
      <c r="C872" s="635"/>
    </row>
    <row r="873" ht="15.75" customHeight="1">
      <c r="C873" s="635"/>
    </row>
    <row r="874" ht="15.75" customHeight="1">
      <c r="C874" s="635"/>
    </row>
    <row r="875" ht="15.75" customHeight="1">
      <c r="C875" s="635"/>
    </row>
    <row r="876" ht="15.75" customHeight="1">
      <c r="C876" s="635"/>
    </row>
    <row r="877" ht="15.75" customHeight="1">
      <c r="C877" s="635"/>
    </row>
    <row r="878" ht="15.75" customHeight="1">
      <c r="C878" s="635"/>
    </row>
    <row r="879" ht="15.75" customHeight="1">
      <c r="C879" s="635"/>
    </row>
    <row r="880" ht="15.75" customHeight="1">
      <c r="C880" s="635"/>
    </row>
    <row r="881" ht="15.75" customHeight="1">
      <c r="C881" s="635"/>
    </row>
    <row r="882" ht="15.75" customHeight="1">
      <c r="C882" s="635"/>
    </row>
    <row r="883" ht="15.75" customHeight="1">
      <c r="C883" s="635"/>
    </row>
    <row r="884" ht="15.75" customHeight="1">
      <c r="C884" s="635"/>
    </row>
    <row r="885" ht="15.75" customHeight="1">
      <c r="C885" s="635"/>
    </row>
    <row r="886" ht="15.75" customHeight="1">
      <c r="C886" s="635"/>
    </row>
    <row r="887" ht="15.75" customHeight="1">
      <c r="C887" s="635"/>
    </row>
    <row r="888" ht="15.75" customHeight="1">
      <c r="C888" s="635"/>
    </row>
    <row r="889" ht="15.75" customHeight="1">
      <c r="C889" s="635"/>
    </row>
    <row r="890" ht="15.75" customHeight="1">
      <c r="C890" s="635"/>
    </row>
    <row r="891" ht="15.75" customHeight="1">
      <c r="C891" s="635"/>
    </row>
    <row r="892" ht="15.75" customHeight="1">
      <c r="C892" s="635"/>
    </row>
    <row r="893" ht="15.75" customHeight="1">
      <c r="C893" s="635"/>
    </row>
    <row r="894" ht="15.75" customHeight="1">
      <c r="C894" s="635"/>
    </row>
    <row r="895" ht="15.75" customHeight="1">
      <c r="C895" s="635"/>
    </row>
    <row r="896" ht="15.75" customHeight="1">
      <c r="C896" s="635"/>
    </row>
    <row r="897" ht="15.75" customHeight="1">
      <c r="C897" s="635"/>
    </row>
    <row r="898" ht="15.75" customHeight="1">
      <c r="C898" s="635"/>
    </row>
    <row r="899" ht="15.75" customHeight="1">
      <c r="C899" s="635"/>
    </row>
    <row r="900" ht="15.75" customHeight="1">
      <c r="C900" s="635"/>
    </row>
    <row r="901" ht="15.75" customHeight="1">
      <c r="C901" s="635"/>
    </row>
    <row r="902" ht="15.75" customHeight="1">
      <c r="C902" s="635"/>
    </row>
    <row r="903" ht="15.75" customHeight="1">
      <c r="C903" s="635"/>
    </row>
    <row r="904" ht="15.75" customHeight="1">
      <c r="C904" s="635"/>
    </row>
    <row r="905" ht="15.75" customHeight="1">
      <c r="C905" s="635"/>
    </row>
    <row r="906" ht="15.75" customHeight="1">
      <c r="C906" s="635"/>
    </row>
    <row r="907" ht="15.75" customHeight="1">
      <c r="C907" s="635"/>
    </row>
    <row r="908" ht="15.75" customHeight="1">
      <c r="C908" s="635"/>
    </row>
    <row r="909" ht="15.75" customHeight="1">
      <c r="C909" s="635"/>
    </row>
    <row r="910" ht="15.75" customHeight="1">
      <c r="C910" s="635"/>
    </row>
    <row r="911" ht="15.75" customHeight="1">
      <c r="C911" s="635"/>
    </row>
    <row r="912" ht="15.75" customHeight="1">
      <c r="C912" s="635"/>
    </row>
    <row r="913" ht="15.75" customHeight="1">
      <c r="C913" s="635"/>
    </row>
    <row r="914" ht="15.75" customHeight="1">
      <c r="C914" s="635"/>
    </row>
    <row r="915" ht="15.75" customHeight="1">
      <c r="C915" s="635"/>
    </row>
    <row r="916" ht="15.75" customHeight="1">
      <c r="C916" s="635"/>
    </row>
    <row r="917" ht="15.75" customHeight="1">
      <c r="C917" s="635"/>
    </row>
    <row r="918" ht="15.75" customHeight="1">
      <c r="C918" s="635"/>
    </row>
    <row r="919" ht="15.75" customHeight="1">
      <c r="C919" s="635"/>
    </row>
    <row r="920" ht="15.75" customHeight="1">
      <c r="C920" s="635"/>
    </row>
    <row r="921" ht="15.75" customHeight="1">
      <c r="C921" s="635"/>
    </row>
    <row r="922" ht="15.75" customHeight="1">
      <c r="C922" s="635"/>
    </row>
    <row r="923" ht="15.75" customHeight="1">
      <c r="C923" s="635"/>
    </row>
    <row r="924" ht="15.75" customHeight="1">
      <c r="C924" s="635"/>
    </row>
    <row r="925" ht="15.75" customHeight="1">
      <c r="C925" s="635"/>
    </row>
    <row r="926" ht="15.75" customHeight="1">
      <c r="C926" s="635"/>
    </row>
    <row r="927" ht="15.75" customHeight="1">
      <c r="C927" s="635"/>
    </row>
    <row r="928" ht="15.75" customHeight="1">
      <c r="C928" s="635"/>
    </row>
    <row r="929" ht="15.75" customHeight="1">
      <c r="C929" s="635"/>
    </row>
    <row r="930" ht="15.75" customHeight="1">
      <c r="C930" s="635"/>
    </row>
    <row r="931" ht="15.75" customHeight="1">
      <c r="C931" s="635"/>
    </row>
    <row r="932" ht="15.75" customHeight="1">
      <c r="C932" s="635"/>
    </row>
    <row r="933" ht="15.75" customHeight="1">
      <c r="C933" s="635"/>
    </row>
    <row r="934" ht="15.75" customHeight="1">
      <c r="C934" s="635"/>
    </row>
    <row r="935" ht="15.75" customHeight="1">
      <c r="C935" s="635"/>
    </row>
    <row r="936" ht="15.75" customHeight="1">
      <c r="C936" s="635"/>
    </row>
    <row r="937" ht="15.75" customHeight="1">
      <c r="C937" s="635"/>
    </row>
    <row r="938" ht="15.75" customHeight="1">
      <c r="C938" s="635"/>
    </row>
    <row r="939" ht="15.75" customHeight="1">
      <c r="C939" s="635"/>
    </row>
    <row r="940" ht="15.75" customHeight="1">
      <c r="C940" s="635"/>
    </row>
    <row r="941" ht="15.75" customHeight="1">
      <c r="C941" s="635"/>
    </row>
    <row r="942" ht="15.75" customHeight="1">
      <c r="C942" s="635"/>
    </row>
    <row r="943" ht="15.75" customHeight="1">
      <c r="C943" s="635"/>
    </row>
    <row r="944" ht="15.75" customHeight="1">
      <c r="C944" s="635"/>
    </row>
    <row r="945" ht="15.75" customHeight="1">
      <c r="C945" s="635"/>
    </row>
    <row r="946" ht="15.75" customHeight="1">
      <c r="C946" s="635"/>
    </row>
    <row r="947" ht="15.75" customHeight="1">
      <c r="C947" s="635"/>
    </row>
    <row r="948" ht="15.75" customHeight="1">
      <c r="C948" s="635"/>
    </row>
    <row r="949" ht="15.75" customHeight="1">
      <c r="C949" s="635"/>
    </row>
    <row r="950" ht="15.75" customHeight="1">
      <c r="C950" s="635"/>
    </row>
    <row r="951" ht="15.75" customHeight="1">
      <c r="C951" s="635"/>
    </row>
    <row r="952" ht="15.75" customHeight="1">
      <c r="C952" s="635"/>
    </row>
    <row r="953" ht="15.75" customHeight="1">
      <c r="C953" s="635"/>
    </row>
    <row r="954" ht="15.75" customHeight="1">
      <c r="C954" s="635"/>
    </row>
    <row r="955" ht="15.75" customHeight="1">
      <c r="C955" s="635"/>
    </row>
    <row r="956" ht="15.75" customHeight="1">
      <c r="C956" s="635"/>
    </row>
    <row r="957" ht="15.75" customHeight="1">
      <c r="C957" s="635"/>
    </row>
    <row r="958" ht="15.75" customHeight="1">
      <c r="C958" s="635"/>
    </row>
    <row r="959" ht="15.75" customHeight="1">
      <c r="C959" s="635"/>
    </row>
    <row r="960" ht="15.75" customHeight="1">
      <c r="C960" s="635"/>
    </row>
    <row r="961" ht="15.75" customHeight="1">
      <c r="C961" s="635"/>
    </row>
    <row r="962" ht="15.75" customHeight="1">
      <c r="C962" s="635"/>
    </row>
    <row r="963" ht="15.75" customHeight="1">
      <c r="C963" s="635"/>
    </row>
    <row r="964" ht="15.75" customHeight="1">
      <c r="C964" s="635"/>
    </row>
    <row r="965" ht="15.75" customHeight="1">
      <c r="C965" s="635"/>
    </row>
    <row r="966" ht="15.75" customHeight="1">
      <c r="C966" s="635"/>
    </row>
    <row r="967" ht="15.75" customHeight="1">
      <c r="C967" s="635"/>
    </row>
    <row r="968" ht="15.75" customHeight="1">
      <c r="C968" s="635"/>
    </row>
    <row r="969" ht="15.75" customHeight="1">
      <c r="C969" s="635"/>
    </row>
    <row r="970" ht="15.75" customHeight="1">
      <c r="C970" s="635"/>
    </row>
    <row r="971" ht="15.75" customHeight="1">
      <c r="C971" s="635"/>
    </row>
    <row r="972" ht="15.75" customHeight="1">
      <c r="C972" s="635"/>
    </row>
    <row r="973" ht="15.75" customHeight="1">
      <c r="C973" s="635"/>
    </row>
    <row r="974" ht="15.75" customHeight="1">
      <c r="C974" s="635"/>
    </row>
    <row r="975" ht="15.75" customHeight="1">
      <c r="C975" s="635"/>
    </row>
    <row r="976" ht="15.75" customHeight="1">
      <c r="C976" s="635"/>
    </row>
    <row r="977" ht="15.75" customHeight="1">
      <c r="C977" s="635"/>
    </row>
    <row r="978" ht="15.75" customHeight="1">
      <c r="C978" s="635"/>
    </row>
    <row r="979" ht="15.75" customHeight="1">
      <c r="C979" s="635"/>
    </row>
    <row r="980" ht="15.75" customHeight="1">
      <c r="C980" s="635"/>
    </row>
    <row r="981" ht="15.75" customHeight="1">
      <c r="C981" s="635"/>
    </row>
    <row r="982" ht="15.75" customHeight="1">
      <c r="C982" s="635"/>
    </row>
    <row r="983" ht="15.75" customHeight="1">
      <c r="C983" s="635"/>
    </row>
    <row r="984" ht="15.75" customHeight="1">
      <c r="C984" s="635"/>
    </row>
    <row r="985" ht="15.75" customHeight="1">
      <c r="C985" s="635"/>
    </row>
    <row r="986" ht="15.75" customHeight="1">
      <c r="C986" s="635"/>
    </row>
    <row r="987" ht="15.75" customHeight="1">
      <c r="C987" s="635"/>
    </row>
    <row r="988" ht="15.75" customHeight="1">
      <c r="C988" s="635"/>
    </row>
    <row r="989" ht="15.75" customHeight="1">
      <c r="C989" s="635"/>
    </row>
    <row r="990" ht="15.75" customHeight="1">
      <c r="C990" s="635"/>
    </row>
    <row r="991" ht="15.75" customHeight="1">
      <c r="C991" s="635"/>
    </row>
    <row r="992" ht="15.75" customHeight="1">
      <c r="C992" s="635"/>
    </row>
    <row r="993" ht="15.75" customHeight="1">
      <c r="C993" s="635"/>
    </row>
    <row r="994" ht="15.75" customHeight="1">
      <c r="C994" s="635"/>
    </row>
    <row r="995" ht="15.75" customHeight="1">
      <c r="C995" s="635"/>
    </row>
    <row r="996" ht="15.75" customHeight="1">
      <c r="C996" s="635"/>
    </row>
    <row r="997" ht="15.75" customHeight="1">
      <c r="C997" s="635"/>
    </row>
    <row r="998" ht="15.75" customHeight="1">
      <c r="C998" s="635"/>
    </row>
    <row r="999" ht="15.75" customHeight="1">
      <c r="C999" s="635"/>
    </row>
    <row r="1000" ht="15.75" customHeight="1">
      <c r="C1000" s="63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2019-02-13T15:18:41Z</dcterms:created>
  <dc:creator>Denault, Ronald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90f4d19b-4b24-4e66-8199-a01f9cd2d955</vt:lpwstr>
  </property>
  <property fmtid="{D5CDD505-2E9C-101B-9397-08002B2CF9AE}" pid="3" name="SECCLASS">
    <vt:lpwstr>CLASSU</vt:lpwstr>
  </property>
  <property fmtid="{D5CDD505-2E9C-101B-9397-08002B2CF9AE}" pid="4" name="TBSSCTCLASSIFICATION">
    <vt:lpwstr>UNCLASSIFIED</vt:lpwstr>
  </property>
  <property fmtid="{D5CDD505-2E9C-101B-9397-08002B2CF9AE}" pid="5" name="TBSSCTVISUALMARKINGNO">
    <vt:lpwstr>NO</vt:lpwstr>
  </property>
  <property fmtid="{D5CDD505-2E9C-101B-9397-08002B2CF9AE}" pid="6" name="MSIP_Label_dd4203d7-225b-41a9-8c54-a31e0ceca5df_Enabled">
    <vt:lpwstr>True</vt:lpwstr>
  </property>
  <property fmtid="{D5CDD505-2E9C-101B-9397-08002B2CF9AE}" pid="7" name="MSIP_Label_dd4203d7-225b-41a9-8c54-a31e0ceca5df_SiteId">
    <vt:lpwstr>6397df10-4595-4047-9c4f-03311282152b</vt:lpwstr>
  </property>
  <property fmtid="{D5CDD505-2E9C-101B-9397-08002B2CF9AE}" pid="8" name="MSIP_Label_dd4203d7-225b-41a9-8c54-a31e0ceca5df_Owner">
    <vt:lpwstr>BDUNDAS@tbs-sct.gc.ca</vt:lpwstr>
  </property>
  <property fmtid="{D5CDD505-2E9C-101B-9397-08002B2CF9AE}" pid="9" name="MSIP_Label_dd4203d7-225b-41a9-8c54-a31e0ceca5df_SetDate">
    <vt:lpwstr>2021-01-29T12:40:58.7195499Z</vt:lpwstr>
  </property>
  <property fmtid="{D5CDD505-2E9C-101B-9397-08002B2CF9AE}" pid="10" name="MSIP_Label_dd4203d7-225b-41a9-8c54-a31e0ceca5df_Name">
    <vt:lpwstr>NO MARKING VISIBLE</vt:lpwstr>
  </property>
  <property fmtid="{D5CDD505-2E9C-101B-9397-08002B2CF9AE}" pid="11" name="MSIP_Label_dd4203d7-225b-41a9-8c54-a31e0ceca5df_Application">
    <vt:lpwstr>Microsoft Azure Information Protection</vt:lpwstr>
  </property>
  <property fmtid="{D5CDD505-2E9C-101B-9397-08002B2CF9AE}" pid="12" name="MSIP_Label_dd4203d7-225b-41a9-8c54-a31e0ceca5df_ActionId">
    <vt:lpwstr>a5b9da52-3f63-49e7-8cb3-3c98aa9e02c5</vt:lpwstr>
  </property>
  <property fmtid="{D5CDD505-2E9C-101B-9397-08002B2CF9AE}" pid="13" name="MSIP_Label_dd4203d7-225b-41a9-8c54-a31e0ceca5df_Extended_MSFT_Method">
    <vt:lpwstr>Automatic</vt:lpwstr>
  </property>
  <property fmtid="{D5CDD505-2E9C-101B-9397-08002B2CF9AE}" pid="14" name="MSIP_Label_3515d617-256d-4284-aedb-1064be1c4b48_Enabled">
    <vt:lpwstr>true</vt:lpwstr>
  </property>
  <property fmtid="{D5CDD505-2E9C-101B-9397-08002B2CF9AE}" pid="15" name="MSIP_Label_3515d617-256d-4284-aedb-1064be1c4b48_SetDate">
    <vt:lpwstr>2022-04-08T01:01:47Z</vt:lpwstr>
  </property>
  <property fmtid="{D5CDD505-2E9C-101B-9397-08002B2CF9AE}" pid="16" name="MSIP_Label_3515d617-256d-4284-aedb-1064be1c4b48_Method">
    <vt:lpwstr>Standard</vt:lpwstr>
  </property>
  <property fmtid="{D5CDD505-2E9C-101B-9397-08002B2CF9AE}" pid="17" name="MSIP_Label_3515d617-256d-4284-aedb-1064be1c4b48_Name">
    <vt:lpwstr>3515d617-256d-4284-aedb-1064be1c4b48</vt:lpwstr>
  </property>
  <property fmtid="{D5CDD505-2E9C-101B-9397-08002B2CF9AE}" pid="18" name="MSIP_Label_3515d617-256d-4284-aedb-1064be1c4b48_SiteId">
    <vt:lpwstr>6397df10-4595-4047-9c4f-03311282152b</vt:lpwstr>
  </property>
  <property fmtid="{D5CDD505-2E9C-101B-9397-08002B2CF9AE}" pid="19" name="MSIP_Label_3515d617-256d-4284-aedb-1064be1c4b48_ActionId">
    <vt:lpwstr>a5b9da52-3f63-49e7-8cb3-3c98aa9e02c5</vt:lpwstr>
  </property>
  <property fmtid="{D5CDD505-2E9C-101B-9397-08002B2CF9AE}" pid="20" name="MSIP_Label_3515d617-256d-4284-aedb-1064be1c4b48_ContentBits">
    <vt:lpwstr>0</vt:lpwstr>
  </property>
  <property fmtid="{D5CDD505-2E9C-101B-9397-08002B2CF9AE}" pid="21" name="ContentTypeId">
    <vt:lpwstr>0x0101005C2A7348FF32FD4983FEBC65875BD8E7</vt:lpwstr>
  </property>
  <property fmtid="{D5CDD505-2E9C-101B-9397-08002B2CF9AE}" pid="22" name="TaxKeyword">
    <vt:lpwstr/>
  </property>
  <property fmtid="{D5CDD505-2E9C-101B-9397-08002B2CF9AE}" pid="23" name="_dlc_DocIdItemGuid">
    <vt:lpwstr>c777ec54-6a25-42cb-ac8c-b19beeb33c14</vt:lpwstr>
  </property>
  <property fmtid="{D5CDD505-2E9C-101B-9397-08002B2CF9AE}" pid="24" name="MediaServiceImageTags">
    <vt:lpwstr/>
  </property>
  <property fmtid="{D5CDD505-2E9C-101B-9397-08002B2CF9AE}" pid="25" name="xd_ProgID">
    <vt:lpwstr/>
  </property>
  <property fmtid="{D5CDD505-2E9C-101B-9397-08002B2CF9AE}" pid="26" name="Approved">
    <vt:bool>false</vt:bool>
  </property>
  <property fmtid="{D5CDD505-2E9C-101B-9397-08002B2CF9AE}" pid="27" name="ComplianceAssetId">
    <vt:lpwstr/>
  </property>
  <property fmtid="{D5CDD505-2E9C-101B-9397-08002B2CF9AE}" pid="28" name="TemplateUrl">
    <vt:lpwstr/>
  </property>
  <property fmtid="{D5CDD505-2E9C-101B-9397-08002B2CF9AE}" pid="29" name="_ExtendedDescription">
    <vt:lpwstr/>
  </property>
  <property fmtid="{D5CDD505-2E9C-101B-9397-08002B2CF9AE}" pid="30" name="xd_Signature">
    <vt:bool>false</vt:bool>
  </property>
  <property fmtid="{D5CDD505-2E9C-101B-9397-08002B2CF9AE}" pid="31" name="TriggerFlowInfo">
    <vt:lpwstr/>
  </property>
  <property fmtid="{D5CDD505-2E9C-101B-9397-08002B2CF9AE}" pid="32" name="XREF">
    <vt:lpwstr>,</vt:lpwstr>
  </property>
</Properties>
</file>