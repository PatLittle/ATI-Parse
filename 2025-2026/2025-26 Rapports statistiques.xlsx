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056gc.sharepoint.com/sites/OCIO-DDP-_BDPI-SDPN/Shared Documents/3. Transparency and IM/D) Open Government and Information Management Policy/Outreach and Implementation/Performance and Reporting/Statistical Reporting/2025-26/Statistical Forms/"/>
    </mc:Choice>
  </mc:AlternateContent>
  <xr:revisionPtr revIDLastSave="699" documentId="11_26BBB76BB45751B564CFD761FAF394FF41B733A4" xr6:coauthVersionLast="47" xr6:coauthVersionMax="47" xr10:uidLastSave="{AAB8C8AB-B695-462F-B5DB-D56A40C3F117}"/>
  <workbookProtection workbookAlgorithmName="SHA-512" workbookHashValue="WZ+4kkL3scGcWt0EnBy6QJPZy1unBnBM2MuNl6T0VQ0DJ+DUiUTwuVrEduR6vhyFWkMvsIZSQuL00vFXmaYj2w==" workbookSaltValue="HvS22CZ63Vk/zGexLCToZA==" workbookSpinCount="100000" lockStructure="1"/>
  <bookViews>
    <workbookView xWindow="28680" yWindow="-120" windowWidth="29040" windowHeight="15720" xr2:uid="{00000000-000D-0000-FFFF-FFFF00000000}"/>
  </bookViews>
  <sheets>
    <sheet name="LAI" sheetId="1" r:id="rId1"/>
    <sheet name="LPRP" sheetId="2" r:id="rId2"/>
    <sheet name="ATI_ForConsumption" sheetId="3" state="hidden" r:id="rId3"/>
    <sheet name="Privacy_ForConsumption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7" i="1" l="1"/>
  <c r="O87" i="1"/>
  <c r="N88" i="1"/>
  <c r="O88" i="1"/>
  <c r="N89" i="1"/>
  <c r="O89" i="1"/>
  <c r="N90" i="1"/>
  <c r="O90" i="1"/>
  <c r="N93" i="1"/>
  <c r="O93" i="1"/>
  <c r="N94" i="1"/>
  <c r="O94" i="1"/>
  <c r="N95" i="1"/>
  <c r="O95" i="1"/>
  <c r="F174" i="1" l="1"/>
  <c r="H16" i="2" l="1"/>
  <c r="H21" i="2"/>
  <c r="O6" i="2"/>
  <c r="K6" i="1"/>
  <c r="H15" i="1" l="1"/>
  <c r="H18" i="1" s="1"/>
  <c r="H20" i="1"/>
  <c r="G33" i="1"/>
  <c r="B18" i="3" s="1"/>
  <c r="G44" i="1"/>
  <c r="B25" i="3" s="1"/>
  <c r="H51" i="1"/>
  <c r="H54" i="1" s="1"/>
  <c r="H56" i="1" s="1"/>
  <c r="B39" i="3"/>
  <c r="H62" i="1"/>
  <c r="H75" i="1"/>
  <c r="L87" i="1"/>
  <c r="L88" i="1"/>
  <c r="L89" i="1"/>
  <c r="L90" i="1"/>
  <c r="L91" i="1"/>
  <c r="L92" i="1"/>
  <c r="L93" i="1"/>
  <c r="L94" i="1"/>
  <c r="L95" i="1"/>
  <c r="E96" i="1"/>
  <c r="F96" i="1"/>
  <c r="G96" i="1"/>
  <c r="H96" i="1"/>
  <c r="I96" i="1"/>
  <c r="J96" i="1"/>
  <c r="K96" i="1"/>
  <c r="I149" i="1"/>
  <c r="I150" i="1"/>
  <c r="I151" i="1"/>
  <c r="I152" i="1"/>
  <c r="I153" i="1"/>
  <c r="I154" i="1"/>
  <c r="I155" i="1"/>
  <c r="C156" i="1"/>
  <c r="D156" i="1"/>
  <c r="E156" i="1"/>
  <c r="F156" i="1"/>
  <c r="G156" i="1"/>
  <c r="H15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C174" i="1"/>
  <c r="D174" i="1"/>
  <c r="F175" i="1" s="1"/>
  <c r="I179" i="1"/>
  <c r="I180" i="1"/>
  <c r="I181" i="1"/>
  <c r="I182" i="1"/>
  <c r="I183" i="1"/>
  <c r="I184" i="1"/>
  <c r="I185" i="1"/>
  <c r="C186" i="1"/>
  <c r="E186" i="1"/>
  <c r="G186" i="1"/>
  <c r="A202" i="1"/>
  <c r="J207" i="1"/>
  <c r="J208" i="1"/>
  <c r="J209" i="1"/>
  <c r="J210" i="1"/>
  <c r="J211" i="1"/>
  <c r="J212" i="1"/>
  <c r="J213" i="1"/>
  <c r="D214" i="1"/>
  <c r="G214" i="1"/>
  <c r="E229" i="1"/>
  <c r="G229" i="1"/>
  <c r="M239" i="1" s="1"/>
  <c r="I229" i="1"/>
  <c r="K229" i="1"/>
  <c r="E241" i="1"/>
  <c r="G241" i="1"/>
  <c r="I241" i="1"/>
  <c r="K241" i="1"/>
  <c r="C249" i="1"/>
  <c r="E249" i="1"/>
  <c r="F249" i="1"/>
  <c r="H249" i="1"/>
  <c r="I249" i="1"/>
  <c r="K249" i="1"/>
  <c r="E258" i="1"/>
  <c r="G258" i="1"/>
  <c r="I258" i="1"/>
  <c r="K258" i="1"/>
  <c r="L267" i="1"/>
  <c r="L268" i="1"/>
  <c r="L269" i="1"/>
  <c r="L270" i="1"/>
  <c r="L271" i="1"/>
  <c r="L272" i="1"/>
  <c r="E273" i="1"/>
  <c r="F273" i="1"/>
  <c r="G273" i="1"/>
  <c r="H273" i="1"/>
  <c r="I273" i="1"/>
  <c r="J273" i="1"/>
  <c r="K273" i="1"/>
  <c r="L279" i="1"/>
  <c r="L280" i="1"/>
  <c r="L281" i="1"/>
  <c r="L282" i="1"/>
  <c r="L283" i="1"/>
  <c r="L284" i="1"/>
  <c r="E285" i="1"/>
  <c r="F285" i="1"/>
  <c r="G285" i="1"/>
  <c r="H285" i="1"/>
  <c r="I285" i="1"/>
  <c r="J285" i="1"/>
  <c r="K285" i="1"/>
  <c r="C300" i="1"/>
  <c r="D300" i="1"/>
  <c r="E300" i="1"/>
  <c r="F300" i="1"/>
  <c r="G300" i="1"/>
  <c r="H300" i="1"/>
  <c r="C313" i="1"/>
  <c r="D313" i="1"/>
  <c r="E313" i="1"/>
  <c r="F313" i="1"/>
  <c r="G313" i="1"/>
  <c r="H313" i="1"/>
  <c r="K335" i="1"/>
  <c r="H349" i="1"/>
  <c r="H352" i="1" s="1"/>
  <c r="F362" i="1"/>
  <c r="B673" i="4"/>
  <c r="B672" i="4"/>
  <c r="B671" i="4"/>
  <c r="B670" i="4"/>
  <c r="B669" i="4"/>
  <c r="B668" i="4"/>
  <c r="B667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497" i="4"/>
  <c r="B496" i="4"/>
  <c r="B495" i="4"/>
  <c r="B494" i="4"/>
  <c r="B493" i="4"/>
  <c r="B492" i="4"/>
  <c r="B491" i="4"/>
  <c r="B489" i="4"/>
  <c r="B488" i="4"/>
  <c r="B487" i="4"/>
  <c r="B486" i="4"/>
  <c r="B485" i="4"/>
  <c r="B484" i="4"/>
  <c r="B483" i="4"/>
  <c r="B481" i="4"/>
  <c r="B480" i="4"/>
  <c r="B479" i="4"/>
  <c r="B478" i="4"/>
  <c r="B477" i="4"/>
  <c r="B476" i="4"/>
  <c r="B475" i="4"/>
  <c r="B473" i="4"/>
  <c r="B472" i="4"/>
  <c r="B471" i="4"/>
  <c r="B470" i="4"/>
  <c r="B469" i="4"/>
  <c r="B468" i="4"/>
  <c r="B467" i="4"/>
  <c r="B465" i="4"/>
  <c r="B464" i="4"/>
  <c r="B463" i="4"/>
  <c r="B462" i="4"/>
  <c r="B461" i="4"/>
  <c r="B460" i="4"/>
  <c r="B459" i="4"/>
  <c r="B457" i="4"/>
  <c r="B456" i="4"/>
  <c r="B455" i="4"/>
  <c r="B454" i="4"/>
  <c r="B453" i="4"/>
  <c r="B452" i="4"/>
  <c r="B451" i="4"/>
  <c r="B441" i="4"/>
  <c r="B440" i="4"/>
  <c r="B439" i="4"/>
  <c r="B438" i="4"/>
  <c r="B437" i="4"/>
  <c r="B436" i="4"/>
  <c r="B435" i="4"/>
  <c r="B433" i="4"/>
  <c r="B432" i="4"/>
  <c r="B431" i="4"/>
  <c r="B430" i="4"/>
  <c r="B429" i="4"/>
  <c r="B428" i="4"/>
  <c r="B427" i="4"/>
  <c r="B425" i="4"/>
  <c r="B424" i="4"/>
  <c r="B423" i="4"/>
  <c r="B422" i="4"/>
  <c r="B421" i="4"/>
  <c r="B420" i="4"/>
  <c r="B419" i="4"/>
  <c r="B417" i="4"/>
  <c r="B416" i="4"/>
  <c r="B415" i="4"/>
  <c r="B414" i="4"/>
  <c r="B413" i="4"/>
  <c r="B412" i="4"/>
  <c r="B411" i="4"/>
  <c r="B409" i="4"/>
  <c r="B408" i="4"/>
  <c r="B407" i="4"/>
  <c r="B406" i="4"/>
  <c r="B405" i="4"/>
  <c r="B404" i="4"/>
  <c r="B403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78" i="4"/>
  <c r="B377" i="4"/>
  <c r="B376" i="4"/>
  <c r="B375" i="4"/>
  <c r="B374" i="4"/>
  <c r="B373" i="4"/>
  <c r="B372" i="4"/>
  <c r="B371" i="4"/>
  <c r="B370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1" i="4"/>
  <c r="B30" i="4"/>
  <c r="B29" i="4"/>
  <c r="B28" i="4"/>
  <c r="B27" i="4"/>
  <c r="B26" i="4"/>
  <c r="B24" i="4"/>
  <c r="B22" i="4"/>
  <c r="B21" i="4"/>
  <c r="B19" i="4"/>
  <c r="B17" i="4"/>
  <c r="B16" i="4"/>
  <c r="B15" i="4"/>
  <c r="B14" i="4"/>
  <c r="B13" i="4"/>
  <c r="B12" i="4"/>
  <c r="B11" i="4"/>
  <c r="B10" i="4"/>
  <c r="B8" i="4"/>
  <c r="B6" i="4"/>
  <c r="B5" i="4"/>
  <c r="B3" i="4"/>
  <c r="B1" i="4"/>
  <c r="B764" i="3"/>
  <c r="B763" i="3"/>
  <c r="B762" i="3"/>
  <c r="B761" i="3"/>
  <c r="B760" i="3"/>
  <c r="B759" i="3"/>
  <c r="B758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87" i="3" a="1"/>
  <c r="B289" i="3" s="1"/>
  <c r="B277" i="3" a="1"/>
  <c r="B278" i="3" s="1"/>
  <c r="B267" i="3" a="1"/>
  <c r="B276" i="3" s="1"/>
  <c r="B257" i="3" a="1"/>
  <c r="B257" i="3" s="1"/>
  <c r="B247" i="3" a="1"/>
  <c r="B256" i="3" s="1"/>
  <c r="B237" i="3" a="1"/>
  <c r="B246" i="3" s="1"/>
  <c r="B227" i="3" a="1"/>
  <c r="B235" i="3" s="1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8" i="3"/>
  <c r="B37" i="3"/>
  <c r="B36" i="3"/>
  <c r="B35" i="3"/>
  <c r="B34" i="3"/>
  <c r="B33" i="3"/>
  <c r="B31" i="3"/>
  <c r="B29" i="3"/>
  <c r="B28" i="3"/>
  <c r="B26" i="3"/>
  <c r="B24" i="3"/>
  <c r="B23" i="3"/>
  <c r="B22" i="3"/>
  <c r="B21" i="3"/>
  <c r="B20" i="3"/>
  <c r="B19" i="3"/>
  <c r="B17" i="3"/>
  <c r="B16" i="3"/>
  <c r="B15" i="3"/>
  <c r="B14" i="3"/>
  <c r="B13" i="3"/>
  <c r="B12" i="3"/>
  <c r="B11" i="3"/>
  <c r="B10" i="3"/>
  <c r="B8" i="3"/>
  <c r="B6" i="3"/>
  <c r="B5" i="3"/>
  <c r="B3" i="3"/>
  <c r="B1" i="3"/>
  <c r="F344" i="2"/>
  <c r="I332" i="2"/>
  <c r="B666" i="4" s="1"/>
  <c r="J303" i="2"/>
  <c r="H303" i="2"/>
  <c r="G303" i="2"/>
  <c r="F303" i="2"/>
  <c r="I282" i="2"/>
  <c r="H277" i="2"/>
  <c r="G277" i="2"/>
  <c r="F277" i="2"/>
  <c r="E277" i="2"/>
  <c r="D277" i="2"/>
  <c r="C277" i="2"/>
  <c r="H264" i="2"/>
  <c r="G264" i="2"/>
  <c r="F264" i="2"/>
  <c r="E264" i="2"/>
  <c r="D264" i="2"/>
  <c r="C264" i="2"/>
  <c r="K249" i="2"/>
  <c r="B505" i="4" s="1"/>
  <c r="J249" i="2"/>
  <c r="B504" i="4" s="1"/>
  <c r="I249" i="2"/>
  <c r="B503" i="4" s="1"/>
  <c r="H249" i="2"/>
  <c r="B502" i="4" s="1"/>
  <c r="G249" i="2"/>
  <c r="B501" i="4" s="1"/>
  <c r="F249" i="2"/>
  <c r="B500" i="4" s="1"/>
  <c r="E249" i="2"/>
  <c r="B499" i="4" s="1"/>
  <c r="L248" i="2"/>
  <c r="B498" i="4" s="1"/>
  <c r="L247" i="2"/>
  <c r="B490" i="4" s="1"/>
  <c r="L246" i="2"/>
  <c r="B482" i="4" s="1"/>
  <c r="L245" i="2"/>
  <c r="B474" i="4" s="1"/>
  <c r="L244" i="2"/>
  <c r="B466" i="4" s="1"/>
  <c r="L243" i="2"/>
  <c r="B458" i="4" s="1"/>
  <c r="K237" i="2"/>
  <c r="B449" i="4" s="1"/>
  <c r="J237" i="2"/>
  <c r="B448" i="4" s="1"/>
  <c r="I237" i="2"/>
  <c r="B447" i="4" s="1"/>
  <c r="H237" i="2"/>
  <c r="B446" i="4" s="1"/>
  <c r="G237" i="2"/>
  <c r="B445" i="4" s="1"/>
  <c r="F237" i="2"/>
  <c r="B444" i="4" s="1"/>
  <c r="E237" i="2"/>
  <c r="B443" i="4" s="1"/>
  <c r="L236" i="2"/>
  <c r="B442" i="4" s="1"/>
  <c r="L235" i="2"/>
  <c r="B434" i="4" s="1"/>
  <c r="L234" i="2"/>
  <c r="B426" i="4" s="1"/>
  <c r="L233" i="2"/>
  <c r="B418" i="4" s="1"/>
  <c r="L232" i="2"/>
  <c r="L231" i="2"/>
  <c r="B402" i="4" s="1"/>
  <c r="K222" i="2"/>
  <c r="B382" i="4" s="1"/>
  <c r="I222" i="2"/>
  <c r="B381" i="4" s="1"/>
  <c r="G222" i="2"/>
  <c r="B380" i="4" s="1"/>
  <c r="E222" i="2"/>
  <c r="B379" i="4" s="1"/>
  <c r="R213" i="2"/>
  <c r="P213" i="2"/>
  <c r="O213" i="2"/>
  <c r="M213" i="2"/>
  <c r="K213" i="2"/>
  <c r="I213" i="2"/>
  <c r="G213" i="2"/>
  <c r="E213" i="2"/>
  <c r="A202" i="2"/>
  <c r="I192" i="2"/>
  <c r="J185" i="2"/>
  <c r="G180" i="2"/>
  <c r="D180" i="2"/>
  <c r="J179" i="2"/>
  <c r="J178" i="2"/>
  <c r="J177" i="2"/>
  <c r="A168" i="2" s="1"/>
  <c r="B311" i="4" s="1"/>
  <c r="J176" i="2"/>
  <c r="J175" i="2"/>
  <c r="J174" i="2"/>
  <c r="J173" i="2"/>
  <c r="I151" i="2"/>
  <c r="G151" i="2"/>
  <c r="E151" i="2"/>
  <c r="C151" i="2"/>
  <c r="K150" i="2"/>
  <c r="K149" i="2"/>
  <c r="K148" i="2"/>
  <c r="K147" i="2"/>
  <c r="K146" i="2"/>
  <c r="K145" i="2"/>
  <c r="G140" i="2"/>
  <c r="I141" i="2" s="1"/>
  <c r="D140" i="2"/>
  <c r="I140" i="2" s="1"/>
  <c r="S139" i="2"/>
  <c r="S138" i="2"/>
  <c r="S137" i="2"/>
  <c r="S136" i="2"/>
  <c r="S135" i="2"/>
  <c r="S134" i="2"/>
  <c r="H123" i="2"/>
  <c r="G123" i="2"/>
  <c r="I123" i="2" s="1"/>
  <c r="F123" i="2"/>
  <c r="E123" i="2"/>
  <c r="D123" i="2"/>
  <c r="C123" i="2"/>
  <c r="J74" i="2"/>
  <c r="I74" i="2"/>
  <c r="H74" i="2"/>
  <c r="G74" i="2"/>
  <c r="F74" i="2"/>
  <c r="E74" i="2"/>
  <c r="D74" i="2"/>
  <c r="K73" i="2"/>
  <c r="K72" i="2"/>
  <c r="K71" i="2"/>
  <c r="K70" i="2"/>
  <c r="K69" i="2"/>
  <c r="K68" i="2"/>
  <c r="K67" i="2"/>
  <c r="H52" i="2"/>
  <c r="B32" i="4"/>
  <c r="H41" i="2"/>
  <c r="H44" i="2" s="1"/>
  <c r="G34" i="2"/>
  <c r="B18" i="4" s="1"/>
  <c r="B4" i="4"/>
  <c r="B9" i="3"/>
  <c r="B4" i="3"/>
  <c r="T213" i="2" l="1"/>
  <c r="I124" i="2"/>
  <c r="M240" i="1"/>
  <c r="M241" i="1"/>
  <c r="M238" i="1"/>
  <c r="E192" i="1"/>
  <c r="B408" i="3" s="1"/>
  <c r="M214" i="1"/>
  <c r="I157" i="1"/>
  <c r="I156" i="1"/>
  <c r="E194" i="1"/>
  <c r="B409" i="3" s="1"/>
  <c r="B7" i="3"/>
  <c r="K21" i="1"/>
  <c r="J180" i="2"/>
  <c r="M180" i="2" s="1"/>
  <c r="AA72" i="2"/>
  <c r="AA67" i="2"/>
  <c r="AA68" i="2"/>
  <c r="AA70" i="2"/>
  <c r="AA69" i="2"/>
  <c r="B757" i="3"/>
  <c r="AA73" i="2"/>
  <c r="E157" i="2"/>
  <c r="K151" i="2"/>
  <c r="I335" i="2"/>
  <c r="L237" i="2"/>
  <c r="B450" i="4" s="1"/>
  <c r="L249" i="2"/>
  <c r="B506" i="4" s="1"/>
  <c r="B9" i="4"/>
  <c r="K74" i="2"/>
  <c r="L74" i="2" s="1"/>
  <c r="I186" i="1"/>
  <c r="L96" i="1"/>
  <c r="M96" i="1" s="1"/>
  <c r="J214" i="1"/>
  <c r="L285" i="1"/>
  <c r="L273" i="1"/>
  <c r="B288" i="3"/>
  <c r="B290" i="3"/>
  <c r="B293" i="3"/>
  <c r="B237" i="3"/>
  <c r="B294" i="3"/>
  <c r="B260" i="3"/>
  <c r="B261" i="3"/>
  <c r="B268" i="3"/>
  <c r="B250" i="3"/>
  <c r="B269" i="3"/>
  <c r="B245" i="3"/>
  <c r="B282" i="3"/>
  <c r="B239" i="3"/>
  <c r="B249" i="3"/>
  <c r="B283" i="3"/>
  <c r="B238" i="3"/>
  <c r="B271" i="3"/>
  <c r="B272" i="3"/>
  <c r="B267" i="3"/>
  <c r="B291" i="3"/>
  <c r="B30" i="3"/>
  <c r="B32" i="3"/>
  <c r="B23" i="4"/>
  <c r="H46" i="2"/>
  <c r="B25" i="4" s="1"/>
  <c r="B69" i="3"/>
  <c r="B236" i="3"/>
  <c r="B247" i="3"/>
  <c r="B279" i="3"/>
  <c r="B410" i="3"/>
  <c r="B410" i="4"/>
  <c r="B258" i="3"/>
  <c r="B280" i="3"/>
  <c r="B20" i="4"/>
  <c r="B227" i="3"/>
  <c r="B248" i="3"/>
  <c r="B259" i="3"/>
  <c r="B270" i="3"/>
  <c r="B281" i="3"/>
  <c r="B292" i="3"/>
  <c r="B229" i="3"/>
  <c r="B240" i="3"/>
  <c r="B251" i="3"/>
  <c r="B262" i="3"/>
  <c r="B273" i="3"/>
  <c r="B284" i="3"/>
  <c r="B295" i="3"/>
  <c r="B228" i="3"/>
  <c r="B27" i="3"/>
  <c r="B230" i="3"/>
  <c r="B241" i="3"/>
  <c r="B252" i="3"/>
  <c r="B263" i="3"/>
  <c r="B274" i="3"/>
  <c r="B285" i="3"/>
  <c r="B296" i="3"/>
  <c r="H19" i="2"/>
  <c r="K22" i="2" s="1"/>
  <c r="B231" i="3"/>
  <c r="B242" i="3"/>
  <c r="B253" i="3"/>
  <c r="B264" i="3"/>
  <c r="B275" i="3"/>
  <c r="B286" i="3"/>
  <c r="B232" i="3"/>
  <c r="B243" i="3"/>
  <c r="B254" i="3"/>
  <c r="B265" i="3"/>
  <c r="B287" i="3"/>
  <c r="K75" i="2"/>
  <c r="B233" i="3"/>
  <c r="B244" i="3"/>
  <c r="B255" i="3"/>
  <c r="B266" i="3"/>
  <c r="B277" i="3"/>
  <c r="B234" i="3"/>
  <c r="B309" i="4" l="1"/>
  <c r="E159" i="2"/>
  <c r="B310" i="4" s="1"/>
  <c r="B7" i="4"/>
  <c r="AA74" i="2"/>
</calcChain>
</file>

<file path=xl/sharedStrings.xml><?xml version="1.0" encoding="utf-8"?>
<sst xmlns="http://schemas.openxmlformats.org/spreadsheetml/2006/main" count="3691" uniqueCount="1598">
  <si>
    <t>jdurand - 2022-05-16 14:34</t>
  </si>
  <si>
    <t>Rapport statistique sur la Loi sur l’accès à l’information</t>
  </si>
  <si>
    <t>Nom de l’institution:</t>
  </si>
  <si>
    <t xml:space="preserve">Période d'établissement de rapport : </t>
  </si>
  <si>
    <t>au</t>
  </si>
  <si>
    <t>1.1  Nombre de demandes</t>
  </si>
  <si>
    <t>Nombre de demandes</t>
  </si>
  <si>
    <t>Reçues pendant la période d'établissement de rapport</t>
  </si>
  <si>
    <t>En suspens à la fin de la période d'établissement de rapport précédente</t>
  </si>
  <si>
    <t>• En suspens à la fin de la période d'établissement de rapport précédente</t>
  </si>
  <si>
    <t>• En suspens pour plus d'une période d'établissement de rapport</t>
  </si>
  <si>
    <t>Total</t>
  </si>
  <si>
    <t>Fermées pendant la période d'établissement de rapport</t>
  </si>
  <si>
    <t>Reportées à la prochaine période d'établissement de rapport</t>
  </si>
  <si>
    <t>1.2  Source des demandes</t>
  </si>
  <si>
    <t>Source</t>
  </si>
  <si>
    <t>Médias</t>
  </si>
  <si>
    <t>Secteur universitaire</t>
  </si>
  <si>
    <t>Secteur commercial (secteur privé)</t>
  </si>
  <si>
    <t>Organisation</t>
  </si>
  <si>
    <t>Public</t>
  </si>
  <si>
    <t>Refus de s'identifier</t>
  </si>
  <si>
    <t>1.3  Mode des demandes</t>
  </si>
  <si>
    <t>Mode</t>
  </si>
  <si>
    <t>Nombre des demandes</t>
  </si>
  <si>
    <t>En ligne</t>
  </si>
  <si>
    <t>Courriel</t>
  </si>
  <si>
    <t>Poste</t>
  </si>
  <si>
    <t>En personne</t>
  </si>
  <si>
    <t>Téléphone</t>
  </si>
  <si>
    <t>Télécopieur</t>
  </si>
  <si>
    <t>Section 2 – Demandes informelles</t>
  </si>
  <si>
    <t>2.1 Nombre de demandes informelles</t>
  </si>
  <si>
    <t xml:space="preserve">2.2 Délai de traitement pour les demandes informelles </t>
  </si>
  <si>
    <t>Délai de traitement</t>
  </si>
  <si>
    <t>0 à 15 jours</t>
  </si>
  <si>
    <t>16 à 30 jours</t>
  </si>
  <si>
    <t>31 à 60 jours</t>
  </si>
  <si>
    <t>61 à 120 jours</t>
  </si>
  <si>
    <t>121 à 180 jours</t>
  </si>
  <si>
    <t>181 à 365 jours</t>
  </si>
  <si>
    <t>Plus de 365 jours</t>
  </si>
  <si>
    <t>Pages communiquées</t>
  </si>
  <si>
    <t>2.3 Pages communiquées et recommuniquées informellement</t>
  </si>
  <si>
    <t>Moins de 500 pages recommuniquées</t>
  </si>
  <si>
    <t>De 500 à 10 000 pages recommuniquées</t>
  </si>
  <si>
    <t>Plus de 10 000 pages recommuniquées</t>
  </si>
  <si>
    <t>Nombre de pages</t>
  </si>
  <si>
    <t>Section 3 – Demandes à la Commissaire à l'information pour ne pas donner suite à la demande</t>
  </si>
  <si>
    <t>En suspens depuis la période d’établissement de rapports précédente</t>
  </si>
  <si>
    <t>Envoyées pendant la période d’établissement de rapports</t>
  </si>
  <si>
    <t>Approuvées par la Commissaire à l’information pendant la période d’établissement de rapports</t>
  </si>
  <si>
    <t>Refusées par la Commissaire à l’information au cours de la période d’établissement de rapports</t>
  </si>
  <si>
    <t>Retirées pendant la période d'établissement de rapports</t>
  </si>
  <si>
    <t>Reportées à la prochaine période d’établissement de rapports</t>
  </si>
  <si>
    <t>Section 4 – Demandes fermées pendant la période d'établissement de rapports</t>
  </si>
  <si>
    <t>4.1 Disposition et délai de traitement</t>
  </si>
  <si>
    <t>Disposition des demandes</t>
  </si>
  <si>
    <t>0  à 15 jours</t>
  </si>
  <si>
    <t>121  à 180 jours</t>
  </si>
  <si>
    <t>Pages traitées</t>
  </si>
  <si>
    <t>Communication totale</t>
  </si>
  <si>
    <t>Communication partielle</t>
  </si>
  <si>
    <t>Exception totale</t>
  </si>
  <si>
    <t>Exclusion totale</t>
  </si>
  <si>
    <t>Aucun document n’existe</t>
  </si>
  <si>
    <t>Demande transférée</t>
  </si>
  <si>
    <t>Demande abandonnée</t>
  </si>
  <si>
    <t>Ni confirmée ni infirmée</t>
  </si>
  <si>
    <t>Refus d'agir avec l'approbation de la Commissaire à l'information</t>
  </si>
  <si>
    <t xml:space="preserve"> Total</t>
  </si>
  <si>
    <t xml:space="preserve">4.2 Exceptions  </t>
  </si>
  <si>
    <t>Article</t>
  </si>
  <si>
    <t>13(1)a)</t>
  </si>
  <si>
    <t>16(2)</t>
  </si>
  <si>
    <t>18a)</t>
  </si>
  <si>
    <t>13(1)b)</t>
  </si>
  <si>
    <t>16(2)a)</t>
  </si>
  <si>
    <t>18b)</t>
  </si>
  <si>
    <t>13(1)c)</t>
  </si>
  <si>
    <t>16(2)b)</t>
  </si>
  <si>
    <t>18c)</t>
  </si>
  <si>
    <t>13(1)d)</t>
  </si>
  <si>
    <t>16(2)c)</t>
  </si>
  <si>
    <t>18d)</t>
  </si>
  <si>
    <t>21(1)a)</t>
  </si>
  <si>
    <t>13(1)e)</t>
  </si>
  <si>
    <t>16(3)</t>
  </si>
  <si>
    <t>18.1(1)a)</t>
  </si>
  <si>
    <t>21(1)b)</t>
  </si>
  <si>
    <t>16.1(1)a)</t>
  </si>
  <si>
    <t>18.1(1)b)</t>
  </si>
  <si>
    <t>21(1)c)</t>
  </si>
  <si>
    <t>14a)</t>
  </si>
  <si>
    <t>16.1(1)b)</t>
  </si>
  <si>
    <t>18.1(1)c)</t>
  </si>
  <si>
    <t>21(1)d)</t>
  </si>
  <si>
    <t>14b)</t>
  </si>
  <si>
    <t>16.1(1)c)</t>
  </si>
  <si>
    <t>18.1(1)d)</t>
  </si>
  <si>
    <t>15(1)</t>
  </si>
  <si>
    <t>16.1(1)d)</t>
  </si>
  <si>
    <t>19(1)</t>
  </si>
  <si>
    <t>22.1(1)</t>
  </si>
  <si>
    <t>15(1) - A.I.*</t>
  </si>
  <si>
    <t>16.2(1)</t>
  </si>
  <si>
    <t>20(1)a)</t>
  </si>
  <si>
    <t>15(1) - Déf.*</t>
  </si>
  <si>
    <t>20(1)b)</t>
  </si>
  <si>
    <t>15(1) - A.S.*</t>
  </si>
  <si>
    <t>16.4(1)a)</t>
  </si>
  <si>
    <t>20(1)b.1)</t>
  </si>
  <si>
    <t>24(1)</t>
  </si>
  <si>
    <t>16(1)a)(i)</t>
  </si>
  <si>
    <t>16.4(1)b)</t>
  </si>
  <si>
    <t>20(1)c)</t>
  </si>
  <si>
    <t>16(1)a)(ii)</t>
  </si>
  <si>
    <t>20(1)d)</t>
  </si>
  <si>
    <t>16(1)a)(iii)</t>
  </si>
  <si>
    <t>16(1)b)</t>
  </si>
  <si>
    <t>16(1)c)</t>
  </si>
  <si>
    <t>16(1)d)</t>
  </si>
  <si>
    <t>*A.I. : Affaires internationales   Déf. : Défense du Canada    A.S. : Activités subversives</t>
  </si>
  <si>
    <t xml:space="preserve">4.3 Exclusions </t>
  </si>
  <si>
    <t>68a)</t>
  </si>
  <si>
    <t>69(1)</t>
  </si>
  <si>
    <t>69(1)g) re a)</t>
  </si>
  <si>
    <t>68b)</t>
  </si>
  <si>
    <t>69(1)a)</t>
  </si>
  <si>
    <t>69(1)g) re b)</t>
  </si>
  <si>
    <t>68c)</t>
  </si>
  <si>
    <t>69(1)b)</t>
  </si>
  <si>
    <t>69(1)g) re c)</t>
  </si>
  <si>
    <t>68.1</t>
  </si>
  <si>
    <t>69(1)c)</t>
  </si>
  <si>
    <t>69(1)g) re d)</t>
  </si>
  <si>
    <t>68.2a)</t>
  </si>
  <si>
    <t>69(1)d)</t>
  </si>
  <si>
    <t>69(1)g) re e)</t>
  </si>
  <si>
    <t>68.2b)</t>
  </si>
  <si>
    <t>69(1)e)</t>
  </si>
  <si>
    <t>69(1)g) re f)</t>
  </si>
  <si>
    <t>69(1)f)</t>
  </si>
  <si>
    <t>69.1(1)</t>
  </si>
  <si>
    <t>4.4  Format des documents communiqués</t>
  </si>
  <si>
    <t>Papier</t>
  </si>
  <si>
    <t>Électronique</t>
  </si>
  <si>
    <t>Autres</t>
  </si>
  <si>
    <t>Document électronique</t>
  </si>
  <si>
    <t>Ensemble de données</t>
  </si>
  <si>
    <t>Vidéo</t>
  </si>
  <si>
    <t>Audio</t>
  </si>
  <si>
    <t>4.5 Complexité</t>
  </si>
  <si>
    <t>4.5.1 Pages pertinentes traitées et communiquées en formats papier, document électronique et ensemble de données</t>
  </si>
  <si>
    <t>Nombre de pages traitées</t>
  </si>
  <si>
    <t>Nombre de pages communiquées</t>
  </si>
  <si>
    <t>4.5.2 Pages pertinentes traitées et communiquées en fonction de l’ampleur des demandes en formats papier, document électronique et ensemble de données par disposition des demandes</t>
  </si>
  <si>
    <t>Disposition</t>
  </si>
  <si>
    <t>Moins de 500 pages traitées</t>
  </si>
  <si>
    <t>500 à 10 000 pages traitées</t>
  </si>
  <si>
    <t>Plus de 10 000 pages traitées</t>
  </si>
  <si>
    <t>4.5.3 Minutes pertinentes traitées et communiquées en format audio et vidéo</t>
  </si>
  <si>
    <t>Nombre de minutes traitées</t>
  </si>
  <si>
    <t>Nombre de minutes communiquées</t>
  </si>
  <si>
    <t xml:space="preserve">4.5.4 Minutes pertinentes traitées en fonction de l'ampleur des demandes en format audio et vidéo par disposition des demandes </t>
  </si>
  <si>
    <t>Minutes  traitées</t>
  </si>
  <si>
    <t>Minutes traitées</t>
  </si>
  <si>
    <t>4.5.5 Autres complexités</t>
  </si>
  <si>
    <t>Consultation requise</t>
  </si>
  <si>
    <t>Avis juridique</t>
  </si>
  <si>
    <t>Nombre de demandes fermées dans les délais prévus par la Loi</t>
  </si>
  <si>
    <t>Pourcentage des demandes fermées dans les délais prévus par la Loi (%)</t>
  </si>
  <si>
    <t>4.7 Présomptions de refus</t>
  </si>
  <si>
    <t>Nombre de demandes fermées au-delà des délais prévus par la Loi</t>
  </si>
  <si>
    <t>Motif principal</t>
  </si>
  <si>
    <t>Entrave au fonctionnement / Charge de travail</t>
  </si>
  <si>
    <t>Consultation externe</t>
  </si>
  <si>
    <t>Consultation interne</t>
  </si>
  <si>
    <t>Autre</t>
  </si>
  <si>
    <t xml:space="preserve">4.7.2 Demandes fermées au-dela des délais prévus par la Loi (y compris toute prorogation prise) </t>
  </si>
  <si>
    <t>Nombre de jours de retard au-delà des délais prévus par la Loi</t>
  </si>
  <si>
    <t>Nombre de demandes
fermées au-delà des délais prévus par la Loi où aucune prorogation n’a été prise</t>
  </si>
  <si>
    <t>Nombre de demandes fermées
au-delà des délais prévus par la Loi où une prorogation a été prise</t>
  </si>
  <si>
    <t>1 à 15 jours</t>
  </si>
  <si>
    <t>Section 5 – Prorogations</t>
  </si>
  <si>
    <t>5.1  Motifs des prorogations et disposition des demandes</t>
  </si>
  <si>
    <t>Disposition des demandes où le délai a été prorogé</t>
  </si>
  <si>
    <t>9(1)a)
Entrave au fonctionnement</t>
  </si>
  <si>
    <t>9(1)b)
Consultation</t>
  </si>
  <si>
    <t>9(1)c)
Avis à un tiers</t>
  </si>
  <si>
    <t>Article 69</t>
  </si>
  <si>
    <t>5.2 Durée des prorogations</t>
  </si>
  <si>
    <t>Durée des prorogations</t>
  </si>
  <si>
    <t>30 jours ou moins</t>
  </si>
  <si>
    <t>Section 6 – Frais</t>
  </si>
  <si>
    <t>Type de frais</t>
  </si>
  <si>
    <t>Frais perçus</t>
  </si>
  <si>
    <t xml:space="preserve">Frais dispensés </t>
  </si>
  <si>
    <t>Frais remboursés</t>
  </si>
  <si>
    <t>Montant</t>
  </si>
  <si>
    <t>Présentation</t>
  </si>
  <si>
    <t>Autres frais</t>
  </si>
  <si>
    <t>Section 7 – Demandes de consultation reçues d’autres institutions et organisations</t>
  </si>
  <si>
    <t>7.1  Demandes de consultation reçues d’autres institutions du gouvernement du Canada et autres organisations</t>
  </si>
  <si>
    <t>Consultations</t>
  </si>
  <si>
    <t>Autres institutions du gouvernement du Canada</t>
  </si>
  <si>
    <t>Nombre de pages à traiter</t>
  </si>
  <si>
    <t>Autres organisations</t>
  </si>
  <si>
    <t>Reportées à l'intérieur des délais négociés à la prochaine période d'établissement de rapport</t>
  </si>
  <si>
    <t>Reportées au-delà des délais négociés à la prochaine période d'établissement de rapport</t>
  </si>
  <si>
    <t>7.2 Recommandation et délai de traitement pour les demandes de consultation reçues d’autres
institutions du gouvernement du Canada</t>
  </si>
  <si>
    <t>Recommandation</t>
  </si>
  <si>
    <t>Nombre de jours requis pour traiter les demandes de consultation</t>
  </si>
  <si>
    <t>Communiquer en entier</t>
  </si>
  <si>
    <t>Communiquer en partie</t>
  </si>
  <si>
    <t>Exempter en entier</t>
  </si>
  <si>
    <t>Exclure en entier</t>
  </si>
  <si>
    <t>Consulter une autre institution</t>
  </si>
  <si>
    <t>7.3 Recommandation et délai de traitement pour les demandes de consultation reçues d’autres organisations à l'extérieur du gouvernement du Canada</t>
  </si>
  <si>
    <t>Section 8 – Délais de traitement des demandes de consultation sur les renseignements confidentiels du Cabinet</t>
  </si>
  <si>
    <t>8.1 Demandes auprès des services juridiques</t>
  </si>
  <si>
    <t>Nombre de jours</t>
  </si>
  <si>
    <t>De 500 à 10 000 pages traitées</t>
  </si>
  <si>
    <t>1 à 15</t>
  </si>
  <si>
    <t>16 à 30</t>
  </si>
  <si>
    <t>31 à 60</t>
  </si>
  <si>
    <t>61 à 120</t>
  </si>
  <si>
    <t>121 à 180</t>
  </si>
  <si>
    <t>181 à 365</t>
  </si>
  <si>
    <t>Plus de 365</t>
  </si>
  <si>
    <t>8.2 Demandes auprès du Bureau du Conseil privé</t>
  </si>
  <si>
    <t>Section 9 – Enquêtes et compte rendus de conclusion</t>
  </si>
  <si>
    <t>9.1 Enquêtes</t>
  </si>
  <si>
    <t xml:space="preserve">Article 32
Avis d’enquête
</t>
  </si>
  <si>
    <t>9.2 Enquêtes et rapports des conclusions</t>
  </si>
  <si>
    <t>Reçus</t>
  </si>
  <si>
    <t xml:space="preserve">Contenant des recommandations  émis par la Commissaire à l’information </t>
  </si>
  <si>
    <t>Contenant une intention d'émettre une ordonnance par la Commissaire à l'information</t>
  </si>
  <si>
    <t>Contenant des recommandations  émis par la Commissaire à l’information</t>
  </si>
  <si>
    <t>Contenant des ordonnances émis par la Commissaire à l’information</t>
  </si>
  <si>
    <t>Section 10 – Recours judiciaire</t>
  </si>
  <si>
    <t>10.1 Recours judiciaires sur les plaintes</t>
  </si>
  <si>
    <t>Article 41</t>
  </si>
  <si>
    <t>Plaignant (1)</t>
  </si>
  <si>
    <t>Institution (2)</t>
  </si>
  <si>
    <t>Tier  (3)</t>
  </si>
  <si>
    <t>Commissaire à la protection de la vie privée (4)</t>
  </si>
  <si>
    <t>10.2 Recours judiciaires sur les plaintes de tiers en vertu de l'alinéa 28(1)b)</t>
  </si>
  <si>
    <t>Article 44 - en vertu de l'alinéa 28(1)b)</t>
  </si>
  <si>
    <t>Section 11 – Ressources liées à la Loi sur l’accès à l’information</t>
  </si>
  <si>
    <t>11.1  Coûts</t>
  </si>
  <si>
    <t>Dépenses</t>
  </si>
  <si>
    <t xml:space="preserve">Salaires </t>
  </si>
  <si>
    <t>Heures supplémentaires</t>
  </si>
  <si>
    <t>Biens et services</t>
  </si>
  <si>
    <t>• Contrats de services professionnels</t>
  </si>
  <si>
    <t>• Autres</t>
  </si>
  <si>
    <t>11.2  Ressources humaines</t>
  </si>
  <si>
    <t>Ressources</t>
  </si>
  <si>
    <t>Années-personnes consacrées aux activités liées à l’accès à l’information</t>
  </si>
  <si>
    <t>Employés à temps plein</t>
  </si>
  <si>
    <t>Employés à temps partiel et occasionnels</t>
  </si>
  <si>
    <t>Employés régionaux</t>
  </si>
  <si>
    <t>Experts-conseils et personnel d’agence</t>
  </si>
  <si>
    <t>Étudiants</t>
  </si>
  <si>
    <t>Remarque : Entrer des valeurs à trois décimales.</t>
  </si>
  <si>
    <t>JDURAND - 2022-05-13 12:05</t>
  </si>
  <si>
    <t>Rapport statistique sur la Loi sur la protection des renseignements personnels</t>
  </si>
  <si>
    <t>1.1  Nombre de demandes reçues</t>
  </si>
  <si>
    <t>1.2  Mode des demandes</t>
  </si>
  <si>
    <t>2.3  Pages communiquées informellement</t>
  </si>
  <si>
    <t>Moins de 500 pages communiquées</t>
  </si>
  <si>
    <t>De 500 à 10 000 pages communiquées</t>
  </si>
  <si>
    <t>Plus de 10 000 pages communiquées</t>
  </si>
  <si>
    <t>Section 3 – Demandes fermées pendant la période d'établissement de rapport</t>
  </si>
  <si>
    <t>3.1 Disposition et délai de traitement</t>
  </si>
  <si>
    <t>3.2 Exceptions</t>
  </si>
  <si>
    <t>18(2)</t>
  </si>
  <si>
    <t>22(1)a)(i)</t>
  </si>
  <si>
    <t>23a)</t>
  </si>
  <si>
    <t>19(1)a)</t>
  </si>
  <si>
    <t>22(1)a)(ii)</t>
  </si>
  <si>
    <t>23b)</t>
  </si>
  <si>
    <t>19(1)b)</t>
  </si>
  <si>
    <t>22(1)a)(iii)</t>
  </si>
  <si>
    <t>24a)</t>
  </si>
  <si>
    <t>19(1)c)</t>
  </si>
  <si>
    <t>22(1)b)</t>
  </si>
  <si>
    <t>24b)</t>
  </si>
  <si>
    <t>19(1)d)</t>
  </si>
  <si>
    <t>22(1)c)</t>
  </si>
  <si>
    <t>19(1)e)</t>
  </si>
  <si>
    <t>22(2)</t>
  </si>
  <si>
    <t>19(1)f)</t>
  </si>
  <si>
    <t>20</t>
  </si>
  <si>
    <t>21</t>
  </si>
  <si>
    <t xml:space="preserve">3.3 Exclusions </t>
  </si>
  <si>
    <t>70(1)</t>
  </si>
  <si>
    <t>70(1)d)</t>
  </si>
  <si>
    <t>70(1)a)</t>
  </si>
  <si>
    <t>70(1)e)</t>
  </si>
  <si>
    <t>70(1)b)</t>
  </si>
  <si>
    <t>70(1)f)</t>
  </si>
  <si>
    <t>70(1)c)</t>
  </si>
  <si>
    <t>3.4  Format des documents communiqués</t>
  </si>
  <si>
    <t>3.5 Complexité</t>
  </si>
  <si>
    <t>3.5.1 Pages pertinentes traitées et communiquées en formats papier, document électronique et ensemble de données</t>
  </si>
  <si>
    <t>3.5.2 Pages pertinentes traitées en fonction de l’ampleur des demandes en formats papier, document électronique et ensemble de données par disposition des demandes</t>
  </si>
  <si>
    <t>3.5.3 Minutes pertinentes traitées et communiquées en format audio et vidéo</t>
  </si>
  <si>
    <t xml:space="preserve">3.5.4 Minutes pertinentes traitées en fonction de l'ampleur des demandes en format audio et vidéo par dispositions des demandes </t>
  </si>
  <si>
    <t>3.5.5 Autres complexités</t>
  </si>
  <si>
    <t>Renseignements entremêlés</t>
  </si>
  <si>
    <t>3.7 Présomptions de refus</t>
  </si>
  <si>
    <t>Entrave au fonctionnement /Charge de travail</t>
  </si>
  <si>
    <t xml:space="preserve">Consultation externe </t>
  </si>
  <si>
    <t xml:space="preserve">Nombre de jours au-delà des délais prévus par la Loi
</t>
  </si>
  <si>
    <t>Nombre de demandes
fermées au-delà des délais prévus par la Loi où aucune prolongation n’a été prise</t>
  </si>
  <si>
    <t>Nombre de demandes fermées
au-delà des délais prévus par la Loi où une prolongation a été prise</t>
  </si>
  <si>
    <t>Section 4 – Communications en vertu des paragraphes 8(2) et 8(5)</t>
  </si>
  <si>
    <t>Alinéa 8(2)e)</t>
  </si>
  <si>
    <t>Alinéa 8(2)m)</t>
  </si>
  <si>
    <t>Paragraphe 8(5)</t>
  </si>
  <si>
    <t>Section 5 – Demandes de correction de renseignements personnels et mentions</t>
  </si>
  <si>
    <t>Disposition des demandes de correction reçues</t>
  </si>
  <si>
    <t>Nombre</t>
  </si>
  <si>
    <t>Mentions annexées</t>
  </si>
  <si>
    <t>Demandes de correction acceptées</t>
  </si>
  <si>
    <t>Section 6 – Prorogations</t>
  </si>
  <si>
    <t>6.1  Motifs des prorogations</t>
  </si>
  <si>
    <t>15a)(i) Entrave au fonctionnement de l'institution</t>
  </si>
  <si>
    <t>15a)(ii) Consultation</t>
  </si>
  <si>
    <t>15b) Traduction ou cas de transfert sur support de substitution</t>
  </si>
  <si>
    <t>Examen approfondi nécessaire pour déterminer les exceptions</t>
  </si>
  <si>
    <t>Grand nombre de pages</t>
  </si>
  <si>
    <t>Grand volume de demandes</t>
  </si>
  <si>
    <t>Les documents sont difficiles à obtenir</t>
  </si>
  <si>
    <t>Document confidentiels du Cabinet (article 70)</t>
  </si>
  <si>
    <t>Externe</t>
  </si>
  <si>
    <t>Interne</t>
  </si>
  <si>
    <t>Nombre de prorogations prises</t>
  </si>
  <si>
    <t>6.2  Durée des prorogations</t>
  </si>
  <si>
    <t>Plus de 31 jours</t>
  </si>
  <si>
    <t>7.1 Demandes de consultation reçues d’autres institutions du gouvernement du Canada et autres organisations</t>
  </si>
  <si>
    <t>7.2 Recommandations et délai de traitement pour les demandes de consultation reçues d’autres institutions du gouvernement du Canada</t>
  </si>
  <si>
    <t>7.3 Recommandations et délai de traitement pour les demandes de consultation reçues d’autres organisations</t>
  </si>
  <si>
    <t>Section 8 – Délais de traitement des demandes de consultation sur les documents confidentiels du Cabinet</t>
  </si>
  <si>
    <t>8.1  Demandes auprès des services juridiques</t>
  </si>
  <si>
    <t>Section 9 – Avis de plaintes et d'enquêtes reçus</t>
  </si>
  <si>
    <t>Article 31</t>
  </si>
  <si>
    <t>Article 33</t>
  </si>
  <si>
    <t>Article 35</t>
  </si>
  <si>
    <t>Recours judiciaire</t>
  </si>
  <si>
    <t>Section 10 – Évaluations des facteurs relatifs à la vie privée (ÉFVP) et des Fichiers de renseignements personnels (FRP)</t>
  </si>
  <si>
    <t>10.1 Programmes et activités</t>
  </si>
  <si>
    <t>Nombre de programmes existants ou d’activités existantes qui utilisent des renseignements personnels ayant été substantiellement modifiés au cours de la période d’établissement de rapports</t>
  </si>
  <si>
    <t>Nombre de nouveaux programmes ou de nouvelles activités qui utilisent des renseignements personnels établis au cours de la période d’établissement de rapports</t>
  </si>
  <si>
    <t>10.2 Évaluations des facteurs relatifs à la vie privée</t>
  </si>
  <si>
    <t xml:space="preserve">Nombre d’ÉFVP terminées </t>
  </si>
  <si>
    <t>Nombre d’ÉFVP modifiées</t>
  </si>
  <si>
    <t>Nombre de résumés d’ÉFVP publiés au cours de la période d’établissement de rapports</t>
  </si>
  <si>
    <t>Nombre d’ÉFVP pour lesquelles les mesures d’atténuation des risques ont été évaluées au cours de la période d’établissement de rapports</t>
  </si>
  <si>
    <t>10.3 Protocoles de protection de la vie privée</t>
  </si>
  <si>
    <t>Nombre de protocoles de protection de la vie privée mis en place pour établir ou modifier des fichiers de renseignements personnels</t>
  </si>
  <si>
    <t>10.4 Fichiers de renseignements personnels spécifiques à l'institution et centraux</t>
  </si>
  <si>
    <t>Fichiers de renseignements personnels</t>
  </si>
  <si>
    <t>Actifs</t>
  </si>
  <si>
    <t>Créés</t>
  </si>
  <si>
    <t>Supprimés</t>
  </si>
  <si>
    <t>Modifiés</t>
  </si>
  <si>
    <t>Spécifiques à l'institution</t>
  </si>
  <si>
    <t>Centraux</t>
  </si>
  <si>
    <t xml:space="preserve">Total </t>
  </si>
  <si>
    <t>10.5 Page d’Info Source</t>
  </si>
  <si>
    <t>Date de la dernière modification importante apportée aux fichiers de renseignements personnels sur la page d’Info Source</t>
  </si>
  <si>
    <t>AAAA-MM-JJ</t>
  </si>
  <si>
    <t>Section 11 – Numéro d’assurance sociale</t>
  </si>
  <si>
    <t>Nombre de nouveaux programmes ou de nouvelles activités qui collectent ou utilisent le numéro d’assurance sociale</t>
  </si>
  <si>
    <t>Section 12 – Atteintes à la vie privée</t>
  </si>
  <si>
    <t>12.1 Atteintes substantielles à la vie privée signalée</t>
  </si>
  <si>
    <t>Nombre d’atteintes substantielles à la vie privée signalées au SCT</t>
  </si>
  <si>
    <t>Nombre d’atteintes substantielles à la vie privée signalées au CPVP</t>
  </si>
  <si>
    <t>12.2 Atteintes à la vie privée signalée non-substantielles</t>
  </si>
  <si>
    <t>Nombre d’atteintes à la vie privée non-substantielles</t>
  </si>
  <si>
    <t>Section 13 – Formation sur la protection de la vie privée</t>
  </si>
  <si>
    <t>Nombre d’employés ayant suivi la formation sur la protection de la vie privée au cours de la période d’établissement de rapports</t>
  </si>
  <si>
    <t>Section 14 – Ressources liées à la Loi sur la protection des renseignements personnels</t>
  </si>
  <si>
    <t xml:space="preserve">14.1  Coûts répartis </t>
  </si>
  <si>
    <t>14.2  Ressources humaines</t>
  </si>
  <si>
    <t>Années-personnes consacrées aux activités liées à la protection des renseignements personnels</t>
  </si>
  <si>
    <t>Inst</t>
  </si>
  <si>
    <t>Report</t>
  </si>
  <si>
    <t>2021;2022</t>
  </si>
  <si>
    <t>Q1R1C1</t>
  </si>
  <si>
    <t>1,1</t>
  </si>
  <si>
    <t>Q1R2C1</t>
  </si>
  <si>
    <t>Q1R3C1</t>
  </si>
  <si>
    <t>Q1R4C1</t>
  </si>
  <si>
    <t>Q1R5C1</t>
  </si>
  <si>
    <t>Q1R6C1</t>
  </si>
  <si>
    <t>Q1R7C1</t>
  </si>
  <si>
    <t>Q1R8C1</t>
  </si>
  <si>
    <t>Q1R9C1</t>
  </si>
  <si>
    <t>Q2R1C1</t>
  </si>
  <si>
    <t>1,2</t>
  </si>
  <si>
    <t>Q2R2C1</t>
  </si>
  <si>
    <t>Q2R3C1</t>
  </si>
  <si>
    <t>Q2R4C1</t>
  </si>
  <si>
    <t>Q2R5C1</t>
  </si>
  <si>
    <t>Q2R6C1</t>
  </si>
  <si>
    <t>Q2R7C1</t>
  </si>
  <si>
    <t>Q3R1C1</t>
  </si>
  <si>
    <t>1,3</t>
  </si>
  <si>
    <t>Q3R2C1</t>
  </si>
  <si>
    <t>Q3R3C1</t>
  </si>
  <si>
    <t>Q3R4C1</t>
  </si>
  <si>
    <t>Q3R5C1</t>
  </si>
  <si>
    <t>Q3R6C1</t>
  </si>
  <si>
    <t>Q3R7C1</t>
  </si>
  <si>
    <t>Q4R1C1</t>
  </si>
  <si>
    <t>2,1</t>
  </si>
  <si>
    <t>Q4R2C1</t>
  </si>
  <si>
    <t>Q4R3C1</t>
  </si>
  <si>
    <t>Q4R4C1</t>
  </si>
  <si>
    <t>Q4R5C1</t>
  </si>
  <si>
    <t>Q4R6C1</t>
  </si>
  <si>
    <t>Q4R7C1</t>
  </si>
  <si>
    <t>Q5R1C1</t>
  </si>
  <si>
    <t>2,2</t>
  </si>
  <si>
    <t>Q5R2C1</t>
  </si>
  <si>
    <t>Q5R3C1</t>
  </si>
  <si>
    <t>Q5R4C1</t>
  </si>
  <si>
    <t>Q5R5C1</t>
  </si>
  <si>
    <t>Q5R6C1</t>
  </si>
  <si>
    <t>Q5R7C1</t>
  </si>
  <si>
    <t>Q6R1C1</t>
  </si>
  <si>
    <t>2,3</t>
  </si>
  <si>
    <t>Q6R1C2</t>
  </si>
  <si>
    <t>Q6R1C3</t>
  </si>
  <si>
    <t>Q6R1C4</t>
  </si>
  <si>
    <t>Q6R1C5</t>
  </si>
  <si>
    <t>Q6R1C6</t>
  </si>
  <si>
    <t>Q6R1C7</t>
  </si>
  <si>
    <t>Q7R1C1</t>
  </si>
  <si>
    <t>2,4</t>
  </si>
  <si>
    <t>Q7R1C2</t>
  </si>
  <si>
    <t>Q7R1C3</t>
  </si>
  <si>
    <t>Q7R1C4</t>
  </si>
  <si>
    <t>Q7R1C5</t>
  </si>
  <si>
    <t>Q7R1C6</t>
  </si>
  <si>
    <t>Q7R1C7</t>
  </si>
  <si>
    <t>Q7R1C8</t>
  </si>
  <si>
    <t>Q7R1C9</t>
  </si>
  <si>
    <t>Q7R1C10</t>
  </si>
  <si>
    <t>Q8R1C1</t>
  </si>
  <si>
    <t>2,5</t>
  </si>
  <si>
    <t>Q8R1C2</t>
  </si>
  <si>
    <t>Q8R1C3</t>
  </si>
  <si>
    <t>Q8R1C4</t>
  </si>
  <si>
    <t>Q8R1C5</t>
  </si>
  <si>
    <t>Q8R1C6</t>
  </si>
  <si>
    <t>Q8R1C7</t>
  </si>
  <si>
    <t>Q8R1C8</t>
  </si>
  <si>
    <t>Q8R1C9</t>
  </si>
  <si>
    <t>Q8R1C10</t>
  </si>
  <si>
    <t>Q9R1C1</t>
  </si>
  <si>
    <t>Q9R2C1</t>
  </si>
  <si>
    <t>Q9R3C1</t>
  </si>
  <si>
    <t>Q9R4C1</t>
  </si>
  <si>
    <t>Q9R5C1</t>
  </si>
  <si>
    <t>Q9R6C1</t>
  </si>
  <si>
    <t>Q9R7C1</t>
  </si>
  <si>
    <t>Q10R1C1</t>
  </si>
  <si>
    <t>4,1</t>
  </si>
  <si>
    <t>Q10R1C2</t>
  </si>
  <si>
    <t>Q10R1C3</t>
  </si>
  <si>
    <t>Q10R1C4</t>
  </si>
  <si>
    <t>Q10R1C5</t>
  </si>
  <si>
    <t>Q10R1C6</t>
  </si>
  <si>
    <t>Q10R1C7</t>
  </si>
  <si>
    <t>Q10R2C1</t>
  </si>
  <si>
    <t>Q10R2C2</t>
  </si>
  <si>
    <t>Q10R2C3</t>
  </si>
  <si>
    <t>Q10R2C4</t>
  </si>
  <si>
    <t>Q10R2C5</t>
  </si>
  <si>
    <t>Q10R2C6</t>
  </si>
  <si>
    <t>Q10R2C7</t>
  </si>
  <si>
    <t>Q10R3C1</t>
  </si>
  <si>
    <t>Q10R3C2</t>
  </si>
  <si>
    <t>Q10R3C3</t>
  </si>
  <si>
    <t>Q10R3C4</t>
  </si>
  <si>
    <t>Q10R3C5</t>
  </si>
  <si>
    <t>Q10R3C6</t>
  </si>
  <si>
    <t>Q10R3C7</t>
  </si>
  <si>
    <t>Q10R4C1</t>
  </si>
  <si>
    <t>Q10R4C2</t>
  </si>
  <si>
    <t>Q10R4C3</t>
  </si>
  <si>
    <t>Q10R4C4</t>
  </si>
  <si>
    <t>Q10R4C5</t>
  </si>
  <si>
    <t>Q10R4C6</t>
  </si>
  <si>
    <t>Q10R4C7</t>
  </si>
  <si>
    <t>Q10R5C1</t>
  </si>
  <si>
    <t>Q10R5C2</t>
  </si>
  <si>
    <t>Q10R5C3</t>
  </si>
  <si>
    <t>Q10R5C4</t>
  </si>
  <si>
    <t>Q10R5C5</t>
  </si>
  <si>
    <t>Q10R5C6</t>
  </si>
  <si>
    <t>Q10R5C7</t>
  </si>
  <si>
    <t>Q10R6C1</t>
  </si>
  <si>
    <t>Q10R6C2</t>
  </si>
  <si>
    <t>Q10R6C3</t>
  </si>
  <si>
    <t>Q10R6C4</t>
  </si>
  <si>
    <t>Q10R6C5</t>
  </si>
  <si>
    <t>Q10R6C6</t>
  </si>
  <si>
    <t>Q10R6C7</t>
  </si>
  <si>
    <t>Q10R7C1</t>
  </si>
  <si>
    <t>Q10R7C2</t>
  </si>
  <si>
    <t>Q10R7C3</t>
  </si>
  <si>
    <t>Q10R7C4</t>
  </si>
  <si>
    <t>Q10R7C5</t>
  </si>
  <si>
    <t>Q10R7C6</t>
  </si>
  <si>
    <t>Q10R7C7</t>
  </si>
  <si>
    <t>Q10R8C1</t>
  </si>
  <si>
    <t>Q10R8C2</t>
  </si>
  <si>
    <t>Q10R8C3</t>
  </si>
  <si>
    <t>Q10R8C4</t>
  </si>
  <si>
    <t>Q10R8C5</t>
  </si>
  <si>
    <t>Q10R8C6</t>
  </si>
  <si>
    <t>Q10R8C7</t>
  </si>
  <si>
    <t>Q10R9C1</t>
  </si>
  <si>
    <t>Q10R9C2</t>
  </si>
  <si>
    <t>Q10R9C3</t>
  </si>
  <si>
    <t>Q10R9C4</t>
  </si>
  <si>
    <t>Q10R9C5</t>
  </si>
  <si>
    <t>Q10R9C6</t>
  </si>
  <si>
    <t>Q10R9C7</t>
  </si>
  <si>
    <t>Q11R1C1</t>
  </si>
  <si>
    <t>4,2</t>
  </si>
  <si>
    <t>Q11R2C1</t>
  </si>
  <si>
    <t>Q11R3C1</t>
  </si>
  <si>
    <t>Q11R4C1</t>
  </si>
  <si>
    <t>Q11R5C1</t>
  </si>
  <si>
    <t>Q11R6C1</t>
  </si>
  <si>
    <t>Q11R7C1</t>
  </si>
  <si>
    <t>Q11R8C1</t>
  </si>
  <si>
    <t>Q11R9C1</t>
  </si>
  <si>
    <t>Q11R10C1</t>
  </si>
  <si>
    <t>Q11R11C1</t>
  </si>
  <si>
    <t>Q11R12C1</t>
  </si>
  <si>
    <t>Q11R13C1</t>
  </si>
  <si>
    <t>Q11R14C1</t>
  </si>
  <si>
    <t>Q11R15C1</t>
  </si>
  <si>
    <t>Q11R16C1</t>
  </si>
  <si>
    <t>Q11R17C1</t>
  </si>
  <si>
    <t>Q11R18C1</t>
  </si>
  <si>
    <t>Q11R19C1</t>
  </si>
  <si>
    <t>Q11R20C1</t>
  </si>
  <si>
    <t>Q11R21C1</t>
  </si>
  <si>
    <t>Q11R22C1</t>
  </si>
  <si>
    <t>Q11R23C1</t>
  </si>
  <si>
    <t>Q11R24C1</t>
  </si>
  <si>
    <t>Q11R25C1</t>
  </si>
  <si>
    <t>Q11R26C1</t>
  </si>
  <si>
    <t>Q11R27C1</t>
  </si>
  <si>
    <t>Q11R28C1</t>
  </si>
  <si>
    <t>Q11R29C1</t>
  </si>
  <si>
    <t>Q11R30C1</t>
  </si>
  <si>
    <t>Q11R31C1</t>
  </si>
  <si>
    <t>Q11R32C1</t>
  </si>
  <si>
    <t>Q11R33C1</t>
  </si>
  <si>
    <t>Q11R34C1</t>
  </si>
  <si>
    <t>Q11R35C1</t>
  </si>
  <si>
    <t>Q11R36C1</t>
  </si>
  <si>
    <t>Q11R37C1</t>
  </si>
  <si>
    <t>Q11R38C1</t>
  </si>
  <si>
    <t>Q11R39C1</t>
  </si>
  <si>
    <t>Q11R40C1</t>
  </si>
  <si>
    <t>Q11R41C1</t>
  </si>
  <si>
    <t>Q11R42C1</t>
  </si>
  <si>
    <t>Q11R43C1</t>
  </si>
  <si>
    <t>Q11R44C1</t>
  </si>
  <si>
    <t>Q11R45C1</t>
  </si>
  <si>
    <t>Q11R46C1</t>
  </si>
  <si>
    <t>Q11R47C1</t>
  </si>
  <si>
    <t>Q11R48C1</t>
  </si>
  <si>
    <t>Q11R49C1</t>
  </si>
  <si>
    <t>Q11R50C1</t>
  </si>
  <si>
    <t>Q11R51C1</t>
  </si>
  <si>
    <t>Q11R52C1</t>
  </si>
  <si>
    <t>Q11R53C1</t>
  </si>
  <si>
    <t>Q11R54C1</t>
  </si>
  <si>
    <t>Q11R55C1</t>
  </si>
  <si>
    <t>Q11R56C1</t>
  </si>
  <si>
    <t>Q11R57C1</t>
  </si>
  <si>
    <t>Q11R58C1</t>
  </si>
  <si>
    <t>Q11R59C1</t>
  </si>
  <si>
    <t>Q11R60C1</t>
  </si>
  <si>
    <t>Q11R61C1</t>
  </si>
  <si>
    <t>Q12R1C1</t>
  </si>
  <si>
    <t>4,3</t>
  </si>
  <si>
    <t>Q12R2C1</t>
  </si>
  <si>
    <t>Q12R3C1</t>
  </si>
  <si>
    <t>Q12R4C1</t>
  </si>
  <si>
    <t>Q12R5C1</t>
  </si>
  <si>
    <t>Q12R6C1</t>
  </si>
  <si>
    <t>Q12R7C1</t>
  </si>
  <si>
    <t>Q12R8C1</t>
  </si>
  <si>
    <t>Q12R9C1</t>
  </si>
  <si>
    <t>Q12R10C1</t>
  </si>
  <si>
    <t>Q12R11C1</t>
  </si>
  <si>
    <t>Q12R12C1</t>
  </si>
  <si>
    <t>Q12R13C1</t>
  </si>
  <si>
    <t>Q12R14C1</t>
  </si>
  <si>
    <t>Q12R15C1</t>
  </si>
  <si>
    <t>Q12R16C1</t>
  </si>
  <si>
    <t>Q12R17C1</t>
  </si>
  <si>
    <t>Q12R18C1</t>
  </si>
  <si>
    <t>Q12R19C1</t>
  </si>
  <si>
    <t>Q12R20C1</t>
  </si>
  <si>
    <t>Q13R1C1</t>
  </si>
  <si>
    <t>4,4</t>
  </si>
  <si>
    <t>Q13R1C2</t>
  </si>
  <si>
    <t>Q13R1C3</t>
  </si>
  <si>
    <t>Q13R1C4</t>
  </si>
  <si>
    <t>Q13R1C5</t>
  </si>
  <si>
    <t>Q13R1C6</t>
  </si>
  <si>
    <t>Q14R1C1</t>
  </si>
  <si>
    <t>4.5.1</t>
  </si>
  <si>
    <t>Q14R1C2</t>
  </si>
  <si>
    <t>Q14R1C3</t>
  </si>
  <si>
    <t>Q15R1C1</t>
  </si>
  <si>
    <t>4.5.2</t>
  </si>
  <si>
    <t>Q15R1C2</t>
  </si>
  <si>
    <t>Q15R1C3</t>
  </si>
  <si>
    <t>Q15R1C4</t>
  </si>
  <si>
    <t>Q15R1C5</t>
  </si>
  <si>
    <t>Q15R1C6</t>
  </si>
  <si>
    <t>Q15R1C7</t>
  </si>
  <si>
    <t>Q15R1C8</t>
  </si>
  <si>
    <t>Q15R1C9</t>
  </si>
  <si>
    <t>Q15R1C10</t>
  </si>
  <si>
    <t>Q15R2C1</t>
  </si>
  <si>
    <t>Q15R2C2</t>
  </si>
  <si>
    <t>Q15R2C3</t>
  </si>
  <si>
    <t>Q15R2C4</t>
  </si>
  <si>
    <t>Q15R2C5</t>
  </si>
  <si>
    <t>Q15R2C6</t>
  </si>
  <si>
    <t>Q15R2C7</t>
  </si>
  <si>
    <t>Q15R2C8</t>
  </si>
  <si>
    <t>Q15R2C9</t>
  </si>
  <si>
    <t>Q15R2C10</t>
  </si>
  <si>
    <t>Q15R3C1</t>
  </si>
  <si>
    <t>Q15R3C2</t>
  </si>
  <si>
    <t>Q15R3C3</t>
  </si>
  <si>
    <t>Q15R3C4</t>
  </si>
  <si>
    <t>Q15R3C5</t>
  </si>
  <si>
    <t>Q15R3C6</t>
  </si>
  <si>
    <t>Q15R3C7</t>
  </si>
  <si>
    <t>Q15R3C8</t>
  </si>
  <si>
    <t>Q15R3C9</t>
  </si>
  <si>
    <t>Q15R3C10</t>
  </si>
  <si>
    <t>Q15R4C1</t>
  </si>
  <si>
    <t>Q15R4C2</t>
  </si>
  <si>
    <t>Q15R4C3</t>
  </si>
  <si>
    <t>Q15R4C4</t>
  </si>
  <si>
    <t>Q15R4C5</t>
  </si>
  <si>
    <t>Q15R4C6</t>
  </si>
  <si>
    <t>Q15R4C7</t>
  </si>
  <si>
    <t>Q15R4C8</t>
  </si>
  <si>
    <t>Q15R4C9</t>
  </si>
  <si>
    <t>Q15R4C10</t>
  </si>
  <si>
    <t>Q15R5C1</t>
  </si>
  <si>
    <t>Q15R5C2</t>
  </si>
  <si>
    <t>Q15R5C3</t>
  </si>
  <si>
    <t>Q15R5C4</t>
  </si>
  <si>
    <t>Q15R5C5</t>
  </si>
  <si>
    <t>Q15R5C6</t>
  </si>
  <si>
    <t>Q15R5C7</t>
  </si>
  <si>
    <t>Q15R5C8</t>
  </si>
  <si>
    <t>Q15R5C9</t>
  </si>
  <si>
    <t>Q15R5C10</t>
  </si>
  <si>
    <t>Q15R6C1</t>
  </si>
  <si>
    <t>Q15R6C2</t>
  </si>
  <si>
    <t>Q15R6C3</t>
  </si>
  <si>
    <t>Q15R6C4</t>
  </si>
  <si>
    <t>Q15R6C5</t>
  </si>
  <si>
    <t>Q15R6C6</t>
  </si>
  <si>
    <t>Q15R6C7</t>
  </si>
  <si>
    <t>Q15R6C8</t>
  </si>
  <si>
    <t>Q15R6C9</t>
  </si>
  <si>
    <t>Q15R6C10</t>
  </si>
  <si>
    <t>Q15R7C1</t>
  </si>
  <si>
    <t>Q15R7C2</t>
  </si>
  <si>
    <t>Q15R7C3</t>
  </si>
  <si>
    <t>Q15R7C4</t>
  </si>
  <si>
    <t>Q15R7C5</t>
  </si>
  <si>
    <t>Q15R7C6</t>
  </si>
  <si>
    <t>Q15R7C7</t>
  </si>
  <si>
    <t>Q15R7C8</t>
  </si>
  <si>
    <t>Q15R7C9</t>
  </si>
  <si>
    <t>Q15R7C10</t>
  </si>
  <si>
    <t>Q16R1C1</t>
  </si>
  <si>
    <t>4.5.3</t>
  </si>
  <si>
    <t>Q16R1C2</t>
  </si>
  <si>
    <t>Q16R1C3</t>
  </si>
  <si>
    <t>Q17R1C1</t>
  </si>
  <si>
    <t>4.5.4</t>
  </si>
  <si>
    <t>Q17R1C2</t>
  </si>
  <si>
    <t>Q17R1C3</t>
  </si>
  <si>
    <t>Q17R1C4</t>
  </si>
  <si>
    <t>Q17R1C5</t>
  </si>
  <si>
    <t>Q17R1C6</t>
  </si>
  <si>
    <t>Q17R2C1</t>
  </si>
  <si>
    <t>Q17R2C2</t>
  </si>
  <si>
    <t>Q17R2C3</t>
  </si>
  <si>
    <t>Q17R2C4</t>
  </si>
  <si>
    <t>Q17R2C5</t>
  </si>
  <si>
    <t>Q17R2C6</t>
  </si>
  <si>
    <t>Q17R3C1</t>
  </si>
  <si>
    <t>Q17R3C2</t>
  </si>
  <si>
    <t>Q17R3C3</t>
  </si>
  <si>
    <t>Q17R3C4</t>
  </si>
  <si>
    <t>Q17R3C5</t>
  </si>
  <si>
    <t>Q17R3C6</t>
  </si>
  <si>
    <t>Q17R4C1</t>
  </si>
  <si>
    <t>Q17R4C2</t>
  </si>
  <si>
    <t>Q17R4C3</t>
  </si>
  <si>
    <t>Q17R4C4</t>
  </si>
  <si>
    <t>Q17R4C5</t>
  </si>
  <si>
    <t>Q17R4C6</t>
  </si>
  <si>
    <t>Q17R5C1</t>
  </si>
  <si>
    <t>Q17R5C2</t>
  </si>
  <si>
    <t>Q17R5C3</t>
  </si>
  <si>
    <t>Q17R5C4</t>
  </si>
  <si>
    <t>Q17R5C5</t>
  </si>
  <si>
    <t>Q17R5C6</t>
  </si>
  <si>
    <t>Q17R6C1</t>
  </si>
  <si>
    <t>Q17R6C2</t>
  </si>
  <si>
    <t>Q17R6C3</t>
  </si>
  <si>
    <t>Q17R6C4</t>
  </si>
  <si>
    <t>Q17R6C5</t>
  </si>
  <si>
    <t>Q17R6C6</t>
  </si>
  <si>
    <t>Q17R7C1</t>
  </si>
  <si>
    <t>Q17R7C2</t>
  </si>
  <si>
    <t>Q17R7C3</t>
  </si>
  <si>
    <t>Q17R7C4</t>
  </si>
  <si>
    <t>Q17R7C5</t>
  </si>
  <si>
    <t>Q17R7C6</t>
  </si>
  <si>
    <t>Q18R1C1</t>
  </si>
  <si>
    <t>4.5.5</t>
  </si>
  <si>
    <t>Q18R1C2</t>
  </si>
  <si>
    <t>Q18R1C3</t>
  </si>
  <si>
    <t>Q19R1C1</t>
  </si>
  <si>
    <t>4.5.6</t>
  </si>
  <si>
    <t>Q19R1C2</t>
  </si>
  <si>
    <t>Q19R1C3</t>
  </si>
  <si>
    <t>Q19R1C4</t>
  </si>
  <si>
    <t>Q19R1C5</t>
  </si>
  <si>
    <t>Q19R1C6</t>
  </si>
  <si>
    <t>Q19R2C1</t>
  </si>
  <si>
    <t>Q19R2C2</t>
  </si>
  <si>
    <t>Q19R2C3</t>
  </si>
  <si>
    <t>Q19R2C4</t>
  </si>
  <si>
    <t>Q19R2C5</t>
  </si>
  <si>
    <t>Q19R2C6</t>
  </si>
  <si>
    <t>Q19R3C1</t>
  </si>
  <si>
    <t>Q19R3C2</t>
  </si>
  <si>
    <t>Q19R3C3</t>
  </si>
  <si>
    <t>Q19R3C4</t>
  </si>
  <si>
    <t>Q19R3C5</t>
  </si>
  <si>
    <t>Q19R3C6</t>
  </si>
  <si>
    <t>Q19R4C1</t>
  </si>
  <si>
    <t>Q19R4C2</t>
  </si>
  <si>
    <t>Q19R4C3</t>
  </si>
  <si>
    <t>Q19R4C4</t>
  </si>
  <si>
    <t>Q19R4C5</t>
  </si>
  <si>
    <t>Q19R4C6</t>
  </si>
  <si>
    <t>Q19R5C1</t>
  </si>
  <si>
    <t>Q19R5C2</t>
  </si>
  <si>
    <t>Q19R5C3</t>
  </si>
  <si>
    <t>Q19R5C4</t>
  </si>
  <si>
    <t>Q19R5C5</t>
  </si>
  <si>
    <t>Q19R5C6</t>
  </si>
  <si>
    <t>Q19R6C1</t>
  </si>
  <si>
    <t>Q19R6C2</t>
  </si>
  <si>
    <t>Q19R6C3</t>
  </si>
  <si>
    <t>Q19R6C4</t>
  </si>
  <si>
    <t>Q19R6C5</t>
  </si>
  <si>
    <t>Q19R6C6</t>
  </si>
  <si>
    <t>Q19R7C1</t>
  </si>
  <si>
    <t>Q19R7C2</t>
  </si>
  <si>
    <t>Q19R7C3</t>
  </si>
  <si>
    <t>Q19R7C4</t>
  </si>
  <si>
    <t>Q19R7C5</t>
  </si>
  <si>
    <t>Q19R7C6</t>
  </si>
  <si>
    <t>Q20R1C1</t>
  </si>
  <si>
    <t>4.5.7</t>
  </si>
  <si>
    <t>Q20R1C2</t>
  </si>
  <si>
    <t>Q20R1C3</t>
  </si>
  <si>
    <t>Q20R2C1</t>
  </si>
  <si>
    <t>Q20R2C2</t>
  </si>
  <si>
    <t>Q20R2C3</t>
  </si>
  <si>
    <t>Q20R3C1</t>
  </si>
  <si>
    <t>Q20R3C2</t>
  </si>
  <si>
    <t>Q20R3C3</t>
  </si>
  <si>
    <t>Q20R4C1</t>
  </si>
  <si>
    <t>Q20R4C2</t>
  </si>
  <si>
    <t>Q20R4C3</t>
  </si>
  <si>
    <t>Q20R5C1</t>
  </si>
  <si>
    <t>Q20R5C2</t>
  </si>
  <si>
    <t>Q20R5C3</t>
  </si>
  <si>
    <t>Q20R6C1</t>
  </si>
  <si>
    <t>Q20R6C2</t>
  </si>
  <si>
    <t>Q20R6C3</t>
  </si>
  <si>
    <t>Q20R7C1</t>
  </si>
  <si>
    <t>Q20R7C2</t>
  </si>
  <si>
    <t>Q20R7C3</t>
  </si>
  <si>
    <t>Q21R1C1</t>
  </si>
  <si>
    <t>4.6.1</t>
  </si>
  <si>
    <t>Q21R2C1</t>
  </si>
  <si>
    <t>Q22R1C1</t>
  </si>
  <si>
    <t>4.7.1</t>
  </si>
  <si>
    <t>Q22R1C2</t>
  </si>
  <si>
    <t>Q22R1C3</t>
  </si>
  <si>
    <t>Q22R1C4</t>
  </si>
  <si>
    <t>Q22R1C5</t>
  </si>
  <si>
    <t>Q23R1C1</t>
  </si>
  <si>
    <t>4.7.2</t>
  </si>
  <si>
    <t>Q23R1C2</t>
  </si>
  <si>
    <t>Q23R2C1</t>
  </si>
  <si>
    <t>Q23R2C2</t>
  </si>
  <si>
    <t>Q23R3C1</t>
  </si>
  <si>
    <t>Q23R3C2</t>
  </si>
  <si>
    <t>Q23R4C1</t>
  </si>
  <si>
    <t>Q23R4C2</t>
  </si>
  <si>
    <t>Q23R5C1</t>
  </si>
  <si>
    <t>Q23R5C2</t>
  </si>
  <si>
    <t>Q23R6C1</t>
  </si>
  <si>
    <t>Q23R6C2</t>
  </si>
  <si>
    <t>Q23R7C1</t>
  </si>
  <si>
    <t>Q23R7C2</t>
  </si>
  <si>
    <t>Q24R1C1</t>
  </si>
  <si>
    <t>4,8</t>
  </si>
  <si>
    <t>Q24R1C2</t>
  </si>
  <si>
    <t>Q24R2C1</t>
  </si>
  <si>
    <t>Q24R2C2</t>
  </si>
  <si>
    <t>Q25R1C1</t>
  </si>
  <si>
    <t>5,1</t>
  </si>
  <si>
    <t>Q25R1C2</t>
  </si>
  <si>
    <t>Q25R1C3</t>
  </si>
  <si>
    <t>Q25R1C4</t>
  </si>
  <si>
    <t>Q25R2C1</t>
  </si>
  <si>
    <t>Q25R2C2</t>
  </si>
  <si>
    <t>Q25R2C3</t>
  </si>
  <si>
    <t>Q25R2C4</t>
  </si>
  <si>
    <t>Q25R3C1</t>
  </si>
  <si>
    <t>Q25R3C2</t>
  </si>
  <si>
    <t>Q25R3C3</t>
  </si>
  <si>
    <t>Q25R3C4</t>
  </si>
  <si>
    <t>Q25R4C1</t>
  </si>
  <si>
    <t>Q25R4C2</t>
  </si>
  <si>
    <t>Q25R4C3</t>
  </si>
  <si>
    <t>Q25R4C4</t>
  </si>
  <si>
    <t>Q25R5C1</t>
  </si>
  <si>
    <t>Q25R5C2</t>
  </si>
  <si>
    <t>Q25R5C3</t>
  </si>
  <si>
    <t>Q25R5C4</t>
  </si>
  <si>
    <t>Q25R6C1</t>
  </si>
  <si>
    <t>Q25R6C2</t>
  </si>
  <si>
    <t>Q25R6C3</t>
  </si>
  <si>
    <t>Q25R6C4</t>
  </si>
  <si>
    <t>Q25R7C1</t>
  </si>
  <si>
    <t>Q25R7C2</t>
  </si>
  <si>
    <t>Q25R7C3</t>
  </si>
  <si>
    <t>Q25R7C4</t>
  </si>
  <si>
    <t>Q26R1C1</t>
  </si>
  <si>
    <t>5,2</t>
  </si>
  <si>
    <t>Q26R1C2</t>
  </si>
  <si>
    <t>Q26R1C3</t>
  </si>
  <si>
    <t>Q26R1C4</t>
  </si>
  <si>
    <t>Q26R2C1</t>
  </si>
  <si>
    <t>Q26R2C2</t>
  </si>
  <si>
    <t>Q26R2C3</t>
  </si>
  <si>
    <t>Q26R2C4</t>
  </si>
  <si>
    <t>Q26R3C1</t>
  </si>
  <si>
    <t>Q26R3C2</t>
  </si>
  <si>
    <t>Q26R3C3</t>
  </si>
  <si>
    <t>Q26R3C4</t>
  </si>
  <si>
    <t>Q26R4C1</t>
  </si>
  <si>
    <t>Q26R4C2</t>
  </si>
  <si>
    <t>Q26R4C3</t>
  </si>
  <si>
    <t>Q26R4C4</t>
  </si>
  <si>
    <t>Q26R5C1</t>
  </si>
  <si>
    <t>Q26R5C2</t>
  </si>
  <si>
    <t>Q26R5C3</t>
  </si>
  <si>
    <t>Q26R5C4</t>
  </si>
  <si>
    <t>Q26R6C1</t>
  </si>
  <si>
    <t>Q26R6C2</t>
  </si>
  <si>
    <t>Q26R6C3</t>
  </si>
  <si>
    <t>Q26R6C4</t>
  </si>
  <si>
    <t>Q27R1C1</t>
  </si>
  <si>
    <t>Q27R1C2</t>
  </si>
  <si>
    <t>Q27R1C3</t>
  </si>
  <si>
    <t>Q27R1C4</t>
  </si>
  <si>
    <t>Q27R1C5</t>
  </si>
  <si>
    <t>Q27R1C6</t>
  </si>
  <si>
    <t>Q27R2C1</t>
  </si>
  <si>
    <t>Q27R2C2</t>
  </si>
  <si>
    <t>Q27R2C3</t>
  </si>
  <si>
    <t>Q27R2C4</t>
  </si>
  <si>
    <t>Q27R2C5</t>
  </si>
  <si>
    <t>Q27R2C6</t>
  </si>
  <si>
    <t>Q28R1C1</t>
  </si>
  <si>
    <t>7,1</t>
  </si>
  <si>
    <t>Q28R1C2</t>
  </si>
  <si>
    <t>Q28R1C3</t>
  </si>
  <si>
    <t>Q28R1C4</t>
  </si>
  <si>
    <t>Q28R2C1</t>
  </si>
  <si>
    <t>Q28R2C2</t>
  </si>
  <si>
    <t>Q28R2C3</t>
  </si>
  <si>
    <t>Q28R2C4</t>
  </si>
  <si>
    <t>Q28R3C1</t>
  </si>
  <si>
    <t>Q28R3C2</t>
  </si>
  <si>
    <t>Q28R3C3</t>
  </si>
  <si>
    <t>Q28R3C4</t>
  </si>
  <si>
    <t>Q28R4C1</t>
  </si>
  <si>
    <t>Q28R4C2</t>
  </si>
  <si>
    <t>Q28R4C3</t>
  </si>
  <si>
    <t>Q28R4C4</t>
  </si>
  <si>
    <t>Q28R5C1</t>
  </si>
  <si>
    <t>Q28R5C2</t>
  </si>
  <si>
    <t>Q28R5C3</t>
  </si>
  <si>
    <t>Q28R5C4</t>
  </si>
  <si>
    <t>Q29R1C1</t>
  </si>
  <si>
    <t>7,2</t>
  </si>
  <si>
    <t>Q29R1C2</t>
  </si>
  <si>
    <t>Q29R1C3</t>
  </si>
  <si>
    <t>Q29R1C4</t>
  </si>
  <si>
    <t>Q29R1C5</t>
  </si>
  <si>
    <t>Q29R1C6</t>
  </si>
  <si>
    <t>Q29R1C7</t>
  </si>
  <si>
    <t>Q29R2C1</t>
  </si>
  <si>
    <t>Q29R2C2</t>
  </si>
  <si>
    <t>Q29R2C3</t>
  </si>
  <si>
    <t>Q29R2C4</t>
  </si>
  <si>
    <t>Q29R2C5</t>
  </si>
  <si>
    <t>Q29R2C6</t>
  </si>
  <si>
    <t>Q29R2C7</t>
  </si>
  <si>
    <t>Q29R3C1</t>
  </si>
  <si>
    <t>Q29R3C2</t>
  </si>
  <si>
    <t>Q29R3C3</t>
  </si>
  <si>
    <t>Q29R3C4</t>
  </si>
  <si>
    <t>Q29R3C5</t>
  </si>
  <si>
    <t>Q29R3C6</t>
  </si>
  <si>
    <t>Q29R3C7</t>
  </si>
  <si>
    <t>Q29R4C1</t>
  </si>
  <si>
    <t>Q29R4C2</t>
  </si>
  <si>
    <t>Q29R4C3</t>
  </si>
  <si>
    <t>Q29R4C4</t>
  </si>
  <si>
    <t>Q29R4C5</t>
  </si>
  <si>
    <t>Q29R4C6</t>
  </si>
  <si>
    <t>Q29R4C7</t>
  </si>
  <si>
    <t>Q29R5C1</t>
  </si>
  <si>
    <t>Q29R5C2</t>
  </si>
  <si>
    <t>Q29R5C3</t>
  </si>
  <si>
    <t>Q29R5C4</t>
  </si>
  <si>
    <t>Q29R5C5</t>
  </si>
  <si>
    <t>Q29R5C6</t>
  </si>
  <si>
    <t>Q29R5C7</t>
  </si>
  <si>
    <t>Q29R6C1</t>
  </si>
  <si>
    <t>Q29R6C2</t>
  </si>
  <si>
    <t>Q29R6C3</t>
  </si>
  <si>
    <t>Q29R6C4</t>
  </si>
  <si>
    <t>Q29R6C5</t>
  </si>
  <si>
    <t>Q29R6C6</t>
  </si>
  <si>
    <t>Q29R6C7</t>
  </si>
  <si>
    <t>Q30R1C1</t>
  </si>
  <si>
    <t>7,3</t>
  </si>
  <si>
    <t>Q30R1C2</t>
  </si>
  <si>
    <t>Q30R1C3</t>
  </si>
  <si>
    <t>Q30R1C4</t>
  </si>
  <si>
    <t>Q30R1C5</t>
  </si>
  <si>
    <t>Q30R1C6</t>
  </si>
  <si>
    <t>Q30R1C7</t>
  </si>
  <si>
    <t>Q30R2C1</t>
  </si>
  <si>
    <t>Q30R2C2</t>
  </si>
  <si>
    <t>Q30R2C3</t>
  </si>
  <si>
    <t>Q30R2C4</t>
  </si>
  <si>
    <t>Q30R2C5</t>
  </si>
  <si>
    <t>Q30R2C6</t>
  </si>
  <si>
    <t>Q30R2C7</t>
  </si>
  <si>
    <t>Q30R3C1</t>
  </si>
  <si>
    <t>Q30R3C2</t>
  </si>
  <si>
    <t>Q30R3C3</t>
  </si>
  <si>
    <t>Q30R3C4</t>
  </si>
  <si>
    <t>Q30R3C5</t>
  </si>
  <si>
    <t>Q30R3C6</t>
  </si>
  <si>
    <t>Q30R3C7</t>
  </si>
  <si>
    <t>Q30R4C1</t>
  </si>
  <si>
    <t>Q30R4C2</t>
  </si>
  <si>
    <t>Q30R4C3</t>
  </si>
  <si>
    <t>Q30R4C4</t>
  </si>
  <si>
    <t>Q30R4C5</t>
  </si>
  <si>
    <t>Q30R4C6</t>
  </si>
  <si>
    <t>Q30R4C7</t>
  </si>
  <si>
    <t>Q30R5C1</t>
  </si>
  <si>
    <t>Q30R5C2</t>
  </si>
  <si>
    <t>Q30R5C3</t>
  </si>
  <si>
    <t>Q30R5C4</t>
  </si>
  <si>
    <t>Q30R5C5</t>
  </si>
  <si>
    <t>Q30R5C6</t>
  </si>
  <si>
    <t>Q30R5C7</t>
  </si>
  <si>
    <t>Q30R6C1</t>
  </si>
  <si>
    <t>Q30R6C2</t>
  </si>
  <si>
    <t>Q30R6C3</t>
  </si>
  <si>
    <t>Q30R6C4</t>
  </si>
  <si>
    <t>Q30R6C5</t>
  </si>
  <si>
    <t>Q30R6C6</t>
  </si>
  <si>
    <t>Q30R6C7</t>
  </si>
  <si>
    <t>Q31R1C1</t>
  </si>
  <si>
    <t>8,1</t>
  </si>
  <si>
    <t>Q31R1C2</t>
  </si>
  <si>
    <t>Q31R1C3</t>
  </si>
  <si>
    <t>Q31R1C4</t>
  </si>
  <si>
    <t>Q31R1C5</t>
  </si>
  <si>
    <t>Q31R1C6</t>
  </si>
  <si>
    <t>Q31R1C7</t>
  </si>
  <si>
    <t>Q31R1C8</t>
  </si>
  <si>
    <t>Q31R1C9</t>
  </si>
  <si>
    <t>Q31R1C10</t>
  </si>
  <si>
    <t>Q31R2C1</t>
  </si>
  <si>
    <t>Q31R2C2</t>
  </si>
  <si>
    <t>Q31R2C3</t>
  </si>
  <si>
    <t>Q31R2C4</t>
  </si>
  <si>
    <t>Q31R2C5</t>
  </si>
  <si>
    <t>Q31R2C6</t>
  </si>
  <si>
    <t>Q31R2C7</t>
  </si>
  <si>
    <t>Q31R2C8</t>
  </si>
  <si>
    <t>Q31R2C9</t>
  </si>
  <si>
    <t>Q31R2C10</t>
  </si>
  <si>
    <t>Q31R3C1</t>
  </si>
  <si>
    <t>Q31R3C2</t>
  </si>
  <si>
    <t>Q31R3C3</t>
  </si>
  <si>
    <t>Q31R3C4</t>
  </si>
  <si>
    <t>Q31R3C5</t>
  </si>
  <si>
    <t>Q31R3C6</t>
  </si>
  <si>
    <t>Q31R3C7</t>
  </si>
  <si>
    <t>Q31R3C8</t>
  </si>
  <si>
    <t>Q31R3C9</t>
  </si>
  <si>
    <t>Q31R3C10</t>
  </si>
  <si>
    <t>Q31R4C1</t>
  </si>
  <si>
    <t>Q31R4C2</t>
  </si>
  <si>
    <t>Q31R4C3</t>
  </si>
  <si>
    <t>Q31R4C4</t>
  </si>
  <si>
    <t>Q31R4C5</t>
  </si>
  <si>
    <t>Q31R4C6</t>
  </si>
  <si>
    <t>Q31R4C7</t>
  </si>
  <si>
    <t>Q31R4C8</t>
  </si>
  <si>
    <t>Q31R4C9</t>
  </si>
  <si>
    <t>Q31R4C10</t>
  </si>
  <si>
    <t>Q31R5C1</t>
  </si>
  <si>
    <t>Q31R5C2</t>
  </si>
  <si>
    <t>Q31R5C3</t>
  </si>
  <si>
    <t>Q31R5C4</t>
  </si>
  <si>
    <t>Q31R5C5</t>
  </si>
  <si>
    <t>Q31R5C6</t>
  </si>
  <si>
    <t>Q31R5C7</t>
  </si>
  <si>
    <t>Q31R5C8</t>
  </si>
  <si>
    <t>Q31R5C9</t>
  </si>
  <si>
    <t>Q31R5C10</t>
  </si>
  <si>
    <t>Q31R6C1</t>
  </si>
  <si>
    <t>Q31R6C2</t>
  </si>
  <si>
    <t>Q31R6C3</t>
  </si>
  <si>
    <t>Q31R6C4</t>
  </si>
  <si>
    <t>Q31R6C5</t>
  </si>
  <si>
    <t>Q31R6C6</t>
  </si>
  <si>
    <t>Q31R6C7</t>
  </si>
  <si>
    <t>Q31R6C8</t>
  </si>
  <si>
    <t>Q31R6C9</t>
  </si>
  <si>
    <t>Q31R6C10</t>
  </si>
  <si>
    <t>Q31R7C1</t>
  </si>
  <si>
    <t>Q31R7C2</t>
  </si>
  <si>
    <t>Q31R7C3</t>
  </si>
  <si>
    <t>Q31R7C4</t>
  </si>
  <si>
    <t>Q31R7C5</t>
  </si>
  <si>
    <t>Q31R7C6</t>
  </si>
  <si>
    <t>Q31R7C7</t>
  </si>
  <si>
    <t>Q31R7C8</t>
  </si>
  <si>
    <t>Q31R7C9</t>
  </si>
  <si>
    <t>Q31R7C10</t>
  </si>
  <si>
    <t>Q32R1C1</t>
  </si>
  <si>
    <t>8,2</t>
  </si>
  <si>
    <t>Q32R1C2</t>
  </si>
  <si>
    <t>Q32R1C3</t>
  </si>
  <si>
    <t>Q32R1C4</t>
  </si>
  <si>
    <t>Q32R1C5</t>
  </si>
  <si>
    <t>Q32R1C6</t>
  </si>
  <si>
    <t>Q32R1C7</t>
  </si>
  <si>
    <t>Q32R1C8</t>
  </si>
  <si>
    <t>Q32R1C9</t>
  </si>
  <si>
    <t>Q32R1C10</t>
  </si>
  <si>
    <t>Q32R2C1</t>
  </si>
  <si>
    <t>Q32R2C2</t>
  </si>
  <si>
    <t>Q32R2C3</t>
  </si>
  <si>
    <t>Q32R2C4</t>
  </si>
  <si>
    <t>Q32R2C5</t>
  </si>
  <si>
    <t>Q32R2C6</t>
  </si>
  <si>
    <t>Q32R2C7</t>
  </si>
  <si>
    <t>Q32R2C8</t>
  </si>
  <si>
    <t>Q32R2C9</t>
  </si>
  <si>
    <t>Q32R2C10</t>
  </si>
  <si>
    <t>Q32R3C1</t>
  </si>
  <si>
    <t>Q32R3C2</t>
  </si>
  <si>
    <t>Q32R3C3</t>
  </si>
  <si>
    <t>Q32R3C4</t>
  </si>
  <si>
    <t>Q32R3C5</t>
  </si>
  <si>
    <t>Q32R3C6</t>
  </si>
  <si>
    <t>Q32R3C7</t>
  </si>
  <si>
    <t>Q32R3C8</t>
  </si>
  <si>
    <t>Q32R3C9</t>
  </si>
  <si>
    <t>Q32R3C10</t>
  </si>
  <si>
    <t>Q32R4C1</t>
  </si>
  <si>
    <t>Q32R4C2</t>
  </si>
  <si>
    <t>Q32R4C3</t>
  </si>
  <si>
    <t>Q32R4C4</t>
  </si>
  <si>
    <t>Q32R4C5</t>
  </si>
  <si>
    <t>Q32R4C6</t>
  </si>
  <si>
    <t>Q32R4C7</t>
  </si>
  <si>
    <t>Q32R4C8</t>
  </si>
  <si>
    <t>Q32R4C9</t>
  </si>
  <si>
    <t>Q32R4C10</t>
  </si>
  <si>
    <t>Q32R5C1</t>
  </si>
  <si>
    <t>Q32R5C2</t>
  </si>
  <si>
    <t>Q32R5C3</t>
  </si>
  <si>
    <t>Q32R5C4</t>
  </si>
  <si>
    <t>Q32R5C5</t>
  </si>
  <si>
    <t>Q32R5C6</t>
  </si>
  <si>
    <t>Q32R5C7</t>
  </si>
  <si>
    <t>Q32R5C8</t>
  </si>
  <si>
    <t>Q32R5C9</t>
  </si>
  <si>
    <t>Q32R5C10</t>
  </si>
  <si>
    <t>Q32R6C1</t>
  </si>
  <si>
    <t>Q32R6C2</t>
  </si>
  <si>
    <t>Q32R6C3</t>
  </si>
  <si>
    <t>Q32R6C4</t>
  </si>
  <si>
    <t>Q32R6C5</t>
  </si>
  <si>
    <t>Q32R6C6</t>
  </si>
  <si>
    <t>Q32R6C7</t>
  </si>
  <si>
    <t>Q32R6C8</t>
  </si>
  <si>
    <t>Q32R6C9</t>
  </si>
  <si>
    <t>Q32R6C10</t>
  </si>
  <si>
    <t>Q32R7C1</t>
  </si>
  <si>
    <t>Q32R7C2</t>
  </si>
  <si>
    <t>Q32R7C3</t>
  </si>
  <si>
    <t>Q32R7C4</t>
  </si>
  <si>
    <t>Q32R7C5</t>
  </si>
  <si>
    <t>Q32R7C6</t>
  </si>
  <si>
    <t>Q32R7C7</t>
  </si>
  <si>
    <t>Q32R7C8</t>
  </si>
  <si>
    <t>Q32R7C9</t>
  </si>
  <si>
    <t>Q32R7C10</t>
  </si>
  <si>
    <t>Q33R1C1</t>
  </si>
  <si>
    <t>9,1</t>
  </si>
  <si>
    <t>Q33R1C2</t>
  </si>
  <si>
    <t>Q33R1C3</t>
  </si>
  <si>
    <t>Q34R1C1</t>
  </si>
  <si>
    <t>9,2</t>
  </si>
  <si>
    <t>Q34R1C2</t>
  </si>
  <si>
    <t>Q34R1C3</t>
  </si>
  <si>
    <t>Q34R1C4</t>
  </si>
  <si>
    <t>Q34R1C5</t>
  </si>
  <si>
    <t>Q34R1C6</t>
  </si>
  <si>
    <t>Q35R1C1</t>
  </si>
  <si>
    <t>10,1</t>
  </si>
  <si>
    <t>Q35R1C2</t>
  </si>
  <si>
    <t>Q35R1C3</t>
  </si>
  <si>
    <t>Q35R1C4</t>
  </si>
  <si>
    <t>Q36R1C1</t>
  </si>
  <si>
    <t>10,2</t>
  </si>
  <si>
    <t>Q37R1C1</t>
  </si>
  <si>
    <t>11,1</t>
  </si>
  <si>
    <t>Q37R2C1</t>
  </si>
  <si>
    <t>Q37R3C1</t>
  </si>
  <si>
    <t>Q37R4C1</t>
  </si>
  <si>
    <t>Q37R5C1</t>
  </si>
  <si>
    <t>Q38R1C1</t>
  </si>
  <si>
    <t>11,2</t>
  </si>
  <si>
    <t>Q38R2C1</t>
  </si>
  <si>
    <t>Q38R3C1</t>
  </si>
  <si>
    <t>Q38R4C1</t>
  </si>
  <si>
    <t>Q38R5C1</t>
  </si>
  <si>
    <t>Q5R1C2</t>
  </si>
  <si>
    <t>Q5R1C3</t>
  </si>
  <si>
    <t>Q5R1C4</t>
  </si>
  <si>
    <t>Q5R1C5</t>
  </si>
  <si>
    <t>Q5R1C6</t>
  </si>
  <si>
    <t>Q5R1C7</t>
  </si>
  <si>
    <t>Q6R1C8</t>
  </si>
  <si>
    <t>Q6R1C9</t>
  </si>
  <si>
    <t>Q6R1C10</t>
  </si>
  <si>
    <t>3,1</t>
  </si>
  <si>
    <t>Q7R2C1</t>
  </si>
  <si>
    <t>Q7R2C2</t>
  </si>
  <si>
    <t>Q7R2C3</t>
  </si>
  <si>
    <t>Q7R2C4</t>
  </si>
  <si>
    <t>Q7R2C5</t>
  </si>
  <si>
    <t>Q7R2C6</t>
  </si>
  <si>
    <t>Q7R3C7</t>
  </si>
  <si>
    <t>Q7R3C1</t>
  </si>
  <si>
    <t>Q7R3C2</t>
  </si>
  <si>
    <t>Q7R3C3</t>
  </si>
  <si>
    <t>Q7R3C4</t>
  </si>
  <si>
    <t>Q7R3C5</t>
  </si>
  <si>
    <t>Q7R3C6</t>
  </si>
  <si>
    <t>Q7R4C1</t>
  </si>
  <si>
    <t>Q7R4C2</t>
  </si>
  <si>
    <t>Q7R4C3</t>
  </si>
  <si>
    <t>Q7R4C4</t>
  </si>
  <si>
    <t>Q7R4C5</t>
  </si>
  <si>
    <t>Q7R4C6</t>
  </si>
  <si>
    <t>Q7R4C7</t>
  </si>
  <si>
    <t>Q7R5C1</t>
  </si>
  <si>
    <t>Q7R5C2</t>
  </si>
  <si>
    <t>Q7R5C3</t>
  </si>
  <si>
    <t>Q7R5C4</t>
  </si>
  <si>
    <t>Q7R5C5</t>
  </si>
  <si>
    <t>Q7R5C6</t>
  </si>
  <si>
    <t>Q7R5C7</t>
  </si>
  <si>
    <t>Q7R6C1</t>
  </si>
  <si>
    <t>Q7R6C2</t>
  </si>
  <si>
    <t>Q7R6C3</t>
  </si>
  <si>
    <t>Q7R6C4</t>
  </si>
  <si>
    <t>Q7R6C5</t>
  </si>
  <si>
    <t>Q7R6C6</t>
  </si>
  <si>
    <t>Q7R6C7</t>
  </si>
  <si>
    <t>Q7R7C1</t>
  </si>
  <si>
    <t>Q7R7C2</t>
  </si>
  <si>
    <t>Q7R7C3</t>
  </si>
  <si>
    <t>Q7R7C4</t>
  </si>
  <si>
    <t>Q7R7C5</t>
  </si>
  <si>
    <t>Q7R7C6</t>
  </si>
  <si>
    <t>Q7R7C7</t>
  </si>
  <si>
    <t>3,2</t>
  </si>
  <si>
    <t>Q8R2C1</t>
  </si>
  <si>
    <t>Q8R3C1</t>
  </si>
  <si>
    <t>Q8R4C1</t>
  </si>
  <si>
    <t>Q8R5C1</t>
  </si>
  <si>
    <t>Q8R6C1</t>
  </si>
  <si>
    <t>Q8R7C1</t>
  </si>
  <si>
    <t>Q8R8C1</t>
  </si>
  <si>
    <t>Q8R9C1</t>
  </si>
  <si>
    <t>Q8R10C1</t>
  </si>
  <si>
    <t>Q8R11C1</t>
  </si>
  <si>
    <t>Q8R12C1</t>
  </si>
  <si>
    <t>Q8R13C1</t>
  </si>
  <si>
    <t>Q8R14C1</t>
  </si>
  <si>
    <t>Q8R15C1</t>
  </si>
  <si>
    <t>Q8R16C1</t>
  </si>
  <si>
    <t>Q8R17C1</t>
  </si>
  <si>
    <t>Q8R18C1</t>
  </si>
  <si>
    <t>Q8R19C1</t>
  </si>
  <si>
    <t>Q8R20C1</t>
  </si>
  <si>
    <t>Q8R21C1</t>
  </si>
  <si>
    <t>Q8R22C1</t>
  </si>
  <si>
    <t>Q8R23C1</t>
  </si>
  <si>
    <t>Q8R24C1</t>
  </si>
  <si>
    <t>Q8R25C1</t>
  </si>
  <si>
    <t>Q8R26C1</t>
  </si>
  <si>
    <t>Q8R27C1</t>
  </si>
  <si>
    <t>Q8R28C1</t>
  </si>
  <si>
    <t>3,3</t>
  </si>
  <si>
    <t>Q9R8C1</t>
  </si>
  <si>
    <t>Q9R9C1</t>
  </si>
  <si>
    <t>Q9R10C1</t>
  </si>
  <si>
    <t>Q9R11C1</t>
  </si>
  <si>
    <t>3,4</t>
  </si>
  <si>
    <t>3.5.1</t>
  </si>
  <si>
    <t>Q11R1C2</t>
  </si>
  <si>
    <t>Q11R1C3</t>
  </si>
  <si>
    <t>3.5.2</t>
  </si>
  <si>
    <t>Q12R1C2</t>
  </si>
  <si>
    <t>Q12R1C3</t>
  </si>
  <si>
    <t>Q12R1C4</t>
  </si>
  <si>
    <t>Q12R1C5</t>
  </si>
  <si>
    <t>Q12R1C6</t>
  </si>
  <si>
    <t>Q12R1C7</t>
  </si>
  <si>
    <t>Q12R1C8</t>
  </si>
  <si>
    <t>Q12R1C9</t>
  </si>
  <si>
    <t>Q12R1C10</t>
  </si>
  <si>
    <t>Q12R2C2</t>
  </si>
  <si>
    <t>Q12R2C3</t>
  </si>
  <si>
    <t>Q12R2C4</t>
  </si>
  <si>
    <t>Q12R2C5</t>
  </si>
  <si>
    <t>Q12R2C6</t>
  </si>
  <si>
    <t>Q12R2C7</t>
  </si>
  <si>
    <t>Q12R2C8</t>
  </si>
  <si>
    <t>Q12R2C9</t>
  </si>
  <si>
    <t>Q12R2C10</t>
  </si>
  <si>
    <t>Q12R3C2</t>
  </si>
  <si>
    <t>Q12R3C3</t>
  </si>
  <si>
    <t>Q12R3C4</t>
  </si>
  <si>
    <t>Q12R3C5</t>
  </si>
  <si>
    <t>Q12R3C6</t>
  </si>
  <si>
    <t>Q12R3C7</t>
  </si>
  <si>
    <t>Q12R3C8</t>
  </si>
  <si>
    <t>Q12R3C9</t>
  </si>
  <si>
    <t>Q12R3C10</t>
  </si>
  <si>
    <t>Q12R4C2</t>
  </si>
  <si>
    <t>Q12R4C3</t>
  </si>
  <si>
    <t>Q12R4C4</t>
  </si>
  <si>
    <t>Q12R4C5</t>
  </si>
  <si>
    <t>Q12R4C6</t>
  </si>
  <si>
    <t>Q12R4C7</t>
  </si>
  <si>
    <t>Q12R4C8</t>
  </si>
  <si>
    <t>Q12R4C9</t>
  </si>
  <si>
    <t>Q12R4C10</t>
  </si>
  <si>
    <t>Q12R5C2</t>
  </si>
  <si>
    <t>Q12R5C3</t>
  </si>
  <si>
    <t>Q12R5C4</t>
  </si>
  <si>
    <t>Q12R5C5</t>
  </si>
  <si>
    <t>Q12R5C6</t>
  </si>
  <si>
    <t>Q12R5C7</t>
  </si>
  <si>
    <t>Q12R5C8</t>
  </si>
  <si>
    <t>Q12R5C9</t>
  </si>
  <si>
    <t>Q12R5C10</t>
  </si>
  <si>
    <t>Q12R6C2</t>
  </si>
  <si>
    <t>Q12R6C3</t>
  </si>
  <si>
    <t>Q12R6C4</t>
  </si>
  <si>
    <t>Q12R6C5</t>
  </si>
  <si>
    <t>Q12R6C6</t>
  </si>
  <si>
    <t>Q12R6C7</t>
  </si>
  <si>
    <t>Q12R6C8</t>
  </si>
  <si>
    <t>Q12R6C9</t>
  </si>
  <si>
    <t>Q12R6C10</t>
  </si>
  <si>
    <t>3.5.3</t>
  </si>
  <si>
    <t>3.5.4</t>
  </si>
  <si>
    <t>Q14R1C4</t>
  </si>
  <si>
    <t>Q14R1C5</t>
  </si>
  <si>
    <t>Q14R1C6</t>
  </si>
  <si>
    <t>Q14R2C1</t>
  </si>
  <si>
    <t>Q14R2C2</t>
  </si>
  <si>
    <t>Q14R2C3</t>
  </si>
  <si>
    <t>Q14R2C4</t>
  </si>
  <si>
    <t>Q14R2C5</t>
  </si>
  <si>
    <t>Q14R2C6</t>
  </si>
  <si>
    <t>Q14R3C1</t>
  </si>
  <si>
    <t>Q14R3C2</t>
  </si>
  <si>
    <t>Q14R3C3</t>
  </si>
  <si>
    <t>Q14R3C4</t>
  </si>
  <si>
    <t>Q14R3C5</t>
  </si>
  <si>
    <t>Q14R3C6</t>
  </si>
  <si>
    <t>Q14R4C1</t>
  </si>
  <si>
    <t>Q14R4C2</t>
  </si>
  <si>
    <t>Q14R4C3</t>
  </si>
  <si>
    <t>Q14R4C4</t>
  </si>
  <si>
    <t>Q14R4C5</t>
  </si>
  <si>
    <t>Q14R4C6</t>
  </si>
  <si>
    <t>Q14R5C1</t>
  </si>
  <si>
    <t>Q14R5C2</t>
  </si>
  <si>
    <t>Q14R5C3</t>
  </si>
  <si>
    <t>Q14R5C4</t>
  </si>
  <si>
    <t>Q14R5C5</t>
  </si>
  <si>
    <t>Q14R5C6</t>
  </si>
  <si>
    <t>Q14R6C1</t>
  </si>
  <si>
    <t>Q14R6C2</t>
  </si>
  <si>
    <t>Q14R6C3</t>
  </si>
  <si>
    <t>Q14R6C4</t>
  </si>
  <si>
    <t>Q14R6C5</t>
  </si>
  <si>
    <t>Q14R6C6</t>
  </si>
  <si>
    <t>3.5.5</t>
  </si>
  <si>
    <t>3.5.6</t>
  </si>
  <si>
    <t>Q16R1C4</t>
  </si>
  <si>
    <t>Q16R1C5</t>
  </si>
  <si>
    <t>Q16R1C6</t>
  </si>
  <si>
    <t>Q16R2C1</t>
  </si>
  <si>
    <t>Q16R2C2</t>
  </si>
  <si>
    <t>Q16R2C3</t>
  </si>
  <si>
    <t>Q16R2C4</t>
  </si>
  <si>
    <t>Q16R2C5</t>
  </si>
  <si>
    <t>Q16R2C6</t>
  </si>
  <si>
    <t>Q16R3C1</t>
  </si>
  <si>
    <t>Q16R3C2</t>
  </si>
  <si>
    <t>Q16R3C3</t>
  </si>
  <si>
    <t>Q16R3C4</t>
  </si>
  <si>
    <t>Q16R3C5</t>
  </si>
  <si>
    <t>Q16R3C6</t>
  </si>
  <si>
    <t>Q16R4C1</t>
  </si>
  <si>
    <t>Q16R4C2</t>
  </si>
  <si>
    <t>Q16R4C3</t>
  </si>
  <si>
    <t>Q16R4C4</t>
  </si>
  <si>
    <t>Q16R4C5</t>
  </si>
  <si>
    <t>Q16R4C6</t>
  </si>
  <si>
    <t>Q16R5C1</t>
  </si>
  <si>
    <t>Q16R5C2</t>
  </si>
  <si>
    <t>Q16R5C3</t>
  </si>
  <si>
    <t>Q16R5C4</t>
  </si>
  <si>
    <t>Q16R5C5</t>
  </si>
  <si>
    <t>Q16R5C6</t>
  </si>
  <si>
    <t>Q16R6C1</t>
  </si>
  <si>
    <t>Q16R6C2</t>
  </si>
  <si>
    <t>Q16R6C3</t>
  </si>
  <si>
    <t>Q16R6C4</t>
  </si>
  <si>
    <t>Q16R6C5</t>
  </si>
  <si>
    <t>Q16R6C6</t>
  </si>
  <si>
    <t>3.5.7</t>
  </si>
  <si>
    <t>3.6.1</t>
  </si>
  <si>
    <t>Q18R2C1</t>
  </si>
  <si>
    <t>3.7.1</t>
  </si>
  <si>
    <t>3.7.2</t>
  </si>
  <si>
    <t>3,8</t>
  </si>
  <si>
    <t>Q21R1C2</t>
  </si>
  <si>
    <t>Q21R2C2</t>
  </si>
  <si>
    <t>6,1</t>
  </si>
  <si>
    <t>Q24R1C3</t>
  </si>
  <si>
    <t>Q24R1C4</t>
  </si>
  <si>
    <t>Q24R1C5</t>
  </si>
  <si>
    <t>Q24R1C6</t>
  </si>
  <si>
    <t>Q24R1C7</t>
  </si>
  <si>
    <t>Q24R1C8</t>
  </si>
  <si>
    <t>6,2</t>
  </si>
  <si>
    <t>Q25R1C5</t>
  </si>
  <si>
    <t>Q25R1C6</t>
  </si>
  <si>
    <t>Q25R1C7</t>
  </si>
  <si>
    <t>Q25R1C8</t>
  </si>
  <si>
    <t>Q25R2C5</t>
  </si>
  <si>
    <t>Q25R2C6</t>
  </si>
  <si>
    <t>Q25R2C7</t>
  </si>
  <si>
    <t>Q25R2C8</t>
  </si>
  <si>
    <t>Forced to 0</t>
  </si>
  <si>
    <t>Q25R3C5</t>
  </si>
  <si>
    <t>Q25R3C6</t>
  </si>
  <si>
    <t>Q25R3C7</t>
  </si>
  <si>
    <t>Q25R3C8</t>
  </si>
  <si>
    <t>Q27R1C7</t>
  </si>
  <si>
    <t>Q27R1C8</t>
  </si>
  <si>
    <t>Q27R2C7</t>
  </si>
  <si>
    <t>Q27R2C8</t>
  </si>
  <si>
    <t>Q27R3C1</t>
  </si>
  <si>
    <t>Q27R3C2</t>
  </si>
  <si>
    <t>Q27R3C3</t>
  </si>
  <si>
    <t>Q27R3C4</t>
  </si>
  <si>
    <t>Q27R3C5</t>
  </si>
  <si>
    <t>Q27R3C6</t>
  </si>
  <si>
    <t>Q27R3C7</t>
  </si>
  <si>
    <t>Q27R3C8</t>
  </si>
  <si>
    <t>Q27R4C1</t>
  </si>
  <si>
    <t>Q27R4C2</t>
  </si>
  <si>
    <t>Q27R4C3</t>
  </si>
  <si>
    <t>Q27R4C4</t>
  </si>
  <si>
    <t>Q27R4C5</t>
  </si>
  <si>
    <t>Q27R4C6</t>
  </si>
  <si>
    <t>Q27R4C7</t>
  </si>
  <si>
    <t>Q27R4C8</t>
  </si>
  <si>
    <t>Q27R5C1</t>
  </si>
  <si>
    <t>Q27R5C2</t>
  </si>
  <si>
    <t>Q27R5C3</t>
  </si>
  <si>
    <t>Q27R5C4</t>
  </si>
  <si>
    <t>Q27R5C5</t>
  </si>
  <si>
    <t>Q27R5C6</t>
  </si>
  <si>
    <t>Q27R5C7</t>
  </si>
  <si>
    <t>Q27R5C8</t>
  </si>
  <si>
    <t>Q27R6C1</t>
  </si>
  <si>
    <t>Q27R6C2</t>
  </si>
  <si>
    <t>Q27R6C3</t>
  </si>
  <si>
    <t>Q27R6C4</t>
  </si>
  <si>
    <t>Q27R6C5</t>
  </si>
  <si>
    <t>Q27R6C6</t>
  </si>
  <si>
    <t>Q27R6C7</t>
  </si>
  <si>
    <t>Q27R6C8</t>
  </si>
  <si>
    <t>Q27R7C1</t>
  </si>
  <si>
    <t>Q27R7C2</t>
  </si>
  <si>
    <t>Q27R7C3</t>
  </si>
  <si>
    <t>Q27R7C4</t>
  </si>
  <si>
    <t>Q27R7C5</t>
  </si>
  <si>
    <t>Q27R7C6</t>
  </si>
  <si>
    <t>Q27R7C7</t>
  </si>
  <si>
    <t>Q27R7C8</t>
  </si>
  <si>
    <t>Q28R1C5</t>
  </si>
  <si>
    <t>Q28R1C6</t>
  </si>
  <si>
    <t>Q28R1C7</t>
  </si>
  <si>
    <t>Q28R1C8</t>
  </si>
  <si>
    <t>Q28R2C5</t>
  </si>
  <si>
    <t>Q28R2C6</t>
  </si>
  <si>
    <t>Q28R2C7</t>
  </si>
  <si>
    <t>Q28R2C8</t>
  </si>
  <si>
    <t>Q28R3C5</t>
  </si>
  <si>
    <t>Q28R3C6</t>
  </si>
  <si>
    <t>Q28R3C7</t>
  </si>
  <si>
    <t>Q28R3C8</t>
  </si>
  <si>
    <t>Q28R4C5</t>
  </si>
  <si>
    <t>Q28R4C6</t>
  </si>
  <si>
    <t>Q28R4C7</t>
  </si>
  <si>
    <t>Q28R4C8</t>
  </si>
  <si>
    <t>Q28R5C5</t>
  </si>
  <si>
    <t>Q28R5C6</t>
  </si>
  <si>
    <t>Q28R5C7</t>
  </si>
  <si>
    <t>Q28R5C8</t>
  </si>
  <si>
    <t>Q28R6C1</t>
  </si>
  <si>
    <t>Q28R6C2</t>
  </si>
  <si>
    <t>Q28R6C3</t>
  </si>
  <si>
    <t>Q28R6C4</t>
  </si>
  <si>
    <t>Q28R6C5</t>
  </si>
  <si>
    <t>Q28R6C6</t>
  </si>
  <si>
    <t>Q28R6C7</t>
  </si>
  <si>
    <t>Q28R6C8</t>
  </si>
  <si>
    <t>Q28R7C1</t>
  </si>
  <si>
    <t>Q28R7C2</t>
  </si>
  <si>
    <t>Q28R7C3</t>
  </si>
  <si>
    <t>Q28R7C4</t>
  </si>
  <si>
    <t>Q28R7C5</t>
  </si>
  <si>
    <t>Q28R7C6</t>
  </si>
  <si>
    <t>Q28R7C7</t>
  </si>
  <si>
    <t>Q28R7C8</t>
  </si>
  <si>
    <t>Q29R1C8</t>
  </si>
  <si>
    <t>Q29R1C9</t>
  </si>
  <si>
    <t>Q29R1C10</t>
  </si>
  <si>
    <t>Q29R2C8</t>
  </si>
  <si>
    <t>Q29R2C9</t>
  </si>
  <si>
    <t>Q29R2C10</t>
  </si>
  <si>
    <t>Q29R3C8</t>
  </si>
  <si>
    <t>Q29R3C9</t>
  </si>
  <si>
    <t>Q29R3C10</t>
  </si>
  <si>
    <t>Q29R4C8</t>
  </si>
  <si>
    <t>Q29R4C9</t>
  </si>
  <si>
    <t>Q29R4C10</t>
  </si>
  <si>
    <t>Q29R5C8</t>
  </si>
  <si>
    <t>Q29R5C9</t>
  </si>
  <si>
    <t>Q29R5C10</t>
  </si>
  <si>
    <t>Q29R6C8</t>
  </si>
  <si>
    <t>Q29R6C9</t>
  </si>
  <si>
    <t>Q29R6C10</t>
  </si>
  <si>
    <t>Q29R7C1</t>
  </si>
  <si>
    <t>Q29R7C2</t>
  </si>
  <si>
    <t>Q29R7C3</t>
  </si>
  <si>
    <t>Q29R7C4</t>
  </si>
  <si>
    <t>Q29R7C5</t>
  </si>
  <si>
    <t>Q29R7C6</t>
  </si>
  <si>
    <t>Q29R7C7</t>
  </si>
  <si>
    <t>Q29R7C8</t>
  </si>
  <si>
    <t>Q29R7C9</t>
  </si>
  <si>
    <t>Q29R7C10</t>
  </si>
  <si>
    <t>Q30R1C8</t>
  </si>
  <si>
    <t>Q30R1C9</t>
  </si>
  <si>
    <t>Q30R1C10</t>
  </si>
  <si>
    <t>Q30R2C8</t>
  </si>
  <si>
    <t>Q30R2C9</t>
  </si>
  <si>
    <t>Q30R2C10</t>
  </si>
  <si>
    <t>Q30R3C8</t>
  </si>
  <si>
    <t>Q30R3C9</t>
  </si>
  <si>
    <t>Q30R3C10</t>
  </si>
  <si>
    <t>Q30R4C8</t>
  </si>
  <si>
    <t>Q30R4C9</t>
  </si>
  <si>
    <t>Q30R4C10</t>
  </si>
  <si>
    <t>Q30R5C8</t>
  </si>
  <si>
    <t>Q30R5C9</t>
  </si>
  <si>
    <t>Q30R5C10</t>
  </si>
  <si>
    <t>Q30R6C8</t>
  </si>
  <si>
    <t>Q30R6C9</t>
  </si>
  <si>
    <t>Q30R6C10</t>
  </si>
  <si>
    <t>Q30R7C1</t>
  </si>
  <si>
    <t>Q30R7C2</t>
  </si>
  <si>
    <t>Q30R7C3</t>
  </si>
  <si>
    <t>Q30R7C4</t>
  </si>
  <si>
    <t>Q30R7C5</t>
  </si>
  <si>
    <t>Q30R7C6</t>
  </si>
  <si>
    <t>Q30R7C7</t>
  </si>
  <si>
    <t>Q30R7C8</t>
  </si>
  <si>
    <t>Q30R7C9</t>
  </si>
  <si>
    <t>Q30R7C10</t>
  </si>
  <si>
    <t>Q33R1C4</t>
  </si>
  <si>
    <t>Q33R2C1</t>
  </si>
  <si>
    <t>Q33R2C2</t>
  </si>
  <si>
    <t>Q33R2C3</t>
  </si>
  <si>
    <t>Q33R2C4</t>
  </si>
  <si>
    <t>Q34R2C1</t>
  </si>
  <si>
    <t>12,1</t>
  </si>
  <si>
    <t>Q36R2C1</t>
  </si>
  <si>
    <t>Q36R3C1</t>
  </si>
  <si>
    <t>Q36R4C1</t>
  </si>
  <si>
    <t>Q36R5C1</t>
  </si>
  <si>
    <t>12,2</t>
  </si>
  <si>
    <t>• Reportées à la prochaine période d'établissement de rapport dans les délais prévus par la LPRP</t>
  </si>
  <si>
    <t>• Reportées à la prochaine période d'établissement de rapport au-delà des délais prévus par la LPRP</t>
  </si>
  <si>
    <t>3.6 Nombre de demandes fermées dans les délais prévus par la LPRP</t>
  </si>
  <si>
    <t xml:space="preserve">3.7.2 Demandes fermées au-delà des délais prévus par la LPRP (y compris toute prolongation prise) </t>
  </si>
  <si>
    <t>3.7.1 Motifs du non-respect des délais prévus par la LPRP</t>
  </si>
  <si>
    <t>• Reportées à la prochaine période d'établissement de rapport dans les délais prévus par la LAI</t>
  </si>
  <si>
    <t>• Reportées à la prochaine période d'établissement de rapport au-delà des délais prévus par la LAI</t>
  </si>
  <si>
    <t>Section 1 – Demandes en vertu de la Loi sur l’accès à l’information (LAI)</t>
  </si>
  <si>
    <r>
      <t xml:space="preserve">Section 1 – Demandes en vertu de la </t>
    </r>
    <r>
      <rPr>
        <b/>
        <i/>
        <sz val="12"/>
        <color theme="0"/>
        <rFont val="Arial"/>
        <family val="2"/>
      </rPr>
      <t>Loi sur la protection des renseignements personnels</t>
    </r>
    <r>
      <rPr>
        <b/>
        <sz val="12"/>
        <color theme="0"/>
        <rFont val="Arial"/>
        <family val="2"/>
      </rPr>
      <t xml:space="preserve"> (LPRP)</t>
    </r>
  </si>
  <si>
    <t>4.6 Nombre de demandes fermées dans les délais prévus par la LAI</t>
  </si>
  <si>
    <t>Nombre de demandes fermées dans les délais prévus par la LAI</t>
  </si>
  <si>
    <t>Pourcentage des demandes fermées dans les délais prévus par la LAI (%)</t>
  </si>
  <si>
    <t>4.7.1 Motifs du non-respect des délais prévus par la LAI</t>
  </si>
  <si>
    <t>Nombre de demandes fermées au-delà des délais prévus par la LAI</t>
  </si>
  <si>
    <t xml:space="preserve">Paragraphe 30(5)
Cessation de l’enquête
</t>
  </si>
  <si>
    <t xml:space="preserve">Paragraphe 35
Présenter des observations
</t>
  </si>
  <si>
    <t>Paragraphe 37(1) Comptes rendus initiaux</t>
  </si>
  <si>
    <t>Paragraphe 37(2) Comptes rendus finaux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</si>
</sst>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&quot;$&quot;#,##0.00"/>
    <numFmt numFmtId="166" formatCode="&quot;$&quot;#,##0"/>
    <numFmt numFmtId="167" formatCode="yyyy\-mm\-dd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.5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7"/>
      <color theme="1"/>
      <name val="Arial"/>
      <family val="2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0"/>
      <name val="Arial"/>
      <family val="2"/>
    </font>
    <font>
      <i/>
      <sz val="12"/>
      <color rgb="FFFF0000"/>
      <name val="Calibri"/>
      <family val="2"/>
    </font>
    <font>
      <sz val="9.5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1"/>
      <color rgb="FFFF0000"/>
      <name val="Arial"/>
      <family val="2"/>
    </font>
    <font>
      <sz val="11"/>
      <color theme="0"/>
      <name val="Calibri"/>
      <family val="2"/>
      <scheme val="minor"/>
    </font>
    <font>
      <b/>
      <sz val="7.5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12"/>
      <name val="Calibri"/>
      <family val="2"/>
    </font>
    <font>
      <sz val="8"/>
      <color rgb="FFFF0000"/>
      <name val="Arial"/>
      <family val="2"/>
    </font>
    <font>
      <b/>
      <i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rgb="FF000000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5">
    <xf numFmtId="0" fontId="0" fillId="0" borderId="0" xfId="0"/>
    <xf numFmtId="0" fontId="0" fillId="3" borderId="0" xfId="0" applyFill="1"/>
    <xf numFmtId="0" fontId="0" fillId="4" borderId="0" xfId="0" applyFill="1"/>
    <xf numFmtId="0" fontId="20" fillId="3" borderId="0" xfId="0" applyFont="1" applyFill="1"/>
    <xf numFmtId="0" fontId="1" fillId="2" borderId="11" xfId="1" applyFill="1" applyBorder="1" applyAlignment="1" applyProtection="1">
      <alignment horizontal="center" vertical="center"/>
      <protection locked="0"/>
    </xf>
    <xf numFmtId="0" fontId="1" fillId="2" borderId="1" xfId="1" applyFill="1" applyBorder="1" applyAlignment="1" applyProtection="1">
      <alignment horizontal="center" vertical="center"/>
      <protection locked="0"/>
    </xf>
    <xf numFmtId="0" fontId="33" fillId="6" borderId="0" xfId="0" applyFont="1" applyFill="1"/>
    <xf numFmtId="0" fontId="33" fillId="0" borderId="0" xfId="0" applyFont="1"/>
    <xf numFmtId="0" fontId="33" fillId="6" borderId="0" xfId="0" applyFont="1" applyFill="1" applyAlignment="1">
      <alignment horizontal="right"/>
    </xf>
    <xf numFmtId="0" fontId="33" fillId="7" borderId="0" xfId="0" applyFont="1" applyFill="1"/>
    <xf numFmtId="0" fontId="33" fillId="7" borderId="0" xfId="0" applyFont="1" applyFill="1" applyAlignment="1">
      <alignment horizontal="right"/>
    </xf>
    <xf numFmtId="0" fontId="34" fillId="7" borderId="0" xfId="0" applyFont="1" applyFill="1"/>
    <xf numFmtId="0" fontId="33" fillId="0" borderId="0" xfId="0" applyFont="1" applyAlignment="1">
      <alignment horizontal="right"/>
    </xf>
    <xf numFmtId="0" fontId="34" fillId="6" borderId="0" xfId="0" applyFont="1" applyFill="1"/>
    <xf numFmtId="0" fontId="33" fillId="8" borderId="0" xfId="0" applyFont="1" applyFill="1"/>
    <xf numFmtId="0" fontId="1" fillId="0" borderId="7" xfId="1" applyBorder="1" applyAlignment="1" applyProtection="1">
      <alignment horizontal="center" vertical="center"/>
      <protection locked="0"/>
    </xf>
    <xf numFmtId="0" fontId="12" fillId="0" borderId="0" xfId="0" applyFont="1"/>
    <xf numFmtId="0" fontId="12" fillId="0" borderId="0" xfId="0" applyFont="1" applyAlignment="1">
      <alignment horizontal="center"/>
    </xf>
    <xf numFmtId="0" fontId="21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indent="1"/>
    </xf>
    <xf numFmtId="0" fontId="25" fillId="0" borderId="0" xfId="0" applyFont="1"/>
    <xf numFmtId="0" fontId="12" fillId="2" borderId="0" xfId="0" applyFont="1" applyFill="1"/>
    <xf numFmtId="0" fontId="14" fillId="0" borderId="0" xfId="0" applyFont="1" applyAlignment="1">
      <alignment horizontal="left" indent="1"/>
    </xf>
    <xf numFmtId="0" fontId="16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4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5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indent="1"/>
    </xf>
    <xf numFmtId="0" fontId="36" fillId="0" borderId="0" xfId="0" applyFont="1"/>
    <xf numFmtId="0" fontId="17" fillId="0" borderId="0" xfId="0" applyFont="1"/>
    <xf numFmtId="0" fontId="14" fillId="0" borderId="0" xfId="0" applyFont="1"/>
    <xf numFmtId="0" fontId="1" fillId="0" borderId="0" xfId="1" applyAlignment="1">
      <alignment vertical="center"/>
    </xf>
    <xf numFmtId="0" fontId="1" fillId="0" borderId="0" xfId="1" quotePrefix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4" fillId="0" borderId="0" xfId="1" applyFont="1" applyAlignment="1">
      <alignment horizontal="left" vertical="center" indent="1"/>
    </xf>
    <xf numFmtId="164" fontId="1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5" fillId="0" borderId="0" xfId="0" applyFont="1" applyAlignment="1">
      <alignment wrapText="1"/>
    </xf>
    <xf numFmtId="0" fontId="19" fillId="2" borderId="0" xfId="0" applyFont="1" applyFill="1" applyAlignment="1">
      <alignment wrapText="1"/>
    </xf>
    <xf numFmtId="0" fontId="1" fillId="2" borderId="0" xfId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0" fontId="0" fillId="2" borderId="0" xfId="0" applyFill="1"/>
    <xf numFmtId="0" fontId="27" fillId="2" borderId="0" xfId="0" applyFont="1" applyFill="1" applyAlignment="1">
      <alignment horizontal="left" indent="1"/>
    </xf>
    <xf numFmtId="0" fontId="27" fillId="2" borderId="0" xfId="0" applyFont="1" applyFill="1" applyAlignment="1">
      <alignment horizontal="left"/>
    </xf>
    <xf numFmtId="0" fontId="4" fillId="2" borderId="0" xfId="1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1" fillId="5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2" fillId="0" borderId="17" xfId="1" applyFont="1" applyBorder="1" applyAlignment="1">
      <alignment horizontal="center" wrapText="1"/>
    </xf>
    <xf numFmtId="0" fontId="2" fillId="0" borderId="19" xfId="1" applyFont="1" applyBorder="1" applyAlignment="1">
      <alignment horizontal="center" wrapText="1"/>
    </xf>
    <xf numFmtId="0" fontId="2" fillId="0" borderId="20" xfId="1" applyFont="1" applyBorder="1" applyAlignment="1">
      <alignment horizontal="center" wrapText="1"/>
    </xf>
    <xf numFmtId="0" fontId="21" fillId="2" borderId="0" xfId="0" applyFont="1" applyFill="1" applyAlignment="1">
      <alignment horizontal="left" indent="1"/>
    </xf>
    <xf numFmtId="0" fontId="28" fillId="2" borderId="0" xfId="0" applyFont="1" applyFill="1"/>
    <xf numFmtId="0" fontId="12" fillId="0" borderId="0" xfId="0" applyFont="1" applyAlignment="1">
      <alignment horizontal="left" indent="1"/>
    </xf>
    <xf numFmtId="0" fontId="18" fillId="2" borderId="0" xfId="0" applyFont="1" applyFill="1" applyAlignment="1">
      <alignment horizontal="left" indent="1"/>
    </xf>
    <xf numFmtId="0" fontId="17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29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26" fillId="2" borderId="0" xfId="0" applyFont="1" applyFill="1"/>
    <xf numFmtId="0" fontId="11" fillId="2" borderId="0" xfId="0" applyFont="1" applyFill="1" applyAlignment="1">
      <alignment horizontal="center" vertical="top"/>
    </xf>
    <xf numFmtId="0" fontId="0" fillId="0" borderId="0" xfId="0" applyAlignment="1">
      <alignment wrapText="1"/>
    </xf>
    <xf numFmtId="0" fontId="11" fillId="0" borderId="0" xfId="0" applyFont="1"/>
    <xf numFmtId="0" fontId="20" fillId="0" borderId="0" xfId="0" applyFont="1"/>
    <xf numFmtId="0" fontId="11" fillId="0" borderId="0" xfId="0" quotePrefix="1" applyFont="1"/>
    <xf numFmtId="0" fontId="35" fillId="0" borderId="0" xfId="0" quotePrefix="1" applyFont="1"/>
    <xf numFmtId="0" fontId="1" fillId="0" borderId="0" xfId="1" applyAlignment="1">
      <alignment horizontal="left" vertical="center" wrapText="1" indent="2"/>
    </xf>
    <xf numFmtId="0" fontId="14" fillId="0" borderId="0" xfId="0" applyFont="1" applyAlignment="1">
      <alignment horizontal="center" vertical="center" wrapText="1"/>
    </xf>
    <xf numFmtId="0" fontId="14" fillId="2" borderId="0" xfId="0" applyFont="1" applyFill="1"/>
    <xf numFmtId="0" fontId="14" fillId="0" borderId="0" xfId="0" applyFont="1" applyAlignment="1">
      <alignment horizontal="left" vertical="top"/>
    </xf>
    <xf numFmtId="0" fontId="1" fillId="0" borderId="16" xfId="1" applyBorder="1" applyAlignment="1">
      <alignment vertical="center"/>
    </xf>
    <xf numFmtId="0" fontId="9" fillId="0" borderId="0" xfId="1" applyFont="1" applyAlignment="1">
      <alignment horizontal="left"/>
    </xf>
    <xf numFmtId="0" fontId="1" fillId="0" borderId="0" xfId="1" applyAlignment="1">
      <alignment horizontal="center"/>
    </xf>
    <xf numFmtId="0" fontId="4" fillId="2" borderId="0" xfId="1" applyFont="1" applyFill="1"/>
    <xf numFmtId="0" fontId="11" fillId="2" borderId="0" xfId="0" applyFont="1" applyFill="1"/>
    <xf numFmtId="0" fontId="16" fillId="0" borderId="0" xfId="0" applyFont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1" fillId="0" borderId="0" xfId="0" applyFont="1" applyAlignment="1">
      <alignment vertical="top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7" fillId="0" borderId="0" xfId="0" applyFont="1" applyAlignment="1">
      <alignment horizontal="left"/>
    </xf>
    <xf numFmtId="0" fontId="26" fillId="2" borderId="0" xfId="0" applyFont="1" applyFill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wrapText="1"/>
    </xf>
    <xf numFmtId="0" fontId="1" fillId="0" borderId="0" xfId="0" quotePrefix="1" applyFont="1"/>
    <xf numFmtId="0" fontId="26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26" fillId="0" borderId="0" xfId="0" applyFont="1"/>
    <xf numFmtId="0" fontId="0" fillId="0" borderId="0" xfId="0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vertical="center" wrapText="1"/>
    </xf>
    <xf numFmtId="0" fontId="0" fillId="2" borderId="61" xfId="0" applyFill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28" fillId="0" borderId="0" xfId="0" applyFont="1"/>
    <xf numFmtId="0" fontId="39" fillId="2" borderId="0" xfId="0" applyFont="1" applyFill="1" applyAlignment="1">
      <alignment vertical="center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4" fillId="2" borderId="20" xfId="0" applyFont="1" applyFill="1" applyBorder="1" applyAlignment="1" applyProtection="1">
      <alignment horizontal="center" vertical="center"/>
      <protection locked="0"/>
    </xf>
    <xf numFmtId="49" fontId="14" fillId="0" borderId="0" xfId="0" quotePrefix="1" applyNumberFormat="1" applyFont="1"/>
    <xf numFmtId="0" fontId="14" fillId="2" borderId="22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6" fillId="2" borderId="0" xfId="0" applyFont="1" applyFill="1" applyAlignment="1">
      <alignment horizontal="left" indent="1"/>
    </xf>
    <xf numFmtId="0" fontId="1" fillId="2" borderId="29" xfId="1" applyFill="1" applyBorder="1" applyAlignment="1" applyProtection="1">
      <alignment horizontal="center" vertical="center"/>
      <protection locked="0"/>
    </xf>
    <xf numFmtId="0" fontId="1" fillId="2" borderId="22" xfId="1" applyFill="1" applyBorder="1" applyAlignment="1" applyProtection="1">
      <alignment horizontal="center" vertical="center"/>
      <protection locked="0"/>
    </xf>
    <xf numFmtId="0" fontId="1" fillId="2" borderId="28" xfId="1" applyFill="1" applyBorder="1" applyAlignment="1" applyProtection="1">
      <alignment horizontal="center" vertical="center"/>
      <protection locked="0"/>
    </xf>
    <xf numFmtId="0" fontId="1" fillId="2" borderId="18" xfId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/>
    <xf numFmtId="0" fontId="14" fillId="2" borderId="3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 applyAlignment="1" applyProtection="1">
      <alignment horizontal="center"/>
      <protection locked="0"/>
    </xf>
    <xf numFmtId="0" fontId="14" fillId="2" borderId="9" xfId="0" applyFont="1" applyFill="1" applyBorder="1" applyAlignment="1" applyProtection="1">
      <alignment horizontal="center"/>
      <protection locked="0"/>
    </xf>
    <xf numFmtId="0" fontId="14" fillId="2" borderId="7" xfId="0" applyFont="1" applyFill="1" applyBorder="1" applyAlignment="1" applyProtection="1">
      <alignment horizontal="center"/>
      <protection locked="0"/>
    </xf>
    <xf numFmtId="0" fontId="1" fillId="2" borderId="27" xfId="1" applyFill="1" applyBorder="1" applyAlignment="1" applyProtection="1">
      <alignment horizontal="center" vertical="center"/>
      <protection locked="0"/>
    </xf>
    <xf numFmtId="0" fontId="1" fillId="2" borderId="9" xfId="1" applyFill="1" applyBorder="1" applyAlignment="1" applyProtection="1">
      <alignment horizontal="center" vertical="center"/>
      <protection locked="0"/>
    </xf>
    <xf numFmtId="0" fontId="1" fillId="2" borderId="19" xfId="1" applyFill="1" applyBorder="1" applyAlignment="1" applyProtection="1">
      <alignment horizontal="center" vertical="center"/>
      <protection locked="0"/>
    </xf>
    <xf numFmtId="0" fontId="3" fillId="2" borderId="31" xfId="1" applyFont="1" applyFill="1" applyBorder="1" applyAlignment="1">
      <alignment horizontal="center"/>
    </xf>
    <xf numFmtId="0" fontId="3" fillId="2" borderId="20" xfId="1" applyFont="1" applyFill="1" applyBorder="1" applyAlignment="1">
      <alignment horizontal="center"/>
    </xf>
    <xf numFmtId="0" fontId="1" fillId="2" borderId="17" xfId="1" applyFill="1" applyBorder="1" applyAlignment="1" applyProtection="1">
      <alignment horizontal="center" vertical="center"/>
      <protection locked="0"/>
    </xf>
    <xf numFmtId="0" fontId="12" fillId="2" borderId="41" xfId="0" applyFont="1" applyFill="1" applyBorder="1"/>
    <xf numFmtId="0" fontId="14" fillId="2" borderId="5" xfId="0" applyFont="1" applyFill="1" applyBorder="1" applyAlignment="1" applyProtection="1">
      <alignment horizontal="center" vertical="center"/>
      <protection locked="0"/>
    </xf>
    <xf numFmtId="0" fontId="14" fillId="2" borderId="3" xfId="0" applyFont="1" applyFill="1" applyBorder="1" applyAlignment="1" applyProtection="1">
      <alignment horizontal="center" vertical="center"/>
      <protection locked="0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/>
      <protection locked="0"/>
    </xf>
    <xf numFmtId="0" fontId="38" fillId="0" borderId="0" xfId="0" quotePrefix="1" applyFont="1"/>
    <xf numFmtId="0" fontId="23" fillId="0" borderId="0" xfId="0" applyFont="1"/>
    <xf numFmtId="0" fontId="40" fillId="0" borderId="0" xfId="0" applyFont="1" applyAlignment="1">
      <alignment horizontal="center" vertical="center" wrapText="1"/>
    </xf>
    <xf numFmtId="0" fontId="40" fillId="0" borderId="0" xfId="0" quotePrefix="1" applyFont="1" applyAlignment="1">
      <alignment horizontal="center" vertical="center"/>
    </xf>
    <xf numFmtId="0" fontId="40" fillId="0" borderId="0" xfId="0" applyFont="1" applyAlignment="1">
      <alignment horizontal="center" wrapText="1"/>
    </xf>
    <xf numFmtId="0" fontId="40" fillId="0" borderId="0" xfId="0" applyFont="1" applyAlignment="1">
      <alignment horizontal="center"/>
    </xf>
    <xf numFmtId="165" fontId="1" fillId="0" borderId="30" xfId="1" applyNumberFormat="1" applyBorder="1" applyAlignment="1" applyProtection="1">
      <alignment horizontal="center" vertical="center"/>
      <protection locked="0"/>
    </xf>
    <xf numFmtId="165" fontId="1" fillId="0" borderId="6" xfId="1" applyNumberFormat="1" applyBorder="1" applyAlignment="1" applyProtection="1">
      <alignment horizontal="center" vertical="center"/>
      <protection locked="0"/>
    </xf>
    <xf numFmtId="165" fontId="1" fillId="0" borderId="20" xfId="1" applyNumberFormat="1" applyBorder="1" applyAlignment="1" applyProtection="1">
      <alignment horizontal="center" vertical="center"/>
      <protection locked="0"/>
    </xf>
    <xf numFmtId="0" fontId="4" fillId="0" borderId="19" xfId="1" applyFont="1" applyBorder="1" applyAlignment="1">
      <alignment horizontal="center" wrapText="1"/>
    </xf>
    <xf numFmtId="0" fontId="4" fillId="0" borderId="19" xfId="1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3" fillId="0" borderId="19" xfId="1" quotePrefix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40" fillId="0" borderId="0" xfId="0" applyFont="1"/>
    <xf numFmtId="0" fontId="35" fillId="2" borderId="0" xfId="0" applyFont="1" applyFill="1"/>
    <xf numFmtId="0" fontId="35" fillId="2" borderId="16" xfId="0" applyFont="1" applyFill="1" applyBorder="1"/>
    <xf numFmtId="0" fontId="41" fillId="2" borderId="0" xfId="0" applyFont="1" applyFill="1"/>
    <xf numFmtId="0" fontId="1" fillId="0" borderId="30" xfId="1" applyBorder="1" applyAlignment="1" applyProtection="1">
      <alignment horizontal="center" vertical="center"/>
      <protection locked="0"/>
    </xf>
    <xf numFmtId="0" fontId="1" fillId="0" borderId="43" xfId="1" applyBorder="1" applyAlignment="1" applyProtection="1">
      <alignment horizontal="center" vertical="center"/>
      <protection locked="0"/>
    </xf>
    <xf numFmtId="0" fontId="1" fillId="0" borderId="34" xfId="1" applyBorder="1" applyAlignment="1" applyProtection="1">
      <alignment horizontal="center" vertical="center"/>
      <protection locked="0"/>
    </xf>
    <xf numFmtId="0" fontId="1" fillId="2" borderId="43" xfId="1" applyFill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/>
      <protection locked="0"/>
    </xf>
    <xf numFmtId="0" fontId="16" fillId="2" borderId="49" xfId="0" applyFont="1" applyFill="1" applyBorder="1" applyAlignment="1">
      <alignment horizontal="center" vertical="center"/>
    </xf>
    <xf numFmtId="0" fontId="12" fillId="0" borderId="41" xfId="0" applyFont="1" applyBorder="1"/>
    <xf numFmtId="0" fontId="14" fillId="2" borderId="68" xfId="0" applyFont="1" applyFill="1" applyBorder="1" applyAlignment="1" applyProtection="1">
      <alignment horizontal="center" vertical="center" wrapText="1"/>
      <protection locked="0"/>
    </xf>
    <xf numFmtId="0" fontId="14" fillId="2" borderId="36" xfId="0" applyFont="1" applyFill="1" applyBorder="1" applyAlignment="1" applyProtection="1">
      <alignment horizontal="center" vertical="center" wrapText="1"/>
      <protection locked="0"/>
    </xf>
    <xf numFmtId="0" fontId="14" fillId="2" borderId="70" xfId="0" applyFont="1" applyFill="1" applyBorder="1" applyAlignment="1" applyProtection="1">
      <alignment horizontal="center" vertical="center" wrapText="1"/>
      <protection locked="0"/>
    </xf>
    <xf numFmtId="0" fontId="12" fillId="0" borderId="16" xfId="0" applyFont="1" applyBorder="1"/>
    <xf numFmtId="0" fontId="1" fillId="2" borderId="41" xfId="1" applyFill="1" applyBorder="1" applyAlignment="1" applyProtection="1">
      <alignment horizontal="center" vertical="center"/>
      <protection locked="0"/>
    </xf>
    <xf numFmtId="0" fontId="1" fillId="2" borderId="68" xfId="1" applyFill="1" applyBorder="1" applyAlignment="1" applyProtection="1">
      <alignment horizontal="center" vertical="center"/>
      <protection locked="0"/>
    </xf>
    <xf numFmtId="0" fontId="14" fillId="0" borderId="57" xfId="0" applyFont="1" applyBorder="1" applyAlignment="1" applyProtection="1">
      <alignment horizontal="center"/>
      <protection locked="0"/>
    </xf>
    <xf numFmtId="0" fontId="14" fillId="0" borderId="55" xfId="0" applyFont="1" applyBorder="1" applyAlignment="1" applyProtection="1">
      <alignment horizontal="center"/>
      <protection locked="0"/>
    </xf>
    <xf numFmtId="0" fontId="14" fillId="0" borderId="51" xfId="0" applyFont="1" applyBorder="1" applyAlignment="1" applyProtection="1">
      <alignment horizontal="center"/>
      <protection locked="0"/>
    </xf>
    <xf numFmtId="0" fontId="2" fillId="0" borderId="64" xfId="1" applyFont="1" applyBorder="1" applyAlignment="1">
      <alignment horizontal="center" wrapText="1"/>
    </xf>
    <xf numFmtId="0" fontId="2" fillId="0" borderId="65" xfId="1" applyFont="1" applyBorder="1" applyAlignment="1">
      <alignment horizontal="center" wrapText="1"/>
    </xf>
    <xf numFmtId="0" fontId="2" fillId="0" borderId="32" xfId="1" applyFont="1" applyBorder="1" applyAlignment="1">
      <alignment horizontal="center" wrapText="1"/>
    </xf>
    <xf numFmtId="0" fontId="3" fillId="0" borderId="73" xfId="1" applyFont="1" applyBorder="1" applyAlignment="1">
      <alignment horizontal="center" vertical="center" wrapText="1"/>
    </xf>
    <xf numFmtId="0" fontId="14" fillId="0" borderId="30" xfId="0" applyFont="1" applyBorder="1" applyAlignment="1" applyProtection="1">
      <alignment horizontal="center"/>
      <protection locked="0"/>
    </xf>
    <xf numFmtId="0" fontId="2" fillId="0" borderId="14" xfId="1" applyFont="1" applyBorder="1" applyAlignment="1">
      <alignment horizontal="center" wrapText="1"/>
    </xf>
    <xf numFmtId="0" fontId="3" fillId="0" borderId="61" xfId="1" applyFont="1" applyBorder="1" applyAlignment="1">
      <alignment horizontal="center" vertical="center" wrapText="1"/>
    </xf>
    <xf numFmtId="0" fontId="14" fillId="0" borderId="36" xfId="0" applyFont="1" applyBorder="1" applyAlignment="1" applyProtection="1">
      <alignment horizontal="center"/>
      <protection locked="0"/>
    </xf>
    <xf numFmtId="0" fontId="1" fillId="0" borderId="37" xfId="1" applyBorder="1" applyAlignment="1" applyProtection="1">
      <alignment horizontal="center" vertical="center"/>
      <protection locked="0"/>
    </xf>
    <xf numFmtId="0" fontId="1" fillId="0" borderId="31" xfId="1" applyBorder="1" applyAlignment="1" applyProtection="1">
      <alignment horizontal="center" vertical="center"/>
      <protection locked="0"/>
    </xf>
    <xf numFmtId="0" fontId="1" fillId="0" borderId="35" xfId="1" applyBorder="1" applyAlignment="1" applyProtection="1">
      <alignment horizontal="center" vertical="center"/>
      <protection locked="0"/>
    </xf>
    <xf numFmtId="0" fontId="12" fillId="0" borderId="45" xfId="0" applyFont="1" applyBorder="1"/>
    <xf numFmtId="0" fontId="1" fillId="0" borderId="55" xfId="1" applyBorder="1" applyAlignment="1" applyProtection="1">
      <alignment horizontal="center" vertical="center"/>
      <protection locked="0"/>
    </xf>
    <xf numFmtId="0" fontId="1" fillId="0" borderId="52" xfId="1" applyBorder="1" applyAlignment="1" applyProtection="1">
      <alignment horizontal="center" vertical="center"/>
      <protection locked="0"/>
    </xf>
    <xf numFmtId="0" fontId="14" fillId="2" borderId="51" xfId="0" applyFont="1" applyFill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 vertical="center"/>
      <protection locked="0"/>
    </xf>
    <xf numFmtId="0" fontId="4" fillId="0" borderId="70" xfId="1" applyFont="1" applyBorder="1" applyAlignment="1">
      <alignment horizontal="center" wrapText="1"/>
    </xf>
    <xf numFmtId="0" fontId="2" fillId="0" borderId="67" xfId="1" applyFont="1" applyBorder="1" applyAlignment="1">
      <alignment horizontal="center" wrapText="1"/>
    </xf>
    <xf numFmtId="0" fontId="2" fillId="0" borderId="26" xfId="1" applyFont="1" applyBorder="1" applyAlignment="1">
      <alignment horizontal="center" wrapText="1"/>
    </xf>
    <xf numFmtId="0" fontId="2" fillId="0" borderId="71" xfId="1" applyFont="1" applyBorder="1" applyAlignment="1">
      <alignment horizontal="center" wrapText="1"/>
    </xf>
    <xf numFmtId="0" fontId="4" fillId="0" borderId="76" xfId="1" applyFont="1" applyBorder="1" applyAlignment="1">
      <alignment horizontal="center" wrapText="1"/>
    </xf>
    <xf numFmtId="0" fontId="16" fillId="2" borderId="71" xfId="0" applyFont="1" applyFill="1" applyBorder="1" applyAlignment="1">
      <alignment horizontal="center"/>
    </xf>
    <xf numFmtId="0" fontId="16" fillId="2" borderId="57" xfId="0" applyFont="1" applyFill="1" applyBorder="1" applyAlignment="1">
      <alignment horizontal="center"/>
    </xf>
    <xf numFmtId="0" fontId="16" fillId="2" borderId="59" xfId="0" applyFont="1" applyFill="1" applyBorder="1" applyAlignment="1">
      <alignment horizontal="center"/>
    </xf>
    <xf numFmtId="0" fontId="16" fillId="2" borderId="26" xfId="0" applyFont="1" applyFill="1" applyBorder="1" applyAlignment="1">
      <alignment horizontal="center"/>
    </xf>
    <xf numFmtId="0" fontId="16" fillId="2" borderId="30" xfId="0" applyFont="1" applyFill="1" applyBorder="1" applyAlignment="1">
      <alignment horizontal="center"/>
    </xf>
    <xf numFmtId="0" fontId="16" fillId="2" borderId="43" xfId="0" applyFont="1" applyFill="1" applyBorder="1" applyAlignment="1">
      <alignment horizontal="center"/>
    </xf>
    <xf numFmtId="0" fontId="16" fillId="2" borderId="62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center" vertical="center"/>
    </xf>
    <xf numFmtId="0" fontId="4" fillId="2" borderId="57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40" xfId="1" applyFont="1" applyFill="1" applyBorder="1" applyAlignment="1">
      <alignment horizontal="center" vertical="center"/>
    </xf>
    <xf numFmtId="0" fontId="4" fillId="2" borderId="67" xfId="1" applyFont="1" applyFill="1" applyBorder="1" applyAlignment="1">
      <alignment horizontal="center" vertical="center"/>
    </xf>
    <xf numFmtId="0" fontId="4" fillId="2" borderId="49" xfId="1" applyFont="1" applyFill="1" applyBorder="1" applyAlignment="1">
      <alignment horizontal="center" vertical="center"/>
    </xf>
    <xf numFmtId="165" fontId="4" fillId="0" borderId="20" xfId="1" applyNumberFormat="1" applyFont="1" applyBorder="1" applyAlignment="1">
      <alignment horizontal="center" vertical="center"/>
    </xf>
    <xf numFmtId="0" fontId="4" fillId="2" borderId="55" xfId="1" applyFont="1" applyFill="1" applyBorder="1" applyAlignment="1">
      <alignment horizontal="center" vertical="center"/>
    </xf>
    <xf numFmtId="0" fontId="4" fillId="2" borderId="76" xfId="1" applyFont="1" applyFill="1" applyBorder="1" applyAlignment="1">
      <alignment horizontal="center" vertical="center"/>
    </xf>
    <xf numFmtId="0" fontId="4" fillId="2" borderId="74" xfId="1" applyFont="1" applyFill="1" applyBorder="1" applyAlignment="1">
      <alignment horizontal="center" vertical="center"/>
    </xf>
    <xf numFmtId="0" fontId="4" fillId="2" borderId="62" xfId="1" applyFont="1" applyFill="1" applyBorder="1" applyAlignment="1">
      <alignment horizontal="center" vertical="center"/>
    </xf>
    <xf numFmtId="0" fontId="4" fillId="2" borderId="70" xfId="1" applyFont="1" applyFill="1" applyBorder="1" applyAlignment="1">
      <alignment horizontal="center" vertical="center"/>
    </xf>
    <xf numFmtId="0" fontId="15" fillId="0" borderId="16" xfId="0" applyFont="1" applyBorder="1"/>
    <xf numFmtId="0" fontId="1" fillId="2" borderId="76" xfId="1" applyFill="1" applyBorder="1" applyAlignment="1" applyProtection="1">
      <alignment horizontal="center" vertical="center"/>
      <protection locked="0"/>
    </xf>
    <xf numFmtId="0" fontId="14" fillId="2" borderId="57" xfId="0" applyFont="1" applyFill="1" applyBorder="1" applyAlignment="1" applyProtection="1">
      <alignment horizontal="center"/>
      <protection locked="0"/>
    </xf>
    <xf numFmtId="0" fontId="14" fillId="2" borderId="55" xfId="0" applyFont="1" applyFill="1" applyBorder="1" applyAlignment="1" applyProtection="1">
      <alignment horizontal="center"/>
      <protection locked="0"/>
    </xf>
    <xf numFmtId="0" fontId="14" fillId="0" borderId="16" xfId="0" applyFont="1" applyBorder="1"/>
    <xf numFmtId="0" fontId="1" fillId="0" borderId="58" xfId="1" applyBorder="1" applyAlignment="1" applyProtection="1">
      <alignment horizontal="center" vertical="center"/>
      <protection locked="0"/>
    </xf>
    <xf numFmtId="0" fontId="8" fillId="0" borderId="52" xfId="1" applyFont="1" applyBorder="1" applyAlignment="1">
      <alignment horizontal="center" wrapText="1" shrinkToFit="1"/>
    </xf>
    <xf numFmtId="0" fontId="8" fillId="0" borderId="49" xfId="1" applyFont="1" applyBorder="1" applyAlignment="1">
      <alignment horizontal="center" wrapText="1" shrinkToFit="1"/>
    </xf>
    <xf numFmtId="0" fontId="8" fillId="0" borderId="52" xfId="1" applyFont="1" applyBorder="1" applyAlignment="1">
      <alignment horizontal="center" wrapText="1"/>
    </xf>
    <xf numFmtId="0" fontId="1" fillId="0" borderId="37" xfId="1" quotePrefix="1" applyBorder="1" applyAlignment="1" applyProtection="1">
      <alignment horizontal="center" vertical="center"/>
      <protection locked="0"/>
    </xf>
    <xf numFmtId="0" fontId="1" fillId="0" borderId="43" xfId="1" quotePrefix="1" applyBorder="1" applyAlignment="1" applyProtection="1">
      <alignment horizontal="center" vertical="center"/>
      <protection locked="0"/>
    </xf>
    <xf numFmtId="0" fontId="1" fillId="0" borderId="36" xfId="1" quotePrefix="1" applyBorder="1" applyAlignment="1" applyProtection="1">
      <alignment horizontal="center" vertical="center"/>
      <protection locked="0"/>
    </xf>
    <xf numFmtId="0" fontId="1" fillId="2" borderId="37" xfId="1" quotePrefix="1" applyFill="1" applyBorder="1" applyAlignment="1" applyProtection="1">
      <alignment horizontal="center" vertical="center"/>
      <protection locked="0"/>
    </xf>
    <xf numFmtId="0" fontId="1" fillId="0" borderId="31" xfId="1" quotePrefix="1" applyBorder="1" applyAlignment="1" applyProtection="1">
      <alignment horizontal="center" vertical="center"/>
      <protection locked="0"/>
    </xf>
    <xf numFmtId="0" fontId="12" fillId="2" borderId="61" xfId="0" applyFont="1" applyFill="1" applyBorder="1"/>
    <xf numFmtId="0" fontId="14" fillId="2" borderId="26" xfId="0" applyFont="1" applyFill="1" applyBorder="1" applyAlignment="1" applyProtection="1">
      <alignment horizontal="center" vertical="center"/>
      <protection locked="0"/>
    </xf>
    <xf numFmtId="0" fontId="4" fillId="2" borderId="51" xfId="1" applyFont="1" applyFill="1" applyBorder="1" applyAlignment="1">
      <alignment horizontal="center" vertical="center"/>
    </xf>
    <xf numFmtId="0" fontId="2" fillId="2" borderId="67" xfId="1" applyFont="1" applyFill="1" applyBorder="1" applyAlignment="1">
      <alignment horizontal="center" wrapText="1"/>
    </xf>
    <xf numFmtId="0" fontId="2" fillId="2" borderId="26" xfId="1" applyFont="1" applyFill="1" applyBorder="1" applyAlignment="1">
      <alignment horizontal="center" wrapText="1"/>
    </xf>
    <xf numFmtId="0" fontId="2" fillId="2" borderId="40" xfId="1" applyFont="1" applyFill="1" applyBorder="1" applyAlignment="1">
      <alignment horizontal="center" wrapText="1"/>
    </xf>
    <xf numFmtId="0" fontId="3" fillId="2" borderId="76" xfId="1" applyFont="1" applyFill="1" applyBorder="1" applyAlignment="1">
      <alignment horizontal="center" vertical="center" wrapText="1"/>
    </xf>
    <xf numFmtId="0" fontId="16" fillId="2" borderId="77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/>
    </xf>
    <xf numFmtId="0" fontId="16" fillId="2" borderId="62" xfId="0" applyFont="1" applyFill="1" applyBorder="1" applyAlignment="1">
      <alignment horizontal="center" vertical="center"/>
    </xf>
    <xf numFmtId="0" fontId="16" fillId="2" borderId="61" xfId="0" applyFont="1" applyFill="1" applyBorder="1" applyAlignment="1">
      <alignment horizontal="center" vertical="center"/>
    </xf>
    <xf numFmtId="0" fontId="16" fillId="2" borderId="76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16" fillId="2" borderId="55" xfId="0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/>
    </xf>
    <xf numFmtId="0" fontId="4" fillId="2" borderId="59" xfId="1" applyFont="1" applyFill="1" applyBorder="1" applyAlignment="1">
      <alignment horizontal="center" vertical="center"/>
    </xf>
    <xf numFmtId="0" fontId="43" fillId="2" borderId="0" xfId="0" applyFont="1" applyFill="1" applyAlignment="1">
      <alignment horizontal="left" indent="1"/>
    </xf>
    <xf numFmtId="0" fontId="44" fillId="2" borderId="0" xfId="0" applyFont="1" applyFill="1" applyAlignment="1">
      <alignment horizontal="left" wrapText="1"/>
    </xf>
    <xf numFmtId="0" fontId="20" fillId="2" borderId="0" xfId="0" applyFont="1" applyFill="1"/>
    <xf numFmtId="0" fontId="4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top" indent="1"/>
    </xf>
    <xf numFmtId="0" fontId="26" fillId="2" borderId="0" xfId="0" applyFont="1" applyFill="1" applyAlignment="1">
      <alignment horizontal="left" indent="1"/>
    </xf>
    <xf numFmtId="0" fontId="1" fillId="2" borderId="0" xfId="0" applyFont="1" applyFill="1" applyAlignment="1" applyProtection="1">
      <alignment horizontal="center" vertical="top"/>
      <protection locked="0"/>
    </xf>
    <xf numFmtId="0" fontId="1" fillId="2" borderId="59" xfId="0" applyFont="1" applyFill="1" applyBorder="1" applyAlignment="1" applyProtection="1">
      <alignment horizontal="center" vertical="center"/>
      <protection locked="0"/>
    </xf>
    <xf numFmtId="0" fontId="1" fillId="2" borderId="30" xfId="0" applyFont="1" applyFill="1" applyBorder="1" applyAlignment="1" applyProtection="1">
      <alignment horizontal="center" vertical="center"/>
      <protection locked="0"/>
    </xf>
    <xf numFmtId="0" fontId="1" fillId="2" borderId="70" xfId="0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1" fillId="0" borderId="10" xfId="1" applyBorder="1" applyAlignment="1" applyProtection="1">
      <alignment horizontal="center" vertical="center"/>
      <protection locked="0"/>
    </xf>
    <xf numFmtId="0" fontId="1" fillId="0" borderId="27" xfId="1" applyBorder="1" applyAlignment="1" applyProtection="1">
      <alignment horizontal="center" vertical="center"/>
      <protection locked="0"/>
    </xf>
    <xf numFmtId="0" fontId="1" fillId="0" borderId="8" xfId="1" applyBorder="1" applyAlignment="1" applyProtection="1">
      <alignment horizontal="center" vertical="center"/>
      <protection locked="0"/>
    </xf>
    <xf numFmtId="0" fontId="1" fillId="0" borderId="17" xfId="1" applyBorder="1" applyAlignment="1" applyProtection="1">
      <alignment horizontal="center" vertical="center"/>
      <protection locked="0"/>
    </xf>
    <xf numFmtId="0" fontId="1" fillId="0" borderId="9" xfId="1" applyBorder="1" applyAlignment="1" applyProtection="1">
      <alignment horizontal="center" vertical="center"/>
      <protection locked="0"/>
    </xf>
    <xf numFmtId="0" fontId="4" fillId="0" borderId="57" xfId="1" applyFont="1" applyBorder="1" applyAlignment="1">
      <alignment horizontal="center" vertical="center"/>
    </xf>
    <xf numFmtId="0" fontId="42" fillId="0" borderId="0" xfId="0" applyFont="1"/>
    <xf numFmtId="0" fontId="41" fillId="0" borderId="0" xfId="0" applyFont="1"/>
    <xf numFmtId="0" fontId="15" fillId="0" borderId="0" xfId="0" applyFont="1" applyAlignment="1">
      <alignment horizontal="left" vertical="top" indent="1"/>
    </xf>
    <xf numFmtId="0" fontId="35" fillId="0" borderId="0" xfId="0" applyFont="1"/>
    <xf numFmtId="0" fontId="35" fillId="0" borderId="16" xfId="0" applyFont="1" applyBorder="1"/>
    <xf numFmtId="0" fontId="8" fillId="0" borderId="17" xfId="1" applyFont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14" fillId="0" borderId="67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14" fillId="0" borderId="24" xfId="0" applyFont="1" applyBorder="1" applyAlignment="1" applyProtection="1">
      <alignment horizontal="center" vertical="center"/>
      <protection locked="0"/>
    </xf>
    <xf numFmtId="0" fontId="14" fillId="0" borderId="71" xfId="0" applyFont="1" applyBorder="1" applyAlignment="1" applyProtection="1">
      <alignment horizontal="center" vertical="center"/>
      <protection locked="0"/>
    </xf>
    <xf numFmtId="0" fontId="10" fillId="0" borderId="17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40" xfId="0" applyFont="1" applyBorder="1" applyAlignment="1" applyProtection="1">
      <alignment horizontal="center" vertical="center"/>
      <protection locked="0"/>
    </xf>
    <xf numFmtId="0" fontId="1" fillId="0" borderId="71" xfId="0" applyFont="1" applyBorder="1" applyAlignment="1" applyProtection="1">
      <alignment horizontal="center" vertical="center"/>
      <protection locked="0"/>
    </xf>
    <xf numFmtId="0" fontId="10" fillId="0" borderId="17" xfId="1" applyFont="1" applyBorder="1" applyAlignment="1">
      <alignment horizontal="center" wrapText="1"/>
    </xf>
    <xf numFmtId="0" fontId="8" fillId="0" borderId="20" xfId="1" applyFont="1" applyBorder="1" applyAlignment="1">
      <alignment horizontal="center" wrapText="1"/>
    </xf>
    <xf numFmtId="0" fontId="1" fillId="0" borderId="12" xfId="1" applyBorder="1" applyAlignment="1" applyProtection="1">
      <alignment horizontal="center" vertical="center"/>
      <protection locked="0"/>
    </xf>
    <xf numFmtId="0" fontId="1" fillId="0" borderId="29" xfId="1" applyBorder="1" applyAlignment="1" applyProtection="1">
      <alignment horizontal="center" vertical="center"/>
      <protection locked="0"/>
    </xf>
    <xf numFmtId="0" fontId="1" fillId="0" borderId="29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0" fontId="4" fillId="0" borderId="48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4" fillId="0" borderId="67" xfId="1" applyFont="1" applyBorder="1" applyAlignment="1">
      <alignment horizontal="center" vertical="center"/>
    </xf>
    <xf numFmtId="0" fontId="4" fillId="0" borderId="71" xfId="1" applyFont="1" applyBorder="1" applyAlignment="1">
      <alignment horizontal="center" vertical="center"/>
    </xf>
    <xf numFmtId="0" fontId="15" fillId="0" borderId="0" xfId="0" applyFont="1"/>
    <xf numFmtId="0" fontId="19" fillId="0" borderId="0" xfId="0" applyFont="1" applyAlignment="1">
      <alignment wrapText="1"/>
    </xf>
    <xf numFmtId="0" fontId="3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14" fillId="0" borderId="17" xfId="0" applyFont="1" applyBorder="1" applyAlignment="1" applyProtection="1">
      <alignment horizontal="center"/>
      <protection locked="0"/>
    </xf>
    <xf numFmtId="0" fontId="14" fillId="0" borderId="18" xfId="0" applyFont="1" applyBorder="1" applyAlignment="1" applyProtection="1">
      <alignment horizontal="center"/>
      <protection locked="0"/>
    </xf>
    <xf numFmtId="0" fontId="14" fillId="0" borderId="20" xfId="0" applyFont="1" applyBorder="1" applyAlignment="1" applyProtection="1">
      <alignment horizontal="center"/>
      <protection locked="0"/>
    </xf>
    <xf numFmtId="0" fontId="37" fillId="0" borderId="18" xfId="1" applyFont="1" applyBorder="1" applyAlignment="1">
      <alignment horizontal="center" wrapText="1"/>
    </xf>
    <xf numFmtId="0" fontId="37" fillId="0" borderId="20" xfId="1" applyFont="1" applyBorder="1" applyAlignment="1">
      <alignment horizontal="center" wrapText="1"/>
    </xf>
    <xf numFmtId="0" fontId="44" fillId="0" borderId="0" xfId="0" applyFont="1" applyAlignment="1">
      <alignment horizontal="left" wrapText="1"/>
    </xf>
    <xf numFmtId="0" fontId="5" fillId="0" borderId="0" xfId="0" applyFont="1"/>
    <xf numFmtId="0" fontId="4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1" fillId="0" borderId="27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4" fillId="0" borderId="5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 applyProtection="1">
      <alignment horizontal="center" vertical="center"/>
      <protection locked="0"/>
    </xf>
    <xf numFmtId="0" fontId="45" fillId="0" borderId="0" xfId="0" applyFont="1" applyAlignment="1">
      <alignment wrapText="1"/>
    </xf>
    <xf numFmtId="0" fontId="1" fillId="0" borderId="59" xfId="0" applyFont="1" applyBorder="1" applyAlignment="1" applyProtection="1">
      <alignment horizontal="center" vertical="center"/>
      <protection locked="0"/>
    </xf>
    <xf numFmtId="0" fontId="46" fillId="0" borderId="0" xfId="0" applyFont="1" applyAlignment="1">
      <alignment vertical="center"/>
    </xf>
    <xf numFmtId="0" fontId="44" fillId="0" borderId="0" xfId="0" applyFont="1" applyAlignment="1">
      <alignment horizontal="left" indent="1"/>
    </xf>
    <xf numFmtId="0" fontId="20" fillId="0" borderId="0" xfId="0" applyFont="1" applyAlignment="1">
      <alignment wrapText="1"/>
    </xf>
    <xf numFmtId="0" fontId="45" fillId="0" borderId="0" xfId="0" applyFont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4" fillId="2" borderId="9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41" fillId="2" borderId="16" xfId="0" applyFont="1" applyFill="1" applyBorder="1"/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76" xfId="0" applyFont="1" applyBorder="1" applyAlignment="1" applyProtection="1">
      <alignment horizontal="center" vertical="center" wrapText="1"/>
      <protection locked="0"/>
    </xf>
    <xf numFmtId="0" fontId="11" fillId="0" borderId="5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41" fillId="0" borderId="0" xfId="0" applyFont="1" applyAlignment="1">
      <alignment horizontal="left" vertical="top"/>
    </xf>
    <xf numFmtId="0" fontId="42" fillId="2" borderId="0" xfId="0" applyFont="1" applyFill="1" applyAlignment="1">
      <alignment horizontal="left" vertical="top"/>
    </xf>
    <xf numFmtId="0" fontId="42" fillId="2" borderId="0" xfId="1" applyFont="1" applyFill="1" applyAlignment="1">
      <alignment horizontal="left" vertical="top"/>
    </xf>
    <xf numFmtId="0" fontId="42" fillId="0" borderId="0" xfId="0" applyFont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47" fillId="0" borderId="0" xfId="0" applyFont="1" applyAlignment="1">
      <alignment horizontal="left" vertical="top"/>
    </xf>
    <xf numFmtId="0" fontId="42" fillId="0" borderId="0" xfId="1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19" fillId="0" borderId="0" xfId="0" applyFont="1"/>
    <xf numFmtId="0" fontId="39" fillId="0" borderId="0" xfId="0" applyFont="1" applyAlignment="1">
      <alignment vertical="center"/>
    </xf>
    <xf numFmtId="0" fontId="1" fillId="0" borderId="19" xfId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1" fillId="0" borderId="9" xfId="1" quotePrefix="1" applyBorder="1" applyAlignment="1">
      <alignment horizontal="left" vertical="center"/>
    </xf>
    <xf numFmtId="0" fontId="0" fillId="0" borderId="8" xfId="0" applyBorder="1"/>
    <xf numFmtId="0" fontId="1" fillId="0" borderId="0" xfId="1" applyAlignment="1">
      <alignment horizontal="center" vertical="center"/>
    </xf>
    <xf numFmtId="0" fontId="12" fillId="0" borderId="0" xfId="0" applyFont="1"/>
    <xf numFmtId="0" fontId="1" fillId="0" borderId="27" xfId="1" applyBorder="1" applyAlignment="1">
      <alignment horizontal="left" vertical="center" indent="1"/>
    </xf>
    <xf numFmtId="0" fontId="0" fillId="0" borderId="10" xfId="0" applyBorder="1"/>
    <xf numFmtId="0" fontId="1" fillId="2" borderId="22" xfId="1" applyFill="1" applyBorder="1" applyAlignment="1" applyProtection="1">
      <alignment horizontal="center" vertical="center"/>
      <protection locked="0"/>
    </xf>
    <xf numFmtId="0" fontId="0" fillId="0" borderId="35" xfId="0" applyBorder="1" applyProtection="1">
      <protection locked="0"/>
    </xf>
    <xf numFmtId="0" fontId="0" fillId="0" borderId="8" xfId="0" applyBorder="1" applyProtection="1">
      <protection locked="0"/>
    </xf>
    <xf numFmtId="0" fontId="1" fillId="2" borderId="19" xfId="1" applyFill="1" applyBorder="1" applyAlignment="1" applyProtection="1">
      <alignment horizontal="center" vertical="center"/>
      <protection locked="0"/>
    </xf>
    <xf numFmtId="0" fontId="4" fillId="0" borderId="4" xfId="1" applyFont="1" applyBorder="1" applyAlignment="1">
      <alignment horizontal="center"/>
    </xf>
    <xf numFmtId="0" fontId="0" fillId="0" borderId="34" xfId="0" applyBorder="1"/>
    <xf numFmtId="0" fontId="0" fillId="0" borderId="5" xfId="0" applyBorder="1"/>
    <xf numFmtId="0" fontId="1" fillId="2" borderId="55" xfId="1" applyFill="1" applyBorder="1" applyAlignment="1" applyProtection="1">
      <alignment horizontal="center" vertical="center"/>
      <protection locked="0"/>
    </xf>
    <xf numFmtId="0" fontId="0" fillId="0" borderId="49" xfId="0" applyBorder="1" applyProtection="1">
      <protection locked="0"/>
    </xf>
    <xf numFmtId="0" fontId="0" fillId="0" borderId="54" xfId="0" applyBorder="1" applyProtection="1">
      <protection locked="0"/>
    </xf>
    <xf numFmtId="0" fontId="31" fillId="2" borderId="26" xfId="0" applyFont="1" applyFill="1" applyBorder="1" applyAlignment="1">
      <alignment horizontal="center" vertical="center" wrapText="1"/>
    </xf>
    <xf numFmtId="0" fontId="0" fillId="0" borderId="24" xfId="0" applyBorder="1"/>
    <xf numFmtId="0" fontId="15" fillId="2" borderId="0" xfId="0" applyFont="1" applyFill="1" applyAlignment="1">
      <alignment horizontal="left" vertical="center" indent="1"/>
    </xf>
    <xf numFmtId="0" fontId="14" fillId="2" borderId="30" xfId="0" applyFont="1" applyFill="1" applyBorder="1" applyAlignment="1" applyProtection="1">
      <alignment horizontal="center"/>
      <protection locked="0"/>
    </xf>
    <xf numFmtId="0" fontId="0" fillId="0" borderId="34" xfId="0" applyBorder="1" applyProtection="1">
      <protection locked="0"/>
    </xf>
    <xf numFmtId="0" fontId="0" fillId="0" borderId="30" xfId="0" applyBorder="1" applyProtection="1">
      <protection locked="0"/>
    </xf>
    <xf numFmtId="0" fontId="1" fillId="2" borderId="70" xfId="1" applyFill="1" applyBorder="1" applyAlignment="1">
      <alignment horizontal="left" vertical="center" wrapText="1" indent="1"/>
    </xf>
    <xf numFmtId="0" fontId="0" fillId="0" borderId="25" xfId="0" applyBorder="1"/>
    <xf numFmtId="0" fontId="0" fillId="0" borderId="31" xfId="0" applyBorder="1"/>
    <xf numFmtId="0" fontId="4" fillId="2" borderId="26" xfId="1" applyFont="1" applyFill="1" applyBorder="1" applyAlignment="1">
      <alignment horizontal="center" vertical="center"/>
    </xf>
    <xf numFmtId="0" fontId="0" fillId="0" borderId="23" xfId="0" applyBorder="1"/>
    <xf numFmtId="0" fontId="1" fillId="0" borderId="62" xfId="1" applyBorder="1" applyAlignment="1">
      <alignment horizontal="left" vertical="center" indent="1"/>
    </xf>
    <xf numFmtId="0" fontId="0" fillId="0" borderId="35" xfId="0" applyBorder="1"/>
    <xf numFmtId="0" fontId="0" fillId="0" borderId="43" xfId="0" applyBorder="1"/>
    <xf numFmtId="0" fontId="16" fillId="2" borderId="57" xfId="0" applyFont="1" applyFill="1" applyBorder="1" applyAlignment="1">
      <alignment horizontal="left" indent="1"/>
    </xf>
    <xf numFmtId="0" fontId="0" fillId="0" borderId="49" xfId="0" applyBorder="1"/>
    <xf numFmtId="0" fontId="0" fillId="0" borderId="54" xfId="0" applyBorder="1"/>
    <xf numFmtId="0" fontId="3" fillId="0" borderId="4" xfId="1" applyFont="1" applyBorder="1" applyAlignment="1">
      <alignment horizontal="center" vertical="center" wrapText="1"/>
    </xf>
    <xf numFmtId="0" fontId="20" fillId="0" borderId="5" xfId="0" applyFont="1" applyBorder="1"/>
    <xf numFmtId="166" fontId="1" fillId="2" borderId="8" xfId="1" applyNumberForma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left" indent="1"/>
    </xf>
    <xf numFmtId="0" fontId="4" fillId="0" borderId="52" xfId="1" applyFont="1" applyBorder="1" applyAlignment="1">
      <alignment horizontal="center" wrapText="1"/>
    </xf>
    <xf numFmtId="0" fontId="0" fillId="0" borderId="52" xfId="0" applyBorder="1"/>
    <xf numFmtId="0" fontId="14" fillId="2" borderId="9" xfId="0" applyFont="1" applyFill="1" applyBorder="1" applyAlignment="1">
      <alignment horizontal="left" indent="1"/>
    </xf>
    <xf numFmtId="0" fontId="15" fillId="0" borderId="0" xfId="0" applyFont="1" applyAlignment="1">
      <alignment horizontal="left" wrapText="1"/>
    </xf>
    <xf numFmtId="0" fontId="1" fillId="0" borderId="43" xfId="1" applyBorder="1" applyAlignment="1" applyProtection="1">
      <alignment horizontal="center" vertical="center"/>
      <protection locked="0"/>
    </xf>
    <xf numFmtId="0" fontId="0" fillId="0" borderId="43" xfId="0" applyBorder="1" applyProtection="1">
      <protection locked="0"/>
    </xf>
    <xf numFmtId="0" fontId="1" fillId="0" borderId="22" xfId="1" applyBorder="1" applyAlignment="1" applyProtection="1">
      <alignment horizontal="center" vertical="center"/>
      <protection locked="0"/>
    </xf>
    <xf numFmtId="0" fontId="4" fillId="0" borderId="59" xfId="1" applyFont="1" applyBorder="1" applyAlignment="1">
      <alignment horizontal="center" wrapText="1"/>
    </xf>
    <xf numFmtId="0" fontId="0" fillId="0" borderId="45" xfId="0" applyBorder="1"/>
    <xf numFmtId="0" fontId="0" fillId="0" borderId="46" xfId="0" applyBorder="1"/>
    <xf numFmtId="0" fontId="0" fillId="0" borderId="48" xfId="0" applyBorder="1"/>
    <xf numFmtId="0" fontId="0" fillId="0" borderId="41" xfId="0" applyBorder="1"/>
    <xf numFmtId="0" fontId="1" fillId="2" borderId="59" xfId="1" applyFill="1" applyBorder="1" applyAlignment="1" applyProtection="1">
      <alignment horizontal="center" vertical="center"/>
      <protection locked="0"/>
    </xf>
    <xf numFmtId="0" fontId="0" fillId="0" borderId="52" xfId="0" applyBorder="1" applyProtection="1">
      <protection locked="0"/>
    </xf>
    <xf numFmtId="0" fontId="31" fillId="2" borderId="57" xfId="0" applyFont="1" applyFill="1" applyBorder="1" applyAlignment="1">
      <alignment horizontal="center" vertical="center" wrapText="1"/>
    </xf>
    <xf numFmtId="0" fontId="1" fillId="0" borderId="62" xfId="1" applyBorder="1" applyAlignment="1">
      <alignment horizontal="left" vertical="center" wrapText="1" indent="1"/>
    </xf>
    <xf numFmtId="0" fontId="14" fillId="0" borderId="9" xfId="0" applyFont="1" applyBorder="1" applyAlignment="1">
      <alignment horizontal="left" vertical="top"/>
    </xf>
    <xf numFmtId="0" fontId="4" fillId="0" borderId="57" xfId="1" applyFont="1" applyBorder="1" applyAlignment="1">
      <alignment horizontal="center"/>
    </xf>
    <xf numFmtId="0" fontId="1" fillId="0" borderId="9" xfId="1" applyBorder="1" applyAlignment="1">
      <alignment horizontal="left" vertical="center" wrapText="1" indent="1"/>
    </xf>
    <xf numFmtId="0" fontId="27" fillId="5" borderId="0" xfId="0" applyFont="1" applyFill="1" applyAlignment="1">
      <alignment horizontal="left"/>
    </xf>
    <xf numFmtId="0" fontId="1" fillId="2" borderId="1" xfId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5" fillId="2" borderId="0" xfId="0" applyFont="1" applyFill="1" applyAlignment="1">
      <alignment horizontal="left" vertical="center" indent="2"/>
    </xf>
    <xf numFmtId="0" fontId="32" fillId="0" borderId="0" xfId="0" applyFont="1" applyAlignment="1">
      <alignment horizontal="center" wrapText="1"/>
    </xf>
    <xf numFmtId="0" fontId="4" fillId="0" borderId="59" xfId="1" applyFont="1" applyBorder="1" applyAlignment="1">
      <alignment horizontal="center"/>
    </xf>
    <xf numFmtId="0" fontId="13" fillId="0" borderId="0" xfId="0" applyFont="1" applyAlignment="1">
      <alignment horizontal="left" wrapText="1" indent="1"/>
    </xf>
    <xf numFmtId="0" fontId="0" fillId="0" borderId="0" xfId="0"/>
    <xf numFmtId="0" fontId="4" fillId="2" borderId="21" xfId="1" applyFont="1" applyFill="1" applyBorder="1" applyAlignment="1">
      <alignment horizontal="center" wrapText="1"/>
    </xf>
    <xf numFmtId="0" fontId="0" fillId="0" borderId="21" xfId="0" applyBorder="1"/>
    <xf numFmtId="0" fontId="1" fillId="0" borderId="44" xfId="1" quotePrefix="1" applyBorder="1" applyAlignment="1">
      <alignment horizontal="left" vertical="center"/>
    </xf>
    <xf numFmtId="0" fontId="14" fillId="2" borderId="43" xfId="0" applyFont="1" applyFill="1" applyBorder="1" applyAlignment="1">
      <alignment horizontal="center" vertical="center"/>
    </xf>
    <xf numFmtId="0" fontId="4" fillId="0" borderId="59" xfId="1" applyFont="1" applyBorder="1" applyAlignment="1">
      <alignment horizontal="left" vertical="center" indent="1"/>
    </xf>
    <xf numFmtId="0" fontId="14" fillId="2" borderId="16" xfId="0" applyFont="1" applyFill="1" applyBorder="1" applyAlignment="1">
      <alignment horizontal="left" indent="1"/>
    </xf>
    <xf numFmtId="0" fontId="16" fillId="2" borderId="68" xfId="0" applyFont="1" applyFill="1" applyBorder="1" applyAlignment="1">
      <alignment horizontal="left" vertical="center" wrapText="1"/>
    </xf>
    <xf numFmtId="0" fontId="0" fillId="0" borderId="39" xfId="0" applyBorder="1"/>
    <xf numFmtId="0" fontId="0" fillId="0" borderId="33" xfId="0" applyBorder="1"/>
    <xf numFmtId="0" fontId="0" fillId="0" borderId="37" xfId="0" applyBorder="1"/>
    <xf numFmtId="0" fontId="1" fillId="0" borderId="4" xfId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1" fillId="0" borderId="22" xfId="1" applyBorder="1" applyAlignment="1">
      <alignment horizontal="center" vertical="center"/>
    </xf>
    <xf numFmtId="0" fontId="7" fillId="0" borderId="62" xfId="1" applyFont="1" applyBorder="1" applyAlignment="1">
      <alignment horizontal="left" vertical="center" wrapText="1" indent="1"/>
    </xf>
    <xf numFmtId="0" fontId="15" fillId="2" borderId="0" xfId="0" applyFont="1" applyFill="1" applyAlignment="1">
      <alignment horizontal="left" indent="1"/>
    </xf>
    <xf numFmtId="0" fontId="4" fillId="0" borderId="57" xfId="1" applyFont="1" applyBorder="1" applyAlignment="1">
      <alignment horizontal="center" vertical="center" wrapText="1"/>
    </xf>
    <xf numFmtId="0" fontId="1" fillId="0" borderId="31" xfId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1" fillId="0" borderId="17" xfId="1" quotePrefix="1" applyBorder="1" applyAlignment="1">
      <alignment horizontal="left" vertical="center"/>
    </xf>
    <xf numFmtId="0" fontId="4" fillId="2" borderId="57" xfId="1" applyFont="1" applyFill="1" applyBorder="1" applyAlignment="1">
      <alignment horizontal="center" vertical="center"/>
    </xf>
    <xf numFmtId="0" fontId="4" fillId="2" borderId="67" xfId="1" applyFont="1" applyFill="1" applyBorder="1" applyAlignment="1">
      <alignment horizontal="center" vertical="center"/>
    </xf>
    <xf numFmtId="0" fontId="1" fillId="0" borderId="22" xfId="1" applyBorder="1" applyAlignment="1" applyProtection="1">
      <alignment horizontal="center" wrapText="1"/>
      <protection locked="0"/>
    </xf>
    <xf numFmtId="0" fontId="4" fillId="0" borderId="57" xfId="1" applyFont="1" applyBorder="1" applyAlignment="1">
      <alignment horizontal="center" wrapText="1"/>
    </xf>
    <xf numFmtId="0" fontId="23" fillId="2" borderId="55" xfId="0" applyFont="1" applyFill="1" applyBorder="1" applyAlignment="1" applyProtection="1">
      <alignment horizontal="center"/>
      <protection locked="0"/>
    </xf>
    <xf numFmtId="0" fontId="13" fillId="0" borderId="0" xfId="0" applyFont="1" applyAlignment="1">
      <alignment horizontal="left" vertical="center" indent="1"/>
    </xf>
    <xf numFmtId="0" fontId="1" fillId="0" borderId="17" xfId="1" applyBorder="1" applyAlignment="1">
      <alignment horizontal="left" vertical="center" indent="1"/>
    </xf>
    <xf numFmtId="0" fontId="4" fillId="2" borderId="55" xfId="1" applyFont="1" applyFill="1" applyBorder="1" applyAlignment="1">
      <alignment horizontal="center" vertical="center"/>
    </xf>
    <xf numFmtId="0" fontId="1" fillId="0" borderId="9" xfId="1" applyBorder="1" applyAlignment="1">
      <alignment horizontal="left" vertical="center" indent="1"/>
    </xf>
    <xf numFmtId="0" fontId="1" fillId="2" borderId="9" xfId="1" applyFill="1" applyBorder="1" applyAlignment="1" applyProtection="1">
      <alignment horizontal="center" vertical="center"/>
      <protection locked="0"/>
    </xf>
    <xf numFmtId="0" fontId="6" fillId="2" borderId="55" xfId="1" applyFont="1" applyFill="1" applyBorder="1" applyAlignment="1">
      <alignment horizontal="center" wrapText="1"/>
    </xf>
    <xf numFmtId="0" fontId="16" fillId="0" borderId="52" xfId="0" applyFont="1" applyBorder="1" applyAlignment="1">
      <alignment horizontal="center"/>
    </xf>
    <xf numFmtId="0" fontId="6" fillId="2" borderId="57" xfId="1" applyFont="1" applyFill="1" applyBorder="1" applyAlignment="1">
      <alignment horizontal="center" wrapText="1"/>
    </xf>
    <xf numFmtId="0" fontId="1" fillId="0" borderId="27" xfId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4" fillId="2" borderId="19" xfId="1" applyFont="1" applyFill="1" applyBorder="1" applyAlignment="1">
      <alignment horizontal="center" wrapText="1"/>
    </xf>
    <xf numFmtId="0" fontId="1" fillId="0" borderId="62" xfId="1" applyBorder="1" applyAlignment="1">
      <alignment horizontal="left" wrapText="1" indent="1"/>
    </xf>
    <xf numFmtId="0" fontId="14" fillId="2" borderId="67" xfId="0" applyFont="1" applyFill="1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14" fillId="2" borderId="62" xfId="0" applyFont="1" applyFill="1" applyBorder="1" applyAlignment="1">
      <alignment horizontal="center"/>
    </xf>
    <xf numFmtId="0" fontId="4" fillId="0" borderId="4" xfId="1" applyFont="1" applyBorder="1" applyAlignment="1">
      <alignment horizontal="center" wrapText="1"/>
    </xf>
    <xf numFmtId="0" fontId="0" fillId="0" borderId="63" xfId="0" applyBorder="1"/>
    <xf numFmtId="0" fontId="14" fillId="2" borderId="77" xfId="0" applyFont="1" applyFill="1" applyBorder="1" applyAlignment="1">
      <alignment horizontal="left" vertical="center" indent="1"/>
    </xf>
    <xf numFmtId="0" fontId="21" fillId="5" borderId="0" xfId="0" applyFont="1" applyFill="1" applyAlignment="1">
      <alignment horizontal="left" vertical="top" wrapText="1"/>
    </xf>
    <xf numFmtId="0" fontId="16" fillId="0" borderId="59" xfId="0" applyFont="1" applyBorder="1" applyAlignment="1">
      <alignment horizontal="center"/>
    </xf>
    <xf numFmtId="0" fontId="4" fillId="2" borderId="59" xfId="1" applyFont="1" applyFill="1" applyBorder="1" applyAlignment="1">
      <alignment horizontal="center" vertical="center" wrapText="1"/>
    </xf>
    <xf numFmtId="0" fontId="1" fillId="0" borderId="24" xfId="1" applyBorder="1" applyAlignment="1" applyProtection="1">
      <alignment horizontal="center" vertical="center"/>
      <protection locked="0"/>
    </xf>
    <xf numFmtId="0" fontId="1" fillId="0" borderId="10" xfId="1" applyBorder="1" applyAlignment="1" applyProtection="1">
      <alignment horizontal="center" vertical="center"/>
      <protection locked="0"/>
    </xf>
    <xf numFmtId="0" fontId="1" fillId="0" borderId="27" xfId="1" quotePrefix="1" applyBorder="1" applyAlignment="1">
      <alignment horizontal="left" vertical="center"/>
    </xf>
    <xf numFmtId="164" fontId="4" fillId="2" borderId="57" xfId="1" applyNumberFormat="1" applyFont="1" applyFill="1" applyBorder="1" applyAlignment="1">
      <alignment horizontal="center" vertical="center"/>
    </xf>
    <xf numFmtId="0" fontId="1" fillId="2" borderId="17" xfId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23" fillId="2" borderId="57" xfId="0" applyFont="1" applyFill="1" applyBorder="1" applyAlignment="1" applyProtection="1">
      <alignment horizontal="center"/>
      <protection locked="0"/>
    </xf>
    <xf numFmtId="0" fontId="4" fillId="2" borderId="27" xfId="1" applyFont="1" applyFill="1" applyBorder="1" applyAlignment="1">
      <alignment horizontal="center" vertical="center"/>
    </xf>
    <xf numFmtId="0" fontId="31" fillId="2" borderId="6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indent="1"/>
    </xf>
    <xf numFmtId="0" fontId="1" fillId="0" borderId="42" xfId="1" applyBorder="1" applyAlignment="1" applyProtection="1">
      <alignment horizontal="center" vertical="center"/>
      <protection locked="0"/>
    </xf>
    <xf numFmtId="0" fontId="0" fillId="0" borderId="25" xfId="0" applyBorder="1" applyProtection="1">
      <protection locked="0"/>
    </xf>
    <xf numFmtId="0" fontId="30" fillId="0" borderId="62" xfId="0" applyFont="1" applyBorder="1" applyAlignment="1">
      <alignment horizontal="left" wrapText="1" indent="1"/>
    </xf>
    <xf numFmtId="0" fontId="14" fillId="2" borderId="71" xfId="0" applyFont="1" applyFill="1" applyBorder="1" applyAlignment="1" applyProtection="1">
      <alignment horizontal="center"/>
      <protection locked="0"/>
    </xf>
    <xf numFmtId="0" fontId="0" fillId="0" borderId="41" xfId="0" applyBorder="1" applyProtection="1">
      <protection locked="0"/>
    </xf>
    <xf numFmtId="0" fontId="1" fillId="2" borderId="11" xfId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4" fillId="0" borderId="3" xfId="1" applyFont="1" applyBorder="1" applyAlignment="1">
      <alignment horizontal="center" wrapText="1"/>
    </xf>
    <xf numFmtId="0" fontId="0" fillId="0" borderId="28" xfId="0" applyBorder="1"/>
    <xf numFmtId="166" fontId="4" fillId="2" borderId="57" xfId="1" applyNumberFormat="1" applyFont="1" applyFill="1" applyBorder="1" applyAlignment="1">
      <alignment horizontal="center" vertical="center"/>
    </xf>
    <xf numFmtId="0" fontId="23" fillId="2" borderId="67" xfId="0" applyFont="1" applyFill="1" applyBorder="1" applyAlignment="1" applyProtection="1">
      <alignment horizontal="center"/>
      <protection locked="0"/>
    </xf>
    <xf numFmtId="166" fontId="1" fillId="2" borderId="41" xfId="1" applyNumberFormat="1" applyFill="1" applyBorder="1" applyAlignment="1">
      <alignment horizontal="center" vertical="center"/>
    </xf>
    <xf numFmtId="0" fontId="0" fillId="0" borderId="61" xfId="0" applyBorder="1"/>
    <xf numFmtId="0" fontId="4" fillId="0" borderId="66" xfId="1" applyFont="1" applyBorder="1" applyAlignment="1">
      <alignment horizontal="center" wrapText="1"/>
    </xf>
    <xf numFmtId="0" fontId="1" fillId="0" borderId="26" xfId="1" applyBorder="1" applyAlignment="1" applyProtection="1">
      <alignment horizontal="center" vertical="center"/>
      <protection locked="0"/>
    </xf>
    <xf numFmtId="0" fontId="27" fillId="5" borderId="0" xfId="0" applyFont="1" applyFill="1" applyAlignment="1">
      <alignment vertical="top"/>
    </xf>
    <xf numFmtId="0" fontId="7" fillId="0" borderId="44" xfId="1" applyFont="1" applyBorder="1" applyAlignment="1">
      <alignment horizontal="left" vertical="center" wrapText="1" indent="1"/>
    </xf>
    <xf numFmtId="0" fontId="1" fillId="0" borderId="8" xfId="1" applyBorder="1" applyAlignment="1" applyProtection="1">
      <alignment horizontal="center" vertical="center"/>
      <protection locked="0"/>
    </xf>
    <xf numFmtId="0" fontId="1" fillId="0" borderId="68" xfId="1" applyBorder="1" applyAlignment="1">
      <alignment horizontal="left" vertical="center" indent="1"/>
    </xf>
    <xf numFmtId="0" fontId="0" fillId="0" borderId="30" xfId="0" applyBorder="1"/>
    <xf numFmtId="0" fontId="14" fillId="2" borderId="55" xfId="0" applyFont="1" applyFill="1" applyBorder="1" applyAlignment="1" applyProtection="1">
      <alignment horizontal="center"/>
      <protection locked="0"/>
    </xf>
    <xf numFmtId="0" fontId="1" fillId="0" borderId="53" xfId="1" applyBorder="1" applyAlignment="1" applyProtection="1">
      <alignment horizontal="center" vertical="center"/>
      <protection locked="0"/>
    </xf>
    <xf numFmtId="0" fontId="1" fillId="0" borderId="9" xfId="1" applyBorder="1" applyAlignment="1" applyProtection="1">
      <alignment horizontal="center" wrapText="1"/>
      <protection locked="0"/>
    </xf>
    <xf numFmtId="0" fontId="14" fillId="0" borderId="0" xfId="0" applyFont="1" applyAlignment="1">
      <alignment horizontal="left" wrapText="1"/>
    </xf>
    <xf numFmtId="0" fontId="4" fillId="2" borderId="5" xfId="1" applyFont="1" applyFill="1" applyBorder="1" applyAlignment="1">
      <alignment horizontal="center" wrapText="1"/>
    </xf>
    <xf numFmtId="0" fontId="14" fillId="2" borderId="57" xfId="0" applyFont="1" applyFill="1" applyBorder="1" applyAlignment="1" applyProtection="1">
      <alignment horizontal="center"/>
      <protection locked="0"/>
    </xf>
    <xf numFmtId="0" fontId="4" fillId="0" borderId="19" xfId="1" applyFont="1" applyBorder="1" applyAlignment="1">
      <alignment horizontal="center"/>
    </xf>
    <xf numFmtId="0" fontId="1" fillId="0" borderId="9" xfId="1" applyBorder="1" applyAlignment="1" applyProtection="1">
      <alignment horizontal="center" vertical="center"/>
      <protection locked="0"/>
    </xf>
    <xf numFmtId="0" fontId="6" fillId="2" borderId="59" xfId="1" applyFont="1" applyFill="1" applyBorder="1" applyAlignment="1">
      <alignment horizontal="center" wrapText="1"/>
    </xf>
    <xf numFmtId="0" fontId="31" fillId="2" borderId="58" xfId="0" applyFont="1" applyFill="1" applyBorder="1" applyAlignment="1">
      <alignment horizontal="center" vertical="center" wrapText="1"/>
    </xf>
    <xf numFmtId="0" fontId="31" fillId="2" borderId="40" xfId="0" applyFont="1" applyFill="1" applyBorder="1" applyAlignment="1">
      <alignment horizontal="center" vertical="center" wrapText="1"/>
    </xf>
    <xf numFmtId="0" fontId="1" fillId="2" borderId="27" xfId="1" applyFill="1" applyBorder="1" applyAlignment="1" applyProtection="1">
      <alignment horizontal="center" vertical="center"/>
      <protection locked="0"/>
    </xf>
    <xf numFmtId="0" fontId="1" fillId="2" borderId="8" xfId="1" applyFill="1" applyBorder="1" applyAlignment="1" applyProtection="1">
      <alignment horizontal="center" vertical="center"/>
      <protection locked="0"/>
    </xf>
    <xf numFmtId="0" fontId="1" fillId="2" borderId="62" xfId="1" applyFill="1" applyBorder="1" applyAlignment="1">
      <alignment horizontal="left" vertical="center" wrapText="1" indent="1"/>
    </xf>
    <xf numFmtId="0" fontId="4" fillId="2" borderId="9" xfId="1" applyFont="1" applyFill="1" applyBorder="1" applyAlignment="1">
      <alignment horizontal="center" vertical="center"/>
    </xf>
    <xf numFmtId="0" fontId="1" fillId="0" borderId="70" xfId="1" applyBorder="1" applyAlignment="1">
      <alignment horizontal="left" vertical="top" indent="1"/>
    </xf>
    <xf numFmtId="0" fontId="31" fillId="2" borderId="5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indent="1"/>
    </xf>
    <xf numFmtId="0" fontId="14" fillId="2" borderId="9" xfId="0" applyFont="1" applyFill="1" applyBorder="1" applyAlignment="1">
      <alignment horizontal="left" vertical="top"/>
    </xf>
    <xf numFmtId="0" fontId="1" fillId="0" borderId="56" xfId="1" quotePrefix="1" applyBorder="1" applyAlignment="1">
      <alignment horizontal="left" vertical="center"/>
    </xf>
    <xf numFmtId="0" fontId="14" fillId="0" borderId="9" xfId="0" applyFont="1" applyBorder="1" applyAlignment="1">
      <alignment horizontal="left" wrapText="1" indent="1"/>
    </xf>
    <xf numFmtId="0" fontId="16" fillId="0" borderId="68" xfId="0" applyFont="1" applyBorder="1" applyAlignment="1">
      <alignment horizontal="center" vertical="center"/>
    </xf>
    <xf numFmtId="0" fontId="7" fillId="0" borderId="68" xfId="1" applyFont="1" applyBorder="1" applyAlignment="1">
      <alignment horizontal="left" vertical="center" wrapText="1" indent="1"/>
    </xf>
    <xf numFmtId="0" fontId="1" fillId="0" borderId="4" xfId="1" applyBorder="1" applyAlignment="1" applyProtection="1">
      <alignment horizontal="center" wrapText="1"/>
      <protection locked="0"/>
    </xf>
    <xf numFmtId="0" fontId="1" fillId="0" borderId="3" xfId="1" applyBorder="1" applyAlignment="1" applyProtection="1">
      <alignment horizontal="center"/>
      <protection locked="0"/>
    </xf>
    <xf numFmtId="0" fontId="21" fillId="5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/>
    </xf>
    <xf numFmtId="0" fontId="1" fillId="2" borderId="2" xfId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 wrapText="1" indent="1"/>
    </xf>
    <xf numFmtId="0" fontId="16" fillId="2" borderId="59" xfId="0" applyFont="1" applyFill="1" applyBorder="1" applyAlignment="1">
      <alignment horizontal="center"/>
    </xf>
    <xf numFmtId="0" fontId="14" fillId="2" borderId="58" xfId="0" applyFont="1" applyFill="1" applyBorder="1" applyAlignment="1" applyProtection="1">
      <alignment horizontal="center"/>
      <protection locked="0"/>
    </xf>
    <xf numFmtId="0" fontId="4" fillId="2" borderId="59" xfId="1" applyFont="1" applyFill="1" applyBorder="1" applyAlignment="1">
      <alignment horizontal="left" vertical="center" wrapText="1" indent="1"/>
    </xf>
    <xf numFmtId="0" fontId="1" fillId="0" borderId="70" xfId="1" applyBorder="1" applyAlignment="1">
      <alignment horizontal="left" vertical="center" indent="1"/>
    </xf>
    <xf numFmtId="0" fontId="4" fillId="2" borderId="71" xfId="1" applyFont="1" applyFill="1" applyBorder="1" applyAlignment="1">
      <alignment horizontal="center" vertical="center"/>
    </xf>
    <xf numFmtId="0" fontId="14" fillId="2" borderId="70" xfId="0" applyFont="1" applyFill="1" applyBorder="1" applyAlignment="1">
      <alignment horizontal="center"/>
    </xf>
    <xf numFmtId="0" fontId="4" fillId="0" borderId="67" xfId="1" applyFont="1" applyBorder="1" applyAlignment="1">
      <alignment horizontal="left" vertical="center" indent="1"/>
    </xf>
    <xf numFmtId="0" fontId="4" fillId="2" borderId="68" xfId="1" applyFont="1" applyFill="1" applyBorder="1" applyAlignment="1">
      <alignment horizontal="center"/>
    </xf>
    <xf numFmtId="0" fontId="4" fillId="2" borderId="59" xfId="1" applyFont="1" applyFill="1" applyBorder="1" applyAlignment="1">
      <alignment horizontal="center" wrapText="1"/>
    </xf>
    <xf numFmtId="0" fontId="16" fillId="2" borderId="41" xfId="0" applyFont="1" applyFill="1" applyBorder="1" applyAlignment="1">
      <alignment horizontal="center"/>
    </xf>
    <xf numFmtId="0" fontId="1" fillId="0" borderId="17" xfId="1" applyBorder="1" applyAlignment="1" applyProtection="1">
      <alignment horizontal="center" vertical="center"/>
      <protection locked="0"/>
    </xf>
    <xf numFmtId="0" fontId="21" fillId="5" borderId="0" xfId="0" applyFont="1" applyFill="1" applyAlignment="1">
      <alignment horizontal="left"/>
    </xf>
    <xf numFmtId="0" fontId="3" fillId="0" borderId="68" xfId="1" applyFont="1" applyBorder="1" applyAlignment="1">
      <alignment horizontal="center" vertical="center" wrapText="1"/>
    </xf>
    <xf numFmtId="0" fontId="12" fillId="0" borderId="33" xfId="0" applyFont="1" applyBorder="1" applyAlignment="1" applyProtection="1">
      <alignment horizontal="left"/>
      <protection locked="0"/>
    </xf>
    <xf numFmtId="0" fontId="1" fillId="0" borderId="68" xfId="1" applyBorder="1" applyAlignment="1">
      <alignment horizontal="left" wrapText="1" indent="1"/>
    </xf>
    <xf numFmtId="0" fontId="14" fillId="2" borderId="8" xfId="0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 vertical="top" indent="1"/>
    </xf>
    <xf numFmtId="0" fontId="11" fillId="0" borderId="0" xfId="0" applyFont="1"/>
    <xf numFmtId="0" fontId="16" fillId="2" borderId="70" xfId="0" applyFont="1" applyFill="1" applyBorder="1" applyAlignment="1">
      <alignment horizontal="left" vertical="center" wrapText="1"/>
    </xf>
    <xf numFmtId="14" fontId="12" fillId="0" borderId="33" xfId="0" applyNumberFormat="1" applyFont="1" applyBorder="1" applyAlignment="1">
      <alignment horizontal="center"/>
    </xf>
    <xf numFmtId="0" fontId="16" fillId="2" borderId="49" xfId="0" applyFont="1" applyFill="1" applyBorder="1" applyAlignment="1">
      <alignment horizontal="center"/>
    </xf>
    <xf numFmtId="0" fontId="14" fillId="0" borderId="17" xfId="0" applyFont="1" applyBorder="1" applyAlignment="1">
      <alignment horizontal="left" wrapText="1" indent="1"/>
    </xf>
    <xf numFmtId="0" fontId="16" fillId="2" borderId="59" xfId="0" applyFont="1" applyFill="1" applyBorder="1" applyAlignment="1">
      <alignment horizontal="left" indent="1"/>
    </xf>
    <xf numFmtId="0" fontId="1" fillId="0" borderId="4" xfId="1" applyBorder="1" applyAlignment="1">
      <alignment horizontal="left" vertical="center" wrapText="1" indent="1"/>
    </xf>
    <xf numFmtId="0" fontId="4" fillId="0" borderId="55" xfId="1" applyFont="1" applyBorder="1" applyAlignment="1">
      <alignment horizontal="center" wrapText="1"/>
    </xf>
    <xf numFmtId="164" fontId="1" fillId="2" borderId="72" xfId="1" applyNumberFormat="1" applyFill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36" xfId="0" applyBorder="1" applyProtection="1">
      <protection locked="0"/>
    </xf>
    <xf numFmtId="0" fontId="4" fillId="0" borderId="53" xfId="1" applyFont="1" applyBorder="1" applyAlignment="1">
      <alignment horizontal="center" wrapText="1"/>
    </xf>
    <xf numFmtId="0" fontId="15" fillId="0" borderId="0" xfId="0" applyFont="1" applyAlignment="1">
      <alignment horizontal="left" vertical="center" indent="2"/>
    </xf>
    <xf numFmtId="0" fontId="4" fillId="2" borderId="53" xfId="1" applyFont="1" applyFill="1" applyBorder="1" applyAlignment="1">
      <alignment horizontal="left" vertical="center" indent="1"/>
    </xf>
    <xf numFmtId="0" fontId="4" fillId="2" borderId="17" xfId="1" applyFont="1" applyFill="1" applyBorder="1" applyAlignment="1">
      <alignment horizontal="center" vertical="center"/>
    </xf>
    <xf numFmtId="0" fontId="4" fillId="2" borderId="55" xfId="1" applyFont="1" applyFill="1" applyBorder="1" applyAlignment="1">
      <alignment horizontal="center" wrapText="1"/>
    </xf>
    <xf numFmtId="0" fontId="1" fillId="0" borderId="42" xfId="1" applyBorder="1" applyAlignment="1">
      <alignment horizontal="left" vertical="center" indent="2"/>
    </xf>
    <xf numFmtId="0" fontId="1" fillId="0" borderId="42" xfId="1" applyBorder="1" applyAlignment="1">
      <alignment horizontal="left" vertical="center" indent="1"/>
    </xf>
    <xf numFmtId="0" fontId="4" fillId="0" borderId="75" xfId="1" applyFont="1" applyBorder="1" applyAlignment="1">
      <alignment horizontal="center"/>
    </xf>
    <xf numFmtId="0" fontId="4" fillId="0" borderId="53" xfId="1" applyFont="1" applyBorder="1" applyAlignment="1">
      <alignment horizontal="left" vertical="center" indent="1"/>
    </xf>
    <xf numFmtId="0" fontId="1" fillId="2" borderId="68" xfId="1" applyFill="1" applyBorder="1" applyAlignment="1">
      <alignment horizontal="left" vertical="center" wrapText="1" indent="1"/>
    </xf>
    <xf numFmtId="0" fontId="14" fillId="2" borderId="5" xfId="0" applyFont="1" applyFill="1" applyBorder="1" applyAlignment="1" applyProtection="1">
      <alignment horizontal="center"/>
      <protection locked="0"/>
    </xf>
    <xf numFmtId="0" fontId="1" fillId="2" borderId="44" xfId="1" applyFill="1" applyBorder="1" applyAlignment="1">
      <alignment horizontal="left" vertical="center" wrapText="1" indent="2"/>
    </xf>
    <xf numFmtId="0" fontId="16" fillId="2" borderId="52" xfId="0" applyFont="1" applyFill="1" applyBorder="1" applyAlignment="1">
      <alignment horizontal="center"/>
    </xf>
    <xf numFmtId="0" fontId="14" fillId="2" borderId="22" xfId="0" applyFont="1" applyFill="1" applyBorder="1" applyAlignment="1" applyProtection="1">
      <alignment horizontal="center"/>
      <protection locked="0"/>
    </xf>
    <xf numFmtId="0" fontId="16" fillId="2" borderId="57" xfId="0" applyFont="1" applyFill="1" applyBorder="1" applyAlignment="1">
      <alignment horizontal="center"/>
    </xf>
    <xf numFmtId="0" fontId="14" fillId="0" borderId="62" xfId="0" applyFont="1" applyBorder="1" applyAlignment="1" applyProtection="1">
      <alignment horizontal="center"/>
      <protection locked="0"/>
    </xf>
    <xf numFmtId="0" fontId="1" fillId="0" borderId="11" xfId="1" applyBorder="1" applyAlignment="1" applyProtection="1">
      <alignment horizontal="center" vertical="center"/>
      <protection locked="0"/>
    </xf>
    <xf numFmtId="0" fontId="1" fillId="2" borderId="9" xfId="1" quotePrefix="1" applyFill="1" applyBorder="1" applyAlignment="1">
      <alignment horizontal="left" vertical="center"/>
    </xf>
    <xf numFmtId="0" fontId="14" fillId="0" borderId="68" xfId="0" applyFont="1" applyBorder="1" applyAlignment="1" applyProtection="1">
      <alignment horizontal="center"/>
      <protection locked="0"/>
    </xf>
    <xf numFmtId="0" fontId="14" fillId="2" borderId="17" xfId="0" applyFont="1" applyFill="1" applyBorder="1" applyAlignment="1">
      <alignment horizontal="left" vertical="center" wrapText="1" indent="1"/>
    </xf>
    <xf numFmtId="0" fontId="14" fillId="2" borderId="68" xfId="0" applyFont="1" applyFill="1" applyBorder="1" applyAlignment="1">
      <alignment horizontal="left" wrapText="1" indent="1"/>
    </xf>
    <xf numFmtId="0" fontId="1" fillId="2" borderId="9" xfId="1" applyFill="1" applyBorder="1" applyAlignment="1">
      <alignment horizontal="left" vertical="center" wrapText="1" indent="2"/>
    </xf>
    <xf numFmtId="0" fontId="14" fillId="2" borderId="43" xfId="0" applyFont="1" applyFill="1" applyBorder="1" applyAlignment="1">
      <alignment horizontal="center"/>
    </xf>
    <xf numFmtId="0" fontId="7" fillId="0" borderId="17" xfId="1" applyFont="1" applyBorder="1" applyAlignment="1">
      <alignment horizontal="left" vertical="center" wrapText="1" indent="1"/>
    </xf>
    <xf numFmtId="0" fontId="14" fillId="0" borderId="9" xfId="0" applyFont="1" applyBorder="1" applyAlignment="1">
      <alignment horizontal="left"/>
    </xf>
    <xf numFmtId="0" fontId="31" fillId="2" borderId="68" xfId="0" applyFont="1" applyFill="1" applyBorder="1" applyAlignment="1">
      <alignment horizontal="center" wrapText="1"/>
    </xf>
    <xf numFmtId="164" fontId="1" fillId="2" borderId="68" xfId="1" applyNumberFormat="1" applyFill="1" applyBorder="1" applyAlignment="1" applyProtection="1">
      <alignment horizontal="center" vertical="center"/>
      <protection locked="0"/>
    </xf>
    <xf numFmtId="164" fontId="1" fillId="2" borderId="62" xfId="1" applyNumberFormat="1" applyFill="1" applyBorder="1" applyAlignment="1" applyProtection="1">
      <alignment horizontal="center" vertical="center"/>
      <protection locked="0"/>
    </xf>
    <xf numFmtId="0" fontId="16" fillId="2" borderId="24" xfId="0" applyFont="1" applyFill="1" applyBorder="1" applyAlignment="1">
      <alignment horizontal="center"/>
    </xf>
    <xf numFmtId="0" fontId="1" fillId="0" borderId="22" xfId="1" applyBorder="1" applyAlignment="1" applyProtection="1">
      <alignment horizontal="center"/>
      <protection locked="0"/>
    </xf>
    <xf numFmtId="0" fontId="16" fillId="2" borderId="26" xfId="0" applyFont="1" applyFill="1" applyBorder="1" applyAlignment="1">
      <alignment horizontal="center"/>
    </xf>
    <xf numFmtId="0" fontId="14" fillId="0" borderId="70" xfId="0" applyFont="1" applyBorder="1" applyAlignment="1">
      <alignment horizontal="left" wrapText="1" indent="1"/>
    </xf>
    <xf numFmtId="0" fontId="12" fillId="0" borderId="0" xfId="0" applyFont="1" applyAlignment="1">
      <alignment horizontal="center"/>
    </xf>
    <xf numFmtId="0" fontId="16" fillId="2" borderId="68" xfId="0" applyFont="1" applyFill="1" applyBorder="1" applyAlignment="1">
      <alignment horizontal="center"/>
    </xf>
    <xf numFmtId="0" fontId="4" fillId="0" borderId="17" xfId="1" applyFont="1" applyBorder="1" applyAlignment="1">
      <alignment horizontal="center" vertical="center"/>
    </xf>
    <xf numFmtId="166" fontId="1" fillId="0" borderId="17" xfId="1" applyNumberFormat="1" applyBorder="1" applyAlignment="1" applyProtection="1">
      <alignment horizontal="center" vertical="center"/>
      <protection locked="0"/>
    </xf>
    <xf numFmtId="0" fontId="1" fillId="0" borderId="59" xfId="1" applyBorder="1" applyAlignment="1" applyProtection="1">
      <alignment horizontal="center" vertical="center"/>
      <protection locked="0"/>
    </xf>
    <xf numFmtId="0" fontId="23" fillId="2" borderId="71" xfId="0" applyFont="1" applyFill="1" applyBorder="1" applyAlignment="1" applyProtection="1">
      <alignment horizontal="center"/>
      <protection locked="0"/>
    </xf>
    <xf numFmtId="0" fontId="14" fillId="0" borderId="44" xfId="0" applyFont="1" applyBorder="1" applyAlignment="1">
      <alignment horizontal="left"/>
    </xf>
    <xf numFmtId="166" fontId="1" fillId="0" borderId="10" xfId="1" applyNumberFormat="1" applyBorder="1" applyAlignment="1" applyProtection="1">
      <alignment horizontal="center" vertical="center"/>
      <protection locked="0"/>
    </xf>
    <xf numFmtId="0" fontId="14" fillId="2" borderId="26" xfId="0" applyFont="1" applyFill="1" applyBorder="1" applyAlignment="1" applyProtection="1">
      <alignment horizontal="center"/>
      <protection locked="0"/>
    </xf>
    <xf numFmtId="0" fontId="30" fillId="0" borderId="72" xfId="0" applyFont="1" applyBorder="1" applyAlignment="1">
      <alignment horizontal="left" wrapText="1" indent="1"/>
    </xf>
    <xf numFmtId="0" fontId="0" fillId="0" borderId="36" xfId="0" applyBorder="1"/>
    <xf numFmtId="0" fontId="1" fillId="0" borderId="3" xfId="1" applyBorder="1" applyAlignment="1" applyProtection="1">
      <alignment horizontal="center" vertical="center"/>
      <protection locked="0"/>
    </xf>
    <xf numFmtId="0" fontId="1" fillId="0" borderId="45" xfId="1" applyBorder="1" applyAlignment="1">
      <alignment vertical="center"/>
    </xf>
    <xf numFmtId="0" fontId="15" fillId="2" borderId="0" xfId="0" applyFont="1" applyFill="1" applyAlignment="1">
      <alignment horizontal="left" vertical="center" wrapText="1" indent="1"/>
    </xf>
    <xf numFmtId="0" fontId="1" fillId="0" borderId="44" xfId="1" applyBorder="1" applyAlignment="1">
      <alignment horizontal="left" vertical="center" indent="1"/>
    </xf>
    <xf numFmtId="0" fontId="14" fillId="0" borderId="30" xfId="0" applyFont="1" applyBorder="1" applyAlignment="1" applyProtection="1">
      <alignment horizontal="center" vertical="center"/>
      <protection locked="0"/>
    </xf>
    <xf numFmtId="0" fontId="16" fillId="2" borderId="53" xfId="0" applyFont="1" applyFill="1" applyBorder="1" applyAlignment="1">
      <alignment horizontal="left" indent="1"/>
    </xf>
    <xf numFmtId="0" fontId="14" fillId="2" borderId="42" xfId="0" applyFont="1" applyFill="1" applyBorder="1" applyAlignment="1">
      <alignment horizontal="left" indent="1"/>
    </xf>
    <xf numFmtId="0" fontId="14" fillId="2" borderId="31" xfId="0" applyFont="1" applyFill="1" applyBorder="1" applyAlignment="1">
      <alignment horizontal="center"/>
    </xf>
    <xf numFmtId="0" fontId="0" fillId="0" borderId="15" xfId="0" applyBorder="1"/>
    <xf numFmtId="0" fontId="4" fillId="2" borderId="17" xfId="1" applyFont="1" applyFill="1" applyBorder="1" applyAlignment="1">
      <alignment horizontal="center" wrapText="1"/>
    </xf>
    <xf numFmtId="0" fontId="1" fillId="0" borderId="38" xfId="1" quotePrefix="1" applyBorder="1" applyAlignment="1">
      <alignment horizontal="left" vertical="center"/>
    </xf>
    <xf numFmtId="0" fontId="4" fillId="2" borderId="64" xfId="1" applyFont="1" applyFill="1" applyBorder="1" applyAlignment="1">
      <alignment horizontal="center" vertical="center"/>
    </xf>
    <xf numFmtId="0" fontId="0" fillId="0" borderId="50" xfId="0" applyBorder="1"/>
    <xf numFmtId="0" fontId="1" fillId="0" borderId="46" xfId="1" applyBorder="1" applyAlignment="1">
      <alignment vertical="center"/>
    </xf>
    <xf numFmtId="0" fontId="1" fillId="0" borderId="56" xfId="1" applyBorder="1" applyAlignment="1" applyProtection="1">
      <alignment horizontal="center" vertical="center"/>
      <protection locked="0"/>
    </xf>
    <xf numFmtId="0" fontId="14" fillId="0" borderId="4" xfId="0" applyFont="1" applyBorder="1" applyAlignment="1">
      <alignment horizontal="left" wrapText="1" indent="1"/>
    </xf>
    <xf numFmtId="0" fontId="16" fillId="2" borderId="26" xfId="0" applyFont="1" applyFill="1" applyBorder="1" applyAlignment="1">
      <alignment horizontal="center" wrapText="1"/>
    </xf>
    <xf numFmtId="0" fontId="1" fillId="0" borderId="3" xfId="1" applyBorder="1" applyAlignment="1" applyProtection="1">
      <alignment horizontal="center" wrapText="1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4" fillId="0" borderId="54" xfId="1" applyFont="1" applyBorder="1" applyAlignment="1">
      <alignment horizontal="center" vertical="center"/>
    </xf>
    <xf numFmtId="0" fontId="1" fillId="0" borderId="39" xfId="1" applyBorder="1" applyAlignment="1">
      <alignment horizontal="left" vertical="center" wrapText="1" indent="2"/>
    </xf>
    <xf numFmtId="0" fontId="31" fillId="2" borderId="71" xfId="0" applyFont="1" applyFill="1" applyBorder="1" applyAlignment="1">
      <alignment horizontal="center" vertical="center" wrapText="1"/>
    </xf>
    <xf numFmtId="0" fontId="16" fillId="2" borderId="67" xfId="0" applyFont="1" applyFill="1" applyBorder="1" applyAlignment="1">
      <alignment horizontal="center"/>
    </xf>
    <xf numFmtId="0" fontId="4" fillId="2" borderId="77" xfId="1" applyFont="1" applyFill="1" applyBorder="1" applyAlignment="1">
      <alignment horizontal="center"/>
    </xf>
    <xf numFmtId="0" fontId="4" fillId="2" borderId="59" xfId="1" applyFont="1" applyFill="1" applyBorder="1" applyAlignment="1">
      <alignment horizontal="left" vertical="center" indent="1"/>
    </xf>
    <xf numFmtId="0" fontId="4" fillId="0" borderId="57" xfId="1" applyFont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center"/>
      <protection locked="0"/>
    </xf>
    <xf numFmtId="0" fontId="4" fillId="0" borderId="59" xfId="1" applyFont="1" applyBorder="1" applyAlignment="1">
      <alignment horizontal="center" vertical="center"/>
    </xf>
    <xf numFmtId="0" fontId="14" fillId="2" borderId="27" xfId="0" applyFont="1" applyFill="1" applyBorder="1" applyAlignment="1">
      <alignment horizontal="left" indent="1"/>
    </xf>
    <xf numFmtId="0" fontId="14" fillId="0" borderId="27" xfId="0" applyFont="1" applyBorder="1" applyAlignment="1">
      <alignment horizontal="left" wrapText="1" indent="1"/>
    </xf>
    <xf numFmtId="0" fontId="16" fillId="0" borderId="57" xfId="0" applyFont="1" applyBorder="1" applyAlignment="1">
      <alignment horizontal="center"/>
    </xf>
    <xf numFmtId="0" fontId="1" fillId="0" borderId="21" xfId="1" applyBorder="1" applyAlignment="1" applyProtection="1">
      <alignment horizontal="center" vertical="center"/>
      <protection locked="0"/>
    </xf>
    <xf numFmtId="0" fontId="16" fillId="2" borderId="54" xfId="0" applyFont="1" applyFill="1" applyBorder="1" applyAlignment="1">
      <alignment horizontal="center"/>
    </xf>
    <xf numFmtId="0" fontId="14" fillId="2" borderId="13" xfId="0" applyFont="1" applyFill="1" applyBorder="1" applyAlignment="1" applyProtection="1">
      <alignment horizontal="center"/>
      <protection locked="0"/>
    </xf>
    <xf numFmtId="0" fontId="1" fillId="0" borderId="56" xfId="1" applyBorder="1" applyAlignment="1">
      <alignment horizontal="left" vertical="center" indent="1"/>
    </xf>
    <xf numFmtId="0" fontId="14" fillId="0" borderId="70" xfId="0" applyFont="1" applyBorder="1" applyAlignment="1" applyProtection="1">
      <alignment horizontal="center"/>
      <protection locked="0"/>
    </xf>
    <xf numFmtId="0" fontId="14" fillId="0" borderId="17" xfId="0" applyFont="1" applyBorder="1" applyAlignment="1">
      <alignment horizontal="left" vertical="top"/>
    </xf>
    <xf numFmtId="0" fontId="15" fillId="0" borderId="4" xfId="0" applyFont="1" applyBorder="1" applyAlignment="1">
      <alignment horizontal="left" wrapText="1" indent="1"/>
    </xf>
    <xf numFmtId="0" fontId="4" fillId="2" borderId="59" xfId="1" applyFont="1" applyFill="1" applyBorder="1" applyAlignment="1">
      <alignment horizontal="center" vertical="center"/>
    </xf>
    <xf numFmtId="0" fontId="16" fillId="2" borderId="70" xfId="0" applyFont="1" applyFill="1" applyBorder="1" applyAlignment="1">
      <alignment horizontal="center" vertical="center" wrapText="1"/>
    </xf>
    <xf numFmtId="0" fontId="1" fillId="0" borderId="4" xfId="1" quotePrefix="1" applyBorder="1" applyAlignment="1">
      <alignment horizontal="left" vertical="center"/>
    </xf>
    <xf numFmtId="0" fontId="1" fillId="0" borderId="5" xfId="1" applyBorder="1" applyAlignment="1" applyProtection="1">
      <alignment horizontal="center" vertical="center"/>
      <protection locked="0"/>
    </xf>
    <xf numFmtId="0" fontId="16" fillId="2" borderId="6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2"/>
    </xf>
    <xf numFmtId="0" fontId="15" fillId="2" borderId="77" xfId="0" applyFont="1" applyFill="1" applyBorder="1" applyAlignment="1">
      <alignment horizontal="center"/>
    </xf>
    <xf numFmtId="0" fontId="1" fillId="2" borderId="4" xfId="1" applyFill="1" applyBorder="1" applyAlignment="1" applyProtection="1">
      <alignment horizontal="center" vertical="center"/>
      <protection locked="0"/>
    </xf>
    <xf numFmtId="0" fontId="14" fillId="0" borderId="19" xfId="0" applyFont="1" applyBorder="1" applyAlignment="1" applyProtection="1">
      <alignment horizontal="center" vertical="center"/>
      <protection locked="0"/>
    </xf>
    <xf numFmtId="0" fontId="1" fillId="2" borderId="57" xfId="1" applyFill="1" applyBorder="1" applyAlignment="1" applyProtection="1">
      <alignment horizontal="center" vertical="center"/>
      <protection locked="0"/>
    </xf>
    <xf numFmtId="0" fontId="14" fillId="0" borderId="4" xfId="0" applyFont="1" applyBorder="1"/>
    <xf numFmtId="0" fontId="12" fillId="0" borderId="0" xfId="0" applyFont="1" applyAlignment="1">
      <alignment horizontal="left" vertical="center" wrapText="1"/>
    </xf>
    <xf numFmtId="0" fontId="4" fillId="0" borderId="26" xfId="1" applyFont="1" applyBorder="1" applyAlignment="1">
      <alignment horizontal="center" vertical="center"/>
    </xf>
    <xf numFmtId="0" fontId="4" fillId="2" borderId="57" xfId="1" applyFont="1" applyFill="1" applyBorder="1" applyAlignment="1">
      <alignment horizontal="left" vertical="center"/>
    </xf>
    <xf numFmtId="0" fontId="8" fillId="0" borderId="83" xfId="1" applyFont="1" applyBorder="1" applyAlignment="1">
      <alignment horizontal="center" wrapText="1"/>
    </xf>
    <xf numFmtId="0" fontId="8" fillId="0" borderId="63" xfId="1" applyFont="1" applyBorder="1" applyAlignment="1">
      <alignment horizontal="center" wrapText="1"/>
    </xf>
    <xf numFmtId="0" fontId="8" fillId="0" borderId="40" xfId="1" applyFont="1" applyBorder="1" applyAlignment="1">
      <alignment horizontal="center" wrapText="1"/>
    </xf>
    <xf numFmtId="0" fontId="8" fillId="0" borderId="24" xfId="1" applyFont="1" applyBorder="1" applyAlignment="1">
      <alignment horizontal="center" wrapText="1"/>
    </xf>
    <xf numFmtId="0" fontId="8" fillId="0" borderId="66" xfId="1" applyFont="1" applyBorder="1" applyAlignment="1">
      <alignment horizontal="center" wrapText="1"/>
    </xf>
    <xf numFmtId="0" fontId="8" fillId="0" borderId="67" xfId="1" applyFont="1" applyBorder="1" applyAlignment="1">
      <alignment horizontal="center" wrapText="1"/>
    </xf>
    <xf numFmtId="0" fontId="4" fillId="2" borderId="57" xfId="1" applyFont="1" applyFill="1" applyBorder="1" applyAlignment="1">
      <alignment horizontal="center" wrapText="1"/>
    </xf>
    <xf numFmtId="0" fontId="14" fillId="2" borderId="68" xfId="0" applyFont="1" applyFill="1" applyBorder="1" applyAlignment="1" applyProtection="1">
      <alignment horizontal="center"/>
      <protection locked="0"/>
    </xf>
    <xf numFmtId="0" fontId="14" fillId="0" borderId="70" xfId="0" applyFont="1" applyBorder="1" applyAlignment="1" applyProtection="1">
      <alignment horizontal="center" vertical="center"/>
      <protection locked="0"/>
    </xf>
    <xf numFmtId="0" fontId="14" fillId="2" borderId="62" xfId="0" applyFont="1" applyFill="1" applyBorder="1" applyAlignment="1">
      <alignment horizontal="left" wrapText="1" indent="1"/>
    </xf>
    <xf numFmtId="0" fontId="35" fillId="0" borderId="16" xfId="0" applyFont="1" applyBorder="1" applyAlignment="1">
      <alignment horizontal="left" wrapText="1"/>
    </xf>
    <xf numFmtId="0" fontId="35" fillId="0" borderId="0" xfId="0" applyFont="1" applyAlignment="1">
      <alignment horizontal="left" wrapText="1"/>
    </xf>
    <xf numFmtId="0" fontId="35" fillId="0" borderId="0" xfId="0" quotePrefix="1" applyFont="1" applyAlignment="1">
      <alignment horizontal="left"/>
    </xf>
    <xf numFmtId="0" fontId="16" fillId="2" borderId="59" xfId="0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wrapText="1"/>
    </xf>
    <xf numFmtId="0" fontId="14" fillId="2" borderId="10" xfId="0" applyFont="1" applyFill="1" applyBorder="1" applyAlignment="1" applyProtection="1">
      <alignment horizontal="center"/>
      <protection locked="0"/>
    </xf>
    <xf numFmtId="0" fontId="1" fillId="2" borderId="17" xfId="1" applyFill="1" applyBorder="1" applyAlignment="1">
      <alignment horizontal="left" vertical="top" wrapText="1" indent="2"/>
    </xf>
    <xf numFmtId="0" fontId="1" fillId="2" borderId="9" xfId="1" applyFill="1" applyBorder="1" applyAlignment="1">
      <alignment horizontal="left" vertical="top" wrapText="1" indent="2"/>
    </xf>
    <xf numFmtId="0" fontId="16" fillId="0" borderId="4" xfId="0" applyFont="1" applyBorder="1" applyAlignment="1">
      <alignment horizontal="center"/>
    </xf>
    <xf numFmtId="0" fontId="14" fillId="0" borderId="68" xfId="0" applyFont="1" applyBorder="1" applyAlignment="1">
      <alignment horizontal="left" wrapText="1" indent="1"/>
    </xf>
    <xf numFmtId="0" fontId="16" fillId="0" borderId="57" xfId="0" applyFont="1" applyBorder="1" applyAlignment="1">
      <alignment horizontal="left" wrapText="1" indent="1"/>
    </xf>
    <xf numFmtId="0" fontId="14" fillId="2" borderId="62" xfId="0" applyFont="1" applyFill="1" applyBorder="1" applyAlignment="1">
      <alignment horizontal="left" vertical="center" wrapText="1" indent="1"/>
    </xf>
    <xf numFmtId="0" fontId="15" fillId="2" borderId="0" xfId="0" applyFont="1" applyFill="1" applyAlignment="1">
      <alignment horizontal="left" vertical="center" wrapText="1" indent="2"/>
    </xf>
    <xf numFmtId="0" fontId="1" fillId="2" borderId="70" xfId="1" applyFill="1" applyBorder="1" applyAlignment="1">
      <alignment horizontal="left" vertical="center" wrapText="1" indent="2"/>
    </xf>
    <xf numFmtId="0" fontId="14" fillId="2" borderId="2" xfId="0" applyFont="1" applyFill="1" applyBorder="1" applyAlignment="1">
      <alignment horizontal="left" indent="1"/>
    </xf>
    <xf numFmtId="0" fontId="0" fillId="0" borderId="13" xfId="0" applyBorder="1"/>
    <xf numFmtId="0" fontId="14" fillId="0" borderId="27" xfId="0" applyFont="1" applyBorder="1" applyAlignment="1">
      <alignment horizontal="left" vertical="top"/>
    </xf>
    <xf numFmtId="0" fontId="4" fillId="0" borderId="46" xfId="1" applyFont="1" applyBorder="1" applyAlignment="1">
      <alignment horizontal="center"/>
    </xf>
    <xf numFmtId="0" fontId="30" fillId="0" borderId="76" xfId="0" applyFont="1" applyBorder="1" applyAlignment="1">
      <alignment horizontal="left" wrapText="1" indent="1"/>
    </xf>
    <xf numFmtId="166" fontId="1" fillId="0" borderId="4" xfId="1" applyNumberFormat="1" applyBorder="1" applyAlignment="1" applyProtection="1">
      <alignment horizontal="center" vertical="center"/>
      <protection locked="0"/>
    </xf>
    <xf numFmtId="166" fontId="1" fillId="0" borderId="8" xfId="1" applyNumberFormat="1" applyBorder="1" applyAlignment="1" applyProtection="1">
      <alignment horizontal="center" vertical="center"/>
      <protection locked="0"/>
    </xf>
    <xf numFmtId="0" fontId="21" fillId="5" borderId="0" xfId="0" applyFont="1" applyFill="1" applyAlignment="1">
      <alignment vertical="top"/>
    </xf>
    <xf numFmtId="0" fontId="1" fillId="0" borderId="70" xfId="1" applyBorder="1" applyAlignment="1">
      <alignment horizontal="left" vertical="center" wrapText="1" indent="1"/>
    </xf>
    <xf numFmtId="0" fontId="14" fillId="2" borderId="44" xfId="0" applyFont="1" applyFill="1" applyBorder="1" applyAlignment="1">
      <alignment horizontal="left" wrapText="1" indent="1"/>
    </xf>
    <xf numFmtId="0" fontId="1" fillId="2" borderId="59" xfId="1" applyFill="1" applyBorder="1" applyAlignment="1">
      <alignment horizontal="center" vertical="center"/>
    </xf>
    <xf numFmtId="0" fontId="1" fillId="2" borderId="7" xfId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/>
      <protection locked="0"/>
    </xf>
    <xf numFmtId="0" fontId="14" fillId="0" borderId="2" xfId="0" applyFont="1" applyBorder="1" applyAlignment="1">
      <alignment horizontal="left" wrapText="1" indent="1"/>
    </xf>
    <xf numFmtId="0" fontId="4" fillId="2" borderId="58" xfId="1" applyFont="1" applyFill="1" applyBorder="1" applyAlignment="1">
      <alignment horizontal="center"/>
    </xf>
    <xf numFmtId="0" fontId="6" fillId="0" borderId="59" xfId="1" applyFont="1" applyBorder="1" applyAlignment="1">
      <alignment horizontal="center" wrapText="1"/>
    </xf>
    <xf numFmtId="0" fontId="14" fillId="2" borderId="74" xfId="0" applyFont="1" applyFill="1" applyBorder="1" applyAlignment="1" applyProtection="1">
      <alignment horizontal="center"/>
      <protection locked="0"/>
    </xf>
    <xf numFmtId="0" fontId="0" fillId="0" borderId="37" xfId="0" applyBorder="1" applyProtection="1">
      <protection locked="0"/>
    </xf>
    <xf numFmtId="0" fontId="6" fillId="0" borderId="57" xfId="1" applyFont="1" applyBorder="1" applyAlignment="1">
      <alignment horizontal="center" wrapText="1"/>
    </xf>
    <xf numFmtId="0" fontId="7" fillId="2" borderId="70" xfId="1" applyFont="1" applyFill="1" applyBorder="1" applyAlignment="1">
      <alignment horizontal="left" vertical="center" wrapText="1" indent="1"/>
    </xf>
    <xf numFmtId="0" fontId="1" fillId="0" borderId="53" xfId="0" applyFont="1" applyBorder="1" applyAlignment="1">
      <alignment horizontal="left" vertical="center" wrapText="1" indent="1"/>
    </xf>
    <xf numFmtId="0" fontId="1" fillId="0" borderId="49" xfId="0" applyFont="1" applyBorder="1" applyAlignment="1">
      <alignment horizontal="left" vertical="center" wrapText="1" indent="1"/>
    </xf>
    <xf numFmtId="0" fontId="1" fillId="0" borderId="52" xfId="0" applyFont="1" applyBorder="1" applyAlignment="1">
      <alignment horizontal="left" vertical="center" wrapText="1" indent="1"/>
    </xf>
    <xf numFmtId="0" fontId="1" fillId="0" borderId="27" xfId="1" quotePrefix="1" applyBorder="1" applyAlignment="1">
      <alignment horizontal="left" vertical="center" indent="1"/>
    </xf>
    <xf numFmtId="0" fontId="1" fillId="0" borderId="56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6" fillId="0" borderId="55" xfId="1" applyFont="1" applyBorder="1" applyAlignment="1">
      <alignment horizontal="center" wrapText="1"/>
    </xf>
    <xf numFmtId="0" fontId="14" fillId="2" borderId="0" xfId="0" applyFont="1" applyFill="1" applyAlignment="1">
      <alignment horizontal="left" vertical="center" wrapText="1"/>
    </xf>
    <xf numFmtId="0" fontId="4" fillId="2" borderId="67" xfId="1" applyFont="1" applyFill="1" applyBorder="1" applyAlignment="1">
      <alignment horizontal="left" vertical="center" indent="1"/>
    </xf>
    <xf numFmtId="0" fontId="14" fillId="0" borderId="32" xfId="0" applyFont="1" applyBorder="1" applyAlignment="1">
      <alignment horizontal="left" wrapText="1"/>
    </xf>
    <xf numFmtId="0" fontId="16" fillId="0" borderId="53" xfId="0" applyFont="1" applyBorder="1" applyAlignment="1">
      <alignment horizontal="left" vertical="center" wrapText="1" indent="1"/>
    </xf>
    <xf numFmtId="0" fontId="0" fillId="0" borderId="16" xfId="0" applyBorder="1"/>
    <xf numFmtId="0" fontId="12" fillId="2" borderId="0" xfId="0" applyFont="1" applyFill="1"/>
    <xf numFmtId="0" fontId="14" fillId="0" borderId="22" xfId="0" applyFont="1" applyBorder="1" applyAlignment="1" applyProtection="1">
      <alignment horizontal="center" vertical="center" wrapText="1"/>
      <protection locked="0"/>
    </xf>
    <xf numFmtId="0" fontId="1" fillId="2" borderId="84" xfId="1" applyFill="1" applyBorder="1" applyAlignment="1" applyProtection="1">
      <alignment horizontal="center" vertical="center"/>
      <protection locked="0"/>
    </xf>
    <xf numFmtId="0" fontId="1" fillId="2" borderId="34" xfId="1" applyFill="1" applyBorder="1" applyAlignment="1" applyProtection="1">
      <alignment horizontal="center" vertical="center"/>
      <protection locked="0"/>
    </xf>
    <xf numFmtId="0" fontId="1" fillId="2" borderId="30" xfId="1" applyFill="1" applyBorder="1" applyAlignment="1" applyProtection="1">
      <alignment horizontal="center" vertical="center"/>
      <protection locked="0"/>
    </xf>
    <xf numFmtId="0" fontId="1" fillId="2" borderId="56" xfId="0" applyFont="1" applyFill="1" applyBorder="1" applyAlignment="1">
      <alignment horizontal="left" vertical="top" indent="1"/>
    </xf>
    <xf numFmtId="0" fontId="1" fillId="2" borderId="34" xfId="0" applyFont="1" applyFill="1" applyBorder="1" applyAlignment="1">
      <alignment horizontal="left" vertical="top" indent="1"/>
    </xf>
    <xf numFmtId="0" fontId="1" fillId="2" borderId="5" xfId="0" applyFont="1" applyFill="1" applyBorder="1" applyAlignment="1">
      <alignment horizontal="left" vertical="top" indent="1"/>
    </xf>
    <xf numFmtId="0" fontId="4" fillId="2" borderId="22" xfId="1" applyFont="1" applyFill="1" applyBorder="1" applyAlignment="1">
      <alignment horizontal="center" vertical="center" wrapText="1"/>
    </xf>
    <xf numFmtId="0" fontId="0" fillId="0" borderId="32" xfId="0" applyBorder="1"/>
    <xf numFmtId="0" fontId="5" fillId="0" borderId="23" xfId="0" applyFont="1" applyBorder="1" applyAlignment="1">
      <alignment horizontal="left" indent="1"/>
    </xf>
    <xf numFmtId="0" fontId="14" fillId="2" borderId="26" xfId="0" applyFont="1" applyFill="1" applyBorder="1" applyAlignment="1" applyProtection="1">
      <alignment horizontal="center" vertical="center"/>
      <protection locked="0"/>
    </xf>
    <xf numFmtId="167" fontId="1" fillId="0" borderId="59" xfId="0" applyNumberFormat="1" applyFont="1" applyBorder="1" applyAlignment="1" applyProtection="1">
      <alignment horizontal="center" vertical="center"/>
      <protection locked="0"/>
    </xf>
    <xf numFmtId="0" fontId="20" fillId="0" borderId="52" xfId="0" applyFont="1" applyBorder="1" applyProtection="1">
      <protection locked="0"/>
    </xf>
    <xf numFmtId="0" fontId="1" fillId="5" borderId="2" xfId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 indent="1"/>
    </xf>
    <xf numFmtId="0" fontId="4" fillId="0" borderId="34" xfId="1" applyFont="1" applyBorder="1" applyAlignment="1">
      <alignment horizontal="center" vertical="center"/>
    </xf>
    <xf numFmtId="0" fontId="16" fillId="2" borderId="59" xfId="0" applyFont="1" applyFill="1" applyBorder="1" applyAlignment="1">
      <alignment horizontal="center" wrapText="1"/>
    </xf>
    <xf numFmtId="0" fontId="14" fillId="2" borderId="44" xfId="0" applyFont="1" applyFill="1" applyBorder="1" applyAlignment="1">
      <alignment horizontal="left" wrapText="1"/>
    </xf>
    <xf numFmtId="0" fontId="1" fillId="0" borderId="55" xfId="1" applyBorder="1" applyAlignment="1" applyProtection="1">
      <alignment horizontal="center" vertical="center"/>
      <protection locked="0"/>
    </xf>
    <xf numFmtId="0" fontId="1" fillId="0" borderId="17" xfId="1" applyBorder="1" applyAlignment="1">
      <alignment horizontal="left" vertical="center" wrapText="1" indent="1"/>
    </xf>
    <xf numFmtId="0" fontId="1" fillId="0" borderId="9" xfId="1" applyBorder="1" applyAlignment="1">
      <alignment horizontal="left" vertical="center" wrapText="1"/>
    </xf>
    <xf numFmtId="0" fontId="1" fillId="0" borderId="68" xfId="1" applyBorder="1" applyAlignment="1">
      <alignment horizontal="left" vertical="center" wrapText="1" indent="1"/>
    </xf>
    <xf numFmtId="0" fontId="4" fillId="0" borderId="58" xfId="1" applyFont="1" applyBorder="1" applyAlignment="1">
      <alignment horizontal="center" wrapText="1"/>
    </xf>
    <xf numFmtId="0" fontId="1" fillId="0" borderId="17" xfId="1" quotePrefix="1" applyBorder="1" applyAlignment="1">
      <alignment horizontal="left" vertical="center" indent="1"/>
    </xf>
    <xf numFmtId="0" fontId="1" fillId="0" borderId="9" xfId="1" quotePrefix="1" applyBorder="1" applyAlignment="1">
      <alignment horizontal="left" vertical="center" indent="1"/>
    </xf>
    <xf numFmtId="0" fontId="1" fillId="2" borderId="17" xfId="1" applyFill="1" applyBorder="1" applyAlignment="1">
      <alignment horizontal="left" vertical="center" indent="2"/>
    </xf>
    <xf numFmtId="0" fontId="4" fillId="0" borderId="77" xfId="0" applyFont="1" applyBorder="1" applyAlignment="1">
      <alignment horizontal="center"/>
    </xf>
    <xf numFmtId="0" fontId="20" fillId="0" borderId="45" xfId="0" applyFont="1" applyBorder="1"/>
    <xf numFmtId="0" fontId="20" fillId="0" borderId="46" xfId="0" applyFont="1" applyBorder="1"/>
    <xf numFmtId="0" fontId="1" fillId="2" borderId="42" xfId="0" applyFont="1" applyFill="1" applyBorder="1" applyAlignment="1">
      <alignment horizontal="left" vertical="top" indent="1"/>
    </xf>
    <xf numFmtId="0" fontId="1" fillId="2" borderId="25" xfId="0" applyFont="1" applyFill="1" applyBorder="1" applyAlignment="1">
      <alignment horizontal="left" vertical="top" indent="1"/>
    </xf>
    <xf numFmtId="0" fontId="1" fillId="2" borderId="31" xfId="0" applyFont="1" applyFill="1" applyBorder="1" applyAlignment="1">
      <alignment horizontal="left" vertical="top" indent="1"/>
    </xf>
    <xf numFmtId="0" fontId="1" fillId="0" borderId="9" xfId="1" applyBorder="1" applyAlignment="1">
      <alignment horizontal="left" vertical="center"/>
    </xf>
    <xf numFmtId="0" fontId="1" fillId="0" borderId="17" xfId="0" applyFont="1" applyBorder="1" applyAlignment="1">
      <alignment horizontal="left" indent="1"/>
    </xf>
    <xf numFmtId="0" fontId="20" fillId="0" borderId="25" xfId="0" applyFont="1" applyBorder="1"/>
    <xf numFmtId="0" fontId="20" fillId="0" borderId="21" xfId="0" applyFont="1" applyBorder="1"/>
    <xf numFmtId="0" fontId="1" fillId="2" borderId="0" xfId="1" applyFill="1" applyAlignment="1">
      <alignment horizontal="center" vertical="center"/>
    </xf>
    <xf numFmtId="0" fontId="1" fillId="0" borderId="84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14" fontId="14" fillId="0" borderId="33" xfId="0" applyNumberFormat="1" applyFont="1" applyBorder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0" fontId="16" fillId="0" borderId="26" xfId="0" applyFont="1" applyBorder="1" applyAlignment="1">
      <alignment horizontal="center" vertical="center" wrapText="1"/>
    </xf>
    <xf numFmtId="0" fontId="4" fillId="0" borderId="56" xfId="1" applyFont="1" applyBorder="1" applyAlignment="1">
      <alignment horizontal="center" wrapText="1"/>
    </xf>
    <xf numFmtId="0" fontId="4" fillId="0" borderId="34" xfId="1" applyFont="1" applyBorder="1" applyAlignment="1">
      <alignment horizontal="center" wrapText="1"/>
    </xf>
    <xf numFmtId="0" fontId="4" fillId="0" borderId="30" xfId="1" applyFont="1" applyBorder="1" applyAlignment="1">
      <alignment horizontal="center" wrapText="1"/>
    </xf>
    <xf numFmtId="0" fontId="16" fillId="2" borderId="4" xfId="0" applyFont="1" applyFill="1" applyBorder="1" applyAlignment="1">
      <alignment horizontal="center"/>
    </xf>
    <xf numFmtId="0" fontId="4" fillId="2" borderId="57" xfId="1" applyFont="1" applyFill="1" applyBorder="1" applyAlignment="1">
      <alignment horizontal="left" vertical="center" indent="1"/>
    </xf>
    <xf numFmtId="0" fontId="1" fillId="0" borderId="17" xfId="1" applyBorder="1" applyAlignment="1">
      <alignment horizontal="left" vertical="center" wrapText="1"/>
    </xf>
    <xf numFmtId="0" fontId="5" fillId="0" borderId="0" xfId="0" applyFont="1" applyAlignment="1">
      <alignment horizontal="left" indent="1"/>
    </xf>
    <xf numFmtId="0" fontId="14" fillId="0" borderId="0" xfId="0" applyFont="1" applyAlignment="1">
      <alignment horizontal="left" vertical="center" wrapText="1"/>
    </xf>
    <xf numFmtId="0" fontId="1" fillId="2" borderId="58" xfId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 wrapText="1" indent="2"/>
    </xf>
    <xf numFmtId="0" fontId="6" fillId="0" borderId="55" xfId="1" applyFont="1" applyBorder="1" applyAlignment="1">
      <alignment horizontal="center" vertical="center" wrapText="1"/>
    </xf>
    <xf numFmtId="0" fontId="14" fillId="2" borderId="9" xfId="0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5" fillId="2" borderId="81" xfId="0" applyFont="1" applyFill="1" applyBorder="1" applyAlignment="1">
      <alignment horizontal="center" vertical="center"/>
    </xf>
    <xf numFmtId="0" fontId="0" fillId="0" borderId="79" xfId="0" applyBorder="1"/>
    <xf numFmtId="0" fontId="0" fillId="0" borderId="80" xfId="0" applyBorder="1"/>
    <xf numFmtId="0" fontId="16" fillId="2" borderId="4" xfId="0" applyFont="1" applyFill="1" applyBorder="1" applyAlignment="1">
      <alignment vertical="center" wrapText="1"/>
    </xf>
    <xf numFmtId="0" fontId="4" fillId="0" borderId="57" xfId="0" applyFont="1" applyBorder="1" applyAlignment="1">
      <alignment horizontal="left" indent="1"/>
    </xf>
    <xf numFmtId="0" fontId="20" fillId="0" borderId="49" xfId="0" applyFont="1" applyBorder="1"/>
    <xf numFmtId="0" fontId="20" fillId="0" borderId="54" xfId="0" applyFont="1" applyBorder="1"/>
    <xf numFmtId="0" fontId="4" fillId="2" borderId="58" xfId="1" applyFont="1" applyFill="1" applyBorder="1" applyAlignment="1">
      <alignment horizontal="center" wrapText="1"/>
    </xf>
    <xf numFmtId="0" fontId="4" fillId="2" borderId="83" xfId="1" applyFont="1" applyFill="1" applyBorder="1" applyAlignment="1">
      <alignment horizontal="center" wrapText="1"/>
    </xf>
    <xf numFmtId="0" fontId="4" fillId="2" borderId="46" xfId="1" applyFont="1" applyFill="1" applyBorder="1" applyAlignment="1">
      <alignment horizontal="center" wrapText="1"/>
    </xf>
    <xf numFmtId="0" fontId="4" fillId="2" borderId="32" xfId="1" applyFont="1" applyFill="1" applyBorder="1" applyAlignment="1">
      <alignment horizontal="center" wrapText="1"/>
    </xf>
    <xf numFmtId="0" fontId="4" fillId="2" borderId="61" xfId="1" applyFont="1" applyFill="1" applyBorder="1" applyAlignment="1">
      <alignment horizontal="center" wrapText="1"/>
    </xf>
    <xf numFmtId="0" fontId="4" fillId="2" borderId="40" xfId="1" applyFont="1" applyFill="1" applyBorder="1" applyAlignment="1">
      <alignment horizontal="center" wrapText="1"/>
    </xf>
    <xf numFmtId="0" fontId="4" fillId="2" borderId="41" xfId="1" applyFont="1" applyFill="1" applyBorder="1" applyAlignment="1">
      <alignment horizontal="center" wrapText="1"/>
    </xf>
    <xf numFmtId="0" fontId="14" fillId="0" borderId="4" xfId="0" applyFont="1" applyBorder="1" applyAlignment="1">
      <alignment horizontal="left" indent="1"/>
    </xf>
    <xf numFmtId="164" fontId="1" fillId="2" borderId="70" xfId="1" applyNumberFormat="1" applyFill="1" applyBorder="1" applyAlignment="1" applyProtection="1">
      <alignment horizontal="center" vertical="center"/>
      <protection locked="0"/>
    </xf>
    <xf numFmtId="0" fontId="1" fillId="2" borderId="21" xfId="1" applyFill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>
      <alignment horizontal="center" vertical="center" wrapText="1"/>
    </xf>
    <xf numFmtId="0" fontId="1" fillId="2" borderId="17" xfId="1" applyFill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 applyProtection="1">
      <alignment horizontal="center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4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left" indent="1"/>
    </xf>
    <xf numFmtId="0" fontId="20" fillId="0" borderId="34" xfId="0" applyFont="1" applyBorder="1"/>
    <xf numFmtId="0" fontId="1" fillId="2" borderId="9" xfId="1" applyFill="1" applyBorder="1" applyAlignment="1">
      <alignment horizontal="left" vertical="center" indent="1"/>
    </xf>
    <xf numFmtId="166" fontId="1" fillId="2" borderId="70" xfId="1" applyNumberForma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indent="1"/>
    </xf>
    <xf numFmtId="0" fontId="4" fillId="2" borderId="11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top" wrapText="1" indent="1"/>
    </xf>
    <xf numFmtId="0" fontId="6" fillId="0" borderId="57" xfId="1" applyFont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wrapText="1"/>
    </xf>
    <xf numFmtId="0" fontId="14" fillId="0" borderId="3" xfId="0" applyFont="1" applyBorder="1" applyAlignment="1" applyProtection="1">
      <alignment horizontal="center"/>
      <protection locked="0"/>
    </xf>
    <xf numFmtId="0" fontId="4" fillId="0" borderId="21" xfId="1" applyFont="1" applyBorder="1" applyAlignment="1">
      <alignment horizontal="center" vertical="center" wrapText="1"/>
    </xf>
    <xf numFmtId="0" fontId="16" fillId="2" borderId="53" xfId="0" applyFont="1" applyFill="1" applyBorder="1" applyAlignment="1">
      <alignment horizontal="center" vertical="center"/>
    </xf>
    <xf numFmtId="0" fontId="4" fillId="0" borderId="75" xfId="1" applyFont="1" applyBorder="1" applyAlignment="1">
      <alignment horizontal="center" wrapText="1"/>
    </xf>
    <xf numFmtId="0" fontId="14" fillId="2" borderId="22" xfId="0" applyFont="1" applyFill="1" applyBorder="1" applyAlignment="1">
      <alignment horizontal="center" vertical="center"/>
    </xf>
    <xf numFmtId="0" fontId="0" fillId="0" borderId="40" xfId="0" applyBorder="1"/>
    <xf numFmtId="0" fontId="4" fillId="0" borderId="4" xfId="1" applyFont="1" applyBorder="1" applyAlignment="1">
      <alignment horizontal="left"/>
    </xf>
    <xf numFmtId="0" fontId="15" fillId="0" borderId="0" xfId="0" applyFont="1" applyAlignment="1">
      <alignment horizontal="left" indent="2"/>
    </xf>
    <xf numFmtId="0" fontId="1" fillId="2" borderId="67" xfId="1" applyFill="1" applyBorder="1" applyAlignment="1">
      <alignment horizontal="center" vertical="center"/>
    </xf>
    <xf numFmtId="0" fontId="16" fillId="0" borderId="67" xfId="0" applyFont="1" applyBorder="1" applyAlignment="1">
      <alignment horizontal="center" vertical="center" wrapText="1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/>
    </xf>
    <xf numFmtId="0" fontId="4" fillId="0" borderId="51" xfId="1" applyFont="1" applyBorder="1" applyAlignment="1">
      <alignment horizontal="center" wrapText="1"/>
    </xf>
    <xf numFmtId="0" fontId="4" fillId="0" borderId="49" xfId="1" applyFont="1" applyBorder="1" applyAlignment="1">
      <alignment horizontal="center" wrapText="1"/>
    </xf>
    <xf numFmtId="0" fontId="4" fillId="0" borderId="54" xfId="1" applyFont="1" applyBorder="1" applyAlignment="1">
      <alignment horizontal="center" wrapText="1"/>
    </xf>
    <xf numFmtId="0" fontId="1" fillId="2" borderId="9" xfId="1" quotePrefix="1" applyFill="1" applyBorder="1" applyAlignment="1">
      <alignment horizontal="left" vertical="center" indent="1"/>
    </xf>
    <xf numFmtId="0" fontId="1" fillId="2" borderId="42" xfId="1" applyFill="1" applyBorder="1" applyAlignment="1">
      <alignment horizontal="left" vertical="center" wrapText="1" indent="1"/>
    </xf>
    <xf numFmtId="0" fontId="4" fillId="2" borderId="4" xfId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left" wrapText="1"/>
    </xf>
    <xf numFmtId="0" fontId="4" fillId="0" borderId="82" xfId="1" applyFont="1" applyBorder="1" applyAlignment="1">
      <alignment horizontal="center" vertical="center"/>
    </xf>
    <xf numFmtId="0" fontId="0" fillId="0" borderId="60" xfId="0" applyBorder="1"/>
    <xf numFmtId="0" fontId="0" fillId="0" borderId="78" xfId="0" applyBorder="1"/>
    <xf numFmtId="0" fontId="14" fillId="0" borderId="0" xfId="0" quotePrefix="1" applyFont="1" applyAlignment="1">
      <alignment horizontal="left" vertical="center" wrapText="1"/>
    </xf>
    <xf numFmtId="0" fontId="1" fillId="2" borderId="29" xfId="1" applyFill="1" applyBorder="1" applyAlignment="1" applyProtection="1">
      <alignment horizontal="center" vertical="center"/>
      <protection locked="0"/>
    </xf>
    <xf numFmtId="0" fontId="1" fillId="2" borderId="43" xfId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>
      <alignment horizontal="left" vertical="center" indent="1"/>
    </xf>
    <xf numFmtId="0" fontId="4" fillId="0" borderId="26" xfId="1" applyFont="1" applyBorder="1" applyAlignment="1">
      <alignment horizontal="center" wrapText="1"/>
    </xf>
    <xf numFmtId="0" fontId="4" fillId="2" borderId="22" xfId="1" applyFont="1" applyFill="1" applyBorder="1" applyAlignment="1">
      <alignment horizontal="center"/>
    </xf>
    <xf numFmtId="0" fontId="4" fillId="2" borderId="45" xfId="1" applyFont="1" applyFill="1" applyBorder="1" applyAlignment="1">
      <alignment horizontal="center" vertical="center" wrapText="1"/>
    </xf>
    <xf numFmtId="0" fontId="4" fillId="2" borderId="46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61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center" vertical="center" wrapText="1"/>
    </xf>
    <xf numFmtId="0" fontId="1" fillId="2" borderId="62" xfId="1" applyFill="1" applyBorder="1" applyAlignment="1">
      <alignment horizontal="left" vertical="center" indent="1"/>
    </xf>
    <xf numFmtId="0" fontId="14" fillId="2" borderId="3" xfId="0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1" fillId="0" borderId="27" xfId="1" applyBorder="1" applyAlignment="1">
      <alignment horizontal="left" vertical="center"/>
    </xf>
    <xf numFmtId="0" fontId="14" fillId="2" borderId="16" xfId="0" applyFont="1" applyFill="1" applyBorder="1" applyAlignment="1">
      <alignment horizontal="left" wrapText="1"/>
    </xf>
    <xf numFmtId="0" fontId="1" fillId="2" borderId="35" xfId="1" applyFill="1" applyBorder="1" applyAlignment="1" applyProtection="1">
      <alignment horizontal="center" vertical="center"/>
      <protection locked="0"/>
    </xf>
    <xf numFmtId="0" fontId="15" fillId="2" borderId="56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/>
    </xf>
    <xf numFmtId="0" fontId="1" fillId="2" borderId="48" xfId="1" applyFill="1" applyBorder="1" applyAlignment="1">
      <alignment horizontal="left" vertical="center" wrapText="1" indent="2"/>
    </xf>
    <xf numFmtId="0" fontId="1" fillId="2" borderId="9" xfId="1" applyFill="1" applyBorder="1" applyAlignment="1">
      <alignment horizontal="left" vertical="center" wrapText="1" indent="1"/>
    </xf>
    <xf numFmtId="0" fontId="4" fillId="0" borderId="19" xfId="1" applyFont="1" applyBorder="1" applyAlignment="1">
      <alignment horizontal="center" wrapText="1"/>
    </xf>
    <xf numFmtId="0" fontId="1" fillId="0" borderId="51" xfId="1" applyBorder="1" applyAlignment="1" applyProtection="1">
      <alignment horizontal="center" vertical="center"/>
      <protection locked="0"/>
    </xf>
    <xf numFmtId="0" fontId="1" fillId="0" borderId="49" xfId="1" applyBorder="1" applyAlignment="1" applyProtection="1">
      <alignment horizontal="center" vertical="center"/>
      <protection locked="0"/>
    </xf>
    <xf numFmtId="0" fontId="1" fillId="0" borderId="54" xfId="1" applyBorder="1" applyAlignment="1" applyProtection="1">
      <alignment horizontal="center" vertical="center"/>
      <protection locked="0"/>
    </xf>
    <xf numFmtId="0" fontId="1" fillId="5" borderId="1" xfId="1" applyFill="1" applyBorder="1" applyAlignment="1">
      <alignment horizontal="center" vertical="center"/>
    </xf>
    <xf numFmtId="0" fontId="1" fillId="0" borderId="20" xfId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 indent="1"/>
    </xf>
    <xf numFmtId="0" fontId="15" fillId="2" borderId="3" xfId="0" applyFont="1" applyFill="1" applyBorder="1" applyAlignment="1">
      <alignment horizontal="center"/>
    </xf>
    <xf numFmtId="0" fontId="14" fillId="2" borderId="70" xfId="0" applyFont="1" applyFill="1" applyBorder="1" applyAlignment="1" applyProtection="1">
      <alignment horizontal="center"/>
      <protection locked="0"/>
    </xf>
    <xf numFmtId="0" fontId="1" fillId="2" borderId="74" xfId="1" applyFill="1" applyBorder="1" applyAlignment="1">
      <alignment horizontal="left" vertical="center" indent="1"/>
    </xf>
    <xf numFmtId="0" fontId="1" fillId="0" borderId="1" xfId="1" applyBorder="1" applyAlignment="1" applyProtection="1">
      <alignment horizontal="center" vertical="center"/>
      <protection locked="0"/>
    </xf>
    <xf numFmtId="0" fontId="1" fillId="2" borderId="18" xfId="1" applyFill="1" applyBorder="1" applyAlignment="1" applyProtection="1">
      <alignment horizontal="center" vertical="center"/>
      <protection locked="0"/>
    </xf>
    <xf numFmtId="0" fontId="1" fillId="2" borderId="25" xfId="1" applyFill="1" applyBorder="1" applyAlignment="1" applyProtection="1">
      <alignment horizontal="center" vertical="center"/>
      <protection locked="0"/>
    </xf>
    <xf numFmtId="0" fontId="1" fillId="2" borderId="31" xfId="1" applyFill="1" applyBorder="1" applyAlignment="1" applyProtection="1">
      <alignment horizontal="center" vertical="center"/>
      <protection locked="0"/>
    </xf>
    <xf numFmtId="166" fontId="4" fillId="2" borderId="59" xfId="1" applyNumberFormat="1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/>
    </xf>
    <xf numFmtId="166" fontId="1" fillId="2" borderId="62" xfId="1" applyNumberForma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20" fillId="0" borderId="10" xfId="0" applyFont="1" applyBorder="1" applyProtection="1">
      <protection locked="0"/>
    </xf>
    <xf numFmtId="0" fontId="14" fillId="2" borderId="26" xfId="0" applyFont="1" applyFill="1" applyBorder="1" applyAlignment="1" applyProtection="1">
      <alignment horizontal="center" vertical="center" wrapText="1"/>
      <protection locked="0"/>
    </xf>
    <xf numFmtId="0" fontId="27" fillId="5" borderId="0" xfId="0" applyFont="1" applyFill="1" applyAlignment="1">
      <alignment horizontal="left" wrapText="1"/>
    </xf>
    <xf numFmtId="0" fontId="1" fillId="0" borderId="44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/>
      <protection locked="0"/>
    </xf>
    <xf numFmtId="0" fontId="4" fillId="0" borderId="51" xfId="1" applyFont="1" applyBorder="1" applyAlignment="1">
      <alignment horizontal="center" vertical="center" wrapText="1"/>
    </xf>
    <xf numFmtId="0" fontId="4" fillId="0" borderId="49" xfId="1" applyFont="1" applyBorder="1" applyAlignment="1">
      <alignment horizontal="center" vertical="center" wrapText="1"/>
    </xf>
    <xf numFmtId="0" fontId="4" fillId="0" borderId="54" xfId="1" applyFont="1" applyBorder="1" applyAlignment="1">
      <alignment horizontal="center" vertical="center" wrapText="1"/>
    </xf>
    <xf numFmtId="0" fontId="16" fillId="2" borderId="9" xfId="0" applyFont="1" applyFill="1" applyBorder="1" applyAlignment="1">
      <alignment vertical="center" wrapText="1"/>
    </xf>
    <xf numFmtId="0" fontId="4" fillId="2" borderId="51" xfId="1" applyFont="1" applyFill="1" applyBorder="1" applyAlignment="1">
      <alignment horizontal="center" vertical="center"/>
    </xf>
    <xf numFmtId="0" fontId="4" fillId="2" borderId="49" xfId="1" applyFont="1" applyFill="1" applyBorder="1" applyAlignment="1">
      <alignment horizontal="center" vertical="center"/>
    </xf>
    <xf numFmtId="0" fontId="4" fillId="2" borderId="52" xfId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4" fillId="0" borderId="5" xfId="1" applyFont="1" applyBorder="1" applyAlignment="1">
      <alignment horizontal="center" wrapText="1"/>
    </xf>
    <xf numFmtId="0" fontId="14" fillId="0" borderId="33" xfId="0" applyFont="1" applyBorder="1" applyAlignment="1" applyProtection="1">
      <alignment horizontal="left"/>
      <protection locked="0"/>
    </xf>
    <xf numFmtId="0" fontId="14" fillId="0" borderId="68" xfId="0" applyFont="1" applyBorder="1" applyAlignment="1">
      <alignment horizontal="left" wrapText="1"/>
    </xf>
    <xf numFmtId="0" fontId="14" fillId="2" borderId="39" xfId="0" applyFont="1" applyFill="1" applyBorder="1" applyAlignment="1">
      <alignment horizontal="left" wrapText="1"/>
    </xf>
    <xf numFmtId="0" fontId="42" fillId="0" borderId="0" xfId="0" applyFont="1" applyAlignment="1">
      <alignment horizontal="left" wrapText="1"/>
    </xf>
    <xf numFmtId="0" fontId="1" fillId="2" borderId="44" xfId="1" applyFill="1" applyBorder="1" applyAlignment="1">
      <alignment horizontal="left" vertical="center" wrapText="1" indent="1"/>
    </xf>
    <xf numFmtId="0" fontId="16" fillId="0" borderId="4" xfId="0" applyFon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1" fillId="0" borderId="0" xfId="0" applyFont="1"/>
    <xf numFmtId="0" fontId="16" fillId="0" borderId="47" xfId="0" applyFont="1" applyBorder="1" applyAlignment="1">
      <alignment horizontal="center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0" fillId="0" borderId="65" xfId="0" applyBorder="1"/>
    <xf numFmtId="0" fontId="0" fillId="0" borderId="11" xfId="0" applyBorder="1"/>
    <xf numFmtId="0" fontId="14" fillId="0" borderId="32" xfId="0" applyFont="1" applyBorder="1" applyAlignment="1">
      <alignment horizontal="left" vertical="center" wrapText="1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4" fillId="0" borderId="59" xfId="1" applyFont="1" applyBorder="1" applyAlignment="1">
      <alignment horizontal="center" vertical="center" wrapText="1"/>
    </xf>
    <xf numFmtId="164" fontId="4" fillId="2" borderId="59" xfId="1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 indent="1"/>
    </xf>
    <xf numFmtId="0" fontId="20" fillId="0" borderId="35" xfId="0" applyFont="1" applyBorder="1"/>
    <xf numFmtId="0" fontId="20" fillId="0" borderId="8" xfId="0" applyFont="1" applyBorder="1"/>
    <xf numFmtId="0" fontId="1" fillId="0" borderId="53" xfId="0" applyFont="1" applyBorder="1" applyAlignment="1">
      <alignment horizontal="left" wrapText="1" indent="1"/>
    </xf>
    <xf numFmtId="0" fontId="1" fillId="0" borderId="49" xfId="0" applyFont="1" applyBorder="1" applyAlignment="1">
      <alignment horizontal="left" wrapText="1" indent="1"/>
    </xf>
    <xf numFmtId="0" fontId="1" fillId="0" borderId="52" xfId="0" applyFont="1" applyBorder="1" applyAlignment="1">
      <alignment horizontal="left" wrapText="1" indent="1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indent="1"/>
    </xf>
    <xf numFmtId="0" fontId="1" fillId="0" borderId="56" xfId="0" applyFont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0" fontId="1" fillId="0" borderId="30" xfId="0" applyFont="1" applyBorder="1" applyAlignment="1" applyProtection="1">
      <alignment horizontal="center"/>
      <protection locked="0"/>
    </xf>
    <xf numFmtId="0" fontId="4" fillId="2" borderId="9" xfId="1" applyFont="1" applyFill="1" applyBorder="1" applyAlignment="1">
      <alignment horizontal="center" wrapText="1"/>
    </xf>
    <xf numFmtId="0" fontId="4" fillId="0" borderId="67" xfId="1" applyFont="1" applyBorder="1" applyAlignment="1">
      <alignment horizontal="center" wrapText="1"/>
    </xf>
    <xf numFmtId="0" fontId="4" fillId="0" borderId="51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14" fillId="2" borderId="67" xfId="0" applyFont="1" applyFill="1" applyBorder="1" applyAlignment="1" applyProtection="1">
      <alignment horizontal="center" vertical="center"/>
      <protection locked="0"/>
    </xf>
    <xf numFmtId="0" fontId="1" fillId="2" borderId="38" xfId="1" applyFill="1" applyBorder="1" applyAlignment="1">
      <alignment horizontal="left" vertical="center" wrapText="1" indent="1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2" borderId="68" xfId="0" applyFont="1" applyFill="1" applyBorder="1" applyAlignment="1">
      <alignment horizontal="left" indent="1"/>
    </xf>
    <xf numFmtId="166" fontId="1" fillId="2" borderId="62" xfId="1" applyNumberFormat="1" applyFill="1" applyBorder="1" applyAlignment="1">
      <alignment horizontal="center" vertical="center"/>
    </xf>
    <xf numFmtId="0" fontId="1" fillId="2" borderId="17" xfId="1" quotePrefix="1" applyFill="1" applyBorder="1" applyAlignment="1">
      <alignment horizontal="left" vertical="center" indent="1"/>
    </xf>
    <xf numFmtId="0" fontId="1" fillId="0" borderId="67" xfId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left"/>
    </xf>
    <xf numFmtId="0" fontId="15" fillId="2" borderId="56" xfId="0" applyFont="1" applyFill="1" applyBorder="1" applyAlignment="1">
      <alignment horizontal="center"/>
    </xf>
    <xf numFmtId="0" fontId="15" fillId="2" borderId="3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 vertical="center"/>
    </xf>
    <xf numFmtId="0" fontId="30" fillId="0" borderId="70" xfId="0" applyFont="1" applyBorder="1" applyAlignment="1">
      <alignment horizontal="left" wrapText="1" indent="1"/>
    </xf>
    <xf numFmtId="0" fontId="4" fillId="0" borderId="67" xfId="1" applyFont="1" applyBorder="1" applyAlignment="1">
      <alignment horizontal="left" vertical="center"/>
    </xf>
    <xf numFmtId="0" fontId="1" fillId="2" borderId="76" xfId="1" applyFill="1" applyBorder="1" applyAlignment="1">
      <alignment horizontal="left" vertical="center" indent="1"/>
    </xf>
    <xf numFmtId="0" fontId="14" fillId="2" borderId="17" xfId="0" applyFont="1" applyFill="1" applyBorder="1" applyAlignment="1" applyProtection="1">
      <alignment horizontal="center"/>
      <protection locked="0"/>
    </xf>
    <xf numFmtId="0" fontId="14" fillId="2" borderId="44" xfId="0" applyFont="1" applyFill="1" applyBorder="1" applyAlignment="1">
      <alignment horizontal="left" vertical="center" wrapText="1" indent="1"/>
    </xf>
    <xf numFmtId="0" fontId="16" fillId="2" borderId="59" xfId="0" applyFont="1" applyFill="1" applyBorder="1" applyAlignment="1">
      <alignment horizontal="left"/>
    </xf>
    <xf numFmtId="0" fontId="14" fillId="2" borderId="70" xfId="0" applyFont="1" applyFill="1" applyBorder="1" applyAlignment="1">
      <alignment horizontal="left" indent="1"/>
    </xf>
    <xf numFmtId="0" fontId="15" fillId="0" borderId="4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wrapText="1"/>
    </xf>
    <xf numFmtId="0" fontId="22" fillId="0" borderId="46" xfId="0" applyFont="1" applyBorder="1" applyAlignment="1">
      <alignment horizontal="center" wrapText="1"/>
    </xf>
    <xf numFmtId="0" fontId="22" fillId="0" borderId="23" xfId="0" applyFont="1" applyBorder="1" applyAlignment="1">
      <alignment horizontal="center" wrapText="1"/>
    </xf>
    <xf numFmtId="0" fontId="22" fillId="0" borderId="41" xfId="0" applyFont="1" applyBorder="1" applyAlignment="1">
      <alignment horizontal="center" wrapText="1"/>
    </xf>
    <xf numFmtId="0" fontId="22" fillId="0" borderId="83" xfId="0" applyFont="1" applyBorder="1" applyAlignment="1">
      <alignment horizontal="center" wrapText="1"/>
    </xf>
    <xf numFmtId="0" fontId="22" fillId="0" borderId="40" xfId="0" applyFont="1" applyBorder="1" applyAlignment="1">
      <alignment horizontal="center" wrapText="1"/>
    </xf>
    <xf numFmtId="0" fontId="1" fillId="2" borderId="20" xfId="1" applyFill="1" applyBorder="1" applyAlignment="1" applyProtection="1">
      <alignment horizontal="center" vertical="center" wrapText="1"/>
      <protection locked="0"/>
    </xf>
    <xf numFmtId="0" fontId="1" fillId="2" borderId="53" xfId="0" applyFont="1" applyFill="1" applyBorder="1" applyAlignment="1">
      <alignment horizontal="left" vertical="top" indent="1"/>
    </xf>
    <xf numFmtId="0" fontId="1" fillId="2" borderId="49" xfId="0" applyFont="1" applyFill="1" applyBorder="1" applyAlignment="1">
      <alignment horizontal="left" vertical="top" indent="1"/>
    </xf>
    <xf numFmtId="0" fontId="1" fillId="2" borderId="52" xfId="0" applyFont="1" applyFill="1" applyBorder="1" applyAlignment="1">
      <alignment horizontal="left" vertical="top" indent="1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center"/>
    </xf>
    <xf numFmtId="0" fontId="14" fillId="2" borderId="51" xfId="0" applyFont="1" applyFill="1" applyBorder="1" applyAlignment="1" applyProtection="1">
      <alignment horizontal="center" vertical="center"/>
      <protection locked="0"/>
    </xf>
    <xf numFmtId="0" fontId="14" fillId="2" borderId="52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20" fillId="0" borderId="13" xfId="0" applyFont="1" applyBorder="1" applyProtection="1">
      <protection locked="0"/>
    </xf>
    <xf numFmtId="166" fontId="1" fillId="2" borderId="4" xfId="1" applyNumberFormat="1" applyFill="1" applyBorder="1" applyAlignment="1" applyProtection="1">
      <alignment horizontal="center" vertical="center"/>
      <protection locked="0"/>
    </xf>
    <xf numFmtId="166" fontId="1" fillId="2" borderId="17" xfId="1" applyNumberFormat="1" applyFill="1" applyBorder="1" applyAlignment="1" applyProtection="1">
      <alignment horizontal="center" vertical="center"/>
      <protection locked="0"/>
    </xf>
    <xf numFmtId="166" fontId="1" fillId="2" borderId="68" xfId="1" applyNumberFormat="1" applyFill="1" applyBorder="1" applyAlignment="1" applyProtection="1">
      <alignment horizontal="center" vertical="center"/>
      <protection locked="0"/>
    </xf>
    <xf numFmtId="0" fontId="1" fillId="2" borderId="27" xfId="1" applyFill="1" applyBorder="1" applyAlignment="1">
      <alignment horizontal="left" vertical="center" indent="1"/>
    </xf>
    <xf numFmtId="0" fontId="14" fillId="2" borderId="1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28575</xdr:colOff>
      <xdr:row>1</xdr:row>
      <xdr:rowOff>38100</xdr:rowOff>
    </xdr:to>
    <xdr:pic>
      <xdr:nvPicPr>
        <xdr:cNvPr id="1026" name="Picture 1" descr="e gov of cda fip 10pt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2333625" cy="2286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504825</xdr:colOff>
      <xdr:row>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857500" cy="2857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28575</xdr:colOff>
      <xdr:row>1</xdr:row>
      <xdr:rowOff>38100</xdr:rowOff>
    </xdr:to>
    <xdr:pic>
      <xdr:nvPicPr>
        <xdr:cNvPr id="2050" name="Picture 1" descr="e gov of cda fip 10pt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2628900" cy="2286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504825</xdr:colOff>
      <xdr:row>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52775" cy="2857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91"/>
  <sheetViews>
    <sheetView showGridLines="0" tabSelected="1" zoomScale="80" zoomScaleNormal="80" workbookViewId="0">
      <selection activeCell="D6" sqref="D6:I6"/>
    </sheetView>
  </sheetViews>
  <sheetFormatPr defaultColWidth="9" defaultRowHeight="14.25" x14ac:dyDescent="0.45"/>
  <cols>
    <col min="1" max="1" width="9" style="16" customWidth="1"/>
    <col min="2" max="2" width="7.73046875" style="16" customWidth="1"/>
    <col min="3" max="3" width="10.59765625" style="16" customWidth="1"/>
    <col min="4" max="4" width="8" style="16" customWidth="1"/>
    <col min="5" max="5" width="12.1328125" style="16" customWidth="1"/>
    <col min="6" max="6" width="11.73046875" style="16" customWidth="1"/>
    <col min="7" max="7" width="10" style="16" customWidth="1"/>
    <col min="8" max="8" width="8.86328125" style="16" customWidth="1"/>
    <col min="9" max="9" width="9.86328125" style="16" customWidth="1"/>
    <col min="10" max="10" width="8.86328125" style="16" customWidth="1"/>
    <col min="11" max="11" width="9.1328125" style="16" customWidth="1"/>
    <col min="12" max="12" width="8.3984375" style="16" customWidth="1"/>
  </cols>
  <sheetData>
    <row r="1" spans="1:27" x14ac:dyDescent="0.45">
      <c r="M1" s="72"/>
      <c r="N1" s="72"/>
      <c r="O1" s="72"/>
      <c r="P1" s="72"/>
      <c r="Q1" s="32" t="s">
        <v>0</v>
      </c>
      <c r="R1" s="72"/>
      <c r="S1" s="72"/>
      <c r="T1" s="72"/>
      <c r="U1" s="72"/>
      <c r="V1" s="72"/>
      <c r="W1" s="72"/>
    </row>
    <row r="2" spans="1:27" x14ac:dyDescent="0.45"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27" x14ac:dyDescent="0.45"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</row>
    <row r="4" spans="1:27" ht="18.75" customHeight="1" x14ac:dyDescent="0.5">
      <c r="A4" s="409" t="s">
        <v>1</v>
      </c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</row>
    <row r="5" spans="1:27" x14ac:dyDescent="0.45"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</row>
    <row r="6" spans="1:27" x14ac:dyDescent="0.45">
      <c r="A6" s="506" t="s">
        <v>2</v>
      </c>
      <c r="B6" s="352"/>
      <c r="C6" s="352"/>
      <c r="D6" s="531"/>
      <c r="E6" s="475"/>
      <c r="F6" s="475"/>
      <c r="G6" s="475"/>
      <c r="H6" s="475"/>
      <c r="I6" s="475"/>
      <c r="K6" s="259" t="str">
        <f>IF(D6="", "Vous devez entrer un nom d'institution", "")</f>
        <v>Vous devez entrer un nom d'institution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</row>
    <row r="7" spans="1:27" x14ac:dyDescent="0.45"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</row>
    <row r="8" spans="1:27" s="16" customFormat="1" x14ac:dyDescent="0.45">
      <c r="A8" s="506" t="s">
        <v>3</v>
      </c>
      <c r="B8" s="352"/>
      <c r="C8" s="352"/>
      <c r="D8" s="352"/>
      <c r="E8" s="352"/>
      <c r="F8" s="537">
        <v>45748</v>
      </c>
      <c r="G8" s="421"/>
      <c r="H8" s="17" t="s">
        <v>4</v>
      </c>
      <c r="I8" s="537">
        <v>46112</v>
      </c>
      <c r="J8" s="42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</row>
    <row r="9" spans="1:27" x14ac:dyDescent="0.45"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</row>
    <row r="10" spans="1:27" ht="15.75" customHeight="1" x14ac:dyDescent="0.45">
      <c r="A10" s="514" t="s">
        <v>1587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7" ht="15" customHeight="1" x14ac:dyDescent="0.45"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</row>
    <row r="12" spans="1:27" ht="15" customHeight="1" thickBot="1" x14ac:dyDescent="0.5">
      <c r="A12" s="437" t="s">
        <v>5</v>
      </c>
      <c r="B12" s="352"/>
      <c r="C12" s="352"/>
      <c r="D12" s="352"/>
      <c r="E12" s="352"/>
      <c r="F12" s="352"/>
      <c r="G12" s="352"/>
      <c r="H12" s="352"/>
      <c r="I12" s="352"/>
      <c r="J12" s="352"/>
      <c r="L12" s="25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</row>
    <row r="13" spans="1:27" ht="15.75" customHeight="1" thickTop="1" thickBot="1" x14ac:dyDescent="0.5">
      <c r="G13" s="159"/>
      <c r="H13" s="443" t="s">
        <v>6</v>
      </c>
      <c r="I13" s="380"/>
      <c r="J13" s="387"/>
      <c r="L13" s="25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</row>
    <row r="14" spans="1:27" ht="15.75" customHeight="1" thickTop="1" x14ac:dyDescent="0.45">
      <c r="A14" s="660" t="s">
        <v>7</v>
      </c>
      <c r="B14" s="360"/>
      <c r="C14" s="360"/>
      <c r="D14" s="360"/>
      <c r="E14" s="360"/>
      <c r="F14" s="360"/>
      <c r="G14" s="488"/>
      <c r="H14" s="593">
        <v>0</v>
      </c>
      <c r="I14" s="369"/>
      <c r="J14" s="370"/>
      <c r="L14" s="9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16"/>
      <c r="Y14" s="16"/>
      <c r="Z14" s="16"/>
      <c r="AA14" s="16"/>
    </row>
    <row r="15" spans="1:27" ht="15.75" customHeight="1" thickBot="1" x14ac:dyDescent="0.5">
      <c r="A15" s="674" t="s">
        <v>8</v>
      </c>
      <c r="B15" s="377"/>
      <c r="C15" s="377"/>
      <c r="D15" s="377"/>
      <c r="E15" s="377"/>
      <c r="F15" s="377"/>
      <c r="G15" s="377"/>
      <c r="H15" s="451">
        <f>G16+G17</f>
        <v>0</v>
      </c>
      <c r="I15" s="377"/>
      <c r="J15" s="378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16"/>
      <c r="Y15" s="16"/>
      <c r="Z15" s="16"/>
      <c r="AA15" s="16"/>
    </row>
    <row r="16" spans="1:27" ht="29.25" customHeight="1" thickTop="1" thickBot="1" x14ac:dyDescent="0.5">
      <c r="A16" s="567" t="s">
        <v>9</v>
      </c>
      <c r="B16" s="377"/>
      <c r="C16" s="377"/>
      <c r="D16" s="377"/>
      <c r="E16" s="377"/>
      <c r="F16" s="350"/>
      <c r="G16" s="160">
        <v>0</v>
      </c>
      <c r="H16" s="596"/>
      <c r="I16" s="597"/>
      <c r="J16" s="588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16"/>
      <c r="Y16" s="16"/>
      <c r="Z16" s="16"/>
      <c r="AA16" s="16"/>
    </row>
    <row r="17" spans="1:27" ht="31.5" customHeight="1" thickTop="1" thickBot="1" x14ac:dyDescent="0.5">
      <c r="A17" s="664" t="s">
        <v>10</v>
      </c>
      <c r="B17" s="372"/>
      <c r="C17" s="372"/>
      <c r="D17" s="372"/>
      <c r="E17" s="372"/>
      <c r="F17" s="373"/>
      <c r="G17" s="161">
        <v>0</v>
      </c>
      <c r="H17" s="375"/>
      <c r="I17" s="375"/>
      <c r="J17" s="397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16"/>
      <c r="Y17" s="16"/>
      <c r="Z17" s="16"/>
      <c r="AA17" s="16"/>
    </row>
    <row r="18" spans="1:27" ht="16.5" customHeight="1" thickTop="1" thickBot="1" x14ac:dyDescent="0.5">
      <c r="A18" s="540" t="s">
        <v>11</v>
      </c>
      <c r="B18" s="380"/>
      <c r="C18" s="380"/>
      <c r="D18" s="380"/>
      <c r="E18" s="380"/>
      <c r="F18" s="380"/>
      <c r="G18" s="387"/>
      <c r="H18" s="558">
        <f>H14+H15</f>
        <v>0</v>
      </c>
      <c r="I18" s="380"/>
      <c r="J18" s="387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16"/>
      <c r="Y18" s="16"/>
      <c r="Z18" s="16"/>
      <c r="AA18" s="16"/>
    </row>
    <row r="19" spans="1:27" ht="15.75" customHeight="1" thickTop="1" x14ac:dyDescent="0.45">
      <c r="A19" s="566" t="s">
        <v>12</v>
      </c>
      <c r="B19" s="360"/>
      <c r="C19" s="360"/>
      <c r="D19" s="360"/>
      <c r="E19" s="360"/>
      <c r="F19" s="360"/>
      <c r="G19" s="488"/>
      <c r="H19" s="368">
        <v>0</v>
      </c>
      <c r="I19" s="369"/>
      <c r="J19" s="370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16"/>
      <c r="Y19" s="16"/>
      <c r="Z19" s="16"/>
      <c r="AA19" s="16"/>
    </row>
    <row r="20" spans="1:27" ht="15.75" customHeight="1" thickBot="1" x14ac:dyDescent="0.5">
      <c r="A20" s="650" t="s">
        <v>13</v>
      </c>
      <c r="B20" s="377"/>
      <c r="C20" s="377"/>
      <c r="D20" s="377"/>
      <c r="E20" s="377"/>
      <c r="F20" s="377"/>
      <c r="G20" s="378"/>
      <c r="H20" s="416">
        <f>SUM(G21:G22)</f>
        <v>0</v>
      </c>
      <c r="I20" s="377"/>
      <c r="J20" s="378"/>
      <c r="L20" s="25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4"/>
      <c r="Y20" s="16"/>
      <c r="Z20" s="16"/>
      <c r="AA20" s="16"/>
    </row>
    <row r="21" spans="1:27" ht="27" customHeight="1" thickTop="1" thickBot="1" x14ac:dyDescent="0.5">
      <c r="A21" s="658" t="s">
        <v>1585</v>
      </c>
      <c r="B21" s="377"/>
      <c r="C21" s="377"/>
      <c r="D21" s="377"/>
      <c r="E21" s="377"/>
      <c r="F21" s="350"/>
      <c r="G21" s="160">
        <v>0</v>
      </c>
      <c r="H21" s="523"/>
      <c r="I21" s="597"/>
      <c r="J21" s="588"/>
      <c r="K21" s="651" t="str">
        <f>IF(H20&lt;&gt;(H18-H19),"""Reportées à la prochaine période d'établissement de rapport"" doit être égal au ""Total"" moins ""Fermées pendant la période d'établissement de rapport""","")</f>
        <v/>
      </c>
      <c r="L21" s="652"/>
      <c r="M21" s="652"/>
      <c r="N21" s="652"/>
      <c r="O21" s="652"/>
      <c r="P21" s="652"/>
      <c r="Q21" s="652"/>
      <c r="R21" s="71"/>
      <c r="S21" s="71"/>
      <c r="T21" s="71"/>
      <c r="U21" s="71"/>
      <c r="V21" s="71"/>
      <c r="W21" s="71"/>
      <c r="X21" s="16"/>
      <c r="Y21" s="16"/>
      <c r="Z21" s="16"/>
      <c r="AA21" s="16"/>
    </row>
    <row r="22" spans="1:27" ht="26.25" customHeight="1" thickTop="1" thickBot="1" x14ac:dyDescent="0.5">
      <c r="A22" s="657" t="s">
        <v>1586</v>
      </c>
      <c r="B22" s="372"/>
      <c r="C22" s="372"/>
      <c r="D22" s="372"/>
      <c r="E22" s="372"/>
      <c r="F22" s="414"/>
      <c r="G22" s="162">
        <v>0</v>
      </c>
      <c r="H22" s="396"/>
      <c r="I22" s="375"/>
      <c r="J22" s="397"/>
      <c r="K22" s="651"/>
      <c r="L22" s="652"/>
      <c r="M22" s="652"/>
      <c r="N22" s="652"/>
      <c r="O22" s="652"/>
      <c r="P22" s="652"/>
      <c r="Q22" s="652"/>
      <c r="R22" s="71"/>
      <c r="S22" s="71"/>
      <c r="T22" s="71"/>
      <c r="U22" s="71"/>
      <c r="V22" s="71"/>
      <c r="W22" s="71"/>
      <c r="X22" s="16"/>
      <c r="Y22" s="16"/>
      <c r="Z22" s="16"/>
      <c r="AA22" s="16"/>
    </row>
    <row r="23" spans="1:27" ht="18" customHeight="1" thickTop="1" x14ac:dyDescent="0.45">
      <c r="A23" s="75"/>
      <c r="B23" s="75"/>
      <c r="C23" s="75"/>
      <c r="D23" s="75"/>
      <c r="E23" s="75"/>
      <c r="F23" s="76"/>
      <c r="G23" s="17"/>
      <c r="H23" s="17"/>
      <c r="I23" s="17"/>
      <c r="J23" s="17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16"/>
      <c r="Y23" s="16"/>
      <c r="Z23" s="16"/>
      <c r="AA23" s="16"/>
    </row>
    <row r="24" spans="1:27" ht="18" customHeight="1" x14ac:dyDescent="0.45">
      <c r="A24" s="427" t="s">
        <v>14</v>
      </c>
      <c r="B24" s="352"/>
      <c r="C24" s="352"/>
      <c r="D24" s="352"/>
      <c r="E24" s="352"/>
      <c r="F24" s="352"/>
      <c r="G24" s="352"/>
      <c r="H24" s="352"/>
      <c r="I24" s="352"/>
      <c r="J24" s="352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16"/>
      <c r="Y24" s="16"/>
      <c r="Z24" s="16"/>
      <c r="AA24" s="16"/>
    </row>
    <row r="25" spans="1:27" ht="18" customHeight="1" thickBot="1" x14ac:dyDescent="0.5">
      <c r="A25" s="65"/>
      <c r="B25" s="26"/>
      <c r="C25" s="26"/>
      <c r="D25" s="26"/>
      <c r="E25" s="26"/>
      <c r="F25" s="26"/>
      <c r="G25" s="28"/>
      <c r="H25" s="28"/>
      <c r="I25" s="28"/>
      <c r="J25" s="28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16"/>
      <c r="Y25" s="16"/>
      <c r="Z25" s="16"/>
      <c r="AA25" s="16"/>
    </row>
    <row r="26" spans="1:27" ht="15" customHeight="1" thickTop="1" thickBot="1" x14ac:dyDescent="0.5">
      <c r="A26" s="518" t="s">
        <v>15</v>
      </c>
      <c r="B26" s="380"/>
      <c r="C26" s="380"/>
      <c r="D26" s="380"/>
      <c r="E26" s="380"/>
      <c r="F26" s="387"/>
      <c r="G26" s="538" t="s">
        <v>6</v>
      </c>
      <c r="H26" s="380"/>
      <c r="I26" s="380"/>
      <c r="J26" s="380"/>
      <c r="K26" s="163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16"/>
      <c r="Y26" s="16"/>
      <c r="Z26" s="16"/>
      <c r="AA26" s="16"/>
    </row>
    <row r="27" spans="1:27" ht="15" customHeight="1" thickTop="1" x14ac:dyDescent="0.45">
      <c r="A27" s="617" t="s">
        <v>16</v>
      </c>
      <c r="B27" s="421"/>
      <c r="C27" s="421"/>
      <c r="D27" s="421"/>
      <c r="E27" s="421"/>
      <c r="F27" s="354"/>
      <c r="G27" s="556">
        <v>0</v>
      </c>
      <c r="H27" s="369"/>
      <c r="I27" s="369"/>
      <c r="J27" s="424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16"/>
      <c r="Y27" s="16"/>
      <c r="Z27" s="16"/>
      <c r="AA27" s="16"/>
    </row>
    <row r="28" spans="1:27" ht="15" customHeight="1" x14ac:dyDescent="0.45">
      <c r="A28" s="388" t="s">
        <v>17</v>
      </c>
      <c r="B28" s="377"/>
      <c r="C28" s="377"/>
      <c r="D28" s="377"/>
      <c r="E28" s="377"/>
      <c r="F28" s="350"/>
      <c r="G28" s="533">
        <v>0</v>
      </c>
      <c r="H28" s="356"/>
      <c r="I28" s="356"/>
      <c r="J28" s="357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16"/>
      <c r="Y28" s="16"/>
      <c r="Z28" s="16"/>
      <c r="AA28" s="16"/>
    </row>
    <row r="29" spans="1:27" ht="15" customHeight="1" x14ac:dyDescent="0.45">
      <c r="A29" s="388" t="s">
        <v>18</v>
      </c>
      <c r="B29" s="377"/>
      <c r="C29" s="377"/>
      <c r="D29" s="377"/>
      <c r="E29" s="377"/>
      <c r="F29" s="350"/>
      <c r="G29" s="533">
        <v>0</v>
      </c>
      <c r="H29" s="356"/>
      <c r="I29" s="356"/>
      <c r="J29" s="357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16"/>
      <c r="Y29" s="16"/>
      <c r="Z29" s="16"/>
      <c r="AA29" s="16"/>
    </row>
    <row r="30" spans="1:27" ht="15" customHeight="1" x14ac:dyDescent="0.45">
      <c r="A30" s="388" t="s">
        <v>19</v>
      </c>
      <c r="B30" s="377"/>
      <c r="C30" s="377"/>
      <c r="D30" s="377"/>
      <c r="E30" s="377"/>
      <c r="F30" s="350"/>
      <c r="G30" s="533">
        <v>0</v>
      </c>
      <c r="H30" s="356"/>
      <c r="I30" s="356"/>
      <c r="J30" s="357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16"/>
      <c r="Y30" s="16"/>
      <c r="Z30" s="16"/>
      <c r="AA30" s="16"/>
    </row>
    <row r="31" spans="1:27" ht="15" customHeight="1" x14ac:dyDescent="0.45">
      <c r="A31" s="388" t="s">
        <v>20</v>
      </c>
      <c r="B31" s="377"/>
      <c r="C31" s="377"/>
      <c r="D31" s="377"/>
      <c r="E31" s="377"/>
      <c r="F31" s="350"/>
      <c r="G31" s="533">
        <v>0</v>
      </c>
      <c r="H31" s="356"/>
      <c r="I31" s="356"/>
      <c r="J31" s="357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16"/>
      <c r="Y31" s="16"/>
      <c r="Z31" s="16"/>
      <c r="AA31" s="16"/>
    </row>
    <row r="32" spans="1:27" ht="15" customHeight="1" thickBot="1" x14ac:dyDescent="0.5">
      <c r="A32" s="665" t="s">
        <v>21</v>
      </c>
      <c r="B32" s="597"/>
      <c r="C32" s="597"/>
      <c r="D32" s="597"/>
      <c r="E32" s="597"/>
      <c r="F32" s="666"/>
      <c r="G32" s="622">
        <v>0</v>
      </c>
      <c r="H32" s="544"/>
      <c r="I32" s="544"/>
      <c r="J32" s="407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16"/>
      <c r="Y32" s="16"/>
      <c r="Z32" s="16"/>
      <c r="AA32" s="16"/>
    </row>
    <row r="33" spans="1:27" ht="15" customHeight="1" thickTop="1" thickBot="1" x14ac:dyDescent="0.5">
      <c r="A33" s="379" t="s">
        <v>11</v>
      </c>
      <c r="B33" s="380"/>
      <c r="C33" s="380"/>
      <c r="D33" s="380"/>
      <c r="E33" s="380"/>
      <c r="F33" s="381"/>
      <c r="G33" s="621">
        <f>SUM(G27:J32)</f>
        <v>0</v>
      </c>
      <c r="H33" s="380"/>
      <c r="I33" s="380"/>
      <c r="J33" s="381"/>
      <c r="L33" s="92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4"/>
      <c r="Y33" s="16"/>
      <c r="Z33" s="16"/>
      <c r="AA33" s="16"/>
    </row>
    <row r="34" spans="1:27" ht="15.75" customHeight="1" thickTop="1" x14ac:dyDescent="0.45">
      <c r="A34" s="111"/>
      <c r="B34" s="111"/>
      <c r="C34" s="111"/>
      <c r="D34" s="111"/>
      <c r="E34" s="111"/>
      <c r="F34" s="111"/>
      <c r="G34" s="27"/>
      <c r="H34" s="27"/>
      <c r="I34" s="27"/>
      <c r="J34" s="27"/>
      <c r="K34" s="92"/>
      <c r="L34" s="92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16"/>
      <c r="Y34" s="16"/>
      <c r="Z34" s="16"/>
      <c r="AA34" s="16"/>
    </row>
    <row r="35" spans="1:27" ht="14.25" customHeight="1" x14ac:dyDescent="0.45">
      <c r="A35" s="427" t="s">
        <v>22</v>
      </c>
      <c r="B35" s="352"/>
      <c r="C35" s="352"/>
      <c r="D35" s="352"/>
      <c r="E35" s="352"/>
      <c r="F35" s="352"/>
      <c r="G35" s="352"/>
      <c r="H35" s="352"/>
      <c r="I35" s="352"/>
      <c r="J35" s="352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16"/>
      <c r="Y35" s="16"/>
      <c r="Z35" s="16"/>
      <c r="AA35" s="16"/>
    </row>
    <row r="36" spans="1:27" ht="14.25" customHeight="1" thickBot="1" x14ac:dyDescent="0.5">
      <c r="A36" s="26"/>
      <c r="B36" s="26"/>
      <c r="C36" s="26"/>
      <c r="D36" s="26"/>
      <c r="E36" s="26"/>
      <c r="F36" s="26"/>
      <c r="G36" s="28"/>
      <c r="H36" s="28"/>
      <c r="I36" s="28"/>
      <c r="J36" s="28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16"/>
      <c r="Y36" s="16"/>
      <c r="Z36" s="16"/>
      <c r="AA36" s="16"/>
    </row>
    <row r="37" spans="1:27" ht="14.25" customHeight="1" thickTop="1" thickBot="1" x14ac:dyDescent="0.5">
      <c r="A37" s="518" t="s">
        <v>23</v>
      </c>
      <c r="B37" s="380"/>
      <c r="C37" s="380"/>
      <c r="D37" s="380"/>
      <c r="E37" s="380"/>
      <c r="F37" s="387"/>
      <c r="G37" s="558" t="s">
        <v>24</v>
      </c>
      <c r="H37" s="380"/>
      <c r="I37" s="380"/>
      <c r="J37" s="387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16"/>
      <c r="Y37" s="16"/>
      <c r="Z37" s="16"/>
      <c r="AA37" s="16"/>
    </row>
    <row r="38" spans="1:27" ht="14.25" customHeight="1" thickTop="1" x14ac:dyDescent="0.45">
      <c r="A38" s="385" t="s">
        <v>25</v>
      </c>
      <c r="B38" s="360"/>
      <c r="C38" s="360"/>
      <c r="D38" s="360"/>
      <c r="E38" s="360"/>
      <c r="F38" s="361"/>
      <c r="G38" s="656">
        <v>0</v>
      </c>
      <c r="H38" s="475"/>
      <c r="I38" s="475"/>
      <c r="J38" s="446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16"/>
      <c r="Y38" s="16"/>
      <c r="Z38" s="16"/>
      <c r="AA38" s="16"/>
    </row>
    <row r="39" spans="1:27" ht="14.25" customHeight="1" x14ac:dyDescent="0.45">
      <c r="A39" s="388" t="s">
        <v>26</v>
      </c>
      <c r="B39" s="377"/>
      <c r="C39" s="377"/>
      <c r="D39" s="377"/>
      <c r="E39" s="377"/>
      <c r="F39" s="377"/>
      <c r="G39" s="559">
        <v>0</v>
      </c>
      <c r="H39" s="356"/>
      <c r="I39" s="356"/>
      <c r="J39" s="357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16"/>
      <c r="Y39" s="16"/>
      <c r="Z39" s="16"/>
      <c r="AA39" s="16"/>
    </row>
    <row r="40" spans="1:27" ht="14.25" customHeight="1" x14ac:dyDescent="0.45">
      <c r="A40" s="388" t="s">
        <v>27</v>
      </c>
      <c r="B40" s="377"/>
      <c r="C40" s="377"/>
      <c r="D40" s="377"/>
      <c r="E40" s="377"/>
      <c r="F40" s="350"/>
      <c r="G40" s="533">
        <v>0</v>
      </c>
      <c r="H40" s="356"/>
      <c r="I40" s="356"/>
      <c r="J40" s="357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16"/>
      <c r="Y40" s="16"/>
      <c r="Z40" s="16"/>
      <c r="AA40" s="16"/>
    </row>
    <row r="41" spans="1:27" ht="14.25" customHeight="1" x14ac:dyDescent="0.45">
      <c r="A41" s="388" t="s">
        <v>28</v>
      </c>
      <c r="B41" s="377"/>
      <c r="C41" s="377"/>
      <c r="D41" s="377"/>
      <c r="E41" s="377"/>
      <c r="F41" s="350"/>
      <c r="G41" s="533">
        <v>0</v>
      </c>
      <c r="H41" s="356"/>
      <c r="I41" s="356"/>
      <c r="J41" s="357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16"/>
      <c r="Y41" s="16"/>
      <c r="Z41" s="16"/>
      <c r="AA41" s="16"/>
    </row>
    <row r="42" spans="1:27" ht="14.25" customHeight="1" x14ac:dyDescent="0.45">
      <c r="A42" s="388" t="s">
        <v>29</v>
      </c>
      <c r="B42" s="377"/>
      <c r="C42" s="377"/>
      <c r="D42" s="377"/>
      <c r="E42" s="377"/>
      <c r="F42" s="377"/>
      <c r="G42" s="559">
        <v>0</v>
      </c>
      <c r="H42" s="356"/>
      <c r="I42" s="356"/>
      <c r="J42" s="357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16"/>
      <c r="Y42" s="16"/>
      <c r="Z42" s="16"/>
      <c r="AA42" s="16"/>
    </row>
    <row r="43" spans="1:27" ht="14.25" customHeight="1" thickBot="1" x14ac:dyDescent="0.5">
      <c r="A43" s="665" t="s">
        <v>30</v>
      </c>
      <c r="B43" s="597"/>
      <c r="C43" s="597"/>
      <c r="D43" s="597"/>
      <c r="E43" s="597"/>
      <c r="F43" s="597"/>
      <c r="G43" s="677">
        <v>0</v>
      </c>
      <c r="H43" s="470"/>
      <c r="I43" s="470"/>
      <c r="J43" s="348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16"/>
      <c r="Y43" s="16"/>
      <c r="Z43" s="16"/>
      <c r="AA43" s="16"/>
    </row>
    <row r="44" spans="1:27" ht="14.25" customHeight="1" thickTop="1" thickBot="1" x14ac:dyDescent="0.5">
      <c r="A44" s="379" t="s">
        <v>11</v>
      </c>
      <c r="B44" s="380"/>
      <c r="C44" s="380"/>
      <c r="D44" s="380"/>
      <c r="E44" s="380"/>
      <c r="F44" s="381"/>
      <c r="G44" s="560">
        <f>SUM(G38:J43)</f>
        <v>0</v>
      </c>
      <c r="H44" s="380"/>
      <c r="I44" s="380"/>
      <c r="J44" s="381"/>
      <c r="L44" s="9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4"/>
      <c r="Y44" s="16"/>
      <c r="Z44" s="16"/>
      <c r="AA44" s="16"/>
    </row>
    <row r="45" spans="1:27" ht="14.25" customHeight="1" thickTop="1" x14ac:dyDescent="0.45">
      <c r="A45" s="23"/>
      <c r="B45" s="23"/>
      <c r="C45" s="23"/>
      <c r="D45" s="23"/>
      <c r="E45" s="23"/>
      <c r="F45" s="23"/>
      <c r="G45" s="24"/>
      <c r="H45" s="24"/>
      <c r="I45" s="24"/>
      <c r="J45" s="24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16"/>
      <c r="Y45" s="16"/>
      <c r="Z45" s="16"/>
      <c r="AA45" s="16"/>
    </row>
    <row r="46" spans="1:27" ht="14.25" customHeight="1" x14ac:dyDescent="0.45">
      <c r="A46" s="514" t="s">
        <v>31</v>
      </c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16"/>
      <c r="Y46" s="16"/>
      <c r="Z46" s="16"/>
      <c r="AA46" s="16"/>
    </row>
    <row r="47" spans="1:27" ht="15.75" customHeight="1" x14ac:dyDescent="0.4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16"/>
      <c r="Y47" s="16"/>
      <c r="Z47" s="16"/>
      <c r="AA47" s="16"/>
    </row>
    <row r="48" spans="1:27" ht="14.25" customHeight="1" thickBot="1" x14ac:dyDescent="0.5">
      <c r="A48" s="367" t="s">
        <v>32</v>
      </c>
      <c r="B48" s="352"/>
      <c r="C48" s="352"/>
      <c r="D48" s="352"/>
      <c r="E48" s="352"/>
      <c r="F48" s="352"/>
      <c r="G48" s="352"/>
      <c r="H48" s="352"/>
      <c r="I48" s="352"/>
      <c r="J48" s="352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16"/>
      <c r="Y48" s="16"/>
      <c r="Z48" s="16"/>
      <c r="AA48" s="16"/>
    </row>
    <row r="49" spans="1:27" ht="14.25" customHeight="1" thickTop="1" thickBot="1" x14ac:dyDescent="0.5">
      <c r="A49" s="116"/>
      <c r="B49" s="116"/>
      <c r="C49" s="116"/>
      <c r="D49" s="116"/>
      <c r="E49" s="116"/>
      <c r="F49" s="116"/>
      <c r="G49" s="116"/>
      <c r="H49" s="654" t="s">
        <v>6</v>
      </c>
      <c r="I49" s="380"/>
      <c r="J49" s="387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16"/>
      <c r="Y49" s="16"/>
      <c r="Z49" s="16"/>
      <c r="AA49" s="16"/>
    </row>
    <row r="50" spans="1:27" ht="14.25" customHeight="1" thickTop="1" x14ac:dyDescent="0.45">
      <c r="A50" s="454" t="s">
        <v>7</v>
      </c>
      <c r="B50" s="394"/>
      <c r="C50" s="394"/>
      <c r="D50" s="394"/>
      <c r="E50" s="394"/>
      <c r="F50" s="394"/>
      <c r="G50" s="395"/>
      <c r="H50" s="368">
        <v>0</v>
      </c>
      <c r="I50" s="369"/>
      <c r="J50" s="370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16"/>
      <c r="Y50" s="16"/>
      <c r="Z50" s="16"/>
      <c r="AA50" s="16"/>
    </row>
    <row r="51" spans="1:27" ht="14.25" customHeight="1" thickBot="1" x14ac:dyDescent="0.5">
      <c r="A51" s="662" t="s">
        <v>8</v>
      </c>
      <c r="B51" s="377"/>
      <c r="C51" s="377"/>
      <c r="D51" s="377"/>
      <c r="E51" s="377"/>
      <c r="F51" s="377"/>
      <c r="G51" s="378"/>
      <c r="H51" s="568">
        <f>SUM(G52:G53)</f>
        <v>0</v>
      </c>
      <c r="I51" s="377"/>
      <c r="J51" s="378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16"/>
      <c r="Y51" s="16"/>
      <c r="Z51" s="16"/>
      <c r="AA51" s="16"/>
    </row>
    <row r="52" spans="1:27" ht="31.5" customHeight="1" thickTop="1" thickBot="1" x14ac:dyDescent="0.5">
      <c r="A52" s="557" t="s">
        <v>9</v>
      </c>
      <c r="B52" s="377"/>
      <c r="C52" s="377"/>
      <c r="D52" s="377"/>
      <c r="E52" s="377"/>
      <c r="F52" s="377"/>
      <c r="G52" s="165">
        <v>0</v>
      </c>
      <c r="H52" s="596"/>
      <c r="I52" s="597"/>
      <c r="J52" s="588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16"/>
      <c r="Y52" s="16"/>
      <c r="Z52" s="16"/>
      <c r="AA52" s="16"/>
    </row>
    <row r="53" spans="1:27" ht="31.5" customHeight="1" thickTop="1" thickBot="1" x14ac:dyDescent="0.5">
      <c r="A53" s="664" t="s">
        <v>10</v>
      </c>
      <c r="B53" s="372"/>
      <c r="C53" s="372"/>
      <c r="D53" s="372"/>
      <c r="E53" s="372"/>
      <c r="F53" s="373"/>
      <c r="G53" s="164">
        <v>0</v>
      </c>
      <c r="H53" s="375"/>
      <c r="I53" s="375"/>
      <c r="J53" s="397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16"/>
      <c r="Y53" s="16"/>
      <c r="Z53" s="16"/>
      <c r="AA53" s="16"/>
    </row>
    <row r="54" spans="1:27" ht="14.25" customHeight="1" thickTop="1" thickBot="1" x14ac:dyDescent="0.5">
      <c r="A54" s="594" t="s">
        <v>11</v>
      </c>
      <c r="B54" s="380"/>
      <c r="C54" s="380"/>
      <c r="D54" s="380"/>
      <c r="E54" s="380"/>
      <c r="F54" s="380"/>
      <c r="G54" s="380"/>
      <c r="H54" s="518">
        <f>SUM(H50:J51)</f>
        <v>0</v>
      </c>
      <c r="I54" s="380"/>
      <c r="J54" s="387"/>
      <c r="L54" s="25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16"/>
      <c r="Y54" s="16"/>
      <c r="Z54" s="16"/>
      <c r="AA54" s="16"/>
    </row>
    <row r="55" spans="1:27" ht="14.25" customHeight="1" thickTop="1" x14ac:dyDescent="0.45">
      <c r="A55" s="418" t="s">
        <v>12</v>
      </c>
      <c r="B55" s="352"/>
      <c r="C55" s="352"/>
      <c r="D55" s="352"/>
      <c r="E55" s="352"/>
      <c r="F55" s="352"/>
      <c r="G55" s="352"/>
      <c r="H55" s="648">
        <v>0</v>
      </c>
      <c r="I55" s="369"/>
      <c r="J55" s="370"/>
      <c r="K55" s="25"/>
      <c r="L55" s="25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4"/>
      <c r="Y55" s="16"/>
      <c r="Z55" s="16"/>
      <c r="AA55" s="16"/>
    </row>
    <row r="56" spans="1:27" ht="14.25" customHeight="1" thickBot="1" x14ac:dyDescent="0.5">
      <c r="A56" s="595" t="s">
        <v>13</v>
      </c>
      <c r="B56" s="372"/>
      <c r="C56" s="372"/>
      <c r="D56" s="372"/>
      <c r="E56" s="372"/>
      <c r="F56" s="372"/>
      <c r="G56" s="372"/>
      <c r="H56" s="523">
        <f>H54-H55</f>
        <v>0</v>
      </c>
      <c r="I56" s="372"/>
      <c r="J56" s="373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16"/>
      <c r="Y56" s="16"/>
      <c r="Z56" s="16"/>
      <c r="AA56" s="16"/>
    </row>
    <row r="57" spans="1:27" ht="15.75" customHeight="1" thickTop="1" x14ac:dyDescent="0.45">
      <c r="A57" s="26"/>
      <c r="B57" s="26"/>
      <c r="C57" s="26"/>
      <c r="D57" s="26"/>
      <c r="E57" s="26"/>
      <c r="F57" s="26"/>
      <c r="G57" s="26"/>
      <c r="H57" s="27"/>
      <c r="I57" s="27"/>
      <c r="J57" s="27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16"/>
      <c r="Y57" s="16"/>
      <c r="Z57" s="16"/>
      <c r="AA57" s="16"/>
    </row>
    <row r="58" spans="1:27" x14ac:dyDescent="0.45">
      <c r="A58" s="506" t="s">
        <v>33</v>
      </c>
      <c r="B58" s="352"/>
      <c r="C58" s="352"/>
      <c r="D58" s="352"/>
      <c r="E58" s="352"/>
      <c r="F58" s="352"/>
      <c r="G58" s="352"/>
      <c r="H58" s="352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16"/>
      <c r="Y58" s="16"/>
      <c r="Z58" s="16"/>
      <c r="AA58" s="16"/>
    </row>
    <row r="59" spans="1:27" ht="15.75" customHeight="1" thickBot="1" x14ac:dyDescent="0.5">
      <c r="A59" s="29"/>
      <c r="B59" s="22"/>
      <c r="C59" s="22"/>
      <c r="D59" s="22"/>
      <c r="E59" s="22"/>
      <c r="F59" s="22"/>
      <c r="G59" s="17"/>
      <c r="H59" s="17"/>
      <c r="I59" s="17"/>
      <c r="J59" s="17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16"/>
      <c r="Y59" s="16"/>
      <c r="Z59" s="16"/>
      <c r="AA59" s="16"/>
    </row>
    <row r="60" spans="1:27" ht="15.75" customHeight="1" thickTop="1" x14ac:dyDescent="0.45">
      <c r="A60" s="659" t="s">
        <v>34</v>
      </c>
      <c r="B60" s="360"/>
      <c r="C60" s="360"/>
      <c r="D60" s="360"/>
      <c r="E60" s="360"/>
      <c r="F60" s="360"/>
      <c r="G60" s="360"/>
      <c r="H60" s="361"/>
      <c r="I60" s="17"/>
      <c r="J60" s="17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16"/>
      <c r="Y60" s="16"/>
      <c r="Z60" s="16"/>
      <c r="AA60" s="16"/>
    </row>
    <row r="61" spans="1:27" ht="40.5" customHeight="1" thickBot="1" x14ac:dyDescent="0.5">
      <c r="A61" s="169" t="s">
        <v>35</v>
      </c>
      <c r="B61" s="170" t="s">
        <v>36</v>
      </c>
      <c r="C61" s="170" t="s">
        <v>37</v>
      </c>
      <c r="D61" s="170" t="s">
        <v>38</v>
      </c>
      <c r="E61" s="170" t="s">
        <v>39</v>
      </c>
      <c r="F61" s="170" t="s">
        <v>40</v>
      </c>
      <c r="G61" s="171" t="s">
        <v>41</v>
      </c>
      <c r="H61" s="172" t="s">
        <v>11</v>
      </c>
      <c r="I61" s="17"/>
      <c r="J61" s="17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16"/>
      <c r="Y61" s="16"/>
      <c r="Z61" s="16"/>
      <c r="AA61" s="16"/>
    </row>
    <row r="62" spans="1:27" ht="16.5" customHeight="1" thickTop="1" thickBot="1" x14ac:dyDescent="0.5">
      <c r="A62" s="166">
        <v>0</v>
      </c>
      <c r="B62" s="167">
        <v>0</v>
      </c>
      <c r="C62" s="167">
        <v>0</v>
      </c>
      <c r="D62" s="167">
        <v>0</v>
      </c>
      <c r="E62" s="167">
        <v>0</v>
      </c>
      <c r="F62" s="167">
        <v>0</v>
      </c>
      <c r="G62" s="168">
        <v>0</v>
      </c>
      <c r="H62" s="192">
        <f>SUM(A62:G62)</f>
        <v>0</v>
      </c>
      <c r="J62" s="93"/>
      <c r="K62" s="93"/>
      <c r="L62" s="9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4"/>
      <c r="Y62" s="16"/>
      <c r="Z62" s="16"/>
      <c r="AA62" s="16"/>
    </row>
    <row r="63" spans="1:27" ht="15.75" customHeight="1" thickTop="1" x14ac:dyDescent="0.45">
      <c r="A63" s="24"/>
      <c r="B63" s="24"/>
      <c r="C63" s="24"/>
      <c r="D63" s="24"/>
      <c r="E63" s="24"/>
      <c r="F63" s="24"/>
      <c r="G63" s="24"/>
      <c r="H63" s="24"/>
      <c r="I63" s="93"/>
      <c r="J63" s="93"/>
      <c r="K63" s="93"/>
      <c r="L63" s="93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16"/>
      <c r="Y63" s="16"/>
      <c r="Z63" s="16"/>
      <c r="AA63" s="16"/>
    </row>
    <row r="64" spans="1:27" s="72" customFormat="1" x14ac:dyDescent="0.45">
      <c r="A64" s="534" t="s">
        <v>43</v>
      </c>
      <c r="B64" s="535"/>
      <c r="C64" s="535"/>
      <c r="D64" s="535"/>
      <c r="E64" s="535"/>
      <c r="F64" s="535"/>
      <c r="G64" s="535"/>
      <c r="H64" s="535"/>
      <c r="I64" s="535"/>
      <c r="J64" s="535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 spans="1:27" s="72" customFormat="1" ht="15.75" customHeight="1" thickBot="1" x14ac:dyDescent="0.5">
      <c r="A65" s="272"/>
      <c r="B65" s="272"/>
      <c r="C65" s="272"/>
      <c r="D65" s="272"/>
      <c r="E65" s="272"/>
      <c r="F65" s="272"/>
      <c r="G65" s="272"/>
      <c r="H65" s="272"/>
      <c r="I65" s="272"/>
      <c r="J65" s="272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 spans="1:27" s="72" customFormat="1" ht="40.5" customHeight="1" thickTop="1" x14ac:dyDescent="0.45">
      <c r="A66" s="382" t="s">
        <v>44</v>
      </c>
      <c r="B66" s="383"/>
      <c r="C66" s="382" t="s">
        <v>45</v>
      </c>
      <c r="D66" s="383"/>
      <c r="E66" s="382" t="s">
        <v>46</v>
      </c>
      <c r="F66" s="383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</row>
    <row r="67" spans="1:27" s="72" customFormat="1" ht="48" customHeight="1" thickBot="1" x14ac:dyDescent="0.5">
      <c r="A67" s="271" t="s">
        <v>6</v>
      </c>
      <c r="B67" s="273" t="s">
        <v>47</v>
      </c>
      <c r="C67" s="271" t="s">
        <v>6</v>
      </c>
      <c r="D67" s="273" t="s">
        <v>47</v>
      </c>
      <c r="E67" s="271" t="s">
        <v>6</v>
      </c>
      <c r="F67" s="274" t="s">
        <v>47</v>
      </c>
      <c r="G67" s="71"/>
      <c r="H67" s="92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1"/>
      <c r="V67" s="71"/>
      <c r="W67" s="71"/>
    </row>
    <row r="68" spans="1:27" s="72" customFormat="1" ht="15.75" customHeight="1" thickTop="1" thickBot="1" x14ac:dyDescent="0.5">
      <c r="A68" s="275">
        <v>0</v>
      </c>
      <c r="B68" s="276">
        <v>0</v>
      </c>
      <c r="C68" s="275">
        <v>0</v>
      </c>
      <c r="D68" s="277">
        <v>0</v>
      </c>
      <c r="E68" s="275">
        <v>0</v>
      </c>
      <c r="F68" s="277">
        <v>0</v>
      </c>
      <c r="G68" s="71"/>
      <c r="H68" s="25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1"/>
      <c r="V68" s="71"/>
      <c r="W68" s="71"/>
    </row>
    <row r="69" spans="1:27" ht="14.25" customHeight="1" thickTop="1" x14ac:dyDescent="0.45">
      <c r="K69" s="25"/>
      <c r="L69" s="25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16"/>
      <c r="Y69" s="16"/>
      <c r="Z69" s="16"/>
      <c r="AA69" s="16"/>
    </row>
    <row r="70" spans="1:27" ht="14.25" customHeight="1" x14ac:dyDescent="0.45">
      <c r="A70" s="455" t="s">
        <v>48</v>
      </c>
      <c r="B70" s="352"/>
      <c r="C70" s="352"/>
      <c r="D70" s="352"/>
      <c r="E70" s="352"/>
      <c r="F70" s="352"/>
      <c r="G70" s="352"/>
      <c r="H70" s="352"/>
      <c r="I70" s="352"/>
      <c r="J70" s="352"/>
      <c r="K70" s="352"/>
      <c r="L70" s="352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16"/>
      <c r="Y70" s="16"/>
      <c r="Z70" s="16"/>
      <c r="AA70" s="16"/>
    </row>
    <row r="71" spans="1:27" ht="14.25" customHeight="1" thickBot="1" x14ac:dyDescent="0.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16"/>
      <c r="Y71" s="16"/>
      <c r="Z71" s="16"/>
      <c r="AA71" s="16"/>
    </row>
    <row r="72" spans="1:27" ht="14.25" customHeight="1" thickTop="1" thickBot="1" x14ac:dyDescent="0.5">
      <c r="A72" s="21"/>
      <c r="B72" s="21"/>
      <c r="C72" s="21"/>
      <c r="D72" s="21"/>
      <c r="E72" s="21"/>
      <c r="F72" s="21"/>
      <c r="H72" s="633" t="s">
        <v>6</v>
      </c>
      <c r="I72" s="394"/>
      <c r="J72" s="394"/>
      <c r="K72" s="395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16"/>
      <c r="Y72" s="16"/>
      <c r="Z72" s="16"/>
      <c r="AA72" s="16"/>
    </row>
    <row r="73" spans="1:27" ht="14.25" customHeight="1" thickTop="1" x14ac:dyDescent="0.45">
      <c r="A73" s="604" t="s">
        <v>49</v>
      </c>
      <c r="B73" s="360"/>
      <c r="C73" s="360"/>
      <c r="D73" s="360"/>
      <c r="E73" s="360"/>
      <c r="F73" s="360"/>
      <c r="G73" s="361"/>
      <c r="H73" s="564">
        <v>0</v>
      </c>
      <c r="I73" s="369"/>
      <c r="J73" s="369"/>
      <c r="K73" s="370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16"/>
      <c r="Y73" s="16"/>
      <c r="Z73" s="16"/>
      <c r="AA73" s="16"/>
    </row>
    <row r="74" spans="1:27" ht="14.25" customHeight="1" thickBot="1" x14ac:dyDescent="0.5">
      <c r="A74" s="678" t="s">
        <v>50</v>
      </c>
      <c r="B74" s="597"/>
      <c r="C74" s="597"/>
      <c r="D74" s="597"/>
      <c r="E74" s="597"/>
      <c r="F74" s="597"/>
      <c r="G74" s="666"/>
      <c r="H74" s="624">
        <v>0</v>
      </c>
      <c r="I74" s="470"/>
      <c r="J74" s="470"/>
      <c r="K74" s="430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16"/>
      <c r="Y74" s="16"/>
      <c r="Z74" s="16"/>
      <c r="AA74" s="16"/>
    </row>
    <row r="75" spans="1:27" ht="14.25" customHeight="1" thickTop="1" thickBot="1" x14ac:dyDescent="0.5">
      <c r="A75" s="661" t="s">
        <v>11</v>
      </c>
      <c r="B75" s="380"/>
      <c r="C75" s="380"/>
      <c r="D75" s="380"/>
      <c r="E75" s="380"/>
      <c r="F75" s="380"/>
      <c r="G75" s="381"/>
      <c r="H75" s="456">
        <f>SUM(H73:K74)</f>
        <v>0</v>
      </c>
      <c r="I75" s="380"/>
      <c r="J75" s="380"/>
      <c r="K75" s="387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16"/>
      <c r="Y75" s="16"/>
      <c r="Z75" s="16"/>
      <c r="AA75" s="16"/>
    </row>
    <row r="76" spans="1:27" ht="27" customHeight="1" thickTop="1" x14ac:dyDescent="0.45">
      <c r="A76" s="618" t="s">
        <v>51</v>
      </c>
      <c r="B76" s="421"/>
      <c r="C76" s="421"/>
      <c r="D76" s="421"/>
      <c r="E76" s="421"/>
      <c r="F76" s="421"/>
      <c r="G76" s="354"/>
      <c r="H76" s="564">
        <v>0</v>
      </c>
      <c r="I76" s="369"/>
      <c r="J76" s="369"/>
      <c r="K76" s="370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16"/>
      <c r="Y76" s="16"/>
      <c r="Z76" s="16"/>
      <c r="AA76" s="16"/>
    </row>
    <row r="77" spans="1:27" ht="25.5" customHeight="1" x14ac:dyDescent="0.45">
      <c r="A77" s="509" t="s">
        <v>52</v>
      </c>
      <c r="B77" s="377"/>
      <c r="C77" s="377"/>
      <c r="D77" s="377"/>
      <c r="E77" s="377"/>
      <c r="F77" s="377"/>
      <c r="G77" s="350"/>
      <c r="H77" s="561">
        <v>0</v>
      </c>
      <c r="I77" s="356"/>
      <c r="J77" s="356"/>
      <c r="K77" s="39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16"/>
      <c r="Y77" s="16"/>
      <c r="Z77" s="16"/>
      <c r="AA77" s="16"/>
    </row>
    <row r="78" spans="1:27" ht="14.25" customHeight="1" x14ac:dyDescent="0.45">
      <c r="A78" s="509" t="s">
        <v>53</v>
      </c>
      <c r="B78" s="377"/>
      <c r="C78" s="377"/>
      <c r="D78" s="377"/>
      <c r="E78" s="377"/>
      <c r="F78" s="377"/>
      <c r="G78" s="350"/>
      <c r="H78" s="561">
        <v>0</v>
      </c>
      <c r="I78" s="356"/>
      <c r="J78" s="356"/>
      <c r="K78" s="391"/>
      <c r="L78" s="638"/>
      <c r="M78" s="412"/>
      <c r="N78" s="412"/>
      <c r="O78" s="412"/>
      <c r="P78" s="412"/>
      <c r="Q78" s="71"/>
      <c r="R78" s="71"/>
      <c r="S78" s="71"/>
      <c r="T78" s="71"/>
      <c r="U78" s="71"/>
      <c r="V78" s="71"/>
      <c r="W78" s="71"/>
      <c r="X78" s="16"/>
      <c r="Y78" s="16"/>
      <c r="Z78" s="16"/>
      <c r="AA78" s="16"/>
    </row>
    <row r="79" spans="1:27" ht="14.25" customHeight="1" thickBot="1" x14ac:dyDescent="0.5">
      <c r="A79" s="539" t="s">
        <v>54</v>
      </c>
      <c r="B79" s="372"/>
      <c r="C79" s="372"/>
      <c r="D79" s="372"/>
      <c r="E79" s="372"/>
      <c r="F79" s="372"/>
      <c r="G79" s="414"/>
      <c r="H79" s="649">
        <v>0</v>
      </c>
      <c r="I79" s="470"/>
      <c r="J79" s="470"/>
      <c r="K79" s="430"/>
      <c r="L79" s="352"/>
      <c r="M79" s="412"/>
      <c r="N79" s="412"/>
      <c r="O79" s="412"/>
      <c r="P79" s="412"/>
      <c r="Q79" s="71"/>
      <c r="R79" s="71"/>
      <c r="S79" s="71"/>
      <c r="T79" s="71"/>
      <c r="U79" s="71"/>
      <c r="V79" s="71"/>
      <c r="W79" s="71"/>
      <c r="X79" s="16"/>
      <c r="Y79" s="16"/>
      <c r="Z79" s="16"/>
      <c r="AA79" s="16"/>
    </row>
    <row r="80" spans="1:27" ht="14.25" customHeight="1" thickTop="1" x14ac:dyDescent="0.45"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16"/>
      <c r="Y80" s="16"/>
      <c r="Z80" s="16"/>
      <c r="AA80" s="16"/>
    </row>
    <row r="81" spans="1:27" ht="15.75" customHeight="1" x14ac:dyDescent="0.45">
      <c r="A81" s="529" t="s">
        <v>55</v>
      </c>
      <c r="B81" s="352"/>
      <c r="C81" s="352"/>
      <c r="D81" s="352"/>
      <c r="E81" s="352"/>
      <c r="F81" s="352"/>
      <c r="G81" s="352"/>
      <c r="H81" s="352"/>
      <c r="I81" s="352"/>
      <c r="J81" s="352"/>
      <c r="K81" s="352"/>
      <c r="L81" s="352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16"/>
      <c r="Y81" s="16"/>
      <c r="Z81" s="16"/>
      <c r="AA81" s="16"/>
    </row>
    <row r="82" spans="1:27" ht="7.5" customHeight="1" x14ac:dyDescent="0.45"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16"/>
      <c r="Y82" s="16"/>
      <c r="Z82" s="16"/>
      <c r="AA82" s="16"/>
    </row>
    <row r="83" spans="1:27" x14ac:dyDescent="0.45">
      <c r="A83" s="506" t="s">
        <v>56</v>
      </c>
      <c r="B83" s="352"/>
      <c r="C83" s="352"/>
      <c r="D83" s="352"/>
      <c r="E83" s="352"/>
      <c r="F83" s="352"/>
      <c r="G83" s="352"/>
      <c r="H83" s="352"/>
      <c r="I83" s="352"/>
      <c r="J83" s="352"/>
      <c r="K83" s="352"/>
      <c r="L83" s="352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16"/>
      <c r="Y83" s="16"/>
      <c r="Z83" s="16"/>
      <c r="AA83" s="16"/>
    </row>
    <row r="84" spans="1:27" ht="15.75" customHeight="1" thickBot="1" x14ac:dyDescent="0.5"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16"/>
      <c r="Y84" s="16"/>
      <c r="Z84" s="16"/>
      <c r="AA84" s="16"/>
    </row>
    <row r="85" spans="1:27" ht="14.25" customHeight="1" thickTop="1" x14ac:dyDescent="0.45">
      <c r="A85" s="626" t="s">
        <v>57</v>
      </c>
      <c r="B85" s="394"/>
      <c r="C85" s="394"/>
      <c r="D85" s="453"/>
      <c r="E85" s="510" t="s">
        <v>34</v>
      </c>
      <c r="F85" s="360"/>
      <c r="G85" s="360"/>
      <c r="H85" s="360"/>
      <c r="I85" s="360"/>
      <c r="J85" s="360"/>
      <c r="K85" s="360"/>
      <c r="L85" s="488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16"/>
      <c r="Y85" s="16"/>
      <c r="Z85" s="16"/>
      <c r="AA85" s="16"/>
    </row>
    <row r="86" spans="1:27" ht="44.25" customHeight="1" thickBot="1" x14ac:dyDescent="0.5">
      <c r="A86" s="420"/>
      <c r="B86" s="421"/>
      <c r="C86" s="421"/>
      <c r="D86" s="354"/>
      <c r="E86" s="186" t="s">
        <v>58</v>
      </c>
      <c r="F86" s="170" t="s">
        <v>36</v>
      </c>
      <c r="G86" s="170" t="s">
        <v>37</v>
      </c>
      <c r="H86" s="170" t="s">
        <v>38</v>
      </c>
      <c r="I86" s="170" t="s">
        <v>59</v>
      </c>
      <c r="J86" s="170" t="s">
        <v>40</v>
      </c>
      <c r="K86" s="174" t="s">
        <v>41</v>
      </c>
      <c r="L86" s="175" t="s">
        <v>11</v>
      </c>
      <c r="N86" s="136" t="s">
        <v>6</v>
      </c>
      <c r="O86" s="136" t="s">
        <v>60</v>
      </c>
      <c r="P86" s="71"/>
      <c r="Q86" s="71"/>
      <c r="R86" s="71"/>
      <c r="S86" s="71"/>
      <c r="T86" s="71"/>
      <c r="U86" s="71"/>
      <c r="V86" s="71"/>
      <c r="W86" s="71"/>
      <c r="X86" s="16"/>
      <c r="Y86" s="16"/>
      <c r="Z86" s="16"/>
      <c r="AA86" s="16"/>
    </row>
    <row r="87" spans="1:27" ht="15.75" customHeight="1" thickTop="1" x14ac:dyDescent="0.45">
      <c r="A87" s="541" t="s">
        <v>61</v>
      </c>
      <c r="B87" s="360"/>
      <c r="C87" s="360"/>
      <c r="D87" s="361"/>
      <c r="E87" s="110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8">
        <v>0</v>
      </c>
      <c r="L87" s="194">
        <f t="shared" ref="L87:L95" si="0">SUM(E87:K87)</f>
        <v>0</v>
      </c>
      <c r="N87" s="137" t="e">
        <f>SUM(#REF!,I167,#REF!)</f>
        <v>#REF!</v>
      </c>
      <c r="O87" s="137" t="e">
        <f>SUM(I149,J167,#REF!)</f>
        <v>#REF!</v>
      </c>
      <c r="P87" s="73"/>
      <c r="Q87" s="73"/>
      <c r="R87" s="73"/>
      <c r="S87" s="73"/>
      <c r="T87" s="73"/>
      <c r="U87" s="73"/>
      <c r="V87" s="73"/>
      <c r="W87" s="73"/>
      <c r="X87" s="74"/>
      <c r="Y87" s="16"/>
      <c r="Z87" s="16"/>
      <c r="AA87" s="16"/>
    </row>
    <row r="88" spans="1:27" ht="15" customHeight="1" x14ac:dyDescent="0.45">
      <c r="A88" s="404" t="s">
        <v>62</v>
      </c>
      <c r="B88" s="377"/>
      <c r="C88" s="377"/>
      <c r="D88" s="350"/>
      <c r="E88" s="119">
        <v>0</v>
      </c>
      <c r="F88" s="109">
        <v>0</v>
      </c>
      <c r="G88" s="109">
        <v>0</v>
      </c>
      <c r="H88" s="109">
        <v>0</v>
      </c>
      <c r="I88" s="109">
        <v>0</v>
      </c>
      <c r="J88" s="109">
        <v>0</v>
      </c>
      <c r="K88" s="120">
        <v>0</v>
      </c>
      <c r="L88" s="195">
        <f t="shared" si="0"/>
        <v>0</v>
      </c>
      <c r="N88" s="137" t="e">
        <f>SUM(#REF!,I168,#REF!)</f>
        <v>#REF!</v>
      </c>
      <c r="O88" s="137" t="e">
        <f>SUM(I150,J168,#REF!)</f>
        <v>#REF!</v>
      </c>
      <c r="P88" s="73"/>
      <c r="Q88" s="73"/>
      <c r="R88" s="73"/>
      <c r="S88" s="73"/>
      <c r="T88" s="73"/>
      <c r="U88" s="73"/>
      <c r="V88" s="73"/>
      <c r="W88" s="73"/>
      <c r="X88" s="74"/>
      <c r="Y88" s="16"/>
      <c r="Z88" s="16"/>
      <c r="AA88" s="16"/>
    </row>
    <row r="89" spans="1:27" ht="15" customHeight="1" x14ac:dyDescent="0.45">
      <c r="A89" s="404" t="s">
        <v>63</v>
      </c>
      <c r="B89" s="377"/>
      <c r="C89" s="377"/>
      <c r="D89" s="350"/>
      <c r="E89" s="119">
        <v>0</v>
      </c>
      <c r="F89" s="109">
        <v>0</v>
      </c>
      <c r="G89" s="109">
        <v>0</v>
      </c>
      <c r="H89" s="109">
        <v>0</v>
      </c>
      <c r="I89" s="109">
        <v>0</v>
      </c>
      <c r="J89" s="109">
        <v>0</v>
      </c>
      <c r="K89" s="120">
        <v>0</v>
      </c>
      <c r="L89" s="196">
        <f t="shared" si="0"/>
        <v>0</v>
      </c>
      <c r="N89" s="137" t="e">
        <f>SUM(#REF!,I169,#REF!)</f>
        <v>#REF!</v>
      </c>
      <c r="O89" s="137" t="e">
        <f>SUM(I151,J169,#REF!)</f>
        <v>#REF!</v>
      </c>
      <c r="P89" s="73"/>
      <c r="Q89" s="73"/>
      <c r="R89" s="73"/>
      <c r="S89" s="73"/>
      <c r="T89" s="73"/>
      <c r="U89" s="73"/>
      <c r="V89" s="73"/>
      <c r="W89" s="73"/>
      <c r="X89" s="74"/>
      <c r="Y89" s="16"/>
      <c r="Z89" s="16"/>
      <c r="AA89" s="16"/>
    </row>
    <row r="90" spans="1:27" ht="15" customHeight="1" x14ac:dyDescent="0.45">
      <c r="A90" s="404" t="s">
        <v>64</v>
      </c>
      <c r="B90" s="377"/>
      <c r="C90" s="377"/>
      <c r="D90" s="350"/>
      <c r="E90" s="119">
        <v>0</v>
      </c>
      <c r="F90" s="109">
        <v>0</v>
      </c>
      <c r="G90" s="109">
        <v>0</v>
      </c>
      <c r="H90" s="109">
        <v>0</v>
      </c>
      <c r="I90" s="109">
        <v>0</v>
      </c>
      <c r="J90" s="109">
        <v>0</v>
      </c>
      <c r="K90" s="120">
        <v>0</v>
      </c>
      <c r="L90" s="195">
        <f t="shared" si="0"/>
        <v>0</v>
      </c>
      <c r="N90" s="137" t="e">
        <f>SUM(#REF!,I170,#REF!)</f>
        <v>#REF!</v>
      </c>
      <c r="O90" s="137" t="e">
        <f>SUM(I152,J170,#REF!)</f>
        <v>#REF!</v>
      </c>
      <c r="P90" s="73"/>
      <c r="Q90" s="73"/>
      <c r="R90" s="73"/>
      <c r="S90" s="73"/>
      <c r="T90" s="73"/>
      <c r="U90" s="73"/>
      <c r="V90" s="73"/>
      <c r="W90" s="73"/>
      <c r="X90" s="74"/>
      <c r="Y90" s="16"/>
      <c r="Z90" s="16"/>
      <c r="AA90" s="16"/>
    </row>
    <row r="91" spans="1:27" ht="15" customHeight="1" x14ac:dyDescent="0.45">
      <c r="A91" s="404" t="s">
        <v>65</v>
      </c>
      <c r="B91" s="377"/>
      <c r="C91" s="377"/>
      <c r="D91" s="350"/>
      <c r="E91" s="119">
        <v>0</v>
      </c>
      <c r="F91" s="109">
        <v>0</v>
      </c>
      <c r="G91" s="109">
        <v>0</v>
      </c>
      <c r="H91" s="109">
        <v>0</v>
      </c>
      <c r="I91" s="109">
        <v>0</v>
      </c>
      <c r="J91" s="109">
        <v>0</v>
      </c>
      <c r="K91" s="120">
        <v>0</v>
      </c>
      <c r="L91" s="195">
        <f t="shared" si="0"/>
        <v>0</v>
      </c>
      <c r="N91" s="137"/>
      <c r="O91" s="137"/>
      <c r="P91" s="73"/>
      <c r="Q91" s="73"/>
      <c r="R91" s="73"/>
      <c r="S91" s="73"/>
      <c r="T91" s="73"/>
      <c r="U91" s="73"/>
      <c r="V91" s="73"/>
      <c r="W91" s="73"/>
      <c r="X91" s="74"/>
      <c r="Y91" s="16"/>
      <c r="Z91" s="16"/>
      <c r="AA91" s="16"/>
    </row>
    <row r="92" spans="1:27" ht="15" customHeight="1" x14ac:dyDescent="0.45">
      <c r="A92" s="404" t="s">
        <v>66</v>
      </c>
      <c r="B92" s="377"/>
      <c r="C92" s="377"/>
      <c r="D92" s="350"/>
      <c r="E92" s="11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20">
        <v>0</v>
      </c>
      <c r="L92" s="195">
        <f t="shared" si="0"/>
        <v>0</v>
      </c>
      <c r="N92" s="137"/>
      <c r="O92" s="137"/>
      <c r="P92" s="73"/>
      <c r="Q92" s="73"/>
      <c r="R92" s="73"/>
      <c r="S92" s="73"/>
      <c r="T92" s="73"/>
      <c r="U92" s="73"/>
      <c r="V92" s="73"/>
      <c r="W92" s="73"/>
      <c r="X92" s="74"/>
      <c r="Y92" s="16"/>
      <c r="Z92" s="16"/>
      <c r="AA92" s="16"/>
    </row>
    <row r="93" spans="1:27" ht="15" customHeight="1" x14ac:dyDescent="0.45">
      <c r="A93" s="404" t="s">
        <v>67</v>
      </c>
      <c r="B93" s="377"/>
      <c r="C93" s="377"/>
      <c r="D93" s="350"/>
      <c r="E93" s="119">
        <v>0</v>
      </c>
      <c r="F93" s="109">
        <v>0</v>
      </c>
      <c r="G93" s="109">
        <v>0</v>
      </c>
      <c r="H93" s="109">
        <v>0</v>
      </c>
      <c r="I93" s="109">
        <v>0</v>
      </c>
      <c r="J93" s="109">
        <v>0</v>
      </c>
      <c r="K93" s="120">
        <v>0</v>
      </c>
      <c r="L93" s="195">
        <f t="shared" si="0"/>
        <v>0</v>
      </c>
      <c r="N93" s="137" t="e">
        <f>SUM(#REF!,I171,#REF!)</f>
        <v>#REF!</v>
      </c>
      <c r="O93" s="137" t="e">
        <f>SUM(I153,J171,#REF!)</f>
        <v>#REF!</v>
      </c>
      <c r="P93" s="73"/>
      <c r="Q93" s="73"/>
      <c r="R93" s="73"/>
      <c r="S93" s="73"/>
      <c r="T93" s="73"/>
      <c r="U93" s="73"/>
      <c r="V93" s="73"/>
      <c r="W93" s="73"/>
      <c r="X93" s="74"/>
      <c r="Y93" s="16"/>
      <c r="Z93" s="16"/>
      <c r="AA93" s="16"/>
    </row>
    <row r="94" spans="1:27" ht="15" customHeight="1" x14ac:dyDescent="0.45">
      <c r="A94" s="404" t="s">
        <v>68</v>
      </c>
      <c r="B94" s="377"/>
      <c r="C94" s="377"/>
      <c r="D94" s="350"/>
      <c r="E94" s="119">
        <v>0</v>
      </c>
      <c r="F94" s="109">
        <v>0</v>
      </c>
      <c r="G94" s="109">
        <v>0</v>
      </c>
      <c r="H94" s="109">
        <v>0</v>
      </c>
      <c r="I94" s="109">
        <v>0</v>
      </c>
      <c r="J94" s="109">
        <v>0</v>
      </c>
      <c r="K94" s="120">
        <v>0</v>
      </c>
      <c r="L94" s="195">
        <f t="shared" si="0"/>
        <v>0</v>
      </c>
      <c r="M94" s="73"/>
      <c r="N94" s="137" t="e">
        <f>SUM(#REF!,I172,#REF!)</f>
        <v>#REF!</v>
      </c>
      <c r="O94" s="137" t="e">
        <f>SUM(I154,J172,#REF!)</f>
        <v>#REF!</v>
      </c>
      <c r="P94" s="73"/>
      <c r="Q94" s="73"/>
      <c r="R94" s="73"/>
      <c r="S94" s="73"/>
      <c r="T94" s="73"/>
      <c r="U94" s="73"/>
      <c r="V94" s="73"/>
      <c r="W94" s="73"/>
      <c r="X94" s="74"/>
      <c r="Y94" s="16"/>
      <c r="Z94" s="16"/>
      <c r="AA94" s="16"/>
    </row>
    <row r="95" spans="1:27" ht="28.5" customHeight="1" thickBot="1" x14ac:dyDescent="0.5">
      <c r="A95" s="565" t="s">
        <v>69</v>
      </c>
      <c r="B95" s="372"/>
      <c r="C95" s="372"/>
      <c r="D95" s="414"/>
      <c r="E95" s="105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7">
        <v>0</v>
      </c>
      <c r="L95" s="197">
        <f t="shared" si="0"/>
        <v>0</v>
      </c>
      <c r="M95" s="73"/>
      <c r="N95" s="137" t="e">
        <f>SUM(#REF!,I173,#REF!)</f>
        <v>#REF!</v>
      </c>
      <c r="O95" s="137" t="e">
        <f>SUM(I155,J173,#REF!)</f>
        <v>#REF!</v>
      </c>
      <c r="P95" s="73"/>
      <c r="Q95" s="73"/>
      <c r="R95" s="73"/>
      <c r="S95" s="73"/>
      <c r="T95" s="73"/>
      <c r="U95" s="73"/>
      <c r="V95" s="73"/>
      <c r="W95" s="73"/>
      <c r="X95" s="74"/>
      <c r="Y95" s="16"/>
      <c r="Z95" s="16"/>
      <c r="AA95" s="16"/>
    </row>
    <row r="96" spans="1:27" ht="16.5" customHeight="1" thickTop="1" thickBot="1" x14ac:dyDescent="0.5">
      <c r="A96" s="640" t="s">
        <v>70</v>
      </c>
      <c r="B96" s="380"/>
      <c r="C96" s="380"/>
      <c r="D96" s="381"/>
      <c r="E96" s="191">
        <f t="shared" ref="E96:L96" si="1">SUM(E87:E95)</f>
        <v>0</v>
      </c>
      <c r="F96" s="193">
        <f t="shared" si="1"/>
        <v>0</v>
      </c>
      <c r="G96" s="193">
        <f t="shared" si="1"/>
        <v>0</v>
      </c>
      <c r="H96" s="193">
        <f t="shared" si="1"/>
        <v>0</v>
      </c>
      <c r="I96" s="193">
        <f t="shared" si="1"/>
        <v>0</v>
      </c>
      <c r="J96" s="193">
        <f t="shared" si="1"/>
        <v>0</v>
      </c>
      <c r="K96" s="190">
        <f t="shared" si="1"/>
        <v>0</v>
      </c>
      <c r="L96" s="190">
        <f t="shared" si="1"/>
        <v>0</v>
      </c>
      <c r="M96" s="653" t="str">
        <f>IF(L96&lt;&gt;H19,"""Total"" doit être égal au ""Fermées pendant la période d'établissement de rapport""","")</f>
        <v/>
      </c>
      <c r="N96" s="653"/>
      <c r="O96" s="653"/>
      <c r="P96" s="653"/>
      <c r="Q96" s="653"/>
      <c r="R96" s="653"/>
      <c r="S96" s="653"/>
      <c r="T96" s="653"/>
      <c r="U96" s="653"/>
      <c r="V96" s="653"/>
      <c r="W96" s="73"/>
      <c r="X96" s="74"/>
      <c r="Y96" s="16"/>
      <c r="Z96" s="16"/>
      <c r="AA96" s="16"/>
    </row>
    <row r="97" spans="1:27" ht="15.75" customHeight="1" thickTop="1" x14ac:dyDescent="0.45">
      <c r="M97" s="653"/>
      <c r="N97" s="653"/>
      <c r="O97" s="653"/>
      <c r="P97" s="653"/>
      <c r="Q97" s="653"/>
      <c r="R97" s="653"/>
      <c r="S97" s="653"/>
      <c r="T97" s="653"/>
      <c r="U97" s="653"/>
      <c r="V97" s="653"/>
      <c r="W97" s="73"/>
      <c r="X97" s="74"/>
      <c r="Y97" s="16"/>
      <c r="Z97" s="16"/>
      <c r="AA97" s="16"/>
    </row>
    <row r="98" spans="1:27" x14ac:dyDescent="0.45">
      <c r="A98" s="506" t="s">
        <v>71</v>
      </c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16"/>
      <c r="Y98" s="16"/>
      <c r="Z98" s="16"/>
      <c r="AA98" s="16"/>
    </row>
    <row r="99" spans="1:27" ht="8.25" customHeight="1" thickBot="1" x14ac:dyDescent="0.5"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16"/>
      <c r="Y99" s="16"/>
      <c r="Z99" s="16"/>
      <c r="AA99" s="16"/>
    </row>
    <row r="100" spans="1:27" ht="29.25" customHeight="1" thickTop="1" thickBot="1" x14ac:dyDescent="0.5">
      <c r="A100" s="403" t="s">
        <v>72</v>
      </c>
      <c r="B100" s="381"/>
      <c r="C100" s="215" t="s">
        <v>6</v>
      </c>
      <c r="D100" s="403" t="s">
        <v>72</v>
      </c>
      <c r="E100" s="381"/>
      <c r="F100" s="215" t="s">
        <v>6</v>
      </c>
      <c r="G100" s="403" t="s">
        <v>72</v>
      </c>
      <c r="H100" s="381"/>
      <c r="I100" s="216" t="s">
        <v>6</v>
      </c>
      <c r="J100" s="619" t="s">
        <v>72</v>
      </c>
      <c r="K100" s="381"/>
      <c r="L100" s="217" t="s">
        <v>6</v>
      </c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16"/>
      <c r="Y100" s="16"/>
      <c r="Z100" s="16"/>
      <c r="AA100" s="16"/>
    </row>
    <row r="101" spans="1:27" ht="15.75" customHeight="1" thickTop="1" x14ac:dyDescent="0.45">
      <c r="A101" s="629" t="s">
        <v>73</v>
      </c>
      <c r="B101" s="361"/>
      <c r="C101" s="153">
        <v>0</v>
      </c>
      <c r="D101" s="637" t="s">
        <v>74</v>
      </c>
      <c r="E101" s="361"/>
      <c r="F101" s="173">
        <v>0</v>
      </c>
      <c r="G101" s="460" t="s">
        <v>75</v>
      </c>
      <c r="H101" s="354"/>
      <c r="I101" s="155">
        <v>0</v>
      </c>
      <c r="J101" s="667">
        <v>20.100000000000001</v>
      </c>
      <c r="K101" s="354"/>
      <c r="L101" s="218">
        <v>0</v>
      </c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16"/>
      <c r="Y101" s="16"/>
      <c r="Z101" s="16"/>
      <c r="AA101" s="16"/>
    </row>
    <row r="102" spans="1:27" x14ac:dyDescent="0.45">
      <c r="A102" s="349" t="s">
        <v>76</v>
      </c>
      <c r="B102" s="350"/>
      <c r="C102" s="154">
        <v>0</v>
      </c>
      <c r="D102" s="349" t="s">
        <v>77</v>
      </c>
      <c r="E102" s="350"/>
      <c r="F102" s="177">
        <v>0</v>
      </c>
      <c r="G102" s="349" t="s">
        <v>78</v>
      </c>
      <c r="H102" s="350"/>
      <c r="I102" s="179">
        <v>0</v>
      </c>
      <c r="J102" s="402">
        <v>20.2</v>
      </c>
      <c r="K102" s="350"/>
      <c r="L102" s="219">
        <v>0</v>
      </c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16"/>
      <c r="Y102" s="16"/>
      <c r="Z102" s="16"/>
      <c r="AA102" s="16"/>
    </row>
    <row r="103" spans="1:27" x14ac:dyDescent="0.45">
      <c r="A103" s="349" t="s">
        <v>79</v>
      </c>
      <c r="B103" s="350"/>
      <c r="C103" s="154">
        <v>0</v>
      </c>
      <c r="D103" s="349" t="s">
        <v>80</v>
      </c>
      <c r="E103" s="350"/>
      <c r="F103" s="154">
        <v>0</v>
      </c>
      <c r="G103" s="349" t="s">
        <v>81</v>
      </c>
      <c r="H103" s="350"/>
      <c r="I103" s="179">
        <v>0</v>
      </c>
      <c r="J103" s="402">
        <v>20.399999999999999</v>
      </c>
      <c r="K103" s="350"/>
      <c r="L103" s="220">
        <v>0</v>
      </c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16"/>
      <c r="Y103" s="16"/>
      <c r="Z103" s="16"/>
      <c r="AA103" s="16"/>
    </row>
    <row r="104" spans="1:27" x14ac:dyDescent="0.45">
      <c r="A104" s="349" t="s">
        <v>82</v>
      </c>
      <c r="B104" s="350"/>
      <c r="C104" s="154">
        <v>0</v>
      </c>
      <c r="D104" s="349" t="s">
        <v>83</v>
      </c>
      <c r="E104" s="350"/>
      <c r="F104" s="154">
        <v>0</v>
      </c>
      <c r="G104" s="349" t="s">
        <v>84</v>
      </c>
      <c r="H104" s="350"/>
      <c r="I104" s="179">
        <v>0</v>
      </c>
      <c r="J104" s="402" t="s">
        <v>85</v>
      </c>
      <c r="K104" s="350"/>
      <c r="L104" s="219">
        <v>0</v>
      </c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16"/>
      <c r="Y104" s="16"/>
      <c r="Z104" s="16"/>
      <c r="AA104" s="16"/>
    </row>
    <row r="105" spans="1:27" x14ac:dyDescent="0.45">
      <c r="A105" s="415" t="s">
        <v>86</v>
      </c>
      <c r="B105" s="377"/>
      <c r="C105" s="15">
        <v>0</v>
      </c>
      <c r="D105" s="349" t="s">
        <v>87</v>
      </c>
      <c r="E105" s="350"/>
      <c r="F105" s="154">
        <v>0</v>
      </c>
      <c r="G105" s="349" t="s">
        <v>88</v>
      </c>
      <c r="H105" s="350"/>
      <c r="I105" s="179">
        <v>0</v>
      </c>
      <c r="J105" s="402" t="s">
        <v>89</v>
      </c>
      <c r="K105" s="350"/>
      <c r="L105" s="219">
        <v>0</v>
      </c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16"/>
      <c r="Y105" s="16"/>
      <c r="Z105" s="16"/>
      <c r="AA105" s="16"/>
    </row>
    <row r="106" spans="1:27" x14ac:dyDescent="0.45">
      <c r="A106" s="570">
        <v>14</v>
      </c>
      <c r="B106" s="350"/>
      <c r="C106" s="176">
        <v>0</v>
      </c>
      <c r="D106" s="349" t="s">
        <v>90</v>
      </c>
      <c r="E106" s="350"/>
      <c r="F106" s="154">
        <v>0</v>
      </c>
      <c r="G106" s="349" t="s">
        <v>91</v>
      </c>
      <c r="H106" s="350"/>
      <c r="I106" s="179">
        <v>0</v>
      </c>
      <c r="J106" s="402" t="s">
        <v>92</v>
      </c>
      <c r="K106" s="350"/>
      <c r="L106" s="218">
        <v>0</v>
      </c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16"/>
      <c r="Y106" s="16"/>
      <c r="Z106" s="16"/>
      <c r="AA106" s="16"/>
    </row>
    <row r="107" spans="1:27" x14ac:dyDescent="0.45">
      <c r="A107" s="349" t="s">
        <v>93</v>
      </c>
      <c r="B107" s="350"/>
      <c r="C107" s="154">
        <v>0</v>
      </c>
      <c r="D107" s="349" t="s">
        <v>94</v>
      </c>
      <c r="E107" s="350"/>
      <c r="F107" s="154">
        <v>0</v>
      </c>
      <c r="G107" s="349" t="s">
        <v>95</v>
      </c>
      <c r="H107" s="350"/>
      <c r="I107" s="179">
        <v>0</v>
      </c>
      <c r="J107" s="402" t="s">
        <v>96</v>
      </c>
      <c r="K107" s="350"/>
      <c r="L107" s="219">
        <v>0</v>
      </c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16"/>
      <c r="Y107" s="16"/>
      <c r="Z107" s="16"/>
      <c r="AA107" s="16"/>
    </row>
    <row r="108" spans="1:27" x14ac:dyDescent="0.45">
      <c r="A108" s="415" t="s">
        <v>97</v>
      </c>
      <c r="B108" s="377"/>
      <c r="C108" s="15">
        <v>0</v>
      </c>
      <c r="D108" s="349" t="s">
        <v>98</v>
      </c>
      <c r="E108" s="350"/>
      <c r="F108" s="154">
        <v>0</v>
      </c>
      <c r="G108" s="349" t="s">
        <v>99</v>
      </c>
      <c r="H108" s="350"/>
      <c r="I108" s="179">
        <v>0</v>
      </c>
      <c r="J108" s="402">
        <v>22</v>
      </c>
      <c r="K108" s="350"/>
      <c r="L108" s="219">
        <v>0</v>
      </c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16"/>
      <c r="Y108" s="16"/>
      <c r="Z108" s="16"/>
      <c r="AA108" s="16"/>
    </row>
    <row r="109" spans="1:27" x14ac:dyDescent="0.45">
      <c r="A109" s="584" t="s">
        <v>100</v>
      </c>
      <c r="B109" s="377"/>
      <c r="C109" s="157">
        <v>0</v>
      </c>
      <c r="D109" s="349" t="s">
        <v>101</v>
      </c>
      <c r="E109" s="350"/>
      <c r="F109" s="154">
        <v>0</v>
      </c>
      <c r="G109" s="349" t="s">
        <v>102</v>
      </c>
      <c r="H109" s="350"/>
      <c r="I109" s="179">
        <v>0</v>
      </c>
      <c r="J109" s="402" t="s">
        <v>103</v>
      </c>
      <c r="K109" s="350"/>
      <c r="L109" s="218">
        <v>0</v>
      </c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16"/>
      <c r="Y109" s="16"/>
      <c r="Z109" s="16"/>
      <c r="AA109" s="16"/>
    </row>
    <row r="110" spans="1:27" x14ac:dyDescent="0.45">
      <c r="A110" s="349" t="s">
        <v>104</v>
      </c>
      <c r="B110" s="350"/>
      <c r="C110" s="15">
        <v>0</v>
      </c>
      <c r="D110" s="349" t="s">
        <v>105</v>
      </c>
      <c r="E110" s="350"/>
      <c r="F110" s="154">
        <v>0</v>
      </c>
      <c r="G110" s="349" t="s">
        <v>106</v>
      </c>
      <c r="H110" s="350"/>
      <c r="I110" s="179">
        <v>0</v>
      </c>
      <c r="J110" s="402">
        <v>23</v>
      </c>
      <c r="K110" s="350"/>
      <c r="L110" s="218">
        <v>0</v>
      </c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16"/>
      <c r="Y110" s="16"/>
      <c r="Z110" s="16"/>
      <c r="AA110" s="16"/>
    </row>
    <row r="111" spans="1:27" x14ac:dyDescent="0.45">
      <c r="A111" s="349" t="s">
        <v>107</v>
      </c>
      <c r="B111" s="350"/>
      <c r="C111" s="15">
        <v>0</v>
      </c>
      <c r="D111" s="349">
        <v>16.3</v>
      </c>
      <c r="E111" s="350"/>
      <c r="F111" s="154">
        <v>0</v>
      </c>
      <c r="G111" s="349" t="s">
        <v>108</v>
      </c>
      <c r="H111" s="350"/>
      <c r="I111" s="179">
        <v>0</v>
      </c>
      <c r="J111" s="507">
        <v>23.1</v>
      </c>
      <c r="K111" s="350"/>
      <c r="L111" s="221">
        <v>0</v>
      </c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16"/>
      <c r="Y111" s="16"/>
      <c r="Z111" s="16"/>
      <c r="AA111" s="16"/>
    </row>
    <row r="112" spans="1:27" x14ac:dyDescent="0.45">
      <c r="A112" s="349" t="s">
        <v>109</v>
      </c>
      <c r="B112" s="350"/>
      <c r="C112" s="15">
        <v>0</v>
      </c>
      <c r="D112" s="349" t="s">
        <v>110</v>
      </c>
      <c r="E112" s="350"/>
      <c r="F112" s="154">
        <v>0</v>
      </c>
      <c r="G112" s="349" t="s">
        <v>111</v>
      </c>
      <c r="H112" s="350"/>
      <c r="I112" s="179">
        <v>0</v>
      </c>
      <c r="J112" s="402" t="s">
        <v>112</v>
      </c>
      <c r="K112" s="350"/>
      <c r="L112" s="218">
        <v>0</v>
      </c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16"/>
      <c r="Y112" s="16"/>
      <c r="Z112" s="16"/>
      <c r="AA112" s="16"/>
    </row>
    <row r="113" spans="1:27" ht="15.75" customHeight="1" thickBot="1" x14ac:dyDescent="0.5">
      <c r="A113" s="415" t="s">
        <v>113</v>
      </c>
      <c r="B113" s="377"/>
      <c r="C113" s="15">
        <v>0</v>
      </c>
      <c r="D113" s="349" t="s">
        <v>114</v>
      </c>
      <c r="E113" s="350"/>
      <c r="F113" s="154">
        <v>0</v>
      </c>
      <c r="G113" s="349" t="s">
        <v>115</v>
      </c>
      <c r="H113" s="350"/>
      <c r="I113" s="179">
        <v>0</v>
      </c>
      <c r="J113" s="625">
        <v>26</v>
      </c>
      <c r="K113" s="414"/>
      <c r="L113" s="222">
        <v>0</v>
      </c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16"/>
      <c r="Y113" s="16"/>
      <c r="Z113" s="16"/>
      <c r="AA113" s="16"/>
    </row>
    <row r="114" spans="1:27" ht="16.5" customHeight="1" thickTop="1" thickBot="1" x14ac:dyDescent="0.5">
      <c r="A114" s="415" t="s">
        <v>116</v>
      </c>
      <c r="B114" s="377"/>
      <c r="C114" s="15">
        <v>0</v>
      </c>
      <c r="D114" s="349">
        <v>16.5</v>
      </c>
      <c r="E114" s="350"/>
      <c r="F114" s="154">
        <v>0</v>
      </c>
      <c r="G114" s="431" t="s">
        <v>117</v>
      </c>
      <c r="H114" s="414"/>
      <c r="I114" s="178">
        <v>0</v>
      </c>
      <c r="J114" s="78"/>
      <c r="K114" s="38"/>
      <c r="L114" s="180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16"/>
      <c r="Y114" s="16"/>
      <c r="Z114" s="16"/>
      <c r="AA114" s="16"/>
    </row>
    <row r="115" spans="1:27" ht="15.75" customHeight="1" thickTop="1" x14ac:dyDescent="0.45">
      <c r="A115" s="415" t="s">
        <v>118</v>
      </c>
      <c r="B115" s="377"/>
      <c r="C115" s="15">
        <v>0</v>
      </c>
      <c r="D115" s="563">
        <v>16.600000000000001</v>
      </c>
      <c r="E115" s="350"/>
      <c r="F115" s="156">
        <v>0</v>
      </c>
      <c r="G115" s="34"/>
      <c r="H115" s="34"/>
      <c r="I115" s="34"/>
      <c r="J115" s="34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16"/>
      <c r="Y115" s="16"/>
      <c r="Z115" s="16"/>
      <c r="AA115" s="16"/>
    </row>
    <row r="116" spans="1:27" ht="15.75" customHeight="1" thickBot="1" x14ac:dyDescent="0.5">
      <c r="A116" s="415" t="s">
        <v>119</v>
      </c>
      <c r="B116" s="377"/>
      <c r="C116" s="15">
        <v>0</v>
      </c>
      <c r="D116" s="431">
        <v>17</v>
      </c>
      <c r="E116" s="414"/>
      <c r="F116" s="178">
        <v>0</v>
      </c>
      <c r="G116" s="34"/>
      <c r="H116" s="34"/>
      <c r="I116" s="34"/>
      <c r="J116" s="34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16"/>
      <c r="Y116" s="16"/>
      <c r="Z116" s="16"/>
      <c r="AA116" s="16"/>
    </row>
    <row r="117" spans="1:27" ht="15.75" customHeight="1" thickTop="1" x14ac:dyDescent="0.45">
      <c r="A117" s="415" t="s">
        <v>120</v>
      </c>
      <c r="B117" s="377"/>
      <c r="C117" s="15">
        <v>0</v>
      </c>
      <c r="G117" s="38"/>
      <c r="H117" s="38"/>
      <c r="I117" s="37"/>
      <c r="J117" s="35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16"/>
      <c r="Y117" s="16"/>
      <c r="Z117" s="16"/>
      <c r="AA117" s="16"/>
    </row>
    <row r="118" spans="1:27" ht="15.75" customHeight="1" thickBot="1" x14ac:dyDescent="0.5">
      <c r="A118" s="431" t="s">
        <v>121</v>
      </c>
      <c r="B118" s="414"/>
      <c r="C118" s="178">
        <v>0</v>
      </c>
      <c r="D118" s="79"/>
      <c r="E118" s="80" t="s">
        <v>122</v>
      </c>
      <c r="G118" s="81"/>
      <c r="H118" s="81"/>
      <c r="I118" s="81"/>
      <c r="J118" s="8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16"/>
      <c r="Y118" s="16"/>
      <c r="Z118" s="16"/>
      <c r="AA118" s="16"/>
    </row>
    <row r="119" spans="1:27" ht="15.75" customHeight="1" thickTop="1" x14ac:dyDescent="0.45"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16"/>
      <c r="Y119" s="16"/>
      <c r="Z119" s="16"/>
      <c r="AA119" s="16"/>
    </row>
    <row r="120" spans="1:27" x14ac:dyDescent="0.45">
      <c r="A120" s="468" t="s">
        <v>123</v>
      </c>
      <c r="B120" s="352"/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16"/>
      <c r="Y120" s="16"/>
      <c r="Z120" s="16"/>
      <c r="AA120" s="16"/>
    </row>
    <row r="121" spans="1:27" ht="15.75" customHeight="1" thickBot="1" x14ac:dyDescent="0.5"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16"/>
      <c r="Y121" s="16"/>
      <c r="Z121" s="16"/>
      <c r="AA121" s="16"/>
    </row>
    <row r="122" spans="1:27" ht="28.9" customHeight="1" thickTop="1" thickBot="1" x14ac:dyDescent="0.5">
      <c r="A122" s="403" t="s">
        <v>72</v>
      </c>
      <c r="B122" s="381"/>
      <c r="C122" s="386" t="s">
        <v>6</v>
      </c>
      <c r="D122" s="387"/>
      <c r="E122" s="403" t="s">
        <v>72</v>
      </c>
      <c r="F122" s="381"/>
      <c r="G122" s="386" t="s">
        <v>6</v>
      </c>
      <c r="H122" s="387"/>
      <c r="I122" s="403" t="s">
        <v>72</v>
      </c>
      <c r="J122" s="381"/>
      <c r="K122" s="386" t="s">
        <v>6</v>
      </c>
      <c r="L122" s="387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16"/>
      <c r="Y122" s="16"/>
      <c r="Z122" s="16"/>
      <c r="AA122" s="16"/>
    </row>
    <row r="123" spans="1:27" ht="15.75" customHeight="1" thickTop="1" x14ac:dyDescent="0.45">
      <c r="A123" s="508" t="s">
        <v>124</v>
      </c>
      <c r="B123" s="360"/>
      <c r="C123" s="589">
        <v>0</v>
      </c>
      <c r="D123" s="424"/>
      <c r="E123" s="460" t="s">
        <v>125</v>
      </c>
      <c r="F123" s="354"/>
      <c r="G123" s="459">
        <v>0</v>
      </c>
      <c r="H123" s="446"/>
      <c r="I123" s="460" t="s">
        <v>126</v>
      </c>
      <c r="J123" s="354"/>
      <c r="K123" s="630">
        <v>0</v>
      </c>
      <c r="L123" s="424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16"/>
      <c r="Y123" s="16"/>
      <c r="Z123" s="16"/>
      <c r="AA123" s="16"/>
    </row>
    <row r="124" spans="1:27" x14ac:dyDescent="0.45">
      <c r="A124" s="415" t="s">
        <v>127</v>
      </c>
      <c r="B124" s="377"/>
      <c r="C124" s="392">
        <v>0</v>
      </c>
      <c r="D124" s="357"/>
      <c r="E124" s="349" t="s">
        <v>128</v>
      </c>
      <c r="F124" s="350"/>
      <c r="G124" s="486">
        <v>0</v>
      </c>
      <c r="H124" s="357"/>
      <c r="I124" s="349" t="s">
        <v>129</v>
      </c>
      <c r="J124" s="350"/>
      <c r="K124" s="486">
        <v>0</v>
      </c>
      <c r="L124" s="357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16"/>
      <c r="Y124" s="16"/>
      <c r="Z124" s="16"/>
      <c r="AA124" s="16"/>
    </row>
    <row r="125" spans="1:27" x14ac:dyDescent="0.45">
      <c r="A125" s="415" t="s">
        <v>130</v>
      </c>
      <c r="B125" s="377"/>
      <c r="C125" s="392">
        <v>0</v>
      </c>
      <c r="D125" s="357"/>
      <c r="E125" s="349" t="s">
        <v>131</v>
      </c>
      <c r="F125" s="350"/>
      <c r="G125" s="390">
        <v>0</v>
      </c>
      <c r="H125" s="391"/>
      <c r="I125" s="349" t="s">
        <v>132</v>
      </c>
      <c r="J125" s="350"/>
      <c r="K125" s="486">
        <v>0</v>
      </c>
      <c r="L125" s="357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16"/>
      <c r="Y125" s="16"/>
      <c r="Z125" s="16"/>
      <c r="AA125" s="16"/>
    </row>
    <row r="126" spans="1:27" x14ac:dyDescent="0.45">
      <c r="A126" s="415" t="s">
        <v>133</v>
      </c>
      <c r="B126" s="377"/>
      <c r="C126" s="392">
        <v>0</v>
      </c>
      <c r="D126" s="357"/>
      <c r="E126" s="349" t="s">
        <v>134</v>
      </c>
      <c r="F126" s="350"/>
      <c r="G126" s="390">
        <v>0</v>
      </c>
      <c r="H126" s="391"/>
      <c r="I126" s="349" t="s">
        <v>135</v>
      </c>
      <c r="J126" s="350"/>
      <c r="K126" s="486">
        <v>0</v>
      </c>
      <c r="L126" s="357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16"/>
      <c r="Y126" s="16"/>
      <c r="Z126" s="16"/>
      <c r="AA126" s="16"/>
    </row>
    <row r="127" spans="1:27" x14ac:dyDescent="0.45">
      <c r="A127" s="415" t="s">
        <v>136</v>
      </c>
      <c r="B127" s="377"/>
      <c r="C127" s="392">
        <v>0</v>
      </c>
      <c r="D127" s="357"/>
      <c r="E127" s="349" t="s">
        <v>137</v>
      </c>
      <c r="F127" s="350"/>
      <c r="G127" s="390">
        <v>0</v>
      </c>
      <c r="H127" s="391"/>
      <c r="I127" s="349" t="s">
        <v>138</v>
      </c>
      <c r="J127" s="350"/>
      <c r="K127" s="486">
        <v>0</v>
      </c>
      <c r="L127" s="357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16"/>
      <c r="Y127" s="16"/>
      <c r="Z127" s="16"/>
      <c r="AA127" s="16"/>
    </row>
    <row r="128" spans="1:27" ht="15.75" customHeight="1" thickBot="1" x14ac:dyDescent="0.5">
      <c r="A128" s="599" t="s">
        <v>139</v>
      </c>
      <c r="B128" s="597"/>
      <c r="C128" s="347">
        <v>0</v>
      </c>
      <c r="D128" s="348"/>
      <c r="E128" s="349" t="s">
        <v>140</v>
      </c>
      <c r="F128" s="350"/>
      <c r="G128" s="390">
        <v>0</v>
      </c>
      <c r="H128" s="391"/>
      <c r="I128" s="349" t="s">
        <v>141</v>
      </c>
      <c r="J128" s="350"/>
      <c r="K128" s="486">
        <v>0</v>
      </c>
      <c r="L128" s="357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16"/>
      <c r="Y128" s="16"/>
      <c r="Z128" s="16"/>
      <c r="AA128" s="16"/>
    </row>
    <row r="129" spans="1:27" ht="16.5" customHeight="1" thickTop="1" thickBot="1" x14ac:dyDescent="0.5">
      <c r="A129" s="590"/>
      <c r="B129" s="394"/>
      <c r="C129" s="602"/>
      <c r="D129" s="395"/>
      <c r="E129" s="431" t="s">
        <v>142</v>
      </c>
      <c r="F129" s="414"/>
      <c r="G129" s="429">
        <v>0</v>
      </c>
      <c r="H129" s="430"/>
      <c r="I129" s="431" t="s">
        <v>143</v>
      </c>
      <c r="J129" s="414"/>
      <c r="K129" s="620">
        <v>0</v>
      </c>
      <c r="L129" s="348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16"/>
      <c r="Y129" s="16"/>
      <c r="Z129" s="16"/>
      <c r="AA129" s="16"/>
    </row>
    <row r="130" spans="1:27" ht="15.75" customHeight="1" thickTop="1" x14ac:dyDescent="0.45">
      <c r="M130" s="412"/>
      <c r="N130" s="34"/>
      <c r="O130" s="34"/>
      <c r="P130" s="34"/>
      <c r="Q130" s="34"/>
      <c r="R130" s="34"/>
      <c r="S130" s="34"/>
      <c r="T130" s="71"/>
      <c r="U130" s="71"/>
      <c r="V130" s="71"/>
      <c r="W130" s="71"/>
      <c r="X130" s="16"/>
      <c r="Y130" s="16"/>
      <c r="Z130" s="16"/>
      <c r="AA130" s="16"/>
    </row>
    <row r="131" spans="1:27" x14ac:dyDescent="0.45">
      <c r="A131" s="468" t="s">
        <v>144</v>
      </c>
      <c r="B131" s="352"/>
      <c r="C131" s="352"/>
      <c r="D131" s="352"/>
      <c r="E131" s="352"/>
      <c r="F131" s="352"/>
      <c r="G131" s="352"/>
      <c r="H131" s="352"/>
      <c r="I131" s="352"/>
      <c r="M131" s="412"/>
      <c r="N131" s="34"/>
      <c r="O131" s="34"/>
      <c r="P131" s="34"/>
      <c r="Q131" s="34"/>
      <c r="R131" s="34"/>
      <c r="S131" s="34"/>
      <c r="T131" s="71"/>
      <c r="U131" s="71"/>
      <c r="V131" s="71"/>
      <c r="W131" s="71"/>
      <c r="X131" s="16"/>
      <c r="Y131" s="16"/>
      <c r="Z131" s="16"/>
      <c r="AA131" s="16"/>
    </row>
    <row r="132" spans="1:27" ht="15.75" customHeight="1" thickBot="1" x14ac:dyDescent="0.5">
      <c r="M132" s="412"/>
      <c r="N132" s="412"/>
      <c r="O132" s="412"/>
      <c r="P132" s="412"/>
      <c r="Q132" s="412"/>
      <c r="R132" s="412"/>
      <c r="S132" s="412"/>
      <c r="T132" s="71"/>
      <c r="U132" s="71"/>
      <c r="V132" s="71"/>
      <c r="W132" s="71"/>
      <c r="X132" s="16"/>
      <c r="Y132" s="16"/>
      <c r="Z132" s="16"/>
      <c r="AA132" s="16"/>
    </row>
    <row r="133" spans="1:27" ht="15.75" customHeight="1" thickTop="1" thickBot="1" x14ac:dyDescent="0.5">
      <c r="A133" s="410" t="s">
        <v>145</v>
      </c>
      <c r="B133" s="395"/>
      <c r="C133" s="668" t="s">
        <v>146</v>
      </c>
      <c r="D133" s="394"/>
      <c r="E133" s="394"/>
      <c r="F133" s="394"/>
      <c r="G133" s="395"/>
      <c r="H133" s="410" t="s">
        <v>147</v>
      </c>
      <c r="I133" s="395"/>
      <c r="J133" s="82"/>
      <c r="K133" s="82"/>
      <c r="M133" s="412"/>
      <c r="N133" s="412"/>
      <c r="O133" s="412"/>
      <c r="P133" s="412"/>
      <c r="Q133" s="412"/>
      <c r="R133" s="412"/>
      <c r="S133" s="412"/>
      <c r="T133" s="71"/>
      <c r="U133" s="71"/>
      <c r="V133" s="71"/>
      <c r="W133" s="71"/>
      <c r="X133" s="16"/>
      <c r="Y133" s="16"/>
      <c r="Z133" s="16"/>
      <c r="AA133" s="16"/>
    </row>
    <row r="134" spans="1:27" ht="33" customHeight="1" thickTop="1" thickBot="1" x14ac:dyDescent="0.5">
      <c r="A134" s="396"/>
      <c r="B134" s="397"/>
      <c r="C134" s="655" t="s">
        <v>148</v>
      </c>
      <c r="D134" s="414"/>
      <c r="E134" s="143" t="s">
        <v>149</v>
      </c>
      <c r="F134" s="144" t="s">
        <v>150</v>
      </c>
      <c r="G134" s="145" t="s">
        <v>151</v>
      </c>
      <c r="H134" s="396"/>
      <c r="I134" s="397"/>
      <c r="K134" s="92"/>
      <c r="L134" s="92"/>
      <c r="M134" s="412"/>
      <c r="N134" s="412"/>
      <c r="O134" s="412"/>
      <c r="P134" s="412"/>
      <c r="Q134" s="412"/>
      <c r="R134" s="412"/>
      <c r="S134" s="412"/>
      <c r="T134" s="71"/>
      <c r="U134" s="71"/>
      <c r="V134" s="71"/>
      <c r="W134" s="71"/>
      <c r="X134" s="16"/>
      <c r="Y134" s="16"/>
      <c r="Z134" s="16"/>
      <c r="AA134" s="16"/>
    </row>
    <row r="135" spans="1:27" ht="15.75" customHeight="1" thickTop="1" thickBot="1" x14ac:dyDescent="0.5">
      <c r="A135" s="490">
        <v>0</v>
      </c>
      <c r="B135" s="363"/>
      <c r="C135" s="490">
        <v>0</v>
      </c>
      <c r="D135" s="363"/>
      <c r="E135" s="181">
        <v>0</v>
      </c>
      <c r="F135" s="181">
        <v>0</v>
      </c>
      <c r="G135" s="182">
        <v>0</v>
      </c>
      <c r="H135" s="582">
        <v>0</v>
      </c>
      <c r="I135" s="399"/>
      <c r="J135" s="92"/>
      <c r="K135" s="92"/>
      <c r="L135" s="92"/>
      <c r="M135" s="412"/>
      <c r="N135" s="412"/>
      <c r="O135" s="412"/>
      <c r="P135" s="412"/>
      <c r="Q135" s="412"/>
      <c r="R135" s="412"/>
      <c r="S135" s="412"/>
      <c r="T135" s="73"/>
      <c r="U135" s="73"/>
      <c r="V135" s="73"/>
      <c r="W135" s="73"/>
      <c r="X135" s="74"/>
      <c r="Y135" s="16"/>
      <c r="Z135" s="16"/>
      <c r="AA135" s="16"/>
    </row>
    <row r="136" spans="1:27" ht="15.75" customHeight="1" thickTop="1" x14ac:dyDescent="0.45">
      <c r="J136" s="92"/>
      <c r="K136" s="92"/>
      <c r="L136" s="92"/>
      <c r="M136" s="412"/>
      <c r="N136" s="412"/>
      <c r="O136" s="412"/>
      <c r="P136" s="412"/>
      <c r="Q136" s="412"/>
      <c r="R136" s="412"/>
      <c r="S136" s="412"/>
      <c r="T136" s="71"/>
      <c r="U136" s="71"/>
      <c r="V136" s="71"/>
      <c r="W136" s="71"/>
      <c r="X136" s="16"/>
      <c r="Y136" s="16"/>
      <c r="Z136" s="16"/>
      <c r="AA136" s="16"/>
    </row>
    <row r="137" spans="1:27" x14ac:dyDescent="0.45">
      <c r="A137" s="506" t="s">
        <v>152</v>
      </c>
      <c r="B137" s="352"/>
      <c r="C137" s="352"/>
      <c r="D137" s="352"/>
      <c r="E137" s="352"/>
      <c r="F137" s="352"/>
      <c r="G137" s="352"/>
      <c r="H137" s="352"/>
      <c r="I137" s="352"/>
      <c r="M137" s="412"/>
      <c r="N137" s="412"/>
      <c r="O137" s="412"/>
      <c r="P137" s="412"/>
      <c r="Q137" s="412"/>
      <c r="R137" s="412"/>
      <c r="S137" s="412"/>
      <c r="T137" s="71"/>
      <c r="U137" s="71"/>
      <c r="V137" s="71"/>
      <c r="W137" s="71"/>
      <c r="X137" s="16"/>
      <c r="Y137" s="16"/>
      <c r="Z137" s="16"/>
      <c r="AA137" s="16"/>
    </row>
    <row r="138" spans="1:27" x14ac:dyDescent="0.45">
      <c r="A138" s="3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16"/>
      <c r="Y138" s="16"/>
      <c r="Z138" s="16"/>
      <c r="AA138" s="16"/>
    </row>
    <row r="139" spans="1:27" ht="30.75" customHeight="1" x14ac:dyDescent="0.45">
      <c r="A139" s="663" t="s">
        <v>153</v>
      </c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16"/>
      <c r="Y139" s="16"/>
      <c r="Z139" s="16"/>
      <c r="AA139" s="16"/>
    </row>
    <row r="140" spans="1:27" ht="15.75" customHeight="1" thickBot="1" x14ac:dyDescent="0.5"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16"/>
      <c r="Y140" s="16"/>
      <c r="Z140" s="16"/>
      <c r="AA140" s="16"/>
    </row>
    <row r="141" spans="1:27" ht="32.25" customHeight="1" thickTop="1" thickBot="1" x14ac:dyDescent="0.5">
      <c r="A141" s="482" t="s">
        <v>154</v>
      </c>
      <c r="B141" s="394"/>
      <c r="C141" s="453"/>
      <c r="D141" s="542" t="s">
        <v>155</v>
      </c>
      <c r="E141" s="380"/>
      <c r="F141" s="381"/>
      <c r="G141" s="553" t="s">
        <v>6</v>
      </c>
      <c r="H141" s="394"/>
      <c r="I141" s="453"/>
      <c r="K141" s="93"/>
      <c r="L141" s="9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4"/>
      <c r="Y141" s="16"/>
      <c r="Z141" s="16"/>
      <c r="AA141" s="16"/>
    </row>
    <row r="142" spans="1:27" ht="16.5" customHeight="1" thickTop="1" thickBot="1" x14ac:dyDescent="0.5">
      <c r="A142" s="636">
        <v>0</v>
      </c>
      <c r="B142" s="363"/>
      <c r="C142" s="364"/>
      <c r="D142" s="362">
        <v>0</v>
      </c>
      <c r="E142" s="363"/>
      <c r="F142" s="364"/>
      <c r="G142" s="362">
        <v>0</v>
      </c>
      <c r="H142" s="363"/>
      <c r="I142" s="364"/>
      <c r="K142" s="92"/>
      <c r="L142" s="92"/>
      <c r="O142" s="73"/>
      <c r="P142" s="73"/>
      <c r="Q142" s="73"/>
      <c r="R142" s="73"/>
      <c r="S142" s="73"/>
      <c r="T142" s="73"/>
      <c r="U142" s="73"/>
      <c r="V142" s="73"/>
      <c r="W142" s="73"/>
      <c r="X142" s="74"/>
      <c r="Y142" s="16"/>
      <c r="Z142" s="16"/>
      <c r="AA142" s="16"/>
    </row>
    <row r="143" spans="1:27" ht="25.5" customHeight="1" thickTop="1" x14ac:dyDescent="0.45">
      <c r="J143" s="92"/>
      <c r="K143" s="92"/>
      <c r="L143" s="92"/>
      <c r="O143" s="73"/>
      <c r="P143" s="73"/>
      <c r="Q143" s="73"/>
      <c r="R143" s="73"/>
      <c r="S143" s="73"/>
      <c r="T143" s="73"/>
      <c r="U143" s="73"/>
      <c r="V143" s="73"/>
      <c r="W143" s="73"/>
      <c r="X143" s="74"/>
      <c r="Y143" s="16"/>
      <c r="Z143" s="16"/>
      <c r="AA143" s="16"/>
    </row>
    <row r="144" spans="1:27" ht="15" customHeight="1" x14ac:dyDescent="0.45">
      <c r="A144" s="591" t="s">
        <v>156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16"/>
      <c r="Y144" s="16"/>
      <c r="Z144" s="16"/>
      <c r="AA144" s="16"/>
    </row>
    <row r="145" spans="1:27" x14ac:dyDescent="0.45">
      <c r="A145" s="352"/>
      <c r="B145" s="352"/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16"/>
      <c r="Y145" s="16"/>
      <c r="Z145" s="16"/>
      <c r="AA145" s="16"/>
    </row>
    <row r="146" spans="1:27" ht="15.75" customHeight="1" thickBot="1" x14ac:dyDescent="0.5"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16"/>
      <c r="Y146" s="16"/>
      <c r="Z146" s="16"/>
      <c r="AA146" s="16"/>
    </row>
    <row r="147" spans="1:27" ht="28.5" customHeight="1" thickTop="1" thickBot="1" x14ac:dyDescent="0.5">
      <c r="A147" s="410" t="s">
        <v>157</v>
      </c>
      <c r="B147" s="395"/>
      <c r="C147" s="530" t="s">
        <v>158</v>
      </c>
      <c r="D147" s="488"/>
      <c r="E147" s="382" t="s">
        <v>159</v>
      </c>
      <c r="F147" s="361"/>
      <c r="G147" s="382" t="s">
        <v>160</v>
      </c>
      <c r="H147" s="36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16"/>
      <c r="U147" s="16"/>
      <c r="V147" s="16"/>
      <c r="W147" s="16"/>
    </row>
    <row r="148" spans="1:27" ht="29.25" customHeight="1" thickTop="1" thickBot="1" x14ac:dyDescent="0.5">
      <c r="A148" s="396"/>
      <c r="B148" s="397"/>
      <c r="C148" s="278" t="s">
        <v>6</v>
      </c>
      <c r="D148" s="279" t="s">
        <v>60</v>
      </c>
      <c r="E148" s="278" t="s">
        <v>6</v>
      </c>
      <c r="F148" s="279" t="s">
        <v>60</v>
      </c>
      <c r="G148" s="278" t="s">
        <v>6</v>
      </c>
      <c r="H148" s="279" t="s">
        <v>60</v>
      </c>
      <c r="I148" s="149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16"/>
      <c r="U148" s="16"/>
      <c r="V148" s="16"/>
      <c r="W148" s="16"/>
    </row>
    <row r="149" spans="1:27" ht="29.25" customHeight="1" thickTop="1" x14ac:dyDescent="0.45">
      <c r="A149" s="511" t="s">
        <v>61</v>
      </c>
      <c r="B149" s="488"/>
      <c r="C149" s="254">
        <v>0</v>
      </c>
      <c r="D149" s="280">
        <v>0</v>
      </c>
      <c r="E149" s="254">
        <v>0</v>
      </c>
      <c r="F149" s="280">
        <v>0</v>
      </c>
      <c r="G149" s="254">
        <v>0</v>
      </c>
      <c r="H149" s="280">
        <v>0</v>
      </c>
      <c r="I149" s="139" t="e">
        <f>SUM(D149,#REF!,F149,#REF!,H149)</f>
        <v>#REF!</v>
      </c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16"/>
      <c r="U149" s="16"/>
      <c r="V149" s="16"/>
      <c r="W149" s="16"/>
    </row>
    <row r="150" spans="1:27" ht="28.5" customHeight="1" x14ac:dyDescent="0.45">
      <c r="A150" s="426" t="s">
        <v>62</v>
      </c>
      <c r="B150" s="378"/>
      <c r="C150" s="257">
        <v>0</v>
      </c>
      <c r="D150" s="15">
        <v>0</v>
      </c>
      <c r="E150" s="257">
        <v>0</v>
      </c>
      <c r="F150" s="15">
        <v>0</v>
      </c>
      <c r="G150" s="257">
        <v>0</v>
      </c>
      <c r="H150" s="15">
        <v>0</v>
      </c>
      <c r="I150" s="139" t="e">
        <f>SUM(D150,#REF!,F150,#REF!,H150)</f>
        <v>#REF!</v>
      </c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16"/>
      <c r="U150" s="16"/>
      <c r="V150" s="16"/>
      <c r="W150" s="16"/>
    </row>
    <row r="151" spans="1:27" x14ac:dyDescent="0.45">
      <c r="A151" s="426" t="s">
        <v>63</v>
      </c>
      <c r="B151" s="378"/>
      <c r="C151" s="257">
        <v>0</v>
      </c>
      <c r="D151" s="15">
        <v>0</v>
      </c>
      <c r="E151" s="257">
        <v>0</v>
      </c>
      <c r="F151" s="15">
        <v>0</v>
      </c>
      <c r="G151" s="257">
        <v>0</v>
      </c>
      <c r="H151" s="15">
        <v>0</v>
      </c>
      <c r="I151" s="139" t="e">
        <f>SUM(D151,#REF!,F151,#REF!,H151)</f>
        <v>#REF!</v>
      </c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16"/>
      <c r="U151" s="16"/>
      <c r="V151" s="16"/>
      <c r="W151" s="16"/>
    </row>
    <row r="152" spans="1:27" x14ac:dyDescent="0.45">
      <c r="A152" s="426" t="s">
        <v>64</v>
      </c>
      <c r="B152" s="378"/>
      <c r="C152" s="257">
        <v>0</v>
      </c>
      <c r="D152" s="15">
        <v>0</v>
      </c>
      <c r="E152" s="257">
        <v>0</v>
      </c>
      <c r="F152" s="15">
        <v>0</v>
      </c>
      <c r="G152" s="257">
        <v>0</v>
      </c>
      <c r="H152" s="15">
        <v>0</v>
      </c>
      <c r="I152" s="139" t="e">
        <f>SUM(D152,#REF!,F152,#REF!,H152)</f>
        <v>#REF!</v>
      </c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16"/>
      <c r="U152" s="16"/>
      <c r="V152" s="16"/>
      <c r="W152" s="16"/>
    </row>
    <row r="153" spans="1:27" ht="26.25" customHeight="1" x14ac:dyDescent="0.45">
      <c r="A153" s="426" t="s">
        <v>67</v>
      </c>
      <c r="B153" s="378"/>
      <c r="C153" s="257">
        <v>0</v>
      </c>
      <c r="D153" s="281">
        <v>0</v>
      </c>
      <c r="E153" s="257">
        <v>0</v>
      </c>
      <c r="F153" s="281">
        <v>0</v>
      </c>
      <c r="G153" s="257">
        <v>0</v>
      </c>
      <c r="H153" s="15">
        <v>0</v>
      </c>
      <c r="I153" s="139" t="e">
        <f>SUM(D153,#REF!,F153,#REF!,H153)</f>
        <v>#REF!</v>
      </c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16"/>
      <c r="U153" s="16"/>
      <c r="V153" s="16"/>
      <c r="W153" s="16"/>
    </row>
    <row r="154" spans="1:27" ht="25.5" customHeight="1" x14ac:dyDescent="0.45">
      <c r="A154" s="587" t="s">
        <v>68</v>
      </c>
      <c r="B154" s="588"/>
      <c r="C154" s="257">
        <v>0</v>
      </c>
      <c r="D154" s="282">
        <v>0</v>
      </c>
      <c r="E154" s="283">
        <v>0</v>
      </c>
      <c r="F154" s="282">
        <v>0</v>
      </c>
      <c r="G154" s="283">
        <v>0</v>
      </c>
      <c r="H154" s="284">
        <v>0</v>
      </c>
      <c r="I154" s="139" t="e">
        <f>SUM(D154,#REF!,F154,#REF!,H154)</f>
        <v>#REF!</v>
      </c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16"/>
      <c r="U154" s="16"/>
      <c r="V154" s="16"/>
      <c r="W154" s="16"/>
    </row>
    <row r="155" spans="1:27" ht="51.75" customHeight="1" thickBot="1" x14ac:dyDescent="0.5">
      <c r="A155" s="569" t="s">
        <v>69</v>
      </c>
      <c r="B155" s="414"/>
      <c r="C155" s="285">
        <v>0</v>
      </c>
      <c r="D155" s="286">
        <v>0</v>
      </c>
      <c r="E155" s="285">
        <v>0</v>
      </c>
      <c r="F155" s="286">
        <v>0</v>
      </c>
      <c r="G155" s="285">
        <v>0</v>
      </c>
      <c r="H155" s="287">
        <v>0</v>
      </c>
      <c r="I155" s="139" t="e">
        <f>SUM(D155,#REF!,F155,#REF!,H155)</f>
        <v>#REF!</v>
      </c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16"/>
      <c r="U155" s="16"/>
      <c r="V155" s="16"/>
      <c r="W155" s="16"/>
    </row>
    <row r="156" spans="1:27" ht="16.5" customHeight="1" thickTop="1" thickBot="1" x14ac:dyDescent="0.5">
      <c r="A156" s="417" t="s">
        <v>11</v>
      </c>
      <c r="B156" s="387"/>
      <c r="C156" s="288">
        <f t="shared" ref="C156:H156" si="2">SUM(C149:C155)</f>
        <v>0</v>
      </c>
      <c r="D156" s="289">
        <f t="shared" si="2"/>
        <v>0</v>
      </c>
      <c r="E156" s="288">
        <f t="shared" si="2"/>
        <v>0</v>
      </c>
      <c r="F156" s="289">
        <f t="shared" si="2"/>
        <v>0</v>
      </c>
      <c r="G156" s="258">
        <f t="shared" si="2"/>
        <v>0</v>
      </c>
      <c r="H156" s="290">
        <f t="shared" si="2"/>
        <v>0</v>
      </c>
      <c r="I156" s="342" t="str">
        <f>IF(G142&lt;&gt;SUM(C156,E156,G156),"Section 4.5.2 - La somme des Colonnes ""Nombre de demandes"" de ""Total"" doit être égale au ""Nombre de demandes"" de la Section 4.5.1.","")</f>
        <v/>
      </c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16"/>
      <c r="U156" s="16"/>
      <c r="V156" s="16"/>
      <c r="W156" s="16"/>
    </row>
    <row r="157" spans="1:27" ht="21" customHeight="1" thickTop="1" x14ac:dyDescent="0.45">
      <c r="A157" s="39"/>
      <c r="B157" s="39"/>
      <c r="C157" s="37"/>
      <c r="D157" s="37"/>
      <c r="E157" s="37"/>
      <c r="F157" s="351"/>
      <c r="G157" s="352"/>
      <c r="H157" s="37"/>
      <c r="I157" s="343" t="str">
        <f>IF(A142&lt;&gt;SUM(D156,F156,H156),"Section 4.5.2 - La somme des Colonnes ""Pages traitées"" doit être égale au ""Nombre de page traitées"" de la Section 4.5.1.","")</f>
        <v/>
      </c>
      <c r="J157" s="37"/>
      <c r="K157" s="37"/>
      <c r="L157" s="37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16"/>
      <c r="Y157" s="16"/>
      <c r="Z157" s="16"/>
      <c r="AA157" s="16"/>
    </row>
    <row r="158" spans="1:27" x14ac:dyDescent="0.45">
      <c r="A158" s="547" t="s">
        <v>161</v>
      </c>
      <c r="B158" s="352"/>
      <c r="C158" s="352"/>
      <c r="D158" s="352"/>
      <c r="E158" s="352"/>
      <c r="F158" s="352"/>
      <c r="G158" s="352"/>
      <c r="H158" s="352"/>
      <c r="I158" s="352"/>
      <c r="J158" s="37"/>
      <c r="K158" s="37"/>
      <c r="L158" s="37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16"/>
      <c r="Y158" s="16"/>
      <c r="Z158" s="16"/>
      <c r="AA158" s="16"/>
    </row>
    <row r="159" spans="1:27" ht="15.75" customHeight="1" thickBot="1" x14ac:dyDescent="0.5"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16"/>
      <c r="Y159" s="16"/>
      <c r="Z159" s="16"/>
      <c r="AA159" s="16"/>
    </row>
    <row r="160" spans="1:27" ht="33.75" customHeight="1" thickTop="1" thickBot="1" x14ac:dyDescent="0.5">
      <c r="A160" s="647" t="s">
        <v>162</v>
      </c>
      <c r="B160" s="380"/>
      <c r="C160" s="381"/>
      <c r="D160" s="550" t="s">
        <v>163</v>
      </c>
      <c r="E160" s="380"/>
      <c r="F160" s="381"/>
      <c r="G160" s="679" t="s">
        <v>6</v>
      </c>
      <c r="H160" s="380"/>
      <c r="I160" s="387"/>
      <c r="J160" s="21"/>
      <c r="K160" s="21"/>
      <c r="L160" s="21"/>
      <c r="N160" s="134"/>
      <c r="O160" s="71"/>
      <c r="P160" s="71"/>
      <c r="Q160" s="71"/>
      <c r="R160" s="71"/>
      <c r="S160" s="71"/>
      <c r="T160" s="71"/>
      <c r="U160" s="71"/>
      <c r="V160" s="71"/>
      <c r="W160" s="71"/>
      <c r="X160" s="16"/>
      <c r="Y160" s="16"/>
      <c r="Z160" s="16"/>
      <c r="AA160" s="16"/>
    </row>
    <row r="161" spans="1:27" ht="18" customHeight="1" thickTop="1" thickBot="1" x14ac:dyDescent="0.5">
      <c r="A161" s="494">
        <v>0</v>
      </c>
      <c r="B161" s="363"/>
      <c r="C161" s="364"/>
      <c r="D161" s="489">
        <v>0</v>
      </c>
      <c r="E161" s="363"/>
      <c r="F161" s="364"/>
      <c r="G161" s="519">
        <v>0</v>
      </c>
      <c r="H161" s="363"/>
      <c r="I161" s="399"/>
      <c r="J161" s="21"/>
      <c r="K161" s="21"/>
      <c r="L161" s="2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16"/>
      <c r="Y161" s="16"/>
      <c r="Z161" s="16"/>
      <c r="AA161" s="16"/>
    </row>
    <row r="162" spans="1:27" ht="18.75" customHeight="1" thickTop="1" x14ac:dyDescent="0.45">
      <c r="A162" s="389" t="s">
        <v>164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16"/>
      <c r="Y162" s="16"/>
      <c r="Z162" s="16"/>
      <c r="AA162" s="16"/>
    </row>
    <row r="163" spans="1:27" ht="13.5" customHeight="1" x14ac:dyDescent="0.45">
      <c r="A163" s="352"/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16"/>
      <c r="Y163" s="16"/>
      <c r="Z163" s="16"/>
      <c r="AA163" s="16"/>
    </row>
    <row r="164" spans="1:27" ht="15.75" customHeight="1" thickBot="1" x14ac:dyDescent="0.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16"/>
      <c r="Y164" s="16"/>
      <c r="Z164" s="16"/>
      <c r="AA164" s="16"/>
    </row>
    <row r="165" spans="1:27" ht="15.75" customHeight="1" thickTop="1" thickBot="1" x14ac:dyDescent="0.5">
      <c r="A165" s="410" t="s">
        <v>157</v>
      </c>
      <c r="B165" s="395"/>
      <c r="C165" s="645" t="s">
        <v>6</v>
      </c>
      <c r="D165" s="641" t="s">
        <v>165</v>
      </c>
      <c r="E165" s="64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16"/>
      <c r="S165" s="16"/>
      <c r="T165" s="16"/>
      <c r="U165" s="16"/>
    </row>
    <row r="166" spans="1:27" ht="33.75" customHeight="1" thickTop="1" thickBot="1" x14ac:dyDescent="0.5">
      <c r="A166" s="396"/>
      <c r="B166" s="397"/>
      <c r="C166" s="646"/>
      <c r="D166" s="643"/>
      <c r="E166" s="644"/>
      <c r="G166" s="71"/>
      <c r="H166" s="71"/>
      <c r="I166" s="138" t="s">
        <v>6</v>
      </c>
      <c r="J166" s="138" t="s">
        <v>166</v>
      </c>
      <c r="K166" s="71"/>
      <c r="L166" s="71"/>
      <c r="M166" s="71"/>
      <c r="N166" s="71"/>
      <c r="O166" s="71"/>
      <c r="P166" s="71"/>
      <c r="Q166" s="71"/>
      <c r="R166" s="16"/>
      <c r="S166" s="16"/>
      <c r="T166" s="16"/>
      <c r="U166" s="16"/>
    </row>
    <row r="167" spans="1:27" ht="27.75" customHeight="1" thickTop="1" x14ac:dyDescent="0.45">
      <c r="A167" s="511" t="s">
        <v>61</v>
      </c>
      <c r="B167" s="488"/>
      <c r="C167" s="253">
        <v>0</v>
      </c>
      <c r="D167" s="562">
        <v>0</v>
      </c>
      <c r="E167" s="446"/>
      <c r="G167" s="412"/>
      <c r="H167" s="412"/>
      <c r="I167" s="139" t="e">
        <f>SUM(C167,#REF!,#REF!)</f>
        <v>#REF!</v>
      </c>
      <c r="J167" s="139" t="e">
        <f>SUM(D167,#REF!,#REF!)</f>
        <v>#REF!</v>
      </c>
      <c r="K167" s="71"/>
      <c r="L167" s="71"/>
      <c r="M167" s="71"/>
      <c r="N167" s="71"/>
      <c r="O167" s="71"/>
      <c r="P167" s="71"/>
      <c r="Q167" s="71"/>
      <c r="R167" s="16"/>
      <c r="S167" s="16"/>
      <c r="T167" s="16"/>
      <c r="U167" s="16"/>
    </row>
    <row r="168" spans="1:27" ht="28.5" customHeight="1" x14ac:dyDescent="0.45">
      <c r="A168" s="485" t="s">
        <v>62</v>
      </c>
      <c r="B168" s="377"/>
      <c r="C168" s="257">
        <v>0</v>
      </c>
      <c r="D168" s="392">
        <v>0</v>
      </c>
      <c r="E168" s="357"/>
      <c r="G168" s="412"/>
      <c r="H168" s="412"/>
      <c r="I168" s="139" t="e">
        <f>SUM(C168,#REF!,#REF!)</f>
        <v>#REF!</v>
      </c>
      <c r="J168" s="139" t="e">
        <f>SUM(D168,#REF!,#REF!)</f>
        <v>#REF!</v>
      </c>
      <c r="K168" s="71"/>
      <c r="L168" s="71"/>
      <c r="M168" s="71"/>
      <c r="N168" s="71"/>
      <c r="O168" s="71"/>
      <c r="P168" s="71"/>
      <c r="Q168" s="71"/>
      <c r="R168" s="16"/>
      <c r="S168" s="16"/>
      <c r="T168" s="16"/>
      <c r="U168" s="16"/>
    </row>
    <row r="169" spans="1:27" x14ac:dyDescent="0.45">
      <c r="A169" s="485" t="s">
        <v>63</v>
      </c>
      <c r="B169" s="377"/>
      <c r="C169" s="257">
        <v>0</v>
      </c>
      <c r="D169" s="392">
        <v>0</v>
      </c>
      <c r="E169" s="357"/>
      <c r="G169" s="412"/>
      <c r="H169" s="412"/>
      <c r="I169" s="139" t="e">
        <f>SUM(C169,#REF!,#REF!)</f>
        <v>#REF!</v>
      </c>
      <c r="J169" s="139" t="e">
        <f>SUM(D169,#REF!,#REF!)</f>
        <v>#REF!</v>
      </c>
      <c r="K169" s="71"/>
      <c r="L169" s="71"/>
      <c r="M169" s="71"/>
      <c r="N169" s="71"/>
      <c r="O169" s="71"/>
      <c r="P169" s="71"/>
      <c r="Q169" s="71"/>
      <c r="R169" s="16"/>
      <c r="S169" s="16"/>
      <c r="T169" s="16"/>
      <c r="U169" s="16"/>
    </row>
    <row r="170" spans="1:27" x14ac:dyDescent="0.45">
      <c r="A170" s="485" t="s">
        <v>64</v>
      </c>
      <c r="B170" s="377"/>
      <c r="C170" s="257">
        <v>0</v>
      </c>
      <c r="D170" s="392">
        <v>0</v>
      </c>
      <c r="E170" s="357"/>
      <c r="G170" s="412"/>
      <c r="H170" s="412"/>
      <c r="I170" s="139" t="e">
        <f>SUM(C170,#REF!,#REF!)</f>
        <v>#REF!</v>
      </c>
      <c r="J170" s="139" t="e">
        <f>SUM(D170,#REF!,#REF!)</f>
        <v>#REF!</v>
      </c>
      <c r="K170" s="71"/>
      <c r="L170" s="71"/>
      <c r="M170" s="71"/>
      <c r="N170" s="71"/>
      <c r="O170" s="71"/>
      <c r="P170" s="71"/>
      <c r="Q170" s="71"/>
      <c r="R170" s="16"/>
      <c r="S170" s="16"/>
      <c r="T170" s="16"/>
      <c r="U170" s="16"/>
    </row>
    <row r="171" spans="1:27" ht="24" customHeight="1" x14ac:dyDescent="0.45">
      <c r="A171" s="485" t="s">
        <v>67</v>
      </c>
      <c r="B171" s="377"/>
      <c r="C171" s="257">
        <v>0</v>
      </c>
      <c r="D171" s="392">
        <v>0</v>
      </c>
      <c r="E171" s="357"/>
      <c r="G171" s="412"/>
      <c r="H171" s="412"/>
      <c r="I171" s="139" t="e">
        <f>SUM(C171,#REF!,#REF!)</f>
        <v>#REF!</v>
      </c>
      <c r="J171" s="139" t="e">
        <f>SUM(D171,#REF!,#REF!)</f>
        <v>#REF!</v>
      </c>
      <c r="K171" s="71"/>
      <c r="L171" s="71"/>
      <c r="M171" s="71"/>
      <c r="N171" s="71"/>
      <c r="O171" s="71"/>
      <c r="P171" s="71"/>
      <c r="Q171" s="71"/>
      <c r="R171" s="16"/>
      <c r="S171" s="16"/>
      <c r="T171" s="16"/>
      <c r="U171" s="16"/>
    </row>
    <row r="172" spans="1:27" ht="27.75" customHeight="1" x14ac:dyDescent="0.45">
      <c r="A172" s="471" t="s">
        <v>68</v>
      </c>
      <c r="B172" s="378"/>
      <c r="C172" s="255">
        <v>0</v>
      </c>
      <c r="D172" s="425">
        <v>0</v>
      </c>
      <c r="E172" s="350"/>
      <c r="G172" s="412"/>
      <c r="H172" s="412"/>
      <c r="I172" s="139" t="e">
        <f>SUM(C172,#REF!,#REF!)</f>
        <v>#REF!</v>
      </c>
      <c r="J172" s="139" t="e">
        <f>SUM(D172,#REF!,#REF!)</f>
        <v>#REF!</v>
      </c>
      <c r="K172" s="71"/>
      <c r="L172" s="71"/>
      <c r="M172" s="71"/>
      <c r="N172" s="71"/>
      <c r="O172" s="71"/>
      <c r="P172" s="71"/>
      <c r="Q172" s="71"/>
      <c r="R172" s="16"/>
      <c r="S172" s="16"/>
      <c r="T172" s="16"/>
      <c r="U172" s="16"/>
    </row>
    <row r="173" spans="1:27" ht="51.75" customHeight="1" thickBot="1" x14ac:dyDescent="0.5">
      <c r="A173" s="569" t="s">
        <v>69</v>
      </c>
      <c r="B173" s="414"/>
      <c r="C173" s="285">
        <v>0</v>
      </c>
      <c r="D173" s="635">
        <v>0</v>
      </c>
      <c r="E173" s="348"/>
      <c r="G173" s="412"/>
      <c r="H173" s="412"/>
      <c r="I173" s="139" t="e">
        <f>SUM(C173,#REF!,#REF!)</f>
        <v>#REF!</v>
      </c>
      <c r="J173" s="139" t="e">
        <f>SUM(D173,#REF!,#REF!)</f>
        <v>#REF!</v>
      </c>
      <c r="K173" s="71"/>
      <c r="L173" s="71"/>
      <c r="M173" s="71"/>
      <c r="N173" s="71"/>
      <c r="O173" s="71"/>
      <c r="P173" s="71"/>
      <c r="Q173" s="71"/>
      <c r="R173" s="16"/>
      <c r="S173" s="16"/>
      <c r="T173" s="16"/>
      <c r="U173" s="16"/>
    </row>
    <row r="174" spans="1:27" ht="15" thickTop="1" thickBot="1" x14ac:dyDescent="0.5">
      <c r="A174" s="554" t="s">
        <v>11</v>
      </c>
      <c r="B174" s="380"/>
      <c r="C174" s="258">
        <f>SUM(C167:C173)</f>
        <v>0</v>
      </c>
      <c r="D174" s="639">
        <f>SUM(D167:E173)</f>
        <v>0</v>
      </c>
      <c r="E174" s="366"/>
      <c r="F174" s="344" t="str">
        <f>IF(G161&lt;&gt;C174,"Section 4.5.4 - La somme des Colonnes ""Nombre de demandes"" de ""Total"" doit être égale au ""Nombre de demandes"" de la Section 4.5.3.","")</f>
        <v/>
      </c>
      <c r="G174"/>
      <c r="H174"/>
      <c r="I174" s="71"/>
      <c r="J174" s="71"/>
      <c r="K174" s="71"/>
      <c r="L174" s="71"/>
      <c r="M174" s="71"/>
      <c r="N174" s="71"/>
      <c r="O174" s="71"/>
      <c r="P174" s="71"/>
      <c r="Q174" s="71"/>
      <c r="R174" s="16"/>
      <c r="S174" s="16"/>
      <c r="T174" s="16"/>
      <c r="U174" s="16"/>
    </row>
    <row r="175" spans="1:27" ht="15" customHeight="1" thickTop="1" x14ac:dyDescent="0.45">
      <c r="A175" s="39"/>
      <c r="B175" s="39"/>
      <c r="C175" s="37"/>
      <c r="D175" s="37"/>
      <c r="E175" s="37"/>
      <c r="F175" s="343" t="str">
        <f>IF(D174&lt;&gt;A161,"Section 4.5.4 – Le ""Nombre de minutes traitées"" doit être égal au ""Nombre de minutes traitées"" de la Section 4.5.3.","")</f>
        <v/>
      </c>
      <c r="G175" s="37"/>
      <c r="H175" s="37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16"/>
      <c r="Y175" s="16"/>
      <c r="Z175" s="16"/>
      <c r="AA175" s="16"/>
    </row>
    <row r="176" spans="1:27" x14ac:dyDescent="0.45">
      <c r="A176" s="468" t="s">
        <v>167</v>
      </c>
      <c r="B176" s="352"/>
      <c r="C176" s="352"/>
      <c r="D176" s="352"/>
      <c r="E176" s="352"/>
      <c r="F176" s="352"/>
      <c r="G176" s="352"/>
      <c r="H176" s="352"/>
      <c r="I176" s="352"/>
      <c r="J176" s="352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16"/>
      <c r="Y176" s="16"/>
      <c r="Z176" s="16"/>
      <c r="AA176" s="16"/>
    </row>
    <row r="177" spans="1:27" ht="15.75" customHeight="1" thickBot="1" x14ac:dyDescent="0.5"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16"/>
      <c r="Y177" s="16"/>
      <c r="Z177" s="16"/>
      <c r="AA177" s="16"/>
    </row>
    <row r="178" spans="1:27" ht="31.15" customHeight="1" thickTop="1" thickBot="1" x14ac:dyDescent="0.5">
      <c r="A178" s="680" t="s">
        <v>157</v>
      </c>
      <c r="B178" s="387"/>
      <c r="C178" s="435" t="s">
        <v>168</v>
      </c>
      <c r="D178" s="381"/>
      <c r="E178" s="542" t="s">
        <v>169</v>
      </c>
      <c r="F178" s="381"/>
      <c r="G178" s="542" t="s">
        <v>147</v>
      </c>
      <c r="H178" s="381"/>
      <c r="I178" s="435" t="s">
        <v>11</v>
      </c>
      <c r="J178" s="38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16"/>
      <c r="Y178" s="16"/>
      <c r="Z178" s="16"/>
      <c r="AA178" s="16"/>
    </row>
    <row r="179" spans="1:27" ht="30" customHeight="1" thickTop="1" x14ac:dyDescent="0.45">
      <c r="A179" s="511" t="s">
        <v>61</v>
      </c>
      <c r="B179" s="488"/>
      <c r="C179" s="634">
        <v>0</v>
      </c>
      <c r="D179" s="424"/>
      <c r="E179" s="474">
        <v>0</v>
      </c>
      <c r="F179" s="446"/>
      <c r="G179" s="474">
        <v>0</v>
      </c>
      <c r="H179" s="446"/>
      <c r="I179" s="466">
        <f t="shared" ref="I179:I185" si="3">SUM(C179:H179)</f>
        <v>0</v>
      </c>
      <c r="J179" s="354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16"/>
      <c r="Y179" s="16"/>
      <c r="Z179" s="16"/>
      <c r="AA179" s="16"/>
    </row>
    <row r="180" spans="1:27" ht="29.25" customHeight="1" x14ac:dyDescent="0.45">
      <c r="A180" s="426" t="s">
        <v>62</v>
      </c>
      <c r="B180" s="378"/>
      <c r="C180" s="441">
        <v>0</v>
      </c>
      <c r="D180" s="357"/>
      <c r="E180" s="355">
        <v>0</v>
      </c>
      <c r="F180" s="357"/>
      <c r="G180" s="355">
        <v>0</v>
      </c>
      <c r="H180" s="357"/>
      <c r="I180" s="503">
        <f t="shared" si="3"/>
        <v>0</v>
      </c>
      <c r="J180" s="350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16"/>
      <c r="Y180" s="16"/>
      <c r="Z180" s="16"/>
      <c r="AA180" s="16"/>
    </row>
    <row r="181" spans="1:27" x14ac:dyDescent="0.45">
      <c r="A181" s="426" t="s">
        <v>63</v>
      </c>
      <c r="B181" s="378"/>
      <c r="C181" s="441">
        <v>0</v>
      </c>
      <c r="D181" s="357"/>
      <c r="E181" s="355">
        <v>0</v>
      </c>
      <c r="F181" s="357"/>
      <c r="G181" s="355">
        <v>0</v>
      </c>
      <c r="H181" s="357"/>
      <c r="I181" s="503">
        <f t="shared" si="3"/>
        <v>0</v>
      </c>
      <c r="J181" s="350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16"/>
      <c r="Y181" s="16"/>
      <c r="Z181" s="16"/>
      <c r="AA181" s="16"/>
    </row>
    <row r="182" spans="1:27" x14ac:dyDescent="0.45">
      <c r="A182" s="426" t="s">
        <v>64</v>
      </c>
      <c r="B182" s="378"/>
      <c r="C182" s="441">
        <v>0</v>
      </c>
      <c r="D182" s="357"/>
      <c r="E182" s="355">
        <v>0</v>
      </c>
      <c r="F182" s="357"/>
      <c r="G182" s="676">
        <v>0</v>
      </c>
      <c r="H182" s="391"/>
      <c r="I182" s="503">
        <f t="shared" si="3"/>
        <v>0</v>
      </c>
      <c r="J182" s="350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16"/>
      <c r="Y182" s="16"/>
      <c r="Z182" s="16"/>
      <c r="AA182" s="16"/>
    </row>
    <row r="183" spans="1:27" ht="29.25" customHeight="1" x14ac:dyDescent="0.45">
      <c r="A183" s="426" t="s">
        <v>67</v>
      </c>
      <c r="B183" s="378"/>
      <c r="C183" s="441">
        <v>0</v>
      </c>
      <c r="D183" s="357"/>
      <c r="E183" s="355">
        <v>0</v>
      </c>
      <c r="F183" s="357"/>
      <c r="G183" s="355">
        <v>0</v>
      </c>
      <c r="H183" s="357"/>
      <c r="I183" s="503">
        <f t="shared" si="3"/>
        <v>0</v>
      </c>
      <c r="J183" s="350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16"/>
      <c r="Y183" s="16"/>
      <c r="Z183" s="16"/>
      <c r="AA183" s="16"/>
    </row>
    <row r="184" spans="1:27" ht="27" customHeight="1" x14ac:dyDescent="0.45">
      <c r="A184" s="471" t="s">
        <v>68</v>
      </c>
      <c r="B184" s="378"/>
      <c r="C184" s="441">
        <v>0</v>
      </c>
      <c r="D184" s="357"/>
      <c r="E184" s="355">
        <v>0</v>
      </c>
      <c r="F184" s="357"/>
      <c r="G184" s="355">
        <v>0</v>
      </c>
      <c r="H184" s="357"/>
      <c r="I184" s="503">
        <f t="shared" si="3"/>
        <v>0</v>
      </c>
      <c r="J184" s="350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16"/>
      <c r="Y184" s="16"/>
      <c r="Z184" s="16"/>
      <c r="AA184" s="16"/>
    </row>
    <row r="185" spans="1:27" ht="54.75" customHeight="1" thickBot="1" x14ac:dyDescent="0.5">
      <c r="A185" s="669" t="s">
        <v>69</v>
      </c>
      <c r="B185" s="397"/>
      <c r="C185" s="462">
        <v>0</v>
      </c>
      <c r="D185" s="348"/>
      <c r="E185" s="358">
        <v>0</v>
      </c>
      <c r="F185" s="348"/>
      <c r="G185" s="358">
        <v>0</v>
      </c>
      <c r="H185" s="348"/>
      <c r="I185" s="549">
        <f t="shared" si="3"/>
        <v>0</v>
      </c>
      <c r="J185" s="414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16"/>
      <c r="Y185" s="16"/>
      <c r="Z185" s="16"/>
      <c r="AA185" s="16"/>
    </row>
    <row r="186" spans="1:27" ht="16.5" customHeight="1" thickTop="1" thickBot="1" x14ac:dyDescent="0.5">
      <c r="A186" s="417" t="s">
        <v>11</v>
      </c>
      <c r="B186" s="387"/>
      <c r="C186" s="432">
        <f>SUM(C179:D185)</f>
        <v>0</v>
      </c>
      <c r="D186" s="381"/>
      <c r="E186" s="374">
        <f>SUM(E179:F185)</f>
        <v>0</v>
      </c>
      <c r="F186" s="366"/>
      <c r="G186" s="374">
        <f>SUM(G179:H185)</f>
        <v>0</v>
      </c>
      <c r="H186" s="366"/>
      <c r="I186" s="433">
        <f>SUM(I179:J185)</f>
        <v>0</v>
      </c>
      <c r="J186" s="366"/>
      <c r="K186" s="492"/>
      <c r="L186" s="352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16"/>
      <c r="Y186" s="16"/>
      <c r="Z186" s="16"/>
      <c r="AA186" s="16"/>
    </row>
    <row r="187" spans="1:27" ht="15.75" customHeight="1" thickTop="1" x14ac:dyDescent="0.45">
      <c r="A187" s="39"/>
      <c r="B187" s="39"/>
      <c r="C187" s="37"/>
      <c r="D187" s="37"/>
      <c r="E187" s="37"/>
      <c r="F187" s="37"/>
      <c r="G187" s="37"/>
      <c r="H187" s="37"/>
      <c r="I187" s="37"/>
      <c r="J187" s="37"/>
      <c r="K187" s="94"/>
      <c r="L187" s="94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16"/>
      <c r="Y187" s="16"/>
      <c r="Z187" s="16"/>
      <c r="AA187" s="16"/>
    </row>
    <row r="188" spans="1:27" x14ac:dyDescent="0.45">
      <c r="A188" s="367" t="s">
        <v>1589</v>
      </c>
      <c r="B188" s="367"/>
      <c r="C188" s="367"/>
      <c r="D188" s="367"/>
      <c r="E188" s="367"/>
      <c r="F188" s="367"/>
      <c r="G188" s="367"/>
      <c r="H188" s="367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16"/>
      <c r="Y188" s="16"/>
      <c r="Z188" s="16"/>
      <c r="AA188" s="16"/>
    </row>
    <row r="189" spans="1:27" x14ac:dyDescent="0.45">
      <c r="A189" s="84"/>
      <c r="B189" s="34"/>
      <c r="C189" s="34"/>
      <c r="D189" s="34"/>
      <c r="E189" s="34"/>
      <c r="F189" s="34"/>
      <c r="G189" s="34"/>
      <c r="H189" s="34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16"/>
      <c r="Y189" s="16"/>
      <c r="Z189" s="16"/>
      <c r="AA189" s="16"/>
    </row>
    <row r="190" spans="1:27" x14ac:dyDescent="0.45">
      <c r="A190" s="632"/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16"/>
      <c r="Y190" s="16"/>
      <c r="Z190" s="16"/>
      <c r="AA190" s="16"/>
    </row>
    <row r="191" spans="1:27" ht="15.75" customHeight="1" thickBot="1" x14ac:dyDescent="0.5">
      <c r="A191" s="85"/>
      <c r="B191" s="77"/>
      <c r="C191" s="77"/>
      <c r="D191" s="77"/>
      <c r="E191" s="77"/>
      <c r="F191" s="77"/>
      <c r="G191" s="34"/>
      <c r="H191" s="77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16"/>
      <c r="Y191" s="16"/>
      <c r="Z191" s="16"/>
      <c r="AA191" s="16"/>
    </row>
    <row r="192" spans="1:27" ht="15.75" customHeight="1" thickTop="1" x14ac:dyDescent="0.45">
      <c r="A192" s="419" t="s">
        <v>1590</v>
      </c>
      <c r="B192" s="394"/>
      <c r="C192" s="394"/>
      <c r="D192" s="395"/>
      <c r="E192" s="631">
        <f>H19-A202</f>
        <v>0</v>
      </c>
      <c r="F192" s="395"/>
      <c r="G192" s="77"/>
      <c r="H192" s="77"/>
      <c r="I192" s="77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16"/>
      <c r="Y192" s="16"/>
      <c r="Z192" s="16"/>
      <c r="AA192" s="16"/>
    </row>
    <row r="193" spans="1:27" x14ac:dyDescent="0.45">
      <c r="A193" s="420"/>
      <c r="B193" s="421"/>
      <c r="C193" s="421"/>
      <c r="D193" s="422"/>
      <c r="E193" s="420"/>
      <c r="F193" s="422"/>
      <c r="G193" s="77"/>
      <c r="H193" s="77"/>
      <c r="I193" s="77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16"/>
      <c r="Y193" s="16"/>
      <c r="Z193" s="16"/>
      <c r="AA193" s="16"/>
    </row>
    <row r="194" spans="1:27" ht="33" customHeight="1" thickBot="1" x14ac:dyDescent="0.5">
      <c r="A194" s="536" t="s">
        <v>1591</v>
      </c>
      <c r="B194" s="372"/>
      <c r="C194" s="372"/>
      <c r="D194" s="373"/>
      <c r="E194" s="628" t="str">
        <f>IF(H19=0,"0",(E192/H19)*100)</f>
        <v>0</v>
      </c>
      <c r="F194" s="373"/>
      <c r="G194" s="77"/>
      <c r="H194" s="77"/>
      <c r="I194" s="77"/>
      <c r="M194" s="83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16"/>
      <c r="Y194" s="16"/>
      <c r="Z194" s="16"/>
      <c r="AA194" s="16"/>
    </row>
    <row r="195" spans="1:27" ht="15.75" customHeight="1" thickTop="1" x14ac:dyDescent="0.45">
      <c r="E195" s="638"/>
      <c r="F195" s="352"/>
      <c r="G195" s="352"/>
      <c r="H195" s="352"/>
      <c r="I195" s="352"/>
      <c r="J195" s="352"/>
      <c r="K195" s="352"/>
      <c r="L195" s="352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16"/>
      <c r="Y195" s="16"/>
      <c r="Z195" s="16"/>
      <c r="AA195" s="16"/>
    </row>
    <row r="196" spans="1:27" x14ac:dyDescent="0.45">
      <c r="A196" s="468" t="s">
        <v>172</v>
      </c>
      <c r="B196" s="352"/>
      <c r="C196" s="352"/>
      <c r="D196" s="352"/>
      <c r="E196" s="352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16"/>
      <c r="Y196" s="16"/>
      <c r="Z196" s="16"/>
      <c r="AA196" s="16"/>
    </row>
    <row r="197" spans="1:27" x14ac:dyDescent="0.45">
      <c r="A197" s="49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16"/>
      <c r="Y197" s="16"/>
      <c r="Z197" s="16"/>
      <c r="AA197" s="16"/>
    </row>
    <row r="198" spans="1:27" x14ac:dyDescent="0.45">
      <c r="A198" s="408" t="s">
        <v>1592</v>
      </c>
      <c r="B198" s="352"/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16"/>
      <c r="Y198" s="16"/>
      <c r="Z198" s="16"/>
      <c r="AA198" s="16"/>
    </row>
    <row r="199" spans="1:27" ht="15.75" customHeight="1" thickBot="1" x14ac:dyDescent="0.5"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16"/>
      <c r="Y199" s="16"/>
      <c r="Z199" s="16"/>
      <c r="AA199" s="16"/>
    </row>
    <row r="200" spans="1:27" ht="16.5" customHeight="1" thickTop="1" thickBot="1" x14ac:dyDescent="0.5">
      <c r="A200" s="457" t="s">
        <v>1593</v>
      </c>
      <c r="B200" s="394"/>
      <c r="C200" s="394"/>
      <c r="D200" s="395"/>
      <c r="E200" s="493" t="s">
        <v>174</v>
      </c>
      <c r="F200" s="360"/>
      <c r="G200" s="360"/>
      <c r="H200" s="360"/>
      <c r="I200" s="360"/>
      <c r="J200" s="360"/>
      <c r="K200" s="360"/>
      <c r="L200" s="36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16"/>
      <c r="Y200" s="16"/>
      <c r="Z200" s="16"/>
      <c r="AA200" s="16"/>
    </row>
    <row r="201" spans="1:27" ht="41.25" customHeight="1" thickTop="1" thickBot="1" x14ac:dyDescent="0.5">
      <c r="A201" s="396"/>
      <c r="B201" s="375"/>
      <c r="C201" s="375"/>
      <c r="D201" s="397"/>
      <c r="E201" s="413" t="s">
        <v>175</v>
      </c>
      <c r="F201" s="414"/>
      <c r="G201" s="447" t="s">
        <v>176</v>
      </c>
      <c r="H201" s="414"/>
      <c r="I201" s="447" t="s">
        <v>177</v>
      </c>
      <c r="J201" s="414"/>
      <c r="K201" s="447" t="s">
        <v>178</v>
      </c>
      <c r="L201" s="414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16"/>
      <c r="Y201" s="16"/>
      <c r="Z201" s="16"/>
      <c r="AA201" s="16"/>
    </row>
    <row r="202" spans="1:27" ht="16.5" customHeight="1" thickTop="1" thickBot="1" x14ac:dyDescent="0.5">
      <c r="A202" s="675">
        <f>SUM(E202:L202)</f>
        <v>0</v>
      </c>
      <c r="B202" s="380"/>
      <c r="C202" s="380"/>
      <c r="D202" s="387"/>
      <c r="E202" s="458">
        <v>0</v>
      </c>
      <c r="F202" s="450"/>
      <c r="G202" s="483">
        <v>0</v>
      </c>
      <c r="H202" s="450"/>
      <c r="I202" s="483">
        <v>0</v>
      </c>
      <c r="J202" s="450"/>
      <c r="K202" s="483">
        <v>0</v>
      </c>
      <c r="L202" s="450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16"/>
      <c r="Y202" s="16"/>
      <c r="Z202" s="16"/>
      <c r="AA202" s="16"/>
    </row>
    <row r="203" spans="1:27" ht="12.95" customHeight="1" thickTop="1" x14ac:dyDescent="0.45"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16"/>
      <c r="Y203" s="16"/>
      <c r="Z203" s="16"/>
      <c r="AA203" s="16"/>
    </row>
    <row r="204" spans="1:27" x14ac:dyDescent="0.45">
      <c r="A204" s="408" t="s">
        <v>179</v>
      </c>
      <c r="B204" s="352"/>
      <c r="C204" s="352"/>
      <c r="D204" s="352"/>
      <c r="E204" s="352"/>
      <c r="F204" s="352"/>
      <c r="G204" s="352"/>
      <c r="H204" s="352"/>
      <c r="I204" s="352"/>
      <c r="J204" s="352"/>
      <c r="K204" s="352"/>
      <c r="L204" s="352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16"/>
      <c r="Y204" s="16"/>
      <c r="Z204" s="16"/>
      <c r="AA204" s="16"/>
    </row>
    <row r="205" spans="1:27" ht="8.4499999999999993" customHeight="1" thickBot="1" x14ac:dyDescent="0.5"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16"/>
      <c r="Y205" s="16"/>
      <c r="Z205" s="16"/>
      <c r="AA205" s="16"/>
    </row>
    <row r="206" spans="1:27" ht="56.25" customHeight="1" thickTop="1" thickBot="1" x14ac:dyDescent="0.5">
      <c r="A206" s="428" t="s">
        <v>180</v>
      </c>
      <c r="B206" s="380"/>
      <c r="C206" s="381"/>
      <c r="D206" s="435" t="s">
        <v>181</v>
      </c>
      <c r="E206" s="380"/>
      <c r="F206" s="381"/>
      <c r="G206" s="542" t="s">
        <v>182</v>
      </c>
      <c r="H206" s="380"/>
      <c r="I206" s="381"/>
      <c r="J206" s="428" t="s">
        <v>11</v>
      </c>
      <c r="K206" s="380"/>
      <c r="L206" s="38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16"/>
      <c r="Y206" s="16"/>
      <c r="Z206" s="16"/>
      <c r="AA206" s="16"/>
    </row>
    <row r="207" spans="1:27" ht="15.75" customHeight="1" thickTop="1" x14ac:dyDescent="0.45">
      <c r="A207" s="353" t="s">
        <v>183</v>
      </c>
      <c r="B207" s="421"/>
      <c r="C207" s="354"/>
      <c r="D207" s="634">
        <v>0</v>
      </c>
      <c r="E207" s="369"/>
      <c r="F207" s="424"/>
      <c r="G207" s="474">
        <v>0</v>
      </c>
      <c r="H207" s="475"/>
      <c r="I207" s="446"/>
      <c r="J207" s="466">
        <f t="shared" ref="J207:J214" si="4">SUM(D207:I207)</f>
        <v>0</v>
      </c>
      <c r="K207" s="421"/>
      <c r="L207" s="354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16"/>
      <c r="Y207" s="16"/>
      <c r="Z207" s="16"/>
      <c r="AA207" s="16"/>
    </row>
    <row r="208" spans="1:27" x14ac:dyDescent="0.45">
      <c r="A208" s="440" t="s">
        <v>36</v>
      </c>
      <c r="B208" s="377"/>
      <c r="C208" s="350"/>
      <c r="D208" s="441">
        <v>0</v>
      </c>
      <c r="E208" s="356"/>
      <c r="F208" s="357"/>
      <c r="G208" s="355">
        <v>0</v>
      </c>
      <c r="H208" s="356"/>
      <c r="I208" s="357"/>
      <c r="J208" s="466">
        <f t="shared" si="4"/>
        <v>0</v>
      </c>
      <c r="K208" s="421"/>
      <c r="L208" s="354"/>
      <c r="M208" s="83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16"/>
      <c r="Y208" s="16"/>
      <c r="Z208" s="16"/>
      <c r="AA208" s="16"/>
    </row>
    <row r="209" spans="1:27" x14ac:dyDescent="0.45">
      <c r="A209" s="440" t="s">
        <v>37</v>
      </c>
      <c r="B209" s="377"/>
      <c r="C209" s="350"/>
      <c r="D209" s="441">
        <v>0</v>
      </c>
      <c r="E209" s="356"/>
      <c r="F209" s="357"/>
      <c r="G209" s="355">
        <v>0</v>
      </c>
      <c r="H209" s="356"/>
      <c r="I209" s="357"/>
      <c r="J209" s="466">
        <f t="shared" si="4"/>
        <v>0</v>
      </c>
      <c r="K209" s="421"/>
      <c r="L209" s="354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16"/>
      <c r="Y209" s="16"/>
      <c r="Z209" s="16"/>
      <c r="AA209" s="16"/>
    </row>
    <row r="210" spans="1:27" x14ac:dyDescent="0.45">
      <c r="A210" s="440" t="s">
        <v>38</v>
      </c>
      <c r="B210" s="377"/>
      <c r="C210" s="350"/>
      <c r="D210" s="441">
        <v>0</v>
      </c>
      <c r="E210" s="356"/>
      <c r="F210" s="357"/>
      <c r="G210" s="355">
        <v>0</v>
      </c>
      <c r="H210" s="356"/>
      <c r="I210" s="357"/>
      <c r="J210" s="466">
        <f t="shared" si="4"/>
        <v>0</v>
      </c>
      <c r="K210" s="421"/>
      <c r="L210" s="354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16"/>
      <c r="Y210" s="16"/>
      <c r="Z210" s="16"/>
      <c r="AA210" s="16"/>
    </row>
    <row r="211" spans="1:27" x14ac:dyDescent="0.45">
      <c r="A211" s="440" t="s">
        <v>39</v>
      </c>
      <c r="B211" s="377"/>
      <c r="C211" s="350"/>
      <c r="D211" s="441">
        <v>0</v>
      </c>
      <c r="E211" s="356"/>
      <c r="F211" s="357"/>
      <c r="G211" s="355">
        <v>0</v>
      </c>
      <c r="H211" s="356"/>
      <c r="I211" s="357"/>
      <c r="J211" s="466">
        <f t="shared" si="4"/>
        <v>0</v>
      </c>
      <c r="K211" s="421"/>
      <c r="L211" s="354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16"/>
      <c r="Y211" s="16"/>
      <c r="Z211" s="16"/>
      <c r="AA211" s="16"/>
    </row>
    <row r="212" spans="1:27" x14ac:dyDescent="0.45">
      <c r="A212" s="440" t="s">
        <v>40</v>
      </c>
      <c r="B212" s="377"/>
      <c r="C212" s="350"/>
      <c r="D212" s="441">
        <v>0</v>
      </c>
      <c r="E212" s="356"/>
      <c r="F212" s="357"/>
      <c r="G212" s="355">
        <v>0</v>
      </c>
      <c r="H212" s="356"/>
      <c r="I212" s="357"/>
      <c r="J212" s="466">
        <f t="shared" si="4"/>
        <v>0</v>
      </c>
      <c r="K212" s="421"/>
      <c r="L212" s="354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16"/>
      <c r="Y212" s="16"/>
      <c r="Z212" s="16"/>
      <c r="AA212" s="16"/>
    </row>
    <row r="213" spans="1:27" ht="15.75" customHeight="1" thickBot="1" x14ac:dyDescent="0.5">
      <c r="A213" s="438" t="s">
        <v>41</v>
      </c>
      <c r="B213" s="372"/>
      <c r="C213" s="414"/>
      <c r="D213" s="462">
        <v>0</v>
      </c>
      <c r="E213" s="470"/>
      <c r="F213" s="348"/>
      <c r="G213" s="358">
        <v>0</v>
      </c>
      <c r="H213" s="470"/>
      <c r="I213" s="348"/>
      <c r="J213" s="600">
        <f t="shared" si="4"/>
        <v>0</v>
      </c>
      <c r="K213" s="352"/>
      <c r="L213" s="60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16"/>
      <c r="Y213" s="16"/>
      <c r="Z213" s="16"/>
      <c r="AA213" s="16"/>
    </row>
    <row r="214" spans="1:27" ht="16.5" customHeight="1" thickTop="1" thickBot="1" x14ac:dyDescent="0.5">
      <c r="A214" s="524" t="s">
        <v>11</v>
      </c>
      <c r="B214" s="375"/>
      <c r="C214" s="366"/>
      <c r="D214" s="432">
        <f>SUM(D207:F213)</f>
        <v>0</v>
      </c>
      <c r="E214" s="380"/>
      <c r="F214" s="381"/>
      <c r="G214" s="374">
        <f>SUM(G207:I213)</f>
        <v>0</v>
      </c>
      <c r="H214" s="375"/>
      <c r="I214" s="366"/>
      <c r="J214" s="627">
        <f t="shared" si="4"/>
        <v>0</v>
      </c>
      <c r="K214" s="380"/>
      <c r="L214" s="387"/>
      <c r="M214" s="344" t="str">
        <f>IF(J214&lt;&gt;A202,"Section 4.7.2 - Le total des totaux doit être égal au ""Nombre de demandes fermées au-delà des délais prévus par la loi"" de la Section 4.7.1.","")</f>
        <v/>
      </c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16"/>
      <c r="Y214" s="16"/>
      <c r="Z214" s="16"/>
      <c r="AA214" s="16"/>
    </row>
    <row r="215" spans="1:27" ht="15.75" customHeight="1" thickTop="1" x14ac:dyDescent="0.45"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16"/>
      <c r="Y215" s="16"/>
      <c r="Z215" s="16"/>
      <c r="AA215" s="16"/>
    </row>
    <row r="216" spans="1:27" ht="15.75" customHeight="1" x14ac:dyDescent="0.45">
      <c r="A216" s="484" t="s">
        <v>184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16"/>
      <c r="Y216" s="16"/>
      <c r="Z216" s="16"/>
      <c r="AA216" s="16"/>
    </row>
    <row r="217" spans="1:27" x14ac:dyDescent="0.45"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16"/>
      <c r="Y217" s="16"/>
      <c r="Z217" s="16"/>
      <c r="AA217" s="16"/>
    </row>
    <row r="218" spans="1:27" x14ac:dyDescent="0.45">
      <c r="A218" s="437" t="s">
        <v>185</v>
      </c>
      <c r="B218" s="352"/>
      <c r="C218" s="352"/>
      <c r="D218" s="352"/>
      <c r="E218" s="352"/>
      <c r="F218" s="352"/>
      <c r="G218" s="352"/>
      <c r="H218" s="352"/>
      <c r="I218" s="352"/>
      <c r="J218" s="352"/>
      <c r="K218" s="352"/>
      <c r="L218" s="352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16"/>
      <c r="Y218" s="16"/>
      <c r="Z218" s="16"/>
      <c r="AA218" s="16"/>
    </row>
    <row r="219" spans="1:27" ht="15.75" customHeight="1" thickBot="1" x14ac:dyDescent="0.5"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16"/>
      <c r="Y219" s="16"/>
      <c r="Z219" s="16"/>
      <c r="AA219" s="16"/>
    </row>
    <row r="220" spans="1:27" ht="28.5" customHeight="1" thickTop="1" thickBot="1" x14ac:dyDescent="0.5">
      <c r="A220" s="393" t="s">
        <v>186</v>
      </c>
      <c r="B220" s="394"/>
      <c r="C220" s="394"/>
      <c r="D220" s="395"/>
      <c r="E220" s="452" t="s">
        <v>187</v>
      </c>
      <c r="F220" s="453"/>
      <c r="G220" s="476" t="s">
        <v>188</v>
      </c>
      <c r="H220" s="360"/>
      <c r="I220" s="360"/>
      <c r="J220" s="361"/>
      <c r="K220" s="476" t="s">
        <v>189</v>
      </c>
      <c r="L220" s="453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16"/>
      <c r="Y220" s="16"/>
      <c r="Z220" s="16"/>
      <c r="AA220" s="16"/>
    </row>
    <row r="221" spans="1:27" ht="18" customHeight="1" thickTop="1" thickBot="1" x14ac:dyDescent="0.5">
      <c r="A221" s="396"/>
      <c r="B221" s="375"/>
      <c r="C221" s="375"/>
      <c r="D221" s="397"/>
      <c r="E221" s="420"/>
      <c r="F221" s="354"/>
      <c r="G221" s="495" t="s">
        <v>190</v>
      </c>
      <c r="H221" s="414"/>
      <c r="I221" s="495" t="s">
        <v>147</v>
      </c>
      <c r="J221" s="414"/>
      <c r="K221" s="477"/>
      <c r="L221" s="354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16"/>
      <c r="Y221" s="16"/>
      <c r="Z221" s="16"/>
      <c r="AA221" s="16"/>
    </row>
    <row r="222" spans="1:27" ht="15.75" customHeight="1" thickTop="1" x14ac:dyDescent="0.45">
      <c r="A222" s="487" t="s">
        <v>61</v>
      </c>
      <c r="B222" s="360"/>
      <c r="C222" s="360"/>
      <c r="D222" s="488"/>
      <c r="E222" s="445">
        <v>0</v>
      </c>
      <c r="F222" s="446"/>
      <c r="G222" s="562">
        <v>0</v>
      </c>
      <c r="H222" s="446"/>
      <c r="I222" s="562">
        <v>0</v>
      </c>
      <c r="J222" s="446"/>
      <c r="K222" s="562">
        <v>0</v>
      </c>
      <c r="L222" s="446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16"/>
      <c r="Y222" s="16"/>
      <c r="Z222" s="16"/>
      <c r="AA222" s="16"/>
    </row>
    <row r="223" spans="1:27" x14ac:dyDescent="0.45">
      <c r="A223" s="376" t="s">
        <v>62</v>
      </c>
      <c r="B223" s="377"/>
      <c r="C223" s="377"/>
      <c r="D223" s="378"/>
      <c r="E223" s="496">
        <v>0</v>
      </c>
      <c r="F223" s="357"/>
      <c r="G223" s="392">
        <v>0</v>
      </c>
      <c r="H223" s="357"/>
      <c r="I223" s="392">
        <v>0</v>
      </c>
      <c r="J223" s="357"/>
      <c r="K223" s="392">
        <v>0</v>
      </c>
      <c r="L223" s="357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16"/>
      <c r="Y223" s="16"/>
      <c r="Z223" s="16"/>
      <c r="AA223" s="16"/>
    </row>
    <row r="224" spans="1:27" x14ac:dyDescent="0.45">
      <c r="A224" s="376" t="s">
        <v>63</v>
      </c>
      <c r="B224" s="377"/>
      <c r="C224" s="377"/>
      <c r="D224" s="378"/>
      <c r="E224" s="496">
        <v>0</v>
      </c>
      <c r="F224" s="357"/>
      <c r="G224" s="392">
        <v>0</v>
      </c>
      <c r="H224" s="357"/>
      <c r="I224" s="392">
        <v>0</v>
      </c>
      <c r="J224" s="357"/>
      <c r="K224" s="392">
        <v>0</v>
      </c>
      <c r="L224" s="357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16"/>
      <c r="Y224" s="16"/>
      <c r="Z224" s="16"/>
      <c r="AA224" s="16"/>
    </row>
    <row r="225" spans="1:27" x14ac:dyDescent="0.45">
      <c r="A225" s="376" t="s">
        <v>64</v>
      </c>
      <c r="B225" s="377"/>
      <c r="C225" s="377"/>
      <c r="D225" s="378"/>
      <c r="E225" s="496">
        <v>0</v>
      </c>
      <c r="F225" s="357"/>
      <c r="G225" s="392">
        <v>0</v>
      </c>
      <c r="H225" s="357"/>
      <c r="I225" s="392">
        <v>0</v>
      </c>
      <c r="J225" s="357"/>
      <c r="K225" s="392">
        <v>0</v>
      </c>
      <c r="L225" s="357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16"/>
      <c r="Y225" s="16"/>
      <c r="Z225" s="16"/>
      <c r="AA225" s="16"/>
    </row>
    <row r="226" spans="1:27" x14ac:dyDescent="0.45">
      <c r="A226" s="376" t="s">
        <v>67</v>
      </c>
      <c r="B226" s="377"/>
      <c r="C226" s="377"/>
      <c r="D226" s="378"/>
      <c r="E226" s="496">
        <v>0</v>
      </c>
      <c r="F226" s="357"/>
      <c r="G226" s="392">
        <v>0</v>
      </c>
      <c r="H226" s="357"/>
      <c r="I226" s="392">
        <v>0</v>
      </c>
      <c r="J226" s="357"/>
      <c r="K226" s="607">
        <v>0</v>
      </c>
      <c r="L226" s="39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16"/>
      <c r="Y226" s="16"/>
      <c r="Z226" s="16"/>
      <c r="AA226" s="16"/>
    </row>
    <row r="227" spans="1:27" x14ac:dyDescent="0.45">
      <c r="A227" s="376" t="s">
        <v>65</v>
      </c>
      <c r="B227" s="377"/>
      <c r="C227" s="377"/>
      <c r="D227" s="378"/>
      <c r="E227" s="496">
        <v>0</v>
      </c>
      <c r="F227" s="357"/>
      <c r="G227" s="392">
        <v>0</v>
      </c>
      <c r="H227" s="357"/>
      <c r="I227" s="392">
        <v>0</v>
      </c>
      <c r="J227" s="357"/>
      <c r="K227" s="392">
        <v>0</v>
      </c>
      <c r="L227" s="357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16"/>
      <c r="Y227" s="16"/>
      <c r="Z227" s="16"/>
      <c r="AA227" s="16"/>
    </row>
    <row r="228" spans="1:27" ht="32.25" customHeight="1" thickBot="1" x14ac:dyDescent="0.5">
      <c r="A228" s="673" t="s">
        <v>69</v>
      </c>
      <c r="B228" s="372"/>
      <c r="C228" s="372"/>
      <c r="D228" s="373"/>
      <c r="E228" s="528">
        <v>0</v>
      </c>
      <c r="F228" s="348"/>
      <c r="G228" s="347">
        <v>0</v>
      </c>
      <c r="H228" s="348"/>
      <c r="I228" s="347">
        <v>0</v>
      </c>
      <c r="J228" s="348"/>
      <c r="K228" s="347">
        <v>0</v>
      </c>
      <c r="L228" s="348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16"/>
      <c r="Y228" s="16"/>
      <c r="Z228" s="16"/>
      <c r="AA228" s="16"/>
    </row>
    <row r="229" spans="1:27" ht="16.5" customHeight="1" thickTop="1" thickBot="1" x14ac:dyDescent="0.5">
      <c r="A229" s="417" t="s">
        <v>11</v>
      </c>
      <c r="B229" s="380"/>
      <c r="C229" s="380"/>
      <c r="D229" s="387"/>
      <c r="E229" s="433">
        <f>SUM(E222:F228)</f>
        <v>0</v>
      </c>
      <c r="F229" s="366"/>
      <c r="G229" s="374">
        <f>SUM(G222:H228)</f>
        <v>0</v>
      </c>
      <c r="H229" s="366"/>
      <c r="I229" s="374">
        <f>SUM(I222:J228)</f>
        <v>0</v>
      </c>
      <c r="J229" s="366"/>
      <c r="K229" s="374">
        <f>SUM(K222:L228)</f>
        <v>0</v>
      </c>
      <c r="L229" s="366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16"/>
      <c r="Y229" s="16"/>
      <c r="Z229" s="16"/>
      <c r="AA229" s="16"/>
    </row>
    <row r="230" spans="1:27" ht="15.75" customHeight="1" thickTop="1" x14ac:dyDescent="0.45">
      <c r="F230" s="578"/>
      <c r="G230" s="352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16"/>
      <c r="Y230" s="16"/>
      <c r="Z230" s="16"/>
      <c r="AA230" s="16"/>
    </row>
    <row r="231" spans="1:27" x14ac:dyDescent="0.45">
      <c r="A231" s="437" t="s">
        <v>191</v>
      </c>
      <c r="B231" s="352"/>
      <c r="C231" s="352"/>
      <c r="D231" s="352"/>
      <c r="E231" s="352"/>
      <c r="F231" s="352"/>
      <c r="G231" s="352"/>
      <c r="H231" s="352"/>
      <c r="I231" s="352"/>
      <c r="J231" s="352"/>
      <c r="K231" s="352"/>
      <c r="L231" s="352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16"/>
      <c r="Y231" s="16"/>
      <c r="Z231" s="16"/>
      <c r="AA231" s="16"/>
    </row>
    <row r="232" spans="1:27" ht="15.75" customHeight="1" thickBot="1" x14ac:dyDescent="0.5"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16"/>
      <c r="Y232" s="16"/>
      <c r="Z232" s="16"/>
      <c r="AA232" s="16"/>
    </row>
    <row r="233" spans="1:27" ht="30" customHeight="1" thickTop="1" thickBot="1" x14ac:dyDescent="0.5">
      <c r="A233" s="393" t="s">
        <v>192</v>
      </c>
      <c r="B233" s="394"/>
      <c r="C233" s="394"/>
      <c r="D233" s="395"/>
      <c r="E233" s="452" t="s">
        <v>187</v>
      </c>
      <c r="F233" s="453"/>
      <c r="G233" s="476" t="s">
        <v>188</v>
      </c>
      <c r="H233" s="360"/>
      <c r="I233" s="360"/>
      <c r="J233" s="361"/>
      <c r="K233" s="476" t="s">
        <v>189</v>
      </c>
      <c r="L233" s="453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16"/>
      <c r="Y233" s="16"/>
      <c r="Z233" s="16"/>
      <c r="AA233" s="16"/>
    </row>
    <row r="234" spans="1:27" ht="18.75" customHeight="1" thickTop="1" thickBot="1" x14ac:dyDescent="0.5">
      <c r="A234" s="396"/>
      <c r="B234" s="375"/>
      <c r="C234" s="375"/>
      <c r="D234" s="397"/>
      <c r="E234" s="420"/>
      <c r="F234" s="354"/>
      <c r="G234" s="495" t="s">
        <v>190</v>
      </c>
      <c r="H234" s="414"/>
      <c r="I234" s="495" t="s">
        <v>147</v>
      </c>
      <c r="J234" s="414"/>
      <c r="K234" s="477"/>
      <c r="L234" s="354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16"/>
      <c r="Y234" s="16"/>
      <c r="Z234" s="16"/>
      <c r="AA234" s="16"/>
    </row>
    <row r="235" spans="1:27" ht="14.65" customHeight="1" thickTop="1" x14ac:dyDescent="0.45">
      <c r="A235" s="532" t="s">
        <v>193</v>
      </c>
      <c r="B235" s="360"/>
      <c r="C235" s="360"/>
      <c r="D235" s="488"/>
      <c r="E235" s="512">
        <v>0</v>
      </c>
      <c r="F235" s="424"/>
      <c r="G235" s="513">
        <v>0</v>
      </c>
      <c r="H235" s="424"/>
      <c r="I235" s="513">
        <v>0</v>
      </c>
      <c r="J235" s="424"/>
      <c r="K235" s="606">
        <v>0</v>
      </c>
      <c r="L235" s="424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16"/>
      <c r="Y235" s="16"/>
      <c r="Z235" s="16"/>
      <c r="AA235" s="16"/>
    </row>
    <row r="236" spans="1:27" ht="14.25" customHeight="1" x14ac:dyDescent="0.45">
      <c r="A236" s="448" t="s">
        <v>37</v>
      </c>
      <c r="B236" s="377"/>
      <c r="C236" s="377"/>
      <c r="D236" s="378"/>
      <c r="E236" s="491">
        <v>0</v>
      </c>
      <c r="F236" s="357"/>
      <c r="G236" s="575">
        <v>0</v>
      </c>
      <c r="H236" s="357"/>
      <c r="I236" s="575">
        <v>0</v>
      </c>
      <c r="J236" s="357"/>
      <c r="K236" s="434">
        <v>0</v>
      </c>
      <c r="L236" s="357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16"/>
      <c r="Y236" s="16"/>
      <c r="Z236" s="16"/>
      <c r="AA236" s="16"/>
    </row>
    <row r="237" spans="1:27" ht="14.25" customHeight="1" x14ac:dyDescent="0.45">
      <c r="A237" s="448" t="s">
        <v>38</v>
      </c>
      <c r="B237" s="377"/>
      <c r="C237" s="377"/>
      <c r="D237" s="378"/>
      <c r="E237" s="491">
        <v>0</v>
      </c>
      <c r="F237" s="357"/>
      <c r="G237" s="575">
        <v>0</v>
      </c>
      <c r="H237" s="357"/>
      <c r="I237" s="575">
        <v>0</v>
      </c>
      <c r="J237" s="357"/>
      <c r="K237" s="434">
        <v>0</v>
      </c>
      <c r="L237" s="357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16"/>
      <c r="Y237" s="16"/>
      <c r="Z237" s="16"/>
      <c r="AA237" s="16"/>
    </row>
    <row r="238" spans="1:27" ht="14.25" customHeight="1" x14ac:dyDescent="0.45">
      <c r="A238" s="448" t="s">
        <v>39</v>
      </c>
      <c r="B238" s="377"/>
      <c r="C238" s="377"/>
      <c r="D238" s="378"/>
      <c r="E238" s="491">
        <v>0</v>
      </c>
      <c r="F238" s="357"/>
      <c r="G238" s="575">
        <v>0</v>
      </c>
      <c r="H238" s="357"/>
      <c r="I238" s="575">
        <v>0</v>
      </c>
      <c r="J238" s="357"/>
      <c r="K238" s="434">
        <v>0</v>
      </c>
      <c r="L238" s="357"/>
      <c r="M238" s="344" t="str">
        <f>IF(E241&lt;&gt;E229,"Section 5.2 - Le ""Total"" de ""9(1)a) Entrave au fonctionnement"" doit être égal au ""Total"" de ""9(1)a) Entrave au fonctionnement"" de la Section 5.1.","")</f>
        <v/>
      </c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16"/>
      <c r="Y238" s="16"/>
      <c r="Z238" s="16"/>
      <c r="AA238" s="16"/>
    </row>
    <row r="239" spans="1:27" x14ac:dyDescent="0.45">
      <c r="A239" s="376" t="s">
        <v>40</v>
      </c>
      <c r="B239" s="377"/>
      <c r="C239" s="377"/>
      <c r="D239" s="378"/>
      <c r="E239" s="496">
        <v>0</v>
      </c>
      <c r="F239" s="357"/>
      <c r="G239" s="392">
        <v>0</v>
      </c>
      <c r="H239" s="357"/>
      <c r="I239" s="392">
        <v>0</v>
      </c>
      <c r="J239" s="357"/>
      <c r="K239" s="392">
        <v>0</v>
      </c>
      <c r="L239" s="357"/>
      <c r="M239" s="344" t="str">
        <f>IF(G241&lt;&gt;G229,"Section 5.2 - Le ""Total"" de ""Article 69"" doit être égal au ""Total"" de ""Article 69"" de la Section 5.1.","")</f>
        <v/>
      </c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16"/>
      <c r="Y239" s="16"/>
      <c r="Z239" s="16"/>
      <c r="AA239" s="16"/>
    </row>
    <row r="240" spans="1:27" ht="15.75" customHeight="1" thickBot="1" x14ac:dyDescent="0.5">
      <c r="A240" s="521" t="s">
        <v>41</v>
      </c>
      <c r="B240" s="372"/>
      <c r="C240" s="372"/>
      <c r="D240" s="373"/>
      <c r="E240" s="528">
        <v>0</v>
      </c>
      <c r="F240" s="348"/>
      <c r="G240" s="347">
        <v>0</v>
      </c>
      <c r="H240" s="348"/>
      <c r="I240" s="347">
        <v>0</v>
      </c>
      <c r="J240" s="348"/>
      <c r="K240" s="347">
        <v>0</v>
      </c>
      <c r="L240" s="348"/>
      <c r="M240" s="344" t="str">
        <f>IF(I241&lt;&gt;I229,"Section 5.2 - Le ""Total"" de ""Autres"" doit être égal au ""Total"" de ""Autres"" de la Section 5.1.","")</f>
        <v/>
      </c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16"/>
      <c r="Y240" s="16"/>
      <c r="Z240" s="16"/>
      <c r="AA240" s="16"/>
    </row>
    <row r="241" spans="1:27" ht="16.5" customHeight="1" thickTop="1" thickBot="1" x14ac:dyDescent="0.5">
      <c r="A241" s="417" t="s">
        <v>11</v>
      </c>
      <c r="B241" s="380"/>
      <c r="C241" s="380"/>
      <c r="D241" s="387"/>
      <c r="E241" s="433">
        <f>SUM(E235:F240)</f>
        <v>0</v>
      </c>
      <c r="F241" s="366"/>
      <c r="G241" s="374">
        <f>SUM(G235:H240)</f>
        <v>0</v>
      </c>
      <c r="H241" s="366"/>
      <c r="I241" s="374">
        <f>SUM(I235:J240)</f>
        <v>0</v>
      </c>
      <c r="J241" s="366"/>
      <c r="K241" s="522">
        <f>SUM(K235:L240)</f>
        <v>0</v>
      </c>
      <c r="L241" s="397"/>
      <c r="M241" s="344" t="str">
        <f>IF(K241&lt;&gt;K229,"Section 5.2 - Le ""Total"" de ""9(1)c) Avis à un tiers"" doit être égal au ""Total"" de ""9(1)c) Avis à un tier"" de la Section 5.1.","")</f>
        <v/>
      </c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16"/>
      <c r="Y241" s="16"/>
      <c r="Z241" s="16"/>
      <c r="AA241" s="16"/>
    </row>
    <row r="242" spans="1:27" ht="15.75" customHeight="1" thickTop="1" x14ac:dyDescent="0.45"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16"/>
      <c r="Y242" s="16"/>
      <c r="Z242" s="16"/>
      <c r="AA242" s="16"/>
    </row>
    <row r="243" spans="1:27" ht="15.75" customHeight="1" x14ac:dyDescent="0.45">
      <c r="A243" s="672" t="s">
        <v>194</v>
      </c>
      <c r="B243" s="352"/>
      <c r="C243" s="352"/>
      <c r="D243" s="352"/>
      <c r="E243" s="352"/>
      <c r="F243" s="352"/>
      <c r="G243" s="352"/>
      <c r="H243" s="352"/>
      <c r="I243" s="352"/>
      <c r="J243" s="352"/>
      <c r="K243" s="352"/>
      <c r="L243" s="352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16"/>
      <c r="Y243" s="16"/>
      <c r="Z243" s="16"/>
      <c r="AA243" s="16"/>
    </row>
    <row r="244" spans="1:27" ht="16.5" customHeight="1" thickBot="1" x14ac:dyDescent="0.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16"/>
      <c r="Y244" s="16"/>
      <c r="Z244" s="16"/>
      <c r="AA244" s="16"/>
    </row>
    <row r="245" spans="1:27" ht="17.25" customHeight="1" thickTop="1" thickBot="1" x14ac:dyDescent="0.5">
      <c r="A245" s="410" t="s">
        <v>195</v>
      </c>
      <c r="B245" s="395"/>
      <c r="C245" s="525" t="s">
        <v>196</v>
      </c>
      <c r="D245" s="360"/>
      <c r="E245" s="488"/>
      <c r="F245" s="525" t="s">
        <v>197</v>
      </c>
      <c r="G245" s="360"/>
      <c r="H245" s="488"/>
      <c r="I245" s="612" t="s">
        <v>198</v>
      </c>
      <c r="J245" s="394"/>
      <c r="K245" s="395"/>
      <c r="L245" s="86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16"/>
      <c r="Y245" s="16"/>
      <c r="Z245" s="16"/>
      <c r="AA245" s="16"/>
    </row>
    <row r="246" spans="1:27" ht="29.25" customHeight="1" thickTop="1" thickBot="1" x14ac:dyDescent="0.5">
      <c r="A246" s="396"/>
      <c r="B246" s="397"/>
      <c r="C246" s="598" t="s">
        <v>6</v>
      </c>
      <c r="D246" s="414"/>
      <c r="E246" s="124" t="s">
        <v>199</v>
      </c>
      <c r="F246" s="598" t="s">
        <v>6</v>
      </c>
      <c r="G246" s="414"/>
      <c r="H246" s="124" t="s">
        <v>199</v>
      </c>
      <c r="I246" s="598" t="s">
        <v>6</v>
      </c>
      <c r="J246" s="414"/>
      <c r="K246" s="125" t="s">
        <v>199</v>
      </c>
      <c r="L246" s="86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16"/>
      <c r="Y246" s="16"/>
      <c r="Z246" s="16"/>
      <c r="AA246" s="16"/>
    </row>
    <row r="247" spans="1:27" ht="15.75" customHeight="1" thickTop="1" x14ac:dyDescent="0.45">
      <c r="A247" s="487" t="s">
        <v>200</v>
      </c>
      <c r="B247" s="488"/>
      <c r="C247" s="423">
        <v>0</v>
      </c>
      <c r="D247" s="424"/>
      <c r="E247" s="140">
        <v>0</v>
      </c>
      <c r="F247" s="423">
        <v>0</v>
      </c>
      <c r="G247" s="424"/>
      <c r="H247" s="140">
        <v>0</v>
      </c>
      <c r="I247" s="603">
        <v>0</v>
      </c>
      <c r="J247" s="369"/>
      <c r="K247" s="141">
        <v>0</v>
      </c>
      <c r="M247" s="412"/>
      <c r="N247" s="412"/>
      <c r="O247" s="412"/>
      <c r="P247" s="412"/>
      <c r="Q247" s="71"/>
      <c r="R247" s="71"/>
      <c r="S247" s="71"/>
      <c r="T247" s="71"/>
      <c r="U247" s="71"/>
      <c r="V247" s="71"/>
      <c r="W247" s="71"/>
      <c r="X247" s="16"/>
      <c r="Y247" s="16"/>
      <c r="Z247" s="16"/>
      <c r="AA247" s="16"/>
    </row>
    <row r="248" spans="1:27" ht="16.5" customHeight="1" thickBot="1" x14ac:dyDescent="0.5">
      <c r="A248" s="504" t="s">
        <v>201</v>
      </c>
      <c r="B248" s="373"/>
      <c r="C248" s="528">
        <v>0</v>
      </c>
      <c r="D248" s="348"/>
      <c r="E248" s="142">
        <v>0</v>
      </c>
      <c r="F248" s="528">
        <v>0</v>
      </c>
      <c r="G248" s="348"/>
      <c r="H248" s="142">
        <v>0</v>
      </c>
      <c r="I248" s="469">
        <v>0</v>
      </c>
      <c r="J248" s="470"/>
      <c r="K248" s="142">
        <v>0</v>
      </c>
      <c r="L248" s="86"/>
      <c r="M248" s="412"/>
      <c r="N248" s="412"/>
      <c r="O248" s="412"/>
      <c r="P248" s="412"/>
      <c r="Q248" s="71"/>
      <c r="R248" s="71"/>
      <c r="S248" s="71"/>
      <c r="T248" s="71"/>
      <c r="U248" s="71"/>
      <c r="V248" s="71"/>
      <c r="W248" s="71"/>
      <c r="X248" s="16"/>
      <c r="Y248" s="16"/>
      <c r="Z248" s="16"/>
      <c r="AA248" s="16"/>
    </row>
    <row r="249" spans="1:27" ht="17.25" customHeight="1" thickTop="1" thickBot="1" x14ac:dyDescent="0.5">
      <c r="A249" s="417" t="s">
        <v>11</v>
      </c>
      <c r="B249" s="387"/>
      <c r="C249" s="614">
        <f>SUM(C247:D248)</f>
        <v>0</v>
      </c>
      <c r="D249" s="381"/>
      <c r="E249" s="203">
        <f>SUM(E247:E248)</f>
        <v>0</v>
      </c>
      <c r="F249" s="580">
        <f>SUM(F247:G248)</f>
        <v>0</v>
      </c>
      <c r="G249" s="414"/>
      <c r="H249" s="203">
        <f>SUM(H247:H248)</f>
        <v>0</v>
      </c>
      <c r="I249" s="580">
        <f>SUM(I247:J248)</f>
        <v>0</v>
      </c>
      <c r="J249" s="414"/>
      <c r="K249" s="203">
        <f>SUM(K247:K248)</f>
        <v>0</v>
      </c>
      <c r="L249" s="86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16"/>
      <c r="Y249" s="16"/>
      <c r="Z249" s="16"/>
      <c r="AA249" s="16"/>
    </row>
    <row r="250" spans="1:27" ht="16.5" customHeight="1" thickTop="1" x14ac:dyDescent="0.4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16"/>
      <c r="Y250" s="16"/>
      <c r="Z250" s="16"/>
      <c r="AA250" s="16"/>
    </row>
    <row r="251" spans="1:27" ht="15.75" customHeight="1" x14ac:dyDescent="0.45">
      <c r="A251" s="529" t="s">
        <v>202</v>
      </c>
      <c r="B251" s="352"/>
      <c r="C251" s="352"/>
      <c r="D251" s="352"/>
      <c r="E251" s="352"/>
      <c r="F251" s="352"/>
      <c r="G251" s="352"/>
      <c r="H251" s="352"/>
      <c r="I251" s="352"/>
      <c r="J251" s="352"/>
      <c r="K251" s="352"/>
      <c r="L251" s="352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16"/>
      <c r="Y251" s="16"/>
      <c r="Z251" s="16"/>
      <c r="AA251" s="16"/>
    </row>
    <row r="252" spans="1:27" x14ac:dyDescent="0.45"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16"/>
      <c r="Y252" s="16"/>
      <c r="Z252" s="16"/>
      <c r="AA252" s="16"/>
    </row>
    <row r="253" spans="1:27" ht="15" customHeight="1" x14ac:dyDescent="0.45">
      <c r="A253" s="411" t="s">
        <v>203</v>
      </c>
      <c r="B253" s="352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16"/>
      <c r="Y253" s="16"/>
      <c r="Z253" s="16"/>
      <c r="AA253" s="16"/>
    </row>
    <row r="254" spans="1:27" ht="15" customHeight="1" thickBot="1" x14ac:dyDescent="0.5">
      <c r="A254" s="352"/>
      <c r="B254" s="352"/>
      <c r="C254" s="352"/>
      <c r="D254" s="352"/>
      <c r="E254" s="352"/>
      <c r="F254" s="352"/>
      <c r="G254" s="352"/>
      <c r="H254" s="352"/>
      <c r="I254" s="352"/>
      <c r="J254" s="352"/>
      <c r="K254" s="352"/>
      <c r="L254" s="352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16"/>
      <c r="Y254" s="16"/>
      <c r="Z254" s="16"/>
      <c r="AA254" s="16"/>
    </row>
    <row r="255" spans="1:27" ht="33.75" customHeight="1" thickTop="1" thickBot="1" x14ac:dyDescent="0.5">
      <c r="A255" s="497" t="s">
        <v>204</v>
      </c>
      <c r="B255" s="380"/>
      <c r="C255" s="380"/>
      <c r="D255" s="387"/>
      <c r="E255" s="444" t="s">
        <v>205</v>
      </c>
      <c r="F255" s="381"/>
      <c r="G255" s="442" t="s">
        <v>206</v>
      </c>
      <c r="H255" s="381"/>
      <c r="I255" s="444" t="s">
        <v>207</v>
      </c>
      <c r="J255" s="381"/>
      <c r="K255" s="442" t="s">
        <v>206</v>
      </c>
      <c r="L255" s="38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16"/>
      <c r="Y255" s="16"/>
      <c r="Z255" s="16"/>
      <c r="AA255" s="16"/>
    </row>
    <row r="256" spans="1:27" ht="29.25" customHeight="1" thickTop="1" x14ac:dyDescent="0.45">
      <c r="A256" s="555" t="s">
        <v>7</v>
      </c>
      <c r="B256" s="360"/>
      <c r="C256" s="360"/>
      <c r="D256" s="488"/>
      <c r="E256" s="500">
        <v>0</v>
      </c>
      <c r="F256" s="446"/>
      <c r="G256" s="474">
        <v>0</v>
      </c>
      <c r="H256" s="446"/>
      <c r="I256" s="500">
        <v>0</v>
      </c>
      <c r="J256" s="446"/>
      <c r="K256" s="474">
        <v>0</v>
      </c>
      <c r="L256" s="446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16"/>
      <c r="Y256" s="16"/>
      <c r="Z256" s="16"/>
      <c r="AA256" s="16"/>
    </row>
    <row r="257" spans="1:27" ht="29.25" customHeight="1" thickBot="1" x14ac:dyDescent="0.5">
      <c r="A257" s="371" t="s">
        <v>8</v>
      </c>
      <c r="B257" s="372"/>
      <c r="C257" s="372"/>
      <c r="D257" s="373"/>
      <c r="E257" s="516">
        <v>0</v>
      </c>
      <c r="F257" s="407"/>
      <c r="G257" s="406">
        <v>0</v>
      </c>
      <c r="H257" s="407"/>
      <c r="I257" s="516">
        <v>0</v>
      </c>
      <c r="J257" s="407"/>
      <c r="K257" s="406">
        <v>0</v>
      </c>
      <c r="L257" s="407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16"/>
      <c r="Y257" s="16"/>
      <c r="Z257" s="16"/>
      <c r="AA257" s="16"/>
    </row>
    <row r="258" spans="1:27" ht="16.5" customHeight="1" thickTop="1" thickBot="1" x14ac:dyDescent="0.5">
      <c r="A258" s="520" t="s">
        <v>11</v>
      </c>
      <c r="B258" s="380"/>
      <c r="C258" s="380"/>
      <c r="D258" s="387"/>
      <c r="E258" s="432">
        <f>SUM(E256:F257)</f>
        <v>0</v>
      </c>
      <c r="F258" s="381"/>
      <c r="G258" s="439">
        <f>SUM(G256:H257)</f>
        <v>0</v>
      </c>
      <c r="H258" s="381"/>
      <c r="I258" s="432">
        <f>SUM(I256:J257)</f>
        <v>0</v>
      </c>
      <c r="J258" s="381"/>
      <c r="K258" s="439">
        <f>SUM(K256:L257)</f>
        <v>0</v>
      </c>
      <c r="L258" s="38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16"/>
      <c r="Y258" s="16"/>
      <c r="Z258" s="16"/>
      <c r="AA258" s="16"/>
    </row>
    <row r="259" spans="1:27" ht="30.75" customHeight="1" thickTop="1" x14ac:dyDescent="0.45">
      <c r="A259" s="555" t="s">
        <v>12</v>
      </c>
      <c r="B259" s="360"/>
      <c r="C259" s="360"/>
      <c r="D259" s="488"/>
      <c r="E259" s="500">
        <v>0</v>
      </c>
      <c r="F259" s="446"/>
      <c r="G259" s="474">
        <v>0</v>
      </c>
      <c r="H259" s="446"/>
      <c r="I259" s="500">
        <v>0</v>
      </c>
      <c r="J259" s="446"/>
      <c r="K259" s="474">
        <v>0</v>
      </c>
      <c r="L259" s="446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16"/>
      <c r="Y259" s="16"/>
      <c r="Z259" s="16"/>
      <c r="AA259" s="16"/>
    </row>
    <row r="260" spans="1:27" ht="42" customHeight="1" x14ac:dyDescent="0.45">
      <c r="A260" s="502" t="s">
        <v>208</v>
      </c>
      <c r="B260" s="377"/>
      <c r="C260" s="377"/>
      <c r="D260" s="378"/>
      <c r="E260" s="441">
        <v>0</v>
      </c>
      <c r="F260" s="357"/>
      <c r="G260" s="501">
        <v>0</v>
      </c>
      <c r="H260" s="357"/>
      <c r="I260" s="441">
        <v>0</v>
      </c>
      <c r="J260" s="357"/>
      <c r="K260" s="501">
        <v>0</v>
      </c>
      <c r="L260" s="357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16"/>
      <c r="Y260" s="16"/>
      <c r="Z260" s="16"/>
      <c r="AA260" s="16"/>
    </row>
    <row r="261" spans="1:27" ht="41.25" customHeight="1" thickBot="1" x14ac:dyDescent="0.5">
      <c r="A261" s="371" t="s">
        <v>209</v>
      </c>
      <c r="B261" s="372"/>
      <c r="C261" s="372"/>
      <c r="D261" s="373"/>
      <c r="E261" s="462">
        <v>0</v>
      </c>
      <c r="F261" s="348"/>
      <c r="G261" s="358">
        <v>0</v>
      </c>
      <c r="H261" s="348"/>
      <c r="I261" s="462">
        <v>0</v>
      </c>
      <c r="J261" s="348"/>
      <c r="K261" s="358">
        <v>0</v>
      </c>
      <c r="L261" s="348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16"/>
      <c r="Y261" s="16"/>
      <c r="Z261" s="16"/>
      <c r="AA261" s="16"/>
    </row>
    <row r="262" spans="1:27" ht="15.75" customHeight="1" thickTop="1" x14ac:dyDescent="0.45"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16"/>
      <c r="Y262" s="16"/>
      <c r="Z262" s="16"/>
      <c r="AA262" s="16"/>
    </row>
    <row r="263" spans="1:27" ht="34.9" customHeight="1" x14ac:dyDescent="0.45">
      <c r="A263" s="517" t="s">
        <v>210</v>
      </c>
      <c r="B263" s="352"/>
      <c r="C263" s="352"/>
      <c r="D263" s="352"/>
      <c r="E263" s="352"/>
      <c r="F263" s="352"/>
      <c r="G263" s="352"/>
      <c r="H263" s="352"/>
      <c r="I263" s="352"/>
      <c r="J263" s="352"/>
      <c r="K263" s="352"/>
      <c r="L263" s="352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16"/>
      <c r="Y263" s="16"/>
      <c r="Z263" s="16"/>
      <c r="AA263" s="16"/>
    </row>
    <row r="264" spans="1:27" ht="15.75" customHeight="1" thickBot="1" x14ac:dyDescent="0.5"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16"/>
      <c r="Y264" s="16"/>
      <c r="Z264" s="16"/>
      <c r="AA264" s="16"/>
    </row>
    <row r="265" spans="1:27" ht="14.25" customHeight="1" thickTop="1" thickBot="1" x14ac:dyDescent="0.5">
      <c r="A265" s="410" t="s">
        <v>211</v>
      </c>
      <c r="B265" s="394"/>
      <c r="C265" s="394"/>
      <c r="D265" s="395"/>
      <c r="E265" s="359" t="s">
        <v>212</v>
      </c>
      <c r="F265" s="360"/>
      <c r="G265" s="360"/>
      <c r="H265" s="360"/>
      <c r="I265" s="360"/>
      <c r="J265" s="360"/>
      <c r="K265" s="360"/>
      <c r="L265" s="36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16"/>
      <c r="Y265" s="16"/>
      <c r="Z265" s="16"/>
      <c r="AA265" s="16"/>
    </row>
    <row r="266" spans="1:27" ht="30" customHeight="1" thickTop="1" thickBot="1" x14ac:dyDescent="0.5">
      <c r="A266" s="396"/>
      <c r="B266" s="375"/>
      <c r="C266" s="375"/>
      <c r="D266" s="397"/>
      <c r="E266" s="186" t="s">
        <v>35</v>
      </c>
      <c r="F266" s="187" t="s">
        <v>36</v>
      </c>
      <c r="G266" s="187" t="s">
        <v>37</v>
      </c>
      <c r="H266" s="187" t="s">
        <v>38</v>
      </c>
      <c r="I266" s="187" t="s">
        <v>39</v>
      </c>
      <c r="J266" s="187" t="s">
        <v>40</v>
      </c>
      <c r="K266" s="188" t="s">
        <v>41</v>
      </c>
      <c r="L266" s="189" t="s">
        <v>11</v>
      </c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16"/>
      <c r="Y266" s="16"/>
      <c r="Z266" s="16"/>
      <c r="AA266" s="16"/>
    </row>
    <row r="267" spans="1:27" ht="15.75" customHeight="1" thickTop="1" x14ac:dyDescent="0.45">
      <c r="A267" s="487" t="s">
        <v>213</v>
      </c>
      <c r="B267" s="360"/>
      <c r="C267" s="360"/>
      <c r="D267" s="488"/>
      <c r="E267" s="121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114">
        <v>0</v>
      </c>
      <c r="L267" s="206">
        <f t="shared" ref="L267:L273" si="5">SUM(E267:K267)</f>
        <v>0</v>
      </c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16"/>
      <c r="Y267" s="16"/>
      <c r="Z267" s="16"/>
      <c r="AA267" s="16"/>
    </row>
    <row r="268" spans="1:27" x14ac:dyDescent="0.45">
      <c r="A268" s="376" t="s">
        <v>214</v>
      </c>
      <c r="B268" s="377"/>
      <c r="C268" s="377"/>
      <c r="D268" s="378"/>
      <c r="E268" s="122">
        <v>0</v>
      </c>
      <c r="F268" s="113">
        <v>0</v>
      </c>
      <c r="G268" s="113">
        <v>0</v>
      </c>
      <c r="H268" s="113">
        <v>0</v>
      </c>
      <c r="I268" s="113">
        <v>0</v>
      </c>
      <c r="J268" s="113">
        <v>0</v>
      </c>
      <c r="K268" s="112">
        <v>0</v>
      </c>
      <c r="L268" s="207">
        <f t="shared" si="5"/>
        <v>0</v>
      </c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16"/>
      <c r="Y268" s="16"/>
      <c r="Z268" s="16"/>
      <c r="AA268" s="16"/>
    </row>
    <row r="269" spans="1:27" x14ac:dyDescent="0.45">
      <c r="A269" s="376" t="s">
        <v>215</v>
      </c>
      <c r="B269" s="377"/>
      <c r="C269" s="377"/>
      <c r="D269" s="378"/>
      <c r="E269" s="122">
        <v>0</v>
      </c>
      <c r="F269" s="113">
        <v>0</v>
      </c>
      <c r="G269" s="113">
        <v>0</v>
      </c>
      <c r="H269" s="113">
        <v>0</v>
      </c>
      <c r="I269" s="113">
        <v>0</v>
      </c>
      <c r="J269" s="113">
        <v>0</v>
      </c>
      <c r="K269" s="112">
        <v>0</v>
      </c>
      <c r="L269" s="207">
        <f t="shared" si="5"/>
        <v>0</v>
      </c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16"/>
      <c r="Y269" s="16"/>
      <c r="Z269" s="16"/>
      <c r="AA269" s="16"/>
    </row>
    <row r="270" spans="1:27" x14ac:dyDescent="0.45">
      <c r="A270" s="376" t="s">
        <v>216</v>
      </c>
      <c r="B270" s="377"/>
      <c r="C270" s="377"/>
      <c r="D270" s="378"/>
      <c r="E270" s="122">
        <v>0</v>
      </c>
      <c r="F270" s="113">
        <v>0</v>
      </c>
      <c r="G270" s="113">
        <v>0</v>
      </c>
      <c r="H270" s="113">
        <v>0</v>
      </c>
      <c r="I270" s="113">
        <v>0</v>
      </c>
      <c r="J270" s="113">
        <v>0</v>
      </c>
      <c r="K270" s="112">
        <v>0</v>
      </c>
      <c r="L270" s="207">
        <f t="shared" si="5"/>
        <v>0</v>
      </c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16"/>
      <c r="Y270" s="16"/>
      <c r="Z270" s="16"/>
      <c r="AA270" s="16"/>
    </row>
    <row r="271" spans="1:27" x14ac:dyDescent="0.45">
      <c r="A271" s="376" t="s">
        <v>217</v>
      </c>
      <c r="B271" s="377"/>
      <c r="C271" s="377"/>
      <c r="D271" s="378"/>
      <c r="E271" s="122">
        <v>0</v>
      </c>
      <c r="F271" s="113">
        <v>0</v>
      </c>
      <c r="G271" s="113">
        <v>0</v>
      </c>
      <c r="H271" s="113">
        <v>0</v>
      </c>
      <c r="I271" s="113">
        <v>0</v>
      </c>
      <c r="J271" s="113">
        <v>0</v>
      </c>
      <c r="K271" s="112">
        <v>0</v>
      </c>
      <c r="L271" s="207">
        <f t="shared" si="5"/>
        <v>0</v>
      </c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16"/>
      <c r="Y271" s="16"/>
      <c r="Z271" s="16"/>
      <c r="AA271" s="16"/>
    </row>
    <row r="272" spans="1:27" ht="15.75" customHeight="1" thickBot="1" x14ac:dyDescent="0.5">
      <c r="A272" s="521" t="s">
        <v>178</v>
      </c>
      <c r="B272" s="372"/>
      <c r="C272" s="372"/>
      <c r="D272" s="373"/>
      <c r="E272" s="126">
        <v>0</v>
      </c>
      <c r="F272" s="123">
        <v>0</v>
      </c>
      <c r="G272" s="123">
        <v>0</v>
      </c>
      <c r="H272" s="123">
        <v>0</v>
      </c>
      <c r="I272" s="123">
        <v>0</v>
      </c>
      <c r="J272" s="123">
        <v>0</v>
      </c>
      <c r="K272" s="115">
        <v>0</v>
      </c>
      <c r="L272" s="208">
        <f t="shared" si="5"/>
        <v>0</v>
      </c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16"/>
      <c r="Y272" s="16"/>
      <c r="Z272" s="16"/>
      <c r="AA272" s="16"/>
    </row>
    <row r="273" spans="1:27" ht="15.75" customHeight="1" thickTop="1" thickBot="1" x14ac:dyDescent="0.5">
      <c r="A273" s="613" t="s">
        <v>11</v>
      </c>
      <c r="B273" s="380"/>
      <c r="C273" s="380"/>
      <c r="D273" s="387"/>
      <c r="E273" s="201">
        <f t="shared" ref="E273:K273" si="6">SUM(E267:E272)</f>
        <v>0</v>
      </c>
      <c r="F273" s="199">
        <f t="shared" si="6"/>
        <v>0</v>
      </c>
      <c r="G273" s="199">
        <f t="shared" si="6"/>
        <v>0</v>
      </c>
      <c r="H273" s="199">
        <f t="shared" si="6"/>
        <v>0</v>
      </c>
      <c r="I273" s="199">
        <f t="shared" si="6"/>
        <v>0</v>
      </c>
      <c r="J273" s="199">
        <f t="shared" si="6"/>
        <v>0</v>
      </c>
      <c r="K273" s="200">
        <f t="shared" si="6"/>
        <v>0</v>
      </c>
      <c r="L273" s="205">
        <f t="shared" si="5"/>
        <v>0</v>
      </c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16"/>
      <c r="Y273" s="16"/>
      <c r="Z273" s="16"/>
      <c r="AA273" s="16"/>
    </row>
    <row r="274" spans="1:27" ht="11.25" customHeight="1" thickTop="1" x14ac:dyDescent="0.45"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16"/>
      <c r="Y274" s="16"/>
      <c r="Z274" s="16"/>
      <c r="AA274" s="16"/>
    </row>
    <row r="275" spans="1:27" ht="32.65" customHeight="1" x14ac:dyDescent="0.45">
      <c r="A275" s="517" t="s">
        <v>218</v>
      </c>
      <c r="B275" s="352"/>
      <c r="C275" s="352"/>
      <c r="D275" s="352"/>
      <c r="E275" s="352"/>
      <c r="F275" s="352"/>
      <c r="G275" s="352"/>
      <c r="H275" s="352"/>
      <c r="I275" s="352"/>
      <c r="J275" s="352"/>
      <c r="K275" s="352"/>
      <c r="L275" s="352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16"/>
      <c r="Y275" s="16"/>
      <c r="Z275" s="16"/>
      <c r="AA275" s="16"/>
    </row>
    <row r="276" spans="1:27" ht="15.75" customHeight="1" thickBot="1" x14ac:dyDescent="0.5"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16"/>
      <c r="Y276" s="16"/>
      <c r="Z276" s="16"/>
      <c r="AA276" s="16"/>
    </row>
    <row r="277" spans="1:27" ht="14.25" customHeight="1" thickTop="1" thickBot="1" x14ac:dyDescent="0.5">
      <c r="A277" s="410" t="s">
        <v>211</v>
      </c>
      <c r="B277" s="394"/>
      <c r="C277" s="394"/>
      <c r="D277" s="395"/>
      <c r="E277" s="359" t="s">
        <v>212</v>
      </c>
      <c r="F277" s="360"/>
      <c r="G277" s="360"/>
      <c r="H277" s="360"/>
      <c r="I277" s="360"/>
      <c r="J277" s="360"/>
      <c r="K277" s="360"/>
      <c r="L277" s="36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16"/>
      <c r="Y277" s="16"/>
      <c r="Z277" s="16"/>
      <c r="AA277" s="16"/>
    </row>
    <row r="278" spans="1:27" ht="28.5" customHeight="1" thickTop="1" thickBot="1" x14ac:dyDescent="0.5">
      <c r="A278" s="396"/>
      <c r="B278" s="375"/>
      <c r="C278" s="375"/>
      <c r="D278" s="397"/>
      <c r="E278" s="57" t="s">
        <v>35</v>
      </c>
      <c r="F278" s="58" t="s">
        <v>36</v>
      </c>
      <c r="G278" s="58" t="s">
        <v>37</v>
      </c>
      <c r="H278" s="58" t="s">
        <v>38</v>
      </c>
      <c r="I278" s="58" t="s">
        <v>39</v>
      </c>
      <c r="J278" s="58" t="s">
        <v>40</v>
      </c>
      <c r="K278" s="59" t="s">
        <v>41</v>
      </c>
      <c r="L278" s="185" t="s">
        <v>11</v>
      </c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16"/>
      <c r="Y278" s="16"/>
      <c r="Z278" s="16"/>
      <c r="AA278" s="16"/>
    </row>
    <row r="279" spans="1:27" ht="15.75" customHeight="1" thickTop="1" x14ac:dyDescent="0.45">
      <c r="A279" s="487" t="s">
        <v>213</v>
      </c>
      <c r="B279" s="360"/>
      <c r="C279" s="360"/>
      <c r="D279" s="488"/>
      <c r="E279" s="121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114">
        <v>0</v>
      </c>
      <c r="L279" s="206">
        <f t="shared" ref="L279:L285" si="7">SUM(E279:K279)</f>
        <v>0</v>
      </c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16"/>
      <c r="Y279" s="16"/>
      <c r="Z279" s="16"/>
      <c r="AA279" s="16"/>
    </row>
    <row r="280" spans="1:27" x14ac:dyDescent="0.45">
      <c r="A280" s="376" t="s">
        <v>214</v>
      </c>
      <c r="B280" s="377"/>
      <c r="C280" s="377"/>
      <c r="D280" s="378"/>
      <c r="E280" s="122">
        <v>0</v>
      </c>
      <c r="F280" s="113">
        <v>0</v>
      </c>
      <c r="G280" s="113">
        <v>0</v>
      </c>
      <c r="H280" s="113">
        <v>0</v>
      </c>
      <c r="I280" s="113">
        <v>0</v>
      </c>
      <c r="J280" s="113">
        <v>0</v>
      </c>
      <c r="K280" s="112">
        <v>0</v>
      </c>
      <c r="L280" s="207">
        <f t="shared" si="7"/>
        <v>0</v>
      </c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16"/>
      <c r="Y280" s="16"/>
      <c r="Z280" s="16"/>
      <c r="AA280" s="16"/>
    </row>
    <row r="281" spans="1:27" x14ac:dyDescent="0.45">
      <c r="A281" s="376" t="s">
        <v>215</v>
      </c>
      <c r="B281" s="377"/>
      <c r="C281" s="377"/>
      <c r="D281" s="378"/>
      <c r="E281" s="122">
        <v>0</v>
      </c>
      <c r="F281" s="113">
        <v>0</v>
      </c>
      <c r="G281" s="113">
        <v>0</v>
      </c>
      <c r="H281" s="113">
        <v>0</v>
      </c>
      <c r="I281" s="113">
        <v>0</v>
      </c>
      <c r="J281" s="113">
        <v>0</v>
      </c>
      <c r="K281" s="112">
        <v>0</v>
      </c>
      <c r="L281" s="207">
        <f t="shared" si="7"/>
        <v>0</v>
      </c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16"/>
      <c r="Y281" s="16"/>
      <c r="Z281" s="16"/>
      <c r="AA281" s="16"/>
    </row>
    <row r="282" spans="1:27" x14ac:dyDescent="0.45">
      <c r="A282" s="376" t="s">
        <v>216</v>
      </c>
      <c r="B282" s="377"/>
      <c r="C282" s="377"/>
      <c r="D282" s="378"/>
      <c r="E282" s="122">
        <v>0</v>
      </c>
      <c r="F282" s="113">
        <v>0</v>
      </c>
      <c r="G282" s="113">
        <v>0</v>
      </c>
      <c r="H282" s="113">
        <v>0</v>
      </c>
      <c r="I282" s="113">
        <v>0</v>
      </c>
      <c r="J282" s="113">
        <v>0</v>
      </c>
      <c r="K282" s="112">
        <v>0</v>
      </c>
      <c r="L282" s="207">
        <f t="shared" si="7"/>
        <v>0</v>
      </c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16"/>
      <c r="Y282" s="16"/>
      <c r="Z282" s="16"/>
      <c r="AA282" s="16"/>
    </row>
    <row r="283" spans="1:27" x14ac:dyDescent="0.45">
      <c r="A283" s="376" t="s">
        <v>217</v>
      </c>
      <c r="B283" s="377"/>
      <c r="C283" s="377"/>
      <c r="D283" s="378"/>
      <c r="E283" s="122">
        <v>0</v>
      </c>
      <c r="F283" s="113">
        <v>0</v>
      </c>
      <c r="G283" s="113">
        <v>0</v>
      </c>
      <c r="H283" s="113">
        <v>0</v>
      </c>
      <c r="I283" s="113">
        <v>0</v>
      </c>
      <c r="J283" s="113">
        <v>0</v>
      </c>
      <c r="K283" s="112">
        <v>0</v>
      </c>
      <c r="L283" s="207">
        <f t="shared" si="7"/>
        <v>0</v>
      </c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16"/>
      <c r="Y283" s="16"/>
      <c r="Z283" s="16"/>
      <c r="AA283" s="16"/>
    </row>
    <row r="284" spans="1:27" ht="15.75" customHeight="1" thickBot="1" x14ac:dyDescent="0.5">
      <c r="A284" s="521" t="s">
        <v>178</v>
      </c>
      <c r="B284" s="372"/>
      <c r="C284" s="372"/>
      <c r="D284" s="373"/>
      <c r="E284" s="126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15">
        <v>0</v>
      </c>
      <c r="L284" s="208">
        <f t="shared" si="7"/>
        <v>0</v>
      </c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16"/>
      <c r="Y284" s="16"/>
      <c r="Z284" s="16"/>
      <c r="AA284" s="16"/>
    </row>
    <row r="285" spans="1:27" ht="16.5" customHeight="1" thickTop="1" thickBot="1" x14ac:dyDescent="0.5">
      <c r="A285" s="548" t="s">
        <v>11</v>
      </c>
      <c r="B285" s="380"/>
      <c r="C285" s="380"/>
      <c r="D285" s="380"/>
      <c r="E285" s="201">
        <f t="shared" ref="E285:K285" si="8">SUM(E279:E284)</f>
        <v>0</v>
      </c>
      <c r="F285" s="199">
        <f t="shared" si="8"/>
        <v>0</v>
      </c>
      <c r="G285" s="199">
        <f t="shared" si="8"/>
        <v>0</v>
      </c>
      <c r="H285" s="199">
        <f t="shared" si="8"/>
        <v>0</v>
      </c>
      <c r="I285" s="199">
        <f t="shared" si="8"/>
        <v>0</v>
      </c>
      <c r="J285" s="199">
        <f t="shared" si="8"/>
        <v>0</v>
      </c>
      <c r="K285" s="200">
        <f t="shared" si="8"/>
        <v>0</v>
      </c>
      <c r="L285" s="205">
        <f t="shared" si="7"/>
        <v>0</v>
      </c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16"/>
      <c r="Y285" s="16"/>
      <c r="Z285" s="16"/>
      <c r="AA285" s="16"/>
    </row>
    <row r="286" spans="1:27" ht="21" customHeight="1" thickTop="1" x14ac:dyDescent="0.45">
      <c r="A286" s="39"/>
      <c r="B286" s="39"/>
      <c r="C286" s="39"/>
      <c r="D286" s="39"/>
      <c r="E286" s="37"/>
      <c r="F286" s="37"/>
      <c r="G286" s="37"/>
      <c r="H286" s="37"/>
      <c r="I286" s="37"/>
      <c r="J286" s="37"/>
      <c r="K286" s="37"/>
      <c r="L286" s="37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16"/>
      <c r="Y286" s="16"/>
      <c r="Z286" s="16"/>
      <c r="AA286" s="16"/>
    </row>
    <row r="287" spans="1:27" ht="35.25" customHeight="1" x14ac:dyDescent="0.45">
      <c r="A287" s="455" t="s">
        <v>219</v>
      </c>
      <c r="B287" s="352"/>
      <c r="C287" s="352"/>
      <c r="D287" s="352"/>
      <c r="E287" s="352"/>
      <c r="F287" s="352"/>
      <c r="G287" s="352"/>
      <c r="H287" s="352"/>
      <c r="I287" s="352"/>
      <c r="J287" s="352"/>
      <c r="K287" s="352"/>
      <c r="L287" s="352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16"/>
      <c r="Y287" s="16"/>
      <c r="Z287" s="16"/>
      <c r="AA287" s="16"/>
    </row>
    <row r="288" spans="1:27" x14ac:dyDescent="0.45"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16"/>
      <c r="Y288" s="16"/>
      <c r="Z288" s="16"/>
      <c r="AA288" s="16"/>
    </row>
    <row r="289" spans="1:27" x14ac:dyDescent="0.45">
      <c r="A289" s="468" t="s">
        <v>220</v>
      </c>
      <c r="B289" s="352"/>
      <c r="C289" s="352"/>
      <c r="D289" s="352"/>
      <c r="E289" s="352"/>
      <c r="F289" s="352"/>
      <c r="G289" s="352"/>
      <c r="H289" s="352"/>
      <c r="I289" s="352"/>
      <c r="J289" s="352"/>
      <c r="K289" s="352"/>
      <c r="L289" s="352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16"/>
      <c r="Y289" s="16"/>
      <c r="Z289" s="16"/>
      <c r="AA289" s="16"/>
    </row>
    <row r="290" spans="1:27" ht="15.75" customHeight="1" thickBot="1" x14ac:dyDescent="0.5"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16"/>
      <c r="Y290" s="16"/>
      <c r="Z290" s="16"/>
      <c r="AA290" s="16"/>
    </row>
    <row r="291" spans="1:27" ht="27" customHeight="1" thickTop="1" thickBot="1" x14ac:dyDescent="0.5">
      <c r="A291" s="393" t="s">
        <v>221</v>
      </c>
      <c r="B291" s="395"/>
      <c r="C291" s="530" t="s">
        <v>158</v>
      </c>
      <c r="D291" s="488"/>
      <c r="E291" s="382" t="s">
        <v>222</v>
      </c>
      <c r="F291" s="361"/>
      <c r="G291" s="382" t="s">
        <v>160</v>
      </c>
      <c r="H291" s="36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16"/>
      <c r="U291" s="16"/>
      <c r="V291" s="16"/>
      <c r="W291" s="16"/>
    </row>
    <row r="292" spans="1:27" ht="37.5" customHeight="1" thickTop="1" thickBot="1" x14ac:dyDescent="0.5">
      <c r="A292" s="396"/>
      <c r="B292" s="397"/>
      <c r="C292" s="264" t="s">
        <v>6</v>
      </c>
      <c r="D292" s="279" t="s">
        <v>42</v>
      </c>
      <c r="E292" s="264" t="s">
        <v>6</v>
      </c>
      <c r="F292" s="279" t="s">
        <v>42</v>
      </c>
      <c r="G292" s="264" t="s">
        <v>6</v>
      </c>
      <c r="H292" s="279" t="s">
        <v>42</v>
      </c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16"/>
      <c r="U292" s="16"/>
      <c r="V292" s="16"/>
      <c r="W292" s="16"/>
    </row>
    <row r="293" spans="1:27" ht="15.75" customHeight="1" thickTop="1" x14ac:dyDescent="0.45">
      <c r="A293" s="353" t="s">
        <v>223</v>
      </c>
      <c r="B293" s="354"/>
      <c r="C293" s="254">
        <v>0</v>
      </c>
      <c r="D293" s="280">
        <v>0</v>
      </c>
      <c r="E293" s="254">
        <v>0</v>
      </c>
      <c r="F293" s="280">
        <v>0</v>
      </c>
      <c r="G293" s="254">
        <v>0</v>
      </c>
      <c r="H293" s="280">
        <v>0</v>
      </c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16"/>
      <c r="U293" s="16"/>
      <c r="V293" s="16"/>
      <c r="W293" s="16"/>
    </row>
    <row r="294" spans="1:27" ht="14.25" customHeight="1" x14ac:dyDescent="0.45">
      <c r="A294" s="401" t="s">
        <v>224</v>
      </c>
      <c r="B294" s="378"/>
      <c r="C294" s="257">
        <v>0</v>
      </c>
      <c r="D294" s="15">
        <v>0</v>
      </c>
      <c r="E294" s="257">
        <v>0</v>
      </c>
      <c r="F294" s="15">
        <v>0</v>
      </c>
      <c r="G294" s="257">
        <v>0</v>
      </c>
      <c r="H294" s="15">
        <v>0</v>
      </c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16"/>
      <c r="U294" s="16"/>
      <c r="V294" s="16"/>
      <c r="W294" s="16"/>
    </row>
    <row r="295" spans="1:27" x14ac:dyDescent="0.45">
      <c r="A295" s="440" t="s">
        <v>225</v>
      </c>
      <c r="B295" s="350"/>
      <c r="C295" s="257">
        <v>0</v>
      </c>
      <c r="D295" s="15">
        <v>0</v>
      </c>
      <c r="E295" s="257">
        <v>0</v>
      </c>
      <c r="F295" s="15">
        <v>0</v>
      </c>
      <c r="G295" s="257">
        <v>0</v>
      </c>
      <c r="H295" s="15">
        <v>0</v>
      </c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16"/>
      <c r="U295" s="16"/>
      <c r="V295" s="16"/>
      <c r="W295" s="16"/>
    </row>
    <row r="296" spans="1:27" x14ac:dyDescent="0.45">
      <c r="A296" s="440" t="s">
        <v>226</v>
      </c>
      <c r="B296" s="350"/>
      <c r="C296" s="257">
        <v>0</v>
      </c>
      <c r="D296" s="15">
        <v>0</v>
      </c>
      <c r="E296" s="257">
        <v>0</v>
      </c>
      <c r="F296" s="15">
        <v>0</v>
      </c>
      <c r="G296" s="257">
        <v>0</v>
      </c>
      <c r="H296" s="15">
        <v>0</v>
      </c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16"/>
      <c r="U296" s="16"/>
      <c r="V296" s="16"/>
      <c r="W296" s="16"/>
    </row>
    <row r="297" spans="1:27" x14ac:dyDescent="0.45">
      <c r="A297" s="376" t="s">
        <v>227</v>
      </c>
      <c r="B297" s="378"/>
      <c r="C297" s="257">
        <v>0</v>
      </c>
      <c r="D297" s="281">
        <v>0</v>
      </c>
      <c r="E297" s="257">
        <v>0</v>
      </c>
      <c r="F297" s="281">
        <v>0</v>
      </c>
      <c r="G297" s="257">
        <v>0</v>
      </c>
      <c r="H297" s="15">
        <v>0</v>
      </c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16"/>
      <c r="U297" s="16"/>
      <c r="V297" s="16"/>
      <c r="W297" s="16"/>
    </row>
    <row r="298" spans="1:27" x14ac:dyDescent="0.45">
      <c r="A298" s="440" t="s">
        <v>228</v>
      </c>
      <c r="B298" s="350"/>
      <c r="C298" s="257">
        <v>0</v>
      </c>
      <c r="D298" s="281">
        <v>0</v>
      </c>
      <c r="E298" s="257">
        <v>0</v>
      </c>
      <c r="F298" s="281">
        <v>0</v>
      </c>
      <c r="G298" s="257">
        <v>0</v>
      </c>
      <c r="H298" s="15">
        <v>0</v>
      </c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16"/>
      <c r="U298" s="16"/>
      <c r="V298" s="16"/>
      <c r="W298" s="16"/>
    </row>
    <row r="299" spans="1:27" ht="15.75" customHeight="1" thickBot="1" x14ac:dyDescent="0.5">
      <c r="A299" s="577" t="s">
        <v>229</v>
      </c>
      <c r="B299" s="373"/>
      <c r="C299" s="302">
        <v>0</v>
      </c>
      <c r="D299" s="303">
        <v>0</v>
      </c>
      <c r="E299" s="302">
        <v>0</v>
      </c>
      <c r="F299" s="303">
        <v>0</v>
      </c>
      <c r="G299" s="302">
        <v>0</v>
      </c>
      <c r="H299" s="304">
        <v>0</v>
      </c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16"/>
      <c r="U299" s="16"/>
      <c r="V299" s="16"/>
      <c r="W299" s="16"/>
    </row>
    <row r="300" spans="1:27" ht="16.5" customHeight="1" thickTop="1" thickBot="1" x14ac:dyDescent="0.5">
      <c r="A300" s="524" t="s">
        <v>11</v>
      </c>
      <c r="B300" s="366"/>
      <c r="C300" s="258">
        <f t="shared" ref="C300:H300" si="9">SUM(C293:C299)</f>
        <v>0</v>
      </c>
      <c r="D300" s="289">
        <f t="shared" si="9"/>
        <v>0</v>
      </c>
      <c r="E300" s="258">
        <f t="shared" si="9"/>
        <v>0</v>
      </c>
      <c r="F300" s="289">
        <f t="shared" si="9"/>
        <v>0</v>
      </c>
      <c r="G300" s="258">
        <f t="shared" si="9"/>
        <v>0</v>
      </c>
      <c r="H300" s="289">
        <f t="shared" si="9"/>
        <v>0</v>
      </c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16"/>
      <c r="U300" s="16"/>
      <c r="V300" s="16"/>
      <c r="W300" s="16"/>
    </row>
    <row r="301" spans="1:27" ht="15.75" customHeight="1" thickTop="1" x14ac:dyDescent="0.45">
      <c r="C301" s="21"/>
      <c r="D301" s="21"/>
      <c r="E301" s="21"/>
      <c r="F301" s="515"/>
      <c r="G301" s="352"/>
      <c r="H301" s="21"/>
      <c r="I301" s="21"/>
      <c r="J301" s="21"/>
      <c r="K301" s="21"/>
      <c r="L301" s="2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16"/>
      <c r="Y301" s="16"/>
      <c r="Z301" s="16"/>
      <c r="AA301" s="16"/>
    </row>
    <row r="302" spans="1:27" x14ac:dyDescent="0.45">
      <c r="A302" s="468" t="s">
        <v>230</v>
      </c>
      <c r="B302" s="352"/>
      <c r="C302" s="352"/>
      <c r="D302" s="352"/>
      <c r="E302" s="352"/>
      <c r="F302" s="352"/>
      <c r="G302" s="352"/>
      <c r="H302" s="352"/>
      <c r="I302" s="352"/>
      <c r="J302" s="352"/>
      <c r="K302" s="352"/>
      <c r="L302" s="352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16"/>
      <c r="Y302" s="16"/>
      <c r="Z302" s="16"/>
      <c r="AA302" s="16"/>
    </row>
    <row r="303" spans="1:27" ht="15.75" customHeight="1" thickBot="1" x14ac:dyDescent="0.5"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16"/>
      <c r="Y303" s="16"/>
      <c r="Z303" s="16"/>
      <c r="AA303" s="16"/>
    </row>
    <row r="304" spans="1:27" ht="27" customHeight="1" thickTop="1" thickBot="1" x14ac:dyDescent="0.5">
      <c r="A304" s="393" t="s">
        <v>221</v>
      </c>
      <c r="B304" s="395"/>
      <c r="C304" s="530" t="s">
        <v>158</v>
      </c>
      <c r="D304" s="488"/>
      <c r="E304" s="382" t="s">
        <v>222</v>
      </c>
      <c r="F304" s="361"/>
      <c r="G304" s="382" t="s">
        <v>160</v>
      </c>
      <c r="H304" s="36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16"/>
      <c r="U304" s="16"/>
      <c r="V304" s="16"/>
      <c r="W304" s="16"/>
    </row>
    <row r="305" spans="1:27" ht="38.25" customHeight="1" thickTop="1" thickBot="1" x14ac:dyDescent="0.5">
      <c r="A305" s="396"/>
      <c r="B305" s="397"/>
      <c r="C305" s="264" t="s">
        <v>6</v>
      </c>
      <c r="D305" s="305" t="s">
        <v>42</v>
      </c>
      <c r="E305" s="264" t="s">
        <v>6</v>
      </c>
      <c r="F305" s="305" t="s">
        <v>42</v>
      </c>
      <c r="G305" s="264" t="s">
        <v>6</v>
      </c>
      <c r="H305" s="306" t="s">
        <v>42</v>
      </c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16"/>
      <c r="U305" s="16"/>
      <c r="V305" s="16"/>
      <c r="W305" s="16"/>
    </row>
    <row r="306" spans="1:27" ht="15.75" customHeight="1" thickTop="1" x14ac:dyDescent="0.45">
      <c r="A306" s="353" t="s">
        <v>223</v>
      </c>
      <c r="B306" s="354"/>
      <c r="C306" s="254">
        <v>0</v>
      </c>
      <c r="D306" s="280">
        <v>0</v>
      </c>
      <c r="E306" s="254">
        <v>0</v>
      </c>
      <c r="F306" s="280">
        <v>0</v>
      </c>
      <c r="G306" s="254">
        <v>0</v>
      </c>
      <c r="H306" s="280">
        <v>0</v>
      </c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16"/>
      <c r="U306" s="16"/>
      <c r="V306" s="16"/>
      <c r="W306" s="16"/>
    </row>
    <row r="307" spans="1:27" ht="14.25" customHeight="1" x14ac:dyDescent="0.45">
      <c r="A307" s="401" t="s">
        <v>224</v>
      </c>
      <c r="B307" s="378"/>
      <c r="C307" s="257">
        <v>0</v>
      </c>
      <c r="D307" s="15">
        <v>0</v>
      </c>
      <c r="E307" s="257">
        <v>0</v>
      </c>
      <c r="F307" s="15">
        <v>0</v>
      </c>
      <c r="G307" s="257">
        <v>0</v>
      </c>
      <c r="H307" s="15">
        <v>0</v>
      </c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16"/>
      <c r="U307" s="16"/>
      <c r="V307" s="16"/>
      <c r="W307" s="16"/>
    </row>
    <row r="308" spans="1:27" x14ac:dyDescent="0.45">
      <c r="A308" s="440" t="s">
        <v>225</v>
      </c>
      <c r="B308" s="350"/>
      <c r="C308" s="257">
        <v>0</v>
      </c>
      <c r="D308" s="15">
        <v>0</v>
      </c>
      <c r="E308" s="257">
        <v>0</v>
      </c>
      <c r="F308" s="15">
        <v>0</v>
      </c>
      <c r="G308" s="257">
        <v>0</v>
      </c>
      <c r="H308" s="15">
        <v>0</v>
      </c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16"/>
      <c r="U308" s="16"/>
      <c r="V308" s="16"/>
      <c r="W308" s="16"/>
    </row>
    <row r="309" spans="1:27" x14ac:dyDescent="0.45">
      <c r="A309" s="440" t="s">
        <v>226</v>
      </c>
      <c r="B309" s="350"/>
      <c r="C309" s="257">
        <v>0</v>
      </c>
      <c r="D309" s="15">
        <v>0</v>
      </c>
      <c r="E309" s="257">
        <v>0</v>
      </c>
      <c r="F309" s="15">
        <v>0</v>
      </c>
      <c r="G309" s="257">
        <v>0</v>
      </c>
      <c r="H309" s="15">
        <v>0</v>
      </c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16"/>
      <c r="U309" s="16"/>
      <c r="V309" s="16"/>
      <c r="W309" s="16"/>
    </row>
    <row r="310" spans="1:27" x14ac:dyDescent="0.45">
      <c r="A310" s="376" t="s">
        <v>227</v>
      </c>
      <c r="B310" s="378"/>
      <c r="C310" s="257">
        <v>0</v>
      </c>
      <c r="D310" s="281">
        <v>0</v>
      </c>
      <c r="E310" s="257">
        <v>0</v>
      </c>
      <c r="F310" s="281">
        <v>0</v>
      </c>
      <c r="G310" s="257">
        <v>0</v>
      </c>
      <c r="H310" s="15">
        <v>0</v>
      </c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16"/>
      <c r="U310" s="16"/>
      <c r="V310" s="16"/>
      <c r="W310" s="16"/>
    </row>
    <row r="311" spans="1:27" x14ac:dyDescent="0.45">
      <c r="A311" s="440" t="s">
        <v>228</v>
      </c>
      <c r="B311" s="350"/>
      <c r="C311" s="257">
        <v>0</v>
      </c>
      <c r="D311" s="281">
        <v>0</v>
      </c>
      <c r="E311" s="257">
        <v>0</v>
      </c>
      <c r="F311" s="281">
        <v>0</v>
      </c>
      <c r="G311" s="257">
        <v>0</v>
      </c>
      <c r="H311" s="15">
        <v>0</v>
      </c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16"/>
      <c r="U311" s="16"/>
      <c r="V311" s="16"/>
      <c r="W311" s="16"/>
    </row>
    <row r="312" spans="1:27" ht="15.75" customHeight="1" thickBot="1" x14ac:dyDescent="0.5">
      <c r="A312" s="577" t="s">
        <v>229</v>
      </c>
      <c r="B312" s="373"/>
      <c r="C312" s="302">
        <v>0</v>
      </c>
      <c r="D312" s="303">
        <v>0</v>
      </c>
      <c r="E312" s="302">
        <v>0</v>
      </c>
      <c r="F312" s="303">
        <v>0</v>
      </c>
      <c r="G312" s="302">
        <v>0</v>
      </c>
      <c r="H312" s="304">
        <v>0</v>
      </c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16"/>
      <c r="U312" s="16"/>
      <c r="V312" s="16"/>
      <c r="W312" s="16"/>
    </row>
    <row r="313" spans="1:27" ht="16.5" customHeight="1" thickTop="1" thickBot="1" x14ac:dyDescent="0.5">
      <c r="A313" s="524" t="s">
        <v>11</v>
      </c>
      <c r="B313" s="366"/>
      <c r="C313" s="294">
        <f t="shared" ref="C313:H313" si="10">SUM(C306:C312)</f>
        <v>0</v>
      </c>
      <c r="D313" s="295">
        <f t="shared" si="10"/>
        <v>0</v>
      </c>
      <c r="E313" s="294">
        <f t="shared" si="10"/>
        <v>0</v>
      </c>
      <c r="F313" s="295">
        <f t="shared" si="10"/>
        <v>0</v>
      </c>
      <c r="G313" s="294">
        <f t="shared" si="10"/>
        <v>0</v>
      </c>
      <c r="H313" s="295">
        <f t="shared" si="10"/>
        <v>0</v>
      </c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16"/>
      <c r="U313" s="16"/>
      <c r="V313" s="16"/>
      <c r="W313" s="16"/>
    </row>
    <row r="314" spans="1:27" ht="15.75" customHeight="1" thickTop="1" x14ac:dyDescent="0.45">
      <c r="A314" s="39"/>
      <c r="B314" s="39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71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21"/>
      <c r="Y314" s="21"/>
      <c r="Z314" s="21"/>
      <c r="AA314" s="21"/>
    </row>
    <row r="315" spans="1:27" ht="15.75" customHeight="1" x14ac:dyDescent="0.45">
      <c r="A315" s="405" t="s">
        <v>231</v>
      </c>
      <c r="B315" s="352"/>
      <c r="C315" s="352"/>
      <c r="D315" s="352"/>
      <c r="E315" s="352"/>
      <c r="F315" s="352"/>
      <c r="G315" s="352"/>
      <c r="H315" s="352"/>
      <c r="I315" s="352"/>
      <c r="J315" s="352"/>
      <c r="K315" s="352"/>
      <c r="L315" s="352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16"/>
      <c r="Y315" s="16"/>
      <c r="Z315" s="16"/>
      <c r="AA315" s="16"/>
    </row>
    <row r="316" spans="1:27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16"/>
      <c r="Y316" s="16"/>
      <c r="Z316" s="16"/>
      <c r="AA316" s="16"/>
    </row>
    <row r="317" spans="1:27" x14ac:dyDescent="0.45">
      <c r="A317" s="506" t="s">
        <v>232</v>
      </c>
      <c r="B317" s="352"/>
      <c r="C317" s="352"/>
      <c r="D317" s="352"/>
      <c r="E317" s="352"/>
      <c r="F317" s="352"/>
      <c r="G317" s="34"/>
      <c r="H317" s="34"/>
      <c r="I317" s="34"/>
      <c r="J317" s="34"/>
      <c r="K317" s="34"/>
      <c r="L317" s="34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16"/>
      <c r="Y317" s="16"/>
      <c r="Z317" s="16"/>
      <c r="AA317" s="16"/>
    </row>
    <row r="318" spans="1:27" ht="15.75" customHeight="1" thickBot="1" x14ac:dyDescent="0.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16"/>
      <c r="Y318" s="16"/>
      <c r="Z318" s="16"/>
      <c r="AA318" s="16"/>
    </row>
    <row r="319" spans="1:27" ht="72" customHeight="1" thickTop="1" thickBot="1" x14ac:dyDescent="0.5">
      <c r="A319" s="400" t="s">
        <v>233</v>
      </c>
      <c r="B319" s="381"/>
      <c r="C319" s="505" t="s">
        <v>1594</v>
      </c>
      <c r="D319" s="381"/>
      <c r="E319" s="498" t="s">
        <v>1595</v>
      </c>
      <c r="F319" s="387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16"/>
      <c r="Y319" s="16"/>
      <c r="Z319" s="16"/>
      <c r="AA319" s="16"/>
    </row>
    <row r="320" spans="1:27" ht="16.5" customHeight="1" thickTop="1" thickBot="1" x14ac:dyDescent="0.5">
      <c r="A320" s="479">
        <v>0</v>
      </c>
      <c r="B320" s="450"/>
      <c r="C320" s="436">
        <v>0</v>
      </c>
      <c r="D320" s="364"/>
      <c r="E320" s="583">
        <v>0</v>
      </c>
      <c r="F320" s="473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16"/>
      <c r="Y320" s="16"/>
      <c r="Z320" s="16"/>
      <c r="AA320" s="16"/>
    </row>
    <row r="321" spans="1:27" ht="15.75" customHeight="1" thickTop="1" x14ac:dyDescent="0.45">
      <c r="A321" s="87"/>
      <c r="B321" s="88"/>
      <c r="C321" s="87"/>
      <c r="D321" s="87"/>
      <c r="E321" s="87"/>
      <c r="F321" s="88"/>
      <c r="G321" s="87"/>
      <c r="H321" s="88"/>
      <c r="I321" s="87"/>
      <c r="J321" s="88"/>
      <c r="K321" s="87"/>
      <c r="L321" s="88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16"/>
      <c r="Y321" s="16"/>
      <c r="Z321" s="16"/>
      <c r="AA321" s="16"/>
    </row>
    <row r="322" spans="1:27" x14ac:dyDescent="0.45">
      <c r="A322" s="506" t="s">
        <v>234</v>
      </c>
      <c r="B322" s="352"/>
      <c r="C322" s="352"/>
      <c r="D322" s="352"/>
      <c r="E322" s="352"/>
      <c r="F322" s="352"/>
      <c r="G322" s="352"/>
      <c r="H322" s="352"/>
      <c r="I322" s="352"/>
      <c r="J322" s="352"/>
      <c r="K322" s="352"/>
      <c r="L322" s="352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16"/>
      <c r="Y322" s="16"/>
      <c r="Z322" s="16"/>
      <c r="AA322" s="16"/>
    </row>
    <row r="323" spans="1:27" ht="15.75" customHeight="1" thickBot="1" x14ac:dyDescent="0.5">
      <c r="A323" s="87"/>
      <c r="B323" s="88"/>
      <c r="C323" s="87"/>
      <c r="D323" s="87"/>
      <c r="E323" s="87"/>
      <c r="F323" s="88"/>
      <c r="G323" s="87"/>
      <c r="H323" s="88"/>
      <c r="I323" s="87"/>
      <c r="J323" s="88"/>
      <c r="K323" s="87"/>
      <c r="L323" s="88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16"/>
      <c r="Y323" s="16"/>
      <c r="Z323" s="16"/>
      <c r="AA323" s="16"/>
    </row>
    <row r="324" spans="1:27" ht="15" customHeight="1" thickTop="1" x14ac:dyDescent="0.45">
      <c r="A324" s="571" t="s">
        <v>1596</v>
      </c>
      <c r="B324" s="360"/>
      <c r="C324" s="360"/>
      <c r="D324" s="360"/>
      <c r="E324" s="360"/>
      <c r="F324" s="488"/>
      <c r="G324" s="571" t="s">
        <v>1597</v>
      </c>
      <c r="H324" s="360"/>
      <c r="I324" s="360"/>
      <c r="J324" s="360"/>
      <c r="K324" s="360"/>
      <c r="L324" s="488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16"/>
      <c r="Y324" s="16"/>
      <c r="Z324" s="16"/>
      <c r="AA324" s="16"/>
    </row>
    <row r="325" spans="1:27" ht="82.15" customHeight="1" thickBot="1" x14ac:dyDescent="0.5">
      <c r="A325" s="467" t="s">
        <v>235</v>
      </c>
      <c r="B325" s="366"/>
      <c r="C325" s="365" t="s">
        <v>236</v>
      </c>
      <c r="D325" s="366"/>
      <c r="E325" s="499" t="s">
        <v>237</v>
      </c>
      <c r="F325" s="375"/>
      <c r="G325" s="467" t="s">
        <v>235</v>
      </c>
      <c r="H325" s="366"/>
      <c r="I325" s="365" t="s">
        <v>238</v>
      </c>
      <c r="J325" s="366"/>
      <c r="K325" s="610" t="s">
        <v>239</v>
      </c>
      <c r="L325" s="397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16"/>
      <c r="Y325" s="16"/>
      <c r="Z325" s="16"/>
      <c r="AA325" s="16"/>
    </row>
    <row r="326" spans="1:27" ht="16.5" customHeight="1" thickTop="1" thickBot="1" x14ac:dyDescent="0.5">
      <c r="A326" s="479">
        <v>0</v>
      </c>
      <c r="B326" s="450"/>
      <c r="C326" s="436">
        <v>0</v>
      </c>
      <c r="D326" s="364"/>
      <c r="E326" s="463">
        <v>0</v>
      </c>
      <c r="F326" s="464"/>
      <c r="G326" s="465">
        <v>0</v>
      </c>
      <c r="H326" s="364"/>
      <c r="I326" s="615">
        <v>0</v>
      </c>
      <c r="J326" s="450"/>
      <c r="K326" s="583">
        <v>0</v>
      </c>
      <c r="L326" s="473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16"/>
      <c r="Y326" s="16"/>
      <c r="Z326" s="16"/>
      <c r="AA326" s="16"/>
    </row>
    <row r="327" spans="1:27" ht="15.75" customHeight="1" thickTop="1" x14ac:dyDescent="0.45">
      <c r="A327" s="87"/>
      <c r="B327" s="88"/>
      <c r="C327" s="87"/>
      <c r="D327" s="87"/>
      <c r="E327" s="87"/>
      <c r="F327" s="88"/>
      <c r="G327" s="87"/>
      <c r="H327" s="88"/>
      <c r="I327" s="87"/>
      <c r="J327" s="88"/>
      <c r="K327" s="87"/>
      <c r="L327" s="88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16"/>
      <c r="Y327" s="16"/>
      <c r="Z327" s="16"/>
      <c r="AA327" s="16"/>
    </row>
    <row r="328" spans="1:27" ht="15.75" customHeight="1" x14ac:dyDescent="0.45">
      <c r="A328" s="405" t="s">
        <v>240</v>
      </c>
      <c r="B328" s="352"/>
      <c r="C328" s="352"/>
      <c r="D328" s="352"/>
      <c r="E328" s="352"/>
      <c r="F328" s="352"/>
      <c r="G328" s="352"/>
      <c r="H328" s="352"/>
      <c r="I328" s="352"/>
      <c r="J328" s="352"/>
      <c r="K328" s="352"/>
      <c r="L328" s="352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16"/>
      <c r="Y328" s="16"/>
      <c r="Z328" s="16"/>
      <c r="AA328" s="16"/>
    </row>
    <row r="329" spans="1:27" ht="15.75" customHeight="1" x14ac:dyDescent="0.45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16"/>
      <c r="Y329" s="16"/>
      <c r="Z329" s="16"/>
      <c r="AA329" s="16"/>
    </row>
    <row r="330" spans="1:27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16"/>
      <c r="Y330" s="16"/>
      <c r="Z330" s="16"/>
      <c r="AA330" s="16"/>
    </row>
    <row r="331" spans="1:27" ht="14.65" customHeight="1" x14ac:dyDescent="0.45">
      <c r="A331" s="427" t="s">
        <v>241</v>
      </c>
      <c r="B331" s="352"/>
      <c r="C331" s="352"/>
      <c r="D331" s="352"/>
      <c r="E331" s="352"/>
      <c r="F331" s="352"/>
      <c r="G331" s="352"/>
      <c r="H331" s="352"/>
      <c r="I331" s="352"/>
      <c r="J331" s="352"/>
      <c r="K331" s="352"/>
      <c r="L331" s="352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16"/>
      <c r="Y331" s="16"/>
      <c r="Z331" s="16"/>
      <c r="AA331" s="16"/>
    </row>
    <row r="332" spans="1:27" ht="15.75" customHeight="1" thickBot="1" x14ac:dyDescent="0.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16"/>
      <c r="Y332" s="16"/>
      <c r="Z332" s="16"/>
      <c r="AA332" s="16"/>
    </row>
    <row r="333" spans="1:27" ht="15.75" customHeight="1" thickTop="1" x14ac:dyDescent="0.45">
      <c r="A333" s="579" t="s">
        <v>242</v>
      </c>
      <c r="B333" s="360"/>
      <c r="C333" s="360"/>
      <c r="D333" s="360"/>
      <c r="E333" s="360"/>
      <c r="F333" s="360"/>
      <c r="G333" s="360"/>
      <c r="H333" s="360"/>
      <c r="I333" s="360"/>
      <c r="J333" s="360"/>
      <c r="K333" s="360"/>
      <c r="L333" s="488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16"/>
      <c r="Y333" s="16"/>
      <c r="Z333" s="16"/>
      <c r="AA333" s="16"/>
    </row>
    <row r="334" spans="1:27" ht="51" customHeight="1" thickBot="1" x14ac:dyDescent="0.5">
      <c r="A334" s="611" t="s">
        <v>243</v>
      </c>
      <c r="B334" s="366"/>
      <c r="C334" s="576" t="s">
        <v>244</v>
      </c>
      <c r="D334" s="366"/>
      <c r="E334" s="576" t="s">
        <v>245</v>
      </c>
      <c r="F334" s="366"/>
      <c r="G334" s="605" t="s">
        <v>246</v>
      </c>
      <c r="H334" s="375"/>
      <c r="I334" s="375"/>
      <c r="J334" s="366"/>
      <c r="K334" s="574" t="s">
        <v>11</v>
      </c>
      <c r="L334" s="366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16"/>
      <c r="Y334" s="16"/>
      <c r="Z334" s="16"/>
      <c r="AA334" s="16"/>
    </row>
    <row r="335" spans="1:27" ht="16.5" customHeight="1" thickTop="1" thickBot="1" x14ac:dyDescent="0.5">
      <c r="A335" s="449">
        <v>0</v>
      </c>
      <c r="B335" s="450"/>
      <c r="C335" s="489">
        <v>0</v>
      </c>
      <c r="D335" s="364"/>
      <c r="E335" s="586">
        <v>0</v>
      </c>
      <c r="F335" s="450"/>
      <c r="G335" s="472">
        <v>0</v>
      </c>
      <c r="H335" s="464"/>
      <c r="I335" s="464"/>
      <c r="J335" s="473"/>
      <c r="K335" s="527">
        <f>SUM(A335:J335)</f>
        <v>0</v>
      </c>
      <c r="L335" s="397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16"/>
      <c r="Y335" s="16"/>
      <c r="Z335" s="16"/>
      <c r="AA335" s="16"/>
    </row>
    <row r="336" spans="1:27" ht="15.75" customHeight="1" thickTop="1" x14ac:dyDescent="0.45">
      <c r="A336" s="27"/>
      <c r="B336" s="90"/>
      <c r="C336" s="27"/>
      <c r="D336" s="27"/>
      <c r="E336" s="27"/>
      <c r="F336" s="90"/>
      <c r="G336" s="27"/>
      <c r="H336" s="90"/>
      <c r="I336" s="90"/>
      <c r="J336" s="90"/>
      <c r="K336" s="27"/>
      <c r="L336" s="90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16"/>
      <c r="Y336" s="16"/>
      <c r="Z336" s="16"/>
      <c r="AA336" s="16"/>
    </row>
    <row r="337" spans="1:27" x14ac:dyDescent="0.45">
      <c r="A337" s="427" t="s">
        <v>247</v>
      </c>
      <c r="B337" s="352"/>
      <c r="C337" s="352"/>
      <c r="D337" s="352"/>
      <c r="E337" s="352"/>
      <c r="F337" s="352"/>
      <c r="G337" s="352"/>
      <c r="H337" s="352"/>
      <c r="I337" s="27"/>
      <c r="J337" s="90"/>
      <c r="K337" s="27"/>
      <c r="L337" s="90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16"/>
      <c r="Y337" s="16"/>
      <c r="Z337" s="16"/>
      <c r="AA337" s="16"/>
    </row>
    <row r="338" spans="1:27" ht="15.75" customHeight="1" thickBot="1" x14ac:dyDescent="0.5">
      <c r="A338" s="65"/>
      <c r="B338" s="27"/>
      <c r="C338" s="27"/>
      <c r="D338" s="27"/>
      <c r="E338" s="27"/>
      <c r="F338" s="90"/>
      <c r="G338" s="27"/>
      <c r="H338" s="27"/>
      <c r="I338" s="27"/>
      <c r="J338" s="90"/>
      <c r="K338" s="27"/>
      <c r="L338" s="90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16"/>
      <c r="Y338" s="16"/>
      <c r="Z338" s="16"/>
      <c r="AA338" s="16"/>
    </row>
    <row r="339" spans="1:27" ht="32.25" customHeight="1" thickTop="1" thickBot="1" x14ac:dyDescent="0.5">
      <c r="A339" s="526" t="s">
        <v>248</v>
      </c>
      <c r="B339" s="380"/>
      <c r="C339" s="387"/>
      <c r="D339" s="27"/>
      <c r="E339" s="27"/>
      <c r="F339" s="90"/>
      <c r="G339" s="27"/>
      <c r="H339" s="27"/>
      <c r="I339" s="27"/>
      <c r="J339" s="90"/>
      <c r="K339" s="27"/>
      <c r="L339" s="90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16"/>
      <c r="Y339" s="16"/>
      <c r="Z339" s="16"/>
      <c r="AA339" s="16"/>
    </row>
    <row r="340" spans="1:27" ht="16.5" customHeight="1" thickTop="1" thickBot="1" x14ac:dyDescent="0.5">
      <c r="A340" s="398">
        <v>0</v>
      </c>
      <c r="B340" s="363"/>
      <c r="C340" s="399"/>
      <c r="D340" s="90"/>
      <c r="E340" s="27"/>
      <c r="F340" s="90"/>
      <c r="G340" s="27"/>
      <c r="H340" s="27"/>
      <c r="I340" s="27"/>
      <c r="J340" s="90"/>
      <c r="K340" s="27"/>
      <c r="L340" s="90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16"/>
      <c r="Y340" s="16"/>
      <c r="Z340" s="16"/>
      <c r="AA340" s="16"/>
    </row>
    <row r="341" spans="1:27" ht="15.75" customHeight="1" thickTop="1" x14ac:dyDescent="0.45"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16"/>
      <c r="Y341" s="16"/>
      <c r="Z341" s="16"/>
      <c r="AA341" s="16"/>
    </row>
    <row r="342" spans="1:27" ht="15.75" customHeight="1" x14ac:dyDescent="0.45">
      <c r="A342" s="405" t="s">
        <v>249</v>
      </c>
      <c r="B342" s="352"/>
      <c r="C342" s="352"/>
      <c r="D342" s="352"/>
      <c r="E342" s="352"/>
      <c r="F342" s="352"/>
      <c r="G342" s="352"/>
      <c r="H342" s="352"/>
      <c r="I342" s="352"/>
      <c r="J342" s="352"/>
      <c r="K342" s="352"/>
      <c r="L342" s="352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16"/>
      <c r="Y342" s="16"/>
      <c r="Z342" s="16"/>
      <c r="AA342" s="16"/>
    </row>
    <row r="343" spans="1:27" x14ac:dyDescent="0.45"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16"/>
      <c r="Y343" s="16"/>
      <c r="Z343" s="16"/>
      <c r="AA343" s="16"/>
    </row>
    <row r="344" spans="1:27" x14ac:dyDescent="0.45">
      <c r="A344" s="437" t="s">
        <v>250</v>
      </c>
      <c r="B344" s="352"/>
      <c r="C344" s="352"/>
      <c r="D344" s="352"/>
      <c r="E344" s="352"/>
      <c r="F344" s="352"/>
      <c r="G344" s="352"/>
      <c r="H344" s="352"/>
      <c r="I344" s="352"/>
      <c r="J344" s="352"/>
      <c r="K344" s="352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16"/>
      <c r="Y344" s="16"/>
      <c r="Z344" s="16"/>
      <c r="AA344" s="16"/>
    </row>
    <row r="345" spans="1:27" ht="15.75" customHeight="1" thickBot="1" x14ac:dyDescent="0.5"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16"/>
      <c r="Y345" s="16"/>
      <c r="Z345" s="16"/>
      <c r="AA345" s="16"/>
    </row>
    <row r="346" spans="1:27" ht="16.5" customHeight="1" thickTop="1" thickBot="1" x14ac:dyDescent="0.5">
      <c r="A346" s="616" t="s">
        <v>251</v>
      </c>
      <c r="B346" s="380"/>
      <c r="C346" s="380"/>
      <c r="D346" s="380"/>
      <c r="E346" s="380"/>
      <c r="F346" s="380"/>
      <c r="G346" s="387"/>
      <c r="H346" s="608" t="s">
        <v>199</v>
      </c>
      <c r="I346" s="380"/>
      <c r="J346" s="380"/>
      <c r="K346" s="38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16"/>
      <c r="Y346" s="16"/>
      <c r="Z346" s="16"/>
      <c r="AA346" s="16"/>
    </row>
    <row r="347" spans="1:27" ht="15.75" customHeight="1" thickTop="1" x14ac:dyDescent="0.45">
      <c r="A347" s="487" t="s">
        <v>252</v>
      </c>
      <c r="B347" s="360"/>
      <c r="C347" s="360"/>
      <c r="D347" s="360"/>
      <c r="E347" s="360"/>
      <c r="F347" s="360"/>
      <c r="G347" s="488"/>
      <c r="H347" s="585">
        <v>0</v>
      </c>
      <c r="I347" s="475"/>
      <c r="J347" s="475"/>
      <c r="K347" s="446"/>
      <c r="M347" s="83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16"/>
      <c r="Y347" s="16"/>
      <c r="Z347" s="16"/>
      <c r="AA347" s="16"/>
    </row>
    <row r="348" spans="1:27" x14ac:dyDescent="0.45">
      <c r="A348" s="376" t="s">
        <v>253</v>
      </c>
      <c r="B348" s="377"/>
      <c r="C348" s="377"/>
      <c r="D348" s="377"/>
      <c r="E348" s="377"/>
      <c r="F348" s="377"/>
      <c r="G348" s="378"/>
      <c r="H348" s="671">
        <v>0</v>
      </c>
      <c r="I348" s="356"/>
      <c r="J348" s="356"/>
      <c r="K348" s="357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16"/>
      <c r="Y348" s="16"/>
      <c r="Z348" s="16"/>
      <c r="AA348" s="16"/>
    </row>
    <row r="349" spans="1:27" ht="15.75" customHeight="1" thickBot="1" x14ac:dyDescent="0.5">
      <c r="A349" s="376" t="s">
        <v>254</v>
      </c>
      <c r="B349" s="377"/>
      <c r="C349" s="377"/>
      <c r="D349" s="377"/>
      <c r="E349" s="377"/>
      <c r="F349" s="377"/>
      <c r="G349" s="378"/>
      <c r="H349" s="384">
        <f>SUM(F350:G351)</f>
        <v>0</v>
      </c>
      <c r="I349" s="377"/>
      <c r="J349" s="377"/>
      <c r="K349" s="350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16"/>
      <c r="Y349" s="16"/>
      <c r="Z349" s="16"/>
      <c r="AA349" s="16"/>
    </row>
    <row r="350" spans="1:27" ht="14.25" customHeight="1" thickTop="1" thickBot="1" x14ac:dyDescent="0.5">
      <c r="A350" s="609" t="s">
        <v>255</v>
      </c>
      <c r="B350" s="421"/>
      <c r="C350" s="421"/>
      <c r="D350" s="421"/>
      <c r="E350" s="421"/>
      <c r="F350" s="670">
        <v>0</v>
      </c>
      <c r="G350" s="424"/>
      <c r="H350" s="480"/>
      <c r="I350" s="352"/>
      <c r="J350" s="352"/>
      <c r="K350" s="48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16"/>
      <c r="Y350" s="16"/>
      <c r="Z350" s="16"/>
      <c r="AA350" s="16"/>
    </row>
    <row r="351" spans="1:27" ht="15.75" customHeight="1" thickTop="1" thickBot="1" x14ac:dyDescent="0.5">
      <c r="A351" s="551" t="s">
        <v>256</v>
      </c>
      <c r="B351" s="372"/>
      <c r="C351" s="372"/>
      <c r="D351" s="372"/>
      <c r="E351" s="372"/>
      <c r="F351" s="581">
        <v>0</v>
      </c>
      <c r="G351" s="348"/>
      <c r="H351" s="375"/>
      <c r="I351" s="375"/>
      <c r="J351" s="375"/>
      <c r="K351" s="397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16"/>
      <c r="Y351" s="16"/>
      <c r="Z351" s="16"/>
      <c r="AA351" s="16"/>
    </row>
    <row r="352" spans="1:27" ht="16.5" customHeight="1" thickTop="1" thickBot="1" x14ac:dyDescent="0.5">
      <c r="A352" s="554" t="s">
        <v>11</v>
      </c>
      <c r="B352" s="380"/>
      <c r="C352" s="380"/>
      <c r="D352" s="380"/>
      <c r="E352" s="380"/>
      <c r="F352" s="380"/>
      <c r="G352" s="380"/>
      <c r="H352" s="478">
        <f>SUM(H347:K349)</f>
        <v>0</v>
      </c>
      <c r="I352" s="380"/>
      <c r="J352" s="380"/>
      <c r="K352" s="38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16"/>
      <c r="Y352" s="16"/>
      <c r="Z352" s="16"/>
      <c r="AA352" s="16"/>
    </row>
    <row r="353" spans="1:27" ht="15.75" customHeight="1" thickTop="1" x14ac:dyDescent="0.45"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16"/>
      <c r="Y353" s="16"/>
      <c r="Z353" s="16"/>
      <c r="AA353" s="16"/>
    </row>
    <row r="354" spans="1:27" x14ac:dyDescent="0.45">
      <c r="A354" s="468" t="s">
        <v>257</v>
      </c>
      <c r="B354" s="352"/>
      <c r="C354" s="352"/>
      <c r="D354" s="352"/>
      <c r="E354" s="352"/>
      <c r="F354" s="352"/>
      <c r="G354" s="352"/>
      <c r="H354" s="352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16"/>
      <c r="Y354" s="16"/>
      <c r="Z354" s="16"/>
      <c r="AA354" s="16"/>
    </row>
    <row r="355" spans="1:27" ht="15.75" customHeight="1" thickBot="1" x14ac:dyDescent="0.5"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16"/>
      <c r="Y355" s="16"/>
      <c r="Z355" s="16"/>
      <c r="AA355" s="16"/>
    </row>
    <row r="356" spans="1:27" ht="43.5" customHeight="1" thickTop="1" thickBot="1" x14ac:dyDescent="0.5">
      <c r="A356" s="546" t="s">
        <v>258</v>
      </c>
      <c r="B356" s="380"/>
      <c r="C356" s="380"/>
      <c r="D356" s="380"/>
      <c r="E356" s="380"/>
      <c r="F356" s="482" t="s">
        <v>259</v>
      </c>
      <c r="G356" s="394"/>
      <c r="H356" s="453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16"/>
      <c r="Y356" s="16"/>
      <c r="Z356" s="16"/>
      <c r="AA356" s="16"/>
    </row>
    <row r="357" spans="1:27" ht="15.75" customHeight="1" thickTop="1" x14ac:dyDescent="0.45">
      <c r="A357" s="623" t="s">
        <v>260</v>
      </c>
      <c r="B357" s="360"/>
      <c r="C357" s="360"/>
      <c r="D357" s="360"/>
      <c r="E357" s="360"/>
      <c r="F357" s="572">
        <v>0</v>
      </c>
      <c r="G357" s="369"/>
      <c r="H357" s="370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16"/>
      <c r="Y357" s="16"/>
      <c r="Z357" s="16"/>
      <c r="AA357" s="16"/>
    </row>
    <row r="358" spans="1:27" x14ac:dyDescent="0.45">
      <c r="A358" s="592" t="s">
        <v>261</v>
      </c>
      <c r="B358" s="377"/>
      <c r="C358" s="377"/>
      <c r="D358" s="377"/>
      <c r="E358" s="377"/>
      <c r="F358" s="573">
        <v>0</v>
      </c>
      <c r="G358" s="356"/>
      <c r="H358" s="39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16"/>
      <c r="Y358" s="16"/>
      <c r="Z358" s="16"/>
      <c r="AA358" s="16"/>
    </row>
    <row r="359" spans="1:27" x14ac:dyDescent="0.45">
      <c r="A359" s="592" t="s">
        <v>262</v>
      </c>
      <c r="B359" s="377"/>
      <c r="C359" s="377"/>
      <c r="D359" s="377"/>
      <c r="E359" s="377"/>
      <c r="F359" s="573">
        <v>0</v>
      </c>
      <c r="G359" s="356"/>
      <c r="H359" s="39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16"/>
      <c r="Y359" s="16"/>
      <c r="Z359" s="16"/>
      <c r="AA359" s="16"/>
    </row>
    <row r="360" spans="1:27" x14ac:dyDescent="0.45">
      <c r="A360" s="592" t="s">
        <v>263</v>
      </c>
      <c r="B360" s="377"/>
      <c r="C360" s="377"/>
      <c r="D360" s="377"/>
      <c r="E360" s="377"/>
      <c r="F360" s="573">
        <v>0</v>
      </c>
      <c r="G360" s="356"/>
      <c r="H360" s="39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16"/>
      <c r="Y360" s="16"/>
      <c r="Z360" s="16"/>
      <c r="AA360" s="16"/>
    </row>
    <row r="361" spans="1:27" ht="15.75" customHeight="1" thickBot="1" x14ac:dyDescent="0.5">
      <c r="A361" s="552" t="s">
        <v>264</v>
      </c>
      <c r="B361" s="372"/>
      <c r="C361" s="372"/>
      <c r="D361" s="372"/>
      <c r="E361" s="372"/>
      <c r="F361" s="543">
        <v>0</v>
      </c>
      <c r="G361" s="544"/>
      <c r="H361" s="545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16"/>
      <c r="Y361" s="16"/>
      <c r="Z361" s="16"/>
      <c r="AA361" s="16"/>
    </row>
    <row r="362" spans="1:27" ht="16.5" customHeight="1" thickTop="1" thickBot="1" x14ac:dyDescent="0.5">
      <c r="A362" s="554" t="s">
        <v>11</v>
      </c>
      <c r="B362" s="380"/>
      <c r="C362" s="380"/>
      <c r="D362" s="380"/>
      <c r="E362" s="380"/>
      <c r="F362" s="461">
        <f>SUM(F357:H361)</f>
        <v>0</v>
      </c>
      <c r="G362" s="380"/>
      <c r="H362" s="38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16"/>
      <c r="Y362" s="16"/>
      <c r="Z362" s="16"/>
      <c r="AA362" s="16"/>
    </row>
    <row r="363" spans="1:27" ht="15.75" customHeight="1" thickTop="1" x14ac:dyDescent="0.45">
      <c r="A363" s="135" t="s">
        <v>265</v>
      </c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</row>
    <row r="364" spans="1:27" x14ac:dyDescent="0.45"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</row>
    <row r="365" spans="1:27" x14ac:dyDescent="0.45"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</row>
    <row r="366" spans="1:27" x14ac:dyDescent="0.45"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</row>
    <row r="367" spans="1:27" x14ac:dyDescent="0.45"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</row>
    <row r="368" spans="1:27" x14ac:dyDescent="0.45"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</row>
    <row r="369" spans="13:23" x14ac:dyDescent="0.45"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</row>
    <row r="370" spans="13:23" x14ac:dyDescent="0.45"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</row>
    <row r="371" spans="13:23" x14ac:dyDescent="0.45"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</row>
    <row r="372" spans="13:23" x14ac:dyDescent="0.45"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</row>
    <row r="373" spans="13:23" x14ac:dyDescent="0.45"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</row>
    <row r="374" spans="13:23" x14ac:dyDescent="0.45"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</row>
    <row r="375" spans="13:23" x14ac:dyDescent="0.45"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</row>
    <row r="376" spans="13:23" x14ac:dyDescent="0.45"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</row>
    <row r="377" spans="13:23" x14ac:dyDescent="0.45"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</row>
    <row r="378" spans="13:23" x14ac:dyDescent="0.45"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</row>
    <row r="379" spans="13:23" x14ac:dyDescent="0.45"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</row>
    <row r="380" spans="13:23" x14ac:dyDescent="0.45"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</row>
    <row r="381" spans="13:23" x14ac:dyDescent="0.45"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</row>
    <row r="382" spans="13:23" x14ac:dyDescent="0.45"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</row>
    <row r="383" spans="13:23" x14ac:dyDescent="0.45"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</row>
    <row r="384" spans="13:23" x14ac:dyDescent="0.45"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</row>
    <row r="385" spans="6:23" x14ac:dyDescent="0.45"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</row>
    <row r="386" spans="6:23" x14ac:dyDescent="0.45">
      <c r="F386" s="578"/>
      <c r="G386" s="35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</row>
    <row r="387" spans="6:23" x14ac:dyDescent="0.45"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</row>
    <row r="388" spans="6:23" x14ac:dyDescent="0.45"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</row>
    <row r="389" spans="6:23" x14ac:dyDescent="0.45"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</row>
    <row r="390" spans="6:23" x14ac:dyDescent="0.45"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</row>
    <row r="391" spans="6:23" x14ac:dyDescent="0.45"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</row>
  </sheetData>
  <sheetProtection algorithmName="SHA-512" hashValue="AUGIkt4awIbQzLCcKe/GHq1dUGjHuZ6CgvBhv+bpuE3gU8+G1k+BxcN/2LafTiTAojoLLXNYlUda4DiRftD9cg==" saltValue="RW+DUQ8agm1zkLE5QC1GyQ==" spinCount="100000" sheet="1" selectLockedCells="1"/>
  <mergeCells count="673">
    <mergeCell ref="A15:G15"/>
    <mergeCell ref="A43:F43"/>
    <mergeCell ref="D104:E104"/>
    <mergeCell ref="A108:B108"/>
    <mergeCell ref="C246:D246"/>
    <mergeCell ref="E182:F182"/>
    <mergeCell ref="G237:H237"/>
    <mergeCell ref="A202:D202"/>
    <mergeCell ref="G182:H182"/>
    <mergeCell ref="G43:J43"/>
    <mergeCell ref="A48:J48"/>
    <mergeCell ref="A53:F53"/>
    <mergeCell ref="G101:H101"/>
    <mergeCell ref="A74:G74"/>
    <mergeCell ref="G41:J41"/>
    <mergeCell ref="G160:I160"/>
    <mergeCell ref="A206:C206"/>
    <mergeCell ref="E123:F123"/>
    <mergeCell ref="I184:J184"/>
    <mergeCell ref="I178:J178"/>
    <mergeCell ref="A178:B178"/>
    <mergeCell ref="E127:F127"/>
    <mergeCell ref="G127:H127"/>
    <mergeCell ref="G208:I208"/>
    <mergeCell ref="E239:F239"/>
    <mergeCell ref="G239:H239"/>
    <mergeCell ref="F358:H358"/>
    <mergeCell ref="A185:B185"/>
    <mergeCell ref="C185:D185"/>
    <mergeCell ref="F350:G350"/>
    <mergeCell ref="G233:J233"/>
    <mergeCell ref="E185:F185"/>
    <mergeCell ref="A208:C208"/>
    <mergeCell ref="G221:H221"/>
    <mergeCell ref="A324:F324"/>
    <mergeCell ref="H348:K348"/>
    <mergeCell ref="A275:L275"/>
    <mergeCell ref="G220:J220"/>
    <mergeCell ref="K222:L222"/>
    <mergeCell ref="E225:F225"/>
    <mergeCell ref="A243:L243"/>
    <mergeCell ref="G256:H256"/>
    <mergeCell ref="K202:L202"/>
    <mergeCell ref="I238:J238"/>
    <mergeCell ref="K238:L238"/>
    <mergeCell ref="A186:B186"/>
    <mergeCell ref="A228:D228"/>
    <mergeCell ref="G206:I206"/>
    <mergeCell ref="E180:F180"/>
    <mergeCell ref="G38:J38"/>
    <mergeCell ref="A22:F22"/>
    <mergeCell ref="A21:F21"/>
    <mergeCell ref="F8:G8"/>
    <mergeCell ref="I126:J126"/>
    <mergeCell ref="G173:H173"/>
    <mergeCell ref="A60:H60"/>
    <mergeCell ref="A14:G14"/>
    <mergeCell ref="A41:F41"/>
    <mergeCell ref="A42:F42"/>
    <mergeCell ref="A75:G75"/>
    <mergeCell ref="H76:K76"/>
    <mergeCell ref="A77:G77"/>
    <mergeCell ref="A51:G51"/>
    <mergeCell ref="A153:B153"/>
    <mergeCell ref="D116:E116"/>
    <mergeCell ref="A139:L139"/>
    <mergeCell ref="H21:J22"/>
    <mergeCell ref="A10:L10"/>
    <mergeCell ref="G107:H107"/>
    <mergeCell ref="H16:J17"/>
    <mergeCell ref="A17:F17"/>
    <mergeCell ref="A32:F32"/>
    <mergeCell ref="H18:J18"/>
    <mergeCell ref="H55:J55"/>
    <mergeCell ref="I122:J122"/>
    <mergeCell ref="K122:L122"/>
    <mergeCell ref="H79:K79"/>
    <mergeCell ref="G112:H112"/>
    <mergeCell ref="A20:G20"/>
    <mergeCell ref="A93:D93"/>
    <mergeCell ref="A37:F37"/>
    <mergeCell ref="K21:Q22"/>
    <mergeCell ref="M96:V97"/>
    <mergeCell ref="H49:J49"/>
    <mergeCell ref="L78:P79"/>
    <mergeCell ref="A115:B115"/>
    <mergeCell ref="A102:B102"/>
    <mergeCell ref="D111:E111"/>
    <mergeCell ref="J101:K101"/>
    <mergeCell ref="M134:S134"/>
    <mergeCell ref="A88:D88"/>
    <mergeCell ref="C179:D179"/>
    <mergeCell ref="M133:S133"/>
    <mergeCell ref="A113:B113"/>
    <mergeCell ref="D105:E105"/>
    <mergeCell ref="G102:H102"/>
    <mergeCell ref="D106:E106"/>
    <mergeCell ref="D165:E166"/>
    <mergeCell ref="C165:C166"/>
    <mergeCell ref="C178:D178"/>
    <mergeCell ref="D103:E103"/>
    <mergeCell ref="A176:J176"/>
    <mergeCell ref="M130:M131"/>
    <mergeCell ref="A160:C160"/>
    <mergeCell ref="G178:H178"/>
    <mergeCell ref="C134:D134"/>
    <mergeCell ref="M132:S132"/>
    <mergeCell ref="I125:J125"/>
    <mergeCell ref="M137:S137"/>
    <mergeCell ref="M135:S135"/>
    <mergeCell ref="C133:G133"/>
    <mergeCell ref="A239:D239"/>
    <mergeCell ref="A190:L190"/>
    <mergeCell ref="G42:J42"/>
    <mergeCell ref="H72:K72"/>
    <mergeCell ref="D207:F207"/>
    <mergeCell ref="H78:K78"/>
    <mergeCell ref="D102:E102"/>
    <mergeCell ref="G103:H103"/>
    <mergeCell ref="D173:E173"/>
    <mergeCell ref="A103:B103"/>
    <mergeCell ref="K127:L127"/>
    <mergeCell ref="A142:C142"/>
    <mergeCell ref="D101:E101"/>
    <mergeCell ref="A167:B167"/>
    <mergeCell ref="J106:K106"/>
    <mergeCell ref="A207:C207"/>
    <mergeCell ref="E195:L195"/>
    <mergeCell ref="A210:C210"/>
    <mergeCell ref="D214:F214"/>
    <mergeCell ref="J105:K105"/>
    <mergeCell ref="D174:E174"/>
    <mergeCell ref="A96:D96"/>
    <mergeCell ref="A171:B171"/>
    <mergeCell ref="G236:H236"/>
    <mergeCell ref="K224:L224"/>
    <mergeCell ref="K126:L126"/>
    <mergeCell ref="I221:J221"/>
    <mergeCell ref="J113:K113"/>
    <mergeCell ref="C182:D182"/>
    <mergeCell ref="A85:D86"/>
    <mergeCell ref="I237:J237"/>
    <mergeCell ref="J102:K102"/>
    <mergeCell ref="J214:L214"/>
    <mergeCell ref="A220:D221"/>
    <mergeCell ref="A170:B170"/>
    <mergeCell ref="E194:F194"/>
    <mergeCell ref="D168:E168"/>
    <mergeCell ref="A101:B101"/>
    <mergeCell ref="K123:L123"/>
    <mergeCell ref="A172:B172"/>
    <mergeCell ref="A155:B155"/>
    <mergeCell ref="G224:H224"/>
    <mergeCell ref="A198:L198"/>
    <mergeCell ref="E192:F193"/>
    <mergeCell ref="A209:C209"/>
    <mergeCell ref="D167:E167"/>
    <mergeCell ref="G180:H180"/>
    <mergeCell ref="I182:J182"/>
    <mergeCell ref="A360:E360"/>
    <mergeCell ref="I326:J326"/>
    <mergeCell ref="A346:G346"/>
    <mergeCell ref="A27:F27"/>
    <mergeCell ref="A152:B152"/>
    <mergeCell ref="F249:G249"/>
    <mergeCell ref="C326:D326"/>
    <mergeCell ref="G212:I212"/>
    <mergeCell ref="A212:C212"/>
    <mergeCell ref="A76:G76"/>
    <mergeCell ref="J100:K100"/>
    <mergeCell ref="D141:F141"/>
    <mergeCell ref="K129:L129"/>
    <mergeCell ref="C184:D184"/>
    <mergeCell ref="A270:D270"/>
    <mergeCell ref="G33:J33"/>
    <mergeCell ref="K261:L261"/>
    <mergeCell ref="A322:L322"/>
    <mergeCell ref="I128:J128"/>
    <mergeCell ref="I229:J229"/>
    <mergeCell ref="G201:H201"/>
    <mergeCell ref="G32:J32"/>
    <mergeCell ref="A357:E357"/>
    <mergeCell ref="A150:B150"/>
    <mergeCell ref="A358:E358"/>
    <mergeCell ref="H346:K346"/>
    <mergeCell ref="K229:L229"/>
    <mergeCell ref="A354:H354"/>
    <mergeCell ref="C248:D248"/>
    <mergeCell ref="E223:F223"/>
    <mergeCell ref="A350:E350"/>
    <mergeCell ref="G223:H223"/>
    <mergeCell ref="K325:L325"/>
    <mergeCell ref="A268:D268"/>
    <mergeCell ref="I261:J261"/>
    <mergeCell ref="A334:B334"/>
    <mergeCell ref="A326:B326"/>
    <mergeCell ref="I239:J239"/>
    <mergeCell ref="A313:B313"/>
    <mergeCell ref="K239:L239"/>
    <mergeCell ref="I245:K245"/>
    <mergeCell ref="A273:D273"/>
    <mergeCell ref="C304:D304"/>
    <mergeCell ref="I258:J258"/>
    <mergeCell ref="K258:L258"/>
    <mergeCell ref="C249:D249"/>
    <mergeCell ref="A317:F317"/>
    <mergeCell ref="E255:F255"/>
    <mergeCell ref="F386:G386"/>
    <mergeCell ref="I183:J183"/>
    <mergeCell ref="A105:B105"/>
    <mergeCell ref="I247:J247"/>
    <mergeCell ref="A73:G73"/>
    <mergeCell ref="G334:J334"/>
    <mergeCell ref="C245:E245"/>
    <mergeCell ref="J207:L207"/>
    <mergeCell ref="K240:L240"/>
    <mergeCell ref="A347:G347"/>
    <mergeCell ref="C181:D181"/>
    <mergeCell ref="E181:F181"/>
    <mergeCell ref="K255:L255"/>
    <mergeCell ref="J109:K109"/>
    <mergeCell ref="A362:E362"/>
    <mergeCell ref="E291:F291"/>
    <mergeCell ref="J211:L211"/>
    <mergeCell ref="D211:F211"/>
    <mergeCell ref="A308:B308"/>
    <mergeCell ref="J212:L212"/>
    <mergeCell ref="K260:L260"/>
    <mergeCell ref="K235:L235"/>
    <mergeCell ref="K226:L226"/>
    <mergeCell ref="A298:B298"/>
    <mergeCell ref="A348:G348"/>
    <mergeCell ref="A359:E359"/>
    <mergeCell ref="K223:L223"/>
    <mergeCell ref="H14:J14"/>
    <mergeCell ref="A124:B124"/>
    <mergeCell ref="A54:G54"/>
    <mergeCell ref="I260:J260"/>
    <mergeCell ref="A118:B118"/>
    <mergeCell ref="A56:G56"/>
    <mergeCell ref="G128:H128"/>
    <mergeCell ref="A280:D280"/>
    <mergeCell ref="E227:F227"/>
    <mergeCell ref="H52:J53"/>
    <mergeCell ref="I202:J202"/>
    <mergeCell ref="A241:D241"/>
    <mergeCell ref="I246:J246"/>
    <mergeCell ref="A227:D227"/>
    <mergeCell ref="A116:B116"/>
    <mergeCell ref="I225:J225"/>
    <mergeCell ref="A128:B128"/>
    <mergeCell ref="A122:B122"/>
    <mergeCell ref="C122:D122"/>
    <mergeCell ref="F246:G246"/>
    <mergeCell ref="J213:L213"/>
    <mergeCell ref="H347:K347"/>
    <mergeCell ref="D208:F208"/>
    <mergeCell ref="E304:F304"/>
    <mergeCell ref="F360:H360"/>
    <mergeCell ref="E259:F259"/>
    <mergeCell ref="G114:H114"/>
    <mergeCell ref="A307:B307"/>
    <mergeCell ref="G257:H257"/>
    <mergeCell ref="A141:C141"/>
    <mergeCell ref="D169:E169"/>
    <mergeCell ref="A133:B134"/>
    <mergeCell ref="A300:B300"/>
    <mergeCell ref="A311:B311"/>
    <mergeCell ref="E335:F335"/>
    <mergeCell ref="G147:H147"/>
    <mergeCell ref="A125:B125"/>
    <mergeCell ref="A154:B154"/>
    <mergeCell ref="D170:E170"/>
    <mergeCell ref="A174:B174"/>
    <mergeCell ref="C123:D123"/>
    <mergeCell ref="A129:B129"/>
    <mergeCell ref="A144:L145"/>
    <mergeCell ref="G179:H179"/>
    <mergeCell ref="K326:L326"/>
    <mergeCell ref="A211:C211"/>
    <mergeCell ref="A58:H58"/>
    <mergeCell ref="A271:D271"/>
    <mergeCell ref="G111:H111"/>
    <mergeCell ref="C147:D147"/>
    <mergeCell ref="E184:F184"/>
    <mergeCell ref="A90:D90"/>
    <mergeCell ref="G184:H184"/>
    <mergeCell ref="E320:F320"/>
    <mergeCell ref="G104:H104"/>
    <mergeCell ref="D108:E108"/>
    <mergeCell ref="C66:D66"/>
    <mergeCell ref="G109:H109"/>
    <mergeCell ref="A109:B109"/>
    <mergeCell ref="A218:L218"/>
    <mergeCell ref="A226:D226"/>
    <mergeCell ref="A120:L120"/>
    <mergeCell ref="H133:I134"/>
    <mergeCell ref="G142:I142"/>
    <mergeCell ref="C129:D129"/>
    <mergeCell ref="E238:F238"/>
    <mergeCell ref="G238:H238"/>
    <mergeCell ref="C127:D127"/>
    <mergeCell ref="H74:K74"/>
    <mergeCell ref="G225:H225"/>
    <mergeCell ref="C325:D325"/>
    <mergeCell ref="F357:H357"/>
    <mergeCell ref="F359:H359"/>
    <mergeCell ref="A272:D272"/>
    <mergeCell ref="G241:H241"/>
    <mergeCell ref="I241:J241"/>
    <mergeCell ref="K334:L334"/>
    <mergeCell ref="I236:J236"/>
    <mergeCell ref="A310:B310"/>
    <mergeCell ref="C334:D334"/>
    <mergeCell ref="A256:D256"/>
    <mergeCell ref="A299:B299"/>
    <mergeCell ref="I235:J235"/>
    <mergeCell ref="F230:G230"/>
    <mergeCell ref="K236:L236"/>
    <mergeCell ref="G226:H226"/>
    <mergeCell ref="I226:J226"/>
    <mergeCell ref="A349:G349"/>
    <mergeCell ref="A333:L333"/>
    <mergeCell ref="A312:B312"/>
    <mergeCell ref="I249:J249"/>
    <mergeCell ref="A249:B249"/>
    <mergeCell ref="F351:G351"/>
    <mergeCell ref="A8:E8"/>
    <mergeCell ref="E228:F228"/>
    <mergeCell ref="G228:H228"/>
    <mergeCell ref="D113:E113"/>
    <mergeCell ref="G222:H222"/>
    <mergeCell ref="A117:B117"/>
    <mergeCell ref="I222:J222"/>
    <mergeCell ref="D171:E171"/>
    <mergeCell ref="A104:B104"/>
    <mergeCell ref="D213:F213"/>
    <mergeCell ref="D115:E115"/>
    <mergeCell ref="H73:K73"/>
    <mergeCell ref="A95:D95"/>
    <mergeCell ref="A19:G19"/>
    <mergeCell ref="A29:F29"/>
    <mergeCell ref="A44:F44"/>
    <mergeCell ref="A31:F31"/>
    <mergeCell ref="G106:H106"/>
    <mergeCell ref="D110:E110"/>
    <mergeCell ref="A16:F16"/>
    <mergeCell ref="H51:J51"/>
    <mergeCell ref="A173:B173"/>
    <mergeCell ref="A35:J35"/>
    <mergeCell ref="A106:B106"/>
    <mergeCell ref="G27:J27"/>
    <mergeCell ref="A52:F52"/>
    <mergeCell ref="J107:K107"/>
    <mergeCell ref="K124:L124"/>
    <mergeCell ref="A100:B100"/>
    <mergeCell ref="E129:F129"/>
    <mergeCell ref="A24:J24"/>
    <mergeCell ref="G37:J37"/>
    <mergeCell ref="A39:F39"/>
    <mergeCell ref="A81:L81"/>
    <mergeCell ref="J104:K104"/>
    <mergeCell ref="H50:J50"/>
    <mergeCell ref="A26:F26"/>
    <mergeCell ref="G39:J39"/>
    <mergeCell ref="G44:J44"/>
    <mergeCell ref="G31:J31"/>
    <mergeCell ref="A89:D89"/>
    <mergeCell ref="E122:F122"/>
    <mergeCell ref="H77:K77"/>
    <mergeCell ref="G28:J28"/>
    <mergeCell ref="G40:J40"/>
    <mergeCell ref="F361:H361"/>
    <mergeCell ref="A356:E356"/>
    <mergeCell ref="A151:B151"/>
    <mergeCell ref="G105:H105"/>
    <mergeCell ref="A158:I158"/>
    <mergeCell ref="C126:D126"/>
    <mergeCell ref="E126:F126"/>
    <mergeCell ref="A285:D285"/>
    <mergeCell ref="I185:J185"/>
    <mergeCell ref="I179:J179"/>
    <mergeCell ref="D160:F160"/>
    <mergeCell ref="A304:B305"/>
    <mergeCell ref="A351:E351"/>
    <mergeCell ref="F248:G248"/>
    <mergeCell ref="A361:E361"/>
    <mergeCell ref="G259:H259"/>
    <mergeCell ref="G141:I141"/>
    <mergeCell ref="I180:J180"/>
    <mergeCell ref="A352:G352"/>
    <mergeCell ref="A149:B149"/>
    <mergeCell ref="I127:J127"/>
    <mergeCell ref="A182:B182"/>
    <mergeCell ref="A259:D259"/>
    <mergeCell ref="E237:F237"/>
    <mergeCell ref="A6:C6"/>
    <mergeCell ref="A12:J12"/>
    <mergeCell ref="J112:K112"/>
    <mergeCell ref="D6:I6"/>
    <mergeCell ref="A235:D235"/>
    <mergeCell ref="A180:B180"/>
    <mergeCell ref="K125:L125"/>
    <mergeCell ref="G29:J29"/>
    <mergeCell ref="C180:D180"/>
    <mergeCell ref="A64:J64"/>
    <mergeCell ref="G229:H229"/>
    <mergeCell ref="A194:D194"/>
    <mergeCell ref="K220:L221"/>
    <mergeCell ref="I8:J8"/>
    <mergeCell ref="G26:J26"/>
    <mergeCell ref="G113:H113"/>
    <mergeCell ref="A92:D92"/>
    <mergeCell ref="C124:D124"/>
    <mergeCell ref="A79:G79"/>
    <mergeCell ref="G30:J30"/>
    <mergeCell ref="A18:G18"/>
    <mergeCell ref="A87:D87"/>
    <mergeCell ref="G234:H234"/>
    <mergeCell ref="E178:F178"/>
    <mergeCell ref="A328:L328"/>
    <mergeCell ref="F245:H245"/>
    <mergeCell ref="A339:C339"/>
    <mergeCell ref="A240:D240"/>
    <mergeCell ref="A265:D266"/>
    <mergeCell ref="A344:K344"/>
    <mergeCell ref="K335:L335"/>
    <mergeCell ref="A302:L302"/>
    <mergeCell ref="A337:H337"/>
    <mergeCell ref="A293:B293"/>
    <mergeCell ref="E240:F240"/>
    <mergeCell ref="I256:J256"/>
    <mergeCell ref="K256:L256"/>
    <mergeCell ref="E257:F257"/>
    <mergeCell ref="A279:D279"/>
    <mergeCell ref="A251:L251"/>
    <mergeCell ref="C335:D335"/>
    <mergeCell ref="I259:J259"/>
    <mergeCell ref="K259:L259"/>
    <mergeCell ref="C291:D291"/>
    <mergeCell ref="G324:L324"/>
    <mergeCell ref="E334:F334"/>
    <mergeCell ref="E235:F235"/>
    <mergeCell ref="G235:H235"/>
    <mergeCell ref="A46:L46"/>
    <mergeCell ref="F301:G301"/>
    <mergeCell ref="A295:B295"/>
    <mergeCell ref="I257:J257"/>
    <mergeCell ref="A297:B297"/>
    <mergeCell ref="E226:F226"/>
    <mergeCell ref="A263:L263"/>
    <mergeCell ref="J210:L210"/>
    <mergeCell ref="H54:J54"/>
    <mergeCell ref="G161:I161"/>
    <mergeCell ref="A135:B135"/>
    <mergeCell ref="A258:D258"/>
    <mergeCell ref="A289:L289"/>
    <mergeCell ref="A284:D284"/>
    <mergeCell ref="A281:D281"/>
    <mergeCell ref="K241:L241"/>
    <mergeCell ref="H56:J56"/>
    <mergeCell ref="A70:L70"/>
    <mergeCell ref="C128:D128"/>
    <mergeCell ref="E128:F128"/>
    <mergeCell ref="D210:F210"/>
    <mergeCell ref="A214:C214"/>
    <mergeCell ref="A83:L83"/>
    <mergeCell ref="A98:L98"/>
    <mergeCell ref="J111:K111"/>
    <mergeCell ref="E66:F66"/>
    <mergeCell ref="A123:B123"/>
    <mergeCell ref="A91:D91"/>
    <mergeCell ref="G171:H171"/>
    <mergeCell ref="G168:H168"/>
    <mergeCell ref="G169:H169"/>
    <mergeCell ref="A78:G78"/>
    <mergeCell ref="A156:B156"/>
    <mergeCell ref="E85:L85"/>
    <mergeCell ref="A165:B166"/>
    <mergeCell ref="A127:B127"/>
    <mergeCell ref="H135:I135"/>
    <mergeCell ref="D100:E100"/>
    <mergeCell ref="D209:F209"/>
    <mergeCell ref="E224:F224"/>
    <mergeCell ref="A255:D255"/>
    <mergeCell ref="E319:F319"/>
    <mergeCell ref="E325:F325"/>
    <mergeCell ref="E256:F256"/>
    <mergeCell ref="E265:L265"/>
    <mergeCell ref="A126:B126"/>
    <mergeCell ref="I224:J224"/>
    <mergeCell ref="G260:H260"/>
    <mergeCell ref="A325:B325"/>
    <mergeCell ref="A291:B292"/>
    <mergeCell ref="A260:D260"/>
    <mergeCell ref="J209:L209"/>
    <mergeCell ref="I181:J181"/>
    <mergeCell ref="A248:B248"/>
    <mergeCell ref="E229:F229"/>
    <mergeCell ref="A196:E196"/>
    <mergeCell ref="C319:D319"/>
    <mergeCell ref="A267:D267"/>
    <mergeCell ref="A283:D283"/>
    <mergeCell ref="A277:D278"/>
    <mergeCell ref="G213:I213"/>
    <mergeCell ref="F362:H362"/>
    <mergeCell ref="E261:F261"/>
    <mergeCell ref="E326:F326"/>
    <mergeCell ref="G326:H326"/>
    <mergeCell ref="G304:H304"/>
    <mergeCell ref="J208:L208"/>
    <mergeCell ref="G325:H325"/>
    <mergeCell ref="K225:L225"/>
    <mergeCell ref="A131:I131"/>
    <mergeCell ref="E147:F147"/>
    <mergeCell ref="G181:H181"/>
    <mergeCell ref="I248:J248"/>
    <mergeCell ref="A184:B184"/>
    <mergeCell ref="F247:G247"/>
    <mergeCell ref="G335:J335"/>
    <mergeCell ref="G207:I207"/>
    <mergeCell ref="K233:L234"/>
    <mergeCell ref="E233:F234"/>
    <mergeCell ref="H352:K352"/>
    <mergeCell ref="A320:B320"/>
    <mergeCell ref="H350:K351"/>
    <mergeCell ref="F356:H356"/>
    <mergeCell ref="G202:H202"/>
    <mergeCell ref="A216:L216"/>
    <mergeCell ref="H13:J13"/>
    <mergeCell ref="I255:J255"/>
    <mergeCell ref="E222:F222"/>
    <mergeCell ref="K201:L201"/>
    <mergeCell ref="A236:D236"/>
    <mergeCell ref="C125:D125"/>
    <mergeCell ref="A335:B335"/>
    <mergeCell ref="A257:D257"/>
    <mergeCell ref="H15:J15"/>
    <mergeCell ref="E220:F221"/>
    <mergeCell ref="A238:D238"/>
    <mergeCell ref="A50:G50"/>
    <mergeCell ref="A287:L287"/>
    <mergeCell ref="A147:B148"/>
    <mergeCell ref="I186:J186"/>
    <mergeCell ref="A237:D237"/>
    <mergeCell ref="A107:B107"/>
    <mergeCell ref="J110:K110"/>
    <mergeCell ref="H75:K75"/>
    <mergeCell ref="A200:D201"/>
    <mergeCell ref="A309:B309"/>
    <mergeCell ref="E202:F202"/>
    <mergeCell ref="G123:H123"/>
    <mergeCell ref="I123:J123"/>
    <mergeCell ref="M247:P248"/>
    <mergeCell ref="G170:H170"/>
    <mergeCell ref="A331:L331"/>
    <mergeCell ref="G172:H172"/>
    <mergeCell ref="J206:L206"/>
    <mergeCell ref="G129:H129"/>
    <mergeCell ref="I129:J129"/>
    <mergeCell ref="M136:S136"/>
    <mergeCell ref="G185:H185"/>
    <mergeCell ref="A224:D224"/>
    <mergeCell ref="C186:D186"/>
    <mergeCell ref="E241:F241"/>
    <mergeCell ref="K237:L237"/>
    <mergeCell ref="D206:F206"/>
    <mergeCell ref="I223:J223"/>
    <mergeCell ref="C320:D320"/>
    <mergeCell ref="A231:L231"/>
    <mergeCell ref="A213:C213"/>
    <mergeCell ref="E258:F258"/>
    <mergeCell ref="G258:H258"/>
    <mergeCell ref="A296:B296"/>
    <mergeCell ref="E260:F260"/>
    <mergeCell ref="G255:H255"/>
    <mergeCell ref="A315:L315"/>
    <mergeCell ref="A4:L4"/>
    <mergeCell ref="A28:F28"/>
    <mergeCell ref="A245:B246"/>
    <mergeCell ref="A253:L254"/>
    <mergeCell ref="A112:B112"/>
    <mergeCell ref="A110:B110"/>
    <mergeCell ref="G167:H167"/>
    <mergeCell ref="A30:F30"/>
    <mergeCell ref="E201:F201"/>
    <mergeCell ref="A225:D225"/>
    <mergeCell ref="A114:B114"/>
    <mergeCell ref="H20:J20"/>
    <mergeCell ref="A229:D229"/>
    <mergeCell ref="A55:G55"/>
    <mergeCell ref="D112:E112"/>
    <mergeCell ref="A192:D193"/>
    <mergeCell ref="D114:E114"/>
    <mergeCell ref="E183:F183"/>
    <mergeCell ref="C247:D247"/>
    <mergeCell ref="G183:H183"/>
    <mergeCell ref="D172:E172"/>
    <mergeCell ref="G240:H240"/>
    <mergeCell ref="I240:J240"/>
    <mergeCell ref="A181:B181"/>
    <mergeCell ref="H349:K349"/>
    <mergeCell ref="A38:F38"/>
    <mergeCell ref="G122:H122"/>
    <mergeCell ref="A40:F40"/>
    <mergeCell ref="A162:L163"/>
    <mergeCell ref="G126:H126"/>
    <mergeCell ref="G227:H227"/>
    <mergeCell ref="A233:D234"/>
    <mergeCell ref="A340:C340"/>
    <mergeCell ref="I227:J227"/>
    <mergeCell ref="A319:B319"/>
    <mergeCell ref="A294:B294"/>
    <mergeCell ref="J103:K103"/>
    <mergeCell ref="G100:H100"/>
    <mergeCell ref="A94:D94"/>
    <mergeCell ref="D107:E107"/>
    <mergeCell ref="G108:H108"/>
    <mergeCell ref="A342:L342"/>
    <mergeCell ref="I228:J228"/>
    <mergeCell ref="A269:D269"/>
    <mergeCell ref="G291:H291"/>
    <mergeCell ref="K257:L257"/>
    <mergeCell ref="A204:L204"/>
    <mergeCell ref="A282:D282"/>
    <mergeCell ref="H19:J19"/>
    <mergeCell ref="A261:D261"/>
    <mergeCell ref="G214:I214"/>
    <mergeCell ref="A223:D223"/>
    <mergeCell ref="A33:F33"/>
    <mergeCell ref="A111:B111"/>
    <mergeCell ref="D109:E109"/>
    <mergeCell ref="G110:H110"/>
    <mergeCell ref="A66:B66"/>
    <mergeCell ref="A169:B169"/>
    <mergeCell ref="A247:B247"/>
    <mergeCell ref="C183:D183"/>
    <mergeCell ref="A183:B183"/>
    <mergeCell ref="D161:F161"/>
    <mergeCell ref="J108:K108"/>
    <mergeCell ref="E124:F124"/>
    <mergeCell ref="E179:F179"/>
    <mergeCell ref="G124:H124"/>
    <mergeCell ref="C135:D135"/>
    <mergeCell ref="I124:J124"/>
    <mergeCell ref="E236:F236"/>
    <mergeCell ref="K186:L186"/>
    <mergeCell ref="E200:L200"/>
    <mergeCell ref="I201:J201"/>
    <mergeCell ref="K228:L228"/>
    <mergeCell ref="E125:F125"/>
    <mergeCell ref="F157:G157"/>
    <mergeCell ref="A306:B306"/>
    <mergeCell ref="G210:I210"/>
    <mergeCell ref="G261:H261"/>
    <mergeCell ref="E277:L277"/>
    <mergeCell ref="D142:F142"/>
    <mergeCell ref="I325:J325"/>
    <mergeCell ref="A188:H188"/>
    <mergeCell ref="K128:L128"/>
    <mergeCell ref="A168:B168"/>
    <mergeCell ref="A161:C161"/>
    <mergeCell ref="G125:H125"/>
    <mergeCell ref="E186:F186"/>
    <mergeCell ref="G186:H186"/>
    <mergeCell ref="A222:D222"/>
    <mergeCell ref="I234:J234"/>
    <mergeCell ref="K227:L227"/>
    <mergeCell ref="A137:I137"/>
    <mergeCell ref="D212:F212"/>
    <mergeCell ref="G209:I209"/>
    <mergeCell ref="G211:I211"/>
    <mergeCell ref="A179:B179"/>
  </mergeCells>
  <dataValidations count="4">
    <dataValidation type="decimal" operator="greaterThanOrEqual" allowBlank="1" showInputMessage="1" showErrorMessage="1" sqref="F357:H362" xr:uid="{00000000-0002-0000-0000-000000000000}">
      <formula1>0</formula1>
    </dataValidation>
    <dataValidation type="whole" operator="greaterThanOrEqual" allowBlank="1" showInputMessage="1" showErrorMessage="1" sqref="A63:H63 C157:F157 J157:L157 C187:J187 C314:L314 E247:E249 E286:L286 F350:G351 K247 H247 H347:K349 H352:K352 H157 C175:E175 G175:H175" xr:uid="{00000000-0002-0000-0000-000001000000}">
      <formula1>0</formula1>
    </dataValidation>
    <dataValidation type="whole" operator="greaterThan" allowBlank="1" showInputMessage="1" showErrorMessage="1" sqref="G33:J34 G44:J45 H57" xr:uid="{00000000-0002-0000-0000-000002000000}">
      <formula1>-1</formula1>
    </dataValidation>
    <dataValidation type="whole" allowBlank="1" showInputMessage="1" showErrorMessage="1" sqref="A62:H62 A135:I135 A142:I142 A161:I161 A202:L202 A320:F320 A326:L326 A335:L335 A340:C340 C101:C118 C123:D128 C167:E174 C179:J186 C247:D249 D207:L214 E87:L96 E192:F193 E222:L229 E235:L241 E256:L261 E267:L273 E279:L285 F101:F116 F247:G249 G16:G17 G21:G22 G27:J32 G38:J43 G52:G53 G123:H129 H14:J15 H18:J20 H50:J51 H54:J56 H73:K79 I101:I114 I247:J249 K123:L129 L101:L113 A68:F68 C149:H156 C293:H300 C306:H313" xr:uid="{00000000-0002-0000-0000-000003000000}">
      <formula1>0</formula1>
      <formula2>1E+39</formula2>
    </dataValidation>
  </dataValidations>
  <pageMargins left="0.25" right="0.25" top="0.75" bottom="0.75" header="0.3" footer="0.3"/>
  <pageSetup fitToHeight="0" orientation="landscape"/>
  <headerFooter differentOddEven="1" differentFirst="1"/>
  <rowBreaks count="15" manualBreakCount="15">
    <brk id="22" max="16383" man="1"/>
    <brk id="45" max="16383" man="1"/>
    <brk id="69" max="16383" man="1"/>
    <brk id="80" max="16383" man="1"/>
    <brk id="96" max="16383" man="1"/>
    <brk id="143" max="16383" man="1"/>
    <brk id="162" max="16383" man="1"/>
    <brk id="187" max="16383" man="1"/>
    <brk id="229" max="16383" man="1"/>
    <brk id="250" max="16383" man="1"/>
    <brk id="261" max="16383" man="1"/>
    <brk id="285" max="16383" man="1"/>
    <brk id="301" max="16383" man="1"/>
    <brk id="320" max="16383" man="1"/>
    <brk id="340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57"/>
  <sheetViews>
    <sheetView showGridLines="0" zoomScale="80" zoomScaleNormal="80" workbookViewId="0">
      <selection activeCell="H6" sqref="H6:M6"/>
    </sheetView>
  </sheetViews>
  <sheetFormatPr defaultColWidth="9" defaultRowHeight="14.25" x14ac:dyDescent="0.45"/>
  <cols>
    <col min="1" max="2" width="10.1328125" style="16" customWidth="1"/>
    <col min="3" max="3" width="10.73046875" style="16" customWidth="1"/>
    <col min="4" max="4" width="8.73046875" style="16" customWidth="1"/>
    <col min="5" max="5" width="12" style="16" customWidth="1"/>
    <col min="6" max="6" width="10" style="16" customWidth="1"/>
    <col min="7" max="7" width="11.1328125" style="16" customWidth="1"/>
    <col min="8" max="8" width="9.1328125" style="16" customWidth="1"/>
    <col min="9" max="9" width="10.1328125" style="16" customWidth="1"/>
    <col min="10" max="10" width="8.86328125" style="16" customWidth="1"/>
    <col min="11" max="11" width="10" style="16" customWidth="1"/>
    <col min="12" max="12" width="9.73046875" style="16" customWidth="1"/>
  </cols>
  <sheetData>
    <row r="1" spans="1:27" x14ac:dyDescent="0.45">
      <c r="AA1" s="32" t="s">
        <v>266</v>
      </c>
    </row>
    <row r="2" spans="1:27" ht="9.75" customHeight="1" x14ac:dyDescent="0.45"/>
    <row r="3" spans="1:27" ht="11.45" customHeight="1" x14ac:dyDescent="0.45"/>
    <row r="4" spans="1:27" ht="20.25" customHeight="1" x14ac:dyDescent="0.5">
      <c r="A4" s="409" t="s">
        <v>267</v>
      </c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412"/>
      <c r="N4" s="412"/>
      <c r="O4" s="412"/>
      <c r="P4" s="412"/>
      <c r="Q4" s="412"/>
      <c r="R4" s="412"/>
      <c r="S4" s="412"/>
    </row>
    <row r="6" spans="1:27" x14ac:dyDescent="0.45">
      <c r="E6" s="713" t="s">
        <v>2</v>
      </c>
      <c r="F6" s="352"/>
      <c r="G6" s="352"/>
      <c r="H6" s="865"/>
      <c r="I6" s="475"/>
      <c r="J6" s="475"/>
      <c r="K6" s="475"/>
      <c r="L6" s="475"/>
      <c r="M6" s="475"/>
      <c r="N6" s="34"/>
      <c r="O6" s="871" t="str">
        <f>IF(H6="", "Vous devez entrer un nom d'institution", "")</f>
        <v>Vous devez entrer un nom d'institution</v>
      </c>
      <c r="P6" s="872"/>
      <c r="Q6" s="872"/>
      <c r="R6" s="872"/>
    </row>
    <row r="7" spans="1:27" x14ac:dyDescent="0.45">
      <c r="M7" s="16"/>
      <c r="N7" s="16"/>
      <c r="O7" s="16"/>
    </row>
    <row r="8" spans="1:27" s="16" customFormat="1" ht="29.25" customHeight="1" x14ac:dyDescent="0.45">
      <c r="E8" s="389" t="s">
        <v>3</v>
      </c>
      <c r="F8" s="352"/>
      <c r="G8" s="352"/>
      <c r="H8" s="740">
        <v>45748</v>
      </c>
      <c r="I8" s="421"/>
      <c r="J8" s="421"/>
      <c r="K8" s="30" t="s">
        <v>4</v>
      </c>
      <c r="L8" s="740">
        <v>46112</v>
      </c>
      <c r="M8" s="421"/>
      <c r="N8" s="421"/>
    </row>
    <row r="10" spans="1:27" ht="15.75" customHeight="1" x14ac:dyDescent="0.45">
      <c r="A10" s="514" t="s">
        <v>1588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412"/>
      <c r="N10" s="412"/>
      <c r="O10" s="412"/>
      <c r="P10" s="412"/>
      <c r="Q10" s="412"/>
      <c r="R10" s="412"/>
      <c r="S10" s="412"/>
    </row>
    <row r="11" spans="1:27" ht="12.6" customHeight="1" x14ac:dyDescent="0.4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S11" s="19"/>
    </row>
    <row r="12" spans="1:27" ht="15.75" customHeight="1" x14ac:dyDescent="0.45">
      <c r="A12" s="437" t="s">
        <v>268</v>
      </c>
      <c r="B12" s="352"/>
      <c r="C12" s="352"/>
      <c r="D12" s="352"/>
      <c r="E12" s="352"/>
      <c r="F12" s="352"/>
      <c r="G12" s="352"/>
      <c r="H12" s="352"/>
      <c r="I12" s="352"/>
      <c r="J12" s="352"/>
      <c r="K12" s="18"/>
      <c r="L12" s="18"/>
      <c r="S12" s="19"/>
    </row>
    <row r="13" spans="1:27" ht="15" customHeight="1" thickBot="1" x14ac:dyDescent="0.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27" ht="15" customHeight="1" thickTop="1" thickBot="1" x14ac:dyDescent="0.5">
      <c r="H14" s="873" t="s">
        <v>6</v>
      </c>
      <c r="I14" s="394"/>
      <c r="J14" s="394"/>
      <c r="K14" s="209"/>
    </row>
    <row r="15" spans="1:27" ht="15" customHeight="1" thickTop="1" x14ac:dyDescent="0.45">
      <c r="A15" s="866" t="s">
        <v>7</v>
      </c>
      <c r="B15" s="360"/>
      <c r="C15" s="360"/>
      <c r="D15" s="360"/>
      <c r="E15" s="360"/>
      <c r="F15" s="360"/>
      <c r="G15" s="488"/>
      <c r="H15" s="564">
        <v>0</v>
      </c>
      <c r="I15" s="369"/>
      <c r="J15" s="370"/>
    </row>
    <row r="16" spans="1:27" ht="15" customHeight="1" thickBot="1" x14ac:dyDescent="0.5">
      <c r="A16" s="805" t="s">
        <v>8</v>
      </c>
      <c r="B16" s="377"/>
      <c r="C16" s="377"/>
      <c r="D16" s="377"/>
      <c r="E16" s="377"/>
      <c r="F16" s="377"/>
      <c r="G16" s="377"/>
      <c r="H16" s="451">
        <f>SUM(G17:G18)</f>
        <v>0</v>
      </c>
      <c r="I16" s="377"/>
      <c r="J16" s="378"/>
    </row>
    <row r="17" spans="1:17" ht="28.5" customHeight="1" thickTop="1" x14ac:dyDescent="0.45">
      <c r="A17" s="869" t="s">
        <v>9</v>
      </c>
      <c r="B17" s="377"/>
      <c r="C17" s="377"/>
      <c r="D17" s="377"/>
      <c r="E17" s="377"/>
      <c r="F17" s="377"/>
      <c r="G17" s="160">
        <v>0</v>
      </c>
      <c r="H17" s="523"/>
      <c r="I17" s="597"/>
      <c r="J17" s="588"/>
    </row>
    <row r="18" spans="1:17" ht="15" customHeight="1" thickBot="1" x14ac:dyDescent="0.5">
      <c r="A18" s="898" t="s">
        <v>10</v>
      </c>
      <c r="B18" s="597"/>
      <c r="C18" s="597"/>
      <c r="D18" s="597"/>
      <c r="E18" s="597"/>
      <c r="F18" s="597"/>
      <c r="G18" s="162">
        <v>0</v>
      </c>
      <c r="H18" s="396"/>
      <c r="I18" s="375"/>
      <c r="J18" s="397"/>
    </row>
    <row r="19" spans="1:17" ht="15" customHeight="1" thickTop="1" thickBot="1" x14ac:dyDescent="0.5">
      <c r="A19" s="914" t="s">
        <v>11</v>
      </c>
      <c r="B19" s="380"/>
      <c r="C19" s="380"/>
      <c r="D19" s="380"/>
      <c r="E19" s="380"/>
      <c r="F19" s="380"/>
      <c r="G19" s="387"/>
      <c r="H19" s="717">
        <f>SUM(H15:J16)</f>
        <v>0</v>
      </c>
      <c r="I19" s="380"/>
      <c r="J19" s="387"/>
      <c r="O19" s="20"/>
    </row>
    <row r="20" spans="1:17" ht="15" customHeight="1" thickTop="1" x14ac:dyDescent="0.45">
      <c r="A20" s="867" t="s">
        <v>12</v>
      </c>
      <c r="B20" s="421"/>
      <c r="C20" s="421"/>
      <c r="D20" s="421"/>
      <c r="E20" s="421"/>
      <c r="F20" s="421"/>
      <c r="G20" s="421"/>
      <c r="H20" s="681">
        <v>0</v>
      </c>
      <c r="I20" s="475"/>
      <c r="J20" s="682"/>
    </row>
    <row r="21" spans="1:17" ht="15" customHeight="1" thickBot="1" x14ac:dyDescent="0.5">
      <c r="A21" s="718" t="s">
        <v>13</v>
      </c>
      <c r="B21" s="377"/>
      <c r="C21" s="377"/>
      <c r="D21" s="377"/>
      <c r="E21" s="377"/>
      <c r="F21" s="377"/>
      <c r="G21" s="377"/>
      <c r="H21" s="451">
        <f>SUM(G22:G23)</f>
        <v>0</v>
      </c>
      <c r="I21" s="377"/>
      <c r="J21" s="378"/>
      <c r="K21" s="77"/>
    </row>
    <row r="22" spans="1:17" ht="27.75" customHeight="1" thickTop="1" thickBot="1" x14ac:dyDescent="0.5">
      <c r="A22" s="869" t="s">
        <v>1580</v>
      </c>
      <c r="B22" s="377"/>
      <c r="C22" s="377"/>
      <c r="D22" s="377"/>
      <c r="E22" s="377"/>
      <c r="F22" s="377"/>
      <c r="G22" s="160">
        <v>0</v>
      </c>
      <c r="H22" s="523"/>
      <c r="I22" s="597"/>
      <c r="J22" s="588"/>
      <c r="K22" s="651" t="str">
        <f>IF(H21&lt;&gt;(H19-H20),"""Reportées à la prochaine période d'établissement de rapport"" doit être égal au ""Total"" moins ""Fermées pendant la période d'établissement de rapport""","")</f>
        <v/>
      </c>
      <c r="L22" s="652"/>
      <c r="M22" s="652"/>
      <c r="N22" s="652"/>
      <c r="O22" s="652"/>
      <c r="P22" s="652"/>
      <c r="Q22" s="652"/>
    </row>
    <row r="23" spans="1:17" ht="29.25" customHeight="1" thickTop="1" thickBot="1" x14ac:dyDescent="0.5">
      <c r="A23" s="803" t="s">
        <v>1581</v>
      </c>
      <c r="B23" s="372"/>
      <c r="C23" s="372"/>
      <c r="D23" s="372"/>
      <c r="E23" s="372"/>
      <c r="F23" s="372"/>
      <c r="G23" s="162">
        <v>0</v>
      </c>
      <c r="H23" s="396"/>
      <c r="I23" s="375"/>
      <c r="J23" s="397"/>
      <c r="K23" s="651"/>
      <c r="L23" s="652"/>
      <c r="M23" s="652"/>
      <c r="N23" s="652"/>
      <c r="O23" s="652"/>
      <c r="P23" s="652"/>
      <c r="Q23" s="652"/>
    </row>
    <row r="24" spans="1:17" ht="14.25" customHeight="1" thickTop="1" x14ac:dyDescent="0.4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7" ht="15" customHeight="1" x14ac:dyDescent="0.45">
      <c r="A25" s="427" t="s">
        <v>269</v>
      </c>
      <c r="B25" s="352"/>
      <c r="C25" s="352"/>
      <c r="D25" s="352"/>
      <c r="E25" s="352"/>
      <c r="F25" s="352"/>
      <c r="G25" s="352"/>
      <c r="H25" s="352"/>
      <c r="I25" s="352"/>
      <c r="J25" s="352"/>
      <c r="K25" s="18"/>
      <c r="L25" s="18"/>
    </row>
    <row r="26" spans="1:17" ht="15" customHeight="1" thickBot="1" x14ac:dyDescent="0.5">
      <c r="A26" s="22"/>
      <c r="B26" s="22"/>
      <c r="C26" s="22"/>
      <c r="D26" s="22"/>
      <c r="E26" s="22"/>
      <c r="F26" s="22"/>
      <c r="G26" s="17"/>
      <c r="H26" s="17"/>
      <c r="I26" s="17"/>
      <c r="J26" s="17"/>
      <c r="K26" s="18"/>
      <c r="L26" s="18"/>
    </row>
    <row r="27" spans="1:17" ht="15" customHeight="1" thickTop="1" thickBot="1" x14ac:dyDescent="0.5">
      <c r="A27" s="518" t="s">
        <v>23</v>
      </c>
      <c r="B27" s="380"/>
      <c r="C27" s="380"/>
      <c r="D27" s="380"/>
      <c r="E27" s="380"/>
      <c r="F27" s="387"/>
      <c r="G27" s="518" t="s">
        <v>24</v>
      </c>
      <c r="H27" s="380"/>
      <c r="I27" s="380"/>
      <c r="J27" s="387"/>
      <c r="K27" s="18"/>
      <c r="L27" s="18"/>
    </row>
    <row r="28" spans="1:17" ht="15" customHeight="1" thickTop="1" x14ac:dyDescent="0.45">
      <c r="A28" s="617" t="s">
        <v>25</v>
      </c>
      <c r="B28" s="421"/>
      <c r="C28" s="421"/>
      <c r="D28" s="421"/>
      <c r="E28" s="421"/>
      <c r="F28" s="354"/>
      <c r="G28" s="755">
        <v>0</v>
      </c>
      <c r="H28" s="369"/>
      <c r="I28" s="369"/>
      <c r="J28" s="370"/>
      <c r="L28" s="18"/>
    </row>
    <row r="29" spans="1:17" ht="15" customHeight="1" x14ac:dyDescent="0.45">
      <c r="A29" s="388" t="s">
        <v>26</v>
      </c>
      <c r="B29" s="377"/>
      <c r="C29" s="377"/>
      <c r="D29" s="377"/>
      <c r="E29" s="377"/>
      <c r="F29" s="350"/>
      <c r="G29" s="754">
        <v>0</v>
      </c>
      <c r="H29" s="356"/>
      <c r="I29" s="356"/>
      <c r="J29" s="356"/>
      <c r="K29" s="163"/>
      <c r="L29" s="18"/>
    </row>
    <row r="30" spans="1:17" ht="15" customHeight="1" x14ac:dyDescent="0.45">
      <c r="A30" s="388" t="s">
        <v>27</v>
      </c>
      <c r="B30" s="377"/>
      <c r="C30" s="377"/>
      <c r="D30" s="377"/>
      <c r="E30" s="377"/>
      <c r="F30" s="350"/>
      <c r="G30" s="754">
        <v>0</v>
      </c>
      <c r="H30" s="356"/>
      <c r="I30" s="356"/>
      <c r="J30" s="356"/>
      <c r="K30" s="163"/>
      <c r="L30" s="18"/>
    </row>
    <row r="31" spans="1:17" ht="15" customHeight="1" x14ac:dyDescent="0.45">
      <c r="A31" s="388" t="s">
        <v>28</v>
      </c>
      <c r="B31" s="377"/>
      <c r="C31" s="377"/>
      <c r="D31" s="377"/>
      <c r="E31" s="377"/>
      <c r="F31" s="350"/>
      <c r="G31" s="754">
        <v>0</v>
      </c>
      <c r="H31" s="356"/>
      <c r="I31" s="356"/>
      <c r="J31" s="391"/>
      <c r="L31" s="18"/>
    </row>
    <row r="32" spans="1:17" ht="15" customHeight="1" x14ac:dyDescent="0.45">
      <c r="A32" s="388" t="s">
        <v>29</v>
      </c>
      <c r="B32" s="377"/>
      <c r="C32" s="377"/>
      <c r="D32" s="377"/>
      <c r="E32" s="377"/>
      <c r="F32" s="377"/>
      <c r="G32" s="754">
        <v>0</v>
      </c>
      <c r="H32" s="356"/>
      <c r="I32" s="356"/>
      <c r="J32" s="356"/>
      <c r="K32" s="163"/>
      <c r="L32" s="18"/>
    </row>
    <row r="33" spans="1:19" ht="15" customHeight="1" thickBot="1" x14ac:dyDescent="0.5">
      <c r="A33" s="665" t="s">
        <v>30</v>
      </c>
      <c r="B33" s="597"/>
      <c r="C33" s="597"/>
      <c r="D33" s="597"/>
      <c r="E33" s="597"/>
      <c r="F33" s="666"/>
      <c r="G33" s="912">
        <v>0</v>
      </c>
      <c r="H33" s="470"/>
      <c r="I33" s="470"/>
      <c r="J33" s="470"/>
      <c r="K33" s="163"/>
      <c r="L33" s="18"/>
    </row>
    <row r="34" spans="1:19" ht="15" customHeight="1" thickTop="1" thickBot="1" x14ac:dyDescent="0.5">
      <c r="A34" s="379" t="s">
        <v>11</v>
      </c>
      <c r="B34" s="380"/>
      <c r="C34" s="380"/>
      <c r="D34" s="380"/>
      <c r="E34" s="380"/>
      <c r="F34" s="381"/>
      <c r="G34" s="560">
        <f>SUM(G28:J33)</f>
        <v>0</v>
      </c>
      <c r="H34" s="380"/>
      <c r="I34" s="380"/>
      <c r="J34" s="387"/>
      <c r="K34" s="693"/>
      <c r="L34" s="352"/>
      <c r="M34" s="412"/>
      <c r="N34" s="412"/>
      <c r="O34" s="412"/>
      <c r="P34" s="412"/>
      <c r="Q34" s="412"/>
      <c r="R34" s="412"/>
      <c r="S34" s="412"/>
    </row>
    <row r="35" spans="1:19" ht="15" customHeight="1" thickTop="1" x14ac:dyDescent="0.45">
      <c r="A35" s="23"/>
      <c r="B35" s="23"/>
      <c r="C35" s="23"/>
      <c r="D35" s="23"/>
      <c r="E35" s="23"/>
      <c r="F35" s="23"/>
      <c r="G35" s="24"/>
      <c r="H35" s="24"/>
      <c r="I35" s="24"/>
      <c r="J35" s="24"/>
      <c r="K35" s="352"/>
      <c r="L35" s="352"/>
      <c r="M35" s="412"/>
      <c r="N35" s="412"/>
      <c r="O35" s="412"/>
      <c r="P35" s="412"/>
      <c r="Q35" s="412"/>
      <c r="R35" s="412"/>
      <c r="S35" s="412"/>
    </row>
    <row r="36" spans="1:19" ht="15" customHeight="1" x14ac:dyDescent="0.45">
      <c r="A36" s="514" t="s">
        <v>31</v>
      </c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412"/>
      <c r="N36" s="412"/>
      <c r="O36" s="412"/>
      <c r="P36" s="412"/>
      <c r="Q36" s="412"/>
      <c r="R36" s="412"/>
      <c r="S36" s="412"/>
    </row>
    <row r="37" spans="1:19" ht="15" customHeight="1" x14ac:dyDescent="0.4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ht="15" customHeight="1" thickBot="1" x14ac:dyDescent="0.5">
      <c r="A38" s="367" t="s">
        <v>32</v>
      </c>
      <c r="B38" s="352"/>
      <c r="C38" s="352"/>
      <c r="D38" s="352"/>
      <c r="E38" s="352"/>
      <c r="F38" s="352"/>
      <c r="G38" s="352"/>
      <c r="H38" s="352"/>
      <c r="I38" s="352"/>
      <c r="J38" s="352"/>
    </row>
    <row r="39" spans="1:19" ht="15" customHeight="1" thickTop="1" thickBot="1" x14ac:dyDescent="0.5">
      <c r="A39" s="116"/>
      <c r="B39" s="116"/>
      <c r="C39" s="116"/>
      <c r="D39" s="116"/>
      <c r="E39" s="116"/>
      <c r="F39" s="116"/>
      <c r="G39" s="127"/>
      <c r="H39" s="789" t="s">
        <v>6</v>
      </c>
      <c r="I39" s="380"/>
      <c r="J39" s="380"/>
      <c r="K39" s="163"/>
    </row>
    <row r="40" spans="1:19" ht="15" customHeight="1" thickTop="1" x14ac:dyDescent="0.45">
      <c r="A40" s="812" t="s">
        <v>7</v>
      </c>
      <c r="B40" s="394"/>
      <c r="C40" s="394"/>
      <c r="D40" s="394"/>
      <c r="E40" s="394"/>
      <c r="F40" s="394"/>
      <c r="G40" s="394"/>
      <c r="H40" s="648">
        <v>0</v>
      </c>
      <c r="I40" s="369"/>
      <c r="J40" s="370"/>
      <c r="K40" s="108"/>
    </row>
    <row r="41" spans="1:19" ht="15" customHeight="1" thickBot="1" x14ac:dyDescent="0.5">
      <c r="A41" s="913" t="s">
        <v>8</v>
      </c>
      <c r="B41" s="377"/>
      <c r="C41" s="377"/>
      <c r="D41" s="377"/>
      <c r="E41" s="377"/>
      <c r="F41" s="377"/>
      <c r="G41" s="377"/>
      <c r="H41" s="451">
        <f>SUM(G42:G43)</f>
        <v>0</v>
      </c>
      <c r="I41" s="377"/>
      <c r="J41" s="378"/>
    </row>
    <row r="42" spans="1:19" ht="25.5" customHeight="1" thickTop="1" x14ac:dyDescent="0.45">
      <c r="A42" s="557" t="s">
        <v>9</v>
      </c>
      <c r="B42" s="377"/>
      <c r="C42" s="377"/>
      <c r="D42" s="377"/>
      <c r="E42" s="377"/>
      <c r="F42" s="377"/>
      <c r="G42" s="165">
        <v>0</v>
      </c>
      <c r="H42" s="523"/>
      <c r="I42" s="597"/>
      <c r="J42" s="588"/>
    </row>
    <row r="43" spans="1:19" ht="31.5" customHeight="1" thickBot="1" x14ac:dyDescent="0.5">
      <c r="A43" s="830" t="s">
        <v>10</v>
      </c>
      <c r="B43" s="375"/>
      <c r="C43" s="375"/>
      <c r="D43" s="375"/>
      <c r="E43" s="375"/>
      <c r="F43" s="375"/>
      <c r="G43" s="210">
        <v>0</v>
      </c>
      <c r="H43" s="396"/>
      <c r="I43" s="375"/>
      <c r="J43" s="397"/>
    </row>
    <row r="44" spans="1:19" ht="15" customHeight="1" thickTop="1" thickBot="1" x14ac:dyDescent="0.5">
      <c r="A44" s="594" t="s">
        <v>11</v>
      </c>
      <c r="B44" s="380"/>
      <c r="C44" s="380"/>
      <c r="D44" s="380"/>
      <c r="E44" s="380"/>
      <c r="F44" s="380"/>
      <c r="G44" s="380"/>
      <c r="H44" s="518">
        <f>SUM(H40:J41)</f>
        <v>0</v>
      </c>
      <c r="I44" s="380"/>
      <c r="J44" s="387"/>
    </row>
    <row r="45" spans="1:19" ht="15" customHeight="1" thickTop="1" x14ac:dyDescent="0.45">
      <c r="A45" s="418" t="s">
        <v>12</v>
      </c>
      <c r="B45" s="352"/>
      <c r="C45" s="352"/>
      <c r="D45" s="352"/>
      <c r="E45" s="352"/>
      <c r="F45" s="352"/>
      <c r="G45" s="352"/>
      <c r="H45" s="648">
        <v>0</v>
      </c>
      <c r="I45" s="369"/>
      <c r="J45" s="370"/>
    </row>
    <row r="46" spans="1:19" ht="15" customHeight="1" thickBot="1" x14ac:dyDescent="0.5">
      <c r="A46" s="915" t="s">
        <v>13</v>
      </c>
      <c r="B46" s="372"/>
      <c r="C46" s="372"/>
      <c r="D46" s="372"/>
      <c r="E46" s="372"/>
      <c r="F46" s="372"/>
      <c r="G46" s="373"/>
      <c r="H46" s="596">
        <f>H44-H45</f>
        <v>0</v>
      </c>
      <c r="I46" s="372"/>
      <c r="J46" s="373"/>
    </row>
    <row r="47" spans="1:19" ht="15" customHeight="1" thickTop="1" x14ac:dyDescent="0.45">
      <c r="A47" s="26"/>
      <c r="B47" s="26"/>
      <c r="C47" s="26"/>
      <c r="D47" s="26"/>
      <c r="E47" s="26"/>
      <c r="F47" s="26"/>
      <c r="G47" s="26"/>
      <c r="H47" s="27"/>
      <c r="I47" s="27"/>
      <c r="J47" s="27"/>
    </row>
    <row r="48" spans="1:19" ht="15" customHeight="1" x14ac:dyDescent="0.45">
      <c r="A48" s="749" t="s">
        <v>33</v>
      </c>
      <c r="B48" s="352"/>
      <c r="C48" s="352"/>
      <c r="D48" s="352"/>
      <c r="E48" s="352"/>
      <c r="F48" s="352"/>
      <c r="G48" s="352"/>
      <c r="H48" s="352"/>
      <c r="I48" s="352"/>
      <c r="J48" s="352"/>
    </row>
    <row r="49" spans="1:19" ht="15" customHeight="1" thickBot="1" x14ac:dyDescent="0.5">
      <c r="A49" s="29"/>
      <c r="B49" s="22"/>
      <c r="C49" s="22"/>
      <c r="D49" s="22"/>
      <c r="E49" s="22"/>
      <c r="F49" s="22"/>
      <c r="G49" s="17"/>
      <c r="H49" s="17"/>
      <c r="I49" s="17"/>
      <c r="J49" s="17"/>
    </row>
    <row r="50" spans="1:19" ht="15" customHeight="1" thickTop="1" x14ac:dyDescent="0.45">
      <c r="A50" s="746" t="s">
        <v>34</v>
      </c>
      <c r="B50" s="360"/>
      <c r="C50" s="360"/>
      <c r="D50" s="360"/>
      <c r="E50" s="360"/>
      <c r="F50" s="360"/>
      <c r="G50" s="360"/>
      <c r="H50" s="360"/>
      <c r="I50" s="329"/>
      <c r="J50" s="17"/>
    </row>
    <row r="51" spans="1:19" ht="42.75" customHeight="1" thickBot="1" x14ac:dyDescent="0.5">
      <c r="A51" s="226" t="s">
        <v>35</v>
      </c>
      <c r="B51" s="227" t="s">
        <v>36</v>
      </c>
      <c r="C51" s="227" t="s">
        <v>37</v>
      </c>
      <c r="D51" s="227" t="s">
        <v>38</v>
      </c>
      <c r="E51" s="227" t="s">
        <v>39</v>
      </c>
      <c r="F51" s="227" t="s">
        <v>40</v>
      </c>
      <c r="G51" s="228" t="s">
        <v>41</v>
      </c>
      <c r="H51" s="229" t="s">
        <v>11</v>
      </c>
      <c r="I51" s="17"/>
      <c r="J51" s="17"/>
    </row>
    <row r="52" spans="1:19" ht="15" customHeight="1" thickTop="1" thickBot="1" x14ac:dyDescent="0.5">
      <c r="A52" s="211">
        <v>0</v>
      </c>
      <c r="B52" s="212">
        <v>0</v>
      </c>
      <c r="C52" s="212">
        <v>0</v>
      </c>
      <c r="D52" s="212">
        <v>0</v>
      </c>
      <c r="E52" s="212">
        <v>0</v>
      </c>
      <c r="F52" s="212">
        <v>0</v>
      </c>
      <c r="G52" s="183">
        <v>0</v>
      </c>
      <c r="H52" s="192">
        <f>SUM(A52:G52)</f>
        <v>0</v>
      </c>
      <c r="I52" s="693"/>
      <c r="J52" s="352"/>
      <c r="K52" s="352"/>
      <c r="L52" s="352"/>
      <c r="M52" s="412"/>
      <c r="N52" s="412"/>
      <c r="O52" s="412"/>
      <c r="P52" s="412"/>
      <c r="Q52" s="412"/>
      <c r="R52" s="412"/>
      <c r="S52" s="412"/>
    </row>
    <row r="53" spans="1:19" ht="15" customHeight="1" thickTop="1" x14ac:dyDescent="0.45">
      <c r="A53" s="24"/>
      <c r="B53" s="24"/>
      <c r="C53" s="24"/>
      <c r="D53" s="24"/>
      <c r="E53" s="24"/>
      <c r="F53" s="24"/>
      <c r="G53" s="24"/>
      <c r="H53" s="24"/>
      <c r="I53" s="352"/>
      <c r="J53" s="352"/>
      <c r="K53" s="352"/>
      <c r="L53" s="352"/>
      <c r="M53" s="412"/>
      <c r="N53" s="412"/>
      <c r="O53" s="412"/>
      <c r="P53" s="412"/>
      <c r="Q53" s="412"/>
      <c r="R53" s="412"/>
      <c r="S53" s="412"/>
    </row>
    <row r="54" spans="1:19" ht="15" customHeight="1" x14ac:dyDescent="0.45">
      <c r="A54" s="715" t="s">
        <v>270</v>
      </c>
      <c r="B54" s="352"/>
      <c r="C54" s="352"/>
      <c r="D54" s="352"/>
      <c r="E54" s="352"/>
      <c r="F54" s="352"/>
      <c r="G54" s="352"/>
      <c r="H54" s="352"/>
      <c r="I54" s="352"/>
      <c r="J54" s="352"/>
      <c r="K54" s="262"/>
    </row>
    <row r="55" spans="1:19" ht="15" customHeight="1" thickBot="1" x14ac:dyDescent="0.5">
      <c r="A55" s="261"/>
      <c r="B55" s="30"/>
      <c r="C55" s="30"/>
      <c r="D55" s="30"/>
      <c r="E55" s="30"/>
      <c r="F55" s="30"/>
      <c r="G55" s="30"/>
      <c r="H55" s="30"/>
      <c r="I55" s="30"/>
      <c r="J55" s="30"/>
      <c r="K55" s="262"/>
    </row>
    <row r="56" spans="1:19" ht="30.75" customHeight="1" thickTop="1" x14ac:dyDescent="0.45">
      <c r="A56" s="382" t="s">
        <v>271</v>
      </c>
      <c r="B56" s="361"/>
      <c r="C56" s="382" t="s">
        <v>272</v>
      </c>
      <c r="D56" s="361"/>
      <c r="E56" s="382" t="s">
        <v>273</v>
      </c>
      <c r="F56" s="361"/>
      <c r="G56" s="263"/>
      <c r="I56"/>
      <c r="J56"/>
      <c r="K56"/>
      <c r="L56"/>
    </row>
    <row r="57" spans="1:19" ht="39" customHeight="1" thickBot="1" x14ac:dyDescent="0.5">
      <c r="A57" s="264" t="s">
        <v>6</v>
      </c>
      <c r="B57" s="265" t="s">
        <v>42</v>
      </c>
      <c r="C57" s="264" t="s">
        <v>6</v>
      </c>
      <c r="D57" s="265" t="s">
        <v>42</v>
      </c>
      <c r="E57" s="264" t="s">
        <v>6</v>
      </c>
      <c r="F57" s="266" t="s">
        <v>42</v>
      </c>
      <c r="G57" s="262"/>
      <c r="I57"/>
      <c r="J57"/>
      <c r="K57"/>
      <c r="L57"/>
    </row>
    <row r="58" spans="1:19" ht="15" customHeight="1" thickTop="1" thickBot="1" x14ac:dyDescent="0.5">
      <c r="A58" s="267">
        <v>0</v>
      </c>
      <c r="B58" s="268">
        <v>0</v>
      </c>
      <c r="C58" s="267">
        <v>0</v>
      </c>
      <c r="D58" s="268">
        <v>0</v>
      </c>
      <c r="E58" s="269">
        <v>0</v>
      </c>
      <c r="F58" s="270">
        <v>0</v>
      </c>
      <c r="G58" s="99"/>
      <c r="I58"/>
      <c r="J58"/>
      <c r="K58"/>
      <c r="L58"/>
    </row>
    <row r="59" spans="1:19" ht="15" customHeight="1" thickTop="1" x14ac:dyDescent="0.45">
      <c r="A59" s="30"/>
      <c r="B59" s="30"/>
      <c r="C59" s="30"/>
      <c r="D59" s="30"/>
      <c r="E59" s="30"/>
      <c r="F59" s="30"/>
      <c r="G59" s="30"/>
      <c r="H59" s="30"/>
      <c r="I59" s="30"/>
      <c r="J59" s="30"/>
    </row>
    <row r="60" spans="1:19" x14ac:dyDescent="0.45">
      <c r="K60" s="150"/>
    </row>
    <row r="61" spans="1:19" ht="15.75" customHeight="1" x14ac:dyDescent="0.45">
      <c r="A61" s="529" t="s">
        <v>274</v>
      </c>
      <c r="B61" s="352"/>
      <c r="C61" s="352"/>
      <c r="D61" s="352"/>
      <c r="E61" s="352"/>
      <c r="F61" s="352"/>
      <c r="G61" s="352"/>
      <c r="H61" s="352"/>
      <c r="I61" s="352"/>
      <c r="J61" s="352"/>
      <c r="K61" s="352"/>
      <c r="L61" s="352"/>
      <c r="M61" s="412"/>
      <c r="N61" s="412"/>
      <c r="O61" s="412"/>
      <c r="P61" s="412"/>
      <c r="Q61" s="412"/>
      <c r="R61" s="412"/>
      <c r="S61" s="412"/>
    </row>
    <row r="63" spans="1:19" x14ac:dyDescent="0.45">
      <c r="A63" s="506" t="s">
        <v>275</v>
      </c>
      <c r="B63" s="352"/>
      <c r="C63" s="352"/>
      <c r="D63" s="352"/>
      <c r="E63" s="352"/>
      <c r="F63" s="352"/>
      <c r="G63" s="352"/>
      <c r="H63" s="352"/>
      <c r="I63" s="352"/>
      <c r="J63" s="352"/>
      <c r="K63" s="352"/>
    </row>
    <row r="64" spans="1:19" ht="15.75" customHeight="1" thickBot="1" x14ac:dyDescent="0.5">
      <c r="L64" s="150"/>
    </row>
    <row r="65" spans="1:38" ht="14.25" customHeight="1" thickTop="1" x14ac:dyDescent="0.45">
      <c r="A65" s="916" t="s">
        <v>57</v>
      </c>
      <c r="B65" s="394"/>
      <c r="C65" s="453"/>
      <c r="D65" s="870" t="s">
        <v>34</v>
      </c>
      <c r="E65" s="360"/>
      <c r="F65" s="360"/>
      <c r="G65" s="360"/>
      <c r="H65" s="360"/>
      <c r="I65" s="360"/>
      <c r="J65" s="360"/>
      <c r="K65" s="360"/>
      <c r="L65" s="151"/>
    </row>
    <row r="66" spans="1:38" ht="27" customHeight="1" thickBot="1" x14ac:dyDescent="0.5">
      <c r="A66" s="420"/>
      <c r="B66" s="421"/>
      <c r="C66" s="421"/>
      <c r="D66" s="57" t="s">
        <v>58</v>
      </c>
      <c r="E66" s="170" t="s">
        <v>36</v>
      </c>
      <c r="F66" s="170" t="s">
        <v>37</v>
      </c>
      <c r="G66" s="170" t="s">
        <v>38</v>
      </c>
      <c r="H66" s="170" t="s">
        <v>59</v>
      </c>
      <c r="I66" s="170" t="s">
        <v>40</v>
      </c>
      <c r="J66" s="174" t="s">
        <v>41</v>
      </c>
      <c r="K66" s="175" t="s">
        <v>11</v>
      </c>
      <c r="L66" s="150"/>
    </row>
    <row r="67" spans="1:38" ht="15.75" customHeight="1" thickTop="1" x14ac:dyDescent="0.45">
      <c r="A67" s="541" t="s">
        <v>61</v>
      </c>
      <c r="B67" s="360"/>
      <c r="C67" s="488"/>
      <c r="D67" s="128">
        <v>0</v>
      </c>
      <c r="E67" s="129">
        <v>0</v>
      </c>
      <c r="F67" s="129">
        <v>0</v>
      </c>
      <c r="G67" s="129">
        <v>0</v>
      </c>
      <c r="H67" s="129">
        <v>0</v>
      </c>
      <c r="I67" s="129">
        <v>0</v>
      </c>
      <c r="J67" s="130">
        <v>0</v>
      </c>
      <c r="K67" s="230">
        <f t="shared" ref="K67:K73" si="0">SUM(D67:J67)</f>
        <v>0</v>
      </c>
      <c r="L67" s="693"/>
      <c r="M67" s="412"/>
      <c r="N67" s="412"/>
      <c r="O67" s="412"/>
      <c r="P67" s="412"/>
      <c r="Q67" s="412"/>
      <c r="R67" s="412"/>
      <c r="S67" s="412"/>
      <c r="T67" s="412"/>
      <c r="U67" s="412"/>
      <c r="V67" s="99"/>
      <c r="W67" s="99"/>
      <c r="X67" s="99"/>
      <c r="Y67" s="99"/>
      <c r="Z67" s="99"/>
      <c r="AA67" s="32" t="e">
        <f>SUM(W117,S134,#REF!)</f>
        <v>#REF!</v>
      </c>
      <c r="AB67" s="98"/>
      <c r="AC67" s="98"/>
      <c r="AD67" s="98"/>
      <c r="AE67" s="98"/>
      <c r="AF67" s="98"/>
      <c r="AG67" s="98"/>
      <c r="AH67" s="98"/>
      <c r="AI67" s="98"/>
      <c r="AJ67" s="98"/>
      <c r="AK67" s="77"/>
      <c r="AL67" s="77"/>
    </row>
    <row r="68" spans="1:38" x14ac:dyDescent="0.45">
      <c r="A68" s="404" t="s">
        <v>62</v>
      </c>
      <c r="B68" s="377"/>
      <c r="C68" s="378"/>
      <c r="D68" s="131">
        <v>0</v>
      </c>
      <c r="E68" s="132">
        <v>0</v>
      </c>
      <c r="F68" s="132">
        <v>0</v>
      </c>
      <c r="G68" s="132">
        <v>0</v>
      </c>
      <c r="H68" s="132">
        <v>0</v>
      </c>
      <c r="I68" s="132">
        <v>0</v>
      </c>
      <c r="J68" s="133">
        <v>0</v>
      </c>
      <c r="K68" s="231">
        <f t="shared" si="0"/>
        <v>0</v>
      </c>
      <c r="L68" s="693"/>
      <c r="M68" s="412"/>
      <c r="N68" s="412"/>
      <c r="O68" s="412"/>
      <c r="P68" s="412"/>
      <c r="Q68" s="412"/>
      <c r="R68" s="412"/>
      <c r="S68" s="412"/>
      <c r="T68" s="412"/>
      <c r="U68" s="412"/>
      <c r="V68" s="99"/>
      <c r="W68" s="99"/>
      <c r="X68" s="99"/>
      <c r="Y68" s="99"/>
      <c r="Z68" s="99"/>
      <c r="AA68" s="32" t="e">
        <f>SUM(W118,S135,#REF!)</f>
        <v>#REF!</v>
      </c>
      <c r="AB68" s="98"/>
      <c r="AC68" s="98"/>
      <c r="AD68" s="98"/>
      <c r="AE68" s="98"/>
      <c r="AF68" s="98"/>
      <c r="AG68" s="98"/>
      <c r="AH68" s="98"/>
      <c r="AI68" s="98"/>
      <c r="AJ68" s="98"/>
      <c r="AK68" s="77"/>
      <c r="AL68" s="77"/>
    </row>
    <row r="69" spans="1:38" x14ac:dyDescent="0.45">
      <c r="A69" s="404" t="s">
        <v>63</v>
      </c>
      <c r="B69" s="377"/>
      <c r="C69" s="377"/>
      <c r="D69" s="330">
        <v>0</v>
      </c>
      <c r="E69" s="132">
        <v>0</v>
      </c>
      <c r="F69" s="132">
        <v>0</v>
      </c>
      <c r="G69" s="132">
        <v>0</v>
      </c>
      <c r="H69" s="132">
        <v>0</v>
      </c>
      <c r="I69" s="132">
        <v>0</v>
      </c>
      <c r="J69" s="133">
        <v>0</v>
      </c>
      <c r="K69" s="231">
        <f t="shared" si="0"/>
        <v>0</v>
      </c>
      <c r="L69" s="693"/>
      <c r="M69" s="412"/>
      <c r="N69" s="412"/>
      <c r="O69" s="412"/>
      <c r="P69" s="412"/>
      <c r="Q69" s="412"/>
      <c r="R69" s="412"/>
      <c r="S69" s="412"/>
      <c r="T69" s="412"/>
      <c r="U69" s="412"/>
      <c r="V69" s="99"/>
      <c r="W69" s="99"/>
      <c r="X69" s="99"/>
      <c r="Y69" s="99"/>
      <c r="Z69" s="99"/>
      <c r="AA69" s="32" t="e">
        <f>SUM(W119,S136,#REF!)</f>
        <v>#REF!</v>
      </c>
      <c r="AB69" s="98"/>
      <c r="AC69" s="98"/>
      <c r="AD69" s="98"/>
      <c r="AE69" s="98"/>
      <c r="AF69" s="98"/>
      <c r="AG69" s="98"/>
      <c r="AH69" s="98"/>
      <c r="AI69" s="98"/>
      <c r="AJ69" s="98"/>
      <c r="AK69" s="77"/>
      <c r="AL69" s="77"/>
    </row>
    <row r="70" spans="1:38" x14ac:dyDescent="0.45">
      <c r="A70" s="404" t="s">
        <v>64</v>
      </c>
      <c r="B70" s="377"/>
      <c r="C70" s="377"/>
      <c r="D70" s="330">
        <v>0</v>
      </c>
      <c r="E70" s="132">
        <v>0</v>
      </c>
      <c r="F70" s="132">
        <v>0</v>
      </c>
      <c r="G70" s="132">
        <v>0</v>
      </c>
      <c r="H70" s="132">
        <v>0</v>
      </c>
      <c r="I70" s="132">
        <v>0</v>
      </c>
      <c r="J70" s="133">
        <v>0</v>
      </c>
      <c r="K70" s="232">
        <f t="shared" si="0"/>
        <v>0</v>
      </c>
      <c r="L70" s="693"/>
      <c r="M70" s="412"/>
      <c r="N70" s="412"/>
      <c r="O70" s="412"/>
      <c r="P70" s="412"/>
      <c r="Q70" s="412"/>
      <c r="R70" s="412"/>
      <c r="S70" s="412"/>
      <c r="T70" s="412"/>
      <c r="U70" s="412"/>
      <c r="V70" s="99"/>
      <c r="W70" s="99"/>
      <c r="X70" s="99"/>
      <c r="Y70" s="99"/>
      <c r="Z70" s="99"/>
      <c r="AA70" s="32" t="e">
        <f>SUM(W120,S137,#REF!)</f>
        <v>#REF!</v>
      </c>
      <c r="AB70" s="98"/>
      <c r="AC70" s="98"/>
      <c r="AD70" s="98"/>
      <c r="AE70" s="98"/>
      <c r="AF70" s="98"/>
      <c r="AG70" s="98"/>
      <c r="AH70" s="98"/>
      <c r="AI70" s="98"/>
      <c r="AJ70" s="98"/>
      <c r="AK70" s="77"/>
      <c r="AL70" s="77"/>
    </row>
    <row r="71" spans="1:38" x14ac:dyDescent="0.45">
      <c r="A71" s="404" t="s">
        <v>65</v>
      </c>
      <c r="B71" s="377"/>
      <c r="C71" s="377"/>
      <c r="D71" s="330">
        <v>0</v>
      </c>
      <c r="E71" s="132">
        <v>0</v>
      </c>
      <c r="F71" s="132">
        <v>0</v>
      </c>
      <c r="G71" s="132">
        <v>0</v>
      </c>
      <c r="H71" s="132">
        <v>0</v>
      </c>
      <c r="I71" s="132">
        <v>0</v>
      </c>
      <c r="J71" s="133">
        <v>0</v>
      </c>
      <c r="K71" s="233">
        <f t="shared" si="0"/>
        <v>0</v>
      </c>
      <c r="L71" s="97"/>
      <c r="T71" s="97"/>
      <c r="U71" s="97"/>
      <c r="V71" s="97"/>
      <c r="W71" s="97"/>
      <c r="X71" s="97"/>
      <c r="Y71" s="97"/>
      <c r="Z71" s="97"/>
      <c r="AA71" s="32"/>
      <c r="AB71" s="97"/>
      <c r="AC71" s="97"/>
      <c r="AD71" s="97"/>
      <c r="AE71" s="97"/>
      <c r="AF71" s="97"/>
      <c r="AG71" s="97"/>
      <c r="AH71" s="97"/>
      <c r="AI71" s="97"/>
      <c r="AJ71" s="97"/>
    </row>
    <row r="72" spans="1:38" x14ac:dyDescent="0.45">
      <c r="A72" s="401" t="s">
        <v>67</v>
      </c>
      <c r="B72" s="377"/>
      <c r="C72" s="378"/>
      <c r="D72" s="131">
        <v>0</v>
      </c>
      <c r="E72" s="132">
        <v>0</v>
      </c>
      <c r="F72" s="132">
        <v>0</v>
      </c>
      <c r="G72" s="132">
        <v>0</v>
      </c>
      <c r="H72" s="132">
        <v>0</v>
      </c>
      <c r="I72" s="132">
        <v>0</v>
      </c>
      <c r="J72" s="133">
        <v>0</v>
      </c>
      <c r="K72" s="232">
        <f t="shared" si="0"/>
        <v>0</v>
      </c>
      <c r="L72" s="693"/>
      <c r="M72" s="412"/>
      <c r="N72" s="412"/>
      <c r="O72" s="412"/>
      <c r="P72" s="412"/>
      <c r="Q72" s="412"/>
      <c r="R72" s="412"/>
      <c r="S72" s="412"/>
      <c r="T72" s="412"/>
      <c r="U72" s="412"/>
      <c r="V72" s="99"/>
      <c r="W72" s="99"/>
      <c r="X72" s="99"/>
      <c r="Y72" s="99"/>
      <c r="Z72" s="99"/>
      <c r="AA72" s="32" t="e">
        <f>SUM(W121,S138,#REF!)</f>
        <v>#REF!</v>
      </c>
      <c r="AB72" s="98"/>
      <c r="AC72" s="98"/>
      <c r="AD72" s="98"/>
      <c r="AE72" s="98"/>
      <c r="AF72" s="98"/>
      <c r="AG72" s="98"/>
      <c r="AH72" s="98"/>
      <c r="AI72" s="98"/>
      <c r="AJ72" s="98"/>
      <c r="AK72" s="77"/>
      <c r="AL72" s="77"/>
    </row>
    <row r="73" spans="1:38" ht="15.75" customHeight="1" thickBot="1" x14ac:dyDescent="0.5">
      <c r="A73" s="720" t="s">
        <v>68</v>
      </c>
      <c r="B73" s="372"/>
      <c r="C73" s="372"/>
      <c r="D73" s="331">
        <v>0</v>
      </c>
      <c r="E73" s="106">
        <v>0</v>
      </c>
      <c r="F73" s="106">
        <v>0</v>
      </c>
      <c r="G73" s="106">
        <v>0</v>
      </c>
      <c r="H73" s="106">
        <v>0</v>
      </c>
      <c r="I73" s="106">
        <v>0</v>
      </c>
      <c r="J73" s="107">
        <v>0</v>
      </c>
      <c r="K73" s="234">
        <f t="shared" si="0"/>
        <v>0</v>
      </c>
      <c r="L73" s="693"/>
      <c r="M73" s="412"/>
      <c r="N73" s="412"/>
      <c r="O73" s="412"/>
      <c r="P73" s="412"/>
      <c r="Q73" s="412"/>
      <c r="R73" s="412"/>
      <c r="S73" s="412"/>
      <c r="T73" s="412"/>
      <c r="U73" s="412"/>
      <c r="V73" s="99"/>
      <c r="W73" s="99"/>
      <c r="X73" s="99"/>
      <c r="Y73" s="99"/>
      <c r="Z73" s="99"/>
      <c r="AA73" s="32" t="e">
        <f>SUM(W122,S139,#REF!)</f>
        <v>#REF!</v>
      </c>
      <c r="AB73" s="98"/>
      <c r="AC73" s="98"/>
      <c r="AD73" s="98"/>
      <c r="AE73" s="98"/>
      <c r="AF73" s="98"/>
      <c r="AG73" s="98"/>
      <c r="AH73" s="98"/>
      <c r="AI73" s="98"/>
      <c r="AJ73" s="98"/>
      <c r="AK73" s="77"/>
      <c r="AL73" s="77"/>
    </row>
    <row r="74" spans="1:38" ht="15.75" customHeight="1" thickTop="1" thickBot="1" x14ac:dyDescent="0.5">
      <c r="A74" s="694" t="s">
        <v>11</v>
      </c>
      <c r="B74" s="375"/>
      <c r="C74" s="366"/>
      <c r="D74" s="236">
        <f t="shared" ref="D74:K74" si="1">SUM(D67:D73)</f>
        <v>0</v>
      </c>
      <c r="E74" s="158">
        <f t="shared" si="1"/>
        <v>0</v>
      </c>
      <c r="F74" s="237">
        <f t="shared" si="1"/>
        <v>0</v>
      </c>
      <c r="G74" s="237">
        <f t="shared" si="1"/>
        <v>0</v>
      </c>
      <c r="H74" s="237">
        <f t="shared" si="1"/>
        <v>0</v>
      </c>
      <c r="I74" s="237">
        <f t="shared" si="1"/>
        <v>0</v>
      </c>
      <c r="J74" s="238">
        <f t="shared" si="1"/>
        <v>0</v>
      </c>
      <c r="K74" s="235">
        <f t="shared" si="1"/>
        <v>0</v>
      </c>
      <c r="L74" s="868" t="str">
        <f>IF(K74&lt;&gt;H20,"""Total"" doit être égal au ""Fermées pendant la période d'établissement de rapport""","")</f>
        <v/>
      </c>
      <c r="M74" s="868"/>
      <c r="N74" s="868"/>
      <c r="O74" s="868"/>
      <c r="P74" s="868"/>
      <c r="Q74" s="868"/>
      <c r="R74" s="868"/>
      <c r="V74" s="99"/>
      <c r="W74" s="99"/>
      <c r="X74" s="99"/>
      <c r="Y74" s="99"/>
      <c r="Z74" s="99"/>
      <c r="AA74" s="32" t="e">
        <f>SUM(W123,S140,#REF!)</f>
        <v>#REF!</v>
      </c>
      <c r="AB74" s="99"/>
      <c r="AC74" s="99"/>
      <c r="AD74" s="99"/>
      <c r="AE74" s="99"/>
      <c r="AF74" s="99"/>
      <c r="AG74" s="99"/>
      <c r="AH74" s="99"/>
      <c r="AI74" s="99"/>
    </row>
    <row r="75" spans="1:38" ht="15.75" customHeight="1" thickTop="1" x14ac:dyDescent="0.45">
      <c r="K75" s="103">
        <f>SUM(K67:K70,K72:K73)</f>
        <v>0</v>
      </c>
      <c r="L75" s="868"/>
      <c r="M75" s="868"/>
      <c r="N75" s="868"/>
      <c r="O75" s="868"/>
      <c r="P75" s="868"/>
      <c r="Q75" s="868"/>
      <c r="R75" s="868"/>
    </row>
    <row r="77" spans="1:38" x14ac:dyDescent="0.45">
      <c r="A77" s="506" t="s">
        <v>276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38" ht="15.75" customHeight="1" thickBot="1" x14ac:dyDescent="0.5"/>
    <row r="79" spans="1:38" ht="27.95" customHeight="1" thickTop="1" thickBot="1" x14ac:dyDescent="0.5">
      <c r="A79" s="403" t="s">
        <v>72</v>
      </c>
      <c r="B79" s="381"/>
      <c r="C79" s="723" t="s">
        <v>6</v>
      </c>
      <c r="D79" s="387"/>
      <c r="E79" s="403" t="s">
        <v>72</v>
      </c>
      <c r="F79" s="381"/>
      <c r="G79" s="542" t="s">
        <v>6</v>
      </c>
      <c r="H79" s="381"/>
      <c r="I79" s="403" t="s">
        <v>72</v>
      </c>
      <c r="J79" s="381"/>
      <c r="K79" s="542" t="s">
        <v>6</v>
      </c>
      <c r="L79" s="380"/>
      <c r="M79" s="252"/>
    </row>
    <row r="80" spans="1:38" ht="15.75" customHeight="1" thickTop="1" x14ac:dyDescent="0.45">
      <c r="A80" s="688" t="s">
        <v>277</v>
      </c>
      <c r="B80" s="354"/>
      <c r="C80" s="562">
        <v>0</v>
      </c>
      <c r="D80" s="446"/>
      <c r="E80" s="688" t="s">
        <v>278</v>
      </c>
      <c r="F80" s="354"/>
      <c r="G80" s="562">
        <v>0</v>
      </c>
      <c r="H80" s="446"/>
      <c r="I80" s="688" t="s">
        <v>279</v>
      </c>
      <c r="J80" s="354"/>
      <c r="K80" s="562">
        <v>0</v>
      </c>
      <c r="L80" s="475"/>
      <c r="M80" s="252"/>
    </row>
    <row r="81" spans="1:13" x14ac:dyDescent="0.45">
      <c r="A81" s="725" t="s">
        <v>280</v>
      </c>
      <c r="B81" s="350"/>
      <c r="C81" s="392">
        <v>0</v>
      </c>
      <c r="D81" s="357"/>
      <c r="E81" s="725" t="s">
        <v>281</v>
      </c>
      <c r="F81" s="350"/>
      <c r="G81" s="392">
        <v>0</v>
      </c>
      <c r="H81" s="357"/>
      <c r="I81" s="725" t="s">
        <v>282</v>
      </c>
      <c r="J81" s="350"/>
      <c r="K81" s="392">
        <v>0</v>
      </c>
      <c r="L81" s="356"/>
      <c r="M81" s="252"/>
    </row>
    <row r="82" spans="1:13" x14ac:dyDescent="0.45">
      <c r="A82" s="725" t="s">
        <v>283</v>
      </c>
      <c r="B82" s="350"/>
      <c r="C82" s="392">
        <v>0</v>
      </c>
      <c r="D82" s="357"/>
      <c r="E82" s="725" t="s">
        <v>284</v>
      </c>
      <c r="F82" s="350"/>
      <c r="G82" s="392">
        <v>0</v>
      </c>
      <c r="H82" s="357"/>
      <c r="I82" s="725" t="s">
        <v>285</v>
      </c>
      <c r="J82" s="350"/>
      <c r="K82" s="392">
        <v>0</v>
      </c>
      <c r="L82" s="391"/>
    </row>
    <row r="83" spans="1:13" x14ac:dyDescent="0.45">
      <c r="A83" s="725" t="s">
        <v>286</v>
      </c>
      <c r="B83" s="350"/>
      <c r="C83" s="392">
        <v>0</v>
      </c>
      <c r="D83" s="357"/>
      <c r="E83" s="725" t="s">
        <v>287</v>
      </c>
      <c r="F83" s="350"/>
      <c r="G83" s="392">
        <v>0</v>
      </c>
      <c r="H83" s="357"/>
      <c r="I83" s="725" t="s">
        <v>288</v>
      </c>
      <c r="J83" s="350"/>
      <c r="K83" s="392">
        <v>0</v>
      </c>
      <c r="L83" s="356"/>
      <c r="M83" s="252"/>
    </row>
    <row r="84" spans="1:13" x14ac:dyDescent="0.45">
      <c r="A84" s="725" t="s">
        <v>289</v>
      </c>
      <c r="B84" s="350"/>
      <c r="C84" s="392">
        <v>0</v>
      </c>
      <c r="D84" s="357"/>
      <c r="E84" s="725" t="s">
        <v>290</v>
      </c>
      <c r="F84" s="350"/>
      <c r="G84" s="392">
        <v>0</v>
      </c>
      <c r="H84" s="357"/>
      <c r="I84" s="725">
        <v>25</v>
      </c>
      <c r="J84" s="350"/>
      <c r="K84" s="392">
        <v>0</v>
      </c>
      <c r="L84" s="356"/>
      <c r="M84" s="252"/>
    </row>
    <row r="85" spans="1:13" x14ac:dyDescent="0.45">
      <c r="A85" s="725" t="s">
        <v>291</v>
      </c>
      <c r="B85" s="350"/>
      <c r="C85" s="392">
        <v>0</v>
      </c>
      <c r="D85" s="357"/>
      <c r="E85" s="725" t="s">
        <v>292</v>
      </c>
      <c r="F85" s="350"/>
      <c r="G85" s="392">
        <v>0</v>
      </c>
      <c r="H85" s="357"/>
      <c r="I85" s="725">
        <v>26</v>
      </c>
      <c r="J85" s="350"/>
      <c r="K85" s="392">
        <v>0</v>
      </c>
      <c r="L85" s="391"/>
    </row>
    <row r="86" spans="1:13" x14ac:dyDescent="0.45">
      <c r="A86" s="725" t="s">
        <v>293</v>
      </c>
      <c r="B86" s="350"/>
      <c r="C86" s="392">
        <v>0</v>
      </c>
      <c r="D86" s="357"/>
      <c r="E86" s="725">
        <v>22.1</v>
      </c>
      <c r="F86" s="350"/>
      <c r="G86" s="392">
        <v>0</v>
      </c>
      <c r="H86" s="357"/>
      <c r="I86" s="725">
        <v>27</v>
      </c>
      <c r="J86" s="350"/>
      <c r="K86" s="392">
        <v>0</v>
      </c>
      <c r="L86" s="356"/>
      <c r="M86" s="252"/>
    </row>
    <row r="87" spans="1:13" x14ac:dyDescent="0.45">
      <c r="A87" s="725" t="s">
        <v>294</v>
      </c>
      <c r="B87" s="350"/>
      <c r="C87" s="392">
        <v>0</v>
      </c>
      <c r="D87" s="357"/>
      <c r="E87" s="725">
        <v>22.2</v>
      </c>
      <c r="F87" s="350"/>
      <c r="G87" s="392">
        <v>0</v>
      </c>
      <c r="H87" s="357"/>
      <c r="I87" s="802">
        <v>27.1</v>
      </c>
      <c r="J87" s="350"/>
      <c r="K87" s="355">
        <v>0</v>
      </c>
      <c r="L87" s="356"/>
      <c r="M87" s="252"/>
    </row>
    <row r="88" spans="1:13" ht="15.75" customHeight="1" thickBot="1" x14ac:dyDescent="0.5">
      <c r="A88" s="724" t="s">
        <v>295</v>
      </c>
      <c r="B88" s="414"/>
      <c r="C88" s="347">
        <v>0</v>
      </c>
      <c r="D88" s="348"/>
      <c r="E88" s="725">
        <v>22.3</v>
      </c>
      <c r="F88" s="350"/>
      <c r="G88" s="392">
        <v>0</v>
      </c>
      <c r="H88" s="357"/>
      <c r="I88" s="724">
        <v>28</v>
      </c>
      <c r="J88" s="414"/>
      <c r="K88" s="347">
        <v>0</v>
      </c>
      <c r="L88" s="470"/>
      <c r="M88" s="332"/>
    </row>
    <row r="89" spans="1:13" ht="16.5" customHeight="1" thickTop="1" thickBot="1" x14ac:dyDescent="0.5">
      <c r="A89" s="33"/>
      <c r="B89" s="34"/>
      <c r="C89" s="34"/>
      <c r="D89" s="34"/>
      <c r="E89" s="902">
        <v>22.4</v>
      </c>
      <c r="F89" s="414"/>
      <c r="G89" s="677">
        <v>0</v>
      </c>
      <c r="H89" s="348"/>
      <c r="I89" s="213"/>
      <c r="J89" s="34"/>
      <c r="K89" s="34"/>
      <c r="L89" s="34"/>
    </row>
    <row r="90" spans="1:13" ht="15.75" customHeight="1" thickTop="1" x14ac:dyDescent="0.45"/>
    <row r="91" spans="1:13" x14ac:dyDescent="0.45">
      <c r="A91" s="468" t="s">
        <v>296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</row>
    <row r="92" spans="1:13" ht="15.75" customHeight="1" thickBot="1" x14ac:dyDescent="0.5"/>
    <row r="93" spans="1:13" ht="27" customHeight="1" thickTop="1" thickBot="1" x14ac:dyDescent="0.5">
      <c r="A93" s="403" t="s">
        <v>72</v>
      </c>
      <c r="B93" s="381"/>
      <c r="C93" s="723" t="s">
        <v>6</v>
      </c>
      <c r="D93" s="387"/>
      <c r="E93" s="403" t="s">
        <v>72</v>
      </c>
      <c r="F93" s="381"/>
      <c r="G93" s="542" t="s">
        <v>6</v>
      </c>
      <c r="H93" s="381"/>
      <c r="I93" s="403" t="s">
        <v>72</v>
      </c>
      <c r="J93" s="381"/>
      <c r="K93" s="542" t="s">
        <v>6</v>
      </c>
      <c r="L93" s="380"/>
      <c r="M93" s="252"/>
    </row>
    <row r="94" spans="1:13" ht="15.75" customHeight="1" thickTop="1" x14ac:dyDescent="0.45">
      <c r="A94" s="688" t="s">
        <v>128</v>
      </c>
      <c r="B94" s="354"/>
      <c r="C94" s="562">
        <v>0</v>
      </c>
      <c r="D94" s="446"/>
      <c r="E94" s="770" t="s">
        <v>297</v>
      </c>
      <c r="F94" s="361"/>
      <c r="G94" s="787">
        <v>0</v>
      </c>
      <c r="H94" s="424"/>
      <c r="I94" s="688" t="s">
        <v>298</v>
      </c>
      <c r="J94" s="354"/>
      <c r="K94" s="589">
        <v>0</v>
      </c>
      <c r="L94" s="370"/>
    </row>
    <row r="95" spans="1:13" x14ac:dyDescent="0.45">
      <c r="A95" s="725" t="s">
        <v>131</v>
      </c>
      <c r="B95" s="350"/>
      <c r="C95" s="392">
        <v>0</v>
      </c>
      <c r="D95" s="357"/>
      <c r="E95" s="688" t="s">
        <v>299</v>
      </c>
      <c r="F95" s="354"/>
      <c r="G95" s="562">
        <v>0</v>
      </c>
      <c r="H95" s="446"/>
      <c r="I95" s="725" t="s">
        <v>300</v>
      </c>
      <c r="J95" s="350"/>
      <c r="K95" s="392">
        <v>0</v>
      </c>
      <c r="L95" s="391"/>
    </row>
    <row r="96" spans="1:13" ht="15.75" customHeight="1" thickBot="1" x14ac:dyDescent="0.5">
      <c r="A96" s="724">
        <v>69.099999999999994</v>
      </c>
      <c r="B96" s="414"/>
      <c r="C96" s="347">
        <v>0</v>
      </c>
      <c r="D96" s="348"/>
      <c r="E96" s="725" t="s">
        <v>301</v>
      </c>
      <c r="F96" s="350"/>
      <c r="G96" s="607">
        <v>0</v>
      </c>
      <c r="H96" s="391"/>
      <c r="I96" s="725" t="s">
        <v>302</v>
      </c>
      <c r="J96" s="350"/>
      <c r="K96" s="392">
        <v>0</v>
      </c>
      <c r="L96" s="391"/>
    </row>
    <row r="97" spans="1:29" ht="16.5" customHeight="1" thickTop="1" thickBot="1" x14ac:dyDescent="0.5">
      <c r="A97" s="35"/>
      <c r="B97" s="35"/>
      <c r="C97" s="35"/>
      <c r="D97" s="35"/>
      <c r="E97" s="724" t="s">
        <v>303</v>
      </c>
      <c r="F97" s="414"/>
      <c r="G97" s="837">
        <v>0</v>
      </c>
      <c r="H97" s="430"/>
      <c r="I97" s="724">
        <v>70.099999999999994</v>
      </c>
      <c r="J97" s="414"/>
      <c r="K97" s="347">
        <v>0</v>
      </c>
      <c r="L97" s="430"/>
      <c r="M97" s="152"/>
    </row>
    <row r="98" spans="1:29" ht="15.75" customHeight="1" thickTop="1" x14ac:dyDescent="0.45">
      <c r="A98" s="35"/>
      <c r="B98" s="35"/>
      <c r="C98" s="35"/>
      <c r="D98" s="35"/>
      <c r="E98" s="36"/>
      <c r="F98" s="36"/>
      <c r="G98" s="37"/>
      <c r="H98" s="37"/>
      <c r="I98" s="36"/>
      <c r="J98" s="38"/>
      <c r="K98" s="37"/>
      <c r="L98" s="37"/>
      <c r="M98" s="809"/>
      <c r="N98" s="412"/>
      <c r="O98" s="412"/>
      <c r="P98" s="412"/>
      <c r="Q98" s="412"/>
      <c r="R98" s="412"/>
      <c r="S98" s="412"/>
      <c r="T98" s="412"/>
      <c r="U98" s="412"/>
      <c r="V98" s="412"/>
      <c r="W98" s="412"/>
      <c r="X98" s="412"/>
      <c r="Y98" s="412"/>
      <c r="Z98" s="412"/>
      <c r="AA98" s="412"/>
      <c r="AB98" s="412"/>
      <c r="AC98" s="412"/>
    </row>
    <row r="99" spans="1:29" x14ac:dyDescent="0.45">
      <c r="A99" s="468" t="s">
        <v>304</v>
      </c>
      <c r="B99" s="352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412"/>
      <c r="N99" s="412"/>
      <c r="O99" s="412"/>
      <c r="P99" s="412"/>
      <c r="Q99" s="412"/>
      <c r="R99" s="412"/>
      <c r="S99" s="412"/>
      <c r="T99" s="412"/>
      <c r="U99" s="412"/>
      <c r="V99" s="412"/>
      <c r="W99" s="412"/>
      <c r="X99" s="412"/>
      <c r="Y99" s="412"/>
      <c r="Z99" s="412"/>
      <c r="AA99" s="412"/>
      <c r="AB99" s="412"/>
      <c r="AC99" s="412"/>
    </row>
    <row r="100" spans="1:29" ht="15.75" customHeight="1" thickBot="1" x14ac:dyDescent="0.5">
      <c r="A100" s="35"/>
      <c r="B100" s="35"/>
      <c r="C100" s="35"/>
      <c r="D100" s="35"/>
      <c r="E100" s="36"/>
      <c r="F100" s="36"/>
      <c r="G100" s="37"/>
      <c r="H100" s="37"/>
      <c r="I100" s="36"/>
      <c r="M100" s="714"/>
      <c r="N100" s="412"/>
      <c r="O100" s="412"/>
      <c r="P100" s="412"/>
      <c r="Q100" s="412"/>
      <c r="R100" s="412"/>
      <c r="S100" s="412"/>
      <c r="T100" s="412"/>
      <c r="U100" s="412"/>
      <c r="V100" s="412"/>
      <c r="W100" s="412"/>
      <c r="X100" s="412"/>
      <c r="Y100" s="412"/>
      <c r="Z100" s="412"/>
      <c r="AA100" s="412"/>
      <c r="AB100" s="412"/>
      <c r="AC100" s="412"/>
    </row>
    <row r="101" spans="1:29" ht="15.75" customHeight="1" thickTop="1" x14ac:dyDescent="0.45">
      <c r="A101" s="616" t="s">
        <v>145</v>
      </c>
      <c r="B101" s="395"/>
      <c r="C101" s="716" t="s">
        <v>146</v>
      </c>
      <c r="D101" s="360"/>
      <c r="E101" s="360"/>
      <c r="F101" s="360"/>
      <c r="G101" s="360"/>
      <c r="H101" s="806" t="s">
        <v>147</v>
      </c>
      <c r="I101" s="395"/>
      <c r="M101" s="798"/>
      <c r="N101" s="412"/>
      <c r="O101" s="412"/>
      <c r="P101" s="412"/>
      <c r="Q101" s="412"/>
      <c r="R101" s="412"/>
      <c r="S101" s="412"/>
      <c r="T101" s="412"/>
      <c r="U101" s="412"/>
      <c r="V101" s="412"/>
      <c r="W101" s="412"/>
      <c r="X101" s="412"/>
      <c r="Y101" s="412"/>
      <c r="Z101" s="412"/>
      <c r="AA101" s="412"/>
      <c r="AB101" s="412"/>
      <c r="AC101" s="412"/>
    </row>
    <row r="102" spans="1:29" ht="39.4" customHeight="1" thickBot="1" x14ac:dyDescent="0.5">
      <c r="A102" s="396"/>
      <c r="B102" s="397"/>
      <c r="C102" s="788" t="s">
        <v>148</v>
      </c>
      <c r="D102" s="414"/>
      <c r="E102" s="146" t="s">
        <v>149</v>
      </c>
      <c r="F102" s="147" t="s">
        <v>150</v>
      </c>
      <c r="G102" s="148" t="s">
        <v>151</v>
      </c>
      <c r="H102" s="807"/>
      <c r="I102" s="808"/>
      <c r="M102" s="798"/>
      <c r="N102" s="412"/>
      <c r="O102" s="412"/>
      <c r="P102" s="412"/>
      <c r="Q102" s="412"/>
      <c r="R102" s="412"/>
      <c r="S102" s="412"/>
      <c r="T102" s="412"/>
      <c r="U102" s="412"/>
      <c r="V102" s="412"/>
      <c r="W102" s="412"/>
      <c r="X102" s="412"/>
      <c r="Y102" s="412"/>
      <c r="Z102" s="412"/>
      <c r="AA102" s="412"/>
      <c r="AB102" s="412"/>
      <c r="AC102" s="412"/>
    </row>
    <row r="103" spans="1:29" ht="15.75" customHeight="1" thickTop="1" thickBot="1" x14ac:dyDescent="0.5">
      <c r="A103" s="582">
        <v>0</v>
      </c>
      <c r="B103" s="399"/>
      <c r="C103" s="458">
        <v>0</v>
      </c>
      <c r="D103" s="450"/>
      <c r="E103" s="184">
        <v>0</v>
      </c>
      <c r="F103" s="181">
        <v>0</v>
      </c>
      <c r="G103" s="214">
        <v>0</v>
      </c>
      <c r="H103" s="582">
        <v>0</v>
      </c>
      <c r="I103" s="399"/>
      <c r="J103" s="99"/>
      <c r="K103" s="99"/>
      <c r="L103" s="99"/>
      <c r="M103" s="741"/>
      <c r="N103" s="412"/>
      <c r="O103" s="412"/>
      <c r="P103" s="412"/>
      <c r="Q103" s="412"/>
      <c r="R103" s="412"/>
      <c r="S103" s="412"/>
      <c r="T103" s="412"/>
      <c r="U103" s="412"/>
      <c r="V103" s="412"/>
      <c r="W103" s="412"/>
      <c r="X103" s="412"/>
      <c r="Y103" s="412"/>
      <c r="Z103" s="412"/>
      <c r="AA103" s="412"/>
      <c r="AB103" s="412"/>
      <c r="AC103" s="412"/>
    </row>
    <row r="104" spans="1:29" ht="17.25" customHeight="1" thickTop="1" x14ac:dyDescent="0.45">
      <c r="A104" s="35"/>
      <c r="B104" s="35"/>
      <c r="C104" s="35"/>
      <c r="D104" s="35"/>
      <c r="E104" s="36"/>
      <c r="F104" s="36"/>
      <c r="G104" s="37"/>
      <c r="H104" s="37"/>
      <c r="I104" s="36"/>
      <c r="J104" s="99"/>
      <c r="K104" s="99"/>
      <c r="L104" s="99"/>
      <c r="M104" s="741"/>
      <c r="N104" s="412"/>
      <c r="O104" s="412"/>
      <c r="P104" s="412"/>
      <c r="Q104" s="412"/>
      <c r="R104" s="412"/>
      <c r="S104" s="412"/>
      <c r="T104" s="412"/>
      <c r="U104" s="412"/>
      <c r="V104" s="412"/>
      <c r="W104" s="412"/>
      <c r="X104" s="412"/>
      <c r="Y104" s="412"/>
      <c r="Z104" s="412"/>
      <c r="AA104" s="412"/>
      <c r="AB104" s="412"/>
      <c r="AC104" s="412"/>
    </row>
    <row r="105" spans="1:29" x14ac:dyDescent="0.45">
      <c r="A105" s="506" t="s">
        <v>305</v>
      </c>
      <c r="B105" s="352"/>
      <c r="C105" s="352"/>
      <c r="D105" s="352"/>
      <c r="E105" s="352"/>
      <c r="F105" s="352"/>
      <c r="G105" s="352"/>
      <c r="H105" s="352"/>
      <c r="I105" s="352"/>
      <c r="J105" s="352"/>
      <c r="K105" s="352"/>
      <c r="L105" s="352"/>
      <c r="M105" s="798"/>
      <c r="N105" s="412"/>
      <c r="O105" s="412"/>
      <c r="P105" s="412"/>
      <c r="Q105" s="412"/>
      <c r="R105" s="412"/>
      <c r="S105" s="412"/>
      <c r="T105" s="412"/>
      <c r="U105" s="412"/>
      <c r="V105" s="412"/>
      <c r="W105" s="412"/>
      <c r="X105" s="412"/>
      <c r="Y105" s="412"/>
      <c r="Z105" s="412"/>
      <c r="AA105" s="412"/>
      <c r="AB105" s="412"/>
      <c r="AC105" s="412"/>
    </row>
    <row r="106" spans="1:29" x14ac:dyDescent="0.45">
      <c r="A106" s="31"/>
      <c r="L106" s="37"/>
      <c r="M106" s="152"/>
    </row>
    <row r="107" spans="1:29" x14ac:dyDescent="0.45">
      <c r="A107" s="408" t="s">
        <v>306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152"/>
    </row>
    <row r="108" spans="1:29" ht="15.75" customHeight="1" thickBot="1" x14ac:dyDescent="0.5">
      <c r="L108" s="37"/>
      <c r="M108" s="152"/>
    </row>
    <row r="109" spans="1:29" ht="28.5" customHeight="1" thickTop="1" thickBot="1" x14ac:dyDescent="0.5">
      <c r="A109" s="482" t="s">
        <v>154</v>
      </c>
      <c r="B109" s="394"/>
      <c r="C109" s="453"/>
      <c r="D109" s="790" t="s">
        <v>155</v>
      </c>
      <c r="E109" s="394"/>
      <c r="F109" s="453"/>
      <c r="G109" s="553" t="s">
        <v>6</v>
      </c>
      <c r="H109" s="394"/>
      <c r="I109" s="394"/>
      <c r="J109" s="825"/>
      <c r="K109" s="352"/>
      <c r="L109" s="352"/>
      <c r="M109" s="412"/>
      <c r="N109" s="412"/>
      <c r="O109" s="412"/>
      <c r="P109" s="412"/>
      <c r="Q109" s="412"/>
      <c r="R109" s="412"/>
      <c r="S109" s="412"/>
      <c r="T109" s="412"/>
    </row>
    <row r="110" spans="1:29" ht="15.75" customHeight="1" thickTop="1" thickBot="1" x14ac:dyDescent="0.5">
      <c r="A110" s="636">
        <v>0</v>
      </c>
      <c r="B110" s="363"/>
      <c r="C110" s="364"/>
      <c r="D110" s="362">
        <v>0</v>
      </c>
      <c r="E110" s="363"/>
      <c r="F110" s="364"/>
      <c r="G110" s="362">
        <v>0</v>
      </c>
      <c r="H110" s="363"/>
      <c r="I110" s="399"/>
      <c r="J110" s="693"/>
      <c r="K110" s="352"/>
      <c r="L110" s="352"/>
      <c r="M110" s="412"/>
      <c r="N110" s="412"/>
      <c r="O110" s="412"/>
      <c r="P110" s="412"/>
      <c r="Q110" s="412"/>
      <c r="R110" s="412"/>
      <c r="S110" s="412"/>
    </row>
    <row r="111" spans="1:29" ht="24" customHeight="1" thickTop="1" x14ac:dyDescent="0.45">
      <c r="A111" s="35"/>
      <c r="B111" s="35"/>
      <c r="C111" s="35"/>
      <c r="D111" s="35"/>
      <c r="E111" s="36"/>
      <c r="F111" s="36"/>
      <c r="G111" s="37"/>
      <c r="H111" s="37"/>
      <c r="I111" s="36"/>
      <c r="J111" s="352"/>
      <c r="K111" s="352"/>
      <c r="L111" s="352"/>
      <c r="M111" s="412"/>
      <c r="N111" s="412"/>
      <c r="O111" s="412"/>
      <c r="P111" s="412"/>
      <c r="Q111" s="412"/>
      <c r="R111" s="412"/>
      <c r="S111" s="412"/>
    </row>
    <row r="112" spans="1:29" x14ac:dyDescent="0.45">
      <c r="A112" s="752" t="s">
        <v>307</v>
      </c>
      <c r="B112" s="352"/>
      <c r="C112" s="352"/>
      <c r="D112" s="352"/>
      <c r="E112" s="352"/>
      <c r="F112" s="352"/>
      <c r="G112" s="352"/>
      <c r="H112" s="352"/>
      <c r="I112" s="352"/>
      <c r="J112" s="352"/>
      <c r="K112" s="352"/>
      <c r="L112" s="352"/>
      <c r="M112" s="260"/>
    </row>
    <row r="113" spans="1:30" x14ac:dyDescent="0.45">
      <c r="A113" s="352"/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260"/>
    </row>
    <row r="114" spans="1:30" ht="15.75" customHeight="1" thickBot="1" x14ac:dyDescent="0.5">
      <c r="M114" s="260"/>
    </row>
    <row r="115" spans="1:30" ht="30.75" customHeight="1" thickTop="1" thickBot="1" x14ac:dyDescent="0.5">
      <c r="A115" s="410" t="s">
        <v>157</v>
      </c>
      <c r="B115" s="395"/>
      <c r="C115" s="530" t="s">
        <v>158</v>
      </c>
      <c r="D115" s="488"/>
      <c r="E115" s="382" t="s">
        <v>159</v>
      </c>
      <c r="F115" s="361"/>
      <c r="G115" s="382" t="s">
        <v>160</v>
      </c>
      <c r="H115" s="488"/>
      <c r="I115" s="260"/>
      <c r="J115"/>
      <c r="K115"/>
      <c r="L115"/>
    </row>
    <row r="116" spans="1:30" ht="51" customHeight="1" thickTop="1" thickBot="1" x14ac:dyDescent="0.5">
      <c r="A116" s="396"/>
      <c r="B116" s="397"/>
      <c r="C116" s="264" t="s">
        <v>6</v>
      </c>
      <c r="D116" s="279" t="s">
        <v>60</v>
      </c>
      <c r="E116" s="264" t="s">
        <v>6</v>
      </c>
      <c r="F116" s="279" t="s">
        <v>60</v>
      </c>
      <c r="G116" s="264" t="s">
        <v>6</v>
      </c>
      <c r="H116" s="279" t="s">
        <v>60</v>
      </c>
      <c r="I116" s="260"/>
      <c r="J116"/>
      <c r="K116"/>
      <c r="L116"/>
    </row>
    <row r="117" spans="1:30" ht="15.75" customHeight="1" thickTop="1" x14ac:dyDescent="0.45">
      <c r="A117" s="511" t="s">
        <v>61</v>
      </c>
      <c r="B117" s="488"/>
      <c r="C117" s="254">
        <v>0</v>
      </c>
      <c r="D117" s="280">
        <v>0</v>
      </c>
      <c r="E117" s="254">
        <v>0</v>
      </c>
      <c r="F117" s="280">
        <v>0</v>
      </c>
      <c r="G117" s="254">
        <v>0</v>
      </c>
      <c r="H117" s="280">
        <v>0</v>
      </c>
      <c r="I117" s="750"/>
      <c r="J117" s="412"/>
      <c r="K117" s="412"/>
      <c r="L117" s="412"/>
      <c r="M117" s="412"/>
      <c r="N117" s="412"/>
      <c r="O117" s="412"/>
      <c r="P117" s="412"/>
      <c r="Q117" s="412"/>
      <c r="R117" s="412"/>
      <c r="S117" s="412"/>
      <c r="T117" s="412"/>
      <c r="U117" s="412"/>
      <c r="V117" s="412"/>
      <c r="W117" s="104"/>
      <c r="X117" s="98"/>
      <c r="Y117" s="98"/>
      <c r="Z117" s="98"/>
    </row>
    <row r="118" spans="1:30" ht="27.75" customHeight="1" x14ac:dyDescent="0.45">
      <c r="A118" s="426" t="s">
        <v>62</v>
      </c>
      <c r="B118" s="378"/>
      <c r="C118" s="257">
        <v>0</v>
      </c>
      <c r="D118" s="15">
        <v>0</v>
      </c>
      <c r="E118" s="257">
        <v>0</v>
      </c>
      <c r="F118" s="15">
        <v>0</v>
      </c>
      <c r="G118" s="257">
        <v>0</v>
      </c>
      <c r="H118" s="15">
        <v>0</v>
      </c>
      <c r="I118" s="750"/>
      <c r="J118" s="412"/>
      <c r="K118" s="412"/>
      <c r="L118" s="412"/>
      <c r="M118" s="412"/>
      <c r="N118" s="412"/>
      <c r="O118" s="412"/>
      <c r="P118" s="412"/>
      <c r="Q118" s="412"/>
      <c r="R118" s="412"/>
      <c r="S118" s="412"/>
      <c r="T118" s="412"/>
      <c r="U118" s="412"/>
      <c r="V118" s="412"/>
      <c r="W118" s="104"/>
      <c r="X118" s="98"/>
      <c r="Y118" s="98"/>
      <c r="Z118" s="98"/>
    </row>
    <row r="119" spans="1:30" x14ac:dyDescent="0.45">
      <c r="A119" s="426" t="s">
        <v>63</v>
      </c>
      <c r="B119" s="378"/>
      <c r="C119" s="257">
        <v>0</v>
      </c>
      <c r="D119" s="15">
        <v>0</v>
      </c>
      <c r="E119" s="257">
        <v>0</v>
      </c>
      <c r="F119" s="15">
        <v>0</v>
      </c>
      <c r="G119" s="257">
        <v>0</v>
      </c>
      <c r="H119" s="15">
        <v>0</v>
      </c>
      <c r="I119" s="750"/>
      <c r="J119" s="412"/>
      <c r="K119" s="412"/>
      <c r="L119" s="412"/>
      <c r="M119" s="412"/>
      <c r="N119" s="412"/>
      <c r="O119" s="412"/>
      <c r="P119" s="412"/>
      <c r="Q119" s="412"/>
      <c r="R119" s="412"/>
      <c r="S119" s="412"/>
      <c r="T119" s="412"/>
      <c r="U119" s="412"/>
      <c r="V119" s="412"/>
      <c r="W119" s="104"/>
      <c r="X119" s="98"/>
      <c r="Y119" s="98"/>
      <c r="Z119" s="98"/>
    </row>
    <row r="120" spans="1:30" x14ac:dyDescent="0.45">
      <c r="A120" s="426" t="s">
        <v>64</v>
      </c>
      <c r="B120" s="378"/>
      <c r="C120" s="257">
        <v>0</v>
      </c>
      <c r="D120" s="15">
        <v>0</v>
      </c>
      <c r="E120" s="257">
        <v>0</v>
      </c>
      <c r="F120" s="15">
        <v>0</v>
      </c>
      <c r="G120" s="257">
        <v>0</v>
      </c>
      <c r="H120" s="15">
        <v>0</v>
      </c>
      <c r="I120" s="750"/>
      <c r="J120" s="412"/>
      <c r="K120" s="412"/>
      <c r="L120" s="412"/>
      <c r="M120" s="412"/>
      <c r="N120" s="412"/>
      <c r="O120" s="412"/>
      <c r="P120" s="412"/>
      <c r="Q120" s="412"/>
      <c r="R120" s="412"/>
      <c r="S120" s="412"/>
      <c r="T120" s="412"/>
      <c r="U120" s="412"/>
      <c r="V120" s="412"/>
      <c r="W120" s="104"/>
      <c r="X120" s="98"/>
      <c r="Y120" s="98"/>
      <c r="Z120" s="98"/>
    </row>
    <row r="121" spans="1:30" x14ac:dyDescent="0.45">
      <c r="A121" s="426" t="s">
        <v>67</v>
      </c>
      <c r="B121" s="378"/>
      <c r="C121" s="257">
        <v>0</v>
      </c>
      <c r="D121" s="281">
        <v>0</v>
      </c>
      <c r="E121" s="257">
        <v>0</v>
      </c>
      <c r="F121" s="281">
        <v>0</v>
      </c>
      <c r="G121" s="257">
        <v>0</v>
      </c>
      <c r="H121" s="15">
        <v>0</v>
      </c>
      <c r="I121" s="750"/>
      <c r="J121" s="412"/>
      <c r="K121" s="412"/>
      <c r="L121" s="412"/>
      <c r="M121" s="412"/>
      <c r="N121" s="412"/>
      <c r="O121" s="412"/>
      <c r="P121" s="412"/>
      <c r="Q121" s="412"/>
      <c r="R121" s="412"/>
      <c r="S121" s="412"/>
      <c r="T121" s="412"/>
      <c r="U121" s="412"/>
      <c r="V121" s="412"/>
      <c r="W121" s="104"/>
      <c r="X121" s="98"/>
      <c r="Y121" s="98"/>
      <c r="Z121" s="98"/>
    </row>
    <row r="122" spans="1:30" ht="27.75" customHeight="1" thickBot="1" x14ac:dyDescent="0.5">
      <c r="A122" s="587" t="s">
        <v>68</v>
      </c>
      <c r="B122" s="588"/>
      <c r="C122" s="256">
        <v>0</v>
      </c>
      <c r="D122" s="291">
        <v>0</v>
      </c>
      <c r="E122" s="292">
        <v>0</v>
      </c>
      <c r="F122" s="291">
        <v>0</v>
      </c>
      <c r="G122" s="292">
        <v>0</v>
      </c>
      <c r="H122" s="293">
        <v>0</v>
      </c>
      <c r="I122" s="750"/>
      <c r="J122" s="412"/>
      <c r="K122" s="412"/>
      <c r="L122" s="412"/>
      <c r="M122" s="412"/>
      <c r="N122" s="412"/>
      <c r="O122" s="412"/>
      <c r="P122" s="412"/>
      <c r="Q122" s="412"/>
      <c r="R122" s="412"/>
      <c r="S122" s="412"/>
      <c r="T122" s="412"/>
      <c r="U122" s="412"/>
      <c r="V122" s="412"/>
      <c r="W122" s="104"/>
      <c r="X122" s="98"/>
      <c r="Y122" s="98"/>
      <c r="Z122" s="98"/>
    </row>
    <row r="123" spans="1:30" ht="16.5" customHeight="1" thickTop="1" thickBot="1" x14ac:dyDescent="0.5">
      <c r="A123" s="417" t="s">
        <v>11</v>
      </c>
      <c r="B123" s="387"/>
      <c r="C123" s="294">
        <f t="shared" ref="C123:H123" si="2">SUM(C117:C122)</f>
        <v>0</v>
      </c>
      <c r="D123" s="295">
        <f t="shared" si="2"/>
        <v>0</v>
      </c>
      <c r="E123" s="294">
        <f t="shared" si="2"/>
        <v>0</v>
      </c>
      <c r="F123" s="295">
        <f t="shared" si="2"/>
        <v>0</v>
      </c>
      <c r="G123" s="294">
        <f t="shared" si="2"/>
        <v>0</v>
      </c>
      <c r="H123" s="295">
        <f t="shared" si="2"/>
        <v>0</v>
      </c>
      <c r="I123" s="340" t="str">
        <f>IF(G110&lt;&gt;SUM(C123,E123,G123),"Section 3.5.2 - La somme des Colonnes ""Nombre de demandes"" de ""Total"" doit être égale au ""Nombre de demandes"" de la Section 3.5.1.","")</f>
        <v/>
      </c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8"/>
      <c r="X123" s="338"/>
      <c r="Y123" s="338"/>
      <c r="Z123" s="338"/>
      <c r="AA123" s="337"/>
      <c r="AB123" s="337"/>
      <c r="AC123" s="337"/>
      <c r="AD123" s="337"/>
    </row>
    <row r="124" spans="1:30" ht="15.75" customHeight="1" thickTop="1" x14ac:dyDescent="0.45">
      <c r="A124" s="53"/>
      <c r="B124" s="53"/>
      <c r="C124" s="44"/>
      <c r="D124" s="44"/>
      <c r="E124" s="44"/>
      <c r="F124" s="737"/>
      <c r="G124" s="352"/>
      <c r="H124" s="44"/>
      <c r="I124" s="343" t="str">
        <f>IF(A110&lt;&gt;SUM(D123,F123,H123),"Section 3.5.2 - La somme des Colonnes ""Pages traitées"" doit être égale au ""Nombre de page traitées"" de la Section 3.5.1.","")</f>
        <v/>
      </c>
      <c r="J124" s="339"/>
      <c r="K124" s="339"/>
      <c r="L124" s="339"/>
      <c r="M124" s="338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  <c r="AB124" s="337"/>
      <c r="AC124" s="337"/>
      <c r="AD124" s="337"/>
    </row>
    <row r="125" spans="1:30" x14ac:dyDescent="0.45">
      <c r="A125" s="547" t="s">
        <v>308</v>
      </c>
      <c r="B125" s="352"/>
      <c r="C125" s="352"/>
      <c r="D125" s="352"/>
      <c r="E125" s="352"/>
      <c r="F125" s="352"/>
      <c r="G125" s="352"/>
      <c r="H125" s="352"/>
      <c r="I125" s="352"/>
      <c r="J125" s="352"/>
      <c r="K125" s="352"/>
      <c r="L125" s="352"/>
    </row>
    <row r="126" spans="1:30" ht="15.75" customHeight="1" thickBot="1" x14ac:dyDescent="0.5"/>
    <row r="127" spans="1:30" ht="27.75" customHeight="1" thickTop="1" thickBot="1" x14ac:dyDescent="0.5">
      <c r="A127" s="647" t="s">
        <v>162</v>
      </c>
      <c r="B127" s="380"/>
      <c r="C127" s="381"/>
      <c r="D127" s="550" t="s">
        <v>163</v>
      </c>
      <c r="E127" s="380"/>
      <c r="F127" s="381"/>
      <c r="G127" s="679" t="s">
        <v>6</v>
      </c>
      <c r="H127" s="380"/>
      <c r="I127" s="387"/>
      <c r="J127" s="904"/>
      <c r="K127" s="352"/>
      <c r="L127" s="352"/>
      <c r="M127" s="412"/>
      <c r="N127" s="412"/>
      <c r="O127" s="412"/>
      <c r="P127" s="412"/>
      <c r="Q127" s="412"/>
      <c r="R127" s="412"/>
      <c r="S127" s="412"/>
      <c r="T127" s="412"/>
      <c r="U127" s="98"/>
      <c r="V127" s="97"/>
    </row>
    <row r="128" spans="1:30" ht="15.75" customHeight="1" thickTop="1" thickBot="1" x14ac:dyDescent="0.5">
      <c r="A128" s="494">
        <v>0</v>
      </c>
      <c r="B128" s="363"/>
      <c r="C128" s="364"/>
      <c r="D128" s="489">
        <v>0</v>
      </c>
      <c r="E128" s="363"/>
      <c r="F128" s="364"/>
      <c r="G128" s="519">
        <v>0</v>
      </c>
      <c r="H128" s="363"/>
      <c r="I128" s="399"/>
      <c r="J128" s="693"/>
      <c r="K128" s="352"/>
      <c r="L128" s="352"/>
      <c r="M128" s="412"/>
      <c r="N128" s="412"/>
      <c r="O128" s="412"/>
      <c r="P128" s="412"/>
      <c r="Q128" s="412"/>
      <c r="R128" s="412"/>
      <c r="S128" s="412"/>
      <c r="T128" s="99"/>
      <c r="U128" s="99"/>
      <c r="V128" s="99"/>
    </row>
    <row r="129" spans="1:36" ht="21" customHeight="1" thickTop="1" x14ac:dyDescent="0.45">
      <c r="A129" s="40"/>
      <c r="B129" s="40"/>
      <c r="C129" s="40"/>
      <c r="D129" s="40"/>
      <c r="E129" s="41"/>
      <c r="F129" s="41"/>
      <c r="G129" s="24"/>
      <c r="H129" s="24"/>
      <c r="I129" s="24"/>
      <c r="J129" s="352"/>
      <c r="K129" s="352"/>
      <c r="L129" s="352"/>
      <c r="M129" s="412"/>
      <c r="N129" s="412"/>
      <c r="O129" s="412"/>
      <c r="P129" s="412"/>
      <c r="Q129" s="412"/>
      <c r="R129" s="412"/>
      <c r="S129" s="412"/>
      <c r="T129" s="99"/>
      <c r="U129" s="99"/>
      <c r="V129" s="99"/>
    </row>
    <row r="130" spans="1:36" x14ac:dyDescent="0.45">
      <c r="A130" s="794" t="s">
        <v>309</v>
      </c>
      <c r="B130" s="352"/>
      <c r="C130" s="352"/>
      <c r="D130" s="352"/>
      <c r="E130" s="352"/>
      <c r="F130" s="352"/>
      <c r="G130" s="352"/>
      <c r="H130" s="352"/>
      <c r="I130" s="352"/>
      <c r="J130" s="352"/>
      <c r="K130" s="352"/>
      <c r="L130" s="352"/>
      <c r="M130" s="412"/>
      <c r="N130" s="412"/>
      <c r="O130" s="412"/>
      <c r="P130" s="412"/>
      <c r="Q130" s="412"/>
      <c r="R130" s="412"/>
      <c r="S130" s="260"/>
    </row>
    <row r="131" spans="1:36" ht="15.75" customHeight="1" thickBot="1" x14ac:dyDescent="0.5">
      <c r="A131" s="296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S131" s="260"/>
    </row>
    <row r="132" spans="1:36" s="297" customFormat="1" ht="15" customHeight="1" thickTop="1" x14ac:dyDescent="0.35">
      <c r="A132" s="793" t="s">
        <v>157</v>
      </c>
      <c r="B132" s="394"/>
      <c r="C132" s="453"/>
      <c r="D132" s="921" t="s">
        <v>6</v>
      </c>
      <c r="E132" s="917"/>
      <c r="F132" s="917"/>
      <c r="G132" s="917" t="s">
        <v>165</v>
      </c>
      <c r="H132" s="918"/>
      <c r="I132" s="262"/>
    </row>
    <row r="133" spans="1:36" s="297" customFormat="1" ht="15.75" customHeight="1" thickBot="1" x14ac:dyDescent="0.4">
      <c r="A133" s="420"/>
      <c r="B133" s="421"/>
      <c r="C133" s="354"/>
      <c r="D133" s="922"/>
      <c r="E133" s="919"/>
      <c r="F133" s="919"/>
      <c r="G133" s="919"/>
      <c r="H133" s="920"/>
      <c r="I133" s="16"/>
    </row>
    <row r="134" spans="1:36" s="297" customFormat="1" ht="13.5" customHeight="1" thickTop="1" x14ac:dyDescent="0.45">
      <c r="A134" s="824" t="s">
        <v>61</v>
      </c>
      <c r="B134" s="421"/>
      <c r="C134" s="354"/>
      <c r="D134" s="899">
        <v>0</v>
      </c>
      <c r="E134" s="475"/>
      <c r="F134" s="446"/>
      <c r="G134" s="878">
        <v>0</v>
      </c>
      <c r="H134" s="68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298" t="e">
        <f>SUM(D134,#REF!,#REF!)</f>
        <v>#REF!</v>
      </c>
      <c r="T134" s="102"/>
      <c r="U134" s="102"/>
      <c r="V134" s="102"/>
      <c r="W134" s="102"/>
      <c r="X134" s="102"/>
      <c r="Y134" s="102"/>
      <c r="Z134" s="102"/>
    </row>
    <row r="135" spans="1:36" s="297" customFormat="1" ht="12.75" customHeight="1" x14ac:dyDescent="0.45">
      <c r="A135" s="721" t="s">
        <v>62</v>
      </c>
      <c r="B135" s="377"/>
      <c r="C135" s="350"/>
      <c r="D135" s="797">
        <v>0</v>
      </c>
      <c r="E135" s="356"/>
      <c r="F135" s="357"/>
      <c r="G135" s="699">
        <v>0</v>
      </c>
      <c r="H135" s="391"/>
      <c r="I135" s="102"/>
      <c r="S135" s="298" t="e">
        <f>SUM(D135,#REF!,#REF!)</f>
        <v>#REF!</v>
      </c>
      <c r="T135" s="102"/>
      <c r="U135" s="102"/>
      <c r="V135" s="102"/>
      <c r="W135" s="102"/>
      <c r="X135" s="102"/>
      <c r="Y135" s="102"/>
      <c r="Z135" s="102"/>
    </row>
    <row r="136" spans="1:36" s="297" customFormat="1" ht="12.75" customHeight="1" x14ac:dyDescent="0.45">
      <c r="A136" s="733" t="s">
        <v>63</v>
      </c>
      <c r="B136" s="377"/>
      <c r="C136" s="350"/>
      <c r="D136" s="797">
        <v>0</v>
      </c>
      <c r="E136" s="356"/>
      <c r="F136" s="357"/>
      <c r="G136" s="699">
        <v>0</v>
      </c>
      <c r="H136" s="391"/>
      <c r="I136" s="102"/>
      <c r="S136" s="298" t="e">
        <f>SUM(D136,#REF!,#REF!)</f>
        <v>#REF!</v>
      </c>
      <c r="T136" s="102"/>
      <c r="U136" s="102"/>
      <c r="V136" s="102"/>
      <c r="W136" s="102"/>
      <c r="X136" s="102"/>
      <c r="Y136" s="102"/>
      <c r="Z136" s="102"/>
    </row>
    <row r="137" spans="1:36" s="297" customFormat="1" ht="12.75" customHeight="1" x14ac:dyDescent="0.45">
      <c r="A137" s="733" t="s">
        <v>64</v>
      </c>
      <c r="B137" s="377"/>
      <c r="C137" s="350"/>
      <c r="D137" s="797">
        <v>0</v>
      </c>
      <c r="E137" s="356"/>
      <c r="F137" s="357"/>
      <c r="G137" s="699">
        <v>0</v>
      </c>
      <c r="H137" s="391"/>
      <c r="I137" s="102"/>
      <c r="S137" s="298" t="e">
        <f>SUM(D137,#REF!,#REF!)</f>
        <v>#REF!</v>
      </c>
      <c r="T137" s="102"/>
      <c r="U137" s="102"/>
      <c r="V137" s="102"/>
      <c r="W137" s="102"/>
      <c r="X137" s="102"/>
      <c r="Y137" s="102"/>
      <c r="Z137" s="102"/>
    </row>
    <row r="138" spans="1:36" s="297" customFormat="1" ht="12.75" customHeight="1" x14ac:dyDescent="0.45">
      <c r="A138" s="721" t="s">
        <v>67</v>
      </c>
      <c r="B138" s="377"/>
      <c r="C138" s="350"/>
      <c r="D138" s="797">
        <v>0</v>
      </c>
      <c r="E138" s="356"/>
      <c r="F138" s="357"/>
      <c r="G138" s="699">
        <v>0</v>
      </c>
      <c r="H138" s="391"/>
      <c r="I138" s="102"/>
      <c r="S138" s="298" t="e">
        <f>SUM(D138,#REF!,#REF!)</f>
        <v>#REF!</v>
      </c>
      <c r="T138" s="102"/>
      <c r="U138" s="102"/>
      <c r="V138" s="102"/>
      <c r="W138" s="102"/>
      <c r="X138" s="102"/>
      <c r="Y138" s="102"/>
      <c r="Z138" s="102"/>
    </row>
    <row r="139" spans="1:36" s="297" customFormat="1" ht="14.65" thickBot="1" x14ac:dyDescent="0.5">
      <c r="A139" s="748" t="s">
        <v>68</v>
      </c>
      <c r="B139" s="372"/>
      <c r="C139" s="414"/>
      <c r="D139" s="874">
        <v>0</v>
      </c>
      <c r="E139" s="470"/>
      <c r="F139" s="348"/>
      <c r="G139" s="773">
        <v>0</v>
      </c>
      <c r="H139" s="373"/>
      <c r="I139" s="102"/>
      <c r="S139" s="298" t="e">
        <f>SUM(D139,#REF!,#REF!)</f>
        <v>#REF!</v>
      </c>
      <c r="T139" s="102"/>
      <c r="U139" s="102"/>
      <c r="V139" s="102"/>
      <c r="W139" s="102"/>
      <c r="X139" s="102"/>
      <c r="Y139" s="102"/>
      <c r="Z139" s="102"/>
    </row>
    <row r="140" spans="1:36" s="297" customFormat="1" ht="14.25" customHeight="1" thickTop="1" thickBot="1" x14ac:dyDescent="0.5">
      <c r="A140" s="910" t="s">
        <v>11</v>
      </c>
      <c r="B140" s="375"/>
      <c r="C140" s="366"/>
      <c r="D140" s="796">
        <f>SUM(D134:F139)</f>
        <v>0</v>
      </c>
      <c r="E140" s="375"/>
      <c r="F140" s="366"/>
      <c r="G140" s="742">
        <f>SUM(G134:H139)</f>
        <v>0</v>
      </c>
      <c r="H140" s="397"/>
      <c r="I140" s="340" t="str">
        <f>IF(G128&lt;&gt;D140,"Section 3.5.4 - La somme des Colonnes ""Nombre de demandes"" de ""Total"" doit être égale au ""Nombre de demandes"" de la Section 3.5.3.","")</f>
        <v/>
      </c>
      <c r="J140" s="345"/>
      <c r="S140" s="346"/>
      <c r="T140" s="102"/>
      <c r="U140" s="102"/>
      <c r="V140" s="102"/>
      <c r="W140" s="102"/>
      <c r="X140" s="102"/>
      <c r="Y140" s="102"/>
      <c r="Z140" s="102"/>
    </row>
    <row r="141" spans="1:36" ht="14.65" thickTop="1" x14ac:dyDescent="0.45">
      <c r="A141" s="296"/>
      <c r="B141" s="42"/>
      <c r="C141" s="42"/>
      <c r="D141" s="42"/>
      <c r="E141" s="42"/>
      <c r="F141" s="42"/>
      <c r="G141" s="42"/>
      <c r="H141" s="42"/>
      <c r="I141" s="344" t="str">
        <f>IF(G140&lt;&gt;A128,"Section 3.5.4 – Le ""Nombre de minutes traitées"" doit être égal au ""Nombre de minutes traitées"" de la Section 3.5.3.","")</f>
        <v/>
      </c>
      <c r="J141" s="296"/>
      <c r="K141" s="42"/>
      <c r="L141" s="42"/>
      <c r="S141" s="102"/>
      <c r="AC141" s="299"/>
      <c r="AD141" s="102"/>
      <c r="AE141" s="102"/>
      <c r="AF141" s="102"/>
      <c r="AG141" s="102"/>
      <c r="AH141" s="102"/>
      <c r="AI141" s="102"/>
      <c r="AJ141" s="102"/>
    </row>
    <row r="142" spans="1:36" x14ac:dyDescent="0.45">
      <c r="A142" s="547" t="s">
        <v>310</v>
      </c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T142" s="21"/>
    </row>
    <row r="143" spans="1:36" ht="15.75" customHeight="1" thickBot="1" x14ac:dyDescent="0.5">
      <c r="T143" s="21"/>
    </row>
    <row r="144" spans="1:36" ht="31.5" customHeight="1" thickTop="1" thickBot="1" x14ac:dyDescent="0.5">
      <c r="A144" s="680" t="s">
        <v>157</v>
      </c>
      <c r="B144" s="387"/>
      <c r="C144" s="683" t="s">
        <v>168</v>
      </c>
      <c r="D144" s="381"/>
      <c r="E144" s="692" t="s">
        <v>169</v>
      </c>
      <c r="F144" s="381"/>
      <c r="G144" s="692" t="s">
        <v>311</v>
      </c>
      <c r="H144" s="381"/>
      <c r="I144" s="692" t="s">
        <v>147</v>
      </c>
      <c r="J144" s="381"/>
      <c r="K144" s="435" t="s">
        <v>11</v>
      </c>
      <c r="L144" s="387"/>
      <c r="T144" s="21"/>
    </row>
    <row r="145" spans="1:20" ht="15.75" customHeight="1" thickTop="1" x14ac:dyDescent="0.45">
      <c r="A145" s="511" t="s">
        <v>61</v>
      </c>
      <c r="B145" s="488"/>
      <c r="C145" s="500">
        <v>0</v>
      </c>
      <c r="D145" s="446"/>
      <c r="E145" s="474">
        <v>0</v>
      </c>
      <c r="F145" s="446"/>
      <c r="G145" s="474">
        <v>0</v>
      </c>
      <c r="H145" s="446"/>
      <c r="I145" s="474">
        <v>0</v>
      </c>
      <c r="J145" s="446"/>
      <c r="K145" s="466">
        <f t="shared" ref="K145:K150" si="3">SUM(C145:J145)</f>
        <v>0</v>
      </c>
      <c r="L145" s="422"/>
      <c r="M145" s="16"/>
      <c r="T145" s="21"/>
    </row>
    <row r="146" spans="1:20" ht="28.5" customHeight="1" x14ac:dyDescent="0.45">
      <c r="A146" s="426" t="s">
        <v>62</v>
      </c>
      <c r="B146" s="378"/>
      <c r="C146" s="441">
        <v>0</v>
      </c>
      <c r="D146" s="357"/>
      <c r="E146" s="355">
        <v>0</v>
      </c>
      <c r="F146" s="357"/>
      <c r="G146" s="355">
        <v>0</v>
      </c>
      <c r="H146" s="357"/>
      <c r="I146" s="355">
        <v>0</v>
      </c>
      <c r="J146" s="357"/>
      <c r="K146" s="503">
        <f t="shared" si="3"/>
        <v>0</v>
      </c>
      <c r="L146" s="378"/>
      <c r="M146" s="16"/>
      <c r="T146" s="21"/>
    </row>
    <row r="147" spans="1:20" ht="15" customHeight="1" x14ac:dyDescent="0.45">
      <c r="A147" s="426" t="s">
        <v>63</v>
      </c>
      <c r="B147" s="378"/>
      <c r="C147" s="441">
        <v>0</v>
      </c>
      <c r="D147" s="357"/>
      <c r="E147" s="355">
        <v>0</v>
      </c>
      <c r="F147" s="357"/>
      <c r="G147" s="355">
        <v>0</v>
      </c>
      <c r="H147" s="357"/>
      <c r="I147" s="355">
        <v>0</v>
      </c>
      <c r="J147" s="357"/>
      <c r="K147" s="503">
        <f t="shared" si="3"/>
        <v>0</v>
      </c>
      <c r="L147" s="378"/>
      <c r="M147" s="16"/>
      <c r="T147" s="21"/>
    </row>
    <row r="148" spans="1:20" ht="15" customHeight="1" x14ac:dyDescent="0.45">
      <c r="A148" s="426" t="s">
        <v>64</v>
      </c>
      <c r="B148" s="378"/>
      <c r="C148" s="441">
        <v>0</v>
      </c>
      <c r="D148" s="357"/>
      <c r="E148" s="355">
        <v>0</v>
      </c>
      <c r="F148" s="357"/>
      <c r="G148" s="355">
        <v>0</v>
      </c>
      <c r="H148" s="357"/>
      <c r="I148" s="676">
        <v>0</v>
      </c>
      <c r="J148" s="391"/>
      <c r="K148" s="503">
        <f t="shared" si="3"/>
        <v>0</v>
      </c>
      <c r="L148" s="378"/>
      <c r="M148" s="16"/>
      <c r="T148" s="21"/>
    </row>
    <row r="149" spans="1:20" x14ac:dyDescent="0.45">
      <c r="A149" s="426" t="s">
        <v>67</v>
      </c>
      <c r="B149" s="378"/>
      <c r="C149" s="441">
        <v>0</v>
      </c>
      <c r="D149" s="357"/>
      <c r="E149" s="355">
        <v>0</v>
      </c>
      <c r="F149" s="357"/>
      <c r="G149" s="355">
        <v>0</v>
      </c>
      <c r="H149" s="357"/>
      <c r="I149" s="355">
        <v>0</v>
      </c>
      <c r="J149" s="357"/>
      <c r="K149" s="503">
        <f t="shared" si="3"/>
        <v>0</v>
      </c>
      <c r="L149" s="378"/>
      <c r="M149" s="16"/>
      <c r="T149" s="21"/>
    </row>
    <row r="150" spans="1:20" ht="26.65" customHeight="1" thickBot="1" x14ac:dyDescent="0.5">
      <c r="A150" s="909" t="s">
        <v>68</v>
      </c>
      <c r="B150" s="373"/>
      <c r="C150" s="462">
        <v>0</v>
      </c>
      <c r="D150" s="348"/>
      <c r="E150" s="358">
        <v>0</v>
      </c>
      <c r="F150" s="348"/>
      <c r="G150" s="358">
        <v>0</v>
      </c>
      <c r="H150" s="348"/>
      <c r="I150" s="358">
        <v>0</v>
      </c>
      <c r="J150" s="348"/>
      <c r="K150" s="549">
        <f t="shared" si="3"/>
        <v>0</v>
      </c>
      <c r="L150" s="373"/>
      <c r="M150" s="16"/>
      <c r="T150" s="21"/>
    </row>
    <row r="151" spans="1:20" ht="16.5" customHeight="1" thickTop="1" thickBot="1" x14ac:dyDescent="0.5">
      <c r="A151" s="524" t="s">
        <v>11</v>
      </c>
      <c r="B151" s="366"/>
      <c r="C151" s="433">
        <f>SUM(C145:D150)</f>
        <v>0</v>
      </c>
      <c r="D151" s="366"/>
      <c r="E151" s="374">
        <f>SUM(E145:F150)</f>
        <v>0</v>
      </c>
      <c r="F151" s="366"/>
      <c r="G151" s="374">
        <f>SUM(G145:H150)</f>
        <v>0</v>
      </c>
      <c r="H151" s="366"/>
      <c r="I151" s="374">
        <f>SUM(I145:J150)</f>
        <v>0</v>
      </c>
      <c r="J151" s="366"/>
      <c r="K151" s="433">
        <f>SUM(K145:L150)</f>
        <v>0</v>
      </c>
      <c r="L151" s="397"/>
      <c r="M151" s="16"/>
      <c r="T151" s="21"/>
    </row>
    <row r="152" spans="1:20" ht="15.75" customHeight="1" thickTop="1" x14ac:dyDescent="0.45">
      <c r="T152" s="21"/>
    </row>
    <row r="153" spans="1:20" x14ac:dyDescent="0.45">
      <c r="A153" s="506" t="s">
        <v>1582</v>
      </c>
      <c r="B153" s="506"/>
      <c r="C153" s="506"/>
      <c r="D153" s="506"/>
      <c r="E153" s="506"/>
      <c r="F153" s="506"/>
      <c r="G153" s="506"/>
      <c r="H153" s="506"/>
      <c r="I153" s="506"/>
      <c r="J153" s="506"/>
      <c r="K153" s="506"/>
      <c r="L153" s="506"/>
      <c r="T153" s="21"/>
    </row>
    <row r="154" spans="1:20" x14ac:dyDescent="0.45">
      <c r="T154" s="21"/>
    </row>
    <row r="155" spans="1:20" x14ac:dyDescent="0.45">
      <c r="A155" s="794"/>
      <c r="B155" s="794"/>
      <c r="C155" s="794"/>
      <c r="D155" s="794"/>
      <c r="E155" s="794"/>
      <c r="F155" s="794"/>
      <c r="G155" s="794"/>
      <c r="H155" s="794"/>
      <c r="I155" s="794"/>
      <c r="J155" s="794"/>
      <c r="K155" s="794"/>
      <c r="L155" s="794"/>
      <c r="T155" s="21"/>
    </row>
    <row r="156" spans="1:20" ht="15.75" customHeight="1" thickBot="1" x14ac:dyDescent="0.5">
      <c r="A156" s="31"/>
      <c r="T156" s="21"/>
    </row>
    <row r="157" spans="1:20" s="21" customFormat="1" ht="13.9" thickTop="1" x14ac:dyDescent="0.35">
      <c r="A157" s="759" t="s">
        <v>170</v>
      </c>
      <c r="B157" s="394"/>
      <c r="C157" s="394"/>
      <c r="D157" s="394"/>
      <c r="E157" s="822">
        <f>H20-A168</f>
        <v>0</v>
      </c>
      <c r="F157" s="395"/>
      <c r="G157" s="45"/>
      <c r="N157" s="43"/>
    </row>
    <row r="158" spans="1:20" s="21" customFormat="1" ht="15" customHeight="1" x14ac:dyDescent="0.35">
      <c r="A158" s="420"/>
      <c r="B158" s="421"/>
      <c r="C158" s="421"/>
      <c r="D158" s="421"/>
      <c r="E158" s="477"/>
      <c r="F158" s="422"/>
      <c r="G158" s="46"/>
      <c r="N158" s="47"/>
    </row>
    <row r="159" spans="1:20" s="21" customFormat="1" ht="18" customHeight="1" x14ac:dyDescent="0.35">
      <c r="A159" s="859" t="s">
        <v>171</v>
      </c>
      <c r="B159" s="597"/>
      <c r="C159" s="597"/>
      <c r="D159" s="666"/>
      <c r="E159" s="791" t="str">
        <f>IF(H20=0,"0",(E157/H20)*100)</f>
        <v>0</v>
      </c>
      <c r="F159" s="588"/>
      <c r="G159" s="48"/>
      <c r="N159" s="47"/>
    </row>
    <row r="160" spans="1:20" s="21" customFormat="1" ht="12.75" customHeight="1" thickBot="1" x14ac:dyDescent="0.4">
      <c r="A160" s="396"/>
      <c r="B160" s="375"/>
      <c r="C160" s="375"/>
      <c r="D160" s="366"/>
      <c r="E160" s="792"/>
      <c r="F160" s="397"/>
      <c r="G160" s="48"/>
      <c r="N160" s="47"/>
    </row>
    <row r="161" spans="1:20" ht="15.75" customHeight="1" thickTop="1" x14ac:dyDescent="0.45">
      <c r="A161" s="31"/>
      <c r="T161" s="21"/>
    </row>
    <row r="162" spans="1:20" x14ac:dyDescent="0.45">
      <c r="A162" s="468" t="s">
        <v>312</v>
      </c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T162" s="21"/>
    </row>
    <row r="163" spans="1:20" x14ac:dyDescent="0.45">
      <c r="A163" s="49"/>
      <c r="T163" s="21"/>
    </row>
    <row r="164" spans="1:20" x14ac:dyDescent="0.45">
      <c r="A164" s="408" t="s">
        <v>1584</v>
      </c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T164" s="21"/>
    </row>
    <row r="165" spans="1:20" ht="15.75" customHeight="1" thickBot="1" x14ac:dyDescent="0.5">
      <c r="T165" s="21"/>
    </row>
    <row r="166" spans="1:20" ht="14.25" customHeight="1" thickTop="1" thickBot="1" x14ac:dyDescent="0.5">
      <c r="A166" s="879" t="s">
        <v>173</v>
      </c>
      <c r="B166" s="394"/>
      <c r="C166" s="394"/>
      <c r="D166" s="395"/>
      <c r="E166" s="743" t="s">
        <v>174</v>
      </c>
      <c r="F166" s="744"/>
      <c r="G166" s="744"/>
      <c r="H166" s="744"/>
      <c r="I166" s="744"/>
      <c r="J166" s="744"/>
      <c r="K166" s="744"/>
      <c r="L166" s="745"/>
      <c r="T166" s="21"/>
    </row>
    <row r="167" spans="1:20" ht="42" customHeight="1" thickTop="1" thickBot="1" x14ac:dyDescent="0.5">
      <c r="A167" s="396"/>
      <c r="B167" s="375"/>
      <c r="C167" s="375"/>
      <c r="D167" s="397"/>
      <c r="E167" s="894" t="s">
        <v>313</v>
      </c>
      <c r="F167" s="366"/>
      <c r="G167" s="813" t="s">
        <v>314</v>
      </c>
      <c r="H167" s="366"/>
      <c r="I167" s="813" t="s">
        <v>177</v>
      </c>
      <c r="J167" s="366"/>
      <c r="K167" s="832" t="s">
        <v>147</v>
      </c>
      <c r="L167" s="373"/>
      <c r="T167" s="21"/>
    </row>
    <row r="168" spans="1:20" ht="16.5" customHeight="1" thickTop="1" thickBot="1" x14ac:dyDescent="0.5">
      <c r="A168" s="795">
        <f>SUM(E168:L168)</f>
        <v>0</v>
      </c>
      <c r="B168" s="375"/>
      <c r="C168" s="375"/>
      <c r="D168" s="366"/>
      <c r="E168" s="458">
        <v>0</v>
      </c>
      <c r="F168" s="450"/>
      <c r="G168" s="483">
        <v>0</v>
      </c>
      <c r="H168" s="450"/>
      <c r="I168" s="483">
        <v>0</v>
      </c>
      <c r="J168" s="450"/>
      <c r="K168" s="719">
        <v>0</v>
      </c>
      <c r="L168" s="399"/>
      <c r="T168" s="21"/>
    </row>
    <row r="169" spans="1:20" ht="15.75" customHeight="1" thickTop="1" x14ac:dyDescent="0.4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T169" s="21"/>
    </row>
    <row r="170" spans="1:20" x14ac:dyDescent="0.45">
      <c r="A170" s="408" t="s">
        <v>1583</v>
      </c>
      <c r="B170" s="408"/>
      <c r="C170" s="408"/>
      <c r="D170" s="408"/>
      <c r="E170" s="408"/>
      <c r="F170" s="408"/>
      <c r="G170" s="408"/>
      <c r="H170" s="408"/>
      <c r="I170" s="408"/>
      <c r="J170" s="408"/>
      <c r="K170" s="408"/>
      <c r="L170" s="408"/>
      <c r="M170" s="50"/>
      <c r="N170" s="50"/>
      <c r="T170" s="21"/>
    </row>
    <row r="171" spans="1:20" ht="15.75" customHeight="1" thickBot="1" x14ac:dyDescent="0.5">
      <c r="T171" s="21"/>
    </row>
    <row r="172" spans="1:20" ht="66.75" customHeight="1" thickTop="1" thickBot="1" x14ac:dyDescent="0.5">
      <c r="A172" s="393" t="s">
        <v>315</v>
      </c>
      <c r="B172" s="380"/>
      <c r="C172" s="387"/>
      <c r="D172" s="428" t="s">
        <v>316</v>
      </c>
      <c r="E172" s="380"/>
      <c r="F172" s="381"/>
      <c r="G172" s="856" t="s">
        <v>317</v>
      </c>
      <c r="H172" s="857"/>
      <c r="I172" s="858"/>
      <c r="J172" s="386" t="s">
        <v>11</v>
      </c>
      <c r="K172" s="380"/>
      <c r="L172" s="387"/>
      <c r="T172" s="21"/>
    </row>
    <row r="173" spans="1:20" ht="15.75" customHeight="1" thickTop="1" x14ac:dyDescent="0.45">
      <c r="A173" s="487" t="s">
        <v>183</v>
      </c>
      <c r="B173" s="360"/>
      <c r="C173" s="488"/>
      <c r="D173" s="500">
        <v>0</v>
      </c>
      <c r="E173" s="475"/>
      <c r="F173" s="446"/>
      <c r="G173" s="700">
        <v>0</v>
      </c>
      <c r="H173" s="701"/>
      <c r="I173" s="702"/>
      <c r="J173" s="804">
        <f t="shared" ref="J173:J180" si="4">SUM(D173:I173)</f>
        <v>0</v>
      </c>
      <c r="K173" s="360"/>
      <c r="L173" s="488"/>
      <c r="M173" s="16"/>
      <c r="T173" s="21"/>
    </row>
    <row r="174" spans="1:20" x14ac:dyDescent="0.45">
      <c r="A174" s="376" t="s">
        <v>36</v>
      </c>
      <c r="B174" s="377"/>
      <c r="C174" s="378"/>
      <c r="D174" s="441">
        <v>0</v>
      </c>
      <c r="E174" s="356"/>
      <c r="F174" s="357"/>
      <c r="G174" s="810">
        <v>0</v>
      </c>
      <c r="H174" s="826"/>
      <c r="I174" s="811"/>
      <c r="J174" s="503">
        <f t="shared" si="4"/>
        <v>0</v>
      </c>
      <c r="K174" s="377"/>
      <c r="L174" s="378"/>
      <c r="M174" s="16"/>
      <c r="T174" s="21"/>
    </row>
    <row r="175" spans="1:20" x14ac:dyDescent="0.45">
      <c r="A175" s="376" t="s">
        <v>37</v>
      </c>
      <c r="B175" s="377"/>
      <c r="C175" s="378"/>
      <c r="D175" s="441">
        <v>0</v>
      </c>
      <c r="E175" s="356"/>
      <c r="F175" s="357"/>
      <c r="G175" s="810">
        <v>0</v>
      </c>
      <c r="H175" s="826"/>
      <c r="I175" s="811"/>
      <c r="J175" s="503">
        <f t="shared" si="4"/>
        <v>0</v>
      </c>
      <c r="K175" s="377"/>
      <c r="L175" s="378"/>
      <c r="M175" s="16"/>
      <c r="T175" s="21"/>
    </row>
    <row r="176" spans="1:20" x14ac:dyDescent="0.45">
      <c r="A176" s="376" t="s">
        <v>38</v>
      </c>
      <c r="B176" s="377"/>
      <c r="C176" s="378"/>
      <c r="D176" s="441">
        <v>0</v>
      </c>
      <c r="E176" s="356"/>
      <c r="F176" s="357"/>
      <c r="G176" s="810">
        <v>0</v>
      </c>
      <c r="H176" s="826"/>
      <c r="I176" s="811"/>
      <c r="J176" s="503">
        <f t="shared" si="4"/>
        <v>0</v>
      </c>
      <c r="K176" s="377"/>
      <c r="L176" s="378"/>
      <c r="M176" s="16"/>
      <c r="T176" s="21"/>
    </row>
    <row r="177" spans="1:30" x14ac:dyDescent="0.45">
      <c r="A177" s="376" t="s">
        <v>39</v>
      </c>
      <c r="B177" s="377"/>
      <c r="C177" s="378"/>
      <c r="D177" s="441">
        <v>0</v>
      </c>
      <c r="E177" s="356"/>
      <c r="F177" s="357"/>
      <c r="G177" s="810">
        <v>0</v>
      </c>
      <c r="H177" s="826"/>
      <c r="I177" s="811"/>
      <c r="J177" s="503">
        <f t="shared" si="4"/>
        <v>0</v>
      </c>
      <c r="K177" s="377"/>
      <c r="L177" s="378"/>
      <c r="M177" s="16"/>
      <c r="T177" s="21"/>
    </row>
    <row r="178" spans="1:30" x14ac:dyDescent="0.45">
      <c r="A178" s="376" t="s">
        <v>40</v>
      </c>
      <c r="B178" s="377"/>
      <c r="C178" s="378"/>
      <c r="D178" s="441">
        <v>0</v>
      </c>
      <c r="E178" s="356"/>
      <c r="F178" s="357"/>
      <c r="G178" s="810">
        <v>0</v>
      </c>
      <c r="H178" s="826"/>
      <c r="I178" s="811"/>
      <c r="J178" s="503">
        <f t="shared" si="4"/>
        <v>0</v>
      </c>
      <c r="K178" s="377"/>
      <c r="L178" s="378"/>
      <c r="M178" s="16"/>
      <c r="T178" s="21"/>
    </row>
    <row r="179" spans="1:30" ht="15.75" customHeight="1" thickBot="1" x14ac:dyDescent="0.5">
      <c r="A179" s="521" t="s">
        <v>41</v>
      </c>
      <c r="B179" s="372"/>
      <c r="C179" s="373"/>
      <c r="D179" s="462">
        <v>0</v>
      </c>
      <c r="E179" s="470"/>
      <c r="F179" s="348"/>
      <c r="G179" s="843">
        <v>0</v>
      </c>
      <c r="H179" s="844"/>
      <c r="I179" s="845"/>
      <c r="J179" s="549">
        <f t="shared" si="4"/>
        <v>0</v>
      </c>
      <c r="K179" s="372"/>
      <c r="L179" s="373"/>
      <c r="M179" s="16"/>
      <c r="T179" s="21"/>
    </row>
    <row r="180" spans="1:30" ht="15.75" customHeight="1" thickTop="1" thickBot="1" x14ac:dyDescent="0.5">
      <c r="A180" s="524" t="s">
        <v>11</v>
      </c>
      <c r="B180" s="375"/>
      <c r="C180" s="366"/>
      <c r="D180" s="433">
        <f>SUM(D173:F179)</f>
        <v>0</v>
      </c>
      <c r="E180" s="375"/>
      <c r="F180" s="366"/>
      <c r="G180" s="860">
        <f>SUM(G173:I179)</f>
        <v>0</v>
      </c>
      <c r="H180" s="861"/>
      <c r="I180" s="862"/>
      <c r="J180" s="432">
        <f t="shared" si="4"/>
        <v>0</v>
      </c>
      <c r="K180" s="380"/>
      <c r="L180" s="387"/>
      <c r="M180" s="340" t="str">
        <f>IF(J180&lt;&gt;A168,"Section 3.7.2 - Le total des totaux doit être égal au ""Nombre de demandes fermées au-delà des délais prévus par la loi"" de la Section 3.7.1.","")</f>
        <v/>
      </c>
      <c r="N180" s="78"/>
      <c r="O180" s="78"/>
      <c r="P180" s="78"/>
      <c r="Q180" s="78"/>
      <c r="R180" s="78"/>
      <c r="S180" s="78"/>
      <c r="T180" s="78"/>
      <c r="U180" s="101"/>
      <c r="V180" s="101"/>
      <c r="W180" s="101"/>
      <c r="X180" s="101"/>
      <c r="Y180" s="96"/>
    </row>
    <row r="181" spans="1:30" ht="15.75" customHeight="1" thickTop="1" x14ac:dyDescent="0.45">
      <c r="A181" s="39"/>
      <c r="B181" s="39"/>
      <c r="C181" s="39"/>
      <c r="D181" s="37"/>
      <c r="E181" s="37"/>
      <c r="F181" s="37"/>
      <c r="G181" s="37"/>
      <c r="H181" s="37"/>
      <c r="I181" s="37"/>
      <c r="J181" s="37"/>
      <c r="K181" s="37"/>
      <c r="L181" s="37"/>
      <c r="M181" s="340"/>
      <c r="N181" s="78"/>
      <c r="O181" s="78"/>
      <c r="P181" s="78"/>
      <c r="Q181" s="78"/>
      <c r="R181" s="78"/>
      <c r="S181" s="78"/>
      <c r="T181" s="78"/>
    </row>
    <row r="182" spans="1:30" ht="15.75" customHeight="1" x14ac:dyDescent="0.45">
      <c r="A182" s="405" t="s">
        <v>318</v>
      </c>
      <c r="B182" s="405"/>
      <c r="C182" s="405"/>
      <c r="D182" s="405"/>
      <c r="E182" s="405"/>
      <c r="F182" s="405"/>
      <c r="G182" s="405"/>
      <c r="H182" s="405"/>
      <c r="I182" s="405"/>
      <c r="J182" s="405"/>
      <c r="K182" s="405"/>
      <c r="L182" s="405"/>
      <c r="M182" s="405"/>
      <c r="N182" s="405"/>
      <c r="O182" s="405"/>
      <c r="P182" s="405"/>
      <c r="Q182" s="405"/>
      <c r="R182" s="405"/>
      <c r="S182" s="405"/>
      <c r="T182" s="21"/>
    </row>
    <row r="183" spans="1:30" ht="15.75" customHeight="1" thickBot="1" x14ac:dyDescent="0.5">
      <c r="T183" s="21"/>
    </row>
    <row r="184" spans="1:30" ht="14.65" customHeight="1" thickTop="1" thickBot="1" x14ac:dyDescent="0.5">
      <c r="A184" s="435" t="s">
        <v>319</v>
      </c>
      <c r="B184" s="380"/>
      <c r="C184" s="381"/>
      <c r="D184" s="542" t="s">
        <v>320</v>
      </c>
      <c r="E184" s="380"/>
      <c r="F184" s="381"/>
      <c r="G184" s="799" t="s">
        <v>321</v>
      </c>
      <c r="H184" s="800"/>
      <c r="I184" s="801"/>
      <c r="J184" s="542" t="s">
        <v>11</v>
      </c>
      <c r="K184" s="380"/>
      <c r="L184" s="387"/>
      <c r="T184" s="21"/>
    </row>
    <row r="185" spans="1:30" ht="16.5" customHeight="1" thickTop="1" thickBot="1" x14ac:dyDescent="0.5">
      <c r="A185" s="903">
        <v>0</v>
      </c>
      <c r="B185" s="464"/>
      <c r="C185" s="450"/>
      <c r="D185" s="483">
        <v>0</v>
      </c>
      <c r="E185" s="464"/>
      <c r="F185" s="450"/>
      <c r="G185" s="833">
        <v>0</v>
      </c>
      <c r="H185" s="834"/>
      <c r="I185" s="835"/>
      <c r="J185" s="439">
        <f>SUM(A185:I185)</f>
        <v>0</v>
      </c>
      <c r="K185" s="380"/>
      <c r="L185" s="387"/>
      <c r="T185" s="21"/>
    </row>
    <row r="186" spans="1:30" ht="15.75" customHeight="1" thickTop="1" x14ac:dyDescent="0.45">
      <c r="T186" s="21"/>
    </row>
    <row r="187" spans="1:30" ht="15.75" customHeight="1" x14ac:dyDescent="0.45">
      <c r="A187" s="852" t="s">
        <v>322</v>
      </c>
      <c r="B187" s="852"/>
      <c r="C187" s="852"/>
      <c r="D187" s="852"/>
      <c r="E187" s="852"/>
      <c r="F187" s="852"/>
      <c r="G187" s="852"/>
      <c r="H187" s="852"/>
      <c r="I187" s="852"/>
      <c r="J187" s="852"/>
      <c r="K187" s="852"/>
      <c r="L187" s="852"/>
      <c r="M187" s="852"/>
      <c r="N187" s="852"/>
      <c r="O187" s="852"/>
      <c r="P187" s="852"/>
      <c r="Q187" s="852"/>
      <c r="R187" s="852"/>
      <c r="S187" s="852"/>
      <c r="T187" s="21"/>
    </row>
    <row r="188" spans="1:30" ht="15.75" customHeight="1" thickBot="1" x14ac:dyDescent="0.5">
      <c r="T188" s="21"/>
    </row>
    <row r="189" spans="1:30" s="43" customFormat="1" ht="15" customHeight="1" thickTop="1" thickBot="1" x14ac:dyDescent="0.5">
      <c r="A189" s="696" t="s">
        <v>323</v>
      </c>
      <c r="B189" s="380"/>
      <c r="C189" s="380"/>
      <c r="D189" s="380"/>
      <c r="E189" s="380"/>
      <c r="F189" s="380"/>
      <c r="G189" s="380"/>
      <c r="H189" s="380"/>
      <c r="I189" s="654" t="s">
        <v>324</v>
      </c>
      <c r="J189" s="387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s="43" customFormat="1" ht="12.75" customHeight="1" thickTop="1" x14ac:dyDescent="0.45">
      <c r="A190" s="900" t="s">
        <v>325</v>
      </c>
      <c r="B190" s="360"/>
      <c r="C190" s="360"/>
      <c r="D190" s="360"/>
      <c r="E190" s="360"/>
      <c r="F190" s="360"/>
      <c r="G190" s="360"/>
      <c r="H190" s="488"/>
      <c r="I190" s="368">
        <v>0</v>
      </c>
      <c r="J190" s="370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s="21" customFormat="1" ht="16.5" customHeight="1" thickBot="1" x14ac:dyDescent="0.5">
      <c r="A191" s="595" t="s">
        <v>326</v>
      </c>
      <c r="B191" s="372"/>
      <c r="C191" s="372"/>
      <c r="D191" s="372"/>
      <c r="E191" s="372"/>
      <c r="F191" s="372"/>
      <c r="G191" s="372"/>
      <c r="H191" s="372"/>
      <c r="I191" s="840">
        <v>0</v>
      </c>
      <c r="J191" s="430"/>
      <c r="M191" s="51"/>
      <c r="N191" s="43"/>
    </row>
    <row r="192" spans="1:30" s="21" customFormat="1" ht="17.25" customHeight="1" thickTop="1" thickBot="1" x14ac:dyDescent="0.5">
      <c r="A192" s="594" t="s">
        <v>11</v>
      </c>
      <c r="B192" s="380"/>
      <c r="C192" s="380"/>
      <c r="D192" s="380"/>
      <c r="E192" s="380"/>
      <c r="F192" s="380"/>
      <c r="G192" s="380"/>
      <c r="H192" s="380"/>
      <c r="I192" s="518">
        <f>SUM(I190:J191)</f>
        <v>0</v>
      </c>
      <c r="J192" s="387"/>
      <c r="M192" s="51"/>
      <c r="N192" s="43"/>
    </row>
    <row r="193" spans="1:37" ht="15.75" customHeight="1" thickTop="1" x14ac:dyDescent="0.45">
      <c r="T193" s="21"/>
    </row>
    <row r="194" spans="1:37" ht="15.75" customHeight="1" x14ac:dyDescent="0.45">
      <c r="A194" s="405" t="s">
        <v>327</v>
      </c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  <c r="L194" s="405"/>
      <c r="M194" s="405"/>
      <c r="N194" s="405"/>
      <c r="O194" s="405"/>
      <c r="P194" s="405"/>
      <c r="Q194" s="405"/>
      <c r="R194" s="405"/>
      <c r="S194" s="405"/>
      <c r="T194" s="21"/>
    </row>
    <row r="195" spans="1:37" s="50" customFormat="1" ht="15.75" customHeight="1" x14ac:dyDescent="0.4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T195" s="21"/>
    </row>
    <row r="196" spans="1:37" s="21" customFormat="1" ht="13.9" x14ac:dyDescent="0.35">
      <c r="A196" s="437" t="s">
        <v>328</v>
      </c>
      <c r="B196" s="437"/>
      <c r="C196" s="437"/>
      <c r="D196" s="437"/>
      <c r="E196" s="437"/>
      <c r="F196" s="437"/>
      <c r="G196" s="437"/>
      <c r="H196" s="437"/>
      <c r="I196" s="437"/>
      <c r="J196" s="437"/>
      <c r="K196" s="437"/>
      <c r="L196" s="437"/>
      <c r="M196" s="437"/>
      <c r="N196" s="437"/>
      <c r="O196" s="437"/>
      <c r="P196" s="437"/>
      <c r="Q196" s="437"/>
      <c r="R196" s="437"/>
      <c r="S196" s="437"/>
    </row>
    <row r="197" spans="1:37" s="21" customFormat="1" ht="15" customHeight="1" thickBot="1" x14ac:dyDescent="0.4">
      <c r="N197" s="43"/>
    </row>
    <row r="198" spans="1:37" s="21" customFormat="1" ht="15.75" customHeight="1" thickTop="1" x14ac:dyDescent="0.45">
      <c r="A198" s="50"/>
      <c r="B198" s="50"/>
      <c r="C198" s="50"/>
      <c r="D198" s="100"/>
      <c r="E198" s="905" t="s">
        <v>329</v>
      </c>
      <c r="F198" s="906"/>
      <c r="G198" s="906"/>
      <c r="H198" s="906"/>
      <c r="I198" s="906"/>
      <c r="J198" s="906"/>
      <c r="K198" s="906"/>
      <c r="L198" s="907"/>
      <c r="M198" s="839" t="s">
        <v>330</v>
      </c>
      <c r="N198" s="360"/>
      <c r="O198" s="360"/>
      <c r="P198" s="360"/>
      <c r="Q198" s="361"/>
      <c r="R198" s="764" t="s">
        <v>331</v>
      </c>
      <c r="S198" s="765"/>
    </row>
    <row r="199" spans="1:37" s="21" customFormat="1" ht="15.75" customHeight="1" thickBot="1" x14ac:dyDescent="0.4">
      <c r="D199" s="223"/>
      <c r="E199" s="893" t="s">
        <v>332</v>
      </c>
      <c r="F199" s="666"/>
      <c r="G199" s="786" t="s">
        <v>333</v>
      </c>
      <c r="H199" s="666"/>
      <c r="I199" s="786" t="s">
        <v>334</v>
      </c>
      <c r="J199" s="666"/>
      <c r="K199" s="786" t="s">
        <v>335</v>
      </c>
      <c r="L199" s="666"/>
      <c r="M199" s="786" t="s">
        <v>336</v>
      </c>
      <c r="N199" s="666"/>
      <c r="O199" s="814" t="s">
        <v>337</v>
      </c>
      <c r="P199" s="814" t="s">
        <v>338</v>
      </c>
      <c r="Q199" s="666"/>
      <c r="R199" s="766"/>
      <c r="S199" s="767"/>
    </row>
    <row r="200" spans="1:37" s="21" customFormat="1" ht="12" customHeight="1" thickTop="1" thickBot="1" x14ac:dyDescent="0.4">
      <c r="A200" s="457" t="s">
        <v>339</v>
      </c>
      <c r="B200" s="394"/>
      <c r="C200" s="394"/>
      <c r="D200" s="395"/>
      <c r="E200" s="697"/>
      <c r="F200" s="601"/>
      <c r="G200" s="707"/>
      <c r="H200" s="601"/>
      <c r="I200" s="707"/>
      <c r="J200" s="601"/>
      <c r="K200" s="707"/>
      <c r="L200" s="601"/>
      <c r="M200" s="707"/>
      <c r="N200" s="601"/>
      <c r="O200" s="875"/>
      <c r="P200" s="707"/>
      <c r="Q200" s="601"/>
      <c r="R200" s="766"/>
      <c r="S200" s="767"/>
    </row>
    <row r="201" spans="1:37" s="21" customFormat="1" ht="27.75" customHeight="1" thickTop="1" thickBot="1" x14ac:dyDescent="0.4">
      <c r="A201" s="396"/>
      <c r="B201" s="375"/>
      <c r="C201" s="375"/>
      <c r="D201" s="397"/>
      <c r="E201" s="420"/>
      <c r="F201" s="354"/>
      <c r="G201" s="477"/>
      <c r="H201" s="354"/>
      <c r="I201" s="477"/>
      <c r="J201" s="354"/>
      <c r="K201" s="477"/>
      <c r="L201" s="354"/>
      <c r="M201" s="477"/>
      <c r="N201" s="354"/>
      <c r="O201" s="876"/>
      <c r="P201" s="477"/>
      <c r="Q201" s="354"/>
      <c r="R201" s="768"/>
      <c r="S201" s="769"/>
    </row>
    <row r="202" spans="1:37" s="21" customFormat="1" ht="15.75" customHeight="1" thickTop="1" thickBot="1" x14ac:dyDescent="0.5">
      <c r="A202" s="432">
        <f>SUM(E202:S202)</f>
        <v>0</v>
      </c>
      <c r="B202" s="380"/>
      <c r="C202" s="380"/>
      <c r="D202" s="381"/>
      <c r="E202" s="897">
        <v>0</v>
      </c>
      <c r="F202" s="450"/>
      <c r="G202" s="709">
        <v>0</v>
      </c>
      <c r="H202" s="450"/>
      <c r="I202" s="709">
        <v>0</v>
      </c>
      <c r="J202" s="450"/>
      <c r="K202" s="709">
        <v>0</v>
      </c>
      <c r="L202" s="450"/>
      <c r="M202" s="851">
        <v>0</v>
      </c>
      <c r="N202" s="450"/>
      <c r="O202" s="224">
        <v>0</v>
      </c>
      <c r="P202" s="709">
        <v>0</v>
      </c>
      <c r="Q202" s="450"/>
      <c r="R202" s="936">
        <v>0</v>
      </c>
      <c r="S202" s="937"/>
    </row>
    <row r="203" spans="1:37" s="21" customFormat="1" ht="16.5" customHeight="1" thickTop="1" x14ac:dyDescent="0.35">
      <c r="A203" s="53"/>
      <c r="B203" s="53"/>
      <c r="C203" s="53"/>
      <c r="D203" s="53"/>
      <c r="E203" s="28"/>
      <c r="F203" s="28"/>
      <c r="G203" s="28"/>
      <c r="H203" s="28"/>
      <c r="I203" s="28"/>
      <c r="J203" s="28"/>
      <c r="K203" s="28"/>
      <c r="L203" s="28"/>
    </row>
    <row r="204" spans="1:37" s="21" customFormat="1" ht="13.9" x14ac:dyDescent="0.35">
      <c r="A204" s="437" t="s">
        <v>340</v>
      </c>
      <c r="B204" s="437"/>
      <c r="C204" s="437"/>
      <c r="D204" s="437"/>
      <c r="E204" s="437"/>
      <c r="F204" s="437"/>
      <c r="G204" s="437"/>
      <c r="H204" s="437"/>
      <c r="I204" s="437"/>
      <c r="J204" s="437"/>
      <c r="K204" s="437"/>
      <c r="L204" s="437"/>
      <c r="M204" s="437"/>
      <c r="N204" s="437"/>
      <c r="O204" s="437"/>
      <c r="P204" s="437"/>
      <c r="Q204" s="437"/>
      <c r="R204" s="437"/>
      <c r="S204" s="437"/>
    </row>
    <row r="205" spans="1:37" s="21" customFormat="1" ht="15.75" customHeight="1" thickBot="1" x14ac:dyDescent="0.5">
      <c r="A205" s="54"/>
      <c r="E205" s="50"/>
      <c r="F205" s="50"/>
      <c r="G205" s="50"/>
      <c r="H205" s="50"/>
      <c r="I205" s="50"/>
      <c r="J205" s="50"/>
      <c r="K205" s="50"/>
      <c r="L205" s="50"/>
    </row>
    <row r="206" spans="1:37" s="21" customFormat="1" ht="16.5" customHeight="1" thickTop="1" thickBot="1" x14ac:dyDescent="0.5">
      <c r="A206" s="50"/>
      <c r="B206" s="50"/>
      <c r="C206" s="50"/>
      <c r="D206" s="100"/>
      <c r="E206" s="827" t="s">
        <v>329</v>
      </c>
      <c r="F206" s="828"/>
      <c r="G206" s="828"/>
      <c r="H206" s="828"/>
      <c r="I206" s="828"/>
      <c r="J206" s="828"/>
      <c r="K206" s="828"/>
      <c r="L206" s="829"/>
      <c r="M206" s="756" t="s">
        <v>330</v>
      </c>
      <c r="N206" s="757"/>
      <c r="O206" s="757"/>
      <c r="P206" s="757"/>
      <c r="Q206" s="758"/>
      <c r="R206" s="815" t="s">
        <v>331</v>
      </c>
      <c r="S206" s="816"/>
      <c r="T206" s="693"/>
      <c r="U206" s="698"/>
      <c r="V206" s="698"/>
      <c r="W206" s="698"/>
      <c r="X206" s="698"/>
      <c r="Y206" s="698"/>
      <c r="Z206" s="698"/>
      <c r="AA206" s="698"/>
      <c r="AB206" s="698"/>
      <c r="AC206" s="698"/>
      <c r="AD206" s="698"/>
      <c r="AE206" s="698"/>
      <c r="AF206" s="698"/>
      <c r="AG206" s="698"/>
      <c r="AH206" s="698"/>
      <c r="AI206" s="698"/>
      <c r="AJ206" s="698"/>
      <c r="AK206" s="698"/>
    </row>
    <row r="207" spans="1:37" s="21" customFormat="1" ht="18.75" customHeight="1" thickTop="1" thickBot="1" x14ac:dyDescent="0.4">
      <c r="A207" s="526" t="s">
        <v>192</v>
      </c>
      <c r="B207" s="394"/>
      <c r="C207" s="394"/>
      <c r="D207" s="395"/>
      <c r="E207" s="823" t="s">
        <v>332</v>
      </c>
      <c r="F207" s="666"/>
      <c r="G207" s="706" t="s">
        <v>333</v>
      </c>
      <c r="H207" s="666"/>
      <c r="I207" s="706" t="s">
        <v>334</v>
      </c>
      <c r="J207" s="666"/>
      <c r="K207" s="706" t="s">
        <v>335</v>
      </c>
      <c r="L207" s="666"/>
      <c r="M207" s="783" t="s">
        <v>336</v>
      </c>
      <c r="N207" s="601"/>
      <c r="O207" s="908" t="s">
        <v>337</v>
      </c>
      <c r="P207" s="908" t="s">
        <v>338</v>
      </c>
      <c r="Q207" s="601"/>
      <c r="R207" s="817"/>
      <c r="S207" s="818"/>
      <c r="T207" s="693"/>
      <c r="U207" s="698"/>
      <c r="V207" s="698"/>
      <c r="W207" s="698"/>
      <c r="X207" s="698"/>
      <c r="Y207" s="698"/>
      <c r="Z207" s="698"/>
      <c r="AA207" s="698"/>
      <c r="AB207" s="698"/>
      <c r="AC207" s="698"/>
      <c r="AD207" s="698"/>
      <c r="AE207" s="698"/>
      <c r="AF207" s="698"/>
      <c r="AG207" s="698"/>
      <c r="AH207" s="698"/>
      <c r="AI207" s="698"/>
      <c r="AJ207" s="698"/>
      <c r="AK207" s="698"/>
    </row>
    <row r="208" spans="1:37" s="21" customFormat="1" ht="16.5" customHeight="1" thickTop="1" x14ac:dyDescent="0.35">
      <c r="A208" s="697"/>
      <c r="B208" s="698"/>
      <c r="C208" s="698"/>
      <c r="D208" s="481"/>
      <c r="E208" s="697"/>
      <c r="F208" s="601"/>
      <c r="G208" s="707"/>
      <c r="H208" s="601"/>
      <c r="I208" s="707"/>
      <c r="J208" s="601"/>
      <c r="K208" s="707"/>
      <c r="L208" s="601"/>
      <c r="M208" s="707"/>
      <c r="N208" s="601"/>
      <c r="O208" s="875"/>
      <c r="P208" s="707"/>
      <c r="Q208" s="601"/>
      <c r="R208" s="817"/>
      <c r="S208" s="818"/>
      <c r="T208" s="693"/>
      <c r="U208" s="698"/>
      <c r="V208" s="698"/>
      <c r="W208" s="698"/>
      <c r="X208" s="698"/>
      <c r="Y208" s="698"/>
      <c r="Z208" s="698"/>
      <c r="AA208" s="698"/>
      <c r="AB208" s="698"/>
      <c r="AC208" s="698"/>
      <c r="AD208" s="698"/>
      <c r="AE208" s="698"/>
      <c r="AF208" s="698"/>
      <c r="AG208" s="698"/>
      <c r="AH208" s="698"/>
      <c r="AI208" s="698"/>
      <c r="AJ208" s="698"/>
      <c r="AK208" s="698"/>
    </row>
    <row r="209" spans="1:38" s="21" customFormat="1" ht="16.5" customHeight="1" thickBot="1" x14ac:dyDescent="0.4">
      <c r="A209" s="396"/>
      <c r="B209" s="375"/>
      <c r="C209" s="375"/>
      <c r="D209" s="397"/>
      <c r="E209" s="420"/>
      <c r="F209" s="354"/>
      <c r="G209" s="477"/>
      <c r="H209" s="354"/>
      <c r="I209" s="477"/>
      <c r="J209" s="354"/>
      <c r="K209" s="477"/>
      <c r="L209" s="354"/>
      <c r="M209" s="477"/>
      <c r="N209" s="354"/>
      <c r="O209" s="876"/>
      <c r="P209" s="477"/>
      <c r="Q209" s="354"/>
      <c r="R209" s="819"/>
      <c r="S209" s="820"/>
      <c r="T209" s="693"/>
      <c r="U209" s="698"/>
      <c r="V209" s="698"/>
      <c r="W209" s="698"/>
      <c r="X209" s="698"/>
      <c r="Y209" s="698"/>
      <c r="Z209" s="698"/>
      <c r="AA209" s="698"/>
      <c r="AB209" s="698"/>
      <c r="AC209" s="698"/>
      <c r="AD209" s="698"/>
      <c r="AE209" s="698"/>
      <c r="AF209" s="698"/>
      <c r="AG209" s="698"/>
      <c r="AH209" s="698"/>
      <c r="AI209" s="698"/>
      <c r="AJ209" s="698"/>
      <c r="AK209" s="698"/>
    </row>
    <row r="210" spans="1:38" s="21" customFormat="1" ht="18" customHeight="1" thickTop="1" x14ac:dyDescent="0.45">
      <c r="A210" s="841" t="s">
        <v>183</v>
      </c>
      <c r="B210" s="421"/>
      <c r="C210" s="421"/>
      <c r="D210" s="422"/>
      <c r="E210" s="500">
        <v>0</v>
      </c>
      <c r="F210" s="446"/>
      <c r="G210" s="474">
        <v>0</v>
      </c>
      <c r="H210" s="446"/>
      <c r="I210" s="474">
        <v>0</v>
      </c>
      <c r="J210" s="446"/>
      <c r="K210" s="474">
        <v>0</v>
      </c>
      <c r="L210" s="446"/>
      <c r="M210" s="474">
        <v>0</v>
      </c>
      <c r="N210" s="446"/>
      <c r="O210" s="4">
        <v>0</v>
      </c>
      <c r="P210" s="474">
        <v>0</v>
      </c>
      <c r="Q210" s="446"/>
      <c r="R210" s="700">
        <v>0</v>
      </c>
      <c r="S210" s="702"/>
      <c r="T210" s="693"/>
      <c r="U210" s="698"/>
      <c r="V210" s="698"/>
      <c r="W210" s="698"/>
      <c r="X210" s="698"/>
      <c r="Y210" s="698"/>
      <c r="Z210" s="698"/>
      <c r="AA210" s="698"/>
      <c r="AB210" s="698"/>
      <c r="AC210" s="698"/>
      <c r="AD210" s="698"/>
      <c r="AE210" s="698"/>
      <c r="AF210" s="698"/>
      <c r="AG210" s="698"/>
      <c r="AH210" s="698"/>
      <c r="AI210" s="698"/>
      <c r="AJ210" s="698"/>
      <c r="AK210" s="698"/>
      <c r="AL210" s="698"/>
    </row>
    <row r="211" spans="1:38" s="21" customFormat="1" ht="14.25" customHeight="1" x14ac:dyDescent="0.45">
      <c r="A211" s="821" t="s">
        <v>36</v>
      </c>
      <c r="B211" s="377"/>
      <c r="C211" s="377"/>
      <c r="D211" s="378"/>
      <c r="E211" s="516">
        <v>0</v>
      </c>
      <c r="F211" s="407"/>
      <c r="G211" s="406">
        <v>0</v>
      </c>
      <c r="H211" s="407"/>
      <c r="I211" s="406">
        <v>0</v>
      </c>
      <c r="J211" s="407"/>
      <c r="K211" s="406">
        <v>0</v>
      </c>
      <c r="L211" s="407"/>
      <c r="M211" s="406">
        <v>0</v>
      </c>
      <c r="N211" s="407"/>
      <c r="O211" s="5">
        <v>0</v>
      </c>
      <c r="P211" s="406">
        <v>0</v>
      </c>
      <c r="Q211" s="407"/>
      <c r="R211" s="810">
        <v>0</v>
      </c>
      <c r="S211" s="811"/>
      <c r="T211" s="693"/>
      <c r="U211" s="698"/>
      <c r="V211" s="698"/>
      <c r="W211" s="698"/>
      <c r="X211" s="698"/>
      <c r="Y211" s="698"/>
      <c r="Z211" s="698"/>
      <c r="AA211" s="698"/>
      <c r="AB211" s="698"/>
      <c r="AC211" s="698"/>
      <c r="AD211" s="698"/>
      <c r="AE211" s="698"/>
      <c r="AF211" s="698"/>
      <c r="AG211" s="698"/>
      <c r="AH211" s="698"/>
      <c r="AI211" s="698"/>
      <c r="AJ211" s="698"/>
      <c r="AK211" s="698"/>
    </row>
    <row r="212" spans="1:38" s="21" customFormat="1" ht="14.65" thickBot="1" x14ac:dyDescent="0.5">
      <c r="A212" s="911" t="s">
        <v>341</v>
      </c>
      <c r="B212" s="375"/>
      <c r="C212" s="375"/>
      <c r="D212" s="397"/>
      <c r="E212" s="712">
        <v>0</v>
      </c>
      <c r="F212" s="666"/>
      <c r="G212" s="836">
        <v>0</v>
      </c>
      <c r="H212" s="666"/>
      <c r="I212" s="836">
        <v>0</v>
      </c>
      <c r="J212" s="666"/>
      <c r="K212" s="836">
        <v>0</v>
      </c>
      <c r="L212" s="666"/>
      <c r="M212" s="836">
        <v>0</v>
      </c>
      <c r="N212" s="666"/>
      <c r="O212" s="55">
        <v>0</v>
      </c>
      <c r="P212" s="836">
        <v>0</v>
      </c>
      <c r="Q212" s="666"/>
      <c r="R212" s="843">
        <v>0</v>
      </c>
      <c r="S212" s="845"/>
      <c r="T212" s="693"/>
      <c r="U212" s="698"/>
      <c r="V212" s="698"/>
      <c r="W212" s="698"/>
      <c r="X212" s="698"/>
      <c r="Y212" s="698"/>
      <c r="Z212" s="698"/>
      <c r="AA212" s="698"/>
      <c r="AB212" s="698"/>
      <c r="AC212" s="698"/>
      <c r="AD212" s="698"/>
      <c r="AE212" s="698"/>
      <c r="AF212" s="698"/>
      <c r="AG212" s="698"/>
      <c r="AH212" s="698"/>
      <c r="AI212" s="698"/>
      <c r="AJ212" s="698"/>
      <c r="AK212" s="698"/>
    </row>
    <row r="213" spans="1:38" s="21" customFormat="1" ht="15" customHeight="1" thickTop="1" thickBot="1" x14ac:dyDescent="0.5">
      <c r="A213" s="613" t="s">
        <v>11</v>
      </c>
      <c r="B213" s="380"/>
      <c r="C213" s="380"/>
      <c r="D213" s="387"/>
      <c r="E213" s="432">
        <f>SUM(E210:F211)</f>
        <v>0</v>
      </c>
      <c r="F213" s="381"/>
      <c r="G213" s="439">
        <f>SUM(G210:H211)</f>
        <v>0</v>
      </c>
      <c r="H213" s="381"/>
      <c r="I213" s="439">
        <f>SUM(I210:J211)</f>
        <v>0</v>
      </c>
      <c r="J213" s="381"/>
      <c r="K213" s="439">
        <f>SUM(K210:L211)</f>
        <v>0</v>
      </c>
      <c r="L213" s="381"/>
      <c r="M213" s="439">
        <f>SUM(M210:N211)</f>
        <v>0</v>
      </c>
      <c r="N213" s="381"/>
      <c r="O213" s="202">
        <f>SUM(O210:O211)</f>
        <v>0</v>
      </c>
      <c r="P213" s="439">
        <f>SUM(P210:Q211)</f>
        <v>0</v>
      </c>
      <c r="Q213" s="381"/>
      <c r="R213" s="860">
        <f>SUM(R210:S212)</f>
        <v>0</v>
      </c>
      <c r="S213" s="862"/>
      <c r="T213" s="340" t="str">
        <f>IF(A202&lt;&gt;SUM(E213,G213,I213,K213,M213,O213,P213,R213),"Section 6.2 - Total doit être égal au ""Nombre de prorogations prises"" de la Section 6.1.","")</f>
        <v/>
      </c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</row>
    <row r="214" spans="1:38" ht="15" customHeight="1" thickTop="1" x14ac:dyDescent="0.45">
      <c r="T214" s="336"/>
      <c r="U214" s="336"/>
      <c r="V214" s="336"/>
      <c r="W214" s="336"/>
      <c r="X214" s="336"/>
      <c r="Y214" s="336"/>
      <c r="Z214" s="336"/>
      <c r="AA214" s="336"/>
      <c r="AB214" s="336"/>
      <c r="AC214" s="336"/>
      <c r="AD214" s="336"/>
      <c r="AE214" s="336"/>
      <c r="AF214" s="336"/>
      <c r="AG214" s="336"/>
      <c r="AH214" s="336"/>
      <c r="AI214" s="336"/>
      <c r="AJ214" s="336"/>
      <c r="AK214" s="336"/>
    </row>
    <row r="215" spans="1:38" ht="18.75" customHeight="1" x14ac:dyDescent="0.45">
      <c r="A215" s="852" t="s">
        <v>202</v>
      </c>
      <c r="B215" s="852"/>
      <c r="C215" s="852"/>
      <c r="D215" s="852"/>
      <c r="E215" s="852"/>
      <c r="F215" s="852"/>
      <c r="G215" s="852"/>
      <c r="H215" s="852"/>
      <c r="I215" s="852"/>
      <c r="J215" s="852"/>
      <c r="K215" s="852"/>
      <c r="L215" s="852"/>
      <c r="M215" s="852"/>
      <c r="N215" s="852"/>
      <c r="O215" s="852"/>
      <c r="P215" s="852"/>
      <c r="Q215" s="852"/>
      <c r="R215" s="852"/>
      <c r="S215" s="852"/>
      <c r="T215" s="21"/>
    </row>
    <row r="216" spans="1:38" x14ac:dyDescent="0.45">
      <c r="T216" s="21"/>
    </row>
    <row r="217" spans="1:38" ht="15" customHeight="1" x14ac:dyDescent="0.45">
      <c r="A217" s="517" t="s">
        <v>342</v>
      </c>
      <c r="B217" s="517"/>
      <c r="C217" s="517"/>
      <c r="D217" s="517"/>
      <c r="E217" s="517"/>
      <c r="F217" s="517"/>
      <c r="G217" s="517"/>
      <c r="H217" s="517"/>
      <c r="I217" s="517"/>
      <c r="J217" s="517"/>
      <c r="K217" s="517"/>
      <c r="L217" s="517"/>
      <c r="T217" s="21"/>
    </row>
    <row r="218" spans="1:38" ht="15.75" customHeight="1" thickBot="1" x14ac:dyDescent="0.5">
      <c r="T218" s="21"/>
    </row>
    <row r="219" spans="1:38" ht="42.75" customHeight="1" thickTop="1" thickBot="1" x14ac:dyDescent="0.5">
      <c r="A219" s="680" t="s">
        <v>204</v>
      </c>
      <c r="B219" s="380"/>
      <c r="C219" s="380"/>
      <c r="D219" s="387"/>
      <c r="E219" s="785" t="s">
        <v>205</v>
      </c>
      <c r="F219" s="381"/>
      <c r="G219" s="753" t="s">
        <v>206</v>
      </c>
      <c r="H219" s="381"/>
      <c r="I219" s="785" t="s">
        <v>207</v>
      </c>
      <c r="J219" s="381"/>
      <c r="K219" s="753" t="s">
        <v>206</v>
      </c>
      <c r="L219" s="381"/>
      <c r="T219" s="21"/>
    </row>
    <row r="220" spans="1:38" ht="29.65" customHeight="1" thickTop="1" x14ac:dyDescent="0.45">
      <c r="A220" s="722" t="s">
        <v>7</v>
      </c>
      <c r="B220" s="360"/>
      <c r="C220" s="360"/>
      <c r="D220" s="488"/>
      <c r="E220" s="423">
        <v>0</v>
      </c>
      <c r="F220" s="424"/>
      <c r="G220" s="562">
        <v>0</v>
      </c>
      <c r="H220" s="446"/>
      <c r="I220" s="445">
        <v>0</v>
      </c>
      <c r="J220" s="446"/>
      <c r="K220" s="562">
        <v>0</v>
      </c>
      <c r="L220" s="446"/>
      <c r="M220" s="16"/>
      <c r="T220" s="21"/>
    </row>
    <row r="221" spans="1:38" ht="32.25" customHeight="1" thickBot="1" x14ac:dyDescent="0.5">
      <c r="A221" s="673" t="s">
        <v>8</v>
      </c>
      <c r="B221" s="372"/>
      <c r="C221" s="372"/>
      <c r="D221" s="373"/>
      <c r="E221" s="528">
        <v>0</v>
      </c>
      <c r="F221" s="348"/>
      <c r="G221" s="842">
        <v>0</v>
      </c>
      <c r="H221" s="407"/>
      <c r="I221" s="887">
        <v>0</v>
      </c>
      <c r="J221" s="407"/>
      <c r="K221" s="842">
        <v>0</v>
      </c>
      <c r="L221" s="407"/>
      <c r="M221" s="695"/>
      <c r="N221" s="492"/>
      <c r="O221" s="492"/>
      <c r="P221" s="492"/>
      <c r="Q221" s="492"/>
      <c r="R221" s="492"/>
      <c r="S221" s="492"/>
      <c r="T221" s="492"/>
      <c r="U221" s="492"/>
      <c r="V221" s="492"/>
      <c r="W221" s="492"/>
      <c r="X221" s="492"/>
      <c r="Y221" s="492"/>
      <c r="Z221" s="492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</row>
    <row r="222" spans="1:38" ht="16.5" customHeight="1" thickTop="1" thickBot="1" x14ac:dyDescent="0.5">
      <c r="A222" s="520" t="s">
        <v>11</v>
      </c>
      <c r="B222" s="380"/>
      <c r="C222" s="380"/>
      <c r="D222" s="387"/>
      <c r="E222" s="432">
        <f>SUM(E220:F221)</f>
        <v>0</v>
      </c>
      <c r="F222" s="381"/>
      <c r="G222" s="439">
        <f>SUM(G220:H221)</f>
        <v>0</v>
      </c>
      <c r="H222" s="381"/>
      <c r="I222" s="432">
        <f>SUM(I220:J221)</f>
        <v>0</v>
      </c>
      <c r="J222" s="381"/>
      <c r="K222" s="439">
        <f>SUM(K220:L221)</f>
        <v>0</v>
      </c>
      <c r="L222" s="381"/>
      <c r="M222" s="695"/>
      <c r="N222" s="492"/>
      <c r="O222" s="492"/>
      <c r="P222" s="492"/>
      <c r="Q222" s="492"/>
      <c r="R222" s="492"/>
      <c r="S222" s="492"/>
      <c r="T222" s="492"/>
      <c r="U222" s="492"/>
      <c r="V222" s="492"/>
      <c r="W222" s="492"/>
      <c r="X222" s="492"/>
      <c r="Y222" s="492"/>
      <c r="Z222" s="492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</row>
    <row r="223" spans="1:38" ht="31.5" customHeight="1" thickTop="1" x14ac:dyDescent="0.45">
      <c r="A223" s="555" t="s">
        <v>12</v>
      </c>
      <c r="B223" s="360"/>
      <c r="C223" s="360"/>
      <c r="D223" s="488"/>
      <c r="E223" s="634">
        <v>0</v>
      </c>
      <c r="F223" s="424"/>
      <c r="G223" s="474">
        <v>0</v>
      </c>
      <c r="H223" s="446"/>
      <c r="I223" s="500">
        <v>0</v>
      </c>
      <c r="J223" s="446"/>
      <c r="K223" s="474">
        <v>0</v>
      </c>
      <c r="L223" s="446"/>
      <c r="M223" s="877"/>
      <c r="N223" s="750"/>
      <c r="O223" s="750"/>
      <c r="P223" s="750"/>
      <c r="Q223" s="750"/>
      <c r="R223" s="750"/>
      <c r="S223" s="750"/>
      <c r="T223" s="750"/>
      <c r="U223" s="750"/>
      <c r="V223" s="750"/>
      <c r="W223" s="750"/>
      <c r="X223" s="750"/>
      <c r="Y223" s="750"/>
      <c r="Z223" s="750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</row>
    <row r="224" spans="1:38" ht="41.25" customHeight="1" x14ac:dyDescent="0.45">
      <c r="A224" s="831" t="s">
        <v>208</v>
      </c>
      <c r="B224" s="377"/>
      <c r="C224" s="377"/>
      <c r="D224" s="350"/>
      <c r="E224" s="501">
        <v>0</v>
      </c>
      <c r="F224" s="357"/>
      <c r="G224" s="676">
        <v>0</v>
      </c>
      <c r="H224" s="391"/>
      <c r="I224" s="501">
        <v>0</v>
      </c>
      <c r="J224" s="357"/>
      <c r="K224" s="676">
        <v>0</v>
      </c>
      <c r="L224" s="357"/>
      <c r="M224" s="750"/>
      <c r="N224" s="750"/>
      <c r="O224" s="750"/>
      <c r="P224" s="750"/>
      <c r="Q224" s="750"/>
      <c r="R224" s="750"/>
      <c r="S224" s="750"/>
      <c r="T224" s="750"/>
      <c r="U224" s="750"/>
      <c r="V224" s="750"/>
      <c r="W224" s="750"/>
      <c r="X224" s="750"/>
      <c r="Y224" s="750"/>
      <c r="Z224" s="750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</row>
    <row r="225" spans="1:37" ht="33" customHeight="1" thickBot="1" x14ac:dyDescent="0.5">
      <c r="A225" s="684" t="s">
        <v>209</v>
      </c>
      <c r="B225" s="372"/>
      <c r="C225" s="372"/>
      <c r="D225" s="373"/>
      <c r="E225" s="774">
        <v>0</v>
      </c>
      <c r="F225" s="348"/>
      <c r="G225" s="772">
        <v>0</v>
      </c>
      <c r="H225" s="348"/>
      <c r="I225" s="774">
        <v>0</v>
      </c>
      <c r="J225" s="348"/>
      <c r="K225" s="923">
        <v>0</v>
      </c>
      <c r="L225" s="348"/>
      <c r="M225" s="750"/>
      <c r="N225" s="750"/>
      <c r="O225" s="750"/>
      <c r="P225" s="750"/>
      <c r="Q225" s="750"/>
      <c r="R225" s="750"/>
      <c r="S225" s="750"/>
      <c r="T225" s="750"/>
      <c r="U225" s="750"/>
      <c r="V225" s="750"/>
      <c r="W225" s="750"/>
      <c r="X225" s="750"/>
      <c r="Y225" s="750"/>
      <c r="Z225" s="750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</row>
    <row r="226" spans="1:37" ht="16.5" customHeight="1" thickTop="1" x14ac:dyDescent="0.45">
      <c r="A226" s="56"/>
      <c r="B226" s="56"/>
      <c r="C226" s="56"/>
      <c r="D226" s="56"/>
      <c r="E226" s="56"/>
      <c r="F226" s="56"/>
      <c r="G226" s="37"/>
      <c r="H226" s="37"/>
      <c r="I226" s="56"/>
      <c r="J226" s="56"/>
      <c r="K226" s="56"/>
      <c r="L226" s="56"/>
      <c r="M226" s="16"/>
      <c r="T226" s="21"/>
    </row>
    <row r="227" spans="1:37" ht="30.75" customHeight="1" x14ac:dyDescent="0.45">
      <c r="A227" s="517" t="s">
        <v>343</v>
      </c>
      <c r="B227" s="517"/>
      <c r="C227" s="517"/>
      <c r="D227" s="517"/>
      <c r="E227" s="517"/>
      <c r="F227" s="517"/>
      <c r="G227" s="517"/>
      <c r="H227" s="517"/>
      <c r="I227" s="517"/>
      <c r="J227" s="517"/>
      <c r="K227" s="517"/>
      <c r="L227" s="517"/>
      <c r="T227" s="21"/>
    </row>
    <row r="228" spans="1:37" ht="15.75" customHeight="1" thickBot="1" x14ac:dyDescent="0.5">
      <c r="T228" s="21"/>
    </row>
    <row r="229" spans="1:37" ht="14.25" customHeight="1" thickTop="1" thickBot="1" x14ac:dyDescent="0.5">
      <c r="A229" s="410" t="s">
        <v>211</v>
      </c>
      <c r="B229" s="394"/>
      <c r="C229" s="394"/>
      <c r="D229" s="395"/>
      <c r="E229" s="743" t="s">
        <v>212</v>
      </c>
      <c r="F229" s="744"/>
      <c r="G229" s="744"/>
      <c r="H229" s="744"/>
      <c r="I229" s="744"/>
      <c r="J229" s="744"/>
      <c r="K229" s="744"/>
      <c r="L229" s="864"/>
      <c r="T229" s="21"/>
    </row>
    <row r="230" spans="1:37" ht="28.9" customHeight="1" thickTop="1" thickBot="1" x14ac:dyDescent="0.5">
      <c r="A230" s="396"/>
      <c r="B230" s="375"/>
      <c r="C230" s="375"/>
      <c r="D230" s="397"/>
      <c r="E230" s="57" t="s">
        <v>35</v>
      </c>
      <c r="F230" s="58" t="s">
        <v>36</v>
      </c>
      <c r="G230" s="58" t="s">
        <v>37</v>
      </c>
      <c r="H230" s="58" t="s">
        <v>38</v>
      </c>
      <c r="I230" s="58" t="s">
        <v>39</v>
      </c>
      <c r="J230" s="58" t="s">
        <v>40</v>
      </c>
      <c r="K230" s="59" t="s">
        <v>41</v>
      </c>
      <c r="L230" s="185" t="s">
        <v>11</v>
      </c>
      <c r="T230" s="21"/>
    </row>
    <row r="231" spans="1:37" ht="15.75" customHeight="1" thickTop="1" x14ac:dyDescent="0.45">
      <c r="A231" s="487" t="s">
        <v>213</v>
      </c>
      <c r="B231" s="360"/>
      <c r="C231" s="360"/>
      <c r="D231" s="488"/>
      <c r="E231" s="121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114">
        <v>0</v>
      </c>
      <c r="L231" s="206">
        <f t="shared" ref="L231:L236" si="5">SUM(E231:K231)</f>
        <v>0</v>
      </c>
      <c r="M231" s="16"/>
      <c r="T231" s="21"/>
    </row>
    <row r="232" spans="1:37" x14ac:dyDescent="0.45">
      <c r="A232" s="376" t="s">
        <v>214</v>
      </c>
      <c r="B232" s="377"/>
      <c r="C232" s="377"/>
      <c r="D232" s="378"/>
      <c r="E232" s="122">
        <v>0</v>
      </c>
      <c r="F232" s="113">
        <v>0</v>
      </c>
      <c r="G232" s="113">
        <v>0</v>
      </c>
      <c r="H232" s="113">
        <v>0</v>
      </c>
      <c r="I232" s="113">
        <v>0</v>
      </c>
      <c r="J232" s="113">
        <v>0</v>
      </c>
      <c r="K232" s="112">
        <v>0</v>
      </c>
      <c r="L232" s="207">
        <f t="shared" si="5"/>
        <v>0</v>
      </c>
      <c r="M232" s="16"/>
      <c r="T232" s="21"/>
    </row>
    <row r="233" spans="1:37" x14ac:dyDescent="0.45">
      <c r="A233" s="440" t="s">
        <v>215</v>
      </c>
      <c r="B233" s="377"/>
      <c r="C233" s="377"/>
      <c r="D233" s="350"/>
      <c r="E233" s="122">
        <v>0</v>
      </c>
      <c r="F233" s="113">
        <v>0</v>
      </c>
      <c r="G233" s="113">
        <v>0</v>
      </c>
      <c r="H233" s="113">
        <v>0</v>
      </c>
      <c r="I233" s="113">
        <v>0</v>
      </c>
      <c r="J233" s="113">
        <v>0</v>
      </c>
      <c r="K233" s="112">
        <v>0</v>
      </c>
      <c r="L233" s="207">
        <f t="shared" si="5"/>
        <v>0</v>
      </c>
      <c r="M233" s="16"/>
      <c r="T233" s="21"/>
    </row>
    <row r="234" spans="1:37" x14ac:dyDescent="0.45">
      <c r="A234" s="440" t="s">
        <v>216</v>
      </c>
      <c r="B234" s="377"/>
      <c r="C234" s="377"/>
      <c r="D234" s="350"/>
      <c r="E234" s="122">
        <v>0</v>
      </c>
      <c r="F234" s="113">
        <v>0</v>
      </c>
      <c r="G234" s="113">
        <v>0</v>
      </c>
      <c r="H234" s="113">
        <v>0</v>
      </c>
      <c r="I234" s="113">
        <v>0</v>
      </c>
      <c r="J234" s="113">
        <v>0</v>
      </c>
      <c r="K234" s="112">
        <v>0</v>
      </c>
      <c r="L234" s="207">
        <f t="shared" si="5"/>
        <v>0</v>
      </c>
      <c r="M234" s="16"/>
      <c r="T234" s="21"/>
    </row>
    <row r="235" spans="1:37" x14ac:dyDescent="0.45">
      <c r="A235" s="376" t="s">
        <v>217</v>
      </c>
      <c r="B235" s="377"/>
      <c r="C235" s="377"/>
      <c r="D235" s="378"/>
      <c r="E235" s="122">
        <v>0</v>
      </c>
      <c r="F235" s="113">
        <v>0</v>
      </c>
      <c r="G235" s="113">
        <v>0</v>
      </c>
      <c r="H235" s="113">
        <v>0</v>
      </c>
      <c r="I235" s="113">
        <v>0</v>
      </c>
      <c r="J235" s="113">
        <v>0</v>
      </c>
      <c r="K235" s="112">
        <v>0</v>
      </c>
      <c r="L235" s="207">
        <f t="shared" si="5"/>
        <v>0</v>
      </c>
      <c r="M235" s="16"/>
      <c r="T235" s="21"/>
    </row>
    <row r="236" spans="1:37" ht="15.75" customHeight="1" thickBot="1" x14ac:dyDescent="0.5">
      <c r="A236" s="521" t="s">
        <v>178</v>
      </c>
      <c r="B236" s="372"/>
      <c r="C236" s="372"/>
      <c r="D236" s="373"/>
      <c r="E236" s="126">
        <v>0</v>
      </c>
      <c r="F236" s="123">
        <v>0</v>
      </c>
      <c r="G236" s="123">
        <v>0</v>
      </c>
      <c r="H236" s="123">
        <v>0</v>
      </c>
      <c r="I236" s="123">
        <v>0</v>
      </c>
      <c r="J236" s="123">
        <v>0</v>
      </c>
      <c r="K236" s="115">
        <v>0</v>
      </c>
      <c r="L236" s="208">
        <f t="shared" si="5"/>
        <v>0</v>
      </c>
      <c r="M236" s="16"/>
      <c r="T236" s="21"/>
    </row>
    <row r="237" spans="1:37" ht="16.5" customHeight="1" thickTop="1" thickBot="1" x14ac:dyDescent="0.5">
      <c r="A237" s="694" t="s">
        <v>11</v>
      </c>
      <c r="B237" s="375"/>
      <c r="C237" s="375"/>
      <c r="D237" s="366"/>
      <c r="E237" s="201">
        <f t="shared" ref="E237:L237" si="6">SUM(E231:E236)</f>
        <v>0</v>
      </c>
      <c r="F237" s="199">
        <f t="shared" si="6"/>
        <v>0</v>
      </c>
      <c r="G237" s="199">
        <f t="shared" si="6"/>
        <v>0</v>
      </c>
      <c r="H237" s="199">
        <f t="shared" si="6"/>
        <v>0</v>
      </c>
      <c r="I237" s="199">
        <f t="shared" si="6"/>
        <v>0</v>
      </c>
      <c r="J237" s="199">
        <f t="shared" si="6"/>
        <v>0</v>
      </c>
      <c r="K237" s="200">
        <f t="shared" si="6"/>
        <v>0</v>
      </c>
      <c r="L237" s="205">
        <f t="shared" si="6"/>
        <v>0</v>
      </c>
      <c r="M237" s="750"/>
      <c r="N237" s="750"/>
      <c r="O237" s="750"/>
      <c r="P237" s="750"/>
      <c r="Q237" s="750"/>
      <c r="R237" s="750"/>
      <c r="S237" s="750"/>
      <c r="T237" s="750"/>
      <c r="U237" s="750"/>
    </row>
    <row r="238" spans="1:37" ht="15.75" customHeight="1" thickTop="1" x14ac:dyDescent="0.45">
      <c r="M238" s="750"/>
      <c r="N238" s="750"/>
      <c r="O238" s="750"/>
      <c r="P238" s="750"/>
      <c r="Q238" s="750"/>
      <c r="R238" s="750"/>
      <c r="S238" s="750"/>
      <c r="T238" s="750"/>
      <c r="U238" s="750"/>
    </row>
    <row r="239" spans="1:37" ht="14.25" customHeight="1" x14ac:dyDescent="0.45">
      <c r="A239" s="517" t="s">
        <v>344</v>
      </c>
      <c r="B239" s="517"/>
      <c r="C239" s="517"/>
      <c r="D239" s="517"/>
      <c r="E239" s="517"/>
      <c r="F239" s="517"/>
      <c r="G239" s="517"/>
      <c r="H239" s="517"/>
      <c r="I239" s="517"/>
      <c r="J239" s="517"/>
      <c r="K239" s="517"/>
      <c r="L239" s="517"/>
      <c r="T239" s="21"/>
    </row>
    <row r="240" spans="1:37" ht="15.75" customHeight="1" thickBot="1" x14ac:dyDescent="0.5">
      <c r="T240" s="21"/>
    </row>
    <row r="241" spans="1:21" ht="14.25" customHeight="1" thickTop="1" thickBot="1" x14ac:dyDescent="0.5">
      <c r="A241" s="410" t="s">
        <v>211</v>
      </c>
      <c r="B241" s="394"/>
      <c r="C241" s="394"/>
      <c r="D241" s="395"/>
      <c r="E241" s="743" t="s">
        <v>212</v>
      </c>
      <c r="F241" s="744"/>
      <c r="G241" s="744"/>
      <c r="H241" s="744"/>
      <c r="I241" s="744"/>
      <c r="J241" s="744"/>
      <c r="K241" s="744"/>
      <c r="L241" s="864"/>
      <c r="T241" s="21"/>
    </row>
    <row r="242" spans="1:21" ht="29.65" customHeight="1" thickTop="1" thickBot="1" x14ac:dyDescent="0.5">
      <c r="A242" s="396"/>
      <c r="B242" s="375"/>
      <c r="C242" s="375"/>
      <c r="D242" s="397"/>
      <c r="E242" s="57" t="s">
        <v>35</v>
      </c>
      <c r="F242" s="58" t="s">
        <v>36</v>
      </c>
      <c r="G242" s="58" t="s">
        <v>37</v>
      </c>
      <c r="H242" s="58" t="s">
        <v>38</v>
      </c>
      <c r="I242" s="58" t="s">
        <v>39</v>
      </c>
      <c r="J242" s="58" t="s">
        <v>40</v>
      </c>
      <c r="K242" s="59" t="s">
        <v>41</v>
      </c>
      <c r="L242" s="185" t="s">
        <v>11</v>
      </c>
      <c r="T242" s="21"/>
    </row>
    <row r="243" spans="1:21" ht="15.75" customHeight="1" thickTop="1" x14ac:dyDescent="0.45">
      <c r="A243" s="487" t="s">
        <v>213</v>
      </c>
      <c r="B243" s="360"/>
      <c r="C243" s="360"/>
      <c r="D243" s="488"/>
      <c r="E243" s="121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114">
        <v>0</v>
      </c>
      <c r="L243" s="206">
        <f t="shared" ref="L243:L249" si="7">SUM(E243:K243)</f>
        <v>0</v>
      </c>
      <c r="M243" s="16"/>
      <c r="T243" s="21"/>
    </row>
    <row r="244" spans="1:21" x14ac:dyDescent="0.45">
      <c r="A244" s="376" t="s">
        <v>214</v>
      </c>
      <c r="B244" s="377"/>
      <c r="C244" s="377"/>
      <c r="D244" s="378"/>
      <c r="E244" s="122">
        <v>0</v>
      </c>
      <c r="F244" s="113">
        <v>0</v>
      </c>
      <c r="G244" s="113">
        <v>0</v>
      </c>
      <c r="H244" s="113">
        <v>0</v>
      </c>
      <c r="I244" s="113">
        <v>0</v>
      </c>
      <c r="J244" s="113">
        <v>0</v>
      </c>
      <c r="K244" s="112">
        <v>0</v>
      </c>
      <c r="L244" s="207">
        <f t="shared" si="7"/>
        <v>0</v>
      </c>
      <c r="M244" s="16"/>
      <c r="T244" s="21"/>
    </row>
    <row r="245" spans="1:21" x14ac:dyDescent="0.45">
      <c r="A245" s="440" t="s">
        <v>215</v>
      </c>
      <c r="B245" s="377"/>
      <c r="C245" s="377"/>
      <c r="D245" s="350"/>
      <c r="E245" s="122">
        <v>0</v>
      </c>
      <c r="F245" s="113">
        <v>0</v>
      </c>
      <c r="G245" s="113">
        <v>0</v>
      </c>
      <c r="H245" s="113">
        <v>0</v>
      </c>
      <c r="I245" s="113">
        <v>0</v>
      </c>
      <c r="J245" s="113">
        <v>0</v>
      </c>
      <c r="K245" s="112">
        <v>0</v>
      </c>
      <c r="L245" s="207">
        <f t="shared" si="7"/>
        <v>0</v>
      </c>
      <c r="M245" s="16"/>
      <c r="T245" s="21"/>
    </row>
    <row r="246" spans="1:21" x14ac:dyDescent="0.45">
      <c r="A246" s="440" t="s">
        <v>216</v>
      </c>
      <c r="B246" s="377"/>
      <c r="C246" s="377"/>
      <c r="D246" s="350"/>
      <c r="E246" s="122">
        <v>0</v>
      </c>
      <c r="F246" s="113">
        <v>0</v>
      </c>
      <c r="G246" s="113">
        <v>0</v>
      </c>
      <c r="H246" s="113">
        <v>0</v>
      </c>
      <c r="I246" s="113">
        <v>0</v>
      </c>
      <c r="J246" s="113">
        <v>0</v>
      </c>
      <c r="K246" s="112">
        <v>0</v>
      </c>
      <c r="L246" s="207">
        <f t="shared" si="7"/>
        <v>0</v>
      </c>
      <c r="M246" s="16"/>
      <c r="T246" s="21"/>
    </row>
    <row r="247" spans="1:21" x14ac:dyDescent="0.45">
      <c r="A247" s="376" t="s">
        <v>217</v>
      </c>
      <c r="B247" s="377"/>
      <c r="C247" s="377"/>
      <c r="D247" s="378"/>
      <c r="E247" s="122">
        <v>0</v>
      </c>
      <c r="F247" s="113">
        <v>0</v>
      </c>
      <c r="G247" s="113">
        <v>0</v>
      </c>
      <c r="H247" s="113">
        <v>0</v>
      </c>
      <c r="I247" s="113">
        <v>0</v>
      </c>
      <c r="J247" s="113">
        <v>0</v>
      </c>
      <c r="K247" s="112">
        <v>0</v>
      </c>
      <c r="L247" s="207">
        <f t="shared" si="7"/>
        <v>0</v>
      </c>
      <c r="M247" s="16"/>
      <c r="T247" s="21"/>
    </row>
    <row r="248" spans="1:21" ht="15.75" customHeight="1" thickBot="1" x14ac:dyDescent="0.5">
      <c r="A248" s="521" t="s">
        <v>178</v>
      </c>
      <c r="B248" s="372"/>
      <c r="C248" s="372"/>
      <c r="D248" s="373"/>
      <c r="E248" s="126">
        <v>0</v>
      </c>
      <c r="F248" s="123">
        <v>0</v>
      </c>
      <c r="G248" s="123">
        <v>0</v>
      </c>
      <c r="H248" s="123">
        <v>0</v>
      </c>
      <c r="I248" s="123">
        <v>0</v>
      </c>
      <c r="J248" s="123">
        <v>0</v>
      </c>
      <c r="K248" s="115">
        <v>0</v>
      </c>
      <c r="L248" s="208">
        <f t="shared" si="7"/>
        <v>0</v>
      </c>
      <c r="M248" s="16"/>
      <c r="T248" s="21"/>
    </row>
    <row r="249" spans="1:21" ht="16.5" customHeight="1" thickTop="1" thickBot="1" x14ac:dyDescent="0.5">
      <c r="A249" s="747" t="s">
        <v>11</v>
      </c>
      <c r="B249" s="380"/>
      <c r="C249" s="380"/>
      <c r="D249" s="381"/>
      <c r="E249" s="198">
        <f t="shared" ref="E249:K249" si="8">SUM(E243:E248)</f>
        <v>0</v>
      </c>
      <c r="F249" s="204">
        <f t="shared" si="8"/>
        <v>0</v>
      </c>
      <c r="G249" s="204">
        <f t="shared" si="8"/>
        <v>0</v>
      </c>
      <c r="H249" s="204">
        <f t="shared" si="8"/>
        <v>0</v>
      </c>
      <c r="I249" s="204">
        <f t="shared" si="8"/>
        <v>0</v>
      </c>
      <c r="J249" s="204">
        <f t="shared" si="8"/>
        <v>0</v>
      </c>
      <c r="K249" s="225">
        <f t="shared" si="8"/>
        <v>0</v>
      </c>
      <c r="L249" s="239">
        <f t="shared" si="7"/>
        <v>0</v>
      </c>
      <c r="M249" s="750"/>
      <c r="N249" s="750"/>
      <c r="O249" s="750"/>
      <c r="P249" s="750"/>
      <c r="Q249" s="750"/>
      <c r="R249" s="750"/>
      <c r="S249" s="750"/>
      <c r="T249" s="750"/>
      <c r="U249" s="750"/>
    </row>
    <row r="250" spans="1:21" ht="15.75" customHeight="1" thickTop="1" x14ac:dyDescent="0.4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750"/>
      <c r="N250" s="750"/>
      <c r="O250" s="750"/>
      <c r="P250" s="750"/>
      <c r="Q250" s="750"/>
      <c r="R250" s="750"/>
      <c r="S250" s="750"/>
      <c r="T250" s="750"/>
      <c r="U250" s="750"/>
    </row>
    <row r="251" spans="1:21" ht="15.75" customHeight="1" x14ac:dyDescent="0.45">
      <c r="A251" s="514" t="s">
        <v>345</v>
      </c>
      <c r="B251" s="514"/>
      <c r="C251" s="514"/>
      <c r="D251" s="514"/>
      <c r="E251" s="514"/>
      <c r="F251" s="514"/>
      <c r="G251" s="514"/>
      <c r="H251" s="514"/>
      <c r="I251" s="514"/>
      <c r="J251" s="514"/>
      <c r="K251" s="514"/>
      <c r="L251" s="514"/>
      <c r="M251" s="514"/>
      <c r="N251" s="514"/>
      <c r="O251" s="514"/>
      <c r="P251" s="514"/>
      <c r="Q251" s="514"/>
      <c r="R251" s="514"/>
      <c r="S251" s="514"/>
      <c r="T251" s="21"/>
    </row>
    <row r="252" spans="1:21" x14ac:dyDescent="0.45">
      <c r="T252" s="21"/>
    </row>
    <row r="253" spans="1:21" x14ac:dyDescent="0.45">
      <c r="A253" s="468" t="s">
        <v>346</v>
      </c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T253" s="21"/>
    </row>
    <row r="254" spans="1:21" ht="15.75" customHeight="1" thickBot="1" x14ac:dyDescent="0.5">
      <c r="T254" s="21"/>
    </row>
    <row r="255" spans="1:21" ht="26.25" customHeight="1" thickTop="1" thickBot="1" x14ac:dyDescent="0.5">
      <c r="A255" s="393" t="s">
        <v>221</v>
      </c>
      <c r="B255" s="395"/>
      <c r="C255" s="530" t="s">
        <v>158</v>
      </c>
      <c r="D255" s="488"/>
      <c r="E255" s="382" t="s">
        <v>222</v>
      </c>
      <c r="F255" s="361"/>
      <c r="G255" s="382" t="s">
        <v>160</v>
      </c>
      <c r="H255" s="488"/>
      <c r="I255"/>
      <c r="J255"/>
      <c r="K255"/>
      <c r="L255"/>
      <c r="P255" s="21"/>
    </row>
    <row r="256" spans="1:21" ht="40.5" customHeight="1" thickTop="1" thickBot="1" x14ac:dyDescent="0.5">
      <c r="A256" s="396"/>
      <c r="B256" s="397"/>
      <c r="C256" s="300" t="s">
        <v>6</v>
      </c>
      <c r="D256" s="301" t="s">
        <v>42</v>
      </c>
      <c r="E256" s="300" t="s">
        <v>6</v>
      </c>
      <c r="F256" s="301" t="s">
        <v>42</v>
      </c>
      <c r="G256" s="300" t="s">
        <v>6</v>
      </c>
      <c r="H256" s="301" t="s">
        <v>42</v>
      </c>
      <c r="I256"/>
      <c r="J256"/>
      <c r="K256"/>
      <c r="L256"/>
      <c r="P256" s="21"/>
    </row>
    <row r="257" spans="1:20" ht="15.75" customHeight="1" thickTop="1" x14ac:dyDescent="0.45">
      <c r="A257" s="353" t="s">
        <v>223</v>
      </c>
      <c r="B257" s="354"/>
      <c r="C257" s="254">
        <v>0</v>
      </c>
      <c r="D257" s="280">
        <v>0</v>
      </c>
      <c r="E257" s="254">
        <v>0</v>
      </c>
      <c r="F257" s="280">
        <v>0</v>
      </c>
      <c r="G257" s="254">
        <v>0</v>
      </c>
      <c r="H257" s="280">
        <v>0</v>
      </c>
      <c r="I257" s="260"/>
      <c r="J257"/>
      <c r="K257"/>
      <c r="L257"/>
      <c r="P257" s="21"/>
    </row>
    <row r="258" spans="1:20" ht="14.25" customHeight="1" x14ac:dyDescent="0.45">
      <c r="A258" s="401" t="s">
        <v>224</v>
      </c>
      <c r="B258" s="378"/>
      <c r="C258" s="257">
        <v>0</v>
      </c>
      <c r="D258" s="15">
        <v>0</v>
      </c>
      <c r="E258" s="257">
        <v>0</v>
      </c>
      <c r="F258" s="15">
        <v>0</v>
      </c>
      <c r="G258" s="257">
        <v>0</v>
      </c>
      <c r="H258" s="15">
        <v>0</v>
      </c>
      <c r="I258" s="260"/>
      <c r="J258"/>
      <c r="K258"/>
      <c r="L258"/>
      <c r="P258" s="21"/>
    </row>
    <row r="259" spans="1:20" x14ac:dyDescent="0.45">
      <c r="A259" s="440" t="s">
        <v>225</v>
      </c>
      <c r="B259" s="350"/>
      <c r="C259" s="257">
        <v>0</v>
      </c>
      <c r="D259" s="15">
        <v>0</v>
      </c>
      <c r="E259" s="257">
        <v>0</v>
      </c>
      <c r="F259" s="15">
        <v>0</v>
      </c>
      <c r="G259" s="257">
        <v>0</v>
      </c>
      <c r="H259" s="15">
        <v>0</v>
      </c>
      <c r="I259" s="260"/>
      <c r="J259"/>
      <c r="K259"/>
      <c r="L259"/>
      <c r="P259" s="21"/>
    </row>
    <row r="260" spans="1:20" x14ac:dyDescent="0.45">
      <c r="A260" s="440" t="s">
        <v>226</v>
      </c>
      <c r="B260" s="350"/>
      <c r="C260" s="257">
        <v>0</v>
      </c>
      <c r="D260" s="15">
        <v>0</v>
      </c>
      <c r="E260" s="257">
        <v>0</v>
      </c>
      <c r="F260" s="15">
        <v>0</v>
      </c>
      <c r="G260" s="257">
        <v>0</v>
      </c>
      <c r="H260" s="15">
        <v>0</v>
      </c>
      <c r="I260" s="260"/>
      <c r="J260"/>
      <c r="K260"/>
      <c r="L260"/>
      <c r="P260" s="21"/>
    </row>
    <row r="261" spans="1:20" x14ac:dyDescent="0.45">
      <c r="A261" s="376" t="s">
        <v>227</v>
      </c>
      <c r="B261" s="378"/>
      <c r="C261" s="257">
        <v>0</v>
      </c>
      <c r="D261" s="281">
        <v>0</v>
      </c>
      <c r="E261" s="257">
        <v>0</v>
      </c>
      <c r="F261" s="281">
        <v>0</v>
      </c>
      <c r="G261" s="257">
        <v>0</v>
      </c>
      <c r="H261" s="15">
        <v>0</v>
      </c>
      <c r="I261"/>
      <c r="J261"/>
      <c r="K261"/>
      <c r="L261"/>
      <c r="P261" s="21"/>
    </row>
    <row r="262" spans="1:20" x14ac:dyDescent="0.45">
      <c r="A262" s="440" t="s">
        <v>228</v>
      </c>
      <c r="B262" s="350"/>
      <c r="C262" s="257">
        <v>0</v>
      </c>
      <c r="D262" s="281">
        <v>0</v>
      </c>
      <c r="E262" s="257">
        <v>0</v>
      </c>
      <c r="F262" s="281">
        <v>0</v>
      </c>
      <c r="G262" s="257">
        <v>0</v>
      </c>
      <c r="H262" s="15">
        <v>0</v>
      </c>
      <c r="I262"/>
      <c r="J262"/>
      <c r="K262"/>
      <c r="L262"/>
      <c r="P262" s="21"/>
    </row>
    <row r="263" spans="1:20" ht="14.65" customHeight="1" thickBot="1" x14ac:dyDescent="0.5">
      <c r="A263" s="577" t="s">
        <v>229</v>
      </c>
      <c r="B263" s="373"/>
      <c r="C263" s="302">
        <v>0</v>
      </c>
      <c r="D263" s="303">
        <v>0</v>
      </c>
      <c r="E263" s="302">
        <v>0</v>
      </c>
      <c r="F263" s="303">
        <v>0</v>
      </c>
      <c r="G263" s="302">
        <v>0</v>
      </c>
      <c r="H263" s="304">
        <v>0</v>
      </c>
      <c r="I263"/>
      <c r="J263"/>
      <c r="K263"/>
      <c r="L263"/>
      <c r="P263" s="21"/>
    </row>
    <row r="264" spans="1:20" ht="16.5" customHeight="1" thickTop="1" thickBot="1" x14ac:dyDescent="0.5">
      <c r="A264" s="524" t="s">
        <v>11</v>
      </c>
      <c r="B264" s="366"/>
      <c r="C264" s="294">
        <f t="shared" ref="C264:H264" si="9">SUM(C257:C263)</f>
        <v>0</v>
      </c>
      <c r="D264" s="295">
        <f t="shared" si="9"/>
        <v>0</v>
      </c>
      <c r="E264" s="294">
        <f t="shared" si="9"/>
        <v>0</v>
      </c>
      <c r="F264" s="295">
        <f t="shared" si="9"/>
        <v>0</v>
      </c>
      <c r="G264" s="294">
        <f t="shared" si="9"/>
        <v>0</v>
      </c>
      <c r="H264" s="295">
        <f t="shared" si="9"/>
        <v>0</v>
      </c>
      <c r="I264"/>
      <c r="J264"/>
      <c r="K264"/>
      <c r="L264"/>
      <c r="P264" s="21"/>
    </row>
    <row r="265" spans="1:20" ht="15.75" customHeight="1" thickTop="1" x14ac:dyDescent="0.45">
      <c r="A265" s="39"/>
      <c r="B265" s="39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T265" s="21"/>
    </row>
    <row r="266" spans="1:20" x14ac:dyDescent="0.45">
      <c r="A266" s="468" t="s">
        <v>230</v>
      </c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T266" s="21"/>
    </row>
    <row r="267" spans="1:20" ht="15.75" customHeight="1" thickBot="1" x14ac:dyDescent="0.5">
      <c r="T267" s="21"/>
    </row>
    <row r="268" spans="1:20" ht="27.75" customHeight="1" thickTop="1" thickBot="1" x14ac:dyDescent="0.5">
      <c r="A268" s="393" t="s">
        <v>221</v>
      </c>
      <c r="B268" s="395"/>
      <c r="C268" s="530" t="s">
        <v>158</v>
      </c>
      <c r="D268" s="488"/>
      <c r="E268" s="382" t="s">
        <v>222</v>
      </c>
      <c r="F268" s="361"/>
      <c r="G268" s="382" t="s">
        <v>160</v>
      </c>
      <c r="H268" s="488"/>
      <c r="I268"/>
      <c r="J268"/>
      <c r="K268"/>
      <c r="L268"/>
      <c r="P268" s="21"/>
    </row>
    <row r="269" spans="1:20" ht="37.5" customHeight="1" thickTop="1" thickBot="1" x14ac:dyDescent="0.5">
      <c r="A269" s="396"/>
      <c r="B269" s="397"/>
      <c r="C269" s="300" t="s">
        <v>6</v>
      </c>
      <c r="D269" s="301" t="s">
        <v>42</v>
      </c>
      <c r="E269" s="300" t="s">
        <v>6</v>
      </c>
      <c r="F269" s="301" t="s">
        <v>42</v>
      </c>
      <c r="G269" s="300" t="s">
        <v>6</v>
      </c>
      <c r="H269" s="301" t="s">
        <v>42</v>
      </c>
      <c r="I269"/>
      <c r="J269"/>
      <c r="K269"/>
      <c r="L269"/>
      <c r="P269" s="21"/>
    </row>
    <row r="270" spans="1:20" ht="15.75" customHeight="1" thickTop="1" x14ac:dyDescent="0.45">
      <c r="A270" s="353" t="s">
        <v>223</v>
      </c>
      <c r="B270" s="354"/>
      <c r="C270" s="254">
        <v>0</v>
      </c>
      <c r="D270" s="280">
        <v>0</v>
      </c>
      <c r="E270" s="254">
        <v>0</v>
      </c>
      <c r="F270" s="280">
        <v>0</v>
      </c>
      <c r="G270" s="254">
        <v>0</v>
      </c>
      <c r="H270" s="280">
        <v>0</v>
      </c>
      <c r="I270" s="260"/>
      <c r="J270"/>
      <c r="K270"/>
      <c r="L270"/>
      <c r="P270" s="21"/>
    </row>
    <row r="271" spans="1:20" ht="14.25" customHeight="1" x14ac:dyDescent="0.45">
      <c r="A271" s="401" t="s">
        <v>224</v>
      </c>
      <c r="B271" s="378"/>
      <c r="C271" s="257">
        <v>0</v>
      </c>
      <c r="D271" s="15">
        <v>0</v>
      </c>
      <c r="E271" s="257">
        <v>0</v>
      </c>
      <c r="F271" s="15">
        <v>0</v>
      </c>
      <c r="G271" s="257">
        <v>0</v>
      </c>
      <c r="H271" s="15">
        <v>0</v>
      </c>
      <c r="I271" s="260"/>
      <c r="J271"/>
      <c r="K271"/>
      <c r="L271"/>
      <c r="P271" s="21"/>
    </row>
    <row r="272" spans="1:20" x14ac:dyDescent="0.45">
      <c r="A272" s="440" t="s">
        <v>225</v>
      </c>
      <c r="B272" s="350"/>
      <c r="C272" s="257">
        <v>0</v>
      </c>
      <c r="D272" s="15">
        <v>0</v>
      </c>
      <c r="E272" s="257">
        <v>0</v>
      </c>
      <c r="F272" s="15">
        <v>0</v>
      </c>
      <c r="G272" s="257">
        <v>0</v>
      </c>
      <c r="H272" s="15">
        <v>0</v>
      </c>
      <c r="I272" s="260"/>
      <c r="J272"/>
      <c r="K272"/>
      <c r="L272"/>
      <c r="P272" s="21"/>
    </row>
    <row r="273" spans="1:30" x14ac:dyDescent="0.45">
      <c r="A273" s="440" t="s">
        <v>226</v>
      </c>
      <c r="B273" s="350"/>
      <c r="C273" s="257">
        <v>0</v>
      </c>
      <c r="D273" s="15">
        <v>0</v>
      </c>
      <c r="E273" s="257">
        <v>0</v>
      </c>
      <c r="F273" s="15">
        <v>0</v>
      </c>
      <c r="G273" s="257">
        <v>0</v>
      </c>
      <c r="H273" s="15">
        <v>0</v>
      </c>
      <c r="I273" s="260"/>
      <c r="J273"/>
      <c r="K273"/>
      <c r="L273"/>
      <c r="P273" s="21"/>
    </row>
    <row r="274" spans="1:30" x14ac:dyDescent="0.45">
      <c r="A274" s="376" t="s">
        <v>227</v>
      </c>
      <c r="B274" s="378"/>
      <c r="C274" s="257">
        <v>0</v>
      </c>
      <c r="D274" s="281">
        <v>0</v>
      </c>
      <c r="E274" s="257">
        <v>0</v>
      </c>
      <c r="F274" s="281">
        <v>0</v>
      </c>
      <c r="G274" s="257">
        <v>0</v>
      </c>
      <c r="H274" s="15">
        <v>0</v>
      </c>
      <c r="I274"/>
      <c r="J274"/>
      <c r="K274"/>
      <c r="L274"/>
      <c r="P274" s="21"/>
    </row>
    <row r="275" spans="1:30" x14ac:dyDescent="0.45">
      <c r="A275" s="440" t="s">
        <v>228</v>
      </c>
      <c r="B275" s="350"/>
      <c r="C275" s="257">
        <v>0</v>
      </c>
      <c r="D275" s="281">
        <v>0</v>
      </c>
      <c r="E275" s="257">
        <v>0</v>
      </c>
      <c r="F275" s="281">
        <v>0</v>
      </c>
      <c r="G275" s="257">
        <v>0</v>
      </c>
      <c r="H275" s="15">
        <v>0</v>
      </c>
      <c r="I275"/>
      <c r="J275"/>
      <c r="K275"/>
      <c r="L275"/>
      <c r="P275" s="21"/>
    </row>
    <row r="276" spans="1:30" ht="14.65" customHeight="1" thickBot="1" x14ac:dyDescent="0.5">
      <c r="A276" s="577" t="s">
        <v>229</v>
      </c>
      <c r="B276" s="373"/>
      <c r="C276" s="302">
        <v>0</v>
      </c>
      <c r="D276" s="303">
        <v>0</v>
      </c>
      <c r="E276" s="302">
        <v>0</v>
      </c>
      <c r="F276" s="303">
        <v>0</v>
      </c>
      <c r="G276" s="302">
        <v>0</v>
      </c>
      <c r="H276" s="304">
        <v>0</v>
      </c>
      <c r="I276"/>
      <c r="J276"/>
      <c r="K276"/>
      <c r="L276"/>
      <c r="P276" s="21"/>
    </row>
    <row r="277" spans="1:30" ht="16.5" customHeight="1" thickTop="1" thickBot="1" x14ac:dyDescent="0.5">
      <c r="A277" s="524" t="s">
        <v>11</v>
      </c>
      <c r="B277" s="366"/>
      <c r="C277" s="294">
        <f t="shared" ref="C277:F277" si="10">SUM(C270:C276)</f>
        <v>0</v>
      </c>
      <c r="D277" s="295">
        <f t="shared" si="10"/>
        <v>0</v>
      </c>
      <c r="E277" s="294">
        <f t="shared" si="10"/>
        <v>0</v>
      </c>
      <c r="F277" s="295">
        <f t="shared" si="10"/>
        <v>0</v>
      </c>
      <c r="G277" s="294">
        <f>SUM(G270:G276)</f>
        <v>0</v>
      </c>
      <c r="H277" s="289">
        <f>SUM(H270:H276)</f>
        <v>0</v>
      </c>
      <c r="I277"/>
      <c r="J277"/>
      <c r="K277"/>
      <c r="L277"/>
      <c r="P277" s="21"/>
    </row>
    <row r="278" spans="1:30" ht="15.75" customHeight="1" thickTop="1" x14ac:dyDescent="0.45">
      <c r="A278" s="935"/>
      <c r="B278" s="935"/>
      <c r="C278" s="935"/>
      <c r="D278" s="935"/>
      <c r="E278" s="935"/>
      <c r="F278" s="935"/>
      <c r="G278" s="935"/>
      <c r="H278" s="935"/>
      <c r="I278" s="578"/>
      <c r="J278" s="578"/>
      <c r="K278" s="578"/>
      <c r="L278" s="578"/>
      <c r="T278" s="21"/>
    </row>
    <row r="279" spans="1:30" ht="15.75" customHeight="1" x14ac:dyDescent="0.45">
      <c r="A279" s="529" t="s">
        <v>347</v>
      </c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21"/>
    </row>
    <row r="280" spans="1:30" ht="15.75" customHeight="1" thickBot="1" x14ac:dyDescent="0.5">
      <c r="T280" s="21"/>
    </row>
    <row r="281" spans="1:30" s="21" customFormat="1" ht="15.75" customHeight="1" thickTop="1" thickBot="1" x14ac:dyDescent="0.5">
      <c r="A281" s="435" t="s">
        <v>348</v>
      </c>
      <c r="B281" s="381"/>
      <c r="C281" s="542" t="s">
        <v>349</v>
      </c>
      <c r="D281" s="381"/>
      <c r="E281" s="550" t="s">
        <v>350</v>
      </c>
      <c r="F281" s="381"/>
      <c r="G281" s="763" t="s">
        <v>351</v>
      </c>
      <c r="H281" s="387"/>
      <c r="I281" s="526" t="s">
        <v>11</v>
      </c>
      <c r="J281" s="387"/>
      <c r="M281" s="60"/>
      <c r="N281" s="60"/>
    </row>
    <row r="282" spans="1:30" s="61" customFormat="1" ht="17.25" customHeight="1" thickTop="1" thickBot="1" x14ac:dyDescent="0.5">
      <c r="A282" s="636">
        <v>0</v>
      </c>
      <c r="B282" s="364"/>
      <c r="C282" s="362">
        <v>0</v>
      </c>
      <c r="D282" s="364"/>
      <c r="E282" s="362">
        <v>0</v>
      </c>
      <c r="F282" s="364"/>
      <c r="G282" s="751">
        <v>0</v>
      </c>
      <c r="H282" s="399"/>
      <c r="I282" s="627">
        <f>SUM(A282:H282)</f>
        <v>0</v>
      </c>
      <c r="J282" s="387"/>
      <c r="L282" s="21"/>
      <c r="M282" s="60"/>
      <c r="N282" s="60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5.75" customHeight="1" thickTop="1" x14ac:dyDescent="0.45">
      <c r="T283" s="21"/>
    </row>
    <row r="284" spans="1:30" ht="15.75" customHeight="1" x14ac:dyDescent="0.45">
      <c r="A284" s="514" t="s">
        <v>352</v>
      </c>
      <c r="B284" s="514"/>
      <c r="C284" s="514"/>
      <c r="D284" s="514"/>
      <c r="E284" s="514"/>
      <c r="F284" s="514"/>
      <c r="G284" s="514"/>
      <c r="H284" s="514"/>
      <c r="I284" s="514"/>
      <c r="J284" s="514"/>
      <c r="K284" s="514"/>
      <c r="L284" s="514"/>
      <c r="M284" s="514"/>
      <c r="N284" s="514"/>
      <c r="O284" s="514"/>
      <c r="P284" s="514"/>
      <c r="Q284" s="514"/>
      <c r="R284" s="514"/>
      <c r="S284" s="514"/>
      <c r="T284" s="21"/>
    </row>
    <row r="285" spans="1:30" s="242" customFormat="1" ht="15.75" customHeight="1" x14ac:dyDescent="0.45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83"/>
    </row>
    <row r="286" spans="1:30" s="72" customFormat="1" ht="16.5" customHeight="1" thickBot="1" x14ac:dyDescent="0.5">
      <c r="A286" s="708" t="s">
        <v>353</v>
      </c>
      <c r="B286" s="708"/>
      <c r="C286" s="708"/>
      <c r="D286" s="708"/>
      <c r="E286" s="708"/>
      <c r="F286" s="708"/>
      <c r="G286" s="708"/>
      <c r="H286" s="708"/>
      <c r="I286" s="708"/>
      <c r="J286" s="708"/>
      <c r="K286" s="307"/>
      <c r="L286" s="307"/>
      <c r="M286" s="307"/>
      <c r="N286" s="307"/>
      <c r="O286" s="307"/>
      <c r="P286" s="307"/>
      <c r="Q286" s="307"/>
      <c r="R286" s="307"/>
      <c r="S286" s="307"/>
      <c r="T286" s="71"/>
    </row>
    <row r="287" spans="1:30" s="72" customFormat="1" ht="31.5" customHeight="1" thickTop="1" x14ac:dyDescent="0.45">
      <c r="A287" s="689" t="s">
        <v>354</v>
      </c>
      <c r="B287" s="690"/>
      <c r="C287" s="690"/>
      <c r="D287" s="690"/>
      <c r="E287" s="690"/>
      <c r="F287" s="690"/>
      <c r="G287" s="690"/>
      <c r="H287" s="690"/>
      <c r="I287" s="691"/>
      <c r="J287" s="333">
        <v>0</v>
      </c>
      <c r="K287" s="307"/>
      <c r="L287" s="307"/>
      <c r="M287" s="307"/>
      <c r="N287" s="307"/>
      <c r="O287" s="307"/>
      <c r="P287" s="307"/>
      <c r="Q287" s="307"/>
      <c r="R287" s="307"/>
      <c r="S287" s="307"/>
      <c r="T287" s="71"/>
    </row>
    <row r="288" spans="1:30" s="72" customFormat="1" ht="31.5" customHeight="1" thickBot="1" x14ac:dyDescent="0.5">
      <c r="A288" s="932" t="s">
        <v>355</v>
      </c>
      <c r="B288" s="933"/>
      <c r="C288" s="933"/>
      <c r="D288" s="933"/>
      <c r="E288" s="933"/>
      <c r="F288" s="933"/>
      <c r="G288" s="933"/>
      <c r="H288" s="933"/>
      <c r="I288" s="934"/>
      <c r="J288" s="334">
        <v>0</v>
      </c>
      <c r="K288" s="307"/>
      <c r="L288" s="307"/>
      <c r="M288" s="307"/>
      <c r="N288" s="307"/>
      <c r="O288" s="307"/>
      <c r="P288" s="307"/>
      <c r="Q288" s="307"/>
      <c r="R288" s="307"/>
      <c r="S288" s="307"/>
      <c r="T288" s="71"/>
    </row>
    <row r="289" spans="1:20" ht="15.75" customHeight="1" thickTop="1" x14ac:dyDescent="0.45">
      <c r="T289" s="21"/>
    </row>
    <row r="290" spans="1:20" ht="15" customHeight="1" thickBot="1" x14ac:dyDescent="0.5">
      <c r="A290" s="784" t="s">
        <v>356</v>
      </c>
      <c r="B290" s="784"/>
      <c r="C290" s="784"/>
      <c r="D290" s="784"/>
      <c r="E290" s="784"/>
      <c r="F290" s="784"/>
      <c r="G290" s="784"/>
      <c r="H290" s="784"/>
      <c r="I290" s="784"/>
      <c r="J290" s="71"/>
      <c r="T290" s="16"/>
    </row>
    <row r="291" spans="1:20" ht="15.75" customHeight="1" thickTop="1" x14ac:dyDescent="0.45">
      <c r="A291" s="863" t="s">
        <v>357</v>
      </c>
      <c r="B291" s="779"/>
      <c r="C291" s="779"/>
      <c r="D291" s="779"/>
      <c r="E291" s="383"/>
      <c r="F291" s="890">
        <v>0</v>
      </c>
      <c r="G291" s="891"/>
      <c r="H291" s="891"/>
      <c r="I291" s="892"/>
      <c r="J291" s="71"/>
      <c r="T291" s="16"/>
    </row>
    <row r="292" spans="1:20" x14ac:dyDescent="0.45">
      <c r="A292" s="889" t="s">
        <v>358</v>
      </c>
      <c r="B292" s="882"/>
      <c r="C292" s="882"/>
      <c r="D292" s="882"/>
      <c r="E292" s="883"/>
      <c r="F292" s="775">
        <v>0</v>
      </c>
      <c r="G292" s="776"/>
      <c r="H292" s="776"/>
      <c r="I292" s="777"/>
      <c r="J292" s="71"/>
      <c r="T292" s="16"/>
    </row>
    <row r="293" spans="1:20" ht="31.5" customHeight="1" x14ac:dyDescent="0.45">
      <c r="A293" s="881" t="s">
        <v>359</v>
      </c>
      <c r="B293" s="882"/>
      <c r="C293" s="882"/>
      <c r="D293" s="882"/>
      <c r="E293" s="883"/>
      <c r="F293" s="853">
        <v>0</v>
      </c>
      <c r="G293" s="854"/>
      <c r="H293" s="854"/>
      <c r="I293" s="855"/>
      <c r="J293" s="71"/>
      <c r="T293" s="16"/>
    </row>
    <row r="294" spans="1:20" ht="47.25" customHeight="1" thickBot="1" x14ac:dyDescent="0.5">
      <c r="A294" s="888" t="s">
        <v>360</v>
      </c>
      <c r="B294" s="735"/>
      <c r="C294" s="735"/>
      <c r="D294" s="735"/>
      <c r="E294" s="736"/>
      <c r="F294" s="929">
        <v>0</v>
      </c>
      <c r="G294" s="930"/>
      <c r="H294" s="930"/>
      <c r="I294" s="931"/>
      <c r="J294" s="71"/>
      <c r="T294" s="16"/>
    </row>
    <row r="295" spans="1:20" ht="15.75" customHeight="1" thickTop="1" x14ac:dyDescent="0.45">
      <c r="A295" s="321"/>
      <c r="B295" s="321"/>
      <c r="C295" s="321"/>
      <c r="D295" s="321"/>
      <c r="E295" s="321"/>
      <c r="F295" s="322"/>
      <c r="G295" s="322"/>
      <c r="H295" s="322"/>
      <c r="I295" s="322"/>
      <c r="J295" s="71"/>
      <c r="T295" s="21"/>
    </row>
    <row r="296" spans="1:20" s="72" customFormat="1" ht="15.75" customHeight="1" thickBot="1" x14ac:dyDescent="0.5">
      <c r="A296" s="782" t="s">
        <v>361</v>
      </c>
      <c r="B296" s="782"/>
      <c r="C296" s="782"/>
      <c r="D296" s="782"/>
      <c r="E296" s="782"/>
      <c r="F296" s="782"/>
      <c r="G296" s="782"/>
      <c r="H296" s="782"/>
      <c r="I296" s="782"/>
      <c r="J296" s="782"/>
      <c r="K296" s="71"/>
      <c r="L296" s="71"/>
      <c r="T296" s="71"/>
    </row>
    <row r="297" spans="1:20" s="72" customFormat="1" ht="31.5" customHeight="1" thickTop="1" thickBot="1" x14ac:dyDescent="0.5">
      <c r="A297" s="685" t="s">
        <v>362</v>
      </c>
      <c r="B297" s="686"/>
      <c r="C297" s="686"/>
      <c r="D297" s="686"/>
      <c r="E297" s="686"/>
      <c r="F297" s="686"/>
      <c r="G297" s="686"/>
      <c r="H297" s="686"/>
      <c r="I297" s="687"/>
      <c r="J297" s="335">
        <v>0</v>
      </c>
      <c r="K297" s="71"/>
      <c r="L297" s="71"/>
      <c r="T297" s="71"/>
    </row>
    <row r="298" spans="1:20" s="72" customFormat="1" ht="15.75" customHeight="1" thickTop="1" x14ac:dyDescent="0.45">
      <c r="A298" s="319"/>
      <c r="B298" s="319"/>
      <c r="C298" s="319"/>
      <c r="D298" s="319"/>
      <c r="E298" s="319"/>
      <c r="F298" s="320"/>
      <c r="G298" s="320"/>
      <c r="H298" s="320"/>
      <c r="I298" s="71"/>
      <c r="J298" s="71"/>
      <c r="K298" s="71"/>
      <c r="L298" s="71"/>
      <c r="T298" s="71"/>
    </row>
    <row r="299" spans="1:20" s="72" customFormat="1" ht="15.75" customHeight="1" thickBot="1" x14ac:dyDescent="0.5">
      <c r="A299" s="708" t="s">
        <v>363</v>
      </c>
      <c r="B299" s="708"/>
      <c r="C299" s="708"/>
      <c r="D299" s="708"/>
      <c r="E299" s="708"/>
      <c r="F299" s="708"/>
      <c r="G299" s="708"/>
      <c r="H299" s="708"/>
      <c r="I299" s="708"/>
      <c r="J299" s="708"/>
      <c r="K299" s="708"/>
      <c r="L299" s="308"/>
      <c r="T299" s="71"/>
    </row>
    <row r="300" spans="1:20" s="72" customFormat="1" ht="16.5" customHeight="1" thickTop="1" thickBot="1" x14ac:dyDescent="0.5">
      <c r="A300" s="727" t="s">
        <v>364</v>
      </c>
      <c r="B300" s="728"/>
      <c r="C300" s="728"/>
      <c r="D300" s="728"/>
      <c r="E300" s="729"/>
      <c r="F300" s="309" t="s">
        <v>365</v>
      </c>
      <c r="G300" s="310" t="s">
        <v>366</v>
      </c>
      <c r="H300" s="895" t="s">
        <v>367</v>
      </c>
      <c r="I300" s="896"/>
      <c r="J300" s="847" t="s">
        <v>368</v>
      </c>
      <c r="K300" s="762"/>
      <c r="L300" s="71"/>
      <c r="T300" s="71"/>
    </row>
    <row r="301" spans="1:20" s="72" customFormat="1" ht="15.75" customHeight="1" thickTop="1" x14ac:dyDescent="0.45">
      <c r="A301" s="778" t="s">
        <v>369</v>
      </c>
      <c r="B301" s="779"/>
      <c r="C301" s="779"/>
      <c r="D301" s="779"/>
      <c r="E301" s="383"/>
      <c r="F301" s="311">
        <v>0</v>
      </c>
      <c r="G301" s="312">
        <v>0</v>
      </c>
      <c r="H301" s="738">
        <v>0</v>
      </c>
      <c r="I301" s="739"/>
      <c r="J301" s="849">
        <v>0</v>
      </c>
      <c r="K301" s="850"/>
      <c r="L301" s="71"/>
      <c r="T301" s="71"/>
    </row>
    <row r="302" spans="1:20" s="72" customFormat="1" ht="15.75" customHeight="1" thickBot="1" x14ac:dyDescent="0.5">
      <c r="A302" s="734" t="s">
        <v>370</v>
      </c>
      <c r="B302" s="735"/>
      <c r="C302" s="735"/>
      <c r="D302" s="735"/>
      <c r="E302" s="736"/>
      <c r="F302" s="313">
        <v>0</v>
      </c>
      <c r="G302" s="314">
        <v>0</v>
      </c>
      <c r="H302" s="927">
        <v>0</v>
      </c>
      <c r="I302" s="928"/>
      <c r="J302" s="938">
        <v>0</v>
      </c>
      <c r="K302" s="939"/>
      <c r="L302" s="71"/>
      <c r="T302" s="71"/>
    </row>
    <row r="303" spans="1:20" s="72" customFormat="1" ht="16.5" customHeight="1" thickTop="1" thickBot="1" x14ac:dyDescent="0.5">
      <c r="A303" s="760" t="s">
        <v>371</v>
      </c>
      <c r="B303" s="761"/>
      <c r="C303" s="761"/>
      <c r="D303" s="761"/>
      <c r="E303" s="762"/>
      <c r="F303" s="315">
        <f>SUM(F301:F302)</f>
        <v>0</v>
      </c>
      <c r="G303" s="316">
        <f>SUM(G301:G302)</f>
        <v>0</v>
      </c>
      <c r="H303" s="895">
        <f>SUM(H301:I302)</f>
        <v>0</v>
      </c>
      <c r="I303" s="896"/>
      <c r="J303" s="847">
        <f>SUM(J301:K302)</f>
        <v>0</v>
      </c>
      <c r="K303" s="762"/>
      <c r="L303" s="71"/>
      <c r="T303" s="71"/>
    </row>
    <row r="304" spans="1:20" s="72" customFormat="1" ht="15.75" customHeight="1" thickTop="1" x14ac:dyDescent="0.45">
      <c r="A304" s="317"/>
      <c r="B304" s="317"/>
      <c r="C304" s="317"/>
      <c r="D304" s="317"/>
      <c r="E304" s="317"/>
      <c r="F304" s="318"/>
      <c r="G304" s="318"/>
      <c r="H304" s="318"/>
      <c r="I304" s="318"/>
      <c r="J304" s="318"/>
      <c r="K304" s="318"/>
      <c r="L304" s="71"/>
      <c r="T304" s="71"/>
    </row>
    <row r="305" spans="1:27" s="72" customFormat="1" ht="15.75" customHeight="1" thickBot="1" x14ac:dyDescent="0.5">
      <c r="A305" s="708" t="s">
        <v>372</v>
      </c>
      <c r="B305" s="708"/>
      <c r="C305" s="708"/>
      <c r="D305" s="708"/>
      <c r="E305" s="708"/>
      <c r="F305" s="708"/>
      <c r="G305" s="708"/>
      <c r="H305" s="708"/>
      <c r="I305" s="708"/>
      <c r="J305" s="708"/>
      <c r="K305" s="708"/>
      <c r="L305" s="71"/>
      <c r="T305" s="71"/>
    </row>
    <row r="306" spans="1:27" s="72" customFormat="1" ht="31.5" customHeight="1" thickTop="1" thickBot="1" x14ac:dyDescent="0.5">
      <c r="A306" s="884" t="s">
        <v>373</v>
      </c>
      <c r="B306" s="885"/>
      <c r="C306" s="885"/>
      <c r="D306" s="885"/>
      <c r="E306" s="885"/>
      <c r="F306" s="885"/>
      <c r="G306" s="885"/>
      <c r="H306" s="885"/>
      <c r="I306" s="886"/>
      <c r="J306" s="710" t="s">
        <v>374</v>
      </c>
      <c r="K306" s="711"/>
      <c r="L306" s="71"/>
      <c r="T306" s="71"/>
    </row>
    <row r="307" spans="1:27" ht="15.75" customHeight="1" thickTop="1" x14ac:dyDescent="0.45">
      <c r="A307" s="243"/>
      <c r="B307" s="243"/>
      <c r="C307" s="243"/>
      <c r="D307" s="243"/>
      <c r="E307" s="243"/>
      <c r="F307" s="244"/>
      <c r="G307" s="244"/>
      <c r="H307" s="244"/>
      <c r="I307" s="245"/>
      <c r="J307" s="244"/>
      <c r="K307" s="245"/>
      <c r="T307" s="21"/>
    </row>
    <row r="308" spans="1:27" ht="15.75" customHeight="1" x14ac:dyDescent="0.45">
      <c r="A308" s="529" t="s">
        <v>375</v>
      </c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21"/>
    </row>
    <row r="309" spans="1:27" ht="15.75" customHeight="1" thickBot="1" x14ac:dyDescent="0.5">
      <c r="A309" s="243"/>
      <c r="B309" s="243"/>
      <c r="C309" s="243"/>
      <c r="D309" s="243"/>
      <c r="E309" s="243"/>
      <c r="F309" s="244"/>
      <c r="G309" s="244"/>
      <c r="H309" s="244"/>
      <c r="I309" s="245"/>
      <c r="J309" s="244"/>
      <c r="K309" s="245"/>
      <c r="T309" s="21"/>
    </row>
    <row r="310" spans="1:27" s="72" customFormat="1" ht="31.5" customHeight="1" thickTop="1" thickBot="1" x14ac:dyDescent="0.5">
      <c r="A310" s="685" t="s">
        <v>376</v>
      </c>
      <c r="B310" s="686"/>
      <c r="C310" s="686"/>
      <c r="D310" s="686"/>
      <c r="E310" s="686"/>
      <c r="F310" s="686"/>
      <c r="G310" s="686"/>
      <c r="H310" s="686"/>
      <c r="I310" s="687"/>
      <c r="J310" s="324">
        <v>0</v>
      </c>
      <c r="K310" s="318"/>
      <c r="L310" s="71"/>
      <c r="T310" s="71"/>
    </row>
    <row r="311" spans="1:27" ht="15.75" customHeight="1" thickTop="1" x14ac:dyDescent="0.45">
      <c r="A311" s="62"/>
      <c r="B311" s="62"/>
      <c r="C311" s="62"/>
      <c r="D311" s="62"/>
      <c r="E311" s="62"/>
      <c r="F311" s="17"/>
      <c r="G311" s="17"/>
      <c r="H311" s="17"/>
      <c r="T311" s="21"/>
    </row>
    <row r="312" spans="1:27" ht="15.75" customHeight="1" x14ac:dyDescent="0.45">
      <c r="A312" s="529" t="s">
        <v>377</v>
      </c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21"/>
    </row>
    <row r="313" spans="1:27" x14ac:dyDescent="0.45">
      <c r="A313" s="63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T313" s="21"/>
    </row>
    <row r="314" spans="1:27" s="72" customFormat="1" ht="15.75" customHeight="1" thickBot="1" x14ac:dyDescent="0.5">
      <c r="A314" s="708" t="s">
        <v>378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317"/>
      <c r="L314" s="317"/>
      <c r="T314" s="71"/>
    </row>
    <row r="315" spans="1:27" s="21" customFormat="1" ht="15" customHeight="1" thickTop="1" x14ac:dyDescent="0.35">
      <c r="A315" s="703" t="s">
        <v>379</v>
      </c>
      <c r="B315" s="704"/>
      <c r="C315" s="704"/>
      <c r="D315" s="704"/>
      <c r="E315" s="704"/>
      <c r="F315" s="704"/>
      <c r="G315" s="704"/>
      <c r="H315" s="704"/>
      <c r="I315" s="705"/>
      <c r="J315" s="250">
        <v>0</v>
      </c>
      <c r="L315" s="66"/>
      <c r="N315" s="43"/>
    </row>
    <row r="316" spans="1:27" s="21" customFormat="1" ht="15" customHeight="1" thickBot="1" x14ac:dyDescent="0.4">
      <c r="A316" s="730" t="s">
        <v>380</v>
      </c>
      <c r="B316" s="731"/>
      <c r="C316" s="731"/>
      <c r="D316" s="731"/>
      <c r="E316" s="731"/>
      <c r="F316" s="731"/>
      <c r="G316" s="731"/>
      <c r="H316" s="731"/>
      <c r="I316" s="732"/>
      <c r="J316" s="251">
        <v>0</v>
      </c>
      <c r="K316" s="944"/>
      <c r="L316" s="693"/>
      <c r="M316" s="693"/>
      <c r="N316" s="693"/>
      <c r="O316" s="693"/>
      <c r="P316" s="693"/>
      <c r="Q316" s="693"/>
      <c r="R316" s="693"/>
      <c r="S316" s="693"/>
      <c r="T316" s="693"/>
      <c r="U316" s="693"/>
      <c r="V316" s="693"/>
      <c r="W316" s="693"/>
      <c r="X316" s="693"/>
      <c r="Y316" s="693"/>
      <c r="Z316" s="693"/>
      <c r="AA316" s="693"/>
    </row>
    <row r="317" spans="1:27" s="21" customFormat="1" ht="15" customHeight="1" thickTop="1" x14ac:dyDescent="0.4">
      <c r="A317" s="67"/>
      <c r="B317" s="67"/>
      <c r="C317" s="67"/>
      <c r="D317" s="67"/>
      <c r="E317" s="67"/>
      <c r="F317" s="67"/>
      <c r="G317" s="67"/>
      <c r="H317" s="67"/>
      <c r="I317" s="68"/>
      <c r="J317" s="69"/>
      <c r="N317" s="43"/>
    </row>
    <row r="318" spans="1:27" s="71" customFormat="1" ht="15.75" customHeight="1" thickBot="1" x14ac:dyDescent="0.45">
      <c r="A318" s="708" t="s">
        <v>381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N318" s="323"/>
    </row>
    <row r="319" spans="1:27" s="21" customFormat="1" ht="17.25" customHeight="1" thickTop="1" thickBot="1" x14ac:dyDescent="0.45">
      <c r="A319" s="924" t="s">
        <v>382</v>
      </c>
      <c r="B319" s="925"/>
      <c r="C319" s="925"/>
      <c r="D319" s="925"/>
      <c r="E319" s="925"/>
      <c r="F319" s="925"/>
      <c r="G319" s="925"/>
      <c r="H319" s="925"/>
      <c r="I319" s="926"/>
      <c r="J319" s="249">
        <v>0</v>
      </c>
      <c r="L319" s="66"/>
      <c r="M319" s="51"/>
      <c r="N319" s="43"/>
    </row>
    <row r="320" spans="1:27" s="21" customFormat="1" ht="16.5" customHeight="1" thickTop="1" x14ac:dyDescent="0.4">
      <c r="A320" s="246"/>
      <c r="B320" s="246"/>
      <c r="C320" s="246"/>
      <c r="D320" s="246"/>
      <c r="E320" s="246"/>
      <c r="F320" s="246"/>
      <c r="G320" s="246"/>
      <c r="H320" s="246"/>
      <c r="I320" s="247"/>
      <c r="J320" s="248"/>
      <c r="L320" s="66"/>
      <c r="M320" s="51"/>
      <c r="N320" s="43"/>
    </row>
    <row r="321" spans="1:25" s="21" customFormat="1" ht="15.75" customHeight="1" x14ac:dyDescent="0.4">
      <c r="A321" s="529" t="s">
        <v>383</v>
      </c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</row>
    <row r="322" spans="1:25" s="21" customFormat="1" ht="16.5" customHeight="1" thickBot="1" x14ac:dyDescent="0.45">
      <c r="A322" s="246"/>
      <c r="B322" s="246"/>
      <c r="C322" s="246"/>
      <c r="D322" s="246"/>
      <c r="E322" s="246"/>
      <c r="F322" s="246"/>
      <c r="G322" s="246"/>
      <c r="H322" s="246"/>
      <c r="I322" s="247"/>
      <c r="J322" s="248"/>
      <c r="L322" s="66"/>
      <c r="M322" s="51"/>
      <c r="N322" s="43"/>
    </row>
    <row r="323" spans="1:25" s="71" customFormat="1" ht="31.5" customHeight="1" thickTop="1" thickBot="1" x14ac:dyDescent="0.45">
      <c r="A323" s="685" t="s">
        <v>384</v>
      </c>
      <c r="B323" s="686"/>
      <c r="C323" s="686"/>
      <c r="D323" s="686"/>
      <c r="E323" s="686"/>
      <c r="F323" s="686"/>
      <c r="G323" s="686"/>
      <c r="H323" s="686"/>
      <c r="I323" s="687"/>
      <c r="J323" s="324">
        <v>0</v>
      </c>
      <c r="L323" s="325"/>
      <c r="M323" s="326"/>
      <c r="N323" s="323"/>
    </row>
    <row r="324" spans="1:25" ht="15.75" customHeight="1" thickTop="1" x14ac:dyDescent="0.45">
      <c r="A324" s="62"/>
      <c r="B324" s="62"/>
      <c r="C324" s="62"/>
      <c r="D324" s="62"/>
      <c r="E324" s="62"/>
      <c r="F324" s="17"/>
      <c r="G324" s="17"/>
      <c r="H324" s="17"/>
      <c r="T324" s="21"/>
    </row>
    <row r="325" spans="1:25" ht="15.75" customHeight="1" x14ac:dyDescent="0.45">
      <c r="A325" s="455" t="s">
        <v>385</v>
      </c>
      <c r="B325" s="455"/>
      <c r="C325" s="455"/>
      <c r="D325" s="455"/>
      <c r="E325" s="455"/>
      <c r="F325" s="455"/>
      <c r="G325" s="455"/>
      <c r="H325" s="455"/>
      <c r="I325" s="455"/>
      <c r="J325" s="455"/>
      <c r="K325" s="455"/>
      <c r="L325" s="455"/>
      <c r="M325" s="455"/>
      <c r="N325" s="455"/>
      <c r="O325" s="455"/>
      <c r="P325" s="455"/>
      <c r="Q325" s="455"/>
      <c r="R325" s="455"/>
      <c r="S325" s="455"/>
      <c r="T325" s="21"/>
    </row>
    <row r="326" spans="1:25" x14ac:dyDescent="0.45">
      <c r="T326" s="21"/>
      <c r="U326" s="70"/>
      <c r="V326" s="70"/>
      <c r="W326" s="70"/>
      <c r="X326" s="70"/>
      <c r="Y326" s="70"/>
    </row>
    <row r="327" spans="1:25" s="72" customFormat="1" x14ac:dyDescent="0.45">
      <c r="A327" s="838" t="s">
        <v>386</v>
      </c>
      <c r="B327" s="838"/>
      <c r="C327" s="838"/>
      <c r="D327" s="838"/>
      <c r="E327" s="838"/>
      <c r="F327" s="838"/>
      <c r="G327" s="838"/>
      <c r="H327" s="838"/>
      <c r="I327" s="838"/>
      <c r="J327" s="838"/>
      <c r="K327" s="838"/>
      <c r="L327" s="838"/>
      <c r="T327" s="71"/>
      <c r="U327" s="327"/>
      <c r="V327" s="327"/>
      <c r="W327" s="327"/>
      <c r="X327" s="327"/>
      <c r="Y327" s="327"/>
    </row>
    <row r="328" spans="1:25" s="21" customFormat="1" ht="13.9" thickBot="1" x14ac:dyDescent="0.4">
      <c r="N328" s="47"/>
    </row>
    <row r="329" spans="1:25" s="21" customFormat="1" ht="15.75" customHeight="1" thickTop="1" thickBot="1" x14ac:dyDescent="0.5">
      <c r="A329" s="432" t="s">
        <v>251</v>
      </c>
      <c r="B329" s="380"/>
      <c r="C329" s="380"/>
      <c r="D329" s="380"/>
      <c r="E329" s="380"/>
      <c r="F329" s="380"/>
      <c r="G329" s="380"/>
      <c r="H329" s="381"/>
      <c r="I329" s="614" t="s">
        <v>199</v>
      </c>
      <c r="J329" s="380"/>
      <c r="K329" s="380"/>
      <c r="L329" s="387"/>
      <c r="N329" s="47"/>
    </row>
    <row r="330" spans="1:25" s="21" customFormat="1" ht="14.65" thickTop="1" x14ac:dyDescent="0.45">
      <c r="A330" s="943" t="s">
        <v>252</v>
      </c>
      <c r="B330" s="421"/>
      <c r="C330" s="421"/>
      <c r="D330" s="421"/>
      <c r="E330" s="421"/>
      <c r="F330" s="421"/>
      <c r="G330" s="421"/>
      <c r="H330" s="354"/>
      <c r="I330" s="942">
        <v>0</v>
      </c>
      <c r="J330" s="369"/>
      <c r="K330" s="369"/>
      <c r="L330" s="370"/>
      <c r="M330" s="150"/>
      <c r="N330" s="47"/>
    </row>
    <row r="331" spans="1:25" s="21" customFormat="1" ht="14.25" customHeight="1" x14ac:dyDescent="0.45">
      <c r="A331" s="780" t="s">
        <v>253</v>
      </c>
      <c r="B331" s="377"/>
      <c r="C331" s="377"/>
      <c r="D331" s="377"/>
      <c r="E331" s="377"/>
      <c r="F331" s="377"/>
      <c r="G331" s="377"/>
      <c r="H331" s="350"/>
      <c r="I331" s="848">
        <v>0</v>
      </c>
      <c r="J331" s="356"/>
      <c r="K331" s="356"/>
      <c r="L331" s="391"/>
      <c r="N331" s="47"/>
    </row>
    <row r="332" spans="1:25" s="21" customFormat="1" ht="14.65" thickBot="1" x14ac:dyDescent="0.5">
      <c r="A332" s="780" t="s">
        <v>254</v>
      </c>
      <c r="B332" s="377"/>
      <c r="C332" s="377"/>
      <c r="D332" s="377"/>
      <c r="E332" s="377"/>
      <c r="F332" s="377"/>
      <c r="G332" s="377"/>
      <c r="H332" s="377"/>
      <c r="I332" s="901">
        <f>SUM(F333:H334)</f>
        <v>0</v>
      </c>
      <c r="J332" s="377"/>
      <c r="K332" s="377"/>
      <c r="L332" s="378"/>
      <c r="N332" s="47"/>
    </row>
    <row r="333" spans="1:25" s="21" customFormat="1" ht="15" thickTop="1" thickBot="1" x14ac:dyDescent="0.5">
      <c r="A333" s="567" t="s">
        <v>255</v>
      </c>
      <c r="B333" s="377"/>
      <c r="C333" s="377"/>
      <c r="D333" s="377"/>
      <c r="E333" s="350"/>
      <c r="F333" s="940">
        <v>0</v>
      </c>
      <c r="G333" s="369"/>
      <c r="H333" s="424"/>
      <c r="I333" s="781"/>
      <c r="J333" s="597"/>
      <c r="K333" s="597"/>
      <c r="L333" s="588"/>
      <c r="N333" s="47"/>
    </row>
    <row r="334" spans="1:25" s="21" customFormat="1" ht="15" thickTop="1" thickBot="1" x14ac:dyDescent="0.5">
      <c r="A334" s="726" t="s">
        <v>256</v>
      </c>
      <c r="B334" s="372"/>
      <c r="C334" s="372"/>
      <c r="D334" s="372"/>
      <c r="E334" s="414"/>
      <c r="F334" s="941">
        <v>0</v>
      </c>
      <c r="G334" s="470"/>
      <c r="H334" s="348"/>
      <c r="I334" s="396"/>
      <c r="J334" s="375"/>
      <c r="K334" s="375"/>
      <c r="L334" s="397"/>
      <c r="N334" s="47"/>
    </row>
    <row r="335" spans="1:25" s="21" customFormat="1" ht="15.75" customHeight="1" thickTop="1" thickBot="1" x14ac:dyDescent="0.5">
      <c r="A335" s="694" t="s">
        <v>11</v>
      </c>
      <c r="B335" s="375"/>
      <c r="C335" s="375"/>
      <c r="D335" s="375"/>
      <c r="E335" s="375"/>
      <c r="F335" s="375"/>
      <c r="G335" s="375"/>
      <c r="H335" s="366"/>
      <c r="I335" s="846">
        <f>SUM(I330:L332)</f>
        <v>0</v>
      </c>
      <c r="J335" s="380"/>
      <c r="K335" s="380"/>
      <c r="L335" s="387"/>
      <c r="N335" s="47"/>
    </row>
    <row r="336" spans="1:25" s="21" customFormat="1" ht="13.9" thickTop="1" x14ac:dyDescent="0.35">
      <c r="F336" s="515"/>
      <c r="G336" s="698"/>
      <c r="H336" s="698"/>
      <c r="N336" s="47"/>
    </row>
    <row r="337" spans="1:20" s="71" customFormat="1" ht="15.75" customHeight="1" thickBot="1" x14ac:dyDescent="0.4">
      <c r="A337" s="838" t="s">
        <v>387</v>
      </c>
      <c r="B337" s="535"/>
      <c r="C337" s="535"/>
      <c r="D337" s="535"/>
      <c r="E337" s="535"/>
      <c r="F337" s="535"/>
      <c r="G337" s="535"/>
      <c r="H337" s="535"/>
      <c r="N337" s="328"/>
    </row>
    <row r="338" spans="1:20" s="21" customFormat="1" ht="52.5" customHeight="1" thickTop="1" thickBot="1" x14ac:dyDescent="0.5">
      <c r="A338" s="879" t="s">
        <v>258</v>
      </c>
      <c r="B338" s="380"/>
      <c r="C338" s="380"/>
      <c r="D338" s="380"/>
      <c r="E338" s="387"/>
      <c r="F338" s="428" t="s">
        <v>388</v>
      </c>
      <c r="G338" s="380"/>
      <c r="H338" s="387"/>
      <c r="N338" s="47"/>
    </row>
    <row r="339" spans="1:20" s="21" customFormat="1" ht="14.65" thickTop="1" x14ac:dyDescent="0.45">
      <c r="A339" s="487" t="s">
        <v>260</v>
      </c>
      <c r="B339" s="360"/>
      <c r="C339" s="360"/>
      <c r="D339" s="360"/>
      <c r="E339" s="488"/>
      <c r="F339" s="572">
        <v>0</v>
      </c>
      <c r="G339" s="369"/>
      <c r="H339" s="370"/>
      <c r="N339" s="47"/>
    </row>
    <row r="340" spans="1:20" s="21" customFormat="1" ht="14.25" customHeight="1" x14ac:dyDescent="0.45">
      <c r="A340" s="376" t="s">
        <v>261</v>
      </c>
      <c r="B340" s="377"/>
      <c r="C340" s="377"/>
      <c r="D340" s="377"/>
      <c r="E340" s="378"/>
      <c r="F340" s="573">
        <v>0</v>
      </c>
      <c r="G340" s="356"/>
      <c r="H340" s="391"/>
      <c r="N340" s="47"/>
    </row>
    <row r="341" spans="1:20" s="21" customFormat="1" ht="14.25" customHeight="1" x14ac:dyDescent="0.45">
      <c r="A341" s="376" t="s">
        <v>262</v>
      </c>
      <c r="B341" s="377"/>
      <c r="C341" s="377"/>
      <c r="D341" s="377"/>
      <c r="E341" s="378"/>
      <c r="F341" s="573">
        <v>0</v>
      </c>
      <c r="G341" s="356"/>
      <c r="H341" s="391"/>
      <c r="N341" s="47"/>
    </row>
    <row r="342" spans="1:20" s="21" customFormat="1" ht="15.75" customHeight="1" x14ac:dyDescent="0.45">
      <c r="A342" s="376" t="s">
        <v>263</v>
      </c>
      <c r="B342" s="377"/>
      <c r="C342" s="377"/>
      <c r="D342" s="377"/>
      <c r="E342" s="378"/>
      <c r="F342" s="573">
        <v>0</v>
      </c>
      <c r="G342" s="356"/>
      <c r="H342" s="391"/>
      <c r="N342" s="47"/>
    </row>
    <row r="343" spans="1:20" s="21" customFormat="1" ht="14.65" thickBot="1" x14ac:dyDescent="0.5">
      <c r="A343" s="521" t="s">
        <v>264</v>
      </c>
      <c r="B343" s="372"/>
      <c r="C343" s="372"/>
      <c r="D343" s="372"/>
      <c r="E343" s="373"/>
      <c r="F343" s="771">
        <v>0</v>
      </c>
      <c r="G343" s="470"/>
      <c r="H343" s="430"/>
      <c r="N343" s="43"/>
    </row>
    <row r="344" spans="1:20" s="21" customFormat="1" ht="15.75" customHeight="1" thickTop="1" thickBot="1" x14ac:dyDescent="0.5">
      <c r="A344" s="613" t="s">
        <v>11</v>
      </c>
      <c r="B344" s="380"/>
      <c r="C344" s="380"/>
      <c r="D344" s="380"/>
      <c r="E344" s="387"/>
      <c r="F344" s="880">
        <f>SUM(F339:H343)</f>
        <v>0</v>
      </c>
      <c r="G344" s="380"/>
      <c r="H344" s="387"/>
      <c r="N344" s="43"/>
    </row>
    <row r="345" spans="1:20" s="21" customFormat="1" ht="13.9" thickTop="1" x14ac:dyDescent="0.35">
      <c r="A345" s="240" t="s">
        <v>265</v>
      </c>
      <c r="N345" s="43"/>
    </row>
    <row r="346" spans="1:20" x14ac:dyDescent="0.45">
      <c r="T346" s="21"/>
    </row>
    <row r="357" spans="1:12" x14ac:dyDescent="0.45">
      <c r="A357" s="578"/>
      <c r="B357" s="578"/>
      <c r="C357" s="578"/>
      <c r="D357" s="578"/>
      <c r="E357" s="578"/>
      <c r="F357" s="578"/>
      <c r="G357" s="578"/>
      <c r="H357" s="578"/>
      <c r="I357" s="578"/>
      <c r="J357" s="578"/>
      <c r="K357" s="578"/>
      <c r="L357" s="578"/>
    </row>
  </sheetData>
  <sheetProtection algorithmName="SHA-512" hashValue="x6GtyAtgOs0WCJtNH4MW6flWy2ugrQe5l+kuEpX4RzrbhCrSsfxQJ+BFIiJ2zEDVRHjICbw/o70qGf0eu0Iidg==" saltValue="WvWxb55pQrFzdB9DNHBWeQ==" spinCount="100000" sheet="1" selectLockedCells="1"/>
  <mergeCells count="630">
    <mergeCell ref="A357:L357"/>
    <mergeCell ref="A319:I319"/>
    <mergeCell ref="H302:I302"/>
    <mergeCell ref="H300:I300"/>
    <mergeCell ref="F294:I294"/>
    <mergeCell ref="A288:I288"/>
    <mergeCell ref="A284:S284"/>
    <mergeCell ref="A278:L278"/>
    <mergeCell ref="R202:S202"/>
    <mergeCell ref="J302:K302"/>
    <mergeCell ref="A344:E344"/>
    <mergeCell ref="F336:H336"/>
    <mergeCell ref="A343:E343"/>
    <mergeCell ref="F333:H333"/>
    <mergeCell ref="F341:H341"/>
    <mergeCell ref="F334:H334"/>
    <mergeCell ref="I330:L330"/>
    <mergeCell ref="A338:E338"/>
    <mergeCell ref="F340:H340"/>
    <mergeCell ref="A330:H330"/>
    <mergeCell ref="K316:AA316"/>
    <mergeCell ref="A332:H332"/>
    <mergeCell ref="O207:O209"/>
    <mergeCell ref="A246:D246"/>
    <mergeCell ref="A99:L99"/>
    <mergeCell ref="A145:B145"/>
    <mergeCell ref="A259:B259"/>
    <mergeCell ref="D135:F135"/>
    <mergeCell ref="D110:F110"/>
    <mergeCell ref="I120:V120"/>
    <mergeCell ref="K225:L225"/>
    <mergeCell ref="A274:B274"/>
    <mergeCell ref="I211:J211"/>
    <mergeCell ref="I122:V122"/>
    <mergeCell ref="G33:J33"/>
    <mergeCell ref="A41:G41"/>
    <mergeCell ref="A31:F31"/>
    <mergeCell ref="A19:G19"/>
    <mergeCell ref="C80:D80"/>
    <mergeCell ref="A46:G46"/>
    <mergeCell ref="E84:F84"/>
    <mergeCell ref="A74:C74"/>
    <mergeCell ref="A65:C66"/>
    <mergeCell ref="H46:J46"/>
    <mergeCell ref="E81:F81"/>
    <mergeCell ref="C56:D56"/>
    <mergeCell ref="G81:H81"/>
    <mergeCell ref="I81:J81"/>
    <mergeCell ref="A70:C70"/>
    <mergeCell ref="A79:B79"/>
    <mergeCell ref="C84:D84"/>
    <mergeCell ref="C82:D82"/>
    <mergeCell ref="A67:C67"/>
    <mergeCell ref="A36:S36"/>
    <mergeCell ref="A45:G45"/>
    <mergeCell ref="A25:J25"/>
    <mergeCell ref="H22:J23"/>
    <mergeCell ref="G30:J30"/>
    <mergeCell ref="F342:H342"/>
    <mergeCell ref="A190:H190"/>
    <mergeCell ref="I332:L332"/>
    <mergeCell ref="I119:V119"/>
    <mergeCell ref="A91:L91"/>
    <mergeCell ref="I189:J189"/>
    <mergeCell ref="A147:B147"/>
    <mergeCell ref="A22:F22"/>
    <mergeCell ref="R213:S213"/>
    <mergeCell ref="G220:H220"/>
    <mergeCell ref="A68:C68"/>
    <mergeCell ref="I220:J220"/>
    <mergeCell ref="J174:L174"/>
    <mergeCell ref="E56:F56"/>
    <mergeCell ref="E89:F89"/>
    <mergeCell ref="G89:H89"/>
    <mergeCell ref="T207:AK207"/>
    <mergeCell ref="G268:H268"/>
    <mergeCell ref="A185:C185"/>
    <mergeCell ref="A229:D230"/>
    <mergeCell ref="G149:H149"/>
    <mergeCell ref="I149:J149"/>
    <mergeCell ref="J127:T127"/>
    <mergeCell ref="T212:AK212"/>
    <mergeCell ref="A342:E342"/>
    <mergeCell ref="E199:F201"/>
    <mergeCell ref="A335:H335"/>
    <mergeCell ref="A184:C184"/>
    <mergeCell ref="A333:E333"/>
    <mergeCell ref="A257:B257"/>
    <mergeCell ref="E167:F167"/>
    <mergeCell ref="G221:H221"/>
    <mergeCell ref="A128:C128"/>
    <mergeCell ref="G150:H150"/>
    <mergeCell ref="A227:L227"/>
    <mergeCell ref="A340:E340"/>
    <mergeCell ref="C268:D268"/>
    <mergeCell ref="C147:D147"/>
    <mergeCell ref="K223:L223"/>
    <mergeCell ref="A219:D219"/>
    <mergeCell ref="H303:I303"/>
    <mergeCell ref="A251:S251"/>
    <mergeCell ref="G213:H213"/>
    <mergeCell ref="A236:D236"/>
    <mergeCell ref="E221:F221"/>
    <mergeCell ref="M212:N212"/>
    <mergeCell ref="E202:F202"/>
    <mergeCell ref="G202:H202"/>
    <mergeCell ref="F344:H344"/>
    <mergeCell ref="A149:B149"/>
    <mergeCell ref="A264:B264"/>
    <mergeCell ref="E222:F222"/>
    <mergeCell ref="A293:E293"/>
    <mergeCell ref="A260:B260"/>
    <mergeCell ref="G222:H222"/>
    <mergeCell ref="A306:I306"/>
    <mergeCell ref="F339:H339"/>
    <mergeCell ref="I221:J221"/>
    <mergeCell ref="I150:J150"/>
    <mergeCell ref="A294:E294"/>
    <mergeCell ref="A261:B261"/>
    <mergeCell ref="G223:H223"/>
    <mergeCell ref="A239:L239"/>
    <mergeCell ref="A292:E292"/>
    <mergeCell ref="A323:I323"/>
    <mergeCell ref="E241:L241"/>
    <mergeCell ref="D185:F185"/>
    <mergeCell ref="A244:D244"/>
    <mergeCell ref="F291:I291"/>
    <mergeCell ref="A337:H337"/>
    <mergeCell ref="K219:L219"/>
    <mergeCell ref="E219:F219"/>
    <mergeCell ref="G32:J32"/>
    <mergeCell ref="G134:H134"/>
    <mergeCell ref="G144:H144"/>
    <mergeCell ref="A32:F32"/>
    <mergeCell ref="T209:AK209"/>
    <mergeCell ref="L8:N8"/>
    <mergeCell ref="A166:D167"/>
    <mergeCell ref="K220:L220"/>
    <mergeCell ref="E223:F223"/>
    <mergeCell ref="R210:S210"/>
    <mergeCell ref="D177:F177"/>
    <mergeCell ref="R212:S212"/>
    <mergeCell ref="A18:F18"/>
    <mergeCell ref="D179:F179"/>
    <mergeCell ref="D134:F134"/>
    <mergeCell ref="E198:L198"/>
    <mergeCell ref="I223:J223"/>
    <mergeCell ref="K148:L148"/>
    <mergeCell ref="P207:Q209"/>
    <mergeCell ref="J128:S129"/>
    <mergeCell ref="G137:H137"/>
    <mergeCell ref="G167:H167"/>
    <mergeCell ref="I202:J202"/>
    <mergeCell ref="A150:B150"/>
    <mergeCell ref="E86:F86"/>
    <mergeCell ref="E93:F93"/>
    <mergeCell ref="O199:O201"/>
    <mergeCell ref="E224:F224"/>
    <mergeCell ref="G224:H224"/>
    <mergeCell ref="G128:I128"/>
    <mergeCell ref="I95:J95"/>
    <mergeCell ref="I117:V117"/>
    <mergeCell ref="M223:Z223"/>
    <mergeCell ref="D136:F136"/>
    <mergeCell ref="E147:F147"/>
    <mergeCell ref="C146:D146"/>
    <mergeCell ref="E146:F146"/>
    <mergeCell ref="A204:S204"/>
    <mergeCell ref="A196:S196"/>
    <mergeCell ref="A212:D212"/>
    <mergeCell ref="I96:J96"/>
    <mergeCell ref="K145:L145"/>
    <mergeCell ref="A146:B146"/>
    <mergeCell ref="A215:S215"/>
    <mergeCell ref="G132:H133"/>
    <mergeCell ref="D132:F133"/>
    <mergeCell ref="G176:I176"/>
    <mergeCell ref="A142:L142"/>
    <mergeCell ref="H6:M6"/>
    <mergeCell ref="M211:N211"/>
    <mergeCell ref="A15:G15"/>
    <mergeCell ref="I80:J80"/>
    <mergeCell ref="A20:G20"/>
    <mergeCell ref="G85:H85"/>
    <mergeCell ref="K22:Q23"/>
    <mergeCell ref="L74:R75"/>
    <mergeCell ref="G80:H80"/>
    <mergeCell ref="G83:H83"/>
    <mergeCell ref="A17:F17"/>
    <mergeCell ref="I84:J84"/>
    <mergeCell ref="E83:F83"/>
    <mergeCell ref="A82:B82"/>
    <mergeCell ref="I52:S53"/>
    <mergeCell ref="D65:K65"/>
    <mergeCell ref="A27:F27"/>
    <mergeCell ref="G178:I178"/>
    <mergeCell ref="J176:L176"/>
    <mergeCell ref="K149:L149"/>
    <mergeCell ref="I144:J144"/>
    <mergeCell ref="O6:R6"/>
    <mergeCell ref="H14:J14"/>
    <mergeCell ref="H103:I103"/>
    <mergeCell ref="K151:L151"/>
    <mergeCell ref="F293:I293"/>
    <mergeCell ref="C255:D255"/>
    <mergeCell ref="G172:I172"/>
    <mergeCell ref="E151:F151"/>
    <mergeCell ref="G151:H151"/>
    <mergeCell ref="A159:D160"/>
    <mergeCell ref="D172:F172"/>
    <mergeCell ref="A176:C176"/>
    <mergeCell ref="G174:I174"/>
    <mergeCell ref="G180:I180"/>
    <mergeCell ref="A262:B262"/>
    <mergeCell ref="G199:H201"/>
    <mergeCell ref="A223:D223"/>
    <mergeCell ref="A291:E291"/>
    <mergeCell ref="G177:I177"/>
    <mergeCell ref="E229:L229"/>
    <mergeCell ref="A191:H191"/>
    <mergeCell ref="I190:J190"/>
    <mergeCell ref="J175:L175"/>
    <mergeCell ref="G210:H210"/>
    <mergeCell ref="G212:H212"/>
    <mergeCell ref="K212:L212"/>
    <mergeCell ref="A258:B258"/>
    <mergeCell ref="I335:L335"/>
    <mergeCell ref="J300:K300"/>
    <mergeCell ref="J177:L177"/>
    <mergeCell ref="A305:K305"/>
    <mergeCell ref="I329:L329"/>
    <mergeCell ref="A232:D232"/>
    <mergeCell ref="A178:C178"/>
    <mergeCell ref="I331:L331"/>
    <mergeCell ref="A275:B275"/>
    <mergeCell ref="A321:S321"/>
    <mergeCell ref="J301:K301"/>
    <mergeCell ref="M202:N202"/>
    <mergeCell ref="A187:S187"/>
    <mergeCell ref="A182:S182"/>
    <mergeCell ref="E225:F225"/>
    <mergeCell ref="J303:K303"/>
    <mergeCell ref="A282:B282"/>
    <mergeCell ref="A276:B276"/>
    <mergeCell ref="A286:J286"/>
    <mergeCell ref="I192:J192"/>
    <mergeCell ref="I281:J281"/>
    <mergeCell ref="K221:L221"/>
    <mergeCell ref="I213:J213"/>
    <mergeCell ref="K213:L213"/>
    <mergeCell ref="T210:AL210"/>
    <mergeCell ref="A200:D201"/>
    <mergeCell ref="I210:J210"/>
    <mergeCell ref="A179:C179"/>
    <mergeCell ref="G179:I179"/>
    <mergeCell ref="A233:D233"/>
    <mergeCell ref="A248:D248"/>
    <mergeCell ref="G146:H146"/>
    <mergeCell ref="I224:J224"/>
    <mergeCell ref="C83:D83"/>
    <mergeCell ref="C103:D103"/>
    <mergeCell ref="M225:Z225"/>
    <mergeCell ref="T208:AK208"/>
    <mergeCell ref="A327:L327"/>
    <mergeCell ref="T206:AK206"/>
    <mergeCell ref="M198:Q198"/>
    <mergeCell ref="I191:J191"/>
    <mergeCell ref="T211:AK211"/>
    <mergeCell ref="P212:Q212"/>
    <mergeCell ref="P210:Q210"/>
    <mergeCell ref="A210:D210"/>
    <mergeCell ref="K202:L202"/>
    <mergeCell ref="C282:D282"/>
    <mergeCell ref="E211:F211"/>
    <mergeCell ref="E282:F282"/>
    <mergeCell ref="G211:H211"/>
    <mergeCell ref="I222:J222"/>
    <mergeCell ref="A235:D235"/>
    <mergeCell ref="A281:B281"/>
    <mergeCell ref="C281:D281"/>
    <mergeCell ref="A4:S4"/>
    <mergeCell ref="G175:I175"/>
    <mergeCell ref="H16:J16"/>
    <mergeCell ref="E206:L206"/>
    <mergeCell ref="E255:F255"/>
    <mergeCell ref="M224:Z224"/>
    <mergeCell ref="I83:J83"/>
    <mergeCell ref="E8:G8"/>
    <mergeCell ref="A81:B81"/>
    <mergeCell ref="M101:AC101"/>
    <mergeCell ref="A174:C174"/>
    <mergeCell ref="A43:F43"/>
    <mergeCell ref="I121:V121"/>
    <mergeCell ref="M102:AC102"/>
    <mergeCell ref="H21:J21"/>
    <mergeCell ref="A153:L153"/>
    <mergeCell ref="C145:D145"/>
    <mergeCell ref="E210:F210"/>
    <mergeCell ref="A224:D224"/>
    <mergeCell ref="E145:F145"/>
    <mergeCell ref="D138:F138"/>
    <mergeCell ref="A77:L77"/>
    <mergeCell ref="A72:C72"/>
    <mergeCell ref="H42:J43"/>
    <mergeCell ref="A40:G40"/>
    <mergeCell ref="I82:J82"/>
    <mergeCell ref="I167:J167"/>
    <mergeCell ref="A180:C180"/>
    <mergeCell ref="G84:H84"/>
    <mergeCell ref="P199:Q201"/>
    <mergeCell ref="R206:S209"/>
    <mergeCell ref="A211:D211"/>
    <mergeCell ref="E157:F158"/>
    <mergeCell ref="A155:L155"/>
    <mergeCell ref="P211:Q211"/>
    <mergeCell ref="I85:J85"/>
    <mergeCell ref="K85:L85"/>
    <mergeCell ref="E207:F209"/>
    <mergeCell ref="C95:D95"/>
    <mergeCell ref="A134:C134"/>
    <mergeCell ref="M210:N210"/>
    <mergeCell ref="H44:J44"/>
    <mergeCell ref="C88:D88"/>
    <mergeCell ref="A117:B117"/>
    <mergeCell ref="J109:T109"/>
    <mergeCell ref="A56:B56"/>
    <mergeCell ref="K167:L167"/>
    <mergeCell ref="A80:B80"/>
    <mergeCell ref="A10:S10"/>
    <mergeCell ref="I199:J201"/>
    <mergeCell ref="G184:I184"/>
    <mergeCell ref="I87:J87"/>
    <mergeCell ref="A144:B144"/>
    <mergeCell ref="A95:B95"/>
    <mergeCell ref="K87:L87"/>
    <mergeCell ref="A23:F23"/>
    <mergeCell ref="K81:L81"/>
    <mergeCell ref="C150:D150"/>
    <mergeCell ref="G27:J27"/>
    <mergeCell ref="J173:L173"/>
    <mergeCell ref="A16:G16"/>
    <mergeCell ref="H17:J18"/>
    <mergeCell ref="A115:B116"/>
    <mergeCell ref="A83:B83"/>
    <mergeCell ref="G93:H93"/>
    <mergeCell ref="I97:J97"/>
    <mergeCell ref="A125:L125"/>
    <mergeCell ref="H101:I102"/>
    <mergeCell ref="M199:N201"/>
    <mergeCell ref="G31:J31"/>
    <mergeCell ref="K34:S35"/>
    <mergeCell ref="H41:J41"/>
    <mergeCell ref="H45:J45"/>
    <mergeCell ref="A42:F42"/>
    <mergeCell ref="E85:F85"/>
    <mergeCell ref="K95:L95"/>
    <mergeCell ref="A121:B121"/>
    <mergeCell ref="C148:D148"/>
    <mergeCell ref="E148:F148"/>
    <mergeCell ref="C85:D85"/>
    <mergeCell ref="C86:D86"/>
    <mergeCell ref="I88:J88"/>
    <mergeCell ref="L69:U69"/>
    <mergeCell ref="C93:D93"/>
    <mergeCell ref="L67:U67"/>
    <mergeCell ref="L73:U73"/>
    <mergeCell ref="M105:AC105"/>
    <mergeCell ref="M98:AC99"/>
    <mergeCell ref="A96:B96"/>
    <mergeCell ref="G97:H97"/>
    <mergeCell ref="G127:I127"/>
    <mergeCell ref="A122:B122"/>
    <mergeCell ref="A84:B84"/>
    <mergeCell ref="A120:B120"/>
    <mergeCell ref="A109:C109"/>
    <mergeCell ref="K83:L83"/>
    <mergeCell ref="M104:AC104"/>
    <mergeCell ref="D140:F140"/>
    <mergeCell ref="E149:F149"/>
    <mergeCell ref="G147:H147"/>
    <mergeCell ref="I147:J147"/>
    <mergeCell ref="I118:V118"/>
    <mergeCell ref="C149:D149"/>
    <mergeCell ref="D137:F137"/>
    <mergeCell ref="I148:J148"/>
    <mergeCell ref="G145:H145"/>
    <mergeCell ref="K144:L144"/>
    <mergeCell ref="D139:F139"/>
    <mergeCell ref="A140:C140"/>
    <mergeCell ref="A137:C137"/>
    <mergeCell ref="A29:F29"/>
    <mergeCell ref="K96:L96"/>
    <mergeCell ref="G94:H94"/>
    <mergeCell ref="A103:B103"/>
    <mergeCell ref="G79:H79"/>
    <mergeCell ref="I79:J79"/>
    <mergeCell ref="A93:B93"/>
    <mergeCell ref="E87:F87"/>
    <mergeCell ref="G87:H87"/>
    <mergeCell ref="A61:S61"/>
    <mergeCell ref="A85:B85"/>
    <mergeCell ref="K82:L82"/>
    <mergeCell ref="L72:U72"/>
    <mergeCell ref="C102:D102"/>
    <mergeCell ref="H39:J39"/>
    <mergeCell ref="H40:J40"/>
    <mergeCell ref="A101:B102"/>
    <mergeCell ref="G86:H86"/>
    <mergeCell ref="A71:C71"/>
    <mergeCell ref="K97:L97"/>
    <mergeCell ref="C81:D81"/>
    <mergeCell ref="A63:K63"/>
    <mergeCell ref="A69:C69"/>
    <mergeCell ref="K80:L80"/>
    <mergeCell ref="F343:H343"/>
    <mergeCell ref="A263:B263"/>
    <mergeCell ref="G225:H225"/>
    <mergeCell ref="G139:H139"/>
    <mergeCell ref="I225:J225"/>
    <mergeCell ref="A266:L266"/>
    <mergeCell ref="A241:D242"/>
    <mergeCell ref="A310:I310"/>
    <mergeCell ref="J179:L179"/>
    <mergeCell ref="F292:I292"/>
    <mergeCell ref="D173:F173"/>
    <mergeCell ref="A301:E301"/>
    <mergeCell ref="A329:H329"/>
    <mergeCell ref="A314:J314"/>
    <mergeCell ref="A331:H331"/>
    <mergeCell ref="I333:L334"/>
    <mergeCell ref="A296:J296"/>
    <mergeCell ref="A325:S325"/>
    <mergeCell ref="M207:N209"/>
    <mergeCell ref="A290:I290"/>
    <mergeCell ref="I219:J219"/>
    <mergeCell ref="J184:L184"/>
    <mergeCell ref="D175:F175"/>
    <mergeCell ref="K199:L201"/>
    <mergeCell ref="M237:U238"/>
    <mergeCell ref="A299:K299"/>
    <mergeCell ref="A157:D158"/>
    <mergeCell ref="L68:U68"/>
    <mergeCell ref="A105:L105"/>
    <mergeCell ref="L70:U70"/>
    <mergeCell ref="A303:E303"/>
    <mergeCell ref="G281:H281"/>
    <mergeCell ref="M213:N213"/>
    <mergeCell ref="K222:L222"/>
    <mergeCell ref="D184:F184"/>
    <mergeCell ref="A245:D245"/>
    <mergeCell ref="E82:F82"/>
    <mergeCell ref="D174:F174"/>
    <mergeCell ref="I207:J209"/>
    <mergeCell ref="R198:S201"/>
    <mergeCell ref="A86:B86"/>
    <mergeCell ref="A88:B88"/>
    <mergeCell ref="G95:H95"/>
    <mergeCell ref="A135:C135"/>
    <mergeCell ref="A107:L107"/>
    <mergeCell ref="C96:D96"/>
    <mergeCell ref="E94:F94"/>
    <mergeCell ref="I86:J86"/>
    <mergeCell ref="F338:H338"/>
    <mergeCell ref="A273:B273"/>
    <mergeCell ref="A44:G44"/>
    <mergeCell ref="M249:U250"/>
    <mergeCell ref="A279:S279"/>
    <mergeCell ref="A247:D247"/>
    <mergeCell ref="G34:J34"/>
    <mergeCell ref="A12:J12"/>
    <mergeCell ref="J172:L172"/>
    <mergeCell ref="E80:F80"/>
    <mergeCell ref="E168:F168"/>
    <mergeCell ref="G282:H282"/>
    <mergeCell ref="G136:H136"/>
    <mergeCell ref="G168:H168"/>
    <mergeCell ref="I282:J282"/>
    <mergeCell ref="G109:I109"/>
    <mergeCell ref="A112:L113"/>
    <mergeCell ref="G219:H219"/>
    <mergeCell ref="G138:H138"/>
    <mergeCell ref="G148:H148"/>
    <mergeCell ref="G29:J29"/>
    <mergeCell ref="G28:J28"/>
    <mergeCell ref="M206:Q206"/>
    <mergeCell ref="G255:H255"/>
    <mergeCell ref="H8:J8"/>
    <mergeCell ref="G82:H82"/>
    <mergeCell ref="A34:F34"/>
    <mergeCell ref="A308:S308"/>
    <mergeCell ref="K146:L146"/>
    <mergeCell ref="A339:E339"/>
    <mergeCell ref="K84:L84"/>
    <mergeCell ref="E268:F268"/>
    <mergeCell ref="M103:AC103"/>
    <mergeCell ref="G140:H140"/>
    <mergeCell ref="E166:L166"/>
    <mergeCell ref="A253:L253"/>
    <mergeCell ref="D127:F127"/>
    <mergeCell ref="A50:H50"/>
    <mergeCell ref="G115:H115"/>
    <mergeCell ref="P213:Q213"/>
    <mergeCell ref="E220:F220"/>
    <mergeCell ref="H15:J15"/>
    <mergeCell ref="A249:D249"/>
    <mergeCell ref="A139:C139"/>
    <mergeCell ref="A243:D243"/>
    <mergeCell ref="A48:J48"/>
    <mergeCell ref="E95:F95"/>
    <mergeCell ref="I151:J151"/>
    <mergeCell ref="A334:E334"/>
    <mergeCell ref="E213:F213"/>
    <mergeCell ref="A300:E300"/>
    <mergeCell ref="A316:I316"/>
    <mergeCell ref="A136:C136"/>
    <mergeCell ref="D180:F180"/>
    <mergeCell ref="A302:E302"/>
    <mergeCell ref="F124:G124"/>
    <mergeCell ref="I168:J168"/>
    <mergeCell ref="H301:I301"/>
    <mergeCell ref="D176:F176"/>
    <mergeCell ref="E150:F150"/>
    <mergeCell ref="E159:F160"/>
    <mergeCell ref="A132:C133"/>
    <mergeCell ref="A130:R130"/>
    <mergeCell ref="A168:D168"/>
    <mergeCell ref="A173:C173"/>
    <mergeCell ref="R211:S211"/>
    <mergeCell ref="A271:B271"/>
    <mergeCell ref="G185:I185"/>
    <mergeCell ref="I212:J212"/>
    <mergeCell ref="A177:C177"/>
    <mergeCell ref="A231:D231"/>
    <mergeCell ref="G207:H209"/>
    <mergeCell ref="E79:F79"/>
    <mergeCell ref="C115:D115"/>
    <mergeCell ref="A73:C73"/>
    <mergeCell ref="A138:C138"/>
    <mergeCell ref="C87:D87"/>
    <mergeCell ref="A277:B277"/>
    <mergeCell ref="A220:D220"/>
    <mergeCell ref="K79:L79"/>
    <mergeCell ref="C79:D79"/>
    <mergeCell ref="A127:C127"/>
    <mergeCell ref="A272:B272"/>
    <mergeCell ref="C151:D151"/>
    <mergeCell ref="E97:F97"/>
    <mergeCell ref="E88:F88"/>
    <mergeCell ref="E96:F96"/>
    <mergeCell ref="G96:H96"/>
    <mergeCell ref="D128:F128"/>
    <mergeCell ref="D109:F109"/>
    <mergeCell ref="E115:F115"/>
    <mergeCell ref="A87:B87"/>
    <mergeCell ref="A110:C110"/>
    <mergeCell ref="G88:H88"/>
    <mergeCell ref="A119:B119"/>
    <mergeCell ref="A192:H192"/>
    <mergeCell ref="E6:G6"/>
    <mergeCell ref="M100:AC100"/>
    <mergeCell ref="K210:L210"/>
    <mergeCell ref="A33:F33"/>
    <mergeCell ref="I145:J145"/>
    <mergeCell ref="A38:J38"/>
    <mergeCell ref="A54:J54"/>
    <mergeCell ref="K93:L93"/>
    <mergeCell ref="J185:L185"/>
    <mergeCell ref="A123:B123"/>
    <mergeCell ref="A170:L170"/>
    <mergeCell ref="C101:G101"/>
    <mergeCell ref="I146:J146"/>
    <mergeCell ref="A28:F28"/>
    <mergeCell ref="A172:C172"/>
    <mergeCell ref="I94:J94"/>
    <mergeCell ref="A151:B151"/>
    <mergeCell ref="K94:L94"/>
    <mergeCell ref="A30:F30"/>
    <mergeCell ref="I93:J93"/>
    <mergeCell ref="H19:J19"/>
    <mergeCell ref="A164:L164"/>
    <mergeCell ref="J178:L178"/>
    <mergeCell ref="A21:G21"/>
    <mergeCell ref="A341:E341"/>
    <mergeCell ref="K86:L86"/>
    <mergeCell ref="A222:D222"/>
    <mergeCell ref="A312:S312"/>
    <mergeCell ref="K150:L150"/>
    <mergeCell ref="G135:H135"/>
    <mergeCell ref="G173:I173"/>
    <mergeCell ref="A315:I315"/>
    <mergeCell ref="K207:L209"/>
    <mergeCell ref="D178:F178"/>
    <mergeCell ref="K88:L88"/>
    <mergeCell ref="A318:J318"/>
    <mergeCell ref="A213:D213"/>
    <mergeCell ref="J180:L180"/>
    <mergeCell ref="A175:C175"/>
    <mergeCell ref="A221:D221"/>
    <mergeCell ref="A268:B269"/>
    <mergeCell ref="P202:Q202"/>
    <mergeCell ref="A202:D202"/>
    <mergeCell ref="J306:K306"/>
    <mergeCell ref="K211:L211"/>
    <mergeCell ref="E212:F212"/>
    <mergeCell ref="A270:B270"/>
    <mergeCell ref="A162:L162"/>
    <mergeCell ref="H20:J20"/>
    <mergeCell ref="A118:B118"/>
    <mergeCell ref="C144:D144"/>
    <mergeCell ref="A225:D225"/>
    <mergeCell ref="A297:I297"/>
    <mergeCell ref="A217:L217"/>
    <mergeCell ref="K147:L147"/>
    <mergeCell ref="A94:B94"/>
    <mergeCell ref="A148:B148"/>
    <mergeCell ref="C94:D94"/>
    <mergeCell ref="A287:I287"/>
    <mergeCell ref="E144:F144"/>
    <mergeCell ref="A234:D234"/>
    <mergeCell ref="G110:I110"/>
    <mergeCell ref="J110:S111"/>
    <mergeCell ref="K224:L224"/>
    <mergeCell ref="A255:B256"/>
    <mergeCell ref="A237:D237"/>
    <mergeCell ref="A194:S194"/>
    <mergeCell ref="M221:Z222"/>
    <mergeCell ref="E281:F281"/>
    <mergeCell ref="A189:H189"/>
    <mergeCell ref="A207:D209"/>
    <mergeCell ref="K168:L168"/>
  </mergeCells>
  <dataValidations count="6">
    <dataValidation type="whole" allowBlank="1" showInputMessage="1" showErrorMessage="1" sqref="A169:L169" xr:uid="{00000000-0002-0000-0100-000000000000}">
      <formula1>0</formula1>
      <formula2>1000000000</formula2>
    </dataValidation>
    <dataValidation type="whole" operator="greaterThanOrEqual" allowBlank="1" showInputMessage="1" showErrorMessage="1" sqref="A53:H53 A129 C124:F124 D129 F311:H311 F324:H324 F333:H334 G129 I335:L335 I330:L332 H124 J124:L124" xr:uid="{00000000-0002-0000-0100-000001000000}">
      <formula1>0</formula1>
    </dataValidation>
    <dataValidation type="whole" operator="greaterThan" allowBlank="1" showInputMessage="1" showErrorMessage="1" sqref="C265:L265 D181:L181 E212 F102:G102 F298:H298 G35:J35 G98:H98 G100:H100 G104:H104 G111:H111 H17 H47 K15:K16 K19 K28:K29 K32 K41 K44 K98:L98 L71 L106 L108 M145:M146 M149 M173:M174 M177 M212 M220 M231:M232 M235 M243:M244 M247 P210:Q210 P212 S210" xr:uid="{00000000-0002-0000-0100-000002000000}">
      <formula1>-1</formula1>
    </dataValidation>
    <dataValidation operator="greaterThan" allowBlank="1" showInputMessage="1" showErrorMessage="1" sqref="H22 K20:K21 K33:K34 K45:K46 M150:M151 M178:M179 M226 M236:M237 M248:M249" xr:uid="{00000000-0002-0000-0100-000003000000}"/>
    <dataValidation type="decimal" operator="greaterThanOrEqual" allowBlank="1" showInputMessage="1" showErrorMessage="1" sqref="F339:H344" xr:uid="{00000000-0002-0000-0100-000004000000}">
      <formula1>0</formula1>
    </dataValidation>
    <dataValidation type="whole" allowBlank="1" showInputMessage="1" showErrorMessage="1" sqref="A52:H52 A103:I103 A110:I110 A128:I128 A168:L168 A185:L185 A202:S202 A282:J282 C80:D88 C94:D96 C145:L151 D67:K74 D134:H140 D173:L180 E157:F158 E210:S211 E213:S213 E220:L225 E231:L237 E243:L249 C257:H264 F295 F307:K307 F309:I309 G17:G18 G22:G23 G28:J34 G42:G43 G80:H89 G94:H97 C270:H277 H15:J16 H19:J21 H40:J41 H44:J46 I190:J192 F303:K304 J315:J316 J309 J320 K80:L88 K94:L97 R212:S212 A58:F58 C117:H123 K309:K310 J322 J323 J319 J310 F301:K302 F291:I294 J297 J288 J287" xr:uid="{00000000-0002-0000-0100-000005000000}">
      <formula1>0</formula1>
      <formula2>1E+39</formula2>
    </dataValidation>
  </dataValidations>
  <pageMargins left="0.25" right="0.25" top="0.75" bottom="0.75" header="0.3" footer="0.3"/>
  <pageSetup fitToHeight="0" orientation="landscape" r:id="rId1"/>
  <headerFooter differentOddEven="1" differentFirst="1"/>
  <rowBreaks count="7" manualBreakCount="7">
    <brk id="52" max="16383" man="1"/>
    <brk id="74" max="16383" man="1"/>
    <brk id="123" max="16383" man="1"/>
    <brk id="225" max="16383" man="1"/>
    <brk id="249" max="16383" man="1"/>
    <brk id="277" max="16383" man="1"/>
    <brk id="32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764"/>
  <sheetViews>
    <sheetView workbookViewId="0">
      <selection activeCell="B1" sqref="B1"/>
    </sheetView>
  </sheetViews>
  <sheetFormatPr defaultColWidth="9.1328125" defaultRowHeight="14.25" x14ac:dyDescent="0.45"/>
  <cols>
    <col min="3" max="3" width="12.59765625" customWidth="1"/>
    <col min="4" max="4" width="20" customWidth="1"/>
  </cols>
  <sheetData>
    <row r="1" spans="1:5" x14ac:dyDescent="0.45">
      <c r="A1" s="6" t="s">
        <v>389</v>
      </c>
      <c r="B1" s="6">
        <f>LAI!D6</f>
        <v>0</v>
      </c>
      <c r="C1" s="8"/>
      <c r="D1" s="7"/>
      <c r="E1" s="7"/>
    </row>
    <row r="2" spans="1:5" s="1" customFormat="1" x14ac:dyDescent="0.45">
      <c r="A2" s="6" t="s">
        <v>390</v>
      </c>
      <c r="B2" s="6" t="s">
        <v>391</v>
      </c>
      <c r="C2" s="8"/>
      <c r="D2" s="7"/>
      <c r="E2" s="7"/>
    </row>
    <row r="3" spans="1:5" x14ac:dyDescent="0.45">
      <c r="A3" s="6" t="s">
        <v>392</v>
      </c>
      <c r="B3" s="6">
        <f>LAI!H14</f>
        <v>0</v>
      </c>
      <c r="C3" s="8" t="s">
        <v>393</v>
      </c>
      <c r="D3" s="7"/>
      <c r="E3" s="7"/>
    </row>
    <row r="4" spans="1:5" x14ac:dyDescent="0.45">
      <c r="A4" s="6" t="s">
        <v>394</v>
      </c>
      <c r="B4" s="6">
        <f>LAI!H15</f>
        <v>0</v>
      </c>
      <c r="C4" s="8" t="s">
        <v>393</v>
      </c>
      <c r="D4" s="7"/>
      <c r="E4" s="7"/>
    </row>
    <row r="5" spans="1:5" x14ac:dyDescent="0.45">
      <c r="A5" s="9" t="s">
        <v>395</v>
      </c>
      <c r="B5" s="9">
        <f>LAI!G16</f>
        <v>0</v>
      </c>
      <c r="C5" s="10" t="s">
        <v>393</v>
      </c>
      <c r="D5" s="7"/>
      <c r="E5" s="7"/>
    </row>
    <row r="6" spans="1:5" x14ac:dyDescent="0.45">
      <c r="A6" s="9" t="s">
        <v>396</v>
      </c>
      <c r="B6" s="9">
        <f>LAI!G17</f>
        <v>0</v>
      </c>
      <c r="C6" s="10" t="s">
        <v>393</v>
      </c>
      <c r="D6" s="7"/>
      <c r="E6" s="7"/>
    </row>
    <row r="7" spans="1:5" x14ac:dyDescent="0.45">
      <c r="A7" s="6" t="s">
        <v>397</v>
      </c>
      <c r="B7" s="6">
        <f>LAI!H18</f>
        <v>0</v>
      </c>
      <c r="C7" s="8" t="s">
        <v>393</v>
      </c>
      <c r="D7" s="7"/>
      <c r="E7" s="7"/>
    </row>
    <row r="8" spans="1:5" s="1" customFormat="1" x14ac:dyDescent="0.45">
      <c r="A8" s="6" t="s">
        <v>398</v>
      </c>
      <c r="B8" s="6">
        <f>LAI!H19</f>
        <v>0</v>
      </c>
      <c r="C8" s="8" t="s">
        <v>393</v>
      </c>
      <c r="D8" s="7"/>
      <c r="E8" s="7"/>
    </row>
    <row r="9" spans="1:5" s="1" customFormat="1" x14ac:dyDescent="0.45">
      <c r="A9" s="6" t="s">
        <v>399</v>
      </c>
      <c r="B9" s="6">
        <f>LAI!H20</f>
        <v>0</v>
      </c>
      <c r="C9" s="8" t="s">
        <v>393</v>
      </c>
      <c r="D9" s="7"/>
      <c r="E9" s="7"/>
    </row>
    <row r="10" spans="1:5" s="1" customFormat="1" x14ac:dyDescent="0.45">
      <c r="A10" s="9" t="s">
        <v>400</v>
      </c>
      <c r="B10" s="9">
        <f>LAI!G21</f>
        <v>0</v>
      </c>
      <c r="C10" s="10" t="s">
        <v>393</v>
      </c>
      <c r="D10" s="7"/>
      <c r="E10" s="7"/>
    </row>
    <row r="11" spans="1:5" s="1" customFormat="1" x14ac:dyDescent="0.45">
      <c r="A11" s="9" t="s">
        <v>401</v>
      </c>
      <c r="B11" s="9">
        <f>LAI!G22</f>
        <v>0</v>
      </c>
      <c r="C11" s="10" t="s">
        <v>393</v>
      </c>
      <c r="D11" s="7"/>
      <c r="E11" s="7"/>
    </row>
    <row r="12" spans="1:5" s="1" customFormat="1" x14ac:dyDescent="0.45">
      <c r="A12" s="6" t="s">
        <v>402</v>
      </c>
      <c r="B12" s="6">
        <f>LAI!G27</f>
        <v>0</v>
      </c>
      <c r="C12" s="8" t="s">
        <v>403</v>
      </c>
      <c r="D12" s="7"/>
      <c r="E12" s="7"/>
    </row>
    <row r="13" spans="1:5" s="1" customFormat="1" x14ac:dyDescent="0.45">
      <c r="A13" s="6" t="s">
        <v>404</v>
      </c>
      <c r="B13" s="6">
        <f>LAI!G28</f>
        <v>0</v>
      </c>
      <c r="C13" s="8" t="s">
        <v>403</v>
      </c>
      <c r="D13" s="7"/>
      <c r="E13" s="7"/>
    </row>
    <row r="14" spans="1:5" s="2" customFormat="1" x14ac:dyDescent="0.45">
      <c r="A14" s="6" t="s">
        <v>405</v>
      </c>
      <c r="B14" s="6">
        <f>LAI!G29</f>
        <v>0</v>
      </c>
      <c r="C14" s="8" t="s">
        <v>403</v>
      </c>
      <c r="D14" s="7"/>
      <c r="E14" s="7"/>
    </row>
    <row r="15" spans="1:5" x14ac:dyDescent="0.45">
      <c r="A15" s="6" t="s">
        <v>406</v>
      </c>
      <c r="B15" s="6">
        <f>LAI!G30</f>
        <v>0</v>
      </c>
      <c r="C15" s="8" t="s">
        <v>403</v>
      </c>
      <c r="D15" s="7"/>
      <c r="E15" s="7"/>
    </row>
    <row r="16" spans="1:5" x14ac:dyDescent="0.45">
      <c r="A16" s="6" t="s">
        <v>407</v>
      </c>
      <c r="B16" s="6">
        <f>LAI!G31</f>
        <v>0</v>
      </c>
      <c r="C16" s="8" t="s">
        <v>403</v>
      </c>
      <c r="D16" s="7"/>
      <c r="E16" s="7"/>
    </row>
    <row r="17" spans="1:5" x14ac:dyDescent="0.45">
      <c r="A17" s="6" t="s">
        <v>408</v>
      </c>
      <c r="B17" s="6">
        <f>LAI!G32</f>
        <v>0</v>
      </c>
      <c r="C17" s="8" t="s">
        <v>403</v>
      </c>
      <c r="D17" s="7"/>
      <c r="E17" s="7"/>
    </row>
    <row r="18" spans="1:5" x14ac:dyDescent="0.45">
      <c r="A18" s="6" t="s">
        <v>409</v>
      </c>
      <c r="B18" s="6">
        <f>LAI!G33</f>
        <v>0</v>
      </c>
      <c r="C18" s="8" t="s">
        <v>403</v>
      </c>
      <c r="D18" s="7"/>
      <c r="E18" s="7"/>
    </row>
    <row r="19" spans="1:5" x14ac:dyDescent="0.45">
      <c r="A19" s="9" t="s">
        <v>410</v>
      </c>
      <c r="B19" s="9">
        <f>LAI!G38</f>
        <v>0</v>
      </c>
      <c r="C19" s="10" t="s">
        <v>411</v>
      </c>
      <c r="D19" s="7"/>
      <c r="E19" s="7"/>
    </row>
    <row r="20" spans="1:5" x14ac:dyDescent="0.45">
      <c r="A20" s="9" t="s">
        <v>412</v>
      </c>
      <c r="B20" s="9">
        <f>LAI!G39</f>
        <v>0</v>
      </c>
      <c r="C20" s="10" t="s">
        <v>411</v>
      </c>
      <c r="D20" s="7"/>
      <c r="E20" s="7"/>
    </row>
    <row r="21" spans="1:5" x14ac:dyDescent="0.45">
      <c r="A21" s="9" t="s">
        <v>413</v>
      </c>
      <c r="B21" s="9">
        <f>LAI!G40</f>
        <v>0</v>
      </c>
      <c r="C21" s="10" t="s">
        <v>411</v>
      </c>
      <c r="D21" s="7"/>
      <c r="E21" s="7"/>
    </row>
    <row r="22" spans="1:5" x14ac:dyDescent="0.45">
      <c r="A22" s="9" t="s">
        <v>414</v>
      </c>
      <c r="B22" s="9">
        <f>LAI!G41</f>
        <v>0</v>
      </c>
      <c r="C22" s="10" t="s">
        <v>411</v>
      </c>
      <c r="D22" s="7"/>
      <c r="E22" s="7"/>
    </row>
    <row r="23" spans="1:5" x14ac:dyDescent="0.45">
      <c r="A23" s="9" t="s">
        <v>415</v>
      </c>
      <c r="B23" s="9">
        <f>LAI!G42</f>
        <v>0</v>
      </c>
      <c r="C23" s="10" t="s">
        <v>411</v>
      </c>
      <c r="D23" s="7"/>
      <c r="E23" s="7"/>
    </row>
    <row r="24" spans="1:5" x14ac:dyDescent="0.45">
      <c r="A24" s="9" t="s">
        <v>416</v>
      </c>
      <c r="B24" s="9">
        <f>LAI!G43</f>
        <v>0</v>
      </c>
      <c r="C24" s="10" t="s">
        <v>411</v>
      </c>
      <c r="D24" s="7"/>
      <c r="E24" s="7"/>
    </row>
    <row r="25" spans="1:5" x14ac:dyDescent="0.45">
      <c r="A25" s="9" t="s">
        <v>417</v>
      </c>
      <c r="B25" s="9">
        <f>LAI!G44</f>
        <v>0</v>
      </c>
      <c r="C25" s="10" t="s">
        <v>411</v>
      </c>
      <c r="D25" s="7"/>
      <c r="E25" s="7"/>
    </row>
    <row r="26" spans="1:5" x14ac:dyDescent="0.45">
      <c r="A26" s="9" t="s">
        <v>418</v>
      </c>
      <c r="B26" s="9">
        <f>LAI!H50</f>
        <v>0</v>
      </c>
      <c r="C26" s="10" t="s">
        <v>419</v>
      </c>
      <c r="D26" s="7"/>
      <c r="E26" s="7"/>
    </row>
    <row r="27" spans="1:5" x14ac:dyDescent="0.45">
      <c r="A27" s="9" t="s">
        <v>420</v>
      </c>
      <c r="B27" s="9">
        <f>LAI!H51</f>
        <v>0</v>
      </c>
      <c r="C27" s="10" t="s">
        <v>419</v>
      </c>
      <c r="D27" s="7"/>
      <c r="E27" s="7"/>
    </row>
    <row r="28" spans="1:5" s="1" customFormat="1" x14ac:dyDescent="0.45">
      <c r="A28" s="9" t="s">
        <v>421</v>
      </c>
      <c r="B28" s="9">
        <f>LAI!G52</f>
        <v>0</v>
      </c>
      <c r="C28" s="10" t="s">
        <v>419</v>
      </c>
      <c r="D28" s="7"/>
      <c r="E28" s="7"/>
    </row>
    <row r="29" spans="1:5" s="1" customFormat="1" x14ac:dyDescent="0.45">
      <c r="A29" s="9" t="s">
        <v>422</v>
      </c>
      <c r="B29" s="9">
        <f>LAI!G53</f>
        <v>0</v>
      </c>
      <c r="C29" s="10" t="s">
        <v>419</v>
      </c>
      <c r="D29" s="7"/>
      <c r="E29" s="7"/>
    </row>
    <row r="30" spans="1:5" s="1" customFormat="1" x14ac:dyDescent="0.45">
      <c r="A30" s="9" t="s">
        <v>423</v>
      </c>
      <c r="B30" s="9">
        <f>LAI!H54</f>
        <v>0</v>
      </c>
      <c r="C30" s="10" t="s">
        <v>419</v>
      </c>
      <c r="D30" s="7"/>
      <c r="E30" s="7"/>
    </row>
    <row r="31" spans="1:5" s="1" customFormat="1" x14ac:dyDescent="0.45">
      <c r="A31" s="9" t="s">
        <v>424</v>
      </c>
      <c r="B31" s="9">
        <f>LAI!H55</f>
        <v>0</v>
      </c>
      <c r="C31" s="10" t="s">
        <v>419</v>
      </c>
      <c r="D31" s="7"/>
      <c r="E31" s="7"/>
    </row>
    <row r="32" spans="1:5" s="1" customFormat="1" x14ac:dyDescent="0.45">
      <c r="A32" s="9" t="s">
        <v>425</v>
      </c>
      <c r="B32" s="9">
        <f>LAI!H56</f>
        <v>0</v>
      </c>
      <c r="C32" s="10" t="s">
        <v>419</v>
      </c>
      <c r="D32" s="7"/>
      <c r="E32" s="7"/>
    </row>
    <row r="33" spans="1:5" s="1" customFormat="1" x14ac:dyDescent="0.45">
      <c r="A33" s="9" t="s">
        <v>426</v>
      </c>
      <c r="B33" s="9" t="e">
        <f>LAI!#REF!</f>
        <v>#REF!</v>
      </c>
      <c r="C33" s="10" t="s">
        <v>427</v>
      </c>
      <c r="D33" s="7"/>
      <c r="E33" s="7"/>
    </row>
    <row r="34" spans="1:5" s="1" customFormat="1" x14ac:dyDescent="0.45">
      <c r="A34" s="9" t="s">
        <v>428</v>
      </c>
      <c r="B34" s="9" t="e">
        <f>LAI!#REF!</f>
        <v>#REF!</v>
      </c>
      <c r="C34" s="10" t="s">
        <v>427</v>
      </c>
      <c r="D34" s="7"/>
      <c r="E34" s="7"/>
    </row>
    <row r="35" spans="1:5" s="1" customFormat="1" x14ac:dyDescent="0.45">
      <c r="A35" s="9" t="s">
        <v>429</v>
      </c>
      <c r="B35" s="9" t="e">
        <f>LAI!#REF!</f>
        <v>#REF!</v>
      </c>
      <c r="C35" s="10" t="s">
        <v>427</v>
      </c>
      <c r="D35" s="7"/>
      <c r="E35" s="7"/>
    </row>
    <row r="36" spans="1:5" s="1" customFormat="1" x14ac:dyDescent="0.45">
      <c r="A36" s="9" t="s">
        <v>430</v>
      </c>
      <c r="B36" s="9" t="e">
        <f>LAI!#REF!</f>
        <v>#REF!</v>
      </c>
      <c r="C36" s="10" t="s">
        <v>427</v>
      </c>
      <c r="D36" s="7"/>
      <c r="E36" s="7"/>
    </row>
    <row r="37" spans="1:5" s="1" customFormat="1" x14ac:dyDescent="0.45">
      <c r="A37" s="9" t="s">
        <v>431</v>
      </c>
      <c r="B37" s="9" t="e">
        <f>LAI!#REF!</f>
        <v>#REF!</v>
      </c>
      <c r="C37" s="10" t="s">
        <v>427</v>
      </c>
      <c r="D37" s="7"/>
      <c r="E37" s="7"/>
    </row>
    <row r="38" spans="1:5" s="1" customFormat="1" x14ac:dyDescent="0.45">
      <c r="A38" s="9" t="s">
        <v>432</v>
      </c>
      <c r="B38" s="9" t="e">
        <f>LAI!#REF!</f>
        <v>#REF!</v>
      </c>
      <c r="C38" s="10" t="s">
        <v>427</v>
      </c>
      <c r="D38" s="7"/>
      <c r="E38" s="7"/>
    </row>
    <row r="39" spans="1:5" s="1" customFormat="1" x14ac:dyDescent="0.45">
      <c r="A39" s="9" t="s">
        <v>433</v>
      </c>
      <c r="B39" s="9" t="e">
        <f>LAI!#REF!</f>
        <v>#REF!</v>
      </c>
      <c r="C39" s="10" t="s">
        <v>427</v>
      </c>
      <c r="D39" s="7"/>
      <c r="E39" s="7"/>
    </row>
    <row r="40" spans="1:5" s="1" customFormat="1" x14ac:dyDescent="0.45">
      <c r="A40" s="6" t="s">
        <v>434</v>
      </c>
      <c r="B40" s="6">
        <f>LAI!A62</f>
        <v>0</v>
      </c>
      <c r="C40" s="8" t="s">
        <v>435</v>
      </c>
      <c r="D40" s="7"/>
      <c r="E40" s="7"/>
    </row>
    <row r="41" spans="1:5" s="1" customFormat="1" x14ac:dyDescent="0.45">
      <c r="A41" s="6" t="s">
        <v>436</v>
      </c>
      <c r="B41" s="6">
        <f>LAI!B62</f>
        <v>0</v>
      </c>
      <c r="C41" s="8" t="s">
        <v>435</v>
      </c>
      <c r="D41" s="7"/>
      <c r="E41" s="7"/>
    </row>
    <row r="42" spans="1:5" s="1" customFormat="1" x14ac:dyDescent="0.45">
      <c r="A42" s="6" t="s">
        <v>437</v>
      </c>
      <c r="B42" s="6">
        <f>LAI!C62</f>
        <v>0</v>
      </c>
      <c r="C42" s="8" t="s">
        <v>435</v>
      </c>
      <c r="D42" s="7"/>
      <c r="E42" s="7"/>
    </row>
    <row r="43" spans="1:5" s="1" customFormat="1" x14ac:dyDescent="0.45">
      <c r="A43" s="6" t="s">
        <v>438</v>
      </c>
      <c r="B43" s="6">
        <f>LAI!D62</f>
        <v>0</v>
      </c>
      <c r="C43" s="8" t="s">
        <v>435</v>
      </c>
      <c r="D43" s="7"/>
      <c r="E43" s="7"/>
    </row>
    <row r="44" spans="1:5" s="1" customFormat="1" x14ac:dyDescent="0.45">
      <c r="A44" s="6" t="s">
        <v>439</v>
      </c>
      <c r="B44" s="6">
        <f>LAI!E62</f>
        <v>0</v>
      </c>
      <c r="C44" s="8" t="s">
        <v>435</v>
      </c>
      <c r="D44" s="7"/>
      <c r="E44" s="7"/>
    </row>
    <row r="45" spans="1:5" s="1" customFormat="1" x14ac:dyDescent="0.45">
      <c r="A45" s="6" t="s">
        <v>440</v>
      </c>
      <c r="B45" s="6">
        <f>LAI!F62</f>
        <v>0</v>
      </c>
      <c r="C45" s="8" t="s">
        <v>435</v>
      </c>
      <c r="D45" s="7"/>
      <c r="E45" s="7"/>
    </row>
    <row r="46" spans="1:5" s="1" customFormat="1" x14ac:dyDescent="0.45">
      <c r="A46" s="6" t="s">
        <v>441</v>
      </c>
      <c r="B46" s="6">
        <f>LAI!G62</f>
        <v>0</v>
      </c>
      <c r="C46" s="8" t="s">
        <v>435</v>
      </c>
      <c r="D46" s="7"/>
      <c r="E46" s="7"/>
    </row>
    <row r="47" spans="1:5" s="1" customFormat="1" x14ac:dyDescent="0.45">
      <c r="A47" s="9" t="s">
        <v>442</v>
      </c>
      <c r="B47" s="9" t="e">
        <f>LAI!#REF!</f>
        <v>#REF!</v>
      </c>
      <c r="C47" s="10" t="s">
        <v>443</v>
      </c>
      <c r="D47" s="7"/>
      <c r="E47" s="7"/>
    </row>
    <row r="48" spans="1:5" s="1" customFormat="1" x14ac:dyDescent="0.45">
      <c r="A48" s="9" t="s">
        <v>444</v>
      </c>
      <c r="B48" s="9" t="e">
        <f>LAI!#REF!</f>
        <v>#REF!</v>
      </c>
      <c r="C48" s="10" t="s">
        <v>443</v>
      </c>
      <c r="D48" s="7"/>
      <c r="E48" s="7"/>
    </row>
    <row r="49" spans="1:5" s="1" customFormat="1" x14ac:dyDescent="0.45">
      <c r="A49" s="9" t="s">
        <v>445</v>
      </c>
      <c r="B49" s="9" t="e">
        <f>LAI!#REF!</f>
        <v>#REF!</v>
      </c>
      <c r="C49" s="10" t="s">
        <v>443</v>
      </c>
      <c r="D49" s="7"/>
      <c r="E49" s="7"/>
    </row>
    <row r="50" spans="1:5" s="1" customFormat="1" x14ac:dyDescent="0.45">
      <c r="A50" s="9" t="s">
        <v>446</v>
      </c>
      <c r="B50" s="9" t="e">
        <f>LAI!#REF!</f>
        <v>#REF!</v>
      </c>
      <c r="C50" s="10" t="s">
        <v>443</v>
      </c>
      <c r="D50" s="7"/>
      <c r="E50" s="7"/>
    </row>
    <row r="51" spans="1:5" s="1" customFormat="1" x14ac:dyDescent="0.45">
      <c r="A51" s="9" t="s">
        <v>447</v>
      </c>
      <c r="B51" s="9" t="e">
        <f>LAI!#REF!</f>
        <v>#REF!</v>
      </c>
      <c r="C51" s="10" t="s">
        <v>443</v>
      </c>
      <c r="D51" s="7"/>
      <c r="E51" s="7"/>
    </row>
    <row r="52" spans="1:5" s="1" customFormat="1" x14ac:dyDescent="0.45">
      <c r="A52" s="9" t="s">
        <v>448</v>
      </c>
      <c r="B52" s="9" t="e">
        <f>LAI!#REF!</f>
        <v>#REF!</v>
      </c>
      <c r="C52" s="10" t="s">
        <v>443</v>
      </c>
      <c r="D52" s="7"/>
      <c r="E52" s="7"/>
    </row>
    <row r="53" spans="1:5" s="1" customFormat="1" x14ac:dyDescent="0.45">
      <c r="A53" s="9" t="s">
        <v>449</v>
      </c>
      <c r="B53" s="9" t="e">
        <f>LAI!#REF!</f>
        <v>#REF!</v>
      </c>
      <c r="C53" s="10" t="s">
        <v>443</v>
      </c>
      <c r="D53" s="7"/>
      <c r="E53" s="7"/>
    </row>
    <row r="54" spans="1:5" s="1" customFormat="1" x14ac:dyDescent="0.45">
      <c r="A54" s="9" t="s">
        <v>450</v>
      </c>
      <c r="B54" s="9" t="e">
        <f>LAI!#REF!</f>
        <v>#REF!</v>
      </c>
      <c r="C54" s="10" t="s">
        <v>443</v>
      </c>
      <c r="D54" s="7"/>
      <c r="E54" s="7"/>
    </row>
    <row r="55" spans="1:5" s="1" customFormat="1" x14ac:dyDescent="0.45">
      <c r="A55" s="9" t="s">
        <v>451</v>
      </c>
      <c r="B55" s="9" t="e">
        <f>LAI!#REF!</f>
        <v>#REF!</v>
      </c>
      <c r="C55" s="10" t="s">
        <v>443</v>
      </c>
      <c r="D55" s="7"/>
      <c r="E55" s="7"/>
    </row>
    <row r="56" spans="1:5" s="1" customFormat="1" x14ac:dyDescent="0.45">
      <c r="A56" s="9" t="s">
        <v>452</v>
      </c>
      <c r="B56" s="9" t="e">
        <f>LAI!#REF!</f>
        <v>#REF!</v>
      </c>
      <c r="C56" s="10" t="s">
        <v>443</v>
      </c>
      <c r="D56" s="7"/>
      <c r="E56" s="7"/>
    </row>
    <row r="57" spans="1:5" s="1" customFormat="1" x14ac:dyDescent="0.45">
      <c r="A57" s="9" t="s">
        <v>453</v>
      </c>
      <c r="B57" s="9">
        <f>LAI!A68</f>
        <v>0</v>
      </c>
      <c r="C57" s="10" t="s">
        <v>454</v>
      </c>
      <c r="D57" s="7"/>
      <c r="E57" s="7"/>
    </row>
    <row r="58" spans="1:5" s="1" customFormat="1" x14ac:dyDescent="0.45">
      <c r="A58" s="9" t="s">
        <v>455</v>
      </c>
      <c r="B58" s="9">
        <f>LAI!B68</f>
        <v>0</v>
      </c>
      <c r="C58" s="10" t="s">
        <v>454</v>
      </c>
      <c r="D58" s="7"/>
      <c r="E58" s="7"/>
    </row>
    <row r="59" spans="1:5" s="1" customFormat="1" x14ac:dyDescent="0.45">
      <c r="A59" s="9" t="s">
        <v>456</v>
      </c>
      <c r="B59" s="9" t="e">
        <f>LAI!#REF!</f>
        <v>#REF!</v>
      </c>
      <c r="C59" s="10" t="s">
        <v>454</v>
      </c>
      <c r="D59" s="7"/>
      <c r="E59" s="7"/>
    </row>
    <row r="60" spans="1:5" s="1" customFormat="1" x14ac:dyDescent="0.45">
      <c r="A60" s="9" t="s">
        <v>457</v>
      </c>
      <c r="B60" s="9" t="e">
        <f>LAI!#REF!</f>
        <v>#REF!</v>
      </c>
      <c r="C60" s="10" t="s">
        <v>454</v>
      </c>
      <c r="D60" s="7"/>
      <c r="E60" s="7"/>
    </row>
    <row r="61" spans="1:5" s="1" customFormat="1" x14ac:dyDescent="0.45">
      <c r="A61" s="9" t="s">
        <v>458</v>
      </c>
      <c r="B61" s="9">
        <f>LAI!C68</f>
        <v>0</v>
      </c>
      <c r="C61" s="10" t="s">
        <v>454</v>
      </c>
      <c r="D61" s="7"/>
      <c r="E61" s="7"/>
    </row>
    <row r="62" spans="1:5" s="1" customFormat="1" x14ac:dyDescent="0.45">
      <c r="A62" s="9" t="s">
        <v>459</v>
      </c>
      <c r="B62" s="9">
        <f>LAI!D68</f>
        <v>0</v>
      </c>
      <c r="C62" s="10" t="s">
        <v>454</v>
      </c>
      <c r="D62" s="7"/>
      <c r="E62" s="7"/>
    </row>
    <row r="63" spans="1:5" s="1" customFormat="1" x14ac:dyDescent="0.45">
      <c r="A63" s="9" t="s">
        <v>460</v>
      </c>
      <c r="B63" s="9" t="e">
        <f>LAI!#REF!</f>
        <v>#REF!</v>
      </c>
      <c r="C63" s="10" t="s">
        <v>454</v>
      </c>
      <c r="D63" s="7"/>
      <c r="E63" s="7"/>
    </row>
    <row r="64" spans="1:5" s="1" customFormat="1" x14ac:dyDescent="0.45">
      <c r="A64" s="9" t="s">
        <v>461</v>
      </c>
      <c r="B64" s="9" t="e">
        <f>LAI!#REF!</f>
        <v>#REF!</v>
      </c>
      <c r="C64" s="10" t="s">
        <v>454</v>
      </c>
      <c r="D64" s="7"/>
      <c r="E64" s="7"/>
    </row>
    <row r="65" spans="1:5" s="1" customFormat="1" x14ac:dyDescent="0.45">
      <c r="A65" s="9" t="s">
        <v>462</v>
      </c>
      <c r="B65" s="9">
        <f>LAI!E68</f>
        <v>0</v>
      </c>
      <c r="C65" s="10" t="s">
        <v>454</v>
      </c>
      <c r="D65" s="7"/>
      <c r="E65" s="7"/>
    </row>
    <row r="66" spans="1:5" s="1" customFormat="1" x14ac:dyDescent="0.45">
      <c r="A66" s="9" t="s">
        <v>463</v>
      </c>
      <c r="B66" s="9">
        <f>LAI!F68</f>
        <v>0</v>
      </c>
      <c r="C66" s="10" t="s">
        <v>454</v>
      </c>
      <c r="D66" s="7"/>
      <c r="E66" s="7"/>
    </row>
    <row r="67" spans="1:5" s="1" customFormat="1" x14ac:dyDescent="0.45">
      <c r="A67" s="6" t="s">
        <v>464</v>
      </c>
      <c r="B67" s="6">
        <f>LAI!H73</f>
        <v>0</v>
      </c>
      <c r="C67" s="8">
        <v>3</v>
      </c>
      <c r="D67" s="7"/>
      <c r="E67" s="7"/>
    </row>
    <row r="68" spans="1:5" s="1" customFormat="1" x14ac:dyDescent="0.45">
      <c r="A68" s="6" t="s">
        <v>465</v>
      </c>
      <c r="B68" s="6">
        <f>LAI!H74</f>
        <v>0</v>
      </c>
      <c r="C68" s="8">
        <v>3</v>
      </c>
      <c r="D68" s="7"/>
      <c r="E68" s="7"/>
    </row>
    <row r="69" spans="1:5" s="1" customFormat="1" x14ac:dyDescent="0.45">
      <c r="A69" s="6" t="s">
        <v>466</v>
      </c>
      <c r="B69" s="6">
        <f>LAI!H75</f>
        <v>0</v>
      </c>
      <c r="C69" s="8">
        <v>3</v>
      </c>
      <c r="D69" s="7"/>
      <c r="E69" s="7"/>
    </row>
    <row r="70" spans="1:5" s="1" customFormat="1" x14ac:dyDescent="0.45">
      <c r="A70" s="6" t="s">
        <v>467</v>
      </c>
      <c r="B70" s="6">
        <f>LAI!H76</f>
        <v>0</v>
      </c>
      <c r="C70" s="8">
        <v>3</v>
      </c>
      <c r="D70" s="7"/>
      <c r="E70" s="7"/>
    </row>
    <row r="71" spans="1:5" s="1" customFormat="1" x14ac:dyDescent="0.45">
      <c r="A71" s="6" t="s">
        <v>468</v>
      </c>
      <c r="B71" s="6">
        <f>LAI!H77</f>
        <v>0</v>
      </c>
      <c r="C71" s="8">
        <v>3</v>
      </c>
      <c r="D71" s="7"/>
      <c r="E71" s="7"/>
    </row>
    <row r="72" spans="1:5" s="1" customFormat="1" x14ac:dyDescent="0.45">
      <c r="A72" s="9" t="s">
        <v>469</v>
      </c>
      <c r="B72" s="9">
        <f>LAI!H78</f>
        <v>0</v>
      </c>
      <c r="C72" s="10">
        <v>3</v>
      </c>
      <c r="D72" s="7"/>
      <c r="E72" s="7"/>
    </row>
    <row r="73" spans="1:5" s="1" customFormat="1" x14ac:dyDescent="0.45">
      <c r="A73" s="6" t="s">
        <v>470</v>
      </c>
      <c r="B73" s="6">
        <f>LAI!H79</f>
        <v>0</v>
      </c>
      <c r="C73" s="8">
        <v>3</v>
      </c>
      <c r="D73" s="7"/>
      <c r="E73" s="7"/>
    </row>
    <row r="74" spans="1:5" s="1" customFormat="1" x14ac:dyDescent="0.45">
      <c r="A74" s="6" t="s">
        <v>471</v>
      </c>
      <c r="B74" s="6">
        <f>LAI!E87</f>
        <v>0</v>
      </c>
      <c r="C74" s="8" t="s">
        <v>472</v>
      </c>
      <c r="D74" s="7"/>
      <c r="E74" s="7"/>
    </row>
    <row r="75" spans="1:5" s="1" customFormat="1" x14ac:dyDescent="0.45">
      <c r="A75" s="6" t="s">
        <v>473</v>
      </c>
      <c r="B75" s="6">
        <f>LAI!F87</f>
        <v>0</v>
      </c>
      <c r="C75" s="8" t="s">
        <v>472</v>
      </c>
      <c r="D75" s="7"/>
      <c r="E75" s="7"/>
    </row>
    <row r="76" spans="1:5" s="1" customFormat="1" x14ac:dyDescent="0.45">
      <c r="A76" s="6" t="s">
        <v>474</v>
      </c>
      <c r="B76" s="6">
        <f>LAI!G87</f>
        <v>0</v>
      </c>
      <c r="C76" s="8" t="s">
        <v>472</v>
      </c>
      <c r="D76" s="7"/>
      <c r="E76" s="7"/>
    </row>
    <row r="77" spans="1:5" s="1" customFormat="1" x14ac:dyDescent="0.45">
      <c r="A77" s="6" t="s">
        <v>475</v>
      </c>
      <c r="B77" s="6">
        <f>LAI!H87</f>
        <v>0</v>
      </c>
      <c r="C77" s="8" t="s">
        <v>472</v>
      </c>
      <c r="D77" s="7"/>
      <c r="E77" s="7"/>
    </row>
    <row r="78" spans="1:5" s="1" customFormat="1" x14ac:dyDescent="0.45">
      <c r="A78" s="6" t="s">
        <v>476</v>
      </c>
      <c r="B78" s="6">
        <f>LAI!I87</f>
        <v>0</v>
      </c>
      <c r="C78" s="8" t="s">
        <v>472</v>
      </c>
      <c r="D78" s="7"/>
      <c r="E78" s="7"/>
    </row>
    <row r="79" spans="1:5" s="1" customFormat="1" x14ac:dyDescent="0.45">
      <c r="A79" s="6" t="s">
        <v>477</v>
      </c>
      <c r="B79" s="6">
        <f>LAI!J87</f>
        <v>0</v>
      </c>
      <c r="C79" s="8" t="s">
        <v>472</v>
      </c>
      <c r="D79" s="7"/>
      <c r="E79" s="7"/>
    </row>
    <row r="80" spans="1:5" s="1" customFormat="1" x14ac:dyDescent="0.45">
      <c r="A80" s="6" t="s">
        <v>478</v>
      </c>
      <c r="B80" s="6">
        <f>LAI!K87</f>
        <v>0</v>
      </c>
      <c r="C80" s="8" t="s">
        <v>472</v>
      </c>
      <c r="D80" s="7"/>
      <c r="E80" s="7"/>
    </row>
    <row r="81" spans="1:5" s="1" customFormat="1" x14ac:dyDescent="0.45">
      <c r="A81" s="6" t="s">
        <v>479</v>
      </c>
      <c r="B81" s="6">
        <f>LAI!E88</f>
        <v>0</v>
      </c>
      <c r="C81" s="8" t="s">
        <v>472</v>
      </c>
      <c r="D81" s="7"/>
      <c r="E81" s="7"/>
    </row>
    <row r="82" spans="1:5" s="1" customFormat="1" x14ac:dyDescent="0.45">
      <c r="A82" s="6" t="s">
        <v>480</v>
      </c>
      <c r="B82" s="6">
        <f>LAI!F88</f>
        <v>0</v>
      </c>
      <c r="C82" s="8" t="s">
        <v>472</v>
      </c>
      <c r="D82" s="7"/>
      <c r="E82" s="7"/>
    </row>
    <row r="83" spans="1:5" s="1" customFormat="1" x14ac:dyDescent="0.45">
      <c r="A83" s="6" t="s">
        <v>481</v>
      </c>
      <c r="B83" s="6">
        <f>LAI!G88</f>
        <v>0</v>
      </c>
      <c r="C83" s="8" t="s">
        <v>472</v>
      </c>
      <c r="D83" s="7"/>
      <c r="E83" s="7"/>
    </row>
    <row r="84" spans="1:5" s="1" customFormat="1" x14ac:dyDescent="0.45">
      <c r="A84" s="6" t="s">
        <v>482</v>
      </c>
      <c r="B84" s="6">
        <f>LAI!H88</f>
        <v>0</v>
      </c>
      <c r="C84" s="8" t="s">
        <v>472</v>
      </c>
      <c r="D84" s="7"/>
      <c r="E84" s="7"/>
    </row>
    <row r="85" spans="1:5" s="1" customFormat="1" x14ac:dyDescent="0.45">
      <c r="A85" s="6" t="s">
        <v>483</v>
      </c>
      <c r="B85" s="6">
        <f>LAI!I88</f>
        <v>0</v>
      </c>
      <c r="C85" s="8" t="s">
        <v>472</v>
      </c>
      <c r="D85" s="7"/>
      <c r="E85" s="7"/>
    </row>
    <row r="86" spans="1:5" s="1" customFormat="1" x14ac:dyDescent="0.45">
      <c r="A86" s="6" t="s">
        <v>484</v>
      </c>
      <c r="B86" s="6">
        <f>LAI!J88</f>
        <v>0</v>
      </c>
      <c r="C86" s="8" t="s">
        <v>472</v>
      </c>
      <c r="D86" s="7"/>
      <c r="E86" s="7"/>
    </row>
    <row r="87" spans="1:5" s="1" customFormat="1" x14ac:dyDescent="0.45">
      <c r="A87" s="6" t="s">
        <v>485</v>
      </c>
      <c r="B87" s="6">
        <f>LAI!K88</f>
        <v>0</v>
      </c>
      <c r="C87" s="8" t="s">
        <v>472</v>
      </c>
      <c r="D87" s="7"/>
      <c r="E87" s="7"/>
    </row>
    <row r="88" spans="1:5" s="1" customFormat="1" x14ac:dyDescent="0.45">
      <c r="A88" s="6" t="s">
        <v>486</v>
      </c>
      <c r="B88" s="6">
        <f>LAI!E89</f>
        <v>0</v>
      </c>
      <c r="C88" s="8" t="s">
        <v>472</v>
      </c>
      <c r="D88" s="7"/>
      <c r="E88" s="7"/>
    </row>
    <row r="89" spans="1:5" s="1" customFormat="1" x14ac:dyDescent="0.45">
      <c r="A89" s="6" t="s">
        <v>487</v>
      </c>
      <c r="B89" s="6">
        <f>LAI!F89</f>
        <v>0</v>
      </c>
      <c r="C89" s="8" t="s">
        <v>472</v>
      </c>
      <c r="D89" s="7"/>
      <c r="E89" s="7"/>
    </row>
    <row r="90" spans="1:5" s="1" customFormat="1" x14ac:dyDescent="0.45">
      <c r="A90" s="6" t="s">
        <v>488</v>
      </c>
      <c r="B90" s="6">
        <f>LAI!G89</f>
        <v>0</v>
      </c>
      <c r="C90" s="8" t="s">
        <v>472</v>
      </c>
      <c r="D90" s="7"/>
      <c r="E90" s="7"/>
    </row>
    <row r="91" spans="1:5" x14ac:dyDescent="0.45">
      <c r="A91" s="6" t="s">
        <v>489</v>
      </c>
      <c r="B91" s="6">
        <f>LAI!H89</f>
        <v>0</v>
      </c>
      <c r="C91" s="8" t="s">
        <v>472</v>
      </c>
      <c r="D91" s="7"/>
      <c r="E91" s="7"/>
    </row>
    <row r="92" spans="1:5" x14ac:dyDescent="0.45">
      <c r="A92" s="6" t="s">
        <v>490</v>
      </c>
      <c r="B92" s="6">
        <f>LAI!I89</f>
        <v>0</v>
      </c>
      <c r="C92" s="8" t="s">
        <v>472</v>
      </c>
      <c r="D92" s="7"/>
      <c r="E92" s="7"/>
    </row>
    <row r="93" spans="1:5" x14ac:dyDescent="0.45">
      <c r="A93" s="6" t="s">
        <v>491</v>
      </c>
      <c r="B93" s="6">
        <f>LAI!J89</f>
        <v>0</v>
      </c>
      <c r="C93" s="8" t="s">
        <v>472</v>
      </c>
      <c r="D93" s="7"/>
      <c r="E93" s="7"/>
    </row>
    <row r="94" spans="1:5" x14ac:dyDescent="0.45">
      <c r="A94" s="6" t="s">
        <v>492</v>
      </c>
      <c r="B94" s="6">
        <f>LAI!K89</f>
        <v>0</v>
      </c>
      <c r="C94" s="8" t="s">
        <v>472</v>
      </c>
      <c r="D94" s="7"/>
      <c r="E94" s="7"/>
    </row>
    <row r="95" spans="1:5" x14ac:dyDescent="0.45">
      <c r="A95" s="6" t="s">
        <v>493</v>
      </c>
      <c r="B95" s="6">
        <f>LAI!E90</f>
        <v>0</v>
      </c>
      <c r="C95" s="8" t="s">
        <v>472</v>
      </c>
      <c r="D95" s="7"/>
      <c r="E95" s="7"/>
    </row>
    <row r="96" spans="1:5" x14ac:dyDescent="0.45">
      <c r="A96" s="6" t="s">
        <v>494</v>
      </c>
      <c r="B96" s="6">
        <f>LAI!F90</f>
        <v>0</v>
      </c>
      <c r="C96" s="8" t="s">
        <v>472</v>
      </c>
      <c r="D96" s="7"/>
      <c r="E96" s="7"/>
    </row>
    <row r="97" spans="1:5" x14ac:dyDescent="0.45">
      <c r="A97" s="6" t="s">
        <v>495</v>
      </c>
      <c r="B97" s="6">
        <f>LAI!G90</f>
        <v>0</v>
      </c>
      <c r="C97" s="8" t="s">
        <v>472</v>
      </c>
      <c r="D97" s="7"/>
      <c r="E97" s="7"/>
    </row>
    <row r="98" spans="1:5" x14ac:dyDescent="0.45">
      <c r="A98" s="6" t="s">
        <v>496</v>
      </c>
      <c r="B98" s="6">
        <f>LAI!H90</f>
        <v>0</v>
      </c>
      <c r="C98" s="8" t="s">
        <v>472</v>
      </c>
      <c r="D98" s="7"/>
      <c r="E98" s="7"/>
    </row>
    <row r="99" spans="1:5" x14ac:dyDescent="0.45">
      <c r="A99" s="6" t="s">
        <v>497</v>
      </c>
      <c r="B99" s="6">
        <f>LAI!I90</f>
        <v>0</v>
      </c>
      <c r="C99" s="8" t="s">
        <v>472</v>
      </c>
      <c r="D99" s="7"/>
      <c r="E99" s="7"/>
    </row>
    <row r="100" spans="1:5" x14ac:dyDescent="0.45">
      <c r="A100" s="6" t="s">
        <v>498</v>
      </c>
      <c r="B100" s="6">
        <f>LAI!J90</f>
        <v>0</v>
      </c>
      <c r="C100" s="8" t="s">
        <v>472</v>
      </c>
      <c r="D100" s="7"/>
      <c r="E100" s="7"/>
    </row>
    <row r="101" spans="1:5" x14ac:dyDescent="0.45">
      <c r="A101" s="6" t="s">
        <v>499</v>
      </c>
      <c r="B101" s="6">
        <f>LAI!K90</f>
        <v>0</v>
      </c>
      <c r="C101" s="8" t="s">
        <v>472</v>
      </c>
      <c r="D101" s="7"/>
      <c r="E101" s="7"/>
    </row>
    <row r="102" spans="1:5" x14ac:dyDescent="0.45">
      <c r="A102" s="6" t="s">
        <v>500</v>
      </c>
      <c r="B102" s="6">
        <f>LAI!E91</f>
        <v>0</v>
      </c>
      <c r="C102" s="8" t="s">
        <v>472</v>
      </c>
      <c r="D102" s="7"/>
      <c r="E102" s="7"/>
    </row>
    <row r="103" spans="1:5" x14ac:dyDescent="0.45">
      <c r="A103" s="6" t="s">
        <v>501</v>
      </c>
      <c r="B103" s="6">
        <f>LAI!F91</f>
        <v>0</v>
      </c>
      <c r="C103" s="8" t="s">
        <v>472</v>
      </c>
      <c r="D103" s="7"/>
      <c r="E103" s="7"/>
    </row>
    <row r="104" spans="1:5" x14ac:dyDescent="0.45">
      <c r="A104" s="6" t="s">
        <v>502</v>
      </c>
      <c r="B104" s="6">
        <f>LAI!G91</f>
        <v>0</v>
      </c>
      <c r="C104" s="8" t="s">
        <v>472</v>
      </c>
      <c r="D104" s="7"/>
      <c r="E104" s="7"/>
    </row>
    <row r="105" spans="1:5" x14ac:dyDescent="0.45">
      <c r="A105" s="6" t="s">
        <v>503</v>
      </c>
      <c r="B105" s="6">
        <f>LAI!H91</f>
        <v>0</v>
      </c>
      <c r="C105" s="8" t="s">
        <v>472</v>
      </c>
      <c r="D105" s="7"/>
      <c r="E105" s="7"/>
    </row>
    <row r="106" spans="1:5" x14ac:dyDescent="0.45">
      <c r="A106" s="6" t="s">
        <v>504</v>
      </c>
      <c r="B106" s="6">
        <f>LAI!I91</f>
        <v>0</v>
      </c>
      <c r="C106" s="8" t="s">
        <v>472</v>
      </c>
      <c r="D106" s="7"/>
      <c r="E106" s="7"/>
    </row>
    <row r="107" spans="1:5" x14ac:dyDescent="0.45">
      <c r="A107" s="6" t="s">
        <v>505</v>
      </c>
      <c r="B107" s="6">
        <f>LAI!J91</f>
        <v>0</v>
      </c>
      <c r="C107" s="8" t="s">
        <v>472</v>
      </c>
      <c r="D107" s="7"/>
      <c r="E107" s="7"/>
    </row>
    <row r="108" spans="1:5" x14ac:dyDescent="0.45">
      <c r="A108" s="6" t="s">
        <v>506</v>
      </c>
      <c r="B108" s="6">
        <f>LAI!K91</f>
        <v>0</v>
      </c>
      <c r="C108" s="8" t="s">
        <v>472</v>
      </c>
      <c r="D108" s="7"/>
      <c r="E108" s="7"/>
    </row>
    <row r="109" spans="1:5" x14ac:dyDescent="0.45">
      <c r="A109" s="6" t="s">
        <v>507</v>
      </c>
      <c r="B109" s="6">
        <f>LAI!E92</f>
        <v>0</v>
      </c>
      <c r="C109" s="8" t="s">
        <v>472</v>
      </c>
      <c r="D109" s="7"/>
      <c r="E109" s="7"/>
    </row>
    <row r="110" spans="1:5" x14ac:dyDescent="0.45">
      <c r="A110" s="6" t="s">
        <v>508</v>
      </c>
      <c r="B110" s="6">
        <f>LAI!F92</f>
        <v>0</v>
      </c>
      <c r="C110" s="8" t="s">
        <v>472</v>
      </c>
      <c r="D110" s="7"/>
      <c r="E110" s="7"/>
    </row>
    <row r="111" spans="1:5" x14ac:dyDescent="0.45">
      <c r="A111" s="6" t="s">
        <v>509</v>
      </c>
      <c r="B111" s="6">
        <f>LAI!G92</f>
        <v>0</v>
      </c>
      <c r="C111" s="8" t="s">
        <v>472</v>
      </c>
      <c r="D111" s="7"/>
      <c r="E111" s="7"/>
    </row>
    <row r="112" spans="1:5" x14ac:dyDescent="0.45">
      <c r="A112" s="6" t="s">
        <v>510</v>
      </c>
      <c r="B112" s="6">
        <f>LAI!H92</f>
        <v>0</v>
      </c>
      <c r="C112" s="8" t="s">
        <v>472</v>
      </c>
      <c r="D112" s="7"/>
      <c r="E112" s="7"/>
    </row>
    <row r="113" spans="1:5" x14ac:dyDescent="0.45">
      <c r="A113" s="6" t="s">
        <v>511</v>
      </c>
      <c r="B113" s="6">
        <f>LAI!I92</f>
        <v>0</v>
      </c>
      <c r="C113" s="8" t="s">
        <v>472</v>
      </c>
      <c r="D113" s="7"/>
      <c r="E113" s="7"/>
    </row>
    <row r="114" spans="1:5" x14ac:dyDescent="0.45">
      <c r="A114" s="6" t="s">
        <v>512</v>
      </c>
      <c r="B114" s="6">
        <f>LAI!J92</f>
        <v>0</v>
      </c>
      <c r="C114" s="8" t="s">
        <v>472</v>
      </c>
      <c r="D114" s="7"/>
      <c r="E114" s="7"/>
    </row>
    <row r="115" spans="1:5" x14ac:dyDescent="0.45">
      <c r="A115" s="6" t="s">
        <v>513</v>
      </c>
      <c r="B115" s="6">
        <f>LAI!K92</f>
        <v>0</v>
      </c>
      <c r="C115" s="8" t="s">
        <v>472</v>
      </c>
      <c r="D115" s="7"/>
      <c r="E115" s="7"/>
    </row>
    <row r="116" spans="1:5" x14ac:dyDescent="0.45">
      <c r="A116" s="6" t="s">
        <v>514</v>
      </c>
      <c r="B116" s="6">
        <f>LAI!E93</f>
        <v>0</v>
      </c>
      <c r="C116" s="8" t="s">
        <v>472</v>
      </c>
      <c r="D116" s="7"/>
      <c r="E116" s="7"/>
    </row>
    <row r="117" spans="1:5" x14ac:dyDescent="0.45">
      <c r="A117" s="6" t="s">
        <v>515</v>
      </c>
      <c r="B117" s="6">
        <f>LAI!F93</f>
        <v>0</v>
      </c>
      <c r="C117" s="8" t="s">
        <v>472</v>
      </c>
      <c r="D117" s="7"/>
      <c r="E117" s="7"/>
    </row>
    <row r="118" spans="1:5" x14ac:dyDescent="0.45">
      <c r="A118" s="6" t="s">
        <v>516</v>
      </c>
      <c r="B118" s="6">
        <f>LAI!G93</f>
        <v>0</v>
      </c>
      <c r="C118" s="8" t="s">
        <v>472</v>
      </c>
      <c r="D118" s="7"/>
      <c r="E118" s="7"/>
    </row>
    <row r="119" spans="1:5" x14ac:dyDescent="0.45">
      <c r="A119" s="6" t="s">
        <v>517</v>
      </c>
      <c r="B119" s="6">
        <f>LAI!H93</f>
        <v>0</v>
      </c>
      <c r="C119" s="8" t="s">
        <v>472</v>
      </c>
      <c r="D119" s="7"/>
      <c r="E119" s="7"/>
    </row>
    <row r="120" spans="1:5" x14ac:dyDescent="0.45">
      <c r="A120" s="6" t="s">
        <v>518</v>
      </c>
      <c r="B120" s="6">
        <f>LAI!I93</f>
        <v>0</v>
      </c>
      <c r="C120" s="8" t="s">
        <v>472</v>
      </c>
      <c r="D120" s="7"/>
      <c r="E120" s="7"/>
    </row>
    <row r="121" spans="1:5" x14ac:dyDescent="0.45">
      <c r="A121" s="6" t="s">
        <v>519</v>
      </c>
      <c r="B121" s="6">
        <f>LAI!J93</f>
        <v>0</v>
      </c>
      <c r="C121" s="8" t="s">
        <v>472</v>
      </c>
      <c r="D121" s="7"/>
      <c r="E121" s="7"/>
    </row>
    <row r="122" spans="1:5" x14ac:dyDescent="0.45">
      <c r="A122" s="6" t="s">
        <v>520</v>
      </c>
      <c r="B122" s="6">
        <f>LAI!K93</f>
        <v>0</v>
      </c>
      <c r="C122" s="8" t="s">
        <v>472</v>
      </c>
      <c r="D122" s="7"/>
      <c r="E122" s="7"/>
    </row>
    <row r="123" spans="1:5" x14ac:dyDescent="0.45">
      <c r="A123" s="6" t="s">
        <v>521</v>
      </c>
      <c r="B123" s="6">
        <f>LAI!E94</f>
        <v>0</v>
      </c>
      <c r="C123" s="8" t="s">
        <v>472</v>
      </c>
      <c r="D123" s="7"/>
      <c r="E123" s="7"/>
    </row>
    <row r="124" spans="1:5" x14ac:dyDescent="0.45">
      <c r="A124" s="6" t="s">
        <v>522</v>
      </c>
      <c r="B124" s="6">
        <f>LAI!F94</f>
        <v>0</v>
      </c>
      <c r="C124" s="8" t="s">
        <v>472</v>
      </c>
      <c r="D124" s="7"/>
      <c r="E124" s="7"/>
    </row>
    <row r="125" spans="1:5" x14ac:dyDescent="0.45">
      <c r="A125" s="6" t="s">
        <v>523</v>
      </c>
      <c r="B125" s="6">
        <f>LAI!G94</f>
        <v>0</v>
      </c>
      <c r="C125" s="8" t="s">
        <v>472</v>
      </c>
      <c r="D125" s="7"/>
      <c r="E125" s="7"/>
    </row>
    <row r="126" spans="1:5" x14ac:dyDescent="0.45">
      <c r="A126" s="6" t="s">
        <v>524</v>
      </c>
      <c r="B126" s="6">
        <f>LAI!H94</f>
        <v>0</v>
      </c>
      <c r="C126" s="8" t="s">
        <v>472</v>
      </c>
      <c r="D126" s="7"/>
      <c r="E126" s="7"/>
    </row>
    <row r="127" spans="1:5" x14ac:dyDescent="0.45">
      <c r="A127" s="6" t="s">
        <v>525</v>
      </c>
      <c r="B127" s="6">
        <f>LAI!I94</f>
        <v>0</v>
      </c>
      <c r="C127" s="8" t="s">
        <v>472</v>
      </c>
      <c r="D127" s="7"/>
      <c r="E127" s="7"/>
    </row>
    <row r="128" spans="1:5" x14ac:dyDescent="0.45">
      <c r="A128" s="6" t="s">
        <v>526</v>
      </c>
      <c r="B128" s="6">
        <f>LAI!J94</f>
        <v>0</v>
      </c>
      <c r="C128" s="8" t="s">
        <v>472</v>
      </c>
      <c r="D128" s="7"/>
      <c r="E128" s="7"/>
    </row>
    <row r="129" spans="1:5" x14ac:dyDescent="0.45">
      <c r="A129" s="6" t="s">
        <v>527</v>
      </c>
      <c r="B129" s="6">
        <f>LAI!K94</f>
        <v>0</v>
      </c>
      <c r="C129" s="8" t="s">
        <v>472</v>
      </c>
      <c r="D129" s="7"/>
      <c r="E129" s="7"/>
    </row>
    <row r="130" spans="1:5" x14ac:dyDescent="0.45">
      <c r="A130" s="6" t="s">
        <v>528</v>
      </c>
      <c r="B130" s="6">
        <f>LAI!E95</f>
        <v>0</v>
      </c>
      <c r="C130" s="8" t="s">
        <v>472</v>
      </c>
      <c r="D130" s="7"/>
      <c r="E130" s="7"/>
    </row>
    <row r="131" spans="1:5" x14ac:dyDescent="0.45">
      <c r="A131" s="6" t="s">
        <v>529</v>
      </c>
      <c r="B131" s="6">
        <f>LAI!F95</f>
        <v>0</v>
      </c>
      <c r="C131" s="8" t="s">
        <v>472</v>
      </c>
      <c r="D131" s="7"/>
      <c r="E131" s="7"/>
    </row>
    <row r="132" spans="1:5" x14ac:dyDescent="0.45">
      <c r="A132" s="6" t="s">
        <v>530</v>
      </c>
      <c r="B132" s="6">
        <f>LAI!G95</f>
        <v>0</v>
      </c>
      <c r="C132" s="8" t="s">
        <v>472</v>
      </c>
      <c r="D132" s="7"/>
      <c r="E132" s="7"/>
    </row>
    <row r="133" spans="1:5" x14ac:dyDescent="0.45">
      <c r="A133" s="6" t="s">
        <v>531</v>
      </c>
      <c r="B133" s="6">
        <f>LAI!H95</f>
        <v>0</v>
      </c>
      <c r="C133" s="8" t="s">
        <v>472</v>
      </c>
      <c r="D133" s="7"/>
      <c r="E133" s="7"/>
    </row>
    <row r="134" spans="1:5" x14ac:dyDescent="0.45">
      <c r="A134" s="6" t="s">
        <v>532</v>
      </c>
      <c r="B134" s="6">
        <f>LAI!I95</f>
        <v>0</v>
      </c>
      <c r="C134" s="8" t="s">
        <v>472</v>
      </c>
      <c r="D134" s="7"/>
      <c r="E134" s="7"/>
    </row>
    <row r="135" spans="1:5" x14ac:dyDescent="0.45">
      <c r="A135" s="6" t="s">
        <v>533</v>
      </c>
      <c r="B135" s="6">
        <f>LAI!J95</f>
        <v>0</v>
      </c>
      <c r="C135" s="8" t="s">
        <v>472</v>
      </c>
      <c r="D135" s="7"/>
      <c r="E135" s="7"/>
    </row>
    <row r="136" spans="1:5" x14ac:dyDescent="0.45">
      <c r="A136" s="6" t="s">
        <v>534</v>
      </c>
      <c r="B136" s="6">
        <f>LAI!K95</f>
        <v>0</v>
      </c>
      <c r="C136" s="8" t="s">
        <v>472</v>
      </c>
      <c r="D136" s="7"/>
      <c r="E136" s="7"/>
    </row>
    <row r="137" spans="1:5" x14ac:dyDescent="0.45">
      <c r="A137" s="6" t="s">
        <v>535</v>
      </c>
      <c r="B137" s="6">
        <f>LAI!C101</f>
        <v>0</v>
      </c>
      <c r="C137" s="8" t="s">
        <v>536</v>
      </c>
      <c r="D137" s="7"/>
      <c r="E137" s="7"/>
    </row>
    <row r="138" spans="1:5" x14ac:dyDescent="0.45">
      <c r="A138" s="6" t="s">
        <v>537</v>
      </c>
      <c r="B138" s="6">
        <f>LAI!C102</f>
        <v>0</v>
      </c>
      <c r="C138" s="8" t="s">
        <v>536</v>
      </c>
      <c r="D138" s="7"/>
      <c r="E138" s="7"/>
    </row>
    <row r="139" spans="1:5" x14ac:dyDescent="0.45">
      <c r="A139" s="6" t="s">
        <v>538</v>
      </c>
      <c r="B139" s="6">
        <f>LAI!C103</f>
        <v>0</v>
      </c>
      <c r="C139" s="8" t="s">
        <v>536</v>
      </c>
      <c r="D139" s="7"/>
      <c r="E139" s="7"/>
    </row>
    <row r="140" spans="1:5" x14ac:dyDescent="0.45">
      <c r="A140" s="6" t="s">
        <v>539</v>
      </c>
      <c r="B140" s="6">
        <f>LAI!C104</f>
        <v>0</v>
      </c>
      <c r="C140" s="8" t="s">
        <v>536</v>
      </c>
      <c r="D140" s="7"/>
      <c r="E140" s="7"/>
    </row>
    <row r="141" spans="1:5" x14ac:dyDescent="0.45">
      <c r="A141" s="6" t="s">
        <v>540</v>
      </c>
      <c r="B141" s="6">
        <f>LAI!C105</f>
        <v>0</v>
      </c>
      <c r="C141" s="8" t="s">
        <v>536</v>
      </c>
      <c r="D141" s="7"/>
      <c r="E141" s="7"/>
    </row>
    <row r="142" spans="1:5" x14ac:dyDescent="0.45">
      <c r="A142" s="6" t="s">
        <v>541</v>
      </c>
      <c r="B142" s="6">
        <f>LAI!C106</f>
        <v>0</v>
      </c>
      <c r="C142" s="8" t="s">
        <v>536</v>
      </c>
      <c r="D142" s="7"/>
      <c r="E142" s="7"/>
    </row>
    <row r="143" spans="1:5" x14ac:dyDescent="0.45">
      <c r="A143" s="6" t="s">
        <v>542</v>
      </c>
      <c r="B143" s="6">
        <f>LAI!C107</f>
        <v>0</v>
      </c>
      <c r="C143" s="8" t="s">
        <v>536</v>
      </c>
      <c r="D143" s="7"/>
      <c r="E143" s="7"/>
    </row>
    <row r="144" spans="1:5" x14ac:dyDescent="0.45">
      <c r="A144" s="6" t="s">
        <v>543</v>
      </c>
      <c r="B144" s="6">
        <f>LAI!C108</f>
        <v>0</v>
      </c>
      <c r="C144" s="8" t="s">
        <v>536</v>
      </c>
      <c r="D144" s="7"/>
      <c r="E144" s="7"/>
    </row>
    <row r="145" spans="1:5" x14ac:dyDescent="0.45">
      <c r="A145" s="6" t="s">
        <v>544</v>
      </c>
      <c r="B145" s="6">
        <f>LAI!C109</f>
        <v>0</v>
      </c>
      <c r="C145" s="8" t="s">
        <v>536</v>
      </c>
      <c r="D145" s="7"/>
      <c r="E145" s="7"/>
    </row>
    <row r="146" spans="1:5" x14ac:dyDescent="0.45">
      <c r="A146" s="6" t="s">
        <v>545</v>
      </c>
      <c r="B146" s="6">
        <f>LAI!C110</f>
        <v>0</v>
      </c>
      <c r="C146" s="8" t="s">
        <v>536</v>
      </c>
      <c r="D146" s="7"/>
      <c r="E146" s="7"/>
    </row>
    <row r="147" spans="1:5" x14ac:dyDescent="0.45">
      <c r="A147" s="6" t="s">
        <v>546</v>
      </c>
      <c r="B147" s="6">
        <f>LAI!C111</f>
        <v>0</v>
      </c>
      <c r="C147" s="8" t="s">
        <v>536</v>
      </c>
      <c r="D147" s="7"/>
      <c r="E147" s="7"/>
    </row>
    <row r="148" spans="1:5" x14ac:dyDescent="0.45">
      <c r="A148" s="6" t="s">
        <v>547</v>
      </c>
      <c r="B148" s="6">
        <f>LAI!C112</f>
        <v>0</v>
      </c>
      <c r="C148" s="8" t="s">
        <v>536</v>
      </c>
      <c r="D148" s="7"/>
      <c r="E148" s="7"/>
    </row>
    <row r="149" spans="1:5" x14ac:dyDescent="0.45">
      <c r="A149" s="6" t="s">
        <v>548</v>
      </c>
      <c r="B149" s="6">
        <f>LAI!C113</f>
        <v>0</v>
      </c>
      <c r="C149" s="8" t="s">
        <v>536</v>
      </c>
      <c r="D149" s="7"/>
      <c r="E149" s="7"/>
    </row>
    <row r="150" spans="1:5" x14ac:dyDescent="0.45">
      <c r="A150" s="6" t="s">
        <v>549</v>
      </c>
      <c r="B150" s="6">
        <f>LAI!C114</f>
        <v>0</v>
      </c>
      <c r="C150" s="8" t="s">
        <v>536</v>
      </c>
      <c r="D150" s="7"/>
      <c r="E150" s="7"/>
    </row>
    <row r="151" spans="1:5" x14ac:dyDescent="0.45">
      <c r="A151" s="6" t="s">
        <v>550</v>
      </c>
      <c r="B151" s="6">
        <f>LAI!C115</f>
        <v>0</v>
      </c>
      <c r="C151" s="8" t="s">
        <v>536</v>
      </c>
      <c r="D151" s="7"/>
      <c r="E151" s="7"/>
    </row>
    <row r="152" spans="1:5" x14ac:dyDescent="0.45">
      <c r="A152" s="6" t="s">
        <v>551</v>
      </c>
      <c r="B152" s="6">
        <f>LAI!C116</f>
        <v>0</v>
      </c>
      <c r="C152" s="8" t="s">
        <v>536</v>
      </c>
      <c r="D152" s="7"/>
      <c r="E152" s="7"/>
    </row>
    <row r="153" spans="1:5" s="1" customFormat="1" x14ac:dyDescent="0.45">
      <c r="A153" s="6" t="s">
        <v>552</v>
      </c>
      <c r="B153" s="6">
        <f>LAI!C117</f>
        <v>0</v>
      </c>
      <c r="C153" s="8" t="s">
        <v>536</v>
      </c>
      <c r="D153" s="7"/>
      <c r="E153" s="7"/>
    </row>
    <row r="154" spans="1:5" s="1" customFormat="1" x14ac:dyDescent="0.45">
      <c r="A154" s="6" t="s">
        <v>553</v>
      </c>
      <c r="B154" s="6">
        <f>LAI!C118</f>
        <v>0</v>
      </c>
      <c r="C154" s="8" t="s">
        <v>536</v>
      </c>
      <c r="D154" s="7"/>
      <c r="E154" s="7"/>
    </row>
    <row r="155" spans="1:5" s="1" customFormat="1" x14ac:dyDescent="0.45">
      <c r="A155" s="6" t="s">
        <v>554</v>
      </c>
      <c r="B155" s="6">
        <f>LAI!F101</f>
        <v>0</v>
      </c>
      <c r="C155" s="8" t="s">
        <v>536</v>
      </c>
      <c r="D155" s="7"/>
      <c r="E155" s="7"/>
    </row>
    <row r="156" spans="1:5" s="1" customFormat="1" x14ac:dyDescent="0.45">
      <c r="A156" s="6" t="s">
        <v>555</v>
      </c>
      <c r="B156" s="6">
        <f>LAI!F102</f>
        <v>0</v>
      </c>
      <c r="C156" s="8" t="s">
        <v>536</v>
      </c>
      <c r="D156" s="7"/>
      <c r="E156" s="7"/>
    </row>
    <row r="157" spans="1:5" s="1" customFormat="1" x14ac:dyDescent="0.45">
      <c r="A157" s="6" t="s">
        <v>556</v>
      </c>
      <c r="B157" s="6">
        <f>LAI!F103</f>
        <v>0</v>
      </c>
      <c r="C157" s="8" t="s">
        <v>536</v>
      </c>
      <c r="D157" s="7"/>
      <c r="E157" s="7"/>
    </row>
    <row r="158" spans="1:5" s="1" customFormat="1" x14ac:dyDescent="0.45">
      <c r="A158" s="6" t="s">
        <v>557</v>
      </c>
      <c r="B158" s="6">
        <f>LAI!F104</f>
        <v>0</v>
      </c>
      <c r="C158" s="8" t="s">
        <v>536</v>
      </c>
      <c r="D158" s="7"/>
      <c r="E158" s="7"/>
    </row>
    <row r="159" spans="1:5" s="1" customFormat="1" x14ac:dyDescent="0.45">
      <c r="A159" s="6" t="s">
        <v>558</v>
      </c>
      <c r="B159" s="6">
        <f>LAI!F105</f>
        <v>0</v>
      </c>
      <c r="C159" s="8" t="s">
        <v>536</v>
      </c>
      <c r="D159" s="7"/>
      <c r="E159" s="7"/>
    </row>
    <row r="160" spans="1:5" s="1" customFormat="1" x14ac:dyDescent="0.45">
      <c r="A160" s="6" t="s">
        <v>559</v>
      </c>
      <c r="B160" s="6">
        <f>LAI!F106</f>
        <v>0</v>
      </c>
      <c r="C160" s="8" t="s">
        <v>536</v>
      </c>
      <c r="D160" s="7"/>
      <c r="E160" s="7"/>
    </row>
    <row r="161" spans="1:5" s="1" customFormat="1" x14ac:dyDescent="0.45">
      <c r="A161" s="6" t="s">
        <v>560</v>
      </c>
      <c r="B161" s="6">
        <f>LAI!F107</f>
        <v>0</v>
      </c>
      <c r="C161" s="8" t="s">
        <v>536</v>
      </c>
      <c r="D161" s="7"/>
      <c r="E161" s="7"/>
    </row>
    <row r="162" spans="1:5" s="1" customFormat="1" x14ac:dyDescent="0.45">
      <c r="A162" s="6" t="s">
        <v>561</v>
      </c>
      <c r="B162" s="6">
        <f>LAI!F108</f>
        <v>0</v>
      </c>
      <c r="C162" s="8" t="s">
        <v>536</v>
      </c>
      <c r="D162" s="7"/>
      <c r="E162" s="7"/>
    </row>
    <row r="163" spans="1:5" s="1" customFormat="1" x14ac:dyDescent="0.45">
      <c r="A163" s="6" t="s">
        <v>562</v>
      </c>
      <c r="B163" s="6">
        <f>LAI!F109</f>
        <v>0</v>
      </c>
      <c r="C163" s="8" t="s">
        <v>536</v>
      </c>
      <c r="D163" s="7"/>
      <c r="E163" s="7"/>
    </row>
    <row r="164" spans="1:5" s="1" customFormat="1" x14ac:dyDescent="0.45">
      <c r="A164" s="6" t="s">
        <v>563</v>
      </c>
      <c r="B164" s="6">
        <f>LAI!F110</f>
        <v>0</v>
      </c>
      <c r="C164" s="8" t="s">
        <v>536</v>
      </c>
      <c r="D164" s="7"/>
      <c r="E164" s="7"/>
    </row>
    <row r="165" spans="1:5" s="1" customFormat="1" x14ac:dyDescent="0.45">
      <c r="A165" s="6" t="s">
        <v>564</v>
      </c>
      <c r="B165" s="6">
        <f>LAI!F111</f>
        <v>0</v>
      </c>
      <c r="C165" s="8" t="s">
        <v>536</v>
      </c>
      <c r="D165" s="7"/>
      <c r="E165" s="7"/>
    </row>
    <row r="166" spans="1:5" s="1" customFormat="1" x14ac:dyDescent="0.45">
      <c r="A166" s="6" t="s">
        <v>565</v>
      </c>
      <c r="B166" s="6">
        <f>LAI!F112</f>
        <v>0</v>
      </c>
      <c r="C166" s="8" t="s">
        <v>536</v>
      </c>
      <c r="D166" s="7"/>
      <c r="E166" s="7"/>
    </row>
    <row r="167" spans="1:5" s="1" customFormat="1" x14ac:dyDescent="0.45">
      <c r="A167" s="6" t="s">
        <v>566</v>
      </c>
      <c r="B167" s="6">
        <f>LAI!F113</f>
        <v>0</v>
      </c>
      <c r="C167" s="8" t="s">
        <v>536</v>
      </c>
      <c r="D167" s="7"/>
      <c r="E167" s="7"/>
    </row>
    <row r="168" spans="1:5" s="1" customFormat="1" x14ac:dyDescent="0.45">
      <c r="A168" s="6" t="s">
        <v>567</v>
      </c>
      <c r="B168" s="6">
        <f>LAI!F114</f>
        <v>0</v>
      </c>
      <c r="C168" s="8" t="s">
        <v>536</v>
      </c>
      <c r="D168" s="7"/>
      <c r="E168" s="7"/>
    </row>
    <row r="169" spans="1:5" s="1" customFormat="1" x14ac:dyDescent="0.45">
      <c r="A169" s="6" t="s">
        <v>568</v>
      </c>
      <c r="B169" s="6">
        <f>LAI!F115</f>
        <v>0</v>
      </c>
      <c r="C169" s="8" t="s">
        <v>536</v>
      </c>
      <c r="D169" s="7"/>
      <c r="E169" s="7"/>
    </row>
    <row r="170" spans="1:5" s="1" customFormat="1" x14ac:dyDescent="0.45">
      <c r="A170" s="6" t="s">
        <v>569</v>
      </c>
      <c r="B170" s="6">
        <f>LAI!F116</f>
        <v>0</v>
      </c>
      <c r="C170" s="8" t="s">
        <v>536</v>
      </c>
      <c r="D170" s="7"/>
      <c r="E170" s="7"/>
    </row>
    <row r="171" spans="1:5" s="1" customFormat="1" x14ac:dyDescent="0.45">
      <c r="A171" s="6" t="s">
        <v>570</v>
      </c>
      <c r="B171" s="6">
        <f>LAI!I101</f>
        <v>0</v>
      </c>
      <c r="C171" s="8" t="s">
        <v>536</v>
      </c>
      <c r="D171" s="7"/>
      <c r="E171" s="7"/>
    </row>
    <row r="172" spans="1:5" s="1" customFormat="1" x14ac:dyDescent="0.45">
      <c r="A172" s="6" t="s">
        <v>571</v>
      </c>
      <c r="B172" s="6">
        <f>LAI!I102</f>
        <v>0</v>
      </c>
      <c r="C172" s="8" t="s">
        <v>536</v>
      </c>
      <c r="D172" s="7"/>
      <c r="E172" s="7"/>
    </row>
    <row r="173" spans="1:5" x14ac:dyDescent="0.45">
      <c r="A173" s="6" t="s">
        <v>572</v>
      </c>
      <c r="B173" s="6">
        <f>LAI!I103</f>
        <v>0</v>
      </c>
      <c r="C173" s="8" t="s">
        <v>536</v>
      </c>
      <c r="D173" s="7"/>
      <c r="E173" s="7"/>
    </row>
    <row r="174" spans="1:5" x14ac:dyDescent="0.45">
      <c r="A174" s="6" t="s">
        <v>573</v>
      </c>
      <c r="B174" s="6">
        <f>LAI!I104</f>
        <v>0</v>
      </c>
      <c r="C174" s="8" t="s">
        <v>536</v>
      </c>
      <c r="D174" s="7"/>
      <c r="E174" s="7"/>
    </row>
    <row r="175" spans="1:5" x14ac:dyDescent="0.45">
      <c r="A175" s="6" t="s">
        <v>574</v>
      </c>
      <c r="B175" s="6">
        <f>LAI!I105</f>
        <v>0</v>
      </c>
      <c r="C175" s="8" t="s">
        <v>536</v>
      </c>
      <c r="D175" s="7"/>
      <c r="E175" s="7"/>
    </row>
    <row r="176" spans="1:5" x14ac:dyDescent="0.45">
      <c r="A176" s="6" t="s">
        <v>575</v>
      </c>
      <c r="B176" s="6">
        <f>LAI!I106</f>
        <v>0</v>
      </c>
      <c r="C176" s="8" t="s">
        <v>536</v>
      </c>
      <c r="D176" s="7"/>
      <c r="E176" s="7"/>
    </row>
    <row r="177" spans="1:5" x14ac:dyDescent="0.45">
      <c r="A177" s="6" t="s">
        <v>576</v>
      </c>
      <c r="B177" s="6">
        <f>LAI!I107</f>
        <v>0</v>
      </c>
      <c r="C177" s="8" t="s">
        <v>536</v>
      </c>
      <c r="D177" s="7"/>
      <c r="E177" s="7"/>
    </row>
    <row r="178" spans="1:5" x14ac:dyDescent="0.45">
      <c r="A178" s="6" t="s">
        <v>577</v>
      </c>
      <c r="B178" s="6">
        <f>LAI!I108</f>
        <v>0</v>
      </c>
      <c r="C178" s="8" t="s">
        <v>536</v>
      </c>
      <c r="D178" s="7"/>
      <c r="E178" s="7"/>
    </row>
    <row r="179" spans="1:5" x14ac:dyDescent="0.45">
      <c r="A179" s="6" t="s">
        <v>578</v>
      </c>
      <c r="B179" s="6">
        <f>LAI!I109</f>
        <v>0</v>
      </c>
      <c r="C179" s="8" t="s">
        <v>536</v>
      </c>
      <c r="D179" s="7"/>
      <c r="E179" s="7"/>
    </row>
    <row r="180" spans="1:5" x14ac:dyDescent="0.45">
      <c r="A180" s="6" t="s">
        <v>579</v>
      </c>
      <c r="B180" s="6">
        <f>LAI!I110</f>
        <v>0</v>
      </c>
      <c r="C180" s="8" t="s">
        <v>536</v>
      </c>
      <c r="D180" s="7"/>
      <c r="E180" s="7"/>
    </row>
    <row r="181" spans="1:5" x14ac:dyDescent="0.45">
      <c r="A181" s="6" t="s">
        <v>580</v>
      </c>
      <c r="B181" s="6">
        <f>LAI!I111</f>
        <v>0</v>
      </c>
      <c r="C181" s="8" t="s">
        <v>536</v>
      </c>
      <c r="D181" s="7"/>
      <c r="E181" s="7"/>
    </row>
    <row r="182" spans="1:5" x14ac:dyDescent="0.45">
      <c r="A182" s="6" t="s">
        <v>581</v>
      </c>
      <c r="B182" s="6">
        <f>LAI!I112</f>
        <v>0</v>
      </c>
      <c r="C182" s="8" t="s">
        <v>536</v>
      </c>
      <c r="D182" s="7"/>
      <c r="E182" s="7"/>
    </row>
    <row r="183" spans="1:5" x14ac:dyDescent="0.45">
      <c r="A183" s="6" t="s">
        <v>582</v>
      </c>
      <c r="B183" s="6">
        <f>LAI!I113</f>
        <v>0</v>
      </c>
      <c r="C183" s="8" t="s">
        <v>536</v>
      </c>
      <c r="D183" s="7"/>
      <c r="E183" s="7"/>
    </row>
    <row r="184" spans="1:5" x14ac:dyDescent="0.45">
      <c r="A184" s="6" t="s">
        <v>583</v>
      </c>
      <c r="B184" s="6">
        <f>LAI!I114</f>
        <v>0</v>
      </c>
      <c r="C184" s="8" t="s">
        <v>536</v>
      </c>
      <c r="D184" s="7"/>
      <c r="E184" s="7"/>
    </row>
    <row r="185" spans="1:5" x14ac:dyDescent="0.45">
      <c r="A185" s="6" t="s">
        <v>584</v>
      </c>
      <c r="B185" s="6">
        <f>LAI!L101</f>
        <v>0</v>
      </c>
      <c r="C185" s="8" t="s">
        <v>536</v>
      </c>
      <c r="D185" s="7"/>
      <c r="E185" s="7"/>
    </row>
    <row r="186" spans="1:5" x14ac:dyDescent="0.45">
      <c r="A186" s="6" t="s">
        <v>585</v>
      </c>
      <c r="B186" s="6">
        <f>LAI!L102</f>
        <v>0</v>
      </c>
      <c r="C186" s="8" t="s">
        <v>536</v>
      </c>
      <c r="D186" s="7"/>
      <c r="E186" s="7"/>
    </row>
    <row r="187" spans="1:5" x14ac:dyDescent="0.45">
      <c r="A187" s="6" t="s">
        <v>586</v>
      </c>
      <c r="B187" s="6">
        <f>LAI!L103</f>
        <v>0</v>
      </c>
      <c r="C187" s="8" t="s">
        <v>536</v>
      </c>
      <c r="D187" s="7"/>
      <c r="E187" s="7"/>
    </row>
    <row r="188" spans="1:5" x14ac:dyDescent="0.45">
      <c r="A188" s="6" t="s">
        <v>587</v>
      </c>
      <c r="B188" s="6">
        <f>LAI!L104</f>
        <v>0</v>
      </c>
      <c r="C188" s="8" t="s">
        <v>536</v>
      </c>
      <c r="D188" s="7"/>
      <c r="E188" s="7"/>
    </row>
    <row r="189" spans="1:5" x14ac:dyDescent="0.45">
      <c r="A189" s="6" t="s">
        <v>588</v>
      </c>
      <c r="B189" s="6">
        <f>LAI!L105</f>
        <v>0</v>
      </c>
      <c r="C189" s="8" t="s">
        <v>536</v>
      </c>
      <c r="D189" s="7"/>
      <c r="E189" s="7"/>
    </row>
    <row r="190" spans="1:5" x14ac:dyDescent="0.45">
      <c r="A190" s="6" t="s">
        <v>589</v>
      </c>
      <c r="B190" s="6">
        <f>LAI!L106</f>
        <v>0</v>
      </c>
      <c r="C190" s="8" t="s">
        <v>536</v>
      </c>
      <c r="D190" s="7"/>
      <c r="E190" s="7"/>
    </row>
    <row r="191" spans="1:5" x14ac:dyDescent="0.45">
      <c r="A191" s="6" t="s">
        <v>590</v>
      </c>
      <c r="B191" s="6">
        <f>LAI!L107</f>
        <v>0</v>
      </c>
      <c r="C191" s="8" t="s">
        <v>536</v>
      </c>
      <c r="D191" s="7"/>
      <c r="E191" s="7"/>
    </row>
    <row r="192" spans="1:5" x14ac:dyDescent="0.45">
      <c r="A192" s="6" t="s">
        <v>591</v>
      </c>
      <c r="B192" s="6">
        <f>LAI!L108</f>
        <v>0</v>
      </c>
      <c r="C192" s="8" t="s">
        <v>536</v>
      </c>
      <c r="D192" s="7"/>
      <c r="E192" s="7"/>
    </row>
    <row r="193" spans="1:5" x14ac:dyDescent="0.45">
      <c r="A193" s="6" t="s">
        <v>592</v>
      </c>
      <c r="B193" s="6">
        <f>LAI!L109</f>
        <v>0</v>
      </c>
      <c r="C193" s="8" t="s">
        <v>536</v>
      </c>
      <c r="D193" s="7"/>
      <c r="E193" s="7"/>
    </row>
    <row r="194" spans="1:5" x14ac:dyDescent="0.45">
      <c r="A194" s="6" t="s">
        <v>593</v>
      </c>
      <c r="B194" s="6">
        <f>LAI!L110</f>
        <v>0</v>
      </c>
      <c r="C194" s="8" t="s">
        <v>536</v>
      </c>
      <c r="D194" s="7"/>
      <c r="E194" s="7"/>
    </row>
    <row r="195" spans="1:5" x14ac:dyDescent="0.45">
      <c r="A195" s="6" t="s">
        <v>594</v>
      </c>
      <c r="B195" s="6">
        <f>LAI!L111</f>
        <v>0</v>
      </c>
      <c r="C195" s="8" t="s">
        <v>536</v>
      </c>
      <c r="D195" s="7"/>
      <c r="E195" s="7"/>
    </row>
    <row r="196" spans="1:5" x14ac:dyDescent="0.45">
      <c r="A196" s="6" t="s">
        <v>595</v>
      </c>
      <c r="B196" s="6">
        <f>LAI!L112</f>
        <v>0</v>
      </c>
      <c r="C196" s="8" t="s">
        <v>536</v>
      </c>
      <c r="D196" s="7"/>
      <c r="E196" s="7"/>
    </row>
    <row r="197" spans="1:5" x14ac:dyDescent="0.45">
      <c r="A197" s="6" t="s">
        <v>596</v>
      </c>
      <c r="B197" s="6">
        <f>LAI!L113</f>
        <v>0</v>
      </c>
      <c r="C197" s="8" t="s">
        <v>536</v>
      </c>
      <c r="D197" s="7"/>
      <c r="E197" s="7"/>
    </row>
    <row r="198" spans="1:5" x14ac:dyDescent="0.45">
      <c r="A198" s="6" t="s">
        <v>597</v>
      </c>
      <c r="B198" s="6">
        <f>LAI!C123</f>
        <v>0</v>
      </c>
      <c r="C198" s="8" t="s">
        <v>598</v>
      </c>
      <c r="D198" s="7"/>
      <c r="E198" s="7"/>
    </row>
    <row r="199" spans="1:5" x14ac:dyDescent="0.45">
      <c r="A199" s="6" t="s">
        <v>599</v>
      </c>
      <c r="B199" s="6">
        <f>LAI!C124</f>
        <v>0</v>
      </c>
      <c r="C199" s="8" t="s">
        <v>598</v>
      </c>
      <c r="D199" s="7"/>
      <c r="E199" s="7"/>
    </row>
    <row r="200" spans="1:5" x14ac:dyDescent="0.45">
      <c r="A200" s="6" t="s">
        <v>600</v>
      </c>
      <c r="B200" s="6">
        <f>LAI!C125</f>
        <v>0</v>
      </c>
      <c r="C200" s="8" t="s">
        <v>598</v>
      </c>
      <c r="D200" s="7"/>
      <c r="E200" s="7"/>
    </row>
    <row r="201" spans="1:5" x14ac:dyDescent="0.45">
      <c r="A201" s="6" t="s">
        <v>601</v>
      </c>
      <c r="B201" s="6">
        <f>LAI!C126</f>
        <v>0</v>
      </c>
      <c r="C201" s="8" t="s">
        <v>598</v>
      </c>
      <c r="D201" s="7"/>
      <c r="E201" s="7"/>
    </row>
    <row r="202" spans="1:5" x14ac:dyDescent="0.45">
      <c r="A202" s="6" t="s">
        <v>602</v>
      </c>
      <c r="B202" s="6">
        <f>LAI!C127</f>
        <v>0</v>
      </c>
      <c r="C202" s="8" t="s">
        <v>598</v>
      </c>
      <c r="D202" s="7"/>
      <c r="E202" s="7"/>
    </row>
    <row r="203" spans="1:5" x14ac:dyDescent="0.45">
      <c r="A203" s="6" t="s">
        <v>603</v>
      </c>
      <c r="B203" s="6">
        <f>LAI!C128</f>
        <v>0</v>
      </c>
      <c r="C203" s="8" t="s">
        <v>598</v>
      </c>
      <c r="D203" s="7"/>
      <c r="E203" s="7"/>
    </row>
    <row r="204" spans="1:5" x14ac:dyDescent="0.45">
      <c r="A204" s="6" t="s">
        <v>604</v>
      </c>
      <c r="B204" s="6">
        <f>LAI!G123</f>
        <v>0</v>
      </c>
      <c r="C204" s="8" t="s">
        <v>598</v>
      </c>
      <c r="D204" s="7"/>
      <c r="E204" s="7"/>
    </row>
    <row r="205" spans="1:5" x14ac:dyDescent="0.45">
      <c r="A205" s="6" t="s">
        <v>605</v>
      </c>
      <c r="B205" s="6">
        <f>LAI!G124</f>
        <v>0</v>
      </c>
      <c r="C205" s="8" t="s">
        <v>598</v>
      </c>
      <c r="D205" s="7"/>
      <c r="E205" s="7"/>
    </row>
    <row r="206" spans="1:5" x14ac:dyDescent="0.45">
      <c r="A206" s="6" t="s">
        <v>606</v>
      </c>
      <c r="B206" s="6">
        <f>LAI!G125</f>
        <v>0</v>
      </c>
      <c r="C206" s="8" t="s">
        <v>598</v>
      </c>
      <c r="D206" s="7"/>
      <c r="E206" s="7"/>
    </row>
    <row r="207" spans="1:5" x14ac:dyDescent="0.45">
      <c r="A207" s="6" t="s">
        <v>607</v>
      </c>
      <c r="B207" s="6">
        <f>LAI!G126</f>
        <v>0</v>
      </c>
      <c r="C207" s="8" t="s">
        <v>598</v>
      </c>
      <c r="D207" s="7"/>
      <c r="E207" s="7"/>
    </row>
    <row r="208" spans="1:5" x14ac:dyDescent="0.45">
      <c r="A208" s="6" t="s">
        <v>608</v>
      </c>
      <c r="B208" s="6">
        <f>LAI!G127</f>
        <v>0</v>
      </c>
      <c r="C208" s="8" t="s">
        <v>598</v>
      </c>
      <c r="D208" s="7"/>
      <c r="E208" s="7"/>
    </row>
    <row r="209" spans="1:5" x14ac:dyDescent="0.45">
      <c r="A209" s="6" t="s">
        <v>609</v>
      </c>
      <c r="B209" s="6">
        <f>LAI!G128</f>
        <v>0</v>
      </c>
      <c r="C209" s="8" t="s">
        <v>598</v>
      </c>
      <c r="D209" s="7"/>
      <c r="E209" s="7"/>
    </row>
    <row r="210" spans="1:5" x14ac:dyDescent="0.45">
      <c r="A210" s="6" t="s">
        <v>610</v>
      </c>
      <c r="B210" s="6">
        <f>LAI!G129</f>
        <v>0</v>
      </c>
      <c r="C210" s="8" t="s">
        <v>598</v>
      </c>
      <c r="D210" s="7"/>
      <c r="E210" s="7"/>
    </row>
    <row r="211" spans="1:5" x14ac:dyDescent="0.45">
      <c r="A211" s="6" t="s">
        <v>611</v>
      </c>
      <c r="B211" s="6">
        <f>LAI!K123</f>
        <v>0</v>
      </c>
      <c r="C211" s="8" t="s">
        <v>598</v>
      </c>
      <c r="D211" s="7"/>
      <c r="E211" s="7"/>
    </row>
    <row r="212" spans="1:5" x14ac:dyDescent="0.45">
      <c r="A212" s="6" t="s">
        <v>612</v>
      </c>
      <c r="B212" s="6">
        <f>LAI!K124</f>
        <v>0</v>
      </c>
      <c r="C212" s="8" t="s">
        <v>598</v>
      </c>
      <c r="D212" s="7"/>
      <c r="E212" s="7"/>
    </row>
    <row r="213" spans="1:5" x14ac:dyDescent="0.45">
      <c r="A213" s="6" t="s">
        <v>613</v>
      </c>
      <c r="B213" s="6">
        <f>LAI!K125</f>
        <v>0</v>
      </c>
      <c r="C213" s="8" t="s">
        <v>598</v>
      </c>
      <c r="D213" s="7"/>
      <c r="E213" s="7"/>
    </row>
    <row r="214" spans="1:5" x14ac:dyDescent="0.45">
      <c r="A214" s="6" t="s">
        <v>614</v>
      </c>
      <c r="B214" s="6">
        <f>LAI!K126</f>
        <v>0</v>
      </c>
      <c r="C214" s="8" t="s">
        <v>598</v>
      </c>
      <c r="D214" s="7"/>
      <c r="E214" s="7"/>
    </row>
    <row r="215" spans="1:5" x14ac:dyDescent="0.45">
      <c r="A215" s="6" t="s">
        <v>615</v>
      </c>
      <c r="B215" s="6">
        <f>LAI!K127</f>
        <v>0</v>
      </c>
      <c r="C215" s="8" t="s">
        <v>598</v>
      </c>
      <c r="D215" s="7"/>
      <c r="E215" s="7"/>
    </row>
    <row r="216" spans="1:5" x14ac:dyDescent="0.45">
      <c r="A216" s="6" t="s">
        <v>616</v>
      </c>
      <c r="B216" s="6">
        <f>LAI!K128</f>
        <v>0</v>
      </c>
      <c r="C216" s="8" t="s">
        <v>598</v>
      </c>
      <c r="D216" s="7"/>
      <c r="E216" s="7"/>
    </row>
    <row r="217" spans="1:5" x14ac:dyDescent="0.45">
      <c r="A217" s="6" t="s">
        <v>617</v>
      </c>
      <c r="B217" s="6">
        <f>LAI!K129</f>
        <v>0</v>
      </c>
      <c r="C217" s="8" t="s">
        <v>598</v>
      </c>
      <c r="D217" s="7"/>
      <c r="E217" s="7"/>
    </row>
    <row r="218" spans="1:5" x14ac:dyDescent="0.45">
      <c r="A218" s="6" t="s">
        <v>618</v>
      </c>
      <c r="B218" s="6">
        <f>LAI!A135</f>
        <v>0</v>
      </c>
      <c r="C218" s="8" t="s">
        <v>619</v>
      </c>
      <c r="D218" s="7"/>
      <c r="E218" s="7"/>
    </row>
    <row r="219" spans="1:5" x14ac:dyDescent="0.45">
      <c r="A219" s="9" t="s">
        <v>620</v>
      </c>
      <c r="B219" s="9">
        <f>LAI!C135</f>
        <v>0</v>
      </c>
      <c r="C219" s="10" t="s">
        <v>619</v>
      </c>
      <c r="D219" s="7"/>
      <c r="E219" s="7"/>
    </row>
    <row r="220" spans="1:5" x14ac:dyDescent="0.45">
      <c r="A220" s="9" t="s">
        <v>621</v>
      </c>
      <c r="B220" s="9">
        <f>LAI!E135</f>
        <v>0</v>
      </c>
      <c r="C220" s="10" t="s">
        <v>619</v>
      </c>
      <c r="D220" s="7"/>
      <c r="E220" s="7"/>
    </row>
    <row r="221" spans="1:5" x14ac:dyDescent="0.45">
      <c r="A221" s="9" t="s">
        <v>622</v>
      </c>
      <c r="B221" s="9">
        <f>LAI!F135</f>
        <v>0</v>
      </c>
      <c r="C221" s="10" t="s">
        <v>619</v>
      </c>
      <c r="D221" s="7"/>
      <c r="E221" s="7"/>
    </row>
    <row r="222" spans="1:5" x14ac:dyDescent="0.45">
      <c r="A222" s="9" t="s">
        <v>623</v>
      </c>
      <c r="B222" s="9">
        <f>LAI!G135</f>
        <v>0</v>
      </c>
      <c r="C222" s="10" t="s">
        <v>619</v>
      </c>
      <c r="D222" s="7"/>
      <c r="E222" s="7"/>
    </row>
    <row r="223" spans="1:5" x14ac:dyDescent="0.45">
      <c r="A223" s="6" t="s">
        <v>624</v>
      </c>
      <c r="B223" s="6">
        <f>LAI!H135</f>
        <v>0</v>
      </c>
      <c r="C223" s="8" t="s">
        <v>619</v>
      </c>
      <c r="D223" s="7"/>
      <c r="E223" s="7"/>
    </row>
    <row r="224" spans="1:5" x14ac:dyDescent="0.45">
      <c r="A224" s="9" t="s">
        <v>625</v>
      </c>
      <c r="B224" s="9">
        <f>LAI!A142</f>
        <v>0</v>
      </c>
      <c r="C224" s="10" t="s">
        <v>626</v>
      </c>
      <c r="D224" s="7"/>
      <c r="E224" s="7"/>
    </row>
    <row r="225" spans="1:5" x14ac:dyDescent="0.45">
      <c r="A225" s="9" t="s">
        <v>627</v>
      </c>
      <c r="B225" s="9">
        <f>LAI!D142</f>
        <v>0</v>
      </c>
      <c r="C225" s="10" t="s">
        <v>626</v>
      </c>
      <c r="D225" s="7"/>
      <c r="E225" s="7"/>
    </row>
    <row r="226" spans="1:5" x14ac:dyDescent="0.45">
      <c r="A226" s="9" t="s">
        <v>628</v>
      </c>
      <c r="B226" s="9">
        <f>LAI!G142</f>
        <v>0</v>
      </c>
      <c r="C226" s="10" t="s">
        <v>626</v>
      </c>
      <c r="D226" s="7"/>
      <c r="E226" s="7"/>
    </row>
    <row r="227" spans="1:5" x14ac:dyDescent="0.45">
      <c r="A227" s="9" t="s">
        <v>629</v>
      </c>
      <c r="B227" s="9">
        <f t="array" ref="B227:B236">TRANSPOSE(LAI!C149:H149)</f>
        <v>0</v>
      </c>
      <c r="C227" s="10" t="s">
        <v>630</v>
      </c>
      <c r="D227" s="7"/>
      <c r="E227" s="7"/>
    </row>
    <row r="228" spans="1:5" x14ac:dyDescent="0.45">
      <c r="A228" s="9" t="s">
        <v>631</v>
      </c>
      <c r="B228" s="9">
        <v>0</v>
      </c>
      <c r="C228" s="10" t="s">
        <v>630</v>
      </c>
      <c r="D228" s="7"/>
      <c r="E228" s="7"/>
    </row>
    <row r="229" spans="1:5" x14ac:dyDescent="0.45">
      <c r="A229" s="9" t="s">
        <v>632</v>
      </c>
      <c r="B229" s="9">
        <v>0</v>
      </c>
      <c r="C229" s="10" t="s">
        <v>630</v>
      </c>
      <c r="D229" s="7"/>
      <c r="E229" s="7"/>
    </row>
    <row r="230" spans="1:5" x14ac:dyDescent="0.45">
      <c r="A230" s="9" t="s">
        <v>633</v>
      </c>
      <c r="B230" s="9">
        <v>0</v>
      </c>
      <c r="C230" s="10" t="s">
        <v>630</v>
      </c>
      <c r="D230" s="7"/>
      <c r="E230" s="7"/>
    </row>
    <row r="231" spans="1:5" x14ac:dyDescent="0.45">
      <c r="A231" s="9" t="s">
        <v>634</v>
      </c>
      <c r="B231" s="9">
        <v>0</v>
      </c>
      <c r="C231" s="10" t="s">
        <v>630</v>
      </c>
      <c r="D231" s="7"/>
      <c r="E231" s="7"/>
    </row>
    <row r="232" spans="1:5" x14ac:dyDescent="0.45">
      <c r="A232" s="9" t="s">
        <v>635</v>
      </c>
      <c r="B232" s="9">
        <v>0</v>
      </c>
      <c r="C232" s="10" t="s">
        <v>630</v>
      </c>
      <c r="D232" s="7"/>
      <c r="E232" s="7"/>
    </row>
    <row r="233" spans="1:5" x14ac:dyDescent="0.45">
      <c r="A233" s="9" t="s">
        <v>636</v>
      </c>
      <c r="B233" s="9" t="e">
        <v>#N/A</v>
      </c>
      <c r="C233" s="10" t="s">
        <v>630</v>
      </c>
      <c r="D233" s="7"/>
      <c r="E233" s="7"/>
    </row>
    <row r="234" spans="1:5" x14ac:dyDescent="0.45">
      <c r="A234" s="9" t="s">
        <v>637</v>
      </c>
      <c r="B234" s="9" t="e">
        <v>#N/A</v>
      </c>
      <c r="C234" s="10" t="s">
        <v>630</v>
      </c>
      <c r="D234" s="7"/>
      <c r="E234" s="7"/>
    </row>
    <row r="235" spans="1:5" x14ac:dyDescent="0.45">
      <c r="A235" s="9" t="s">
        <v>638</v>
      </c>
      <c r="B235" s="9" t="e">
        <v>#N/A</v>
      </c>
      <c r="C235" s="10" t="s">
        <v>630</v>
      </c>
      <c r="D235" s="7"/>
      <c r="E235" s="7"/>
    </row>
    <row r="236" spans="1:5" x14ac:dyDescent="0.45">
      <c r="A236" s="9" t="s">
        <v>639</v>
      </c>
      <c r="B236" s="9" t="e">
        <v>#N/A</v>
      </c>
      <c r="C236" s="10" t="s">
        <v>630</v>
      </c>
      <c r="D236" s="7"/>
      <c r="E236" s="7"/>
    </row>
    <row r="237" spans="1:5" x14ac:dyDescent="0.45">
      <c r="A237" s="9" t="s">
        <v>640</v>
      </c>
      <c r="B237" s="9">
        <f t="array" ref="B237:B246">TRANSPOSE(LAI!C150:H150)</f>
        <v>0</v>
      </c>
      <c r="C237" s="10" t="s">
        <v>630</v>
      </c>
      <c r="D237" s="7"/>
      <c r="E237" s="7"/>
    </row>
    <row r="238" spans="1:5" x14ac:dyDescent="0.45">
      <c r="A238" s="9" t="s">
        <v>641</v>
      </c>
      <c r="B238" s="9">
        <v>0</v>
      </c>
      <c r="C238" s="10" t="s">
        <v>630</v>
      </c>
      <c r="D238" s="7"/>
      <c r="E238" s="7"/>
    </row>
    <row r="239" spans="1:5" s="1" customFormat="1" x14ac:dyDescent="0.45">
      <c r="A239" s="9" t="s">
        <v>642</v>
      </c>
      <c r="B239" s="9">
        <v>0</v>
      </c>
      <c r="C239" s="10" t="s">
        <v>630</v>
      </c>
      <c r="D239" s="7"/>
      <c r="E239" s="7"/>
    </row>
    <row r="240" spans="1:5" s="1" customFormat="1" x14ac:dyDescent="0.45">
      <c r="A240" s="9" t="s">
        <v>643</v>
      </c>
      <c r="B240" s="9">
        <v>0</v>
      </c>
      <c r="C240" s="10" t="s">
        <v>630</v>
      </c>
      <c r="D240" s="7"/>
      <c r="E240" s="7"/>
    </row>
    <row r="241" spans="1:5" s="1" customFormat="1" x14ac:dyDescent="0.45">
      <c r="A241" s="9" t="s">
        <v>644</v>
      </c>
      <c r="B241" s="9">
        <v>0</v>
      </c>
      <c r="C241" s="10" t="s">
        <v>630</v>
      </c>
      <c r="D241" s="7"/>
      <c r="E241" s="7"/>
    </row>
    <row r="242" spans="1:5" s="1" customFormat="1" x14ac:dyDescent="0.45">
      <c r="A242" s="9" t="s">
        <v>645</v>
      </c>
      <c r="B242" s="9">
        <v>0</v>
      </c>
      <c r="C242" s="10" t="s">
        <v>630</v>
      </c>
      <c r="D242" s="7"/>
      <c r="E242" s="7"/>
    </row>
    <row r="243" spans="1:5" s="1" customFormat="1" x14ac:dyDescent="0.45">
      <c r="A243" s="9" t="s">
        <v>646</v>
      </c>
      <c r="B243" s="9" t="e">
        <v>#N/A</v>
      </c>
      <c r="C243" s="10" t="s">
        <v>630</v>
      </c>
      <c r="D243" s="7"/>
      <c r="E243" s="7"/>
    </row>
    <row r="244" spans="1:5" s="1" customFormat="1" x14ac:dyDescent="0.45">
      <c r="A244" s="9" t="s">
        <v>647</v>
      </c>
      <c r="B244" s="9" t="e">
        <v>#N/A</v>
      </c>
      <c r="C244" s="10" t="s">
        <v>630</v>
      </c>
      <c r="D244" s="7"/>
      <c r="E244" s="7"/>
    </row>
    <row r="245" spans="1:5" s="1" customFormat="1" x14ac:dyDescent="0.45">
      <c r="A245" s="9" t="s">
        <v>648</v>
      </c>
      <c r="B245" s="9" t="e">
        <v>#N/A</v>
      </c>
      <c r="C245" s="10" t="s">
        <v>630</v>
      </c>
      <c r="D245" s="7"/>
      <c r="E245" s="7"/>
    </row>
    <row r="246" spans="1:5" s="1" customFormat="1" x14ac:dyDescent="0.45">
      <c r="A246" s="9" t="s">
        <v>649</v>
      </c>
      <c r="B246" s="9" t="e">
        <v>#N/A</v>
      </c>
      <c r="C246" s="10" t="s">
        <v>630</v>
      </c>
      <c r="D246" s="7"/>
      <c r="E246" s="7"/>
    </row>
    <row r="247" spans="1:5" s="1" customFormat="1" x14ac:dyDescent="0.45">
      <c r="A247" s="9" t="s">
        <v>650</v>
      </c>
      <c r="B247" s="9">
        <f t="array" ref="B247:B256">TRANSPOSE(LAI!C151:H151)</f>
        <v>0</v>
      </c>
      <c r="C247" s="10" t="s">
        <v>630</v>
      </c>
      <c r="D247" s="7"/>
      <c r="E247" s="7"/>
    </row>
    <row r="248" spans="1:5" s="1" customFormat="1" x14ac:dyDescent="0.45">
      <c r="A248" s="9" t="s">
        <v>651</v>
      </c>
      <c r="B248" s="9">
        <v>0</v>
      </c>
      <c r="C248" s="10" t="s">
        <v>630</v>
      </c>
      <c r="D248" s="7"/>
      <c r="E248" s="7"/>
    </row>
    <row r="249" spans="1:5" s="1" customFormat="1" x14ac:dyDescent="0.45">
      <c r="A249" s="9" t="s">
        <v>652</v>
      </c>
      <c r="B249" s="9">
        <v>0</v>
      </c>
      <c r="C249" s="10" t="s">
        <v>630</v>
      </c>
      <c r="D249" s="7"/>
      <c r="E249" s="7"/>
    </row>
    <row r="250" spans="1:5" s="1" customFormat="1" x14ac:dyDescent="0.45">
      <c r="A250" s="9" t="s">
        <v>653</v>
      </c>
      <c r="B250" s="9">
        <v>0</v>
      </c>
      <c r="C250" s="10" t="s">
        <v>630</v>
      </c>
      <c r="D250" s="7"/>
      <c r="E250" s="7"/>
    </row>
    <row r="251" spans="1:5" s="1" customFormat="1" x14ac:dyDescent="0.45">
      <c r="A251" s="9" t="s">
        <v>654</v>
      </c>
      <c r="B251" s="9">
        <v>0</v>
      </c>
      <c r="C251" s="10" t="s">
        <v>630</v>
      </c>
      <c r="D251" s="7"/>
      <c r="E251" s="7"/>
    </row>
    <row r="252" spans="1:5" s="1" customFormat="1" x14ac:dyDescent="0.45">
      <c r="A252" s="9" t="s">
        <v>655</v>
      </c>
      <c r="B252" s="9">
        <v>0</v>
      </c>
      <c r="C252" s="10" t="s">
        <v>630</v>
      </c>
      <c r="D252" s="7"/>
      <c r="E252" s="7"/>
    </row>
    <row r="253" spans="1:5" s="1" customFormat="1" x14ac:dyDescent="0.45">
      <c r="A253" s="9" t="s">
        <v>656</v>
      </c>
      <c r="B253" s="9" t="e">
        <v>#N/A</v>
      </c>
      <c r="C253" s="10" t="s">
        <v>630</v>
      </c>
      <c r="D253" s="7"/>
      <c r="E253" s="7"/>
    </row>
    <row r="254" spans="1:5" s="1" customFormat="1" x14ac:dyDescent="0.45">
      <c r="A254" s="9" t="s">
        <v>657</v>
      </c>
      <c r="B254" s="9" t="e">
        <v>#N/A</v>
      </c>
      <c r="C254" s="10" t="s">
        <v>630</v>
      </c>
      <c r="D254" s="7"/>
      <c r="E254" s="7"/>
    </row>
    <row r="255" spans="1:5" s="1" customFormat="1" x14ac:dyDescent="0.45">
      <c r="A255" s="9" t="s">
        <v>658</v>
      </c>
      <c r="B255" s="9" t="e">
        <v>#N/A</v>
      </c>
      <c r="C255" s="10" t="s">
        <v>630</v>
      </c>
      <c r="D255" s="7"/>
      <c r="E255" s="7"/>
    </row>
    <row r="256" spans="1:5" s="1" customFormat="1" x14ac:dyDescent="0.45">
      <c r="A256" s="9" t="s">
        <v>659</v>
      </c>
      <c r="B256" s="9" t="e">
        <v>#N/A</v>
      </c>
      <c r="C256" s="10" t="s">
        <v>630</v>
      </c>
      <c r="D256" s="7"/>
      <c r="E256" s="7"/>
    </row>
    <row r="257" spans="1:5" s="1" customFormat="1" x14ac:dyDescent="0.45">
      <c r="A257" s="9" t="s">
        <v>660</v>
      </c>
      <c r="B257" s="9">
        <f t="array" ref="B257:B266">TRANSPOSE(LAI!C152:H152)</f>
        <v>0</v>
      </c>
      <c r="C257" s="10" t="s">
        <v>630</v>
      </c>
      <c r="D257" s="7"/>
      <c r="E257" s="7"/>
    </row>
    <row r="258" spans="1:5" s="1" customFormat="1" x14ac:dyDescent="0.45">
      <c r="A258" s="9" t="s">
        <v>661</v>
      </c>
      <c r="B258" s="9">
        <v>0</v>
      </c>
      <c r="C258" s="10" t="s">
        <v>630</v>
      </c>
      <c r="D258" s="7"/>
      <c r="E258" s="7"/>
    </row>
    <row r="259" spans="1:5" s="1" customFormat="1" x14ac:dyDescent="0.45">
      <c r="A259" s="9" t="s">
        <v>662</v>
      </c>
      <c r="B259" s="9">
        <v>0</v>
      </c>
      <c r="C259" s="10" t="s">
        <v>630</v>
      </c>
      <c r="D259" s="7"/>
      <c r="E259" s="7"/>
    </row>
    <row r="260" spans="1:5" s="1" customFormat="1" x14ac:dyDescent="0.45">
      <c r="A260" s="9" t="s">
        <v>663</v>
      </c>
      <c r="B260" s="9">
        <v>0</v>
      </c>
      <c r="C260" s="10" t="s">
        <v>630</v>
      </c>
      <c r="D260" s="7"/>
      <c r="E260" s="7"/>
    </row>
    <row r="261" spans="1:5" s="1" customFormat="1" x14ac:dyDescent="0.45">
      <c r="A261" s="9" t="s">
        <v>664</v>
      </c>
      <c r="B261" s="9">
        <v>0</v>
      </c>
      <c r="C261" s="10" t="s">
        <v>630</v>
      </c>
      <c r="D261" s="7"/>
      <c r="E261" s="7"/>
    </row>
    <row r="262" spans="1:5" s="1" customFormat="1" x14ac:dyDescent="0.45">
      <c r="A262" s="9" t="s">
        <v>665</v>
      </c>
      <c r="B262" s="9">
        <v>0</v>
      </c>
      <c r="C262" s="10" t="s">
        <v>630</v>
      </c>
      <c r="D262" s="7"/>
      <c r="E262" s="7"/>
    </row>
    <row r="263" spans="1:5" s="1" customFormat="1" x14ac:dyDescent="0.45">
      <c r="A263" s="9" t="s">
        <v>666</v>
      </c>
      <c r="B263" s="9" t="e">
        <v>#N/A</v>
      </c>
      <c r="C263" s="10" t="s">
        <v>630</v>
      </c>
      <c r="D263" s="7"/>
      <c r="E263" s="7"/>
    </row>
    <row r="264" spans="1:5" s="1" customFormat="1" x14ac:dyDescent="0.45">
      <c r="A264" s="9" t="s">
        <v>667</v>
      </c>
      <c r="B264" s="9" t="e">
        <v>#N/A</v>
      </c>
      <c r="C264" s="10" t="s">
        <v>630</v>
      </c>
      <c r="D264" s="7"/>
      <c r="E264" s="7"/>
    </row>
    <row r="265" spans="1:5" x14ac:dyDescent="0.45">
      <c r="A265" s="9" t="s">
        <v>668</v>
      </c>
      <c r="B265" s="9" t="e">
        <v>#N/A</v>
      </c>
      <c r="C265" s="10" t="s">
        <v>630</v>
      </c>
      <c r="D265" s="7"/>
      <c r="E265" s="7"/>
    </row>
    <row r="266" spans="1:5" x14ac:dyDescent="0.45">
      <c r="A266" s="9" t="s">
        <v>669</v>
      </c>
      <c r="B266" s="9" t="e">
        <v>#N/A</v>
      </c>
      <c r="C266" s="10" t="s">
        <v>630</v>
      </c>
      <c r="D266" s="7"/>
      <c r="E266" s="7"/>
    </row>
    <row r="267" spans="1:5" x14ac:dyDescent="0.45">
      <c r="A267" s="9" t="s">
        <v>670</v>
      </c>
      <c r="B267" s="9">
        <f t="array" ref="B267:B276">TRANSPOSE(LAI!C153:H153)</f>
        <v>0</v>
      </c>
      <c r="C267" s="10" t="s">
        <v>630</v>
      </c>
      <c r="D267" s="7"/>
      <c r="E267" s="7"/>
    </row>
    <row r="268" spans="1:5" x14ac:dyDescent="0.45">
      <c r="A268" s="9" t="s">
        <v>671</v>
      </c>
      <c r="B268" s="9">
        <v>0</v>
      </c>
      <c r="C268" s="10" t="s">
        <v>630</v>
      </c>
      <c r="D268" s="7"/>
      <c r="E268" s="7"/>
    </row>
    <row r="269" spans="1:5" x14ac:dyDescent="0.45">
      <c r="A269" s="9" t="s">
        <v>672</v>
      </c>
      <c r="B269" s="9">
        <v>0</v>
      </c>
      <c r="C269" s="10" t="s">
        <v>630</v>
      </c>
      <c r="D269" s="7"/>
      <c r="E269" s="7"/>
    </row>
    <row r="270" spans="1:5" s="1" customFormat="1" x14ac:dyDescent="0.45">
      <c r="A270" s="9" t="s">
        <v>673</v>
      </c>
      <c r="B270" s="9">
        <v>0</v>
      </c>
      <c r="C270" s="10" t="s">
        <v>630</v>
      </c>
      <c r="D270" s="7"/>
      <c r="E270" s="7"/>
    </row>
    <row r="271" spans="1:5" s="1" customFormat="1" x14ac:dyDescent="0.45">
      <c r="A271" s="9" t="s">
        <v>674</v>
      </c>
      <c r="B271" s="9">
        <v>0</v>
      </c>
      <c r="C271" s="10" t="s">
        <v>630</v>
      </c>
      <c r="D271" s="7"/>
      <c r="E271" s="7"/>
    </row>
    <row r="272" spans="1:5" s="1" customFormat="1" x14ac:dyDescent="0.45">
      <c r="A272" s="9" t="s">
        <v>675</v>
      </c>
      <c r="B272" s="9">
        <v>0</v>
      </c>
      <c r="C272" s="10" t="s">
        <v>630</v>
      </c>
      <c r="D272" s="7"/>
      <c r="E272" s="7"/>
    </row>
    <row r="273" spans="1:5" s="1" customFormat="1" x14ac:dyDescent="0.45">
      <c r="A273" s="9" t="s">
        <v>676</v>
      </c>
      <c r="B273" s="9" t="e">
        <v>#N/A</v>
      </c>
      <c r="C273" s="10" t="s">
        <v>630</v>
      </c>
      <c r="D273" s="7"/>
      <c r="E273" s="7"/>
    </row>
    <row r="274" spans="1:5" s="1" customFormat="1" x14ac:dyDescent="0.45">
      <c r="A274" s="9" t="s">
        <v>677</v>
      </c>
      <c r="B274" s="9" t="e">
        <v>#N/A</v>
      </c>
      <c r="C274" s="10" t="s">
        <v>630</v>
      </c>
      <c r="D274" s="7"/>
      <c r="E274" s="7"/>
    </row>
    <row r="275" spans="1:5" s="1" customFormat="1" x14ac:dyDescent="0.45">
      <c r="A275" s="9" t="s">
        <v>678</v>
      </c>
      <c r="B275" s="9" t="e">
        <v>#N/A</v>
      </c>
      <c r="C275" s="10" t="s">
        <v>630</v>
      </c>
      <c r="D275" s="7"/>
      <c r="E275" s="7"/>
    </row>
    <row r="276" spans="1:5" s="1" customFormat="1" x14ac:dyDescent="0.45">
      <c r="A276" s="9" t="s">
        <v>679</v>
      </c>
      <c r="B276" s="9" t="e">
        <v>#N/A</v>
      </c>
      <c r="C276" s="10" t="s">
        <v>630</v>
      </c>
      <c r="D276" s="7"/>
      <c r="E276" s="7"/>
    </row>
    <row r="277" spans="1:5" s="1" customFormat="1" x14ac:dyDescent="0.45">
      <c r="A277" s="9" t="s">
        <v>680</v>
      </c>
      <c r="B277" s="9">
        <f t="array" ref="B277:B286">TRANSPOSE(LAI!C154:H154)</f>
        <v>0</v>
      </c>
      <c r="C277" s="10" t="s">
        <v>630</v>
      </c>
      <c r="D277" s="7"/>
      <c r="E277" s="7"/>
    </row>
    <row r="278" spans="1:5" s="1" customFormat="1" x14ac:dyDescent="0.45">
      <c r="A278" s="9" t="s">
        <v>681</v>
      </c>
      <c r="B278" s="9">
        <v>0</v>
      </c>
      <c r="C278" s="10" t="s">
        <v>630</v>
      </c>
      <c r="D278" s="7"/>
      <c r="E278" s="7"/>
    </row>
    <row r="279" spans="1:5" s="1" customFormat="1" x14ac:dyDescent="0.45">
      <c r="A279" s="9" t="s">
        <v>682</v>
      </c>
      <c r="B279" s="9">
        <v>0</v>
      </c>
      <c r="C279" s="10" t="s">
        <v>630</v>
      </c>
      <c r="D279" s="7"/>
      <c r="E279" s="7"/>
    </row>
    <row r="280" spans="1:5" s="1" customFormat="1" x14ac:dyDescent="0.45">
      <c r="A280" s="9" t="s">
        <v>683</v>
      </c>
      <c r="B280" s="9">
        <v>0</v>
      </c>
      <c r="C280" s="10" t="s">
        <v>630</v>
      </c>
      <c r="D280" s="7"/>
      <c r="E280" s="7"/>
    </row>
    <row r="281" spans="1:5" s="1" customFormat="1" x14ac:dyDescent="0.45">
      <c r="A281" s="9" t="s">
        <v>684</v>
      </c>
      <c r="B281" s="9">
        <v>0</v>
      </c>
      <c r="C281" s="10" t="s">
        <v>630</v>
      </c>
      <c r="D281" s="7"/>
      <c r="E281" s="7"/>
    </row>
    <row r="282" spans="1:5" s="1" customFormat="1" x14ac:dyDescent="0.45">
      <c r="A282" s="9" t="s">
        <v>685</v>
      </c>
      <c r="B282" s="9">
        <v>0</v>
      </c>
      <c r="C282" s="10" t="s">
        <v>630</v>
      </c>
      <c r="D282" s="7"/>
      <c r="E282" s="7"/>
    </row>
    <row r="283" spans="1:5" s="1" customFormat="1" x14ac:dyDescent="0.45">
      <c r="A283" s="9" t="s">
        <v>686</v>
      </c>
      <c r="B283" s="9" t="e">
        <v>#N/A</v>
      </c>
      <c r="C283" s="10" t="s">
        <v>630</v>
      </c>
      <c r="D283" s="7"/>
      <c r="E283" s="7"/>
    </row>
    <row r="284" spans="1:5" x14ac:dyDescent="0.45">
      <c r="A284" s="9" t="s">
        <v>687</v>
      </c>
      <c r="B284" s="9" t="e">
        <v>#N/A</v>
      </c>
      <c r="C284" s="10" t="s">
        <v>630</v>
      </c>
      <c r="D284" s="7"/>
      <c r="E284" s="7"/>
    </row>
    <row r="285" spans="1:5" x14ac:dyDescent="0.45">
      <c r="A285" s="9" t="s">
        <v>688</v>
      </c>
      <c r="B285" s="9" t="e">
        <v>#N/A</v>
      </c>
      <c r="C285" s="10" t="s">
        <v>630</v>
      </c>
      <c r="D285" s="7"/>
      <c r="E285" s="7"/>
    </row>
    <row r="286" spans="1:5" x14ac:dyDescent="0.45">
      <c r="A286" s="9" t="s">
        <v>689</v>
      </c>
      <c r="B286" s="9" t="e">
        <v>#N/A</v>
      </c>
      <c r="C286" s="10" t="s">
        <v>630</v>
      </c>
      <c r="D286" s="7"/>
      <c r="E286" s="7"/>
    </row>
    <row r="287" spans="1:5" x14ac:dyDescent="0.45">
      <c r="A287" s="9" t="s">
        <v>690</v>
      </c>
      <c r="B287" s="9">
        <f t="array" ref="B287:B296">TRANSPOSE(LAI!C155:H155)</f>
        <v>0</v>
      </c>
      <c r="C287" s="10" t="s">
        <v>630</v>
      </c>
      <c r="D287" s="7"/>
      <c r="E287" s="7"/>
    </row>
    <row r="288" spans="1:5" s="3" customFormat="1" x14ac:dyDescent="0.45">
      <c r="A288" s="9" t="s">
        <v>691</v>
      </c>
      <c r="B288" s="9">
        <v>0</v>
      </c>
      <c r="C288" s="10" t="s">
        <v>630</v>
      </c>
      <c r="D288" s="7"/>
      <c r="E288" s="7"/>
    </row>
    <row r="289" spans="1:5" s="3" customFormat="1" x14ac:dyDescent="0.45">
      <c r="A289" s="9" t="s">
        <v>692</v>
      </c>
      <c r="B289" s="9">
        <v>0</v>
      </c>
      <c r="C289" s="10" t="s">
        <v>630</v>
      </c>
      <c r="D289" s="7"/>
      <c r="E289" s="7"/>
    </row>
    <row r="290" spans="1:5" s="3" customFormat="1" x14ac:dyDescent="0.45">
      <c r="A290" s="9" t="s">
        <v>693</v>
      </c>
      <c r="B290" s="9">
        <v>0</v>
      </c>
      <c r="C290" s="10" t="s">
        <v>630</v>
      </c>
      <c r="D290" s="7"/>
      <c r="E290" s="7"/>
    </row>
    <row r="291" spans="1:5" s="3" customFormat="1" x14ac:dyDescent="0.45">
      <c r="A291" s="9" t="s">
        <v>694</v>
      </c>
      <c r="B291" s="9">
        <v>0</v>
      </c>
      <c r="C291" s="10" t="s">
        <v>630</v>
      </c>
      <c r="D291" s="7"/>
      <c r="E291" s="7"/>
    </row>
    <row r="292" spans="1:5" s="3" customFormat="1" x14ac:dyDescent="0.45">
      <c r="A292" s="9" t="s">
        <v>695</v>
      </c>
      <c r="B292" s="9">
        <v>0</v>
      </c>
      <c r="C292" s="10" t="s">
        <v>630</v>
      </c>
      <c r="D292" s="7"/>
      <c r="E292" s="7"/>
    </row>
    <row r="293" spans="1:5" s="3" customFormat="1" x14ac:dyDescent="0.45">
      <c r="A293" s="9" t="s">
        <v>696</v>
      </c>
      <c r="B293" s="9" t="e">
        <v>#N/A</v>
      </c>
      <c r="C293" s="10" t="s">
        <v>630</v>
      </c>
      <c r="D293" s="7"/>
      <c r="E293" s="7"/>
    </row>
    <row r="294" spans="1:5" s="3" customFormat="1" x14ac:dyDescent="0.45">
      <c r="A294" s="9" t="s">
        <v>697</v>
      </c>
      <c r="B294" s="9" t="e">
        <v>#N/A</v>
      </c>
      <c r="C294" s="10" t="s">
        <v>630</v>
      </c>
      <c r="D294" s="7"/>
      <c r="E294" s="7"/>
    </row>
    <row r="295" spans="1:5" s="3" customFormat="1" x14ac:dyDescent="0.45">
      <c r="A295" s="9" t="s">
        <v>698</v>
      </c>
      <c r="B295" s="9" t="e">
        <v>#N/A</v>
      </c>
      <c r="C295" s="10" t="s">
        <v>630</v>
      </c>
      <c r="D295" s="7"/>
      <c r="E295" s="7"/>
    </row>
    <row r="296" spans="1:5" s="3" customFormat="1" x14ac:dyDescent="0.45">
      <c r="A296" s="9" t="s">
        <v>699</v>
      </c>
      <c r="B296" s="9" t="e">
        <v>#N/A</v>
      </c>
      <c r="C296" s="10" t="s">
        <v>630</v>
      </c>
      <c r="D296" s="7"/>
      <c r="E296" s="7"/>
    </row>
    <row r="297" spans="1:5" s="3" customFormat="1" x14ac:dyDescent="0.45">
      <c r="A297" s="9" t="s">
        <v>700</v>
      </c>
      <c r="B297" s="9">
        <f>LAI!A161</f>
        <v>0</v>
      </c>
      <c r="C297" s="10" t="s">
        <v>701</v>
      </c>
      <c r="D297" s="7"/>
      <c r="E297" s="7"/>
    </row>
    <row r="298" spans="1:5" s="3" customFormat="1" x14ac:dyDescent="0.45">
      <c r="A298" s="9" t="s">
        <v>702</v>
      </c>
      <c r="B298" s="9">
        <f>LAI!D161</f>
        <v>0</v>
      </c>
      <c r="C298" s="10" t="s">
        <v>701</v>
      </c>
      <c r="D298" s="7"/>
      <c r="E298" s="7"/>
    </row>
    <row r="299" spans="1:5" s="3" customFormat="1" x14ac:dyDescent="0.45">
      <c r="A299" s="9" t="s">
        <v>703</v>
      </c>
      <c r="B299" s="9">
        <f>LAI!G161</f>
        <v>0</v>
      </c>
      <c r="C299" s="10" t="s">
        <v>701</v>
      </c>
      <c r="D299" s="7"/>
      <c r="E299" s="7"/>
    </row>
    <row r="300" spans="1:5" s="3" customFormat="1" x14ac:dyDescent="0.45">
      <c r="A300" s="9" t="s">
        <v>704</v>
      </c>
      <c r="B300" s="9">
        <f>LAI!C167</f>
        <v>0</v>
      </c>
      <c r="C300" s="10" t="s">
        <v>705</v>
      </c>
      <c r="D300" s="7"/>
      <c r="E300" s="7"/>
    </row>
    <row r="301" spans="1:5" s="3" customFormat="1" x14ac:dyDescent="0.45">
      <c r="A301" s="9" t="s">
        <v>706</v>
      </c>
      <c r="B301" s="9">
        <f>LAI!D167</f>
        <v>0</v>
      </c>
      <c r="C301" s="10" t="s">
        <v>705</v>
      </c>
      <c r="D301" s="7"/>
      <c r="E301" s="7"/>
    </row>
    <row r="302" spans="1:5" s="3" customFormat="1" x14ac:dyDescent="0.45">
      <c r="A302" s="9" t="s">
        <v>707</v>
      </c>
      <c r="B302" s="9" t="e">
        <f>LAI!#REF!</f>
        <v>#REF!</v>
      </c>
      <c r="C302" s="10" t="s">
        <v>705</v>
      </c>
      <c r="D302" s="7"/>
      <c r="E302" s="7"/>
    </row>
    <row r="303" spans="1:5" s="3" customFormat="1" x14ac:dyDescent="0.45">
      <c r="A303" s="9" t="s">
        <v>708</v>
      </c>
      <c r="B303" s="9" t="e">
        <f>LAI!#REF!</f>
        <v>#REF!</v>
      </c>
      <c r="C303" s="10" t="s">
        <v>705</v>
      </c>
      <c r="D303" s="7"/>
      <c r="E303" s="7"/>
    </row>
    <row r="304" spans="1:5" s="3" customFormat="1" x14ac:dyDescent="0.45">
      <c r="A304" s="9" t="s">
        <v>709</v>
      </c>
      <c r="B304" s="9" t="e">
        <f>LAI!#REF!</f>
        <v>#REF!</v>
      </c>
      <c r="C304" s="10" t="s">
        <v>705</v>
      </c>
      <c r="D304" s="7"/>
      <c r="E304" s="7"/>
    </row>
    <row r="305" spans="1:5" s="3" customFormat="1" x14ac:dyDescent="0.45">
      <c r="A305" s="9" t="s">
        <v>710</v>
      </c>
      <c r="B305" s="9" t="e">
        <f>LAI!#REF!</f>
        <v>#REF!</v>
      </c>
      <c r="C305" s="10" t="s">
        <v>705</v>
      </c>
      <c r="D305" s="7"/>
      <c r="E305" s="7"/>
    </row>
    <row r="306" spans="1:5" s="3" customFormat="1" x14ac:dyDescent="0.45">
      <c r="A306" s="9" t="s">
        <v>711</v>
      </c>
      <c r="B306" s="9">
        <f>LAI!C168</f>
        <v>0</v>
      </c>
      <c r="C306" s="10" t="s">
        <v>705</v>
      </c>
      <c r="D306" s="7"/>
      <c r="E306" s="7"/>
    </row>
    <row r="307" spans="1:5" s="3" customFormat="1" x14ac:dyDescent="0.45">
      <c r="A307" s="9" t="s">
        <v>712</v>
      </c>
      <c r="B307" s="11">
        <f>LAI!D168</f>
        <v>0</v>
      </c>
      <c r="C307" s="10" t="s">
        <v>705</v>
      </c>
      <c r="D307" s="7"/>
      <c r="E307" s="7"/>
    </row>
    <row r="308" spans="1:5" s="3" customFormat="1" x14ac:dyDescent="0.45">
      <c r="A308" s="9" t="s">
        <v>713</v>
      </c>
      <c r="B308" s="9" t="e">
        <f>LAI!#REF!</f>
        <v>#REF!</v>
      </c>
      <c r="C308" s="10" t="s">
        <v>705</v>
      </c>
      <c r="D308" s="7"/>
      <c r="E308" s="7"/>
    </row>
    <row r="309" spans="1:5" s="3" customFormat="1" x14ac:dyDescent="0.45">
      <c r="A309" s="9" t="s">
        <v>714</v>
      </c>
      <c r="B309" s="9" t="e">
        <f>LAI!#REF!</f>
        <v>#REF!</v>
      </c>
      <c r="C309" s="10" t="s">
        <v>705</v>
      </c>
      <c r="D309" s="7"/>
      <c r="E309" s="7"/>
    </row>
    <row r="310" spans="1:5" s="3" customFormat="1" x14ac:dyDescent="0.45">
      <c r="A310" s="9" t="s">
        <v>715</v>
      </c>
      <c r="B310" s="9" t="e">
        <f>LAI!#REF!</f>
        <v>#REF!</v>
      </c>
      <c r="C310" s="10" t="s">
        <v>705</v>
      </c>
      <c r="D310" s="7"/>
      <c r="E310" s="7"/>
    </row>
    <row r="311" spans="1:5" s="3" customFormat="1" x14ac:dyDescent="0.45">
      <c r="A311" s="9" t="s">
        <v>716</v>
      </c>
      <c r="B311" s="9" t="e">
        <f>LAI!#REF!</f>
        <v>#REF!</v>
      </c>
      <c r="C311" s="10" t="s">
        <v>705</v>
      </c>
      <c r="D311" s="7"/>
      <c r="E311" s="7"/>
    </row>
    <row r="312" spans="1:5" x14ac:dyDescent="0.45">
      <c r="A312" s="9" t="s">
        <v>717</v>
      </c>
      <c r="B312" s="9">
        <f>LAI!C169</f>
        <v>0</v>
      </c>
      <c r="C312" s="10" t="s">
        <v>705</v>
      </c>
      <c r="D312" s="7"/>
      <c r="E312" s="7"/>
    </row>
    <row r="313" spans="1:5" x14ac:dyDescent="0.45">
      <c r="A313" s="9" t="s">
        <v>718</v>
      </c>
      <c r="B313" s="9">
        <f>LAI!D169</f>
        <v>0</v>
      </c>
      <c r="C313" s="10" t="s">
        <v>705</v>
      </c>
      <c r="D313" s="7"/>
      <c r="E313" s="7"/>
    </row>
    <row r="314" spans="1:5" x14ac:dyDescent="0.45">
      <c r="A314" s="9" t="s">
        <v>719</v>
      </c>
      <c r="B314" s="9" t="e">
        <f>LAI!#REF!</f>
        <v>#REF!</v>
      </c>
      <c r="C314" s="10" t="s">
        <v>705</v>
      </c>
      <c r="D314" s="7"/>
      <c r="E314" s="7"/>
    </row>
    <row r="315" spans="1:5" x14ac:dyDescent="0.45">
      <c r="A315" s="9" t="s">
        <v>720</v>
      </c>
      <c r="B315" s="9" t="e">
        <f>LAI!#REF!</f>
        <v>#REF!</v>
      </c>
      <c r="C315" s="10" t="s">
        <v>705</v>
      </c>
      <c r="D315" s="7"/>
      <c r="E315" s="7"/>
    </row>
    <row r="316" spans="1:5" x14ac:dyDescent="0.45">
      <c r="A316" s="9" t="s">
        <v>721</v>
      </c>
      <c r="B316" s="9" t="e">
        <f>LAI!#REF!</f>
        <v>#REF!</v>
      </c>
      <c r="C316" s="10" t="s">
        <v>705</v>
      </c>
      <c r="D316" s="7"/>
      <c r="E316" s="7"/>
    </row>
    <row r="317" spans="1:5" x14ac:dyDescent="0.45">
      <c r="A317" s="9" t="s">
        <v>722</v>
      </c>
      <c r="B317" s="9" t="e">
        <f>LAI!#REF!</f>
        <v>#REF!</v>
      </c>
      <c r="C317" s="10" t="s">
        <v>705</v>
      </c>
      <c r="D317" s="7"/>
      <c r="E317" s="7"/>
    </row>
    <row r="318" spans="1:5" x14ac:dyDescent="0.45">
      <c r="A318" s="9" t="s">
        <v>723</v>
      </c>
      <c r="B318" s="9">
        <f>LAI!C170</f>
        <v>0</v>
      </c>
      <c r="C318" s="10" t="s">
        <v>705</v>
      </c>
      <c r="D318" s="7"/>
      <c r="E318" s="7"/>
    </row>
    <row r="319" spans="1:5" x14ac:dyDescent="0.45">
      <c r="A319" s="9" t="s">
        <v>724</v>
      </c>
      <c r="B319" s="9">
        <f>LAI!D170</f>
        <v>0</v>
      </c>
      <c r="C319" s="10" t="s">
        <v>705</v>
      </c>
      <c r="D319" s="7"/>
      <c r="E319" s="7"/>
    </row>
    <row r="320" spans="1:5" x14ac:dyDescent="0.45">
      <c r="A320" s="9" t="s">
        <v>725</v>
      </c>
      <c r="B320" s="9" t="e">
        <f>LAI!#REF!</f>
        <v>#REF!</v>
      </c>
      <c r="C320" s="10" t="s">
        <v>705</v>
      </c>
      <c r="D320" s="7"/>
      <c r="E320" s="7"/>
    </row>
    <row r="321" spans="1:5" x14ac:dyDescent="0.45">
      <c r="A321" s="9" t="s">
        <v>726</v>
      </c>
      <c r="B321" s="9" t="e">
        <f>LAI!#REF!</f>
        <v>#REF!</v>
      </c>
      <c r="C321" s="10" t="s">
        <v>705</v>
      </c>
      <c r="D321" s="7"/>
      <c r="E321" s="7"/>
    </row>
    <row r="322" spans="1:5" x14ac:dyDescent="0.45">
      <c r="A322" s="9" t="s">
        <v>727</v>
      </c>
      <c r="B322" s="9" t="e">
        <f>LAI!#REF!</f>
        <v>#REF!</v>
      </c>
      <c r="C322" s="10" t="s">
        <v>705</v>
      </c>
      <c r="D322" s="7"/>
      <c r="E322" s="7"/>
    </row>
    <row r="323" spans="1:5" x14ac:dyDescent="0.45">
      <c r="A323" s="9" t="s">
        <v>728</v>
      </c>
      <c r="B323" s="9" t="e">
        <f>LAI!#REF!</f>
        <v>#REF!</v>
      </c>
      <c r="C323" s="10" t="s">
        <v>705</v>
      </c>
      <c r="D323" s="7"/>
      <c r="E323" s="7"/>
    </row>
    <row r="324" spans="1:5" x14ac:dyDescent="0.45">
      <c r="A324" s="9" t="s">
        <v>729</v>
      </c>
      <c r="B324" s="9">
        <f>LAI!C171</f>
        <v>0</v>
      </c>
      <c r="C324" s="10" t="s">
        <v>705</v>
      </c>
      <c r="D324" s="7"/>
      <c r="E324" s="7"/>
    </row>
    <row r="325" spans="1:5" x14ac:dyDescent="0.45">
      <c r="A325" s="9" t="s">
        <v>730</v>
      </c>
      <c r="B325" s="9">
        <f>LAI!D171</f>
        <v>0</v>
      </c>
      <c r="C325" s="10" t="s">
        <v>705</v>
      </c>
      <c r="D325" s="7"/>
      <c r="E325" s="7"/>
    </row>
    <row r="326" spans="1:5" x14ac:dyDescent="0.45">
      <c r="A326" s="9" t="s">
        <v>731</v>
      </c>
      <c r="B326" s="9" t="e">
        <f>LAI!#REF!</f>
        <v>#REF!</v>
      </c>
      <c r="C326" s="10" t="s">
        <v>705</v>
      </c>
      <c r="D326" s="7"/>
      <c r="E326" s="7"/>
    </row>
    <row r="327" spans="1:5" x14ac:dyDescent="0.45">
      <c r="A327" s="9" t="s">
        <v>732</v>
      </c>
      <c r="B327" s="9" t="e">
        <f>LAI!#REF!</f>
        <v>#REF!</v>
      </c>
      <c r="C327" s="10" t="s">
        <v>705</v>
      </c>
      <c r="D327" s="7"/>
      <c r="E327" s="7"/>
    </row>
    <row r="328" spans="1:5" x14ac:dyDescent="0.45">
      <c r="A328" s="9" t="s">
        <v>733</v>
      </c>
      <c r="B328" s="9" t="e">
        <f>LAI!#REF!</f>
        <v>#REF!</v>
      </c>
      <c r="C328" s="10" t="s">
        <v>705</v>
      </c>
      <c r="D328" s="7"/>
      <c r="E328" s="7"/>
    </row>
    <row r="329" spans="1:5" x14ac:dyDescent="0.45">
      <c r="A329" s="9" t="s">
        <v>734</v>
      </c>
      <c r="B329" s="9" t="e">
        <f>LAI!#REF!</f>
        <v>#REF!</v>
      </c>
      <c r="C329" s="10" t="s">
        <v>705</v>
      </c>
      <c r="D329" s="7"/>
      <c r="E329" s="7"/>
    </row>
    <row r="330" spans="1:5" x14ac:dyDescent="0.45">
      <c r="A330" s="9" t="s">
        <v>735</v>
      </c>
      <c r="B330" s="9">
        <f>LAI!C172</f>
        <v>0</v>
      </c>
      <c r="C330" s="10" t="s">
        <v>705</v>
      </c>
      <c r="D330" s="7"/>
      <c r="E330" s="7"/>
    </row>
    <row r="331" spans="1:5" x14ac:dyDescent="0.45">
      <c r="A331" s="9" t="s">
        <v>736</v>
      </c>
      <c r="B331" s="9">
        <f>LAI!D172</f>
        <v>0</v>
      </c>
      <c r="C331" s="10" t="s">
        <v>705</v>
      </c>
      <c r="D331" s="7"/>
      <c r="E331" s="7"/>
    </row>
    <row r="332" spans="1:5" x14ac:dyDescent="0.45">
      <c r="A332" s="9" t="s">
        <v>737</v>
      </c>
      <c r="B332" s="9" t="e">
        <f>LAI!#REF!</f>
        <v>#REF!</v>
      </c>
      <c r="C332" s="10" t="s">
        <v>705</v>
      </c>
      <c r="D332" s="7"/>
      <c r="E332" s="7"/>
    </row>
    <row r="333" spans="1:5" x14ac:dyDescent="0.45">
      <c r="A333" s="9" t="s">
        <v>738</v>
      </c>
      <c r="B333" s="9" t="e">
        <f>LAI!#REF!</f>
        <v>#REF!</v>
      </c>
      <c r="C333" s="10" t="s">
        <v>705</v>
      </c>
      <c r="D333" s="7"/>
      <c r="E333" s="7"/>
    </row>
    <row r="334" spans="1:5" x14ac:dyDescent="0.45">
      <c r="A334" s="9" t="s">
        <v>739</v>
      </c>
      <c r="B334" s="9" t="e">
        <f>LAI!#REF!</f>
        <v>#REF!</v>
      </c>
      <c r="C334" s="10" t="s">
        <v>705</v>
      </c>
      <c r="D334" s="7"/>
      <c r="E334" s="7"/>
    </row>
    <row r="335" spans="1:5" x14ac:dyDescent="0.45">
      <c r="A335" s="9" t="s">
        <v>740</v>
      </c>
      <c r="B335" s="9" t="e">
        <f>LAI!#REF!</f>
        <v>#REF!</v>
      </c>
      <c r="C335" s="10" t="s">
        <v>705</v>
      </c>
      <c r="D335" s="7"/>
      <c r="E335" s="7"/>
    </row>
    <row r="336" spans="1:5" s="1" customFormat="1" x14ac:dyDescent="0.45">
      <c r="A336" s="9" t="s">
        <v>741</v>
      </c>
      <c r="B336" s="9">
        <f>LAI!C173</f>
        <v>0</v>
      </c>
      <c r="C336" s="10" t="s">
        <v>705</v>
      </c>
      <c r="D336" s="7"/>
      <c r="E336" s="7"/>
    </row>
    <row r="337" spans="1:5" s="1" customFormat="1" x14ac:dyDescent="0.45">
      <c r="A337" s="9" t="s">
        <v>742</v>
      </c>
      <c r="B337" s="9">
        <f>LAI!D173</f>
        <v>0</v>
      </c>
      <c r="C337" s="10" t="s">
        <v>705</v>
      </c>
      <c r="D337" s="7"/>
      <c r="E337" s="7"/>
    </row>
    <row r="338" spans="1:5" s="1" customFormat="1" x14ac:dyDescent="0.45">
      <c r="A338" s="9" t="s">
        <v>743</v>
      </c>
      <c r="B338" s="9" t="e">
        <f>LAI!#REF!</f>
        <v>#REF!</v>
      </c>
      <c r="C338" s="10" t="s">
        <v>705</v>
      </c>
      <c r="D338" s="7"/>
      <c r="E338" s="7"/>
    </row>
    <row r="339" spans="1:5" s="1" customFormat="1" x14ac:dyDescent="0.45">
      <c r="A339" s="9" t="s">
        <v>744</v>
      </c>
      <c r="B339" s="9" t="e">
        <f>LAI!#REF!</f>
        <v>#REF!</v>
      </c>
      <c r="C339" s="10" t="s">
        <v>705</v>
      </c>
      <c r="D339" s="7"/>
      <c r="E339" s="7"/>
    </row>
    <row r="340" spans="1:5" s="1" customFormat="1" x14ac:dyDescent="0.45">
      <c r="A340" s="9" t="s">
        <v>745</v>
      </c>
      <c r="B340" s="9" t="e">
        <f>LAI!#REF!</f>
        <v>#REF!</v>
      </c>
      <c r="C340" s="10" t="s">
        <v>705</v>
      </c>
      <c r="D340" s="7"/>
      <c r="E340" s="7"/>
    </row>
    <row r="341" spans="1:5" s="1" customFormat="1" x14ac:dyDescent="0.45">
      <c r="A341" s="9" t="s">
        <v>746</v>
      </c>
      <c r="B341" s="9" t="e">
        <f>LAI!#REF!</f>
        <v>#REF!</v>
      </c>
      <c r="C341" s="10" t="s">
        <v>705</v>
      </c>
      <c r="D341" s="7"/>
      <c r="E341" s="7"/>
    </row>
    <row r="342" spans="1:5" s="1" customFormat="1" x14ac:dyDescent="0.45">
      <c r="A342" s="9" t="s">
        <v>747</v>
      </c>
      <c r="B342" s="9" t="e">
        <f>LAI!#REF!</f>
        <v>#REF!</v>
      </c>
      <c r="C342" s="10" t="s">
        <v>748</v>
      </c>
      <c r="D342" s="7"/>
      <c r="E342" s="7"/>
    </row>
    <row r="343" spans="1:5" s="1" customFormat="1" x14ac:dyDescent="0.45">
      <c r="A343" s="9" t="s">
        <v>749</v>
      </c>
      <c r="B343" s="9" t="e">
        <f>LAI!#REF!</f>
        <v>#REF!</v>
      </c>
      <c r="C343" s="10" t="s">
        <v>748</v>
      </c>
      <c r="D343" s="7"/>
      <c r="E343" s="7"/>
    </row>
    <row r="344" spans="1:5" s="1" customFormat="1" x14ac:dyDescent="0.45">
      <c r="A344" s="9" t="s">
        <v>750</v>
      </c>
      <c r="B344" s="9" t="e">
        <f>LAI!#REF!</f>
        <v>#REF!</v>
      </c>
      <c r="C344" s="10" t="s">
        <v>748</v>
      </c>
      <c r="D344" s="7"/>
      <c r="E344" s="7"/>
    </row>
    <row r="345" spans="1:5" s="1" customFormat="1" x14ac:dyDescent="0.45">
      <c r="A345" s="9" t="s">
        <v>751</v>
      </c>
      <c r="B345" s="9" t="e">
        <f>LAI!#REF!</f>
        <v>#REF!</v>
      </c>
      <c r="C345" s="10" t="s">
        <v>752</v>
      </c>
      <c r="D345" s="7"/>
      <c r="E345" s="7"/>
    </row>
    <row r="346" spans="1:5" s="1" customFormat="1" x14ac:dyDescent="0.45">
      <c r="A346" s="9" t="s">
        <v>753</v>
      </c>
      <c r="B346" s="9" t="e">
        <f>LAI!#REF!</f>
        <v>#REF!</v>
      </c>
      <c r="C346" s="10" t="s">
        <v>752</v>
      </c>
      <c r="D346" s="7"/>
      <c r="E346" s="7"/>
    </row>
    <row r="347" spans="1:5" s="1" customFormat="1" x14ac:dyDescent="0.45">
      <c r="A347" s="9" t="s">
        <v>754</v>
      </c>
      <c r="B347" s="9" t="e">
        <f>LAI!#REF!</f>
        <v>#REF!</v>
      </c>
      <c r="C347" s="10" t="s">
        <v>752</v>
      </c>
      <c r="D347" s="7"/>
      <c r="E347" s="7"/>
    </row>
    <row r="348" spans="1:5" s="1" customFormat="1" x14ac:dyDescent="0.45">
      <c r="A348" s="9" t="s">
        <v>755</v>
      </c>
      <c r="B348" s="9" t="e">
        <f>LAI!#REF!</f>
        <v>#REF!</v>
      </c>
      <c r="C348" s="10" t="s">
        <v>752</v>
      </c>
      <c r="D348" s="7"/>
      <c r="E348" s="7"/>
    </row>
    <row r="349" spans="1:5" s="1" customFormat="1" x14ac:dyDescent="0.45">
      <c r="A349" s="9" t="s">
        <v>756</v>
      </c>
      <c r="B349" s="9" t="e">
        <f>LAI!#REF!</f>
        <v>#REF!</v>
      </c>
      <c r="C349" s="10" t="s">
        <v>752</v>
      </c>
      <c r="D349" s="7"/>
      <c r="E349" s="7"/>
    </row>
    <row r="350" spans="1:5" s="1" customFormat="1" x14ac:dyDescent="0.45">
      <c r="A350" s="9" t="s">
        <v>757</v>
      </c>
      <c r="B350" s="9" t="e">
        <f>LAI!#REF!</f>
        <v>#REF!</v>
      </c>
      <c r="C350" s="10" t="s">
        <v>752</v>
      </c>
      <c r="D350" s="7"/>
      <c r="E350" s="7"/>
    </row>
    <row r="351" spans="1:5" s="1" customFormat="1" x14ac:dyDescent="0.45">
      <c r="A351" s="9" t="s">
        <v>758</v>
      </c>
      <c r="B351" s="9" t="e">
        <f>LAI!#REF!</f>
        <v>#REF!</v>
      </c>
      <c r="C351" s="10" t="s">
        <v>752</v>
      </c>
      <c r="D351" s="7"/>
      <c r="E351" s="7"/>
    </row>
    <row r="352" spans="1:5" s="1" customFormat="1" x14ac:dyDescent="0.45">
      <c r="A352" s="9" t="s">
        <v>759</v>
      </c>
      <c r="B352" s="9" t="e">
        <f>LAI!#REF!</f>
        <v>#REF!</v>
      </c>
      <c r="C352" s="10" t="s">
        <v>752</v>
      </c>
      <c r="D352" s="7"/>
      <c r="E352" s="7"/>
    </row>
    <row r="353" spans="1:5" s="1" customFormat="1" x14ac:dyDescent="0.45">
      <c r="A353" s="9" t="s">
        <v>760</v>
      </c>
      <c r="B353" s="9" t="e">
        <f>LAI!#REF!</f>
        <v>#REF!</v>
      </c>
      <c r="C353" s="10" t="s">
        <v>752</v>
      </c>
      <c r="D353" s="7"/>
      <c r="E353" s="7"/>
    </row>
    <row r="354" spans="1:5" s="1" customFormat="1" x14ac:dyDescent="0.45">
      <c r="A354" s="9" t="s">
        <v>761</v>
      </c>
      <c r="B354" s="9" t="e">
        <f>LAI!#REF!</f>
        <v>#REF!</v>
      </c>
      <c r="C354" s="10" t="s">
        <v>752</v>
      </c>
      <c r="D354" s="7"/>
      <c r="E354" s="7"/>
    </row>
    <row r="355" spans="1:5" s="1" customFormat="1" x14ac:dyDescent="0.45">
      <c r="A355" s="9" t="s">
        <v>762</v>
      </c>
      <c r="B355" s="9" t="e">
        <f>LAI!#REF!</f>
        <v>#REF!</v>
      </c>
      <c r="C355" s="10" t="s">
        <v>752</v>
      </c>
      <c r="D355" s="7"/>
      <c r="E355" s="7"/>
    </row>
    <row r="356" spans="1:5" s="1" customFormat="1" x14ac:dyDescent="0.45">
      <c r="A356" s="9" t="s">
        <v>763</v>
      </c>
      <c r="B356" s="9" t="e">
        <f>LAI!#REF!</f>
        <v>#REF!</v>
      </c>
      <c r="C356" s="10" t="s">
        <v>752</v>
      </c>
      <c r="D356" s="7"/>
      <c r="E356" s="7"/>
    </row>
    <row r="357" spans="1:5" s="1" customFormat="1" x14ac:dyDescent="0.45">
      <c r="A357" s="9" t="s">
        <v>764</v>
      </c>
      <c r="B357" s="9" t="e">
        <f>LAI!#REF!</f>
        <v>#REF!</v>
      </c>
      <c r="C357" s="10" t="s">
        <v>752</v>
      </c>
      <c r="D357" s="7"/>
      <c r="E357" s="7"/>
    </row>
    <row r="358" spans="1:5" s="1" customFormat="1" x14ac:dyDescent="0.45">
      <c r="A358" s="9" t="s">
        <v>765</v>
      </c>
      <c r="B358" s="9" t="e">
        <f>LAI!#REF!</f>
        <v>#REF!</v>
      </c>
      <c r="C358" s="10" t="s">
        <v>752</v>
      </c>
      <c r="D358" s="7"/>
      <c r="E358" s="7"/>
    </row>
    <row r="359" spans="1:5" s="1" customFormat="1" x14ac:dyDescent="0.45">
      <c r="A359" s="9" t="s">
        <v>766</v>
      </c>
      <c r="B359" s="9" t="e">
        <f>LAI!#REF!</f>
        <v>#REF!</v>
      </c>
      <c r="C359" s="10" t="s">
        <v>752</v>
      </c>
      <c r="D359" s="7"/>
      <c r="E359" s="7"/>
    </row>
    <row r="360" spans="1:5" s="1" customFormat="1" x14ac:dyDescent="0.45">
      <c r="A360" s="9" t="s">
        <v>767</v>
      </c>
      <c r="B360" s="9" t="e">
        <f>LAI!#REF!</f>
        <v>#REF!</v>
      </c>
      <c r="C360" s="10" t="s">
        <v>752</v>
      </c>
      <c r="D360" s="7"/>
      <c r="E360" s="7"/>
    </row>
    <row r="361" spans="1:5" s="1" customFormat="1" x14ac:dyDescent="0.45">
      <c r="A361" s="9" t="s">
        <v>768</v>
      </c>
      <c r="B361" s="9" t="e">
        <f>LAI!#REF!</f>
        <v>#REF!</v>
      </c>
      <c r="C361" s="10" t="s">
        <v>752</v>
      </c>
      <c r="D361" s="7"/>
      <c r="E361" s="7"/>
    </row>
    <row r="362" spans="1:5" s="1" customFormat="1" x14ac:dyDescent="0.45">
      <c r="A362" s="9" t="s">
        <v>769</v>
      </c>
      <c r="B362" s="9" t="e">
        <f>LAI!#REF!</f>
        <v>#REF!</v>
      </c>
      <c r="C362" s="10" t="s">
        <v>752</v>
      </c>
      <c r="D362" s="7"/>
      <c r="E362" s="7"/>
    </row>
    <row r="363" spans="1:5" s="1" customFormat="1" x14ac:dyDescent="0.45">
      <c r="A363" s="9" t="s">
        <v>770</v>
      </c>
      <c r="B363" s="9" t="e">
        <f>LAI!#REF!</f>
        <v>#REF!</v>
      </c>
      <c r="C363" s="10" t="s">
        <v>752</v>
      </c>
      <c r="D363" s="7"/>
      <c r="E363" s="7"/>
    </row>
    <row r="364" spans="1:5" s="1" customFormat="1" x14ac:dyDescent="0.45">
      <c r="A364" s="9" t="s">
        <v>771</v>
      </c>
      <c r="B364" s="9" t="e">
        <f>LAI!#REF!</f>
        <v>#REF!</v>
      </c>
      <c r="C364" s="10" t="s">
        <v>752</v>
      </c>
      <c r="D364" s="7"/>
      <c r="E364" s="7"/>
    </row>
    <row r="365" spans="1:5" s="1" customFormat="1" x14ac:dyDescent="0.45">
      <c r="A365" s="9" t="s">
        <v>772</v>
      </c>
      <c r="B365" s="9" t="e">
        <f>LAI!#REF!</f>
        <v>#REF!</v>
      </c>
      <c r="C365" s="10" t="s">
        <v>752</v>
      </c>
      <c r="D365" s="7"/>
      <c r="E365" s="7"/>
    </row>
    <row r="366" spans="1:5" s="1" customFormat="1" x14ac:dyDescent="0.45">
      <c r="A366" s="9" t="s">
        <v>773</v>
      </c>
      <c r="B366" s="9" t="e">
        <f>LAI!#REF!</f>
        <v>#REF!</v>
      </c>
      <c r="C366" s="10" t="s">
        <v>752</v>
      </c>
      <c r="D366" s="7"/>
      <c r="E366" s="7"/>
    </row>
    <row r="367" spans="1:5" s="1" customFormat="1" x14ac:dyDescent="0.45">
      <c r="A367" s="9" t="s">
        <v>774</v>
      </c>
      <c r="B367" s="9" t="e">
        <f>LAI!#REF!</f>
        <v>#REF!</v>
      </c>
      <c r="C367" s="10" t="s">
        <v>752</v>
      </c>
      <c r="D367" s="7"/>
      <c r="E367" s="7"/>
    </row>
    <row r="368" spans="1:5" s="1" customFormat="1" x14ac:dyDescent="0.45">
      <c r="A368" s="9" t="s">
        <v>775</v>
      </c>
      <c r="B368" s="9" t="e">
        <f>LAI!#REF!</f>
        <v>#REF!</v>
      </c>
      <c r="C368" s="10" t="s">
        <v>752</v>
      </c>
      <c r="D368" s="7"/>
      <c r="E368" s="7"/>
    </row>
    <row r="369" spans="1:5" s="1" customFormat="1" x14ac:dyDescent="0.45">
      <c r="A369" s="9" t="s">
        <v>776</v>
      </c>
      <c r="B369" s="9" t="e">
        <f>LAI!#REF!</f>
        <v>#REF!</v>
      </c>
      <c r="C369" s="10" t="s">
        <v>752</v>
      </c>
      <c r="D369" s="7"/>
      <c r="E369" s="7"/>
    </row>
    <row r="370" spans="1:5" s="1" customFormat="1" x14ac:dyDescent="0.45">
      <c r="A370" s="9" t="s">
        <v>777</v>
      </c>
      <c r="B370" s="9" t="e">
        <f>LAI!#REF!</f>
        <v>#REF!</v>
      </c>
      <c r="C370" s="10" t="s">
        <v>752</v>
      </c>
      <c r="D370" s="7"/>
      <c r="E370" s="7"/>
    </row>
    <row r="371" spans="1:5" s="1" customFormat="1" x14ac:dyDescent="0.45">
      <c r="A371" s="9" t="s">
        <v>778</v>
      </c>
      <c r="B371" s="9" t="e">
        <f>LAI!#REF!</f>
        <v>#REF!</v>
      </c>
      <c r="C371" s="10" t="s">
        <v>752</v>
      </c>
      <c r="D371" s="7"/>
      <c r="E371" s="7"/>
    </row>
    <row r="372" spans="1:5" s="1" customFormat="1" x14ac:dyDescent="0.45">
      <c r="A372" s="9" t="s">
        <v>779</v>
      </c>
      <c r="B372" s="9" t="e">
        <f>LAI!#REF!</f>
        <v>#REF!</v>
      </c>
      <c r="C372" s="10" t="s">
        <v>752</v>
      </c>
      <c r="D372" s="7"/>
      <c r="E372" s="7"/>
    </row>
    <row r="373" spans="1:5" s="1" customFormat="1" x14ac:dyDescent="0.45">
      <c r="A373" s="9" t="s">
        <v>780</v>
      </c>
      <c r="B373" s="9" t="e">
        <f>LAI!#REF!</f>
        <v>#REF!</v>
      </c>
      <c r="C373" s="10" t="s">
        <v>752</v>
      </c>
      <c r="D373" s="7"/>
      <c r="E373" s="7"/>
    </row>
    <row r="374" spans="1:5" s="1" customFormat="1" x14ac:dyDescent="0.45">
      <c r="A374" s="9" t="s">
        <v>781</v>
      </c>
      <c r="B374" s="9" t="e">
        <f>LAI!#REF!</f>
        <v>#REF!</v>
      </c>
      <c r="C374" s="10" t="s">
        <v>752</v>
      </c>
      <c r="D374" s="7"/>
      <c r="E374" s="7"/>
    </row>
    <row r="375" spans="1:5" s="1" customFormat="1" x14ac:dyDescent="0.45">
      <c r="A375" s="9" t="s">
        <v>782</v>
      </c>
      <c r="B375" s="9" t="e">
        <f>LAI!#REF!</f>
        <v>#REF!</v>
      </c>
      <c r="C375" s="10" t="s">
        <v>752</v>
      </c>
      <c r="D375" s="7"/>
      <c r="E375" s="7"/>
    </row>
    <row r="376" spans="1:5" s="1" customFormat="1" x14ac:dyDescent="0.45">
      <c r="A376" s="9" t="s">
        <v>783</v>
      </c>
      <c r="B376" s="9" t="e">
        <f>LAI!#REF!</f>
        <v>#REF!</v>
      </c>
      <c r="C376" s="10" t="s">
        <v>752</v>
      </c>
      <c r="D376" s="7"/>
      <c r="E376" s="7"/>
    </row>
    <row r="377" spans="1:5" s="1" customFormat="1" x14ac:dyDescent="0.45">
      <c r="A377" s="9" t="s">
        <v>784</v>
      </c>
      <c r="B377" s="9" t="e">
        <f>LAI!#REF!</f>
        <v>#REF!</v>
      </c>
      <c r="C377" s="10" t="s">
        <v>752</v>
      </c>
      <c r="D377" s="7"/>
      <c r="E377" s="7"/>
    </row>
    <row r="378" spans="1:5" s="1" customFormat="1" x14ac:dyDescent="0.45">
      <c r="A378" s="9" t="s">
        <v>785</v>
      </c>
      <c r="B378" s="9" t="e">
        <f>LAI!#REF!</f>
        <v>#REF!</v>
      </c>
      <c r="C378" s="10" t="s">
        <v>752</v>
      </c>
      <c r="D378" s="7"/>
      <c r="E378" s="7"/>
    </row>
    <row r="379" spans="1:5" s="1" customFormat="1" x14ac:dyDescent="0.45">
      <c r="A379" s="9" t="s">
        <v>786</v>
      </c>
      <c r="B379" s="9" t="e">
        <f>LAI!#REF!</f>
        <v>#REF!</v>
      </c>
      <c r="C379" s="10" t="s">
        <v>752</v>
      </c>
      <c r="D379" s="7"/>
      <c r="E379" s="7"/>
    </row>
    <row r="380" spans="1:5" s="1" customFormat="1" x14ac:dyDescent="0.45">
      <c r="A380" s="9" t="s">
        <v>787</v>
      </c>
      <c r="B380" s="9" t="e">
        <f>LAI!#REF!</f>
        <v>#REF!</v>
      </c>
      <c r="C380" s="10" t="s">
        <v>752</v>
      </c>
      <c r="D380" s="7"/>
      <c r="E380" s="7"/>
    </row>
    <row r="381" spans="1:5" s="1" customFormat="1" x14ac:dyDescent="0.45">
      <c r="A381" s="9" t="s">
        <v>788</v>
      </c>
      <c r="B381" s="9" t="e">
        <f>LAI!#REF!</f>
        <v>#REF!</v>
      </c>
      <c r="C381" s="10" t="s">
        <v>752</v>
      </c>
      <c r="D381" s="7"/>
      <c r="E381" s="7"/>
    </row>
    <row r="382" spans="1:5" s="1" customFormat="1" x14ac:dyDescent="0.45">
      <c r="A382" s="9" t="s">
        <v>789</v>
      </c>
      <c r="B382" s="9" t="e">
        <f>LAI!#REF!</f>
        <v>#REF!</v>
      </c>
      <c r="C382" s="10" t="s">
        <v>752</v>
      </c>
      <c r="D382" s="7"/>
      <c r="E382" s="7"/>
    </row>
    <row r="383" spans="1:5" s="1" customFormat="1" x14ac:dyDescent="0.45">
      <c r="A383" s="9" t="s">
        <v>790</v>
      </c>
      <c r="B383" s="9" t="e">
        <f>LAI!#REF!</f>
        <v>#REF!</v>
      </c>
      <c r="C383" s="10" t="s">
        <v>752</v>
      </c>
      <c r="D383" s="7"/>
      <c r="E383" s="7"/>
    </row>
    <row r="384" spans="1:5" s="1" customFormat="1" x14ac:dyDescent="0.45">
      <c r="A384" s="9" t="s">
        <v>791</v>
      </c>
      <c r="B384" s="9" t="e">
        <f>LAI!#REF!</f>
        <v>#REF!</v>
      </c>
      <c r="C384" s="10" t="s">
        <v>752</v>
      </c>
      <c r="D384" s="7"/>
      <c r="E384" s="7"/>
    </row>
    <row r="385" spans="1:5" s="1" customFormat="1" x14ac:dyDescent="0.45">
      <c r="A385" s="9" t="s">
        <v>792</v>
      </c>
      <c r="B385" s="9" t="e">
        <f>LAI!#REF!</f>
        <v>#REF!</v>
      </c>
      <c r="C385" s="10" t="s">
        <v>752</v>
      </c>
      <c r="D385" s="7"/>
      <c r="E385" s="7"/>
    </row>
    <row r="386" spans="1:5" s="1" customFormat="1" x14ac:dyDescent="0.45">
      <c r="A386" s="9" t="s">
        <v>793</v>
      </c>
      <c r="B386" s="9" t="e">
        <f>LAI!#REF!</f>
        <v>#REF!</v>
      </c>
      <c r="C386" s="10" t="s">
        <v>752</v>
      </c>
      <c r="D386" s="7"/>
      <c r="E386" s="7"/>
    </row>
    <row r="387" spans="1:5" s="1" customFormat="1" x14ac:dyDescent="0.45">
      <c r="A387" s="6" t="s">
        <v>794</v>
      </c>
      <c r="B387" s="6">
        <f>LAI!C179</f>
        <v>0</v>
      </c>
      <c r="C387" s="8" t="s">
        <v>795</v>
      </c>
      <c r="D387" s="7"/>
      <c r="E387" s="7"/>
    </row>
    <row r="388" spans="1:5" s="1" customFormat="1" x14ac:dyDescent="0.45">
      <c r="A388" s="6" t="s">
        <v>796</v>
      </c>
      <c r="B388" s="6">
        <f>LAI!E179</f>
        <v>0</v>
      </c>
      <c r="C388" s="8" t="s">
        <v>795</v>
      </c>
      <c r="D388" s="7"/>
      <c r="E388" s="7"/>
    </row>
    <row r="389" spans="1:5" s="1" customFormat="1" x14ac:dyDescent="0.45">
      <c r="A389" s="6" t="s">
        <v>797</v>
      </c>
      <c r="B389" s="6">
        <f>LAI!G179</f>
        <v>0</v>
      </c>
      <c r="C389" s="8" t="s">
        <v>795</v>
      </c>
      <c r="D389" s="7"/>
      <c r="E389" s="7"/>
    </row>
    <row r="390" spans="1:5" s="1" customFormat="1" x14ac:dyDescent="0.45">
      <c r="A390" s="6" t="s">
        <v>798</v>
      </c>
      <c r="B390" s="6">
        <f>LAI!C180</f>
        <v>0</v>
      </c>
      <c r="C390" s="8" t="s">
        <v>795</v>
      </c>
      <c r="D390" s="7"/>
      <c r="E390" s="7"/>
    </row>
    <row r="391" spans="1:5" s="1" customFormat="1" x14ac:dyDescent="0.45">
      <c r="A391" s="6" t="s">
        <v>799</v>
      </c>
      <c r="B391" s="6">
        <f>LAI!E180</f>
        <v>0</v>
      </c>
      <c r="C391" s="8" t="s">
        <v>795</v>
      </c>
      <c r="D391" s="7"/>
      <c r="E391" s="7"/>
    </row>
    <row r="392" spans="1:5" s="1" customFormat="1" x14ac:dyDescent="0.45">
      <c r="A392" s="6" t="s">
        <v>800</v>
      </c>
      <c r="B392" s="6">
        <f>LAI!G180</f>
        <v>0</v>
      </c>
      <c r="C392" s="8" t="s">
        <v>795</v>
      </c>
      <c r="D392" s="7"/>
      <c r="E392" s="7"/>
    </row>
    <row r="393" spans="1:5" s="1" customFormat="1" x14ac:dyDescent="0.45">
      <c r="A393" s="6" t="s">
        <v>801</v>
      </c>
      <c r="B393" s="6">
        <f>LAI!C181</f>
        <v>0</v>
      </c>
      <c r="C393" s="8" t="s">
        <v>795</v>
      </c>
      <c r="D393" s="7"/>
      <c r="E393" s="7"/>
    </row>
    <row r="394" spans="1:5" s="1" customFormat="1" x14ac:dyDescent="0.45">
      <c r="A394" s="6" t="s">
        <v>802</v>
      </c>
      <c r="B394" s="6">
        <f>LAI!E181</f>
        <v>0</v>
      </c>
      <c r="C394" s="8" t="s">
        <v>795</v>
      </c>
      <c r="D394" s="7"/>
      <c r="E394" s="7"/>
    </row>
    <row r="395" spans="1:5" s="1" customFormat="1" x14ac:dyDescent="0.45">
      <c r="A395" s="6" t="s">
        <v>803</v>
      </c>
      <c r="B395" s="6">
        <f>LAI!G181</f>
        <v>0</v>
      </c>
      <c r="C395" s="8" t="s">
        <v>795</v>
      </c>
      <c r="D395" s="7"/>
      <c r="E395" s="7"/>
    </row>
    <row r="396" spans="1:5" s="1" customFormat="1" x14ac:dyDescent="0.45">
      <c r="A396" s="6" t="s">
        <v>804</v>
      </c>
      <c r="B396" s="6">
        <f>LAI!C182</f>
        <v>0</v>
      </c>
      <c r="C396" s="8" t="s">
        <v>795</v>
      </c>
      <c r="D396" s="7"/>
      <c r="E396" s="7"/>
    </row>
    <row r="397" spans="1:5" s="1" customFormat="1" x14ac:dyDescent="0.45">
      <c r="A397" s="6" t="s">
        <v>805</v>
      </c>
      <c r="B397" s="6">
        <f>LAI!E182</f>
        <v>0</v>
      </c>
      <c r="C397" s="8" t="s">
        <v>795</v>
      </c>
      <c r="D397" s="7"/>
      <c r="E397" s="7"/>
    </row>
    <row r="398" spans="1:5" s="1" customFormat="1" x14ac:dyDescent="0.45">
      <c r="A398" s="6" t="s">
        <v>806</v>
      </c>
      <c r="B398" s="6">
        <f>LAI!G182</f>
        <v>0</v>
      </c>
      <c r="C398" s="8" t="s">
        <v>795</v>
      </c>
      <c r="D398" s="7"/>
      <c r="E398" s="7"/>
    </row>
    <row r="399" spans="1:5" s="1" customFormat="1" x14ac:dyDescent="0.45">
      <c r="A399" s="6" t="s">
        <v>807</v>
      </c>
      <c r="B399" s="6">
        <f>LAI!C183</f>
        <v>0</v>
      </c>
      <c r="C399" s="8" t="s">
        <v>795</v>
      </c>
      <c r="D399" s="7"/>
      <c r="E399" s="7"/>
    </row>
    <row r="400" spans="1:5" s="1" customFormat="1" x14ac:dyDescent="0.45">
      <c r="A400" s="6" t="s">
        <v>808</v>
      </c>
      <c r="B400" s="6">
        <f>LAI!E183</f>
        <v>0</v>
      </c>
      <c r="C400" s="8" t="s">
        <v>795</v>
      </c>
      <c r="D400" s="7"/>
      <c r="E400" s="7"/>
    </row>
    <row r="401" spans="1:5" s="1" customFormat="1" x14ac:dyDescent="0.45">
      <c r="A401" s="6" t="s">
        <v>809</v>
      </c>
      <c r="B401" s="6">
        <f>LAI!G183</f>
        <v>0</v>
      </c>
      <c r="C401" s="8" t="s">
        <v>795</v>
      </c>
      <c r="D401" s="7"/>
      <c r="E401" s="7"/>
    </row>
    <row r="402" spans="1:5" x14ac:dyDescent="0.45">
      <c r="A402" s="6" t="s">
        <v>810</v>
      </c>
      <c r="B402" s="6">
        <f>LAI!C184</f>
        <v>0</v>
      </c>
      <c r="C402" s="8" t="s">
        <v>795</v>
      </c>
      <c r="D402" s="7"/>
      <c r="E402" s="7"/>
    </row>
    <row r="403" spans="1:5" x14ac:dyDescent="0.45">
      <c r="A403" s="6" t="s">
        <v>811</v>
      </c>
      <c r="B403" s="6">
        <f>LAI!E184</f>
        <v>0</v>
      </c>
      <c r="C403" s="8" t="s">
        <v>795</v>
      </c>
      <c r="D403" s="7"/>
      <c r="E403" s="7"/>
    </row>
    <row r="404" spans="1:5" x14ac:dyDescent="0.45">
      <c r="A404" s="6" t="s">
        <v>812</v>
      </c>
      <c r="B404" s="6">
        <f>LAI!G184</f>
        <v>0</v>
      </c>
      <c r="C404" s="8" t="s">
        <v>795</v>
      </c>
      <c r="D404" s="7"/>
      <c r="E404" s="7"/>
    </row>
    <row r="405" spans="1:5" x14ac:dyDescent="0.45">
      <c r="A405" s="6" t="s">
        <v>813</v>
      </c>
      <c r="B405" s="6">
        <f>LAI!C185</f>
        <v>0</v>
      </c>
      <c r="C405" s="8" t="s">
        <v>795</v>
      </c>
      <c r="D405" s="7"/>
      <c r="E405" s="7"/>
    </row>
    <row r="406" spans="1:5" x14ac:dyDescent="0.45">
      <c r="A406" s="6" t="s">
        <v>814</v>
      </c>
      <c r="B406" s="6">
        <f>LAI!E185</f>
        <v>0</v>
      </c>
      <c r="C406" s="8" t="s">
        <v>795</v>
      </c>
      <c r="D406" s="7"/>
      <c r="E406" s="7"/>
    </row>
    <row r="407" spans="1:5" x14ac:dyDescent="0.45">
      <c r="A407" s="6" t="s">
        <v>815</v>
      </c>
      <c r="B407" s="6">
        <f>LAI!G185</f>
        <v>0</v>
      </c>
      <c r="C407" s="8" t="s">
        <v>795</v>
      </c>
      <c r="D407" s="7"/>
      <c r="E407" s="7"/>
    </row>
    <row r="408" spans="1:5" x14ac:dyDescent="0.45">
      <c r="A408" s="6" t="s">
        <v>816</v>
      </c>
      <c r="B408" s="6">
        <f>LAI!E192</f>
        <v>0</v>
      </c>
      <c r="C408" s="8" t="s">
        <v>817</v>
      </c>
      <c r="D408" s="7"/>
      <c r="E408" s="7"/>
    </row>
    <row r="409" spans="1:5" x14ac:dyDescent="0.45">
      <c r="A409" s="6" t="s">
        <v>818</v>
      </c>
      <c r="B409" s="6" t="str">
        <f>LAI!E194</f>
        <v>0</v>
      </c>
      <c r="C409" s="8" t="s">
        <v>817</v>
      </c>
      <c r="D409" s="7"/>
      <c r="E409" s="7"/>
    </row>
    <row r="410" spans="1:5" x14ac:dyDescent="0.45">
      <c r="A410" s="6" t="s">
        <v>819</v>
      </c>
      <c r="B410" s="6">
        <f>LAI!A202</f>
        <v>0</v>
      </c>
      <c r="C410" s="8" t="s">
        <v>820</v>
      </c>
      <c r="D410" s="7"/>
      <c r="E410" s="7"/>
    </row>
    <row r="411" spans="1:5" x14ac:dyDescent="0.45">
      <c r="A411" s="6" t="s">
        <v>821</v>
      </c>
      <c r="B411" s="6">
        <f>LAI!E202</f>
        <v>0</v>
      </c>
      <c r="C411" s="8" t="s">
        <v>820</v>
      </c>
      <c r="D411" s="7"/>
      <c r="E411" s="7"/>
    </row>
    <row r="412" spans="1:5" x14ac:dyDescent="0.45">
      <c r="A412" s="6" t="s">
        <v>822</v>
      </c>
      <c r="B412" s="6">
        <f>LAI!G202</f>
        <v>0</v>
      </c>
      <c r="C412" s="8" t="s">
        <v>820</v>
      </c>
      <c r="D412" s="7"/>
      <c r="E412" s="7"/>
    </row>
    <row r="413" spans="1:5" x14ac:dyDescent="0.45">
      <c r="A413" s="6" t="s">
        <v>823</v>
      </c>
      <c r="B413" s="6">
        <f>LAI!I202</f>
        <v>0</v>
      </c>
      <c r="C413" s="8" t="s">
        <v>820</v>
      </c>
      <c r="D413" s="7"/>
      <c r="E413" s="7"/>
    </row>
    <row r="414" spans="1:5" x14ac:dyDescent="0.45">
      <c r="A414" s="6" t="s">
        <v>824</v>
      </c>
      <c r="B414" s="6">
        <f>LAI!K202</f>
        <v>0</v>
      </c>
      <c r="C414" s="8" t="s">
        <v>820</v>
      </c>
      <c r="D414" s="7"/>
      <c r="E414" s="7"/>
    </row>
    <row r="415" spans="1:5" x14ac:dyDescent="0.45">
      <c r="A415" s="6" t="s">
        <v>825</v>
      </c>
      <c r="B415" s="6">
        <f>LAI!D207</f>
        <v>0</v>
      </c>
      <c r="C415" s="8" t="s">
        <v>826</v>
      </c>
      <c r="D415" s="7"/>
      <c r="E415" s="7"/>
    </row>
    <row r="416" spans="1:5" x14ac:dyDescent="0.45">
      <c r="A416" s="6" t="s">
        <v>827</v>
      </c>
      <c r="B416" s="6">
        <f>LAI!G207</f>
        <v>0</v>
      </c>
      <c r="C416" s="8" t="s">
        <v>826</v>
      </c>
      <c r="D416" s="7"/>
      <c r="E416" s="7"/>
    </row>
    <row r="417" spans="1:5" x14ac:dyDescent="0.45">
      <c r="A417" s="6" t="s">
        <v>828</v>
      </c>
      <c r="B417" s="6">
        <f>LAI!D208</f>
        <v>0</v>
      </c>
      <c r="C417" s="8" t="s">
        <v>826</v>
      </c>
      <c r="D417" s="7"/>
      <c r="E417" s="7"/>
    </row>
    <row r="418" spans="1:5" x14ac:dyDescent="0.45">
      <c r="A418" s="6" t="s">
        <v>829</v>
      </c>
      <c r="B418" s="6">
        <f>LAI!G208</f>
        <v>0</v>
      </c>
      <c r="C418" s="8" t="s">
        <v>826</v>
      </c>
      <c r="D418" s="7"/>
      <c r="E418" s="7"/>
    </row>
    <row r="419" spans="1:5" x14ac:dyDescent="0.45">
      <c r="A419" s="6" t="s">
        <v>830</v>
      </c>
      <c r="B419" s="6">
        <f>LAI!D209</f>
        <v>0</v>
      </c>
      <c r="C419" s="8" t="s">
        <v>826</v>
      </c>
      <c r="D419" s="7"/>
      <c r="E419" s="7"/>
    </row>
    <row r="420" spans="1:5" x14ac:dyDescent="0.45">
      <c r="A420" s="6" t="s">
        <v>831</v>
      </c>
      <c r="B420" s="6">
        <f>LAI!G209</f>
        <v>0</v>
      </c>
      <c r="C420" s="8" t="s">
        <v>826</v>
      </c>
      <c r="D420" s="7"/>
      <c r="E420" s="7"/>
    </row>
    <row r="421" spans="1:5" x14ac:dyDescent="0.45">
      <c r="A421" s="6" t="s">
        <v>832</v>
      </c>
      <c r="B421" s="6">
        <f>LAI!D210</f>
        <v>0</v>
      </c>
      <c r="C421" s="8" t="s">
        <v>826</v>
      </c>
      <c r="D421" s="7"/>
      <c r="E421" s="7"/>
    </row>
    <row r="422" spans="1:5" x14ac:dyDescent="0.45">
      <c r="A422" s="6" t="s">
        <v>833</v>
      </c>
      <c r="B422" s="6">
        <f>LAI!G210</f>
        <v>0</v>
      </c>
      <c r="C422" s="8" t="s">
        <v>826</v>
      </c>
      <c r="D422" s="7"/>
      <c r="E422" s="7"/>
    </row>
    <row r="423" spans="1:5" x14ac:dyDescent="0.45">
      <c r="A423" s="6" t="s">
        <v>834</v>
      </c>
      <c r="B423" s="6">
        <f>LAI!D211</f>
        <v>0</v>
      </c>
      <c r="C423" s="8" t="s">
        <v>826</v>
      </c>
      <c r="D423" s="7"/>
      <c r="E423" s="7"/>
    </row>
    <row r="424" spans="1:5" x14ac:dyDescent="0.45">
      <c r="A424" s="6" t="s">
        <v>835</v>
      </c>
      <c r="B424" s="6">
        <f>LAI!G211</f>
        <v>0</v>
      </c>
      <c r="C424" s="8" t="s">
        <v>826</v>
      </c>
      <c r="D424" s="7"/>
      <c r="E424" s="7"/>
    </row>
    <row r="425" spans="1:5" x14ac:dyDescent="0.45">
      <c r="A425" s="6" t="s">
        <v>836</v>
      </c>
      <c r="B425" s="6">
        <f>LAI!D212</f>
        <v>0</v>
      </c>
      <c r="C425" s="8" t="s">
        <v>826</v>
      </c>
      <c r="D425" s="7"/>
      <c r="E425" s="7"/>
    </row>
    <row r="426" spans="1:5" x14ac:dyDescent="0.45">
      <c r="A426" s="6" t="s">
        <v>837</v>
      </c>
      <c r="B426" s="6">
        <f>LAI!G212</f>
        <v>0</v>
      </c>
      <c r="C426" s="8" t="s">
        <v>826</v>
      </c>
      <c r="D426" s="7"/>
      <c r="E426" s="7"/>
    </row>
    <row r="427" spans="1:5" x14ac:dyDescent="0.45">
      <c r="A427" s="6" t="s">
        <v>838</v>
      </c>
      <c r="B427" s="6">
        <f>LAI!D213</f>
        <v>0</v>
      </c>
      <c r="C427" s="8" t="s">
        <v>826</v>
      </c>
      <c r="D427" s="7"/>
      <c r="E427" s="7"/>
    </row>
    <row r="428" spans="1:5" x14ac:dyDescent="0.45">
      <c r="A428" s="6" t="s">
        <v>839</v>
      </c>
      <c r="B428" s="6">
        <f>LAI!G213</f>
        <v>0</v>
      </c>
      <c r="C428" s="8" t="s">
        <v>826</v>
      </c>
      <c r="D428" s="7"/>
      <c r="E428" s="7"/>
    </row>
    <row r="429" spans="1:5" x14ac:dyDescent="0.45">
      <c r="A429" s="6" t="s">
        <v>840</v>
      </c>
      <c r="B429" s="6" t="e">
        <f>LAI!#REF!</f>
        <v>#REF!</v>
      </c>
      <c r="C429" s="8" t="s">
        <v>841</v>
      </c>
      <c r="D429" s="7"/>
      <c r="E429" s="7"/>
    </row>
    <row r="430" spans="1:5" x14ac:dyDescent="0.45">
      <c r="A430" s="6" t="s">
        <v>842</v>
      </c>
      <c r="B430" s="6" t="e">
        <f>LAI!#REF!</f>
        <v>#REF!</v>
      </c>
      <c r="C430" s="8" t="s">
        <v>841</v>
      </c>
      <c r="D430" s="7"/>
      <c r="E430" s="7"/>
    </row>
    <row r="431" spans="1:5" x14ac:dyDescent="0.45">
      <c r="A431" s="6" t="s">
        <v>843</v>
      </c>
      <c r="B431" s="6" t="e">
        <f>LAI!#REF!</f>
        <v>#REF!</v>
      </c>
      <c r="C431" s="8" t="s">
        <v>841</v>
      </c>
      <c r="D431" s="7"/>
      <c r="E431" s="7"/>
    </row>
    <row r="432" spans="1:5" x14ac:dyDescent="0.45">
      <c r="A432" s="6" t="s">
        <v>844</v>
      </c>
      <c r="B432" s="6" t="e">
        <f>LAI!#REF!</f>
        <v>#REF!</v>
      </c>
      <c r="C432" s="8" t="s">
        <v>841</v>
      </c>
      <c r="D432" s="7"/>
      <c r="E432" s="7"/>
    </row>
    <row r="433" spans="1:5" x14ac:dyDescent="0.45">
      <c r="A433" s="6" t="s">
        <v>845</v>
      </c>
      <c r="B433" s="6">
        <f>LAI!E222</f>
        <v>0</v>
      </c>
      <c r="C433" s="8" t="s">
        <v>846</v>
      </c>
      <c r="D433" s="7"/>
      <c r="E433" s="7"/>
    </row>
    <row r="434" spans="1:5" x14ac:dyDescent="0.45">
      <c r="A434" s="6" t="s">
        <v>847</v>
      </c>
      <c r="B434" s="6">
        <f>LAI!G222</f>
        <v>0</v>
      </c>
      <c r="C434" s="8" t="s">
        <v>846</v>
      </c>
      <c r="D434" s="7"/>
      <c r="E434" s="7"/>
    </row>
    <row r="435" spans="1:5" x14ac:dyDescent="0.45">
      <c r="A435" s="6" t="s">
        <v>848</v>
      </c>
      <c r="B435" s="6">
        <f>LAI!I222</f>
        <v>0</v>
      </c>
      <c r="C435" s="8" t="s">
        <v>846</v>
      </c>
      <c r="D435" s="7"/>
      <c r="E435" s="7"/>
    </row>
    <row r="436" spans="1:5" x14ac:dyDescent="0.45">
      <c r="A436" s="6" t="s">
        <v>849</v>
      </c>
      <c r="B436" s="6">
        <f>LAI!K222</f>
        <v>0</v>
      </c>
      <c r="C436" s="8" t="s">
        <v>846</v>
      </c>
      <c r="D436" s="7"/>
      <c r="E436" s="7"/>
    </row>
    <row r="437" spans="1:5" x14ac:dyDescent="0.45">
      <c r="A437" s="6" t="s">
        <v>850</v>
      </c>
      <c r="B437" s="6">
        <f>LAI!E223</f>
        <v>0</v>
      </c>
      <c r="C437" s="8" t="s">
        <v>846</v>
      </c>
      <c r="D437" s="7"/>
      <c r="E437" s="7"/>
    </row>
    <row r="438" spans="1:5" x14ac:dyDescent="0.45">
      <c r="A438" s="6" t="s">
        <v>851</v>
      </c>
      <c r="B438" s="6">
        <f>LAI!G223</f>
        <v>0</v>
      </c>
      <c r="C438" s="8" t="s">
        <v>846</v>
      </c>
      <c r="D438" s="7"/>
      <c r="E438" s="7"/>
    </row>
    <row r="439" spans="1:5" x14ac:dyDescent="0.45">
      <c r="A439" s="6" t="s">
        <v>852</v>
      </c>
      <c r="B439" s="6">
        <f>LAI!I223</f>
        <v>0</v>
      </c>
      <c r="C439" s="8" t="s">
        <v>846</v>
      </c>
      <c r="D439" s="7"/>
      <c r="E439" s="7"/>
    </row>
    <row r="440" spans="1:5" x14ac:dyDescent="0.45">
      <c r="A440" s="6" t="s">
        <v>853</v>
      </c>
      <c r="B440" s="6">
        <f>LAI!K223</f>
        <v>0</v>
      </c>
      <c r="C440" s="8" t="s">
        <v>846</v>
      </c>
      <c r="D440" s="7"/>
      <c r="E440" s="7"/>
    </row>
    <row r="441" spans="1:5" x14ac:dyDescent="0.45">
      <c r="A441" s="6" t="s">
        <v>854</v>
      </c>
      <c r="B441" s="6">
        <f>LAI!E224</f>
        <v>0</v>
      </c>
      <c r="C441" s="8" t="s">
        <v>846</v>
      </c>
      <c r="D441" s="7"/>
      <c r="E441" s="7"/>
    </row>
    <row r="442" spans="1:5" x14ac:dyDescent="0.45">
      <c r="A442" s="6" t="s">
        <v>855</v>
      </c>
      <c r="B442" s="6">
        <f>LAI!G224</f>
        <v>0</v>
      </c>
      <c r="C442" s="8" t="s">
        <v>846</v>
      </c>
      <c r="D442" s="7"/>
      <c r="E442" s="7"/>
    </row>
    <row r="443" spans="1:5" x14ac:dyDescent="0.45">
      <c r="A443" s="6" t="s">
        <v>856</v>
      </c>
      <c r="B443" s="6">
        <f>LAI!I224</f>
        <v>0</v>
      </c>
      <c r="C443" s="8" t="s">
        <v>846</v>
      </c>
      <c r="D443" s="7"/>
      <c r="E443" s="7"/>
    </row>
    <row r="444" spans="1:5" s="1" customFormat="1" x14ac:dyDescent="0.45">
      <c r="A444" s="6" t="s">
        <v>857</v>
      </c>
      <c r="B444" s="6">
        <f>LAI!K224</f>
        <v>0</v>
      </c>
      <c r="C444" s="8" t="s">
        <v>846</v>
      </c>
      <c r="D444" s="7"/>
      <c r="E444" s="7"/>
    </row>
    <row r="445" spans="1:5" s="1" customFormat="1" x14ac:dyDescent="0.45">
      <c r="A445" s="6" t="s">
        <v>858</v>
      </c>
      <c r="B445" s="6">
        <f>LAI!E225</f>
        <v>0</v>
      </c>
      <c r="C445" s="8" t="s">
        <v>846</v>
      </c>
      <c r="D445" s="7"/>
      <c r="E445" s="7"/>
    </row>
    <row r="446" spans="1:5" s="1" customFormat="1" x14ac:dyDescent="0.45">
      <c r="A446" s="6" t="s">
        <v>859</v>
      </c>
      <c r="B446" s="6">
        <f>LAI!G225</f>
        <v>0</v>
      </c>
      <c r="C446" s="8" t="s">
        <v>846</v>
      </c>
      <c r="D446" s="7"/>
      <c r="E446" s="7"/>
    </row>
    <row r="447" spans="1:5" s="1" customFormat="1" x14ac:dyDescent="0.45">
      <c r="A447" s="6" t="s">
        <v>860</v>
      </c>
      <c r="B447" s="6">
        <f>LAI!I225</f>
        <v>0</v>
      </c>
      <c r="C447" s="8" t="s">
        <v>846</v>
      </c>
      <c r="D447" s="7"/>
      <c r="E447" s="7"/>
    </row>
    <row r="448" spans="1:5" s="1" customFormat="1" x14ac:dyDescent="0.45">
      <c r="A448" s="6" t="s">
        <v>861</v>
      </c>
      <c r="B448" s="6">
        <f>LAI!K225</f>
        <v>0</v>
      </c>
      <c r="C448" s="8" t="s">
        <v>846</v>
      </c>
      <c r="D448" s="7"/>
      <c r="E448" s="7"/>
    </row>
    <row r="449" spans="1:5" s="1" customFormat="1" x14ac:dyDescent="0.45">
      <c r="A449" s="6" t="s">
        <v>862</v>
      </c>
      <c r="B449" s="6">
        <f>LAI!E226</f>
        <v>0</v>
      </c>
      <c r="C449" s="8" t="s">
        <v>846</v>
      </c>
      <c r="D449" s="7"/>
      <c r="E449" s="7"/>
    </row>
    <row r="450" spans="1:5" s="1" customFormat="1" x14ac:dyDescent="0.45">
      <c r="A450" s="6" t="s">
        <v>863</v>
      </c>
      <c r="B450" s="6">
        <f>LAI!G226</f>
        <v>0</v>
      </c>
      <c r="C450" s="8" t="s">
        <v>846</v>
      </c>
      <c r="D450" s="7"/>
      <c r="E450" s="7"/>
    </row>
    <row r="451" spans="1:5" s="1" customFormat="1" x14ac:dyDescent="0.45">
      <c r="A451" s="6" t="s">
        <v>864</v>
      </c>
      <c r="B451" s="6">
        <f>LAI!I226</f>
        <v>0</v>
      </c>
      <c r="C451" s="8" t="s">
        <v>846</v>
      </c>
      <c r="D451" s="7"/>
      <c r="E451" s="7"/>
    </row>
    <row r="452" spans="1:5" s="1" customFormat="1" x14ac:dyDescent="0.45">
      <c r="A452" s="6" t="s">
        <v>865</v>
      </c>
      <c r="B452" s="6">
        <f>LAI!K226</f>
        <v>0</v>
      </c>
      <c r="C452" s="8" t="s">
        <v>846</v>
      </c>
      <c r="D452" s="7"/>
      <c r="E452" s="7"/>
    </row>
    <row r="453" spans="1:5" s="1" customFormat="1" x14ac:dyDescent="0.45">
      <c r="A453" s="6" t="s">
        <v>866</v>
      </c>
      <c r="B453" s="6">
        <f>LAI!E227</f>
        <v>0</v>
      </c>
      <c r="C453" s="8" t="s">
        <v>846</v>
      </c>
      <c r="D453" s="7"/>
      <c r="E453" s="7"/>
    </row>
    <row r="454" spans="1:5" s="1" customFormat="1" x14ac:dyDescent="0.45">
      <c r="A454" s="6" t="s">
        <v>867</v>
      </c>
      <c r="B454" s="6">
        <f>LAI!G227</f>
        <v>0</v>
      </c>
      <c r="C454" s="8" t="s">
        <v>846</v>
      </c>
      <c r="D454" s="7"/>
      <c r="E454" s="7"/>
    </row>
    <row r="455" spans="1:5" s="1" customFormat="1" x14ac:dyDescent="0.45">
      <c r="A455" s="6" t="s">
        <v>868</v>
      </c>
      <c r="B455" s="6">
        <f>LAI!I227</f>
        <v>0</v>
      </c>
      <c r="C455" s="8" t="s">
        <v>846</v>
      </c>
      <c r="D455" s="7"/>
      <c r="E455" s="7"/>
    </row>
    <row r="456" spans="1:5" s="1" customFormat="1" x14ac:dyDescent="0.45">
      <c r="A456" s="6" t="s">
        <v>869</v>
      </c>
      <c r="B456" s="6">
        <f>LAI!K227</f>
        <v>0</v>
      </c>
      <c r="C456" s="8" t="s">
        <v>846</v>
      </c>
      <c r="D456" s="7"/>
      <c r="E456" s="7"/>
    </row>
    <row r="457" spans="1:5" s="1" customFormat="1" x14ac:dyDescent="0.45">
      <c r="A457" s="6" t="s">
        <v>870</v>
      </c>
      <c r="B457" s="6">
        <f>LAI!E228</f>
        <v>0</v>
      </c>
      <c r="C457" s="8" t="s">
        <v>846</v>
      </c>
      <c r="D457" s="7"/>
      <c r="E457" s="7"/>
    </row>
    <row r="458" spans="1:5" s="1" customFormat="1" x14ac:dyDescent="0.45">
      <c r="A458" s="6" t="s">
        <v>871</v>
      </c>
      <c r="B458" s="6">
        <f>LAI!G228</f>
        <v>0</v>
      </c>
      <c r="C458" s="8" t="s">
        <v>846</v>
      </c>
      <c r="D458" s="7"/>
      <c r="E458" s="7"/>
    </row>
    <row r="459" spans="1:5" s="1" customFormat="1" x14ac:dyDescent="0.45">
      <c r="A459" s="6" t="s">
        <v>872</v>
      </c>
      <c r="B459" s="6">
        <f>LAI!I228</f>
        <v>0</v>
      </c>
      <c r="C459" s="8" t="s">
        <v>846</v>
      </c>
      <c r="D459" s="7"/>
      <c r="E459" s="7"/>
    </row>
    <row r="460" spans="1:5" s="1" customFormat="1" x14ac:dyDescent="0.45">
      <c r="A460" s="6" t="s">
        <v>873</v>
      </c>
      <c r="B460" s="6">
        <f>LAI!K228</f>
        <v>0</v>
      </c>
      <c r="C460" s="8" t="s">
        <v>846</v>
      </c>
      <c r="D460" s="7"/>
      <c r="E460" s="7"/>
    </row>
    <row r="461" spans="1:5" s="1" customFormat="1" x14ac:dyDescent="0.45">
      <c r="A461" s="6" t="s">
        <v>874</v>
      </c>
      <c r="B461" s="6">
        <f>LAI!E235</f>
        <v>0</v>
      </c>
      <c r="C461" s="8" t="s">
        <v>875</v>
      </c>
      <c r="D461" s="7"/>
      <c r="E461" s="7"/>
    </row>
    <row r="462" spans="1:5" s="1" customFormat="1" x14ac:dyDescent="0.45">
      <c r="A462" s="6" t="s">
        <v>876</v>
      </c>
      <c r="B462" s="6">
        <f>LAI!G235</f>
        <v>0</v>
      </c>
      <c r="C462" s="8" t="s">
        <v>875</v>
      </c>
      <c r="D462" s="7"/>
      <c r="E462" s="7"/>
    </row>
    <row r="463" spans="1:5" s="1" customFormat="1" x14ac:dyDescent="0.45">
      <c r="A463" s="6" t="s">
        <v>877</v>
      </c>
      <c r="B463" s="6">
        <f>LAI!I235</f>
        <v>0</v>
      </c>
      <c r="C463" s="8" t="s">
        <v>875</v>
      </c>
      <c r="D463" s="7"/>
      <c r="E463" s="7"/>
    </row>
    <row r="464" spans="1:5" s="1" customFormat="1" x14ac:dyDescent="0.45">
      <c r="A464" s="6" t="s">
        <v>878</v>
      </c>
      <c r="B464" s="6">
        <f>LAI!K235</f>
        <v>0</v>
      </c>
      <c r="C464" s="8" t="s">
        <v>875</v>
      </c>
      <c r="D464" s="7"/>
      <c r="E464" s="7"/>
    </row>
    <row r="465" spans="1:5" s="1" customFormat="1" x14ac:dyDescent="0.45">
      <c r="A465" s="6" t="s">
        <v>879</v>
      </c>
      <c r="B465" s="6">
        <f>LAI!E236</f>
        <v>0</v>
      </c>
      <c r="C465" s="8" t="s">
        <v>875</v>
      </c>
      <c r="D465" s="7"/>
      <c r="E465" s="7"/>
    </row>
    <row r="466" spans="1:5" s="1" customFormat="1" x14ac:dyDescent="0.45">
      <c r="A466" s="6" t="s">
        <v>880</v>
      </c>
      <c r="B466" s="6">
        <f>LAI!G236</f>
        <v>0</v>
      </c>
      <c r="C466" s="8" t="s">
        <v>875</v>
      </c>
      <c r="D466" s="7"/>
      <c r="E466" s="7"/>
    </row>
    <row r="467" spans="1:5" s="1" customFormat="1" x14ac:dyDescent="0.45">
      <c r="A467" s="6" t="s">
        <v>881</v>
      </c>
      <c r="B467" s="6">
        <f>LAI!I236</f>
        <v>0</v>
      </c>
      <c r="C467" s="8" t="s">
        <v>875</v>
      </c>
      <c r="D467" s="7"/>
      <c r="E467" s="7"/>
    </row>
    <row r="468" spans="1:5" s="1" customFormat="1" x14ac:dyDescent="0.45">
      <c r="A468" s="6" t="s">
        <v>882</v>
      </c>
      <c r="B468" s="6">
        <f>LAI!K236</f>
        <v>0</v>
      </c>
      <c r="C468" s="8" t="s">
        <v>875</v>
      </c>
      <c r="D468" s="7"/>
      <c r="E468" s="7"/>
    </row>
    <row r="469" spans="1:5" s="1" customFormat="1" x14ac:dyDescent="0.45">
      <c r="A469" s="6" t="s">
        <v>883</v>
      </c>
      <c r="B469" s="6">
        <f>LAI!E237</f>
        <v>0</v>
      </c>
      <c r="C469" s="8" t="s">
        <v>875</v>
      </c>
      <c r="D469" s="7"/>
      <c r="E469" s="7"/>
    </row>
    <row r="470" spans="1:5" s="1" customFormat="1" x14ac:dyDescent="0.45">
      <c r="A470" s="6" t="s">
        <v>884</v>
      </c>
      <c r="B470" s="6">
        <f>LAI!G237</f>
        <v>0</v>
      </c>
      <c r="C470" s="8" t="s">
        <v>875</v>
      </c>
      <c r="D470" s="7"/>
      <c r="E470" s="7"/>
    </row>
    <row r="471" spans="1:5" s="1" customFormat="1" x14ac:dyDescent="0.45">
      <c r="A471" s="6" t="s">
        <v>885</v>
      </c>
      <c r="B471" s="6">
        <f>LAI!I237</f>
        <v>0</v>
      </c>
      <c r="C471" s="8" t="s">
        <v>875</v>
      </c>
      <c r="D471" s="7"/>
      <c r="E471" s="7"/>
    </row>
    <row r="472" spans="1:5" s="1" customFormat="1" x14ac:dyDescent="0.45">
      <c r="A472" s="6" t="s">
        <v>886</v>
      </c>
      <c r="B472" s="6">
        <f>LAI!K237</f>
        <v>0</v>
      </c>
      <c r="C472" s="8" t="s">
        <v>875</v>
      </c>
      <c r="D472" s="7"/>
      <c r="E472" s="7"/>
    </row>
    <row r="473" spans="1:5" s="1" customFormat="1" x14ac:dyDescent="0.45">
      <c r="A473" s="6" t="s">
        <v>887</v>
      </c>
      <c r="B473" s="6">
        <f>LAI!E238</f>
        <v>0</v>
      </c>
      <c r="C473" s="8" t="s">
        <v>875</v>
      </c>
      <c r="D473" s="7"/>
      <c r="E473" s="7"/>
    </row>
    <row r="474" spans="1:5" s="1" customFormat="1" x14ac:dyDescent="0.45">
      <c r="A474" s="6" t="s">
        <v>888</v>
      </c>
      <c r="B474" s="6">
        <f>LAI!G238</f>
        <v>0</v>
      </c>
      <c r="C474" s="8" t="s">
        <v>875</v>
      </c>
      <c r="D474" s="7"/>
      <c r="E474" s="7"/>
    </row>
    <row r="475" spans="1:5" s="1" customFormat="1" x14ac:dyDescent="0.45">
      <c r="A475" s="6" t="s">
        <v>889</v>
      </c>
      <c r="B475" s="6">
        <f>LAI!I238</f>
        <v>0</v>
      </c>
      <c r="C475" s="8" t="s">
        <v>875</v>
      </c>
      <c r="D475" s="7"/>
      <c r="E475" s="7"/>
    </row>
    <row r="476" spans="1:5" s="1" customFormat="1" x14ac:dyDescent="0.45">
      <c r="A476" s="6" t="s">
        <v>890</v>
      </c>
      <c r="B476" s="6">
        <f>LAI!K238</f>
        <v>0</v>
      </c>
      <c r="C476" s="8" t="s">
        <v>875</v>
      </c>
      <c r="D476" s="7"/>
      <c r="E476" s="7"/>
    </row>
    <row r="477" spans="1:5" s="1" customFormat="1" x14ac:dyDescent="0.45">
      <c r="A477" s="6" t="s">
        <v>891</v>
      </c>
      <c r="B477" s="6">
        <f>LAI!E239</f>
        <v>0</v>
      </c>
      <c r="C477" s="8" t="s">
        <v>875</v>
      </c>
      <c r="D477" s="7"/>
      <c r="E477" s="7"/>
    </row>
    <row r="478" spans="1:5" s="1" customFormat="1" x14ac:dyDescent="0.45">
      <c r="A478" s="6" t="s">
        <v>892</v>
      </c>
      <c r="B478" s="6">
        <f>LAI!G239</f>
        <v>0</v>
      </c>
      <c r="C478" s="8" t="s">
        <v>875</v>
      </c>
      <c r="D478" s="7"/>
      <c r="E478" s="7"/>
    </row>
    <row r="479" spans="1:5" s="1" customFormat="1" x14ac:dyDescent="0.45">
      <c r="A479" s="6" t="s">
        <v>893</v>
      </c>
      <c r="B479" s="6">
        <f>LAI!I239</f>
        <v>0</v>
      </c>
      <c r="C479" s="8" t="s">
        <v>875</v>
      </c>
      <c r="D479" s="7"/>
      <c r="E479" s="7"/>
    </row>
    <row r="480" spans="1:5" s="1" customFormat="1" x14ac:dyDescent="0.45">
      <c r="A480" s="6" t="s">
        <v>894</v>
      </c>
      <c r="B480" s="6">
        <f>LAI!K239</f>
        <v>0</v>
      </c>
      <c r="C480" s="8" t="s">
        <v>875</v>
      </c>
      <c r="D480" s="7"/>
      <c r="E480" s="7"/>
    </row>
    <row r="481" spans="1:5" s="1" customFormat="1" x14ac:dyDescent="0.45">
      <c r="A481" s="6" t="s">
        <v>895</v>
      </c>
      <c r="B481" s="6">
        <f>LAI!E240</f>
        <v>0</v>
      </c>
      <c r="C481" s="8" t="s">
        <v>875</v>
      </c>
      <c r="D481" s="7"/>
      <c r="E481" s="7"/>
    </row>
    <row r="482" spans="1:5" s="1" customFormat="1" x14ac:dyDescent="0.45">
      <c r="A482" s="6" t="s">
        <v>896</v>
      </c>
      <c r="B482" s="6">
        <f>LAI!G240</f>
        <v>0</v>
      </c>
      <c r="C482" s="8" t="s">
        <v>875</v>
      </c>
      <c r="D482" s="7"/>
      <c r="E482" s="7"/>
    </row>
    <row r="483" spans="1:5" s="1" customFormat="1" x14ac:dyDescent="0.45">
      <c r="A483" s="6" t="s">
        <v>897</v>
      </c>
      <c r="B483" s="6">
        <f>LAI!I240</f>
        <v>0</v>
      </c>
      <c r="C483" s="8" t="s">
        <v>875</v>
      </c>
      <c r="D483" s="7"/>
      <c r="E483" s="7"/>
    </row>
    <row r="484" spans="1:5" s="1" customFormat="1" x14ac:dyDescent="0.45">
      <c r="A484" s="6" t="s">
        <v>898</v>
      </c>
      <c r="B484" s="6">
        <f>LAI!K240</f>
        <v>0</v>
      </c>
      <c r="C484" s="8" t="s">
        <v>875</v>
      </c>
      <c r="D484" s="7"/>
      <c r="E484" s="7"/>
    </row>
    <row r="485" spans="1:5" s="1" customFormat="1" x14ac:dyDescent="0.45">
      <c r="A485" s="6" t="s">
        <v>899</v>
      </c>
      <c r="B485" s="6">
        <f>LAI!C247</f>
        <v>0</v>
      </c>
      <c r="C485" s="8">
        <v>6</v>
      </c>
      <c r="D485" s="7"/>
      <c r="E485" s="7"/>
    </row>
    <row r="486" spans="1:5" s="1" customFormat="1" x14ac:dyDescent="0.45">
      <c r="A486" s="6" t="s">
        <v>900</v>
      </c>
      <c r="B486" s="6">
        <f>LAI!E247</f>
        <v>0</v>
      </c>
      <c r="C486" s="8">
        <v>6</v>
      </c>
      <c r="D486" s="7"/>
      <c r="E486" s="7"/>
    </row>
    <row r="487" spans="1:5" s="1" customFormat="1" x14ac:dyDescent="0.45">
      <c r="A487" s="9" t="s">
        <v>901</v>
      </c>
      <c r="B487" s="9">
        <f>LAI!F247</f>
        <v>0</v>
      </c>
      <c r="C487" s="10">
        <v>6</v>
      </c>
      <c r="D487" s="7"/>
      <c r="E487" s="7"/>
    </row>
    <row r="488" spans="1:5" s="1" customFormat="1" x14ac:dyDescent="0.45">
      <c r="A488" s="9" t="s">
        <v>902</v>
      </c>
      <c r="B488" s="9">
        <f>LAI!H247</f>
        <v>0</v>
      </c>
      <c r="C488" s="10">
        <v>6</v>
      </c>
      <c r="D488" s="7"/>
      <c r="E488" s="7"/>
    </row>
    <row r="489" spans="1:5" s="1" customFormat="1" x14ac:dyDescent="0.45">
      <c r="A489" s="9" t="s">
        <v>903</v>
      </c>
      <c r="B489" s="9">
        <f>LAI!I247</f>
        <v>0</v>
      </c>
      <c r="C489" s="10">
        <v>6</v>
      </c>
      <c r="D489" s="7"/>
      <c r="E489" s="7"/>
    </row>
    <row r="490" spans="1:5" s="1" customFormat="1" x14ac:dyDescent="0.45">
      <c r="A490" s="9" t="s">
        <v>904</v>
      </c>
      <c r="B490" s="9">
        <f>LAI!K247</f>
        <v>0</v>
      </c>
      <c r="C490" s="10">
        <v>6</v>
      </c>
      <c r="D490" s="7"/>
      <c r="E490" s="7"/>
    </row>
    <row r="491" spans="1:5" s="1" customFormat="1" x14ac:dyDescent="0.45">
      <c r="A491" s="6" t="s">
        <v>905</v>
      </c>
      <c r="B491" s="6">
        <f>LAI!C248</f>
        <v>0</v>
      </c>
      <c r="C491" s="8">
        <v>6</v>
      </c>
      <c r="D491" s="7"/>
      <c r="E491" s="7"/>
    </row>
    <row r="492" spans="1:5" s="1" customFormat="1" x14ac:dyDescent="0.45">
      <c r="A492" s="6" t="s">
        <v>906</v>
      </c>
      <c r="B492" s="6">
        <f>LAI!E248</f>
        <v>0</v>
      </c>
      <c r="C492" s="8">
        <v>6</v>
      </c>
      <c r="D492" s="7"/>
      <c r="E492" s="7"/>
    </row>
    <row r="493" spans="1:5" s="1" customFormat="1" x14ac:dyDescent="0.45">
      <c r="A493" s="9" t="s">
        <v>907</v>
      </c>
      <c r="B493" s="9">
        <f>LAI!F248</f>
        <v>0</v>
      </c>
      <c r="C493" s="10">
        <v>6</v>
      </c>
      <c r="D493" s="7"/>
      <c r="E493" s="7"/>
    </row>
    <row r="494" spans="1:5" s="1" customFormat="1" x14ac:dyDescent="0.45">
      <c r="A494" s="9" t="s">
        <v>908</v>
      </c>
      <c r="B494" s="9">
        <f>LAI!H248</f>
        <v>0</v>
      </c>
      <c r="C494" s="10">
        <v>6</v>
      </c>
      <c r="D494" s="7"/>
      <c r="E494" s="7"/>
    </row>
    <row r="495" spans="1:5" s="1" customFormat="1" x14ac:dyDescent="0.45">
      <c r="A495" s="9" t="s">
        <v>909</v>
      </c>
      <c r="B495" s="9">
        <f>LAI!I248</f>
        <v>0</v>
      </c>
      <c r="C495" s="10">
        <v>6</v>
      </c>
      <c r="D495" s="7"/>
      <c r="E495" s="7"/>
    </row>
    <row r="496" spans="1:5" s="1" customFormat="1" x14ac:dyDescent="0.45">
      <c r="A496" s="9" t="s">
        <v>910</v>
      </c>
      <c r="B496" s="9">
        <f>LAI!K248</f>
        <v>0</v>
      </c>
      <c r="C496" s="10">
        <v>6</v>
      </c>
      <c r="D496" s="7"/>
      <c r="E496" s="7"/>
    </row>
    <row r="497" spans="1:5" s="1" customFormat="1" x14ac:dyDescent="0.45">
      <c r="A497" s="6" t="s">
        <v>911</v>
      </c>
      <c r="B497" s="6">
        <f>LAI!E256</f>
        <v>0</v>
      </c>
      <c r="C497" s="8" t="s">
        <v>912</v>
      </c>
      <c r="D497" s="7"/>
      <c r="E497" s="7"/>
    </row>
    <row r="498" spans="1:5" s="1" customFormat="1" x14ac:dyDescent="0.45">
      <c r="A498" s="6" t="s">
        <v>913</v>
      </c>
      <c r="B498" s="6">
        <f>LAI!G256</f>
        <v>0</v>
      </c>
      <c r="C498" s="8" t="s">
        <v>912</v>
      </c>
      <c r="D498" s="7"/>
      <c r="E498" s="7"/>
    </row>
    <row r="499" spans="1:5" s="1" customFormat="1" x14ac:dyDescent="0.45">
      <c r="A499" s="6" t="s">
        <v>914</v>
      </c>
      <c r="B499" s="6">
        <f>LAI!I256</f>
        <v>0</v>
      </c>
      <c r="C499" s="8" t="s">
        <v>912</v>
      </c>
      <c r="D499" s="7"/>
      <c r="E499" s="7"/>
    </row>
    <row r="500" spans="1:5" s="1" customFormat="1" x14ac:dyDescent="0.45">
      <c r="A500" s="6" t="s">
        <v>915</v>
      </c>
      <c r="B500" s="6">
        <f>LAI!K256</f>
        <v>0</v>
      </c>
      <c r="C500" s="8" t="s">
        <v>912</v>
      </c>
      <c r="D500" s="7"/>
      <c r="E500" s="7"/>
    </row>
    <row r="501" spans="1:5" s="1" customFormat="1" x14ac:dyDescent="0.45">
      <c r="A501" s="6" t="s">
        <v>916</v>
      </c>
      <c r="B501" s="6">
        <f>LAI!E257</f>
        <v>0</v>
      </c>
      <c r="C501" s="8" t="s">
        <v>912</v>
      </c>
      <c r="D501" s="7"/>
      <c r="E501" s="7"/>
    </row>
    <row r="502" spans="1:5" s="1" customFormat="1" x14ac:dyDescent="0.45">
      <c r="A502" s="6" t="s">
        <v>917</v>
      </c>
      <c r="B502" s="6">
        <f>LAI!G257</f>
        <v>0</v>
      </c>
      <c r="C502" s="8" t="s">
        <v>912</v>
      </c>
      <c r="D502" s="7"/>
      <c r="E502" s="7"/>
    </row>
    <row r="503" spans="1:5" s="1" customFormat="1" x14ac:dyDescent="0.45">
      <c r="A503" s="6" t="s">
        <v>918</v>
      </c>
      <c r="B503" s="6">
        <f>LAI!I257</f>
        <v>0</v>
      </c>
      <c r="C503" s="8" t="s">
        <v>912</v>
      </c>
      <c r="D503" s="7"/>
      <c r="E503" s="7"/>
    </row>
    <row r="504" spans="1:5" s="1" customFormat="1" x14ac:dyDescent="0.45">
      <c r="A504" s="6" t="s">
        <v>919</v>
      </c>
      <c r="B504" s="6">
        <f>LAI!K257</f>
        <v>0</v>
      </c>
      <c r="C504" s="8" t="s">
        <v>912</v>
      </c>
      <c r="D504" s="7"/>
      <c r="E504" s="7"/>
    </row>
    <row r="505" spans="1:5" s="1" customFormat="1" x14ac:dyDescent="0.45">
      <c r="A505" s="6" t="s">
        <v>920</v>
      </c>
      <c r="B505" s="6">
        <f>LAI!E259</f>
        <v>0</v>
      </c>
      <c r="C505" s="8" t="s">
        <v>912</v>
      </c>
      <c r="D505" s="7"/>
      <c r="E505" s="7"/>
    </row>
    <row r="506" spans="1:5" s="1" customFormat="1" x14ac:dyDescent="0.45">
      <c r="A506" s="6" t="s">
        <v>921</v>
      </c>
      <c r="B506" s="6">
        <f>LAI!G259</f>
        <v>0</v>
      </c>
      <c r="C506" s="8" t="s">
        <v>912</v>
      </c>
      <c r="D506" s="7"/>
      <c r="E506" s="7"/>
    </row>
    <row r="507" spans="1:5" s="1" customFormat="1" x14ac:dyDescent="0.45">
      <c r="A507" s="6" t="s">
        <v>922</v>
      </c>
      <c r="B507" s="6">
        <f>LAI!I259</f>
        <v>0</v>
      </c>
      <c r="C507" s="8" t="s">
        <v>912</v>
      </c>
      <c r="D507" s="7"/>
      <c r="E507" s="7"/>
    </row>
    <row r="508" spans="1:5" s="1" customFormat="1" x14ac:dyDescent="0.45">
      <c r="A508" s="6" t="s">
        <v>923</v>
      </c>
      <c r="B508" s="6">
        <f>LAI!K259</f>
        <v>0</v>
      </c>
      <c r="C508" s="8" t="s">
        <v>912</v>
      </c>
      <c r="D508" s="7"/>
      <c r="E508" s="7"/>
    </row>
    <row r="509" spans="1:5" s="1" customFormat="1" x14ac:dyDescent="0.45">
      <c r="A509" s="9" t="s">
        <v>924</v>
      </c>
      <c r="B509" s="9">
        <f>LAI!E260</f>
        <v>0</v>
      </c>
      <c r="C509" s="10" t="s">
        <v>912</v>
      </c>
      <c r="D509" s="7"/>
      <c r="E509" s="7"/>
    </row>
    <row r="510" spans="1:5" s="1" customFormat="1" x14ac:dyDescent="0.45">
      <c r="A510" s="9" t="s">
        <v>925</v>
      </c>
      <c r="B510" s="9">
        <f>LAI!G260</f>
        <v>0</v>
      </c>
      <c r="C510" s="10" t="s">
        <v>912</v>
      </c>
      <c r="D510" s="7"/>
      <c r="E510" s="7"/>
    </row>
    <row r="511" spans="1:5" s="1" customFormat="1" x14ac:dyDescent="0.45">
      <c r="A511" s="9" t="s">
        <v>926</v>
      </c>
      <c r="B511" s="9">
        <f>LAI!I260</f>
        <v>0</v>
      </c>
      <c r="C511" s="10" t="s">
        <v>912</v>
      </c>
      <c r="D511" s="7"/>
      <c r="E511" s="7"/>
    </row>
    <row r="512" spans="1:5" s="1" customFormat="1" x14ac:dyDescent="0.45">
      <c r="A512" s="9" t="s">
        <v>927</v>
      </c>
      <c r="B512" s="9">
        <f>LAI!K260</f>
        <v>0</v>
      </c>
      <c r="C512" s="10" t="s">
        <v>912</v>
      </c>
      <c r="D512" s="7"/>
      <c r="E512" s="7"/>
    </row>
    <row r="513" spans="1:5" s="1" customFormat="1" x14ac:dyDescent="0.45">
      <c r="A513" s="9" t="s">
        <v>928</v>
      </c>
      <c r="B513" s="9">
        <f>LAI!E261</f>
        <v>0</v>
      </c>
      <c r="C513" s="10" t="s">
        <v>912</v>
      </c>
      <c r="D513" s="7"/>
      <c r="E513" s="7"/>
    </row>
    <row r="514" spans="1:5" x14ac:dyDescent="0.45">
      <c r="A514" s="9" t="s">
        <v>929</v>
      </c>
      <c r="B514" s="9">
        <f>LAI!G261</f>
        <v>0</v>
      </c>
      <c r="C514" s="10" t="s">
        <v>912</v>
      </c>
      <c r="D514" s="7"/>
      <c r="E514" s="7"/>
    </row>
    <row r="515" spans="1:5" x14ac:dyDescent="0.45">
      <c r="A515" s="9" t="s">
        <v>930</v>
      </c>
      <c r="B515" s="9">
        <f>LAI!I261</f>
        <v>0</v>
      </c>
      <c r="C515" s="10" t="s">
        <v>912</v>
      </c>
      <c r="D515" s="7"/>
      <c r="E515" s="7"/>
    </row>
    <row r="516" spans="1:5" x14ac:dyDescent="0.45">
      <c r="A516" s="9" t="s">
        <v>931</v>
      </c>
      <c r="B516" s="9">
        <f>LAI!K261</f>
        <v>0</v>
      </c>
      <c r="C516" s="10" t="s">
        <v>912</v>
      </c>
      <c r="D516" s="7"/>
      <c r="E516" s="7"/>
    </row>
    <row r="517" spans="1:5" x14ac:dyDescent="0.45">
      <c r="A517" s="6" t="s">
        <v>932</v>
      </c>
      <c r="B517" s="6">
        <f>LAI!E267</f>
        <v>0</v>
      </c>
      <c r="C517" s="8" t="s">
        <v>933</v>
      </c>
      <c r="D517" s="7"/>
      <c r="E517" s="7"/>
    </row>
    <row r="518" spans="1:5" x14ac:dyDescent="0.45">
      <c r="A518" s="6" t="s">
        <v>934</v>
      </c>
      <c r="B518" s="6">
        <f>LAI!F267</f>
        <v>0</v>
      </c>
      <c r="C518" s="8" t="s">
        <v>933</v>
      </c>
      <c r="D518" s="7"/>
      <c r="E518" s="7"/>
    </row>
    <row r="519" spans="1:5" x14ac:dyDescent="0.45">
      <c r="A519" s="6" t="s">
        <v>935</v>
      </c>
      <c r="B519" s="6">
        <f>LAI!G267</f>
        <v>0</v>
      </c>
      <c r="C519" s="8" t="s">
        <v>933</v>
      </c>
      <c r="D519" s="7"/>
      <c r="E519" s="7"/>
    </row>
    <row r="520" spans="1:5" x14ac:dyDescent="0.45">
      <c r="A520" s="6" t="s">
        <v>936</v>
      </c>
      <c r="B520" s="6">
        <f>LAI!H267</f>
        <v>0</v>
      </c>
      <c r="C520" s="8" t="s">
        <v>933</v>
      </c>
      <c r="D520" s="7"/>
      <c r="E520" s="7"/>
    </row>
    <row r="521" spans="1:5" x14ac:dyDescent="0.45">
      <c r="A521" s="6" t="s">
        <v>937</v>
      </c>
      <c r="B521" s="6">
        <f>LAI!I267</f>
        <v>0</v>
      </c>
      <c r="C521" s="8" t="s">
        <v>933</v>
      </c>
      <c r="D521" s="7"/>
      <c r="E521" s="7"/>
    </row>
    <row r="522" spans="1:5" x14ac:dyDescent="0.45">
      <c r="A522" s="6" t="s">
        <v>938</v>
      </c>
      <c r="B522" s="6">
        <f>LAI!J267</f>
        <v>0</v>
      </c>
      <c r="C522" s="8" t="s">
        <v>933</v>
      </c>
      <c r="D522" s="7"/>
      <c r="E522" s="7"/>
    </row>
    <row r="523" spans="1:5" x14ac:dyDescent="0.45">
      <c r="A523" s="6" t="s">
        <v>939</v>
      </c>
      <c r="B523" s="6">
        <f>LAI!K267</f>
        <v>0</v>
      </c>
      <c r="C523" s="8" t="s">
        <v>933</v>
      </c>
      <c r="D523" s="7"/>
      <c r="E523" s="7"/>
    </row>
    <row r="524" spans="1:5" x14ac:dyDescent="0.45">
      <c r="A524" s="6" t="s">
        <v>940</v>
      </c>
      <c r="B524" s="6">
        <f>LAI!E268</f>
        <v>0</v>
      </c>
      <c r="C524" s="8" t="s">
        <v>933</v>
      </c>
      <c r="D524" s="7"/>
      <c r="E524" s="7"/>
    </row>
    <row r="525" spans="1:5" x14ac:dyDescent="0.45">
      <c r="A525" s="6" t="s">
        <v>941</v>
      </c>
      <c r="B525" s="6">
        <f>LAI!F268</f>
        <v>0</v>
      </c>
      <c r="C525" s="8" t="s">
        <v>933</v>
      </c>
      <c r="D525" s="7"/>
      <c r="E525" s="7"/>
    </row>
    <row r="526" spans="1:5" x14ac:dyDescent="0.45">
      <c r="A526" s="6" t="s">
        <v>942</v>
      </c>
      <c r="B526" s="6">
        <f>LAI!G268</f>
        <v>0</v>
      </c>
      <c r="C526" s="8" t="s">
        <v>933</v>
      </c>
      <c r="D526" s="7"/>
      <c r="E526" s="7"/>
    </row>
    <row r="527" spans="1:5" x14ac:dyDescent="0.45">
      <c r="A527" s="6" t="s">
        <v>943</v>
      </c>
      <c r="B527" s="6">
        <f>LAI!H268</f>
        <v>0</v>
      </c>
      <c r="C527" s="8" t="s">
        <v>933</v>
      </c>
      <c r="D527" s="7"/>
      <c r="E527" s="7"/>
    </row>
    <row r="528" spans="1:5" x14ac:dyDescent="0.45">
      <c r="A528" s="6" t="s">
        <v>944</v>
      </c>
      <c r="B528" s="6">
        <f>LAI!I268</f>
        <v>0</v>
      </c>
      <c r="C528" s="8" t="s">
        <v>933</v>
      </c>
      <c r="D528" s="7"/>
      <c r="E528" s="7"/>
    </row>
    <row r="529" spans="1:5" x14ac:dyDescent="0.45">
      <c r="A529" s="6" t="s">
        <v>945</v>
      </c>
      <c r="B529" s="6">
        <f>LAI!J268</f>
        <v>0</v>
      </c>
      <c r="C529" s="8" t="s">
        <v>933</v>
      </c>
      <c r="D529" s="7"/>
      <c r="E529" s="7"/>
    </row>
    <row r="530" spans="1:5" x14ac:dyDescent="0.45">
      <c r="A530" s="6" t="s">
        <v>946</v>
      </c>
      <c r="B530" s="6">
        <f>LAI!K268</f>
        <v>0</v>
      </c>
      <c r="C530" s="8" t="s">
        <v>933</v>
      </c>
      <c r="D530" s="7"/>
      <c r="E530" s="7"/>
    </row>
    <row r="531" spans="1:5" x14ac:dyDescent="0.45">
      <c r="A531" s="6" t="s">
        <v>947</v>
      </c>
      <c r="B531" s="6">
        <f>LAI!E269</f>
        <v>0</v>
      </c>
      <c r="C531" s="8" t="s">
        <v>933</v>
      </c>
      <c r="D531" s="7"/>
      <c r="E531" s="7"/>
    </row>
    <row r="532" spans="1:5" x14ac:dyDescent="0.45">
      <c r="A532" s="6" t="s">
        <v>948</v>
      </c>
      <c r="B532" s="6">
        <f>LAI!F269</f>
        <v>0</v>
      </c>
      <c r="C532" s="8" t="s">
        <v>933</v>
      </c>
      <c r="D532" s="7"/>
      <c r="E532" s="7"/>
    </row>
    <row r="533" spans="1:5" x14ac:dyDescent="0.45">
      <c r="A533" s="6" t="s">
        <v>949</v>
      </c>
      <c r="B533" s="6">
        <f>LAI!G269</f>
        <v>0</v>
      </c>
      <c r="C533" s="8" t="s">
        <v>933</v>
      </c>
      <c r="D533" s="7"/>
      <c r="E533" s="7"/>
    </row>
    <row r="534" spans="1:5" x14ac:dyDescent="0.45">
      <c r="A534" s="6" t="s">
        <v>950</v>
      </c>
      <c r="B534" s="6">
        <f>LAI!H269</f>
        <v>0</v>
      </c>
      <c r="C534" s="8" t="s">
        <v>933</v>
      </c>
      <c r="D534" s="7"/>
      <c r="E534" s="7"/>
    </row>
    <row r="535" spans="1:5" x14ac:dyDescent="0.45">
      <c r="A535" s="6" t="s">
        <v>951</v>
      </c>
      <c r="B535" s="6">
        <f>LAI!I269</f>
        <v>0</v>
      </c>
      <c r="C535" s="8" t="s">
        <v>933</v>
      </c>
      <c r="D535" s="7"/>
      <c r="E535" s="7"/>
    </row>
    <row r="536" spans="1:5" x14ac:dyDescent="0.45">
      <c r="A536" s="6" t="s">
        <v>952</v>
      </c>
      <c r="B536" s="6">
        <f>LAI!J269</f>
        <v>0</v>
      </c>
      <c r="C536" s="8" t="s">
        <v>933</v>
      </c>
      <c r="D536" s="7"/>
      <c r="E536" s="7"/>
    </row>
    <row r="537" spans="1:5" x14ac:dyDescent="0.45">
      <c r="A537" s="6" t="s">
        <v>953</v>
      </c>
      <c r="B537" s="6">
        <f>LAI!K269</f>
        <v>0</v>
      </c>
      <c r="C537" s="8" t="s">
        <v>933</v>
      </c>
      <c r="D537" s="7"/>
      <c r="E537" s="7"/>
    </row>
    <row r="538" spans="1:5" x14ac:dyDescent="0.45">
      <c r="A538" s="6" t="s">
        <v>954</v>
      </c>
      <c r="B538" s="6">
        <f>LAI!E270</f>
        <v>0</v>
      </c>
      <c r="C538" s="8" t="s">
        <v>933</v>
      </c>
      <c r="D538" s="7"/>
      <c r="E538" s="7"/>
    </row>
    <row r="539" spans="1:5" x14ac:dyDescent="0.45">
      <c r="A539" s="6" t="s">
        <v>955</v>
      </c>
      <c r="B539" s="6">
        <f>LAI!F270</f>
        <v>0</v>
      </c>
      <c r="C539" s="8" t="s">
        <v>933</v>
      </c>
      <c r="D539" s="7"/>
      <c r="E539" s="7"/>
    </row>
    <row r="540" spans="1:5" x14ac:dyDescent="0.45">
      <c r="A540" s="6" t="s">
        <v>956</v>
      </c>
      <c r="B540" s="6">
        <f>LAI!G270</f>
        <v>0</v>
      </c>
      <c r="C540" s="8" t="s">
        <v>933</v>
      </c>
      <c r="D540" s="7"/>
      <c r="E540" s="7"/>
    </row>
    <row r="541" spans="1:5" x14ac:dyDescent="0.45">
      <c r="A541" s="6" t="s">
        <v>957</v>
      </c>
      <c r="B541" s="6">
        <f>LAI!H270</f>
        <v>0</v>
      </c>
      <c r="C541" s="8" t="s">
        <v>933</v>
      </c>
      <c r="D541" s="7"/>
      <c r="E541" s="7"/>
    </row>
    <row r="542" spans="1:5" x14ac:dyDescent="0.45">
      <c r="A542" s="6" t="s">
        <v>958</v>
      </c>
      <c r="B542" s="6">
        <f>LAI!I270</f>
        <v>0</v>
      </c>
      <c r="C542" s="8" t="s">
        <v>933</v>
      </c>
      <c r="D542" s="7"/>
      <c r="E542" s="7"/>
    </row>
    <row r="543" spans="1:5" x14ac:dyDescent="0.45">
      <c r="A543" s="6" t="s">
        <v>959</v>
      </c>
      <c r="B543" s="6">
        <f>LAI!J270</f>
        <v>0</v>
      </c>
      <c r="C543" s="8" t="s">
        <v>933</v>
      </c>
      <c r="D543" s="7"/>
      <c r="E543" s="7"/>
    </row>
    <row r="544" spans="1:5" x14ac:dyDescent="0.45">
      <c r="A544" s="6" t="s">
        <v>960</v>
      </c>
      <c r="B544" s="6">
        <f>LAI!K270</f>
        <v>0</v>
      </c>
      <c r="C544" s="8" t="s">
        <v>933</v>
      </c>
      <c r="D544" s="7"/>
      <c r="E544" s="7"/>
    </row>
    <row r="545" spans="1:5" x14ac:dyDescent="0.45">
      <c r="A545" s="6" t="s">
        <v>961</v>
      </c>
      <c r="B545" s="6">
        <f>LAI!E271</f>
        <v>0</v>
      </c>
      <c r="C545" s="8" t="s">
        <v>933</v>
      </c>
      <c r="D545" s="7"/>
      <c r="E545" s="7"/>
    </row>
    <row r="546" spans="1:5" x14ac:dyDescent="0.45">
      <c r="A546" s="6" t="s">
        <v>962</v>
      </c>
      <c r="B546" s="6">
        <f>LAI!F271</f>
        <v>0</v>
      </c>
      <c r="C546" s="8" t="s">
        <v>933</v>
      </c>
      <c r="D546" s="7"/>
      <c r="E546" s="7"/>
    </row>
    <row r="547" spans="1:5" x14ac:dyDescent="0.45">
      <c r="A547" s="6" t="s">
        <v>963</v>
      </c>
      <c r="B547" s="6">
        <f>LAI!G271</f>
        <v>0</v>
      </c>
      <c r="C547" s="8" t="s">
        <v>933</v>
      </c>
      <c r="D547" s="7"/>
      <c r="E547" s="7"/>
    </row>
    <row r="548" spans="1:5" x14ac:dyDescent="0.45">
      <c r="A548" s="6" t="s">
        <v>964</v>
      </c>
      <c r="B548" s="6">
        <f>LAI!H270</f>
        <v>0</v>
      </c>
      <c r="C548" s="8" t="s">
        <v>933</v>
      </c>
      <c r="D548" s="7"/>
      <c r="E548" s="7"/>
    </row>
    <row r="549" spans="1:5" x14ac:dyDescent="0.45">
      <c r="A549" s="6" t="s">
        <v>965</v>
      </c>
      <c r="B549" s="6">
        <f>LAI!I271</f>
        <v>0</v>
      </c>
      <c r="C549" s="8" t="s">
        <v>933</v>
      </c>
      <c r="D549" s="7"/>
      <c r="E549" s="7"/>
    </row>
    <row r="550" spans="1:5" x14ac:dyDescent="0.45">
      <c r="A550" s="6" t="s">
        <v>966</v>
      </c>
      <c r="B550" s="6">
        <f>LAI!J271</f>
        <v>0</v>
      </c>
      <c r="C550" s="8" t="s">
        <v>933</v>
      </c>
      <c r="D550" s="7"/>
      <c r="E550" s="7"/>
    </row>
    <row r="551" spans="1:5" x14ac:dyDescent="0.45">
      <c r="A551" s="6" t="s">
        <v>967</v>
      </c>
      <c r="B551" s="6">
        <f>LAI!K271</f>
        <v>0</v>
      </c>
      <c r="C551" s="8" t="s">
        <v>933</v>
      </c>
      <c r="D551" s="7"/>
      <c r="E551" s="7"/>
    </row>
    <row r="552" spans="1:5" x14ac:dyDescent="0.45">
      <c r="A552" s="6" t="s">
        <v>968</v>
      </c>
      <c r="B552" s="6">
        <f>LAI!E272</f>
        <v>0</v>
      </c>
      <c r="C552" s="8" t="s">
        <v>933</v>
      </c>
      <c r="D552" s="7"/>
      <c r="E552" s="7"/>
    </row>
    <row r="553" spans="1:5" x14ac:dyDescent="0.45">
      <c r="A553" s="6" t="s">
        <v>969</v>
      </c>
      <c r="B553" s="6">
        <f>LAI!F272</f>
        <v>0</v>
      </c>
      <c r="C553" s="8" t="s">
        <v>933</v>
      </c>
      <c r="D553" s="7"/>
      <c r="E553" s="7"/>
    </row>
    <row r="554" spans="1:5" x14ac:dyDescent="0.45">
      <c r="A554" s="6" t="s">
        <v>970</v>
      </c>
      <c r="B554" s="6">
        <f>LAI!G272</f>
        <v>0</v>
      </c>
      <c r="C554" s="8" t="s">
        <v>933</v>
      </c>
      <c r="D554" s="7"/>
      <c r="E554" s="7"/>
    </row>
    <row r="555" spans="1:5" x14ac:dyDescent="0.45">
      <c r="A555" s="6" t="s">
        <v>971</v>
      </c>
      <c r="B555" s="6">
        <f>LAI!H272</f>
        <v>0</v>
      </c>
      <c r="C555" s="8" t="s">
        <v>933</v>
      </c>
      <c r="D555" s="7"/>
      <c r="E555" s="7"/>
    </row>
    <row r="556" spans="1:5" x14ac:dyDescent="0.45">
      <c r="A556" s="6" t="s">
        <v>972</v>
      </c>
      <c r="B556" s="6">
        <f>LAI!I272</f>
        <v>0</v>
      </c>
      <c r="C556" s="8" t="s">
        <v>933</v>
      </c>
      <c r="D556" s="7"/>
      <c r="E556" s="7"/>
    </row>
    <row r="557" spans="1:5" x14ac:dyDescent="0.45">
      <c r="A557" s="6" t="s">
        <v>973</v>
      </c>
      <c r="B557" s="6">
        <f>LAI!J272</f>
        <v>0</v>
      </c>
      <c r="C557" s="8" t="s">
        <v>933</v>
      </c>
      <c r="D557" s="7"/>
      <c r="E557" s="7"/>
    </row>
    <row r="558" spans="1:5" x14ac:dyDescent="0.45">
      <c r="A558" s="6" t="s">
        <v>974</v>
      </c>
      <c r="B558" s="6">
        <f>LAI!K272</f>
        <v>0</v>
      </c>
      <c r="C558" s="8" t="s">
        <v>933</v>
      </c>
      <c r="D558" s="7"/>
      <c r="E558" s="7"/>
    </row>
    <row r="559" spans="1:5" x14ac:dyDescent="0.45">
      <c r="A559" s="6" t="s">
        <v>975</v>
      </c>
      <c r="B559" s="6">
        <f>LAI!E279</f>
        <v>0</v>
      </c>
      <c r="C559" s="8" t="s">
        <v>976</v>
      </c>
      <c r="D559" s="7"/>
      <c r="E559" s="7"/>
    </row>
    <row r="560" spans="1:5" x14ac:dyDescent="0.45">
      <c r="A560" s="6" t="s">
        <v>977</v>
      </c>
      <c r="B560" s="6">
        <f>LAI!F279</f>
        <v>0</v>
      </c>
      <c r="C560" s="8" t="s">
        <v>976</v>
      </c>
      <c r="D560" s="7"/>
      <c r="E560" s="7"/>
    </row>
    <row r="561" spans="1:5" x14ac:dyDescent="0.45">
      <c r="A561" s="6" t="s">
        <v>978</v>
      </c>
      <c r="B561" s="6">
        <f>LAI!G279</f>
        <v>0</v>
      </c>
      <c r="C561" s="8" t="s">
        <v>976</v>
      </c>
      <c r="D561" s="7"/>
      <c r="E561" s="7"/>
    </row>
    <row r="562" spans="1:5" x14ac:dyDescent="0.45">
      <c r="A562" s="6" t="s">
        <v>979</v>
      </c>
      <c r="B562" s="6">
        <f>LAI!H279</f>
        <v>0</v>
      </c>
      <c r="C562" s="8" t="s">
        <v>976</v>
      </c>
      <c r="D562" s="7"/>
      <c r="E562" s="7"/>
    </row>
    <row r="563" spans="1:5" x14ac:dyDescent="0.45">
      <c r="A563" s="6" t="s">
        <v>980</v>
      </c>
      <c r="B563" s="6">
        <f>LAI!I279</f>
        <v>0</v>
      </c>
      <c r="C563" s="8" t="s">
        <v>976</v>
      </c>
      <c r="D563" s="7"/>
      <c r="E563" s="7"/>
    </row>
    <row r="564" spans="1:5" x14ac:dyDescent="0.45">
      <c r="A564" s="6" t="s">
        <v>981</v>
      </c>
      <c r="B564" s="6">
        <f>LAI!J279</f>
        <v>0</v>
      </c>
      <c r="C564" s="8" t="s">
        <v>976</v>
      </c>
      <c r="D564" s="7"/>
      <c r="E564" s="7"/>
    </row>
    <row r="565" spans="1:5" x14ac:dyDescent="0.45">
      <c r="A565" s="6" t="s">
        <v>982</v>
      </c>
      <c r="B565" s="6">
        <f>LAI!K279</f>
        <v>0</v>
      </c>
      <c r="C565" s="8" t="s">
        <v>976</v>
      </c>
      <c r="D565" s="7"/>
      <c r="E565" s="7"/>
    </row>
    <row r="566" spans="1:5" x14ac:dyDescent="0.45">
      <c r="A566" s="6" t="s">
        <v>983</v>
      </c>
      <c r="B566" s="6">
        <f>LAI!E280</f>
        <v>0</v>
      </c>
      <c r="C566" s="8" t="s">
        <v>976</v>
      </c>
      <c r="D566" s="7"/>
      <c r="E566" s="7"/>
    </row>
    <row r="567" spans="1:5" x14ac:dyDescent="0.45">
      <c r="A567" s="6" t="s">
        <v>984</v>
      </c>
      <c r="B567" s="6">
        <f>LAI!F280</f>
        <v>0</v>
      </c>
      <c r="C567" s="8" t="s">
        <v>976</v>
      </c>
      <c r="D567" s="7"/>
      <c r="E567" s="7"/>
    </row>
    <row r="568" spans="1:5" x14ac:dyDescent="0.45">
      <c r="A568" s="6" t="s">
        <v>985</v>
      </c>
      <c r="B568" s="6">
        <f>LAI!G280</f>
        <v>0</v>
      </c>
      <c r="C568" s="8" t="s">
        <v>976</v>
      </c>
      <c r="D568" s="7"/>
      <c r="E568" s="7"/>
    </row>
    <row r="569" spans="1:5" x14ac:dyDescent="0.45">
      <c r="A569" s="6" t="s">
        <v>986</v>
      </c>
      <c r="B569" s="6">
        <f>LAI!H280</f>
        <v>0</v>
      </c>
      <c r="C569" s="8" t="s">
        <v>976</v>
      </c>
      <c r="D569" s="7"/>
      <c r="E569" s="7"/>
    </row>
    <row r="570" spans="1:5" x14ac:dyDescent="0.45">
      <c r="A570" s="6" t="s">
        <v>987</v>
      </c>
      <c r="B570" s="6">
        <f>LAI!I280</f>
        <v>0</v>
      </c>
      <c r="C570" s="8" t="s">
        <v>976</v>
      </c>
      <c r="D570" s="7"/>
      <c r="E570" s="7"/>
    </row>
    <row r="571" spans="1:5" x14ac:dyDescent="0.45">
      <c r="A571" s="6" t="s">
        <v>988</v>
      </c>
      <c r="B571" s="6">
        <f>LAI!J280</f>
        <v>0</v>
      </c>
      <c r="C571" s="8" t="s">
        <v>976</v>
      </c>
      <c r="D571" s="7"/>
      <c r="E571" s="7"/>
    </row>
    <row r="572" spans="1:5" x14ac:dyDescent="0.45">
      <c r="A572" s="6" t="s">
        <v>989</v>
      </c>
      <c r="B572" s="6">
        <f>LAI!K280</f>
        <v>0</v>
      </c>
      <c r="C572" s="8" t="s">
        <v>976</v>
      </c>
      <c r="D572" s="7"/>
      <c r="E572" s="7"/>
    </row>
    <row r="573" spans="1:5" x14ac:dyDescent="0.45">
      <c r="A573" s="6" t="s">
        <v>990</v>
      </c>
      <c r="B573" s="6">
        <f>LAI!E281</f>
        <v>0</v>
      </c>
      <c r="C573" s="8" t="s">
        <v>976</v>
      </c>
      <c r="D573" s="7"/>
      <c r="E573" s="7"/>
    </row>
    <row r="574" spans="1:5" x14ac:dyDescent="0.45">
      <c r="A574" s="6" t="s">
        <v>991</v>
      </c>
      <c r="B574" s="6">
        <f>LAI!F281</f>
        <v>0</v>
      </c>
      <c r="C574" s="8" t="s">
        <v>976</v>
      </c>
      <c r="D574" s="7"/>
      <c r="E574" s="7"/>
    </row>
    <row r="575" spans="1:5" x14ac:dyDescent="0.45">
      <c r="A575" s="6" t="s">
        <v>992</v>
      </c>
      <c r="B575" s="6">
        <f>LAI!G281</f>
        <v>0</v>
      </c>
      <c r="C575" s="8" t="s">
        <v>976</v>
      </c>
      <c r="D575" s="7"/>
      <c r="E575" s="7"/>
    </row>
    <row r="576" spans="1:5" x14ac:dyDescent="0.45">
      <c r="A576" s="6" t="s">
        <v>993</v>
      </c>
      <c r="B576" s="6">
        <f>LAI!H281</f>
        <v>0</v>
      </c>
      <c r="C576" s="8" t="s">
        <v>976</v>
      </c>
      <c r="D576" s="7"/>
      <c r="E576" s="7"/>
    </row>
    <row r="577" spans="1:5" x14ac:dyDescent="0.45">
      <c r="A577" s="6" t="s">
        <v>994</v>
      </c>
      <c r="B577" s="6">
        <f>LAI!I281</f>
        <v>0</v>
      </c>
      <c r="C577" s="8" t="s">
        <v>976</v>
      </c>
      <c r="D577" s="7"/>
      <c r="E577" s="7"/>
    </row>
    <row r="578" spans="1:5" x14ac:dyDescent="0.45">
      <c r="A578" s="6" t="s">
        <v>995</v>
      </c>
      <c r="B578" s="6">
        <f>LAI!J281</f>
        <v>0</v>
      </c>
      <c r="C578" s="8" t="s">
        <v>976</v>
      </c>
      <c r="D578" s="7"/>
      <c r="E578" s="7"/>
    </row>
    <row r="579" spans="1:5" x14ac:dyDescent="0.45">
      <c r="A579" s="6" t="s">
        <v>996</v>
      </c>
      <c r="B579" s="6">
        <f>LAI!K281</f>
        <v>0</v>
      </c>
      <c r="C579" s="8" t="s">
        <v>976</v>
      </c>
      <c r="D579" s="7"/>
      <c r="E579" s="7"/>
    </row>
    <row r="580" spans="1:5" x14ac:dyDescent="0.45">
      <c r="A580" s="6" t="s">
        <v>997</v>
      </c>
      <c r="B580" s="6">
        <f>LAI!E282</f>
        <v>0</v>
      </c>
      <c r="C580" s="8" t="s">
        <v>976</v>
      </c>
      <c r="D580" s="7"/>
      <c r="E580" s="7"/>
    </row>
    <row r="581" spans="1:5" x14ac:dyDescent="0.45">
      <c r="A581" s="6" t="s">
        <v>998</v>
      </c>
      <c r="B581" s="6">
        <f>LAI!F282</f>
        <v>0</v>
      </c>
      <c r="C581" s="8" t="s">
        <v>976</v>
      </c>
      <c r="D581" s="7"/>
      <c r="E581" s="7"/>
    </row>
    <row r="582" spans="1:5" x14ac:dyDescent="0.45">
      <c r="A582" s="6" t="s">
        <v>999</v>
      </c>
      <c r="B582" s="6">
        <f>LAI!G282</f>
        <v>0</v>
      </c>
      <c r="C582" s="8" t="s">
        <v>976</v>
      </c>
      <c r="D582" s="7"/>
      <c r="E582" s="7"/>
    </row>
    <row r="583" spans="1:5" x14ac:dyDescent="0.45">
      <c r="A583" s="6" t="s">
        <v>1000</v>
      </c>
      <c r="B583" s="6">
        <f>LAI!H282</f>
        <v>0</v>
      </c>
      <c r="C583" s="8" t="s">
        <v>976</v>
      </c>
      <c r="D583" s="7"/>
      <c r="E583" s="7"/>
    </row>
    <row r="584" spans="1:5" s="1" customFormat="1" x14ac:dyDescent="0.45">
      <c r="A584" s="6" t="s">
        <v>1001</v>
      </c>
      <c r="B584" s="6">
        <f>LAI!I282</f>
        <v>0</v>
      </c>
      <c r="C584" s="8" t="s">
        <v>976</v>
      </c>
      <c r="D584" s="7"/>
      <c r="E584" s="7"/>
    </row>
    <row r="585" spans="1:5" s="1" customFormat="1" x14ac:dyDescent="0.45">
      <c r="A585" s="6" t="s">
        <v>1002</v>
      </c>
      <c r="B585" s="6">
        <f>LAI!J282</f>
        <v>0</v>
      </c>
      <c r="C585" s="8" t="s">
        <v>976</v>
      </c>
      <c r="D585" s="7"/>
      <c r="E585" s="7"/>
    </row>
    <row r="586" spans="1:5" s="1" customFormat="1" x14ac:dyDescent="0.45">
      <c r="A586" s="6" t="s">
        <v>1003</v>
      </c>
      <c r="B586" s="6">
        <f>LAI!K282</f>
        <v>0</v>
      </c>
      <c r="C586" s="8" t="s">
        <v>976</v>
      </c>
      <c r="D586" s="7"/>
      <c r="E586" s="7"/>
    </row>
    <row r="587" spans="1:5" s="1" customFormat="1" x14ac:dyDescent="0.45">
      <c r="A587" s="6" t="s">
        <v>1004</v>
      </c>
      <c r="B587" s="6">
        <f>LAI!E283</f>
        <v>0</v>
      </c>
      <c r="C587" s="8" t="s">
        <v>976</v>
      </c>
      <c r="D587" s="7"/>
      <c r="E587" s="7"/>
    </row>
    <row r="588" spans="1:5" s="1" customFormat="1" x14ac:dyDescent="0.45">
      <c r="A588" s="6" t="s">
        <v>1005</v>
      </c>
      <c r="B588" s="6">
        <f>LAI!F283</f>
        <v>0</v>
      </c>
      <c r="C588" s="8" t="s">
        <v>976</v>
      </c>
      <c r="D588" s="7"/>
      <c r="E588" s="7"/>
    </row>
    <row r="589" spans="1:5" s="1" customFormat="1" x14ac:dyDescent="0.45">
      <c r="A589" s="6" t="s">
        <v>1006</v>
      </c>
      <c r="B589" s="6">
        <f>LAI!G283</f>
        <v>0</v>
      </c>
      <c r="C589" s="8" t="s">
        <v>976</v>
      </c>
      <c r="D589" s="7"/>
      <c r="E589" s="7"/>
    </row>
    <row r="590" spans="1:5" s="1" customFormat="1" x14ac:dyDescent="0.45">
      <c r="A590" s="6" t="s">
        <v>1007</v>
      </c>
      <c r="B590" s="6">
        <f>LAI!H283</f>
        <v>0</v>
      </c>
      <c r="C590" s="8" t="s">
        <v>976</v>
      </c>
      <c r="D590" s="7"/>
      <c r="E590" s="7"/>
    </row>
    <row r="591" spans="1:5" s="1" customFormat="1" x14ac:dyDescent="0.45">
      <c r="A591" s="6" t="s">
        <v>1008</v>
      </c>
      <c r="B591" s="6">
        <f>LAI!I283</f>
        <v>0</v>
      </c>
      <c r="C591" s="8" t="s">
        <v>976</v>
      </c>
      <c r="D591" s="7"/>
      <c r="E591" s="7"/>
    </row>
    <row r="592" spans="1:5" s="1" customFormat="1" x14ac:dyDescent="0.45">
      <c r="A592" s="6" t="s">
        <v>1009</v>
      </c>
      <c r="B592" s="6">
        <f>LAI!J283</f>
        <v>0</v>
      </c>
      <c r="C592" s="8" t="s">
        <v>976</v>
      </c>
      <c r="D592" s="7"/>
      <c r="E592" s="7"/>
    </row>
    <row r="593" spans="1:5" s="1" customFormat="1" x14ac:dyDescent="0.45">
      <c r="A593" s="6" t="s">
        <v>1010</v>
      </c>
      <c r="B593" s="6">
        <f>LAI!K283</f>
        <v>0</v>
      </c>
      <c r="C593" s="8" t="s">
        <v>976</v>
      </c>
      <c r="D593" s="7"/>
      <c r="E593" s="7"/>
    </row>
    <row r="594" spans="1:5" x14ac:dyDescent="0.45">
      <c r="A594" s="6" t="s">
        <v>1011</v>
      </c>
      <c r="B594" s="6">
        <f>LAI!E284</f>
        <v>0</v>
      </c>
      <c r="C594" s="8" t="s">
        <v>976</v>
      </c>
      <c r="D594" s="7"/>
      <c r="E594" s="7"/>
    </row>
    <row r="595" spans="1:5" x14ac:dyDescent="0.45">
      <c r="A595" s="6" t="s">
        <v>1012</v>
      </c>
      <c r="B595" s="6">
        <f>LAI!F284</f>
        <v>0</v>
      </c>
      <c r="C595" s="8" t="s">
        <v>976</v>
      </c>
      <c r="D595" s="7"/>
      <c r="E595" s="7"/>
    </row>
    <row r="596" spans="1:5" x14ac:dyDescent="0.45">
      <c r="A596" s="6" t="s">
        <v>1013</v>
      </c>
      <c r="B596" s="6">
        <f>LAI!G284</f>
        <v>0</v>
      </c>
      <c r="C596" s="8" t="s">
        <v>976</v>
      </c>
      <c r="D596" s="7"/>
      <c r="E596" s="7"/>
    </row>
    <row r="597" spans="1:5" x14ac:dyDescent="0.45">
      <c r="A597" s="6" t="s">
        <v>1014</v>
      </c>
      <c r="B597" s="6">
        <f>LAI!H284</f>
        <v>0</v>
      </c>
      <c r="C597" s="8" t="s">
        <v>976</v>
      </c>
      <c r="D597" s="7"/>
      <c r="E597" s="7"/>
    </row>
    <row r="598" spans="1:5" x14ac:dyDescent="0.45">
      <c r="A598" s="6" t="s">
        <v>1015</v>
      </c>
      <c r="B598" s="6">
        <f>LAI!I284</f>
        <v>0</v>
      </c>
      <c r="C598" s="8" t="s">
        <v>976</v>
      </c>
      <c r="D598" s="7"/>
      <c r="E598" s="7"/>
    </row>
    <row r="599" spans="1:5" x14ac:dyDescent="0.45">
      <c r="A599" s="6" t="s">
        <v>1016</v>
      </c>
      <c r="B599" s="6">
        <f>LAI!J284</f>
        <v>0</v>
      </c>
      <c r="C599" s="8" t="s">
        <v>976</v>
      </c>
      <c r="D599" s="7"/>
      <c r="E599" s="7"/>
    </row>
    <row r="600" spans="1:5" x14ac:dyDescent="0.45">
      <c r="A600" s="6" t="s">
        <v>1017</v>
      </c>
      <c r="B600" s="6">
        <f>LAI!K284</f>
        <v>0</v>
      </c>
      <c r="C600" s="8" t="s">
        <v>976</v>
      </c>
      <c r="D600" s="7"/>
      <c r="E600" s="7"/>
    </row>
    <row r="601" spans="1:5" x14ac:dyDescent="0.45">
      <c r="A601" s="6" t="s">
        <v>1018</v>
      </c>
      <c r="B601" s="6">
        <f>LAI!C293</f>
        <v>0</v>
      </c>
      <c r="C601" s="8" t="s">
        <v>1019</v>
      </c>
      <c r="D601" s="7"/>
      <c r="E601" s="7"/>
    </row>
    <row r="602" spans="1:5" x14ac:dyDescent="0.45">
      <c r="A602" s="6" t="s">
        <v>1020</v>
      </c>
      <c r="B602" s="6">
        <f>LAI!D293</f>
        <v>0</v>
      </c>
      <c r="C602" s="8" t="s">
        <v>1019</v>
      </c>
      <c r="D602" s="7"/>
      <c r="E602" s="7"/>
    </row>
    <row r="603" spans="1:5" x14ac:dyDescent="0.45">
      <c r="A603" s="6" t="s">
        <v>1021</v>
      </c>
      <c r="B603" s="6" t="e">
        <f>LAI!#REF!</f>
        <v>#REF!</v>
      </c>
      <c r="C603" s="8" t="s">
        <v>1019</v>
      </c>
      <c r="D603" s="7"/>
      <c r="E603" s="7"/>
    </row>
    <row r="604" spans="1:5" x14ac:dyDescent="0.45">
      <c r="A604" s="6" t="s">
        <v>1022</v>
      </c>
      <c r="B604" s="6" t="e">
        <f>LAI!#REF!</f>
        <v>#REF!</v>
      </c>
      <c r="C604" s="8" t="s">
        <v>1019</v>
      </c>
      <c r="D604" s="7"/>
      <c r="E604" s="7"/>
    </row>
    <row r="605" spans="1:5" x14ac:dyDescent="0.45">
      <c r="A605" s="6" t="s">
        <v>1023</v>
      </c>
      <c r="B605" s="6">
        <f>LAI!E293</f>
        <v>0</v>
      </c>
      <c r="C605" s="8" t="s">
        <v>1019</v>
      </c>
      <c r="D605" s="7"/>
      <c r="E605" s="7"/>
    </row>
    <row r="606" spans="1:5" x14ac:dyDescent="0.45">
      <c r="A606" s="6" t="s">
        <v>1024</v>
      </c>
      <c r="B606" s="6">
        <f>LAI!F293</f>
        <v>0</v>
      </c>
      <c r="C606" s="8" t="s">
        <v>1019</v>
      </c>
      <c r="D606" s="7"/>
      <c r="E606" s="7"/>
    </row>
    <row r="607" spans="1:5" x14ac:dyDescent="0.45">
      <c r="A607" s="6" t="s">
        <v>1025</v>
      </c>
      <c r="B607" s="6" t="e">
        <f>LAI!#REF!</f>
        <v>#REF!</v>
      </c>
      <c r="C607" s="8" t="s">
        <v>1019</v>
      </c>
      <c r="D607" s="7"/>
      <c r="E607" s="7"/>
    </row>
    <row r="608" spans="1:5" x14ac:dyDescent="0.45">
      <c r="A608" s="6" t="s">
        <v>1026</v>
      </c>
      <c r="B608" s="6" t="e">
        <f>LAI!#REF!</f>
        <v>#REF!</v>
      </c>
      <c r="C608" s="8" t="s">
        <v>1019</v>
      </c>
      <c r="D608" s="7"/>
      <c r="E608" s="7"/>
    </row>
    <row r="609" spans="1:5" x14ac:dyDescent="0.45">
      <c r="A609" s="6" t="s">
        <v>1027</v>
      </c>
      <c r="B609" s="6">
        <f>LAI!G293</f>
        <v>0</v>
      </c>
      <c r="C609" s="8" t="s">
        <v>1019</v>
      </c>
      <c r="D609" s="7"/>
      <c r="E609" s="7"/>
    </row>
    <row r="610" spans="1:5" x14ac:dyDescent="0.45">
      <c r="A610" s="6" t="s">
        <v>1028</v>
      </c>
      <c r="B610" s="6">
        <f>LAI!H293</f>
        <v>0</v>
      </c>
      <c r="C610" s="8" t="s">
        <v>1019</v>
      </c>
      <c r="D610" s="7"/>
      <c r="E610" s="7"/>
    </row>
    <row r="611" spans="1:5" x14ac:dyDescent="0.45">
      <c r="A611" s="6" t="s">
        <v>1029</v>
      </c>
      <c r="B611" s="6">
        <f>LAI!C294</f>
        <v>0</v>
      </c>
      <c r="C611" s="8" t="s">
        <v>1019</v>
      </c>
      <c r="D611" s="7"/>
      <c r="E611" s="7"/>
    </row>
    <row r="612" spans="1:5" x14ac:dyDescent="0.45">
      <c r="A612" s="6" t="s">
        <v>1030</v>
      </c>
      <c r="B612" s="6">
        <f>LAI!D294</f>
        <v>0</v>
      </c>
      <c r="C612" s="8" t="s">
        <v>1019</v>
      </c>
      <c r="D612" s="7"/>
      <c r="E612" s="7"/>
    </row>
    <row r="613" spans="1:5" x14ac:dyDescent="0.45">
      <c r="A613" s="6" t="s">
        <v>1031</v>
      </c>
      <c r="B613" s="6" t="e">
        <f>LAI!#REF!</f>
        <v>#REF!</v>
      </c>
      <c r="C613" s="8" t="s">
        <v>1019</v>
      </c>
      <c r="D613" s="7"/>
      <c r="E613" s="7"/>
    </row>
    <row r="614" spans="1:5" x14ac:dyDescent="0.45">
      <c r="A614" s="6" t="s">
        <v>1032</v>
      </c>
      <c r="B614" s="6" t="e">
        <f>LAI!#REF!</f>
        <v>#REF!</v>
      </c>
      <c r="C614" s="8" t="s">
        <v>1019</v>
      </c>
      <c r="D614" s="7"/>
      <c r="E614" s="7"/>
    </row>
    <row r="615" spans="1:5" x14ac:dyDescent="0.45">
      <c r="A615" s="6" t="s">
        <v>1033</v>
      </c>
      <c r="B615" s="6">
        <f>LAI!E294</f>
        <v>0</v>
      </c>
      <c r="C615" s="8" t="s">
        <v>1019</v>
      </c>
      <c r="D615" s="7"/>
      <c r="E615" s="7"/>
    </row>
    <row r="616" spans="1:5" x14ac:dyDescent="0.45">
      <c r="A616" s="6" t="s">
        <v>1034</v>
      </c>
      <c r="B616" s="6">
        <f>LAI!F294</f>
        <v>0</v>
      </c>
      <c r="C616" s="8" t="s">
        <v>1019</v>
      </c>
      <c r="D616" s="7"/>
      <c r="E616" s="7"/>
    </row>
    <row r="617" spans="1:5" x14ac:dyDescent="0.45">
      <c r="A617" s="6" t="s">
        <v>1035</v>
      </c>
      <c r="B617" s="6" t="e">
        <f>LAI!#REF!</f>
        <v>#REF!</v>
      </c>
      <c r="C617" s="8" t="s">
        <v>1019</v>
      </c>
      <c r="D617" s="7"/>
      <c r="E617" s="7"/>
    </row>
    <row r="618" spans="1:5" x14ac:dyDescent="0.45">
      <c r="A618" s="6" t="s">
        <v>1036</v>
      </c>
      <c r="B618" s="6" t="e">
        <f>LAI!#REF!</f>
        <v>#REF!</v>
      </c>
      <c r="C618" s="8" t="s">
        <v>1019</v>
      </c>
      <c r="D618" s="7"/>
      <c r="E618" s="7"/>
    </row>
    <row r="619" spans="1:5" x14ac:dyDescent="0.45">
      <c r="A619" s="6" t="s">
        <v>1037</v>
      </c>
      <c r="B619" s="6">
        <f>LAI!G294</f>
        <v>0</v>
      </c>
      <c r="C619" s="8" t="s">
        <v>1019</v>
      </c>
      <c r="D619" s="7"/>
      <c r="E619" s="7"/>
    </row>
    <row r="620" spans="1:5" x14ac:dyDescent="0.45">
      <c r="A620" s="6" t="s">
        <v>1038</v>
      </c>
      <c r="B620" s="6">
        <f>LAI!H294</f>
        <v>0</v>
      </c>
      <c r="C620" s="8" t="s">
        <v>1019</v>
      </c>
      <c r="D620" s="7"/>
      <c r="E620" s="7"/>
    </row>
    <row r="621" spans="1:5" x14ac:dyDescent="0.45">
      <c r="A621" s="6" t="s">
        <v>1039</v>
      </c>
      <c r="B621" s="6">
        <f>LAI!C295</f>
        <v>0</v>
      </c>
      <c r="C621" s="8" t="s">
        <v>1019</v>
      </c>
      <c r="D621" s="7"/>
      <c r="E621" s="7"/>
    </row>
    <row r="622" spans="1:5" x14ac:dyDescent="0.45">
      <c r="A622" s="6" t="s">
        <v>1040</v>
      </c>
      <c r="B622" s="6">
        <f>LAI!D295</f>
        <v>0</v>
      </c>
      <c r="C622" s="8" t="s">
        <v>1019</v>
      </c>
      <c r="D622" s="7"/>
      <c r="E622" s="7"/>
    </row>
    <row r="623" spans="1:5" x14ac:dyDescent="0.45">
      <c r="A623" s="6" t="s">
        <v>1041</v>
      </c>
      <c r="B623" s="6" t="e">
        <f>LAI!#REF!</f>
        <v>#REF!</v>
      </c>
      <c r="C623" s="8" t="s">
        <v>1019</v>
      </c>
      <c r="D623" s="7"/>
      <c r="E623" s="7"/>
    </row>
    <row r="624" spans="1:5" x14ac:dyDescent="0.45">
      <c r="A624" s="6" t="s">
        <v>1042</v>
      </c>
      <c r="B624" s="6" t="e">
        <f>LAI!#REF!</f>
        <v>#REF!</v>
      </c>
      <c r="C624" s="8" t="s">
        <v>1019</v>
      </c>
      <c r="D624" s="7"/>
      <c r="E624" s="7"/>
    </row>
    <row r="625" spans="1:5" x14ac:dyDescent="0.45">
      <c r="A625" s="6" t="s">
        <v>1043</v>
      </c>
      <c r="B625" s="6">
        <f>LAI!E295</f>
        <v>0</v>
      </c>
      <c r="C625" s="8" t="s">
        <v>1019</v>
      </c>
      <c r="D625" s="7"/>
      <c r="E625" s="7"/>
    </row>
    <row r="626" spans="1:5" x14ac:dyDescent="0.45">
      <c r="A626" s="6" t="s">
        <v>1044</v>
      </c>
      <c r="B626" s="6">
        <f>LAI!F295</f>
        <v>0</v>
      </c>
      <c r="C626" s="8" t="s">
        <v>1019</v>
      </c>
      <c r="D626" s="7"/>
      <c r="E626" s="7"/>
    </row>
    <row r="627" spans="1:5" x14ac:dyDescent="0.45">
      <c r="A627" s="6" t="s">
        <v>1045</v>
      </c>
      <c r="B627" s="6" t="e">
        <f>LAI!#REF!</f>
        <v>#REF!</v>
      </c>
      <c r="C627" s="8" t="s">
        <v>1019</v>
      </c>
      <c r="D627" s="7"/>
      <c r="E627" s="7"/>
    </row>
    <row r="628" spans="1:5" x14ac:dyDescent="0.45">
      <c r="A628" s="6" t="s">
        <v>1046</v>
      </c>
      <c r="B628" s="6" t="e">
        <f>LAI!#REF!</f>
        <v>#REF!</v>
      </c>
      <c r="C628" s="8" t="s">
        <v>1019</v>
      </c>
      <c r="D628" s="7"/>
      <c r="E628" s="7"/>
    </row>
    <row r="629" spans="1:5" x14ac:dyDescent="0.45">
      <c r="A629" s="6" t="s">
        <v>1047</v>
      </c>
      <c r="B629" s="6">
        <f>LAI!G295</f>
        <v>0</v>
      </c>
      <c r="C629" s="8" t="s">
        <v>1019</v>
      </c>
      <c r="D629" s="7"/>
      <c r="E629" s="7"/>
    </row>
    <row r="630" spans="1:5" x14ac:dyDescent="0.45">
      <c r="A630" s="6" t="s">
        <v>1048</v>
      </c>
      <c r="B630" s="6">
        <f>LAI!H295</f>
        <v>0</v>
      </c>
      <c r="C630" s="8" t="s">
        <v>1019</v>
      </c>
      <c r="D630" s="7"/>
      <c r="E630" s="7"/>
    </row>
    <row r="631" spans="1:5" x14ac:dyDescent="0.45">
      <c r="A631" s="6" t="s">
        <v>1049</v>
      </c>
      <c r="B631" s="6">
        <f>LAI!C296</f>
        <v>0</v>
      </c>
      <c r="C631" s="8" t="s">
        <v>1019</v>
      </c>
      <c r="D631" s="7"/>
      <c r="E631" s="7"/>
    </row>
    <row r="632" spans="1:5" x14ac:dyDescent="0.45">
      <c r="A632" s="6" t="s">
        <v>1050</v>
      </c>
      <c r="B632" s="6">
        <f>LAI!D296</f>
        <v>0</v>
      </c>
      <c r="C632" s="8" t="s">
        <v>1019</v>
      </c>
      <c r="D632" s="7"/>
      <c r="E632" s="7"/>
    </row>
    <row r="633" spans="1:5" x14ac:dyDescent="0.45">
      <c r="A633" s="6" t="s">
        <v>1051</v>
      </c>
      <c r="B633" s="6" t="e">
        <f>LAI!#REF!</f>
        <v>#REF!</v>
      </c>
      <c r="C633" s="8" t="s">
        <v>1019</v>
      </c>
      <c r="D633" s="7"/>
      <c r="E633" s="7"/>
    </row>
    <row r="634" spans="1:5" x14ac:dyDescent="0.45">
      <c r="A634" s="6" t="s">
        <v>1052</v>
      </c>
      <c r="B634" s="6" t="e">
        <f>LAI!#REF!</f>
        <v>#REF!</v>
      </c>
      <c r="C634" s="8" t="s">
        <v>1019</v>
      </c>
      <c r="D634" s="7"/>
      <c r="E634" s="7"/>
    </row>
    <row r="635" spans="1:5" x14ac:dyDescent="0.45">
      <c r="A635" s="6" t="s">
        <v>1053</v>
      </c>
      <c r="B635" s="6">
        <f>LAI!E296</f>
        <v>0</v>
      </c>
      <c r="C635" s="8" t="s">
        <v>1019</v>
      </c>
      <c r="D635" s="7"/>
      <c r="E635" s="7"/>
    </row>
    <row r="636" spans="1:5" x14ac:dyDescent="0.45">
      <c r="A636" s="6" t="s">
        <v>1054</v>
      </c>
      <c r="B636" s="6">
        <f>LAI!F296</f>
        <v>0</v>
      </c>
      <c r="C636" s="8" t="s">
        <v>1019</v>
      </c>
      <c r="D636" s="7"/>
      <c r="E636" s="7"/>
    </row>
    <row r="637" spans="1:5" x14ac:dyDescent="0.45">
      <c r="A637" s="6" t="s">
        <v>1055</v>
      </c>
      <c r="B637" s="6" t="e">
        <f>LAI!#REF!</f>
        <v>#REF!</v>
      </c>
      <c r="C637" s="8" t="s">
        <v>1019</v>
      </c>
      <c r="D637" s="7"/>
      <c r="E637" s="7"/>
    </row>
    <row r="638" spans="1:5" x14ac:dyDescent="0.45">
      <c r="A638" s="6" t="s">
        <v>1056</v>
      </c>
      <c r="B638" s="6" t="e">
        <f>LAI!#REF!</f>
        <v>#REF!</v>
      </c>
      <c r="C638" s="8" t="s">
        <v>1019</v>
      </c>
      <c r="D638" s="7"/>
      <c r="E638" s="7"/>
    </row>
    <row r="639" spans="1:5" x14ac:dyDescent="0.45">
      <c r="A639" s="6" t="s">
        <v>1057</v>
      </c>
      <c r="B639" s="6">
        <f>LAI!G296</f>
        <v>0</v>
      </c>
      <c r="C639" s="8" t="s">
        <v>1019</v>
      </c>
      <c r="D639" s="7"/>
      <c r="E639" s="7"/>
    </row>
    <row r="640" spans="1:5" x14ac:dyDescent="0.45">
      <c r="A640" s="6" t="s">
        <v>1058</v>
      </c>
      <c r="B640" s="6">
        <f>LAI!H296</f>
        <v>0</v>
      </c>
      <c r="C640" s="8" t="s">
        <v>1019</v>
      </c>
      <c r="D640" s="7"/>
      <c r="E640" s="7"/>
    </row>
    <row r="641" spans="1:5" x14ac:dyDescent="0.45">
      <c r="A641" s="6" t="s">
        <v>1059</v>
      </c>
      <c r="B641" s="6">
        <f>LAI!C297</f>
        <v>0</v>
      </c>
      <c r="C641" s="8" t="s">
        <v>1019</v>
      </c>
      <c r="D641" s="7"/>
      <c r="E641" s="7"/>
    </row>
    <row r="642" spans="1:5" x14ac:dyDescent="0.45">
      <c r="A642" s="6" t="s">
        <v>1060</v>
      </c>
      <c r="B642" s="6">
        <f>LAI!D297</f>
        <v>0</v>
      </c>
      <c r="C642" s="8" t="s">
        <v>1019</v>
      </c>
      <c r="D642" s="7"/>
      <c r="E642" s="7"/>
    </row>
    <row r="643" spans="1:5" x14ac:dyDescent="0.45">
      <c r="A643" s="6" t="s">
        <v>1061</v>
      </c>
      <c r="B643" s="6" t="e">
        <f>LAI!#REF!</f>
        <v>#REF!</v>
      </c>
      <c r="C643" s="8" t="s">
        <v>1019</v>
      </c>
      <c r="D643" s="7"/>
      <c r="E643" s="7"/>
    </row>
    <row r="644" spans="1:5" x14ac:dyDescent="0.45">
      <c r="A644" s="6" t="s">
        <v>1062</v>
      </c>
      <c r="B644" s="6" t="e">
        <f>LAI!#REF!</f>
        <v>#REF!</v>
      </c>
      <c r="C644" s="8" t="s">
        <v>1019</v>
      </c>
      <c r="D644" s="7"/>
      <c r="E644" s="7"/>
    </row>
    <row r="645" spans="1:5" x14ac:dyDescent="0.45">
      <c r="A645" s="6" t="s">
        <v>1063</v>
      </c>
      <c r="B645" s="6">
        <f>LAI!E297</f>
        <v>0</v>
      </c>
      <c r="C645" s="8" t="s">
        <v>1019</v>
      </c>
      <c r="D645" s="7"/>
      <c r="E645" s="7"/>
    </row>
    <row r="646" spans="1:5" x14ac:dyDescent="0.45">
      <c r="A646" s="6" t="s">
        <v>1064</v>
      </c>
      <c r="B646" s="6">
        <f>LAI!F297</f>
        <v>0</v>
      </c>
      <c r="C646" s="8" t="s">
        <v>1019</v>
      </c>
      <c r="D646" s="7"/>
      <c r="E646" s="7"/>
    </row>
    <row r="647" spans="1:5" x14ac:dyDescent="0.45">
      <c r="A647" s="6" t="s">
        <v>1065</v>
      </c>
      <c r="B647" s="6" t="e">
        <f>LAI!#REF!</f>
        <v>#REF!</v>
      </c>
      <c r="C647" s="8" t="s">
        <v>1019</v>
      </c>
      <c r="D647" s="7"/>
      <c r="E647" s="7"/>
    </row>
    <row r="648" spans="1:5" x14ac:dyDescent="0.45">
      <c r="A648" s="6" t="s">
        <v>1066</v>
      </c>
      <c r="B648" s="6" t="e">
        <f>LAI!#REF!</f>
        <v>#REF!</v>
      </c>
      <c r="C648" s="8" t="s">
        <v>1019</v>
      </c>
      <c r="D648" s="7"/>
      <c r="E648" s="7"/>
    </row>
    <row r="649" spans="1:5" x14ac:dyDescent="0.45">
      <c r="A649" s="6" t="s">
        <v>1067</v>
      </c>
      <c r="B649" s="6">
        <f>LAI!G297</f>
        <v>0</v>
      </c>
      <c r="C649" s="8" t="s">
        <v>1019</v>
      </c>
      <c r="D649" s="7"/>
      <c r="E649" s="7"/>
    </row>
    <row r="650" spans="1:5" x14ac:dyDescent="0.45">
      <c r="A650" s="6" t="s">
        <v>1068</v>
      </c>
      <c r="B650" s="6">
        <f>LAI!H297</f>
        <v>0</v>
      </c>
      <c r="C650" s="8" t="s">
        <v>1019</v>
      </c>
      <c r="D650" s="7"/>
      <c r="E650" s="7"/>
    </row>
    <row r="651" spans="1:5" x14ac:dyDescent="0.45">
      <c r="A651" s="6" t="s">
        <v>1069</v>
      </c>
      <c r="B651" s="6">
        <f>LAI!C298</f>
        <v>0</v>
      </c>
      <c r="C651" s="8" t="s">
        <v>1019</v>
      </c>
      <c r="D651" s="7"/>
      <c r="E651" s="7"/>
    </row>
    <row r="652" spans="1:5" x14ac:dyDescent="0.45">
      <c r="A652" s="6" t="s">
        <v>1070</v>
      </c>
      <c r="B652" s="6">
        <f>LAI!D298</f>
        <v>0</v>
      </c>
      <c r="C652" s="8" t="s">
        <v>1019</v>
      </c>
      <c r="D652" s="7"/>
      <c r="E652" s="7"/>
    </row>
    <row r="653" spans="1:5" x14ac:dyDescent="0.45">
      <c r="A653" s="6" t="s">
        <v>1071</v>
      </c>
      <c r="B653" s="6" t="e">
        <f>LAI!#REF!</f>
        <v>#REF!</v>
      </c>
      <c r="C653" s="8" t="s">
        <v>1019</v>
      </c>
      <c r="D653" s="7"/>
      <c r="E653" s="7"/>
    </row>
    <row r="654" spans="1:5" x14ac:dyDescent="0.45">
      <c r="A654" s="6" t="s">
        <v>1072</v>
      </c>
      <c r="B654" s="6" t="e">
        <f>LAI!#REF!</f>
        <v>#REF!</v>
      </c>
      <c r="C654" s="8" t="s">
        <v>1019</v>
      </c>
      <c r="D654" s="7"/>
      <c r="E654" s="7"/>
    </row>
    <row r="655" spans="1:5" x14ac:dyDescent="0.45">
      <c r="A655" s="6" t="s">
        <v>1073</v>
      </c>
      <c r="B655" s="6">
        <f>LAI!E298</f>
        <v>0</v>
      </c>
      <c r="C655" s="8" t="s">
        <v>1019</v>
      </c>
      <c r="D655" s="7"/>
      <c r="E655" s="7"/>
    </row>
    <row r="656" spans="1:5" x14ac:dyDescent="0.45">
      <c r="A656" s="6" t="s">
        <v>1074</v>
      </c>
      <c r="B656" s="6">
        <f>LAI!F298</f>
        <v>0</v>
      </c>
      <c r="C656" s="8" t="s">
        <v>1019</v>
      </c>
      <c r="D656" s="7"/>
      <c r="E656" s="7"/>
    </row>
    <row r="657" spans="1:5" x14ac:dyDescent="0.45">
      <c r="A657" s="6" t="s">
        <v>1075</v>
      </c>
      <c r="B657" s="6" t="e">
        <f>LAI!#REF!</f>
        <v>#REF!</v>
      </c>
      <c r="C657" s="8" t="s">
        <v>1019</v>
      </c>
      <c r="D657" s="7"/>
      <c r="E657" s="7"/>
    </row>
    <row r="658" spans="1:5" x14ac:dyDescent="0.45">
      <c r="A658" s="6" t="s">
        <v>1076</v>
      </c>
      <c r="B658" s="6" t="e">
        <f>LAI!#REF!</f>
        <v>#REF!</v>
      </c>
      <c r="C658" s="8" t="s">
        <v>1019</v>
      </c>
      <c r="D658" s="7"/>
      <c r="E658" s="7"/>
    </row>
    <row r="659" spans="1:5" x14ac:dyDescent="0.45">
      <c r="A659" s="6" t="s">
        <v>1077</v>
      </c>
      <c r="B659" s="6">
        <f>LAI!G298</f>
        <v>0</v>
      </c>
      <c r="C659" s="8" t="s">
        <v>1019</v>
      </c>
      <c r="D659" s="7"/>
      <c r="E659" s="7"/>
    </row>
    <row r="660" spans="1:5" x14ac:dyDescent="0.45">
      <c r="A660" s="6" t="s">
        <v>1078</v>
      </c>
      <c r="B660" s="6">
        <f>LAI!H298</f>
        <v>0</v>
      </c>
      <c r="C660" s="8" t="s">
        <v>1019</v>
      </c>
      <c r="D660" s="7"/>
      <c r="E660" s="7"/>
    </row>
    <row r="661" spans="1:5" x14ac:dyDescent="0.45">
      <c r="A661" s="6" t="s">
        <v>1079</v>
      </c>
      <c r="B661" s="6">
        <f>LAI!C299</f>
        <v>0</v>
      </c>
      <c r="C661" s="8" t="s">
        <v>1019</v>
      </c>
      <c r="D661" s="7"/>
      <c r="E661" s="7"/>
    </row>
    <row r="662" spans="1:5" x14ac:dyDescent="0.45">
      <c r="A662" s="6" t="s">
        <v>1080</v>
      </c>
      <c r="B662" s="6">
        <f>LAI!D299</f>
        <v>0</v>
      </c>
      <c r="C662" s="8" t="s">
        <v>1019</v>
      </c>
      <c r="D662" s="7"/>
      <c r="E662" s="7"/>
    </row>
    <row r="663" spans="1:5" x14ac:dyDescent="0.45">
      <c r="A663" s="6" t="s">
        <v>1081</v>
      </c>
      <c r="B663" s="6" t="e">
        <f>LAI!#REF!</f>
        <v>#REF!</v>
      </c>
      <c r="C663" s="8" t="s">
        <v>1019</v>
      </c>
      <c r="D663" s="7"/>
      <c r="E663" s="7"/>
    </row>
    <row r="664" spans="1:5" x14ac:dyDescent="0.45">
      <c r="A664" s="6" t="s">
        <v>1082</v>
      </c>
      <c r="B664" s="6" t="e">
        <f>LAI!#REF!</f>
        <v>#REF!</v>
      </c>
      <c r="C664" s="8" t="s">
        <v>1019</v>
      </c>
      <c r="D664" s="7"/>
      <c r="E664" s="7"/>
    </row>
    <row r="665" spans="1:5" x14ac:dyDescent="0.45">
      <c r="A665" s="6" t="s">
        <v>1083</v>
      </c>
      <c r="B665" s="6">
        <f>LAI!E299</f>
        <v>0</v>
      </c>
      <c r="C665" s="8" t="s">
        <v>1019</v>
      </c>
      <c r="D665" s="7"/>
      <c r="E665" s="7"/>
    </row>
    <row r="666" spans="1:5" x14ac:dyDescent="0.45">
      <c r="A666" s="6" t="s">
        <v>1084</v>
      </c>
      <c r="B666" s="6">
        <f>LAI!F299</f>
        <v>0</v>
      </c>
      <c r="C666" s="8" t="s">
        <v>1019</v>
      </c>
      <c r="D666" s="7"/>
      <c r="E666" s="7"/>
    </row>
    <row r="667" spans="1:5" x14ac:dyDescent="0.45">
      <c r="A667" s="6" t="s">
        <v>1085</v>
      </c>
      <c r="B667" s="6" t="e">
        <f>LAI!#REF!</f>
        <v>#REF!</v>
      </c>
      <c r="C667" s="8" t="s">
        <v>1019</v>
      </c>
      <c r="D667" s="7"/>
      <c r="E667" s="7"/>
    </row>
    <row r="668" spans="1:5" x14ac:dyDescent="0.45">
      <c r="A668" s="6" t="s">
        <v>1086</v>
      </c>
      <c r="B668" s="6" t="e">
        <f>LAI!#REF!</f>
        <v>#REF!</v>
      </c>
      <c r="C668" s="8" t="s">
        <v>1019</v>
      </c>
      <c r="D668" s="7"/>
      <c r="E668" s="7"/>
    </row>
    <row r="669" spans="1:5" x14ac:dyDescent="0.45">
      <c r="A669" s="6" t="s">
        <v>1087</v>
      </c>
      <c r="B669" s="6">
        <f>LAI!G299</f>
        <v>0</v>
      </c>
      <c r="C669" s="8" t="s">
        <v>1019</v>
      </c>
      <c r="D669" s="7"/>
      <c r="E669" s="7"/>
    </row>
    <row r="670" spans="1:5" x14ac:dyDescent="0.45">
      <c r="A670" s="6" t="s">
        <v>1088</v>
      </c>
      <c r="B670" s="6">
        <f>LAI!H299</f>
        <v>0</v>
      </c>
      <c r="C670" s="8" t="s">
        <v>1019</v>
      </c>
      <c r="D670" s="7"/>
      <c r="E670" s="7"/>
    </row>
    <row r="671" spans="1:5" x14ac:dyDescent="0.45">
      <c r="A671" s="6" t="s">
        <v>1089</v>
      </c>
      <c r="B671" s="6">
        <f>LAI!C306</f>
        <v>0</v>
      </c>
      <c r="C671" s="8" t="s">
        <v>1090</v>
      </c>
      <c r="D671" s="7"/>
      <c r="E671" s="7"/>
    </row>
    <row r="672" spans="1:5" x14ac:dyDescent="0.45">
      <c r="A672" s="6" t="s">
        <v>1091</v>
      </c>
      <c r="B672" s="6">
        <f>LAI!D306</f>
        <v>0</v>
      </c>
      <c r="C672" s="8" t="s">
        <v>1090</v>
      </c>
      <c r="D672" s="7"/>
      <c r="E672" s="7"/>
    </row>
    <row r="673" spans="1:5" x14ac:dyDescent="0.45">
      <c r="A673" s="6" t="s">
        <v>1092</v>
      </c>
      <c r="B673" s="6" t="e">
        <f>LAI!#REF!</f>
        <v>#REF!</v>
      </c>
      <c r="C673" s="8" t="s">
        <v>1090</v>
      </c>
      <c r="D673" s="7"/>
      <c r="E673" s="7"/>
    </row>
    <row r="674" spans="1:5" x14ac:dyDescent="0.45">
      <c r="A674" s="6" t="s">
        <v>1093</v>
      </c>
      <c r="B674" s="6" t="e">
        <f>LAI!#REF!</f>
        <v>#REF!</v>
      </c>
      <c r="C674" s="8" t="s">
        <v>1090</v>
      </c>
      <c r="D674" s="7"/>
      <c r="E674" s="7"/>
    </row>
    <row r="675" spans="1:5" x14ac:dyDescent="0.45">
      <c r="A675" s="6" t="s">
        <v>1094</v>
      </c>
      <c r="B675" s="6">
        <f>LAI!E306</f>
        <v>0</v>
      </c>
      <c r="C675" s="8" t="s">
        <v>1090</v>
      </c>
      <c r="D675" s="7"/>
      <c r="E675" s="7"/>
    </row>
    <row r="676" spans="1:5" x14ac:dyDescent="0.45">
      <c r="A676" s="6" t="s">
        <v>1095</v>
      </c>
      <c r="B676" s="6">
        <f>LAI!F306</f>
        <v>0</v>
      </c>
      <c r="C676" s="8" t="s">
        <v>1090</v>
      </c>
      <c r="D676" s="7"/>
      <c r="E676" s="7"/>
    </row>
    <row r="677" spans="1:5" x14ac:dyDescent="0.45">
      <c r="A677" s="6" t="s">
        <v>1096</v>
      </c>
      <c r="B677" s="6" t="e">
        <f>LAI!#REF!</f>
        <v>#REF!</v>
      </c>
      <c r="C677" s="8" t="s">
        <v>1090</v>
      </c>
      <c r="D677" s="7"/>
      <c r="E677" s="7"/>
    </row>
    <row r="678" spans="1:5" x14ac:dyDescent="0.45">
      <c r="A678" s="6" t="s">
        <v>1097</v>
      </c>
      <c r="B678" s="6" t="e">
        <f>LAI!#REF!</f>
        <v>#REF!</v>
      </c>
      <c r="C678" s="8" t="s">
        <v>1090</v>
      </c>
      <c r="D678" s="7"/>
      <c r="E678" s="7"/>
    </row>
    <row r="679" spans="1:5" x14ac:dyDescent="0.45">
      <c r="A679" s="6" t="s">
        <v>1098</v>
      </c>
      <c r="B679" s="6">
        <f>LAI!G306</f>
        <v>0</v>
      </c>
      <c r="C679" s="8" t="s">
        <v>1090</v>
      </c>
      <c r="D679" s="7"/>
      <c r="E679" s="7"/>
    </row>
    <row r="680" spans="1:5" x14ac:dyDescent="0.45">
      <c r="A680" s="6" t="s">
        <v>1099</v>
      </c>
      <c r="B680" s="6">
        <f>LAI!H306</f>
        <v>0</v>
      </c>
      <c r="C680" s="8" t="s">
        <v>1090</v>
      </c>
      <c r="D680" s="7"/>
      <c r="E680" s="7"/>
    </row>
    <row r="681" spans="1:5" x14ac:dyDescent="0.45">
      <c r="A681" s="6" t="s">
        <v>1100</v>
      </c>
      <c r="B681" s="6">
        <f>LAI!C307</f>
        <v>0</v>
      </c>
      <c r="C681" s="8" t="s">
        <v>1090</v>
      </c>
      <c r="D681" s="7"/>
      <c r="E681" s="7"/>
    </row>
    <row r="682" spans="1:5" x14ac:dyDescent="0.45">
      <c r="A682" s="6" t="s">
        <v>1101</v>
      </c>
      <c r="B682" s="6">
        <f>LAI!D307</f>
        <v>0</v>
      </c>
      <c r="C682" s="8" t="s">
        <v>1090</v>
      </c>
      <c r="D682" s="7"/>
      <c r="E682" s="7"/>
    </row>
    <row r="683" spans="1:5" x14ac:dyDescent="0.45">
      <c r="A683" s="6" t="s">
        <v>1102</v>
      </c>
      <c r="B683" s="6" t="e">
        <f>LAI!#REF!</f>
        <v>#REF!</v>
      </c>
      <c r="C683" s="8" t="s">
        <v>1090</v>
      </c>
      <c r="D683" s="7"/>
      <c r="E683" s="7"/>
    </row>
    <row r="684" spans="1:5" x14ac:dyDescent="0.45">
      <c r="A684" s="6" t="s">
        <v>1103</v>
      </c>
      <c r="B684" s="6" t="e">
        <f>LAI!#REF!</f>
        <v>#REF!</v>
      </c>
      <c r="C684" s="8" t="s">
        <v>1090</v>
      </c>
      <c r="D684" s="7"/>
      <c r="E684" s="7"/>
    </row>
    <row r="685" spans="1:5" x14ac:dyDescent="0.45">
      <c r="A685" s="6" t="s">
        <v>1104</v>
      </c>
      <c r="B685" s="6">
        <f>LAI!E307</f>
        <v>0</v>
      </c>
      <c r="C685" s="8" t="s">
        <v>1090</v>
      </c>
      <c r="D685" s="7"/>
      <c r="E685" s="7"/>
    </row>
    <row r="686" spans="1:5" x14ac:dyDescent="0.45">
      <c r="A686" s="6" t="s">
        <v>1105</v>
      </c>
      <c r="B686" s="6">
        <f>LAI!F307</f>
        <v>0</v>
      </c>
      <c r="C686" s="8" t="s">
        <v>1090</v>
      </c>
      <c r="D686" s="7"/>
      <c r="E686" s="7"/>
    </row>
    <row r="687" spans="1:5" x14ac:dyDescent="0.45">
      <c r="A687" s="6" t="s">
        <v>1106</v>
      </c>
      <c r="B687" s="6" t="e">
        <f>LAI!#REF!</f>
        <v>#REF!</v>
      </c>
      <c r="C687" s="8" t="s">
        <v>1090</v>
      </c>
      <c r="D687" s="7"/>
      <c r="E687" s="7"/>
    </row>
    <row r="688" spans="1:5" x14ac:dyDescent="0.45">
      <c r="A688" s="6" t="s">
        <v>1107</v>
      </c>
      <c r="B688" s="6" t="e">
        <f>LAI!#REF!</f>
        <v>#REF!</v>
      </c>
      <c r="C688" s="8" t="s">
        <v>1090</v>
      </c>
      <c r="D688" s="7"/>
      <c r="E688" s="7"/>
    </row>
    <row r="689" spans="1:5" x14ac:dyDescent="0.45">
      <c r="A689" s="6" t="s">
        <v>1108</v>
      </c>
      <c r="B689" s="6">
        <f>LAI!G307</f>
        <v>0</v>
      </c>
      <c r="C689" s="8" t="s">
        <v>1090</v>
      </c>
      <c r="D689" s="7"/>
      <c r="E689" s="7"/>
    </row>
    <row r="690" spans="1:5" x14ac:dyDescent="0.45">
      <c r="A690" s="6" t="s">
        <v>1109</v>
      </c>
      <c r="B690" s="6">
        <f>LAI!H307</f>
        <v>0</v>
      </c>
      <c r="C690" s="8" t="s">
        <v>1090</v>
      </c>
      <c r="D690" s="7"/>
      <c r="E690" s="7"/>
    </row>
    <row r="691" spans="1:5" x14ac:dyDescent="0.45">
      <c r="A691" s="6" t="s">
        <v>1110</v>
      </c>
      <c r="B691" s="6">
        <f>LAI!C308</f>
        <v>0</v>
      </c>
      <c r="C691" s="8" t="s">
        <v>1090</v>
      </c>
      <c r="D691" s="7"/>
      <c r="E691" s="7"/>
    </row>
    <row r="692" spans="1:5" x14ac:dyDescent="0.45">
      <c r="A692" s="6" t="s">
        <v>1111</v>
      </c>
      <c r="B692" s="6">
        <f>LAI!D308</f>
        <v>0</v>
      </c>
      <c r="C692" s="8" t="s">
        <v>1090</v>
      </c>
      <c r="D692" s="7"/>
      <c r="E692" s="7"/>
    </row>
    <row r="693" spans="1:5" x14ac:dyDescent="0.45">
      <c r="A693" s="6" t="s">
        <v>1112</v>
      </c>
      <c r="B693" s="6" t="e">
        <f>LAI!#REF!</f>
        <v>#REF!</v>
      </c>
      <c r="C693" s="8" t="s">
        <v>1090</v>
      </c>
      <c r="D693" s="7"/>
      <c r="E693" s="7"/>
    </row>
    <row r="694" spans="1:5" x14ac:dyDescent="0.45">
      <c r="A694" s="6" t="s">
        <v>1113</v>
      </c>
      <c r="B694" s="6" t="e">
        <f>LAI!#REF!</f>
        <v>#REF!</v>
      </c>
      <c r="C694" s="8" t="s">
        <v>1090</v>
      </c>
      <c r="D694" s="7"/>
      <c r="E694" s="7"/>
    </row>
    <row r="695" spans="1:5" x14ac:dyDescent="0.45">
      <c r="A695" s="6" t="s">
        <v>1114</v>
      </c>
      <c r="B695" s="6">
        <f>LAI!E308</f>
        <v>0</v>
      </c>
      <c r="C695" s="8" t="s">
        <v>1090</v>
      </c>
      <c r="D695" s="7"/>
      <c r="E695" s="7"/>
    </row>
    <row r="696" spans="1:5" x14ac:dyDescent="0.45">
      <c r="A696" s="6" t="s">
        <v>1115</v>
      </c>
      <c r="B696" s="6">
        <f>LAI!F308</f>
        <v>0</v>
      </c>
      <c r="C696" s="8" t="s">
        <v>1090</v>
      </c>
      <c r="D696" s="7"/>
      <c r="E696" s="7"/>
    </row>
    <row r="697" spans="1:5" x14ac:dyDescent="0.45">
      <c r="A697" s="6" t="s">
        <v>1116</v>
      </c>
      <c r="B697" s="6" t="e">
        <f>LAI!#REF!</f>
        <v>#REF!</v>
      </c>
      <c r="C697" s="8" t="s">
        <v>1090</v>
      </c>
      <c r="D697" s="7"/>
      <c r="E697" s="7"/>
    </row>
    <row r="698" spans="1:5" x14ac:dyDescent="0.45">
      <c r="A698" s="6" t="s">
        <v>1117</v>
      </c>
      <c r="B698" s="6" t="e">
        <f>LAI!#REF!</f>
        <v>#REF!</v>
      </c>
      <c r="C698" s="8" t="s">
        <v>1090</v>
      </c>
      <c r="D698" s="7"/>
      <c r="E698" s="7"/>
    </row>
    <row r="699" spans="1:5" x14ac:dyDescent="0.45">
      <c r="A699" s="6" t="s">
        <v>1118</v>
      </c>
      <c r="B699" s="6">
        <f>LAI!G308</f>
        <v>0</v>
      </c>
      <c r="C699" s="8" t="s">
        <v>1090</v>
      </c>
      <c r="D699" s="7"/>
      <c r="E699" s="7"/>
    </row>
    <row r="700" spans="1:5" x14ac:dyDescent="0.45">
      <c r="A700" s="6" t="s">
        <v>1119</v>
      </c>
      <c r="B700" s="6">
        <f>LAI!H308</f>
        <v>0</v>
      </c>
      <c r="C700" s="8" t="s">
        <v>1090</v>
      </c>
      <c r="D700" s="7"/>
      <c r="E700" s="7"/>
    </row>
    <row r="701" spans="1:5" x14ac:dyDescent="0.45">
      <c r="A701" s="6" t="s">
        <v>1120</v>
      </c>
      <c r="B701" s="6">
        <f>LAI!C309</f>
        <v>0</v>
      </c>
      <c r="C701" s="8" t="s">
        <v>1090</v>
      </c>
      <c r="D701" s="7"/>
      <c r="E701" s="7"/>
    </row>
    <row r="702" spans="1:5" x14ac:dyDescent="0.45">
      <c r="A702" s="6" t="s">
        <v>1121</v>
      </c>
      <c r="B702" s="6">
        <f>LAI!D309</f>
        <v>0</v>
      </c>
      <c r="C702" s="8" t="s">
        <v>1090</v>
      </c>
      <c r="D702" s="7"/>
      <c r="E702" s="7"/>
    </row>
    <row r="703" spans="1:5" x14ac:dyDescent="0.45">
      <c r="A703" s="6" t="s">
        <v>1122</v>
      </c>
      <c r="B703" s="6" t="e">
        <f>LAI!#REF!</f>
        <v>#REF!</v>
      </c>
      <c r="C703" s="8" t="s">
        <v>1090</v>
      </c>
      <c r="D703" s="7"/>
      <c r="E703" s="7"/>
    </row>
    <row r="704" spans="1:5" x14ac:dyDescent="0.45">
      <c r="A704" s="6" t="s">
        <v>1123</v>
      </c>
      <c r="B704" s="6" t="e">
        <f>LAI!#REF!</f>
        <v>#REF!</v>
      </c>
      <c r="C704" s="8" t="s">
        <v>1090</v>
      </c>
      <c r="D704" s="7"/>
      <c r="E704" s="7"/>
    </row>
    <row r="705" spans="1:5" x14ac:dyDescent="0.45">
      <c r="A705" s="6" t="s">
        <v>1124</v>
      </c>
      <c r="B705" s="6">
        <f>LAI!E309</f>
        <v>0</v>
      </c>
      <c r="C705" s="8" t="s">
        <v>1090</v>
      </c>
      <c r="D705" s="7"/>
      <c r="E705" s="7"/>
    </row>
    <row r="706" spans="1:5" x14ac:dyDescent="0.45">
      <c r="A706" s="6" t="s">
        <v>1125</v>
      </c>
      <c r="B706" s="6">
        <f>LAI!F309</f>
        <v>0</v>
      </c>
      <c r="C706" s="8" t="s">
        <v>1090</v>
      </c>
      <c r="D706" s="7"/>
      <c r="E706" s="7"/>
    </row>
    <row r="707" spans="1:5" x14ac:dyDescent="0.45">
      <c r="A707" s="6" t="s">
        <v>1126</v>
      </c>
      <c r="B707" s="6" t="e">
        <f>LAI!#REF!</f>
        <v>#REF!</v>
      </c>
      <c r="C707" s="8" t="s">
        <v>1090</v>
      </c>
      <c r="D707" s="7"/>
      <c r="E707" s="7"/>
    </row>
    <row r="708" spans="1:5" x14ac:dyDescent="0.45">
      <c r="A708" s="6" t="s">
        <v>1127</v>
      </c>
      <c r="B708" s="6" t="e">
        <f>LAI!#REF!</f>
        <v>#REF!</v>
      </c>
      <c r="C708" s="8" t="s">
        <v>1090</v>
      </c>
      <c r="D708" s="7"/>
      <c r="E708" s="7"/>
    </row>
    <row r="709" spans="1:5" x14ac:dyDescent="0.45">
      <c r="A709" s="6" t="s">
        <v>1128</v>
      </c>
      <c r="B709" s="6">
        <f>LAI!G309</f>
        <v>0</v>
      </c>
      <c r="C709" s="8" t="s">
        <v>1090</v>
      </c>
      <c r="D709" s="7"/>
      <c r="E709" s="7"/>
    </row>
    <row r="710" spans="1:5" x14ac:dyDescent="0.45">
      <c r="A710" s="6" t="s">
        <v>1129</v>
      </c>
      <c r="B710" s="6">
        <f>LAI!H309</f>
        <v>0</v>
      </c>
      <c r="C710" s="8" t="s">
        <v>1090</v>
      </c>
      <c r="D710" s="7"/>
      <c r="E710" s="7"/>
    </row>
    <row r="711" spans="1:5" x14ac:dyDescent="0.45">
      <c r="A711" s="6" t="s">
        <v>1130</v>
      </c>
      <c r="B711" s="6">
        <f>LAI!C310</f>
        <v>0</v>
      </c>
      <c r="C711" s="8" t="s">
        <v>1090</v>
      </c>
      <c r="D711" s="7"/>
      <c r="E711" s="7"/>
    </row>
    <row r="712" spans="1:5" x14ac:dyDescent="0.45">
      <c r="A712" s="6" t="s">
        <v>1131</v>
      </c>
      <c r="B712" s="6">
        <f>LAI!D310</f>
        <v>0</v>
      </c>
      <c r="C712" s="8" t="s">
        <v>1090</v>
      </c>
      <c r="D712" s="7"/>
      <c r="E712" s="7"/>
    </row>
    <row r="713" spans="1:5" x14ac:dyDescent="0.45">
      <c r="A713" s="6" t="s">
        <v>1132</v>
      </c>
      <c r="B713" s="6" t="e">
        <f>LAI!#REF!</f>
        <v>#REF!</v>
      </c>
      <c r="C713" s="8" t="s">
        <v>1090</v>
      </c>
      <c r="D713" s="7"/>
      <c r="E713" s="7"/>
    </row>
    <row r="714" spans="1:5" x14ac:dyDescent="0.45">
      <c r="A714" s="6" t="s">
        <v>1133</v>
      </c>
      <c r="B714" s="6" t="e">
        <f>LAI!#REF!</f>
        <v>#REF!</v>
      </c>
      <c r="C714" s="8" t="s">
        <v>1090</v>
      </c>
      <c r="D714" s="7"/>
      <c r="E714" s="7"/>
    </row>
    <row r="715" spans="1:5" x14ac:dyDescent="0.45">
      <c r="A715" s="6" t="s">
        <v>1134</v>
      </c>
      <c r="B715" s="6">
        <f>LAI!E310</f>
        <v>0</v>
      </c>
      <c r="C715" s="8" t="s">
        <v>1090</v>
      </c>
      <c r="D715" s="7"/>
      <c r="E715" s="7"/>
    </row>
    <row r="716" spans="1:5" x14ac:dyDescent="0.45">
      <c r="A716" s="6" t="s">
        <v>1135</v>
      </c>
      <c r="B716" s="6">
        <f>LAI!F310</f>
        <v>0</v>
      </c>
      <c r="C716" s="8" t="s">
        <v>1090</v>
      </c>
      <c r="D716" s="7"/>
      <c r="E716" s="7"/>
    </row>
    <row r="717" spans="1:5" x14ac:dyDescent="0.45">
      <c r="A717" s="6" t="s">
        <v>1136</v>
      </c>
      <c r="B717" s="6" t="e">
        <f>LAI!#REF!</f>
        <v>#REF!</v>
      </c>
      <c r="C717" s="8" t="s">
        <v>1090</v>
      </c>
      <c r="D717" s="7"/>
      <c r="E717" s="7"/>
    </row>
    <row r="718" spans="1:5" x14ac:dyDescent="0.45">
      <c r="A718" s="6" t="s">
        <v>1137</v>
      </c>
      <c r="B718" s="6" t="e">
        <f>LAI!#REF!</f>
        <v>#REF!</v>
      </c>
      <c r="C718" s="8" t="s">
        <v>1090</v>
      </c>
      <c r="D718" s="7"/>
      <c r="E718" s="7"/>
    </row>
    <row r="719" spans="1:5" x14ac:dyDescent="0.45">
      <c r="A719" s="6" t="s">
        <v>1138</v>
      </c>
      <c r="B719" s="6">
        <f>LAI!G310</f>
        <v>0</v>
      </c>
      <c r="C719" s="8" t="s">
        <v>1090</v>
      </c>
      <c r="D719" s="7"/>
      <c r="E719" s="7"/>
    </row>
    <row r="720" spans="1:5" x14ac:dyDescent="0.45">
      <c r="A720" s="6" t="s">
        <v>1139</v>
      </c>
      <c r="B720" s="6">
        <f>LAI!H310</f>
        <v>0</v>
      </c>
      <c r="C720" s="8" t="s">
        <v>1090</v>
      </c>
      <c r="D720" s="7"/>
      <c r="E720" s="7"/>
    </row>
    <row r="721" spans="1:5" x14ac:dyDescent="0.45">
      <c r="A721" s="6" t="s">
        <v>1140</v>
      </c>
      <c r="B721" s="6">
        <f>LAI!C311</f>
        <v>0</v>
      </c>
      <c r="C721" s="8" t="s">
        <v>1090</v>
      </c>
      <c r="D721" s="7"/>
      <c r="E721" s="7"/>
    </row>
    <row r="722" spans="1:5" x14ac:dyDescent="0.45">
      <c r="A722" s="6" t="s">
        <v>1141</v>
      </c>
      <c r="B722" s="6">
        <f>LAI!D311</f>
        <v>0</v>
      </c>
      <c r="C722" s="8" t="s">
        <v>1090</v>
      </c>
      <c r="D722" s="7"/>
      <c r="E722" s="7"/>
    </row>
    <row r="723" spans="1:5" x14ac:dyDescent="0.45">
      <c r="A723" s="6" t="s">
        <v>1142</v>
      </c>
      <c r="B723" s="6" t="e">
        <f>LAI!#REF!</f>
        <v>#REF!</v>
      </c>
      <c r="C723" s="8" t="s">
        <v>1090</v>
      </c>
      <c r="D723" s="7"/>
      <c r="E723" s="7"/>
    </row>
    <row r="724" spans="1:5" x14ac:dyDescent="0.45">
      <c r="A724" s="6" t="s">
        <v>1143</v>
      </c>
      <c r="B724" s="6" t="e">
        <f>LAI!#REF!</f>
        <v>#REF!</v>
      </c>
      <c r="C724" s="8" t="s">
        <v>1090</v>
      </c>
      <c r="D724" s="7"/>
      <c r="E724" s="7"/>
    </row>
    <row r="725" spans="1:5" x14ac:dyDescent="0.45">
      <c r="A725" s="6" t="s">
        <v>1144</v>
      </c>
      <c r="B725" s="6">
        <f>LAI!E311</f>
        <v>0</v>
      </c>
      <c r="C725" s="8" t="s">
        <v>1090</v>
      </c>
      <c r="D725" s="7"/>
      <c r="E725" s="7"/>
    </row>
    <row r="726" spans="1:5" x14ac:dyDescent="0.45">
      <c r="A726" s="6" t="s">
        <v>1145</v>
      </c>
      <c r="B726" s="6">
        <f>LAI!F311</f>
        <v>0</v>
      </c>
      <c r="C726" s="8" t="s">
        <v>1090</v>
      </c>
      <c r="D726" s="7"/>
      <c r="E726" s="7"/>
    </row>
    <row r="727" spans="1:5" x14ac:dyDescent="0.45">
      <c r="A727" s="6" t="s">
        <v>1146</v>
      </c>
      <c r="B727" s="6" t="e">
        <f>LAI!#REF!</f>
        <v>#REF!</v>
      </c>
      <c r="C727" s="8" t="s">
        <v>1090</v>
      </c>
      <c r="D727" s="7"/>
      <c r="E727" s="7"/>
    </row>
    <row r="728" spans="1:5" x14ac:dyDescent="0.45">
      <c r="A728" s="6" t="s">
        <v>1147</v>
      </c>
      <c r="B728" s="6" t="e">
        <f>LAI!#REF!</f>
        <v>#REF!</v>
      </c>
      <c r="C728" s="8" t="s">
        <v>1090</v>
      </c>
      <c r="D728" s="7"/>
      <c r="E728" s="7"/>
    </row>
    <row r="729" spans="1:5" x14ac:dyDescent="0.45">
      <c r="A729" s="6" t="s">
        <v>1148</v>
      </c>
      <c r="B729" s="6">
        <f>LAI!G311</f>
        <v>0</v>
      </c>
      <c r="C729" s="8" t="s">
        <v>1090</v>
      </c>
      <c r="D729" s="7"/>
      <c r="E729" s="7"/>
    </row>
    <row r="730" spans="1:5" x14ac:dyDescent="0.45">
      <c r="A730" s="6" t="s">
        <v>1149</v>
      </c>
      <c r="B730" s="6">
        <f>LAI!H311</f>
        <v>0</v>
      </c>
      <c r="C730" s="8" t="s">
        <v>1090</v>
      </c>
      <c r="D730" s="7"/>
      <c r="E730" s="7"/>
    </row>
    <row r="731" spans="1:5" x14ac:dyDescent="0.45">
      <c r="A731" s="6" t="s">
        <v>1150</v>
      </c>
      <c r="B731" s="6">
        <f>LAI!C312</f>
        <v>0</v>
      </c>
      <c r="C731" s="8" t="s">
        <v>1090</v>
      </c>
      <c r="D731" s="7"/>
      <c r="E731" s="7"/>
    </row>
    <row r="732" spans="1:5" x14ac:dyDescent="0.45">
      <c r="A732" s="6" t="s">
        <v>1151</v>
      </c>
      <c r="B732" s="6">
        <f>LAI!D312</f>
        <v>0</v>
      </c>
      <c r="C732" s="8" t="s">
        <v>1090</v>
      </c>
      <c r="D732" s="7"/>
      <c r="E732" s="7"/>
    </row>
    <row r="733" spans="1:5" x14ac:dyDescent="0.45">
      <c r="A733" s="6" t="s">
        <v>1152</v>
      </c>
      <c r="B733" s="6" t="e">
        <f>LAI!#REF!</f>
        <v>#REF!</v>
      </c>
      <c r="C733" s="8" t="s">
        <v>1090</v>
      </c>
      <c r="D733" s="7"/>
      <c r="E733" s="7"/>
    </row>
    <row r="734" spans="1:5" x14ac:dyDescent="0.45">
      <c r="A734" s="6" t="s">
        <v>1153</v>
      </c>
      <c r="B734" s="6" t="e">
        <f>LAI!#REF!</f>
        <v>#REF!</v>
      </c>
      <c r="C734" s="8" t="s">
        <v>1090</v>
      </c>
      <c r="D734" s="7"/>
      <c r="E734" s="7"/>
    </row>
    <row r="735" spans="1:5" x14ac:dyDescent="0.45">
      <c r="A735" s="6" t="s">
        <v>1154</v>
      </c>
      <c r="B735" s="6">
        <f>LAI!E312</f>
        <v>0</v>
      </c>
      <c r="C735" s="8" t="s">
        <v>1090</v>
      </c>
      <c r="D735" s="7"/>
      <c r="E735" s="7"/>
    </row>
    <row r="736" spans="1:5" x14ac:dyDescent="0.45">
      <c r="A736" s="6" t="s">
        <v>1155</v>
      </c>
      <c r="B736" s="6">
        <f>LAI!F312</f>
        <v>0</v>
      </c>
      <c r="C736" s="8" t="s">
        <v>1090</v>
      </c>
      <c r="D736" s="7"/>
      <c r="E736" s="7"/>
    </row>
    <row r="737" spans="1:5" x14ac:dyDescent="0.45">
      <c r="A737" s="6" t="s">
        <v>1156</v>
      </c>
      <c r="B737" s="6" t="e">
        <f>LAI!#REF!</f>
        <v>#REF!</v>
      </c>
      <c r="C737" s="8" t="s">
        <v>1090</v>
      </c>
      <c r="D737" s="7"/>
      <c r="E737" s="7"/>
    </row>
    <row r="738" spans="1:5" x14ac:dyDescent="0.45">
      <c r="A738" s="6" t="s">
        <v>1157</v>
      </c>
      <c r="B738" s="6" t="e">
        <f>LAI!#REF!</f>
        <v>#REF!</v>
      </c>
      <c r="C738" s="8" t="s">
        <v>1090</v>
      </c>
      <c r="D738" s="7"/>
      <c r="E738" s="7"/>
    </row>
    <row r="739" spans="1:5" x14ac:dyDescent="0.45">
      <c r="A739" s="6" t="s">
        <v>1158</v>
      </c>
      <c r="B739" s="6">
        <f>LAI!G312</f>
        <v>0</v>
      </c>
      <c r="C739" s="8" t="s">
        <v>1090</v>
      </c>
      <c r="D739" s="7"/>
      <c r="E739" s="7"/>
    </row>
    <row r="740" spans="1:5" x14ac:dyDescent="0.45">
      <c r="A740" s="6" t="s">
        <v>1159</v>
      </c>
      <c r="B740" s="6">
        <f>LAI!H312</f>
        <v>0</v>
      </c>
      <c r="C740" s="8" t="s">
        <v>1090</v>
      </c>
      <c r="D740" s="7"/>
      <c r="E740" s="7"/>
    </row>
    <row r="741" spans="1:5" x14ac:dyDescent="0.45">
      <c r="A741" s="6" t="s">
        <v>1160</v>
      </c>
      <c r="B741" s="6">
        <f>LAI!A320</f>
        <v>0</v>
      </c>
      <c r="C741" s="8" t="s">
        <v>1161</v>
      </c>
      <c r="D741" s="7"/>
      <c r="E741" s="7"/>
    </row>
    <row r="742" spans="1:5" x14ac:dyDescent="0.45">
      <c r="A742" s="6" t="s">
        <v>1162</v>
      </c>
      <c r="B742" s="6">
        <f>LAI!C320</f>
        <v>0</v>
      </c>
      <c r="C742" s="8" t="s">
        <v>1161</v>
      </c>
      <c r="D742" s="7"/>
      <c r="E742" s="7"/>
    </row>
    <row r="743" spans="1:5" x14ac:dyDescent="0.45">
      <c r="A743" s="6" t="s">
        <v>1163</v>
      </c>
      <c r="B743" s="6">
        <f>LAI!E320</f>
        <v>0</v>
      </c>
      <c r="C743" s="8" t="s">
        <v>1161</v>
      </c>
      <c r="D743" s="7"/>
      <c r="E743" s="7"/>
    </row>
    <row r="744" spans="1:5" x14ac:dyDescent="0.45">
      <c r="A744" s="6" t="s">
        <v>1164</v>
      </c>
      <c r="B744" s="6">
        <f>LAI!A326</f>
        <v>0</v>
      </c>
      <c r="C744" s="8" t="s">
        <v>1165</v>
      </c>
      <c r="D744" s="7"/>
      <c r="E744" s="7"/>
    </row>
    <row r="745" spans="1:5" x14ac:dyDescent="0.45">
      <c r="A745" s="6" t="s">
        <v>1166</v>
      </c>
      <c r="B745" s="6">
        <f>LAI!C326</f>
        <v>0</v>
      </c>
      <c r="C745" s="8" t="s">
        <v>1165</v>
      </c>
      <c r="D745" s="7"/>
      <c r="E745" s="7"/>
    </row>
    <row r="746" spans="1:5" x14ac:dyDescent="0.45">
      <c r="A746" s="6" t="s">
        <v>1167</v>
      </c>
      <c r="B746" s="6">
        <f>LAI!E326</f>
        <v>0</v>
      </c>
      <c r="C746" s="8" t="s">
        <v>1165</v>
      </c>
      <c r="D746" s="7"/>
      <c r="E746" s="7"/>
    </row>
    <row r="747" spans="1:5" x14ac:dyDescent="0.45">
      <c r="A747" s="9" t="s">
        <v>1168</v>
      </c>
      <c r="B747" s="9">
        <f>LAI!G326</f>
        <v>0</v>
      </c>
      <c r="C747" s="10" t="s">
        <v>1165</v>
      </c>
      <c r="D747" s="7"/>
      <c r="E747" s="7"/>
    </row>
    <row r="748" spans="1:5" x14ac:dyDescent="0.45">
      <c r="A748" s="9" t="s">
        <v>1169</v>
      </c>
      <c r="B748" s="9">
        <f>LAI!I326</f>
        <v>0</v>
      </c>
      <c r="C748" s="10" t="s">
        <v>1165</v>
      </c>
      <c r="D748" s="7"/>
      <c r="E748" s="7"/>
    </row>
    <row r="749" spans="1:5" x14ac:dyDescent="0.45">
      <c r="A749" s="9" t="s">
        <v>1170</v>
      </c>
      <c r="B749" s="9">
        <f>LAI!K326</f>
        <v>0</v>
      </c>
      <c r="C749" s="10" t="s">
        <v>1165</v>
      </c>
      <c r="D749" s="7"/>
      <c r="E749" s="7"/>
    </row>
    <row r="750" spans="1:5" x14ac:dyDescent="0.45">
      <c r="A750" s="6" t="s">
        <v>1171</v>
      </c>
      <c r="B750" s="6">
        <f>LAI!A335</f>
        <v>0</v>
      </c>
      <c r="C750" s="8" t="s">
        <v>1172</v>
      </c>
      <c r="D750" s="7"/>
      <c r="E750" s="7"/>
    </row>
    <row r="751" spans="1:5" x14ac:dyDescent="0.45">
      <c r="A751" s="6" t="s">
        <v>1173</v>
      </c>
      <c r="B751" s="6">
        <f>LAI!C335</f>
        <v>0</v>
      </c>
      <c r="C751" s="8" t="s">
        <v>1172</v>
      </c>
      <c r="D751" s="7"/>
      <c r="E751" s="7"/>
    </row>
    <row r="752" spans="1:5" x14ac:dyDescent="0.45">
      <c r="A752" s="6" t="s">
        <v>1174</v>
      </c>
      <c r="B752" s="6">
        <f>LAI!E335</f>
        <v>0</v>
      </c>
      <c r="C752" s="8" t="s">
        <v>1172</v>
      </c>
      <c r="D752" s="7"/>
      <c r="E752" s="7"/>
    </row>
    <row r="753" spans="1:5" x14ac:dyDescent="0.45">
      <c r="A753" s="6" t="s">
        <v>1175</v>
      </c>
      <c r="B753" s="6">
        <f>LAI!G335</f>
        <v>0</v>
      </c>
      <c r="C753" s="8" t="s">
        <v>1172</v>
      </c>
      <c r="D753" s="7"/>
      <c r="E753" s="7"/>
    </row>
    <row r="754" spans="1:5" x14ac:dyDescent="0.45">
      <c r="A754" s="9" t="s">
        <v>1176</v>
      </c>
      <c r="B754" s="9">
        <f>LAI!A340</f>
        <v>0</v>
      </c>
      <c r="C754" s="10" t="s">
        <v>1177</v>
      </c>
      <c r="D754" s="7"/>
      <c r="E754" s="7"/>
    </row>
    <row r="755" spans="1:5" x14ac:dyDescent="0.45">
      <c r="A755" s="6" t="s">
        <v>1178</v>
      </c>
      <c r="B755" s="6">
        <f>LAI!H347</f>
        <v>0</v>
      </c>
      <c r="C755" s="8" t="s">
        <v>1179</v>
      </c>
      <c r="D755" s="7"/>
      <c r="E755" s="7"/>
    </row>
    <row r="756" spans="1:5" x14ac:dyDescent="0.45">
      <c r="A756" s="6" t="s">
        <v>1180</v>
      </c>
      <c r="B756" s="6">
        <f>LAI!H348</f>
        <v>0</v>
      </c>
      <c r="C756" s="8" t="s">
        <v>1179</v>
      </c>
      <c r="D756" s="7"/>
      <c r="E756" s="7"/>
    </row>
    <row r="757" spans="1:5" x14ac:dyDescent="0.45">
      <c r="A757" s="6" t="s">
        <v>1181</v>
      </c>
      <c r="B757" s="6">
        <f>LAI!H349</f>
        <v>0</v>
      </c>
      <c r="C757" s="8" t="s">
        <v>1179</v>
      </c>
      <c r="D757" s="7"/>
      <c r="E757" s="7"/>
    </row>
    <row r="758" spans="1:5" x14ac:dyDescent="0.45">
      <c r="A758" s="6" t="s">
        <v>1182</v>
      </c>
      <c r="B758" s="6">
        <f>LAI!F350</f>
        <v>0</v>
      </c>
      <c r="C758" s="8" t="s">
        <v>1179</v>
      </c>
      <c r="D758" s="7"/>
      <c r="E758" s="7"/>
    </row>
    <row r="759" spans="1:5" x14ac:dyDescent="0.45">
      <c r="A759" s="6" t="s">
        <v>1183</v>
      </c>
      <c r="B759" s="6">
        <f>LAI!F351</f>
        <v>0</v>
      </c>
      <c r="C759" s="8" t="s">
        <v>1179</v>
      </c>
      <c r="D759" s="7"/>
      <c r="E759" s="7"/>
    </row>
    <row r="760" spans="1:5" x14ac:dyDescent="0.45">
      <c r="A760" s="9" t="s">
        <v>1184</v>
      </c>
      <c r="B760" s="9">
        <f>LAI!F357</f>
        <v>0</v>
      </c>
      <c r="C760" s="10" t="s">
        <v>1185</v>
      </c>
      <c r="D760" s="7"/>
      <c r="E760" s="7"/>
    </row>
    <row r="761" spans="1:5" x14ac:dyDescent="0.45">
      <c r="A761" s="9" t="s">
        <v>1186</v>
      </c>
      <c r="B761" s="9">
        <f>LAI!F358</f>
        <v>0</v>
      </c>
      <c r="C761" s="10" t="s">
        <v>1185</v>
      </c>
      <c r="D761" s="7"/>
      <c r="E761" s="7"/>
    </row>
    <row r="762" spans="1:5" x14ac:dyDescent="0.45">
      <c r="A762" s="9" t="s">
        <v>1187</v>
      </c>
      <c r="B762" s="9">
        <f>LAI!F359</f>
        <v>0</v>
      </c>
      <c r="C762" s="10" t="s">
        <v>1185</v>
      </c>
      <c r="D762" s="7"/>
      <c r="E762" s="7"/>
    </row>
    <row r="763" spans="1:5" x14ac:dyDescent="0.45">
      <c r="A763" s="9" t="s">
        <v>1188</v>
      </c>
      <c r="B763" s="9">
        <f>LAI!F360</f>
        <v>0</v>
      </c>
      <c r="C763" s="10" t="s">
        <v>1185</v>
      </c>
      <c r="D763" s="7"/>
      <c r="E763" s="7"/>
    </row>
    <row r="764" spans="1:5" x14ac:dyDescent="0.45">
      <c r="A764" s="9" t="s">
        <v>1189</v>
      </c>
      <c r="B764" s="9">
        <f>LAI!F361</f>
        <v>0</v>
      </c>
      <c r="C764" s="10" t="s">
        <v>1185</v>
      </c>
      <c r="D764" s="7"/>
      <c r="E764" s="7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673"/>
  <sheetViews>
    <sheetView workbookViewId="0">
      <selection activeCell="G28" sqref="G28"/>
    </sheetView>
  </sheetViews>
  <sheetFormatPr defaultColWidth="9" defaultRowHeight="14.25" x14ac:dyDescent="0.45"/>
  <cols>
    <col min="2" max="2" width="11.59765625" customWidth="1"/>
  </cols>
  <sheetData>
    <row r="1" spans="1:4" x14ac:dyDescent="0.45">
      <c r="A1" s="6" t="s">
        <v>389</v>
      </c>
      <c r="B1" s="6">
        <f>LPRP!H6</f>
        <v>0</v>
      </c>
      <c r="C1" s="12"/>
      <c r="D1" s="7"/>
    </row>
    <row r="2" spans="1:4" s="1" customFormat="1" x14ac:dyDescent="0.45">
      <c r="A2" s="6" t="s">
        <v>390</v>
      </c>
      <c r="B2" s="6" t="s">
        <v>391</v>
      </c>
      <c r="C2" s="12"/>
      <c r="D2" s="7"/>
    </row>
    <row r="3" spans="1:4" x14ac:dyDescent="0.45">
      <c r="A3" s="6" t="s">
        <v>392</v>
      </c>
      <c r="B3" s="6">
        <f>LPRP!H15</f>
        <v>0</v>
      </c>
      <c r="C3" s="8" t="s">
        <v>393</v>
      </c>
      <c r="D3" s="7"/>
    </row>
    <row r="4" spans="1:4" x14ac:dyDescent="0.45">
      <c r="A4" s="6" t="s">
        <v>394</v>
      </c>
      <c r="B4" s="6">
        <f>LPRP!H16</f>
        <v>0</v>
      </c>
      <c r="C4" s="8" t="s">
        <v>393</v>
      </c>
      <c r="D4" s="7"/>
    </row>
    <row r="5" spans="1:4" x14ac:dyDescent="0.45">
      <c r="A5" s="9" t="s">
        <v>395</v>
      </c>
      <c r="B5" s="9">
        <f>LPRP!G17</f>
        <v>0</v>
      </c>
      <c r="C5" s="10" t="s">
        <v>393</v>
      </c>
      <c r="D5" s="7"/>
    </row>
    <row r="6" spans="1:4" x14ac:dyDescent="0.45">
      <c r="A6" s="9" t="s">
        <v>396</v>
      </c>
      <c r="B6" s="9">
        <f>LPRP!G18</f>
        <v>0</v>
      </c>
      <c r="C6" s="10" t="s">
        <v>393</v>
      </c>
      <c r="D6" s="7"/>
    </row>
    <row r="7" spans="1:4" x14ac:dyDescent="0.45">
      <c r="A7" s="6" t="s">
        <v>397</v>
      </c>
      <c r="B7" s="6">
        <f>LPRP!H19</f>
        <v>0</v>
      </c>
      <c r="C7" s="8" t="s">
        <v>393</v>
      </c>
      <c r="D7" s="7"/>
    </row>
    <row r="8" spans="1:4" s="1" customFormat="1" x14ac:dyDescent="0.45">
      <c r="A8" s="6" t="s">
        <v>398</v>
      </c>
      <c r="B8" s="6">
        <f>LPRP!H20</f>
        <v>0</v>
      </c>
      <c r="C8" s="8" t="s">
        <v>393</v>
      </c>
      <c r="D8" s="7"/>
    </row>
    <row r="9" spans="1:4" s="1" customFormat="1" x14ac:dyDescent="0.45">
      <c r="A9" s="6" t="s">
        <v>399</v>
      </c>
      <c r="B9" s="6">
        <f>LPRP!H21</f>
        <v>0</v>
      </c>
      <c r="C9" s="8" t="s">
        <v>393</v>
      </c>
      <c r="D9" s="7"/>
    </row>
    <row r="10" spans="1:4" s="1" customFormat="1" x14ac:dyDescent="0.45">
      <c r="A10" s="9" t="s">
        <v>400</v>
      </c>
      <c r="B10" s="9">
        <f>LPRP!G22</f>
        <v>0</v>
      </c>
      <c r="C10" s="10" t="s">
        <v>393</v>
      </c>
      <c r="D10" s="7"/>
    </row>
    <row r="11" spans="1:4" s="1" customFormat="1" x14ac:dyDescent="0.45">
      <c r="A11" s="9" t="s">
        <v>401</v>
      </c>
      <c r="B11" s="9">
        <f>LPRP!G23</f>
        <v>0</v>
      </c>
      <c r="C11" s="10" t="s">
        <v>393</v>
      </c>
      <c r="D11" s="7"/>
    </row>
    <row r="12" spans="1:4" s="1" customFormat="1" x14ac:dyDescent="0.45">
      <c r="A12" s="9" t="s">
        <v>402</v>
      </c>
      <c r="B12" s="9">
        <f>LPRP!G28</f>
        <v>0</v>
      </c>
      <c r="C12" s="10" t="s">
        <v>403</v>
      </c>
      <c r="D12" s="7"/>
    </row>
    <row r="13" spans="1:4" s="1" customFormat="1" x14ac:dyDescent="0.45">
      <c r="A13" s="9" t="s">
        <v>404</v>
      </c>
      <c r="B13" s="9">
        <f>LPRP!G29</f>
        <v>0</v>
      </c>
      <c r="C13" s="10" t="s">
        <v>403</v>
      </c>
      <c r="D13" s="7"/>
    </row>
    <row r="14" spans="1:4" s="1" customFormat="1" x14ac:dyDescent="0.45">
      <c r="A14" s="9" t="s">
        <v>405</v>
      </c>
      <c r="B14" s="9">
        <f>LPRP!G30</f>
        <v>0</v>
      </c>
      <c r="C14" s="10" t="s">
        <v>403</v>
      </c>
      <c r="D14" s="7"/>
    </row>
    <row r="15" spans="1:4" s="1" customFormat="1" x14ac:dyDescent="0.45">
      <c r="A15" s="9" t="s">
        <v>406</v>
      </c>
      <c r="B15" s="9">
        <f>LPRP!G31</f>
        <v>0</v>
      </c>
      <c r="C15" s="10" t="s">
        <v>403</v>
      </c>
      <c r="D15" s="7"/>
    </row>
    <row r="16" spans="1:4" s="1" customFormat="1" x14ac:dyDescent="0.45">
      <c r="A16" s="9" t="s">
        <v>407</v>
      </c>
      <c r="B16" s="9">
        <f>LPRP!G32</f>
        <v>0</v>
      </c>
      <c r="C16" s="10" t="s">
        <v>403</v>
      </c>
      <c r="D16" s="7"/>
    </row>
    <row r="17" spans="1:4" s="1" customFormat="1" x14ac:dyDescent="0.45">
      <c r="A17" s="9" t="s">
        <v>408</v>
      </c>
      <c r="B17" s="9">
        <f>LPRP!G33</f>
        <v>0</v>
      </c>
      <c r="C17" s="10" t="s">
        <v>403</v>
      </c>
      <c r="D17" s="7"/>
    </row>
    <row r="18" spans="1:4" s="1" customFormat="1" x14ac:dyDescent="0.45">
      <c r="A18" s="9" t="s">
        <v>409</v>
      </c>
      <c r="B18" s="9">
        <f>LPRP!G34</f>
        <v>0</v>
      </c>
      <c r="C18" s="10" t="s">
        <v>403</v>
      </c>
      <c r="D18" s="7"/>
    </row>
    <row r="19" spans="1:4" s="1" customFormat="1" x14ac:dyDescent="0.45">
      <c r="A19" s="9" t="s">
        <v>410</v>
      </c>
      <c r="B19" s="9">
        <f>LPRP!H40</f>
        <v>0</v>
      </c>
      <c r="C19" s="10" t="s">
        <v>419</v>
      </c>
      <c r="D19" s="7"/>
    </row>
    <row r="20" spans="1:4" s="1" customFormat="1" x14ac:dyDescent="0.45">
      <c r="A20" s="11" t="s">
        <v>412</v>
      </c>
      <c r="B20" s="9">
        <f>LPRP!H41</f>
        <v>0</v>
      </c>
      <c r="C20" s="10" t="s">
        <v>419</v>
      </c>
      <c r="D20" s="7"/>
    </row>
    <row r="21" spans="1:4" s="1" customFormat="1" x14ac:dyDescent="0.45">
      <c r="A21" s="11" t="s">
        <v>413</v>
      </c>
      <c r="B21" s="9">
        <f>LPRP!G42</f>
        <v>0</v>
      </c>
      <c r="C21" s="10" t="s">
        <v>419</v>
      </c>
      <c r="D21" s="7"/>
    </row>
    <row r="22" spans="1:4" s="1" customFormat="1" x14ac:dyDescent="0.45">
      <c r="A22" s="11" t="s">
        <v>414</v>
      </c>
      <c r="B22" s="9">
        <f>LPRP!G43</f>
        <v>0</v>
      </c>
      <c r="C22" s="10" t="s">
        <v>419</v>
      </c>
      <c r="D22" s="7"/>
    </row>
    <row r="23" spans="1:4" s="1" customFormat="1" x14ac:dyDescent="0.45">
      <c r="A23" s="11" t="s">
        <v>415</v>
      </c>
      <c r="B23" s="9">
        <f>LPRP!H44</f>
        <v>0</v>
      </c>
      <c r="C23" s="10" t="s">
        <v>419</v>
      </c>
      <c r="D23" s="7"/>
    </row>
    <row r="24" spans="1:4" s="1" customFormat="1" x14ac:dyDescent="0.45">
      <c r="A24" s="11" t="s">
        <v>416</v>
      </c>
      <c r="B24" s="9">
        <f>LPRP!H45</f>
        <v>0</v>
      </c>
      <c r="C24" s="10" t="s">
        <v>419</v>
      </c>
      <c r="D24" s="7"/>
    </row>
    <row r="25" spans="1:4" s="1" customFormat="1" x14ac:dyDescent="0.45">
      <c r="A25" s="11" t="s">
        <v>417</v>
      </c>
      <c r="B25" s="9">
        <f>LPRP!H46</f>
        <v>0</v>
      </c>
      <c r="C25" s="10" t="s">
        <v>419</v>
      </c>
      <c r="D25" s="7"/>
    </row>
    <row r="26" spans="1:4" s="1" customFormat="1" x14ac:dyDescent="0.45">
      <c r="A26" s="9" t="s">
        <v>418</v>
      </c>
      <c r="B26" s="9" t="e">
        <f>LPRP!#REF!</f>
        <v>#REF!</v>
      </c>
      <c r="C26" s="10" t="s">
        <v>427</v>
      </c>
      <c r="D26" s="7"/>
    </row>
    <row r="27" spans="1:4" s="1" customFormat="1" x14ac:dyDescent="0.45">
      <c r="A27" s="11" t="s">
        <v>420</v>
      </c>
      <c r="B27" s="9" t="e">
        <f>LPRP!#REF!</f>
        <v>#REF!</v>
      </c>
      <c r="C27" s="10" t="s">
        <v>427</v>
      </c>
      <c r="D27" s="7"/>
    </row>
    <row r="28" spans="1:4" s="1" customFormat="1" x14ac:dyDescent="0.45">
      <c r="A28" s="11" t="s">
        <v>421</v>
      </c>
      <c r="B28" s="9" t="e">
        <f>LPRP!#REF!</f>
        <v>#REF!</v>
      </c>
      <c r="C28" s="10" t="s">
        <v>427</v>
      </c>
      <c r="D28" s="7"/>
    </row>
    <row r="29" spans="1:4" s="1" customFormat="1" x14ac:dyDescent="0.45">
      <c r="A29" s="11" t="s">
        <v>422</v>
      </c>
      <c r="B29" s="9" t="e">
        <f>LPRP!#REF!</f>
        <v>#REF!</v>
      </c>
      <c r="C29" s="10" t="s">
        <v>427</v>
      </c>
      <c r="D29" s="7"/>
    </row>
    <row r="30" spans="1:4" s="1" customFormat="1" x14ac:dyDescent="0.45">
      <c r="A30" s="11" t="s">
        <v>423</v>
      </c>
      <c r="B30" s="9" t="e">
        <f>LPRP!#REF!</f>
        <v>#REF!</v>
      </c>
      <c r="C30" s="10" t="s">
        <v>427</v>
      </c>
      <c r="D30" s="7"/>
    </row>
    <row r="31" spans="1:4" s="1" customFormat="1" x14ac:dyDescent="0.45">
      <c r="A31" s="11" t="s">
        <v>424</v>
      </c>
      <c r="B31" s="9" t="e">
        <f>LPRP!#REF!</f>
        <v>#REF!</v>
      </c>
      <c r="C31" s="10" t="s">
        <v>427</v>
      </c>
      <c r="D31" s="7"/>
    </row>
    <row r="32" spans="1:4" s="1" customFormat="1" x14ac:dyDescent="0.45">
      <c r="A32" s="11" t="s">
        <v>425</v>
      </c>
      <c r="B32" s="9" t="e">
        <f>LPRP!#REF!</f>
        <v>#REF!</v>
      </c>
      <c r="C32" s="10" t="s">
        <v>427</v>
      </c>
      <c r="D32" s="7"/>
    </row>
    <row r="33" spans="1:4" s="1" customFormat="1" x14ac:dyDescent="0.45">
      <c r="A33" s="9" t="s">
        <v>426</v>
      </c>
      <c r="B33" s="9">
        <f>LPRP!A52</f>
        <v>0</v>
      </c>
      <c r="C33" s="10" t="s">
        <v>435</v>
      </c>
      <c r="D33" s="7"/>
    </row>
    <row r="34" spans="1:4" s="1" customFormat="1" x14ac:dyDescent="0.45">
      <c r="A34" s="9" t="s">
        <v>1190</v>
      </c>
      <c r="B34" s="9">
        <f>LPRP!B52</f>
        <v>0</v>
      </c>
      <c r="C34" s="10" t="s">
        <v>435</v>
      </c>
      <c r="D34" s="7"/>
    </row>
    <row r="35" spans="1:4" s="1" customFormat="1" x14ac:dyDescent="0.45">
      <c r="A35" s="9" t="s">
        <v>1191</v>
      </c>
      <c r="B35" s="9">
        <f>LPRP!C52</f>
        <v>0</v>
      </c>
      <c r="C35" s="10" t="s">
        <v>435</v>
      </c>
      <c r="D35" s="7"/>
    </row>
    <row r="36" spans="1:4" s="1" customFormat="1" x14ac:dyDescent="0.45">
      <c r="A36" s="9" t="s">
        <v>1192</v>
      </c>
      <c r="B36" s="9">
        <f>LPRP!D52</f>
        <v>0</v>
      </c>
      <c r="C36" s="10" t="s">
        <v>435</v>
      </c>
      <c r="D36" s="7"/>
    </row>
    <row r="37" spans="1:4" s="1" customFormat="1" x14ac:dyDescent="0.45">
      <c r="A37" s="9" t="s">
        <v>1193</v>
      </c>
      <c r="B37" s="9">
        <f>LPRP!E52</f>
        <v>0</v>
      </c>
      <c r="C37" s="10" t="s">
        <v>435</v>
      </c>
      <c r="D37" s="7"/>
    </row>
    <row r="38" spans="1:4" s="1" customFormat="1" x14ac:dyDescent="0.45">
      <c r="A38" s="9" t="s">
        <v>1194</v>
      </c>
      <c r="B38" s="9">
        <f>LPRP!F52</f>
        <v>0</v>
      </c>
      <c r="C38" s="10" t="s">
        <v>435</v>
      </c>
      <c r="D38" s="7"/>
    </row>
    <row r="39" spans="1:4" s="1" customFormat="1" x14ac:dyDescent="0.45">
      <c r="A39" s="9" t="s">
        <v>1195</v>
      </c>
      <c r="B39" s="9">
        <f>LPRP!G52</f>
        <v>0</v>
      </c>
      <c r="C39" s="10" t="s">
        <v>435</v>
      </c>
      <c r="D39" s="7"/>
    </row>
    <row r="40" spans="1:4" s="1" customFormat="1" x14ac:dyDescent="0.45">
      <c r="A40" s="9" t="s">
        <v>434</v>
      </c>
      <c r="B40" s="9">
        <f>LPRP!A58</f>
        <v>0</v>
      </c>
      <c r="C40" s="10" t="s">
        <v>443</v>
      </c>
      <c r="D40" s="7"/>
    </row>
    <row r="41" spans="1:4" s="1" customFormat="1" x14ac:dyDescent="0.45">
      <c r="A41" s="9" t="s">
        <v>436</v>
      </c>
      <c r="B41" s="9">
        <f>LPRP!B58</f>
        <v>0</v>
      </c>
      <c r="C41" s="10" t="s">
        <v>443</v>
      </c>
      <c r="D41" s="7"/>
    </row>
    <row r="42" spans="1:4" s="1" customFormat="1" x14ac:dyDescent="0.45">
      <c r="A42" s="9" t="s">
        <v>437</v>
      </c>
      <c r="B42" s="9" t="e">
        <f>LPRP!#REF!</f>
        <v>#REF!</v>
      </c>
      <c r="C42" s="10" t="s">
        <v>443</v>
      </c>
      <c r="D42" s="7"/>
    </row>
    <row r="43" spans="1:4" s="1" customFormat="1" x14ac:dyDescent="0.45">
      <c r="A43" s="9" t="s">
        <v>438</v>
      </c>
      <c r="B43" s="9" t="e">
        <f>LPRP!#REF!</f>
        <v>#REF!</v>
      </c>
      <c r="C43" s="10" t="s">
        <v>443</v>
      </c>
      <c r="D43" s="7"/>
    </row>
    <row r="44" spans="1:4" s="1" customFormat="1" x14ac:dyDescent="0.45">
      <c r="A44" s="9" t="s">
        <v>439</v>
      </c>
      <c r="B44" s="9">
        <f>LPRP!C58</f>
        <v>0</v>
      </c>
      <c r="C44" s="10" t="s">
        <v>443</v>
      </c>
      <c r="D44" s="7"/>
    </row>
    <row r="45" spans="1:4" s="1" customFormat="1" x14ac:dyDescent="0.45">
      <c r="A45" s="9" t="s">
        <v>440</v>
      </c>
      <c r="B45" s="9">
        <f>LPRP!D58</f>
        <v>0</v>
      </c>
      <c r="C45" s="10" t="s">
        <v>443</v>
      </c>
      <c r="D45" s="7"/>
    </row>
    <row r="46" spans="1:4" s="1" customFormat="1" x14ac:dyDescent="0.45">
      <c r="A46" s="9" t="s">
        <v>441</v>
      </c>
      <c r="B46" s="9" t="e">
        <f>LPRP!#REF!</f>
        <v>#REF!</v>
      </c>
      <c r="C46" s="10" t="s">
        <v>443</v>
      </c>
      <c r="D46" s="7"/>
    </row>
    <row r="47" spans="1:4" s="1" customFormat="1" x14ac:dyDescent="0.45">
      <c r="A47" s="9" t="s">
        <v>1196</v>
      </c>
      <c r="B47" s="9" t="e">
        <f>LPRP!#REF!</f>
        <v>#REF!</v>
      </c>
      <c r="C47" s="10" t="s">
        <v>443</v>
      </c>
      <c r="D47" s="7"/>
    </row>
    <row r="48" spans="1:4" s="1" customFormat="1" x14ac:dyDescent="0.45">
      <c r="A48" s="9" t="s">
        <v>1197</v>
      </c>
      <c r="B48" s="9">
        <f>LPRP!E58</f>
        <v>0</v>
      </c>
      <c r="C48" s="10" t="s">
        <v>443</v>
      </c>
      <c r="D48" s="7"/>
    </row>
    <row r="49" spans="1:4" s="1" customFormat="1" x14ac:dyDescent="0.45">
      <c r="A49" s="9" t="s">
        <v>1198</v>
      </c>
      <c r="B49" s="9">
        <f>LPRP!F58</f>
        <v>0</v>
      </c>
      <c r="C49" s="10" t="s">
        <v>443</v>
      </c>
      <c r="D49" s="7"/>
    </row>
    <row r="50" spans="1:4" s="1" customFormat="1" x14ac:dyDescent="0.45">
      <c r="A50" s="6" t="s">
        <v>442</v>
      </c>
      <c r="B50" s="6">
        <f>LPRP!D67</f>
        <v>0</v>
      </c>
      <c r="C50" s="8" t="s">
        <v>1199</v>
      </c>
      <c r="D50" s="7"/>
    </row>
    <row r="51" spans="1:4" s="1" customFormat="1" x14ac:dyDescent="0.45">
      <c r="A51" s="13" t="s">
        <v>444</v>
      </c>
      <c r="B51" s="6">
        <f>LPRP!E67</f>
        <v>0</v>
      </c>
      <c r="C51" s="8" t="s">
        <v>1199</v>
      </c>
      <c r="D51" s="7"/>
    </row>
    <row r="52" spans="1:4" s="1" customFormat="1" x14ac:dyDescent="0.45">
      <c r="A52" s="13" t="s">
        <v>445</v>
      </c>
      <c r="B52" s="6">
        <f>LPRP!F67</f>
        <v>0</v>
      </c>
      <c r="C52" s="8" t="s">
        <v>1199</v>
      </c>
      <c r="D52" s="7"/>
    </row>
    <row r="53" spans="1:4" s="1" customFormat="1" x14ac:dyDescent="0.45">
      <c r="A53" s="13" t="s">
        <v>446</v>
      </c>
      <c r="B53" s="6">
        <f>LPRP!G67</f>
        <v>0</v>
      </c>
      <c r="C53" s="8" t="s">
        <v>1199</v>
      </c>
      <c r="D53" s="7"/>
    </row>
    <row r="54" spans="1:4" s="1" customFormat="1" x14ac:dyDescent="0.45">
      <c r="A54" s="13" t="s">
        <v>447</v>
      </c>
      <c r="B54" s="6">
        <f>LPRP!H67</f>
        <v>0</v>
      </c>
      <c r="C54" s="8" t="s">
        <v>1199</v>
      </c>
      <c r="D54" s="7"/>
    </row>
    <row r="55" spans="1:4" s="1" customFormat="1" x14ac:dyDescent="0.45">
      <c r="A55" s="13" t="s">
        <v>448</v>
      </c>
      <c r="B55" s="6">
        <f>LPRP!I67</f>
        <v>0</v>
      </c>
      <c r="C55" s="8" t="s">
        <v>1199</v>
      </c>
      <c r="D55" s="7"/>
    </row>
    <row r="56" spans="1:4" s="1" customFormat="1" x14ac:dyDescent="0.45">
      <c r="A56" s="13" t="s">
        <v>449</v>
      </c>
      <c r="B56" s="6">
        <f>LPRP!J67</f>
        <v>0</v>
      </c>
      <c r="C56" s="8" t="s">
        <v>1199</v>
      </c>
      <c r="D56" s="7"/>
    </row>
    <row r="57" spans="1:4" x14ac:dyDescent="0.45">
      <c r="A57" s="6" t="s">
        <v>1200</v>
      </c>
      <c r="B57" s="6">
        <f>LPRP!D68</f>
        <v>0</v>
      </c>
      <c r="C57" s="8" t="s">
        <v>1199</v>
      </c>
      <c r="D57" s="7"/>
    </row>
    <row r="58" spans="1:4" x14ac:dyDescent="0.45">
      <c r="A58" s="13" t="s">
        <v>1201</v>
      </c>
      <c r="B58" s="6">
        <f>LPRP!E68</f>
        <v>0</v>
      </c>
      <c r="C58" s="8" t="s">
        <v>1199</v>
      </c>
      <c r="D58" s="7"/>
    </row>
    <row r="59" spans="1:4" x14ac:dyDescent="0.45">
      <c r="A59" s="13" t="s">
        <v>1202</v>
      </c>
      <c r="B59" s="6">
        <f>LPRP!F68</f>
        <v>0</v>
      </c>
      <c r="C59" s="8" t="s">
        <v>1199</v>
      </c>
      <c r="D59" s="7"/>
    </row>
    <row r="60" spans="1:4" x14ac:dyDescent="0.45">
      <c r="A60" s="13" t="s">
        <v>1203</v>
      </c>
      <c r="B60" s="6">
        <f>LPRP!G68</f>
        <v>0</v>
      </c>
      <c r="C60" s="8" t="s">
        <v>1199</v>
      </c>
      <c r="D60" s="7"/>
    </row>
    <row r="61" spans="1:4" x14ac:dyDescent="0.45">
      <c r="A61" s="13" t="s">
        <v>1204</v>
      </c>
      <c r="B61" s="6">
        <f>LPRP!H68</f>
        <v>0</v>
      </c>
      <c r="C61" s="8" t="s">
        <v>1199</v>
      </c>
      <c r="D61" s="7"/>
    </row>
    <row r="62" spans="1:4" x14ac:dyDescent="0.45">
      <c r="A62" s="13" t="s">
        <v>1205</v>
      </c>
      <c r="B62" s="6">
        <f>LPRP!I68</f>
        <v>0</v>
      </c>
      <c r="C62" s="8" t="s">
        <v>1199</v>
      </c>
      <c r="D62" s="7"/>
    </row>
    <row r="63" spans="1:4" x14ac:dyDescent="0.45">
      <c r="A63" s="13" t="s">
        <v>1206</v>
      </c>
      <c r="B63" s="6">
        <f>LPRP!J68</f>
        <v>0</v>
      </c>
      <c r="C63" s="8" t="s">
        <v>1199</v>
      </c>
      <c r="D63" s="7"/>
    </row>
    <row r="64" spans="1:4" x14ac:dyDescent="0.45">
      <c r="A64" s="6" t="s">
        <v>1207</v>
      </c>
      <c r="B64" s="6">
        <f>LPRP!D69</f>
        <v>0</v>
      </c>
      <c r="C64" s="8" t="s">
        <v>1199</v>
      </c>
      <c r="D64" s="7"/>
    </row>
    <row r="65" spans="1:4" x14ac:dyDescent="0.45">
      <c r="A65" s="13" t="s">
        <v>1208</v>
      </c>
      <c r="B65" s="6">
        <f>LPRP!E69</f>
        <v>0</v>
      </c>
      <c r="C65" s="8" t="s">
        <v>1199</v>
      </c>
      <c r="D65" s="7"/>
    </row>
    <row r="66" spans="1:4" x14ac:dyDescent="0.45">
      <c r="A66" s="13" t="s">
        <v>1209</v>
      </c>
      <c r="B66" s="6">
        <f>LPRP!F69</f>
        <v>0</v>
      </c>
      <c r="C66" s="8" t="s">
        <v>1199</v>
      </c>
      <c r="D66" s="7"/>
    </row>
    <row r="67" spans="1:4" x14ac:dyDescent="0.45">
      <c r="A67" s="13" t="s">
        <v>1210</v>
      </c>
      <c r="B67" s="6">
        <f>LPRP!G69</f>
        <v>0</v>
      </c>
      <c r="C67" s="8" t="s">
        <v>1199</v>
      </c>
      <c r="D67" s="7"/>
    </row>
    <row r="68" spans="1:4" x14ac:dyDescent="0.45">
      <c r="A68" s="13" t="s">
        <v>1211</v>
      </c>
      <c r="B68" s="6">
        <f>LPRP!H69</f>
        <v>0</v>
      </c>
      <c r="C68" s="8" t="s">
        <v>1199</v>
      </c>
      <c r="D68" s="7"/>
    </row>
    <row r="69" spans="1:4" x14ac:dyDescent="0.45">
      <c r="A69" s="13" t="s">
        <v>1212</v>
      </c>
      <c r="B69" s="6">
        <f>LPRP!I69</f>
        <v>0</v>
      </c>
      <c r="C69" s="8" t="s">
        <v>1199</v>
      </c>
      <c r="D69" s="7"/>
    </row>
    <row r="70" spans="1:4" x14ac:dyDescent="0.45">
      <c r="A70" s="13" t="s">
        <v>1206</v>
      </c>
      <c r="B70" s="6">
        <f>LPRP!J69</f>
        <v>0</v>
      </c>
      <c r="C70" s="8" t="s">
        <v>1199</v>
      </c>
      <c r="D70" s="7"/>
    </row>
    <row r="71" spans="1:4" x14ac:dyDescent="0.45">
      <c r="A71" s="6" t="s">
        <v>1213</v>
      </c>
      <c r="B71" s="6">
        <f>LPRP!D70</f>
        <v>0</v>
      </c>
      <c r="C71" s="8" t="s">
        <v>1199</v>
      </c>
      <c r="D71" s="7"/>
    </row>
    <row r="72" spans="1:4" x14ac:dyDescent="0.45">
      <c r="A72" s="13" t="s">
        <v>1214</v>
      </c>
      <c r="B72" s="6">
        <f>LPRP!E70</f>
        <v>0</v>
      </c>
      <c r="C72" s="8" t="s">
        <v>1199</v>
      </c>
      <c r="D72" s="7"/>
    </row>
    <row r="73" spans="1:4" x14ac:dyDescent="0.45">
      <c r="A73" s="13" t="s">
        <v>1215</v>
      </c>
      <c r="B73" s="6">
        <f>LPRP!F70</f>
        <v>0</v>
      </c>
      <c r="C73" s="8" t="s">
        <v>1199</v>
      </c>
      <c r="D73" s="7"/>
    </row>
    <row r="74" spans="1:4" x14ac:dyDescent="0.45">
      <c r="A74" s="13" t="s">
        <v>1216</v>
      </c>
      <c r="B74" s="6">
        <f>LPRP!G70</f>
        <v>0</v>
      </c>
      <c r="C74" s="8" t="s">
        <v>1199</v>
      </c>
      <c r="D74" s="7"/>
    </row>
    <row r="75" spans="1:4" x14ac:dyDescent="0.45">
      <c r="A75" s="13" t="s">
        <v>1217</v>
      </c>
      <c r="B75" s="6">
        <f>LPRP!H70</f>
        <v>0</v>
      </c>
      <c r="C75" s="8" t="s">
        <v>1199</v>
      </c>
      <c r="D75" s="7"/>
    </row>
    <row r="76" spans="1:4" x14ac:dyDescent="0.45">
      <c r="A76" s="13" t="s">
        <v>1218</v>
      </c>
      <c r="B76" s="6">
        <f>LPRP!I70</f>
        <v>0</v>
      </c>
      <c r="C76" s="8" t="s">
        <v>1199</v>
      </c>
      <c r="D76" s="7"/>
    </row>
    <row r="77" spans="1:4" x14ac:dyDescent="0.45">
      <c r="A77" s="13" t="s">
        <v>1219</v>
      </c>
      <c r="B77" s="6">
        <f>LPRP!J70</f>
        <v>0</v>
      </c>
      <c r="C77" s="8" t="s">
        <v>1199</v>
      </c>
      <c r="D77" s="7"/>
    </row>
    <row r="78" spans="1:4" x14ac:dyDescent="0.45">
      <c r="A78" s="6" t="s">
        <v>1220</v>
      </c>
      <c r="B78" s="6">
        <f>LPRP!D71</f>
        <v>0</v>
      </c>
      <c r="C78" s="8" t="s">
        <v>1199</v>
      </c>
      <c r="D78" s="7"/>
    </row>
    <row r="79" spans="1:4" x14ac:dyDescent="0.45">
      <c r="A79" s="13" t="s">
        <v>1221</v>
      </c>
      <c r="B79" s="6">
        <f>LPRP!E71</f>
        <v>0</v>
      </c>
      <c r="C79" s="8" t="s">
        <v>1199</v>
      </c>
      <c r="D79" s="7"/>
    </row>
    <row r="80" spans="1:4" x14ac:dyDescent="0.45">
      <c r="A80" s="13" t="s">
        <v>1222</v>
      </c>
      <c r="B80" s="6">
        <f>LPRP!F71</f>
        <v>0</v>
      </c>
      <c r="C80" s="8" t="s">
        <v>1199</v>
      </c>
      <c r="D80" s="7"/>
    </row>
    <row r="81" spans="1:4" x14ac:dyDescent="0.45">
      <c r="A81" s="13" t="s">
        <v>1223</v>
      </c>
      <c r="B81" s="6">
        <f>LPRP!G71</f>
        <v>0</v>
      </c>
      <c r="C81" s="8" t="s">
        <v>1199</v>
      </c>
      <c r="D81" s="7"/>
    </row>
    <row r="82" spans="1:4" x14ac:dyDescent="0.45">
      <c r="A82" s="13" t="s">
        <v>1224</v>
      </c>
      <c r="B82" s="6">
        <f>LPRP!H71</f>
        <v>0</v>
      </c>
      <c r="C82" s="8" t="s">
        <v>1199</v>
      </c>
      <c r="D82" s="7"/>
    </row>
    <row r="83" spans="1:4" x14ac:dyDescent="0.45">
      <c r="A83" s="13" t="s">
        <v>1225</v>
      </c>
      <c r="B83" s="6">
        <f>LPRP!I71</f>
        <v>0</v>
      </c>
      <c r="C83" s="8" t="s">
        <v>1199</v>
      </c>
      <c r="D83" s="7"/>
    </row>
    <row r="84" spans="1:4" x14ac:dyDescent="0.45">
      <c r="A84" s="13" t="s">
        <v>1226</v>
      </c>
      <c r="B84" s="6">
        <f>LPRP!J71</f>
        <v>0</v>
      </c>
      <c r="C84" s="8" t="s">
        <v>1199</v>
      </c>
      <c r="D84" s="7"/>
    </row>
    <row r="85" spans="1:4" s="1" customFormat="1" x14ac:dyDescent="0.45">
      <c r="A85" s="6" t="s">
        <v>1227</v>
      </c>
      <c r="B85" s="6">
        <f>LPRP!D72</f>
        <v>0</v>
      </c>
      <c r="C85" s="8" t="s">
        <v>1199</v>
      </c>
      <c r="D85" s="7"/>
    </row>
    <row r="86" spans="1:4" s="1" customFormat="1" x14ac:dyDescent="0.45">
      <c r="A86" s="13" t="s">
        <v>1228</v>
      </c>
      <c r="B86" s="6">
        <f>LPRP!E72</f>
        <v>0</v>
      </c>
      <c r="C86" s="8" t="s">
        <v>1199</v>
      </c>
      <c r="D86" s="7"/>
    </row>
    <row r="87" spans="1:4" s="1" customFormat="1" x14ac:dyDescent="0.45">
      <c r="A87" s="13" t="s">
        <v>1229</v>
      </c>
      <c r="B87" s="6">
        <f>LPRP!F72</f>
        <v>0</v>
      </c>
      <c r="C87" s="8" t="s">
        <v>1199</v>
      </c>
      <c r="D87" s="7"/>
    </row>
    <row r="88" spans="1:4" s="1" customFormat="1" x14ac:dyDescent="0.45">
      <c r="A88" s="13" t="s">
        <v>1230</v>
      </c>
      <c r="B88" s="6">
        <f>LPRP!G72</f>
        <v>0</v>
      </c>
      <c r="C88" s="8" t="s">
        <v>1199</v>
      </c>
      <c r="D88" s="7"/>
    </row>
    <row r="89" spans="1:4" s="1" customFormat="1" x14ac:dyDescent="0.45">
      <c r="A89" s="13" t="s">
        <v>1231</v>
      </c>
      <c r="B89" s="6">
        <f>LPRP!H72</f>
        <v>0</v>
      </c>
      <c r="C89" s="8" t="s">
        <v>1199</v>
      </c>
      <c r="D89" s="7"/>
    </row>
    <row r="90" spans="1:4" s="1" customFormat="1" x14ac:dyDescent="0.45">
      <c r="A90" s="13" t="s">
        <v>1232</v>
      </c>
      <c r="B90" s="6">
        <f>LPRP!I72</f>
        <v>0</v>
      </c>
      <c r="C90" s="8" t="s">
        <v>1199</v>
      </c>
      <c r="D90" s="7"/>
    </row>
    <row r="91" spans="1:4" s="1" customFormat="1" x14ac:dyDescent="0.45">
      <c r="A91" s="13" t="s">
        <v>1233</v>
      </c>
      <c r="B91" s="6">
        <f>LPRP!J72</f>
        <v>0</v>
      </c>
      <c r="C91" s="8" t="s">
        <v>1199</v>
      </c>
      <c r="D91" s="7"/>
    </row>
    <row r="92" spans="1:4" s="1" customFormat="1" x14ac:dyDescent="0.45">
      <c r="A92" s="6" t="s">
        <v>1234</v>
      </c>
      <c r="B92" s="6">
        <f>LPRP!D73</f>
        <v>0</v>
      </c>
      <c r="C92" s="8" t="s">
        <v>1199</v>
      </c>
      <c r="D92" s="7"/>
    </row>
    <row r="93" spans="1:4" s="1" customFormat="1" x14ac:dyDescent="0.45">
      <c r="A93" s="13" t="s">
        <v>1235</v>
      </c>
      <c r="B93" s="6">
        <f>LPRP!E73</f>
        <v>0</v>
      </c>
      <c r="C93" s="8" t="s">
        <v>1199</v>
      </c>
      <c r="D93" s="7"/>
    </row>
    <row r="94" spans="1:4" s="1" customFormat="1" x14ac:dyDescent="0.45">
      <c r="A94" s="13" t="s">
        <v>1236</v>
      </c>
      <c r="B94" s="6">
        <f>LPRP!F73</f>
        <v>0</v>
      </c>
      <c r="C94" s="8" t="s">
        <v>1199</v>
      </c>
      <c r="D94" s="7"/>
    </row>
    <row r="95" spans="1:4" s="1" customFormat="1" x14ac:dyDescent="0.45">
      <c r="A95" s="13" t="s">
        <v>1237</v>
      </c>
      <c r="B95" s="6">
        <f>LPRP!G73</f>
        <v>0</v>
      </c>
      <c r="C95" s="8" t="s">
        <v>1199</v>
      </c>
      <c r="D95" s="7"/>
    </row>
    <row r="96" spans="1:4" x14ac:dyDescent="0.45">
      <c r="A96" s="13" t="s">
        <v>1238</v>
      </c>
      <c r="B96" s="6">
        <f>LPRP!H73</f>
        <v>0</v>
      </c>
      <c r="C96" s="8" t="s">
        <v>1199</v>
      </c>
      <c r="D96" s="7"/>
    </row>
    <row r="97" spans="1:4" x14ac:dyDescent="0.45">
      <c r="A97" s="13" t="s">
        <v>1239</v>
      </c>
      <c r="B97" s="6">
        <f>LPRP!I73</f>
        <v>0</v>
      </c>
      <c r="C97" s="8" t="s">
        <v>1199</v>
      </c>
      <c r="D97" s="7"/>
    </row>
    <row r="98" spans="1:4" x14ac:dyDescent="0.45">
      <c r="A98" s="13" t="s">
        <v>1240</v>
      </c>
      <c r="B98" s="6">
        <f>LPRP!J73</f>
        <v>0</v>
      </c>
      <c r="C98" s="8" t="s">
        <v>1199</v>
      </c>
      <c r="D98" s="7"/>
    </row>
    <row r="99" spans="1:4" s="1" customFormat="1" x14ac:dyDescent="0.45">
      <c r="A99" s="6" t="s">
        <v>453</v>
      </c>
      <c r="B99" s="6">
        <f>LPRP!C80</f>
        <v>0</v>
      </c>
      <c r="C99" s="8" t="s">
        <v>1241</v>
      </c>
      <c r="D99" s="7"/>
    </row>
    <row r="100" spans="1:4" s="1" customFormat="1" x14ac:dyDescent="0.45">
      <c r="A100" s="6" t="s">
        <v>1242</v>
      </c>
      <c r="B100" s="6">
        <f>LPRP!C81</f>
        <v>0</v>
      </c>
      <c r="C100" s="8" t="s">
        <v>1241</v>
      </c>
      <c r="D100" s="7"/>
    </row>
    <row r="101" spans="1:4" s="1" customFormat="1" x14ac:dyDescent="0.45">
      <c r="A101" s="6" t="s">
        <v>1243</v>
      </c>
      <c r="B101" s="6">
        <f>LPRP!C82</f>
        <v>0</v>
      </c>
      <c r="C101" s="8" t="s">
        <v>1241</v>
      </c>
      <c r="D101" s="7"/>
    </row>
    <row r="102" spans="1:4" x14ac:dyDescent="0.45">
      <c r="A102" s="6" t="s">
        <v>1244</v>
      </c>
      <c r="B102" s="6">
        <f>LPRP!C83</f>
        <v>0</v>
      </c>
      <c r="C102" s="8" t="s">
        <v>1241</v>
      </c>
      <c r="D102" s="7"/>
    </row>
    <row r="103" spans="1:4" x14ac:dyDescent="0.45">
      <c r="A103" s="6" t="s">
        <v>1245</v>
      </c>
      <c r="B103" s="6">
        <f>LPRP!C84</f>
        <v>0</v>
      </c>
      <c r="C103" s="8" t="s">
        <v>1241</v>
      </c>
      <c r="D103" s="7"/>
    </row>
    <row r="104" spans="1:4" x14ac:dyDescent="0.45">
      <c r="A104" s="6" t="s">
        <v>1246</v>
      </c>
      <c r="B104" s="6">
        <f>LPRP!C85</f>
        <v>0</v>
      </c>
      <c r="C104" s="8" t="s">
        <v>1241</v>
      </c>
      <c r="D104" s="7"/>
    </row>
    <row r="105" spans="1:4" x14ac:dyDescent="0.45">
      <c r="A105" s="6" t="s">
        <v>1247</v>
      </c>
      <c r="B105" s="6">
        <f>LPRP!C86</f>
        <v>0</v>
      </c>
      <c r="C105" s="8" t="s">
        <v>1241</v>
      </c>
      <c r="D105" s="7"/>
    </row>
    <row r="106" spans="1:4" x14ac:dyDescent="0.45">
      <c r="A106" s="6" t="s">
        <v>1248</v>
      </c>
      <c r="B106" s="6">
        <f>LPRP!C87</f>
        <v>0</v>
      </c>
      <c r="C106" s="8" t="s">
        <v>1241</v>
      </c>
      <c r="D106" s="7"/>
    </row>
    <row r="107" spans="1:4" x14ac:dyDescent="0.45">
      <c r="A107" s="6" t="s">
        <v>1249</v>
      </c>
      <c r="B107" s="6">
        <f>LPRP!C88</f>
        <v>0</v>
      </c>
      <c r="C107" s="8" t="s">
        <v>1241</v>
      </c>
      <c r="D107" s="7"/>
    </row>
    <row r="108" spans="1:4" x14ac:dyDescent="0.45">
      <c r="A108" s="6" t="s">
        <v>1250</v>
      </c>
      <c r="B108" s="6">
        <f>LPRP!G80</f>
        <v>0</v>
      </c>
      <c r="C108" s="8" t="s">
        <v>1241</v>
      </c>
      <c r="D108" s="7"/>
    </row>
    <row r="109" spans="1:4" x14ac:dyDescent="0.45">
      <c r="A109" s="6" t="s">
        <v>1251</v>
      </c>
      <c r="B109" s="6">
        <f>LPRP!G81</f>
        <v>0</v>
      </c>
      <c r="C109" s="8" t="s">
        <v>1241</v>
      </c>
      <c r="D109" s="7"/>
    </row>
    <row r="110" spans="1:4" x14ac:dyDescent="0.45">
      <c r="A110" s="6" t="s">
        <v>1252</v>
      </c>
      <c r="B110" s="6">
        <f>LPRP!G82</f>
        <v>0</v>
      </c>
      <c r="C110" s="8" t="s">
        <v>1241</v>
      </c>
      <c r="D110" s="7"/>
    </row>
    <row r="111" spans="1:4" x14ac:dyDescent="0.45">
      <c r="A111" s="6" t="s">
        <v>1253</v>
      </c>
      <c r="B111" s="6">
        <f>LPRP!G83</f>
        <v>0</v>
      </c>
      <c r="C111" s="8" t="s">
        <v>1241</v>
      </c>
      <c r="D111" s="7"/>
    </row>
    <row r="112" spans="1:4" x14ac:dyDescent="0.45">
      <c r="A112" s="6" t="s">
        <v>1254</v>
      </c>
      <c r="B112" s="6">
        <f>LPRP!G84</f>
        <v>0</v>
      </c>
      <c r="C112" s="8" t="s">
        <v>1241</v>
      </c>
      <c r="D112" s="7"/>
    </row>
    <row r="113" spans="1:4" x14ac:dyDescent="0.45">
      <c r="A113" s="6" t="s">
        <v>1255</v>
      </c>
      <c r="B113" s="6">
        <f>LPRP!G85</f>
        <v>0</v>
      </c>
      <c r="C113" s="8" t="s">
        <v>1241</v>
      </c>
      <c r="D113" s="7"/>
    </row>
    <row r="114" spans="1:4" x14ac:dyDescent="0.45">
      <c r="A114" s="6" t="s">
        <v>1256</v>
      </c>
      <c r="B114" s="6">
        <f>LPRP!G86</f>
        <v>0</v>
      </c>
      <c r="C114" s="8" t="s">
        <v>1241</v>
      </c>
      <c r="D114" s="7"/>
    </row>
    <row r="115" spans="1:4" x14ac:dyDescent="0.45">
      <c r="A115" s="6" t="s">
        <v>1257</v>
      </c>
      <c r="B115" s="6">
        <f>LPRP!G87</f>
        <v>0</v>
      </c>
      <c r="C115" s="8" t="s">
        <v>1241</v>
      </c>
      <c r="D115" s="7"/>
    </row>
    <row r="116" spans="1:4" x14ac:dyDescent="0.45">
      <c r="A116" s="6" t="s">
        <v>1258</v>
      </c>
      <c r="B116" s="6">
        <f>LPRP!G88</f>
        <v>0</v>
      </c>
      <c r="C116" s="8" t="s">
        <v>1241</v>
      </c>
      <c r="D116" s="7"/>
    </row>
    <row r="117" spans="1:4" x14ac:dyDescent="0.45">
      <c r="A117" s="6" t="s">
        <v>1259</v>
      </c>
      <c r="B117" s="6">
        <f>LPRP!G89</f>
        <v>0</v>
      </c>
      <c r="C117" s="8" t="s">
        <v>1241</v>
      </c>
      <c r="D117" s="7"/>
    </row>
    <row r="118" spans="1:4" x14ac:dyDescent="0.45">
      <c r="A118" s="6" t="s">
        <v>1260</v>
      </c>
      <c r="B118" s="6">
        <f>LPRP!K80</f>
        <v>0</v>
      </c>
      <c r="C118" s="8" t="s">
        <v>1241</v>
      </c>
      <c r="D118" s="7"/>
    </row>
    <row r="119" spans="1:4" x14ac:dyDescent="0.45">
      <c r="A119" s="6" t="s">
        <v>1261</v>
      </c>
      <c r="B119" s="6">
        <f>LPRP!K81</f>
        <v>0</v>
      </c>
      <c r="C119" s="8" t="s">
        <v>1241</v>
      </c>
      <c r="D119" s="7"/>
    </row>
    <row r="120" spans="1:4" x14ac:dyDescent="0.45">
      <c r="A120" s="6" t="s">
        <v>1262</v>
      </c>
      <c r="B120" s="6">
        <f>LPRP!K82</f>
        <v>0</v>
      </c>
      <c r="C120" s="8" t="s">
        <v>1241</v>
      </c>
      <c r="D120" s="7"/>
    </row>
    <row r="121" spans="1:4" x14ac:dyDescent="0.45">
      <c r="A121" s="6" t="s">
        <v>1263</v>
      </c>
      <c r="B121" s="6">
        <f>LPRP!K83</f>
        <v>0</v>
      </c>
      <c r="C121" s="8" t="s">
        <v>1241</v>
      </c>
      <c r="D121" s="7"/>
    </row>
    <row r="122" spans="1:4" x14ac:dyDescent="0.45">
      <c r="A122" s="6" t="s">
        <v>1264</v>
      </c>
      <c r="B122" s="6">
        <f>LPRP!K84</f>
        <v>0</v>
      </c>
      <c r="C122" s="8" t="s">
        <v>1241</v>
      </c>
      <c r="D122" s="7"/>
    </row>
    <row r="123" spans="1:4" x14ac:dyDescent="0.45">
      <c r="A123" s="6" t="s">
        <v>1265</v>
      </c>
      <c r="B123" s="6">
        <f>LPRP!K85</f>
        <v>0</v>
      </c>
      <c r="C123" s="8" t="s">
        <v>1241</v>
      </c>
      <c r="D123" s="7"/>
    </row>
    <row r="124" spans="1:4" x14ac:dyDescent="0.45">
      <c r="A124" s="6" t="s">
        <v>1266</v>
      </c>
      <c r="B124" s="6">
        <f>LPRP!K86</f>
        <v>0</v>
      </c>
      <c r="C124" s="8" t="s">
        <v>1241</v>
      </c>
      <c r="D124" s="7"/>
    </row>
    <row r="125" spans="1:4" x14ac:dyDescent="0.45">
      <c r="A125" s="6" t="s">
        <v>1267</v>
      </c>
      <c r="B125" s="6">
        <f>LPRP!K87</f>
        <v>0</v>
      </c>
      <c r="C125" s="8" t="s">
        <v>1241</v>
      </c>
      <c r="D125" s="7"/>
    </row>
    <row r="126" spans="1:4" x14ac:dyDescent="0.45">
      <c r="A126" s="6" t="s">
        <v>1268</v>
      </c>
      <c r="B126" s="6">
        <f>LPRP!K88</f>
        <v>0</v>
      </c>
      <c r="C126" s="8" t="s">
        <v>1241</v>
      </c>
      <c r="D126" s="7"/>
    </row>
    <row r="127" spans="1:4" x14ac:dyDescent="0.45">
      <c r="A127" s="6" t="s">
        <v>464</v>
      </c>
      <c r="B127" s="6">
        <f>LPRP!C94</f>
        <v>0</v>
      </c>
      <c r="C127" s="8" t="s">
        <v>1269</v>
      </c>
      <c r="D127" s="7"/>
    </row>
    <row r="128" spans="1:4" x14ac:dyDescent="0.45">
      <c r="A128" s="13" t="s">
        <v>465</v>
      </c>
      <c r="B128" s="6">
        <f>LPRP!C95</f>
        <v>0</v>
      </c>
      <c r="C128" s="8" t="s">
        <v>1269</v>
      </c>
      <c r="D128" s="7"/>
    </row>
    <row r="129" spans="1:4" x14ac:dyDescent="0.45">
      <c r="A129" s="13" t="s">
        <v>466</v>
      </c>
      <c r="B129" s="6">
        <f>LPRP!C96</f>
        <v>0</v>
      </c>
      <c r="C129" s="8" t="s">
        <v>1269</v>
      </c>
      <c r="D129" s="7"/>
    </row>
    <row r="130" spans="1:4" x14ac:dyDescent="0.45">
      <c r="A130" s="13" t="s">
        <v>467</v>
      </c>
      <c r="B130" s="6">
        <f>LPRP!G94</f>
        <v>0</v>
      </c>
      <c r="C130" s="8" t="s">
        <v>1269</v>
      </c>
      <c r="D130" s="7"/>
    </row>
    <row r="131" spans="1:4" x14ac:dyDescent="0.45">
      <c r="A131" s="13" t="s">
        <v>468</v>
      </c>
      <c r="B131" s="6">
        <f>LPRP!G95</f>
        <v>0</v>
      </c>
      <c r="C131" s="8" t="s">
        <v>1269</v>
      </c>
      <c r="D131" s="7"/>
    </row>
    <row r="132" spans="1:4" x14ac:dyDescent="0.45">
      <c r="A132" s="13" t="s">
        <v>469</v>
      </c>
      <c r="B132" s="6">
        <f>LPRP!G96</f>
        <v>0</v>
      </c>
      <c r="C132" s="8" t="s">
        <v>1269</v>
      </c>
      <c r="D132" s="7"/>
    </row>
    <row r="133" spans="1:4" x14ac:dyDescent="0.45">
      <c r="A133" s="13" t="s">
        <v>470</v>
      </c>
      <c r="B133" s="6">
        <f>LPRP!G97</f>
        <v>0</v>
      </c>
      <c r="C133" s="8" t="s">
        <v>1269</v>
      </c>
      <c r="D133" s="7"/>
    </row>
    <row r="134" spans="1:4" x14ac:dyDescent="0.45">
      <c r="A134" s="13" t="s">
        <v>1270</v>
      </c>
      <c r="B134" s="6">
        <f>LPRP!K94</f>
        <v>0</v>
      </c>
      <c r="C134" s="8" t="s">
        <v>1269</v>
      </c>
      <c r="D134" s="7"/>
    </row>
    <row r="135" spans="1:4" x14ac:dyDescent="0.45">
      <c r="A135" s="13" t="s">
        <v>1271</v>
      </c>
      <c r="B135" s="6">
        <f>LPRP!K95</f>
        <v>0</v>
      </c>
      <c r="C135" s="8" t="s">
        <v>1269</v>
      </c>
      <c r="D135" s="7"/>
    </row>
    <row r="136" spans="1:4" x14ac:dyDescent="0.45">
      <c r="A136" s="13" t="s">
        <v>1272</v>
      </c>
      <c r="B136" s="6">
        <f>LPRP!K96</f>
        <v>0</v>
      </c>
      <c r="C136" s="8" t="s">
        <v>1269</v>
      </c>
      <c r="D136" s="7"/>
    </row>
    <row r="137" spans="1:4" x14ac:dyDescent="0.45">
      <c r="A137" s="13" t="s">
        <v>1273</v>
      </c>
      <c r="B137" s="6">
        <f>LPRP!K97</f>
        <v>0</v>
      </c>
      <c r="C137" s="8" t="s">
        <v>1269</v>
      </c>
      <c r="D137" s="7"/>
    </row>
    <row r="138" spans="1:4" x14ac:dyDescent="0.45">
      <c r="A138" s="6" t="s">
        <v>471</v>
      </c>
      <c r="B138" s="6">
        <f>LPRP!A103</f>
        <v>0</v>
      </c>
      <c r="C138" s="8" t="s">
        <v>1274</v>
      </c>
      <c r="D138" s="7"/>
    </row>
    <row r="139" spans="1:4" x14ac:dyDescent="0.45">
      <c r="A139" s="9" t="s">
        <v>473</v>
      </c>
      <c r="B139" s="9">
        <f>LPRP!C103</f>
        <v>0</v>
      </c>
      <c r="C139" s="10" t="s">
        <v>1274</v>
      </c>
      <c r="D139" s="7"/>
    </row>
    <row r="140" spans="1:4" x14ac:dyDescent="0.45">
      <c r="A140" s="9" t="s">
        <v>474</v>
      </c>
      <c r="B140" s="9">
        <f>LPRP!E103</f>
        <v>0</v>
      </c>
      <c r="C140" s="10" t="s">
        <v>1274</v>
      </c>
      <c r="D140" s="7"/>
    </row>
    <row r="141" spans="1:4" x14ac:dyDescent="0.45">
      <c r="A141" s="9" t="s">
        <v>475</v>
      </c>
      <c r="B141" s="9">
        <f>LPRP!F103</f>
        <v>0</v>
      </c>
      <c r="C141" s="10" t="s">
        <v>1274</v>
      </c>
      <c r="D141" s="7"/>
    </row>
    <row r="142" spans="1:4" x14ac:dyDescent="0.45">
      <c r="A142" s="9" t="s">
        <v>476</v>
      </c>
      <c r="B142" s="9">
        <f>LPRP!G103</f>
        <v>0</v>
      </c>
      <c r="C142" s="10" t="s">
        <v>1274</v>
      </c>
      <c r="D142" s="7"/>
    </row>
    <row r="143" spans="1:4" x14ac:dyDescent="0.45">
      <c r="A143" s="6" t="s">
        <v>477</v>
      </c>
      <c r="B143" s="6">
        <f>LPRP!H103</f>
        <v>0</v>
      </c>
      <c r="C143" s="8" t="s">
        <v>1274</v>
      </c>
      <c r="D143" s="7"/>
    </row>
    <row r="144" spans="1:4" x14ac:dyDescent="0.45">
      <c r="A144" s="6" t="s">
        <v>535</v>
      </c>
      <c r="B144" s="6">
        <f>LPRP!A110</f>
        <v>0</v>
      </c>
      <c r="C144" s="8" t="s">
        <v>1275</v>
      </c>
      <c r="D144" s="7"/>
    </row>
    <row r="145" spans="1:4" x14ac:dyDescent="0.45">
      <c r="A145" s="6" t="s">
        <v>1276</v>
      </c>
      <c r="B145" s="6">
        <f>LPRP!D110</f>
        <v>0</v>
      </c>
      <c r="C145" s="8" t="s">
        <v>1275</v>
      </c>
      <c r="D145" s="7"/>
    </row>
    <row r="146" spans="1:4" x14ac:dyDescent="0.45">
      <c r="A146" s="6" t="s">
        <v>1277</v>
      </c>
      <c r="B146" s="6">
        <f>LPRP!G110</f>
        <v>0</v>
      </c>
      <c r="C146" s="8" t="s">
        <v>1275</v>
      </c>
      <c r="D146" s="7"/>
    </row>
    <row r="147" spans="1:4" x14ac:dyDescent="0.45">
      <c r="A147" s="9" t="s">
        <v>597</v>
      </c>
      <c r="B147" s="9">
        <f>LPRP!C117</f>
        <v>0</v>
      </c>
      <c r="C147" s="10" t="s">
        <v>1278</v>
      </c>
      <c r="D147" s="7"/>
    </row>
    <row r="148" spans="1:4" x14ac:dyDescent="0.45">
      <c r="A148" s="9" t="s">
        <v>1279</v>
      </c>
      <c r="B148" s="9">
        <f>LPRP!D117</f>
        <v>0</v>
      </c>
      <c r="C148" s="10" t="s">
        <v>1278</v>
      </c>
      <c r="D148" s="7"/>
    </row>
    <row r="149" spans="1:4" x14ac:dyDescent="0.45">
      <c r="A149" s="9" t="s">
        <v>1280</v>
      </c>
      <c r="B149" s="9" t="e">
        <f>LPRP!#REF!</f>
        <v>#REF!</v>
      </c>
      <c r="C149" s="10" t="s">
        <v>1278</v>
      </c>
      <c r="D149" s="7"/>
    </row>
    <row r="150" spans="1:4" x14ac:dyDescent="0.45">
      <c r="A150" s="9" t="s">
        <v>1281</v>
      </c>
      <c r="B150" s="9" t="e">
        <f>LPRP!#REF!</f>
        <v>#REF!</v>
      </c>
      <c r="C150" s="10" t="s">
        <v>1278</v>
      </c>
      <c r="D150" s="7"/>
    </row>
    <row r="151" spans="1:4" x14ac:dyDescent="0.45">
      <c r="A151" s="9" t="s">
        <v>1282</v>
      </c>
      <c r="B151" s="9">
        <f>LPRP!E117</f>
        <v>0</v>
      </c>
      <c r="C151" s="10" t="s">
        <v>1278</v>
      </c>
      <c r="D151" s="7"/>
    </row>
    <row r="152" spans="1:4" x14ac:dyDescent="0.45">
      <c r="A152" s="9" t="s">
        <v>1283</v>
      </c>
      <c r="B152" s="9">
        <f>LPRP!F117</f>
        <v>0</v>
      </c>
      <c r="C152" s="10" t="s">
        <v>1278</v>
      </c>
      <c r="D152" s="7"/>
    </row>
    <row r="153" spans="1:4" x14ac:dyDescent="0.45">
      <c r="A153" s="9" t="s">
        <v>1284</v>
      </c>
      <c r="B153" s="9" t="e">
        <f>LPRP!#REF!</f>
        <v>#REF!</v>
      </c>
      <c r="C153" s="10" t="s">
        <v>1278</v>
      </c>
      <c r="D153" s="7"/>
    </row>
    <row r="154" spans="1:4" x14ac:dyDescent="0.45">
      <c r="A154" s="9" t="s">
        <v>1285</v>
      </c>
      <c r="B154" s="9" t="e">
        <f>LPRP!#REF!</f>
        <v>#REF!</v>
      </c>
      <c r="C154" s="10" t="s">
        <v>1278</v>
      </c>
      <c r="D154" s="7"/>
    </row>
    <row r="155" spans="1:4" x14ac:dyDescent="0.45">
      <c r="A155" s="9" t="s">
        <v>1286</v>
      </c>
      <c r="B155" s="9">
        <f>LPRP!G117</f>
        <v>0</v>
      </c>
      <c r="C155" s="10" t="s">
        <v>1278</v>
      </c>
      <c r="D155" s="7"/>
    </row>
    <row r="156" spans="1:4" x14ac:dyDescent="0.45">
      <c r="A156" s="9" t="s">
        <v>1287</v>
      </c>
      <c r="B156" s="9">
        <f>LPRP!H117</f>
        <v>0</v>
      </c>
      <c r="C156" s="10" t="s">
        <v>1278</v>
      </c>
      <c r="D156" s="7"/>
    </row>
    <row r="157" spans="1:4" x14ac:dyDescent="0.45">
      <c r="A157" s="9" t="s">
        <v>599</v>
      </c>
      <c r="B157" s="9">
        <f>LPRP!C118</f>
        <v>0</v>
      </c>
      <c r="C157" s="10" t="s">
        <v>1278</v>
      </c>
      <c r="D157" s="7"/>
    </row>
    <row r="158" spans="1:4" x14ac:dyDescent="0.45">
      <c r="A158" s="9" t="s">
        <v>1288</v>
      </c>
      <c r="B158" s="9">
        <f>LPRP!D118</f>
        <v>0</v>
      </c>
      <c r="C158" s="10" t="s">
        <v>1278</v>
      </c>
      <c r="D158" s="7"/>
    </row>
    <row r="159" spans="1:4" x14ac:dyDescent="0.45">
      <c r="A159" s="9" t="s">
        <v>1289</v>
      </c>
      <c r="B159" s="9" t="e">
        <f>LPRP!#REF!</f>
        <v>#REF!</v>
      </c>
      <c r="C159" s="10" t="s">
        <v>1278</v>
      </c>
      <c r="D159" s="7"/>
    </row>
    <row r="160" spans="1:4" x14ac:dyDescent="0.45">
      <c r="A160" s="9" t="s">
        <v>1290</v>
      </c>
      <c r="B160" s="9" t="e">
        <f>LPRP!#REF!</f>
        <v>#REF!</v>
      </c>
      <c r="C160" s="10" t="s">
        <v>1278</v>
      </c>
      <c r="D160" s="7"/>
    </row>
    <row r="161" spans="1:4" x14ac:dyDescent="0.45">
      <c r="A161" s="9" t="s">
        <v>1291</v>
      </c>
      <c r="B161" s="9">
        <f>LPRP!E118</f>
        <v>0</v>
      </c>
      <c r="C161" s="10" t="s">
        <v>1278</v>
      </c>
      <c r="D161" s="7"/>
    </row>
    <row r="162" spans="1:4" s="1" customFormat="1" x14ac:dyDescent="0.45">
      <c r="A162" s="9" t="s">
        <v>1292</v>
      </c>
      <c r="B162" s="9">
        <f>LPRP!F118</f>
        <v>0</v>
      </c>
      <c r="C162" s="10" t="s">
        <v>1278</v>
      </c>
      <c r="D162" s="7"/>
    </row>
    <row r="163" spans="1:4" s="1" customFormat="1" x14ac:dyDescent="0.45">
      <c r="A163" s="9" t="s">
        <v>1293</v>
      </c>
      <c r="B163" s="9" t="e">
        <f>LPRP!#REF!</f>
        <v>#REF!</v>
      </c>
      <c r="C163" s="10" t="s">
        <v>1278</v>
      </c>
      <c r="D163" s="7"/>
    </row>
    <row r="164" spans="1:4" s="1" customFormat="1" x14ac:dyDescent="0.45">
      <c r="A164" s="9" t="s">
        <v>1294</v>
      </c>
      <c r="B164" s="9" t="e">
        <f>LPRP!#REF!</f>
        <v>#REF!</v>
      </c>
      <c r="C164" s="10" t="s">
        <v>1278</v>
      </c>
      <c r="D164" s="7"/>
    </row>
    <row r="165" spans="1:4" s="1" customFormat="1" x14ac:dyDescent="0.45">
      <c r="A165" s="9" t="s">
        <v>1295</v>
      </c>
      <c r="B165" s="9">
        <f>LPRP!G118</f>
        <v>0</v>
      </c>
      <c r="C165" s="10" t="s">
        <v>1278</v>
      </c>
      <c r="D165" s="7"/>
    </row>
    <row r="166" spans="1:4" s="1" customFormat="1" x14ac:dyDescent="0.45">
      <c r="A166" s="9" t="s">
        <v>1296</v>
      </c>
      <c r="B166" s="9">
        <f>LPRP!H118</f>
        <v>0</v>
      </c>
      <c r="C166" s="10" t="s">
        <v>1278</v>
      </c>
      <c r="D166" s="7"/>
    </row>
    <row r="167" spans="1:4" s="1" customFormat="1" x14ac:dyDescent="0.45">
      <c r="A167" s="9" t="s">
        <v>600</v>
      </c>
      <c r="B167" s="9">
        <f>LPRP!C119</f>
        <v>0</v>
      </c>
      <c r="C167" s="10" t="s">
        <v>1278</v>
      </c>
      <c r="D167" s="7"/>
    </row>
    <row r="168" spans="1:4" s="1" customFormat="1" x14ac:dyDescent="0.45">
      <c r="A168" s="9" t="s">
        <v>1297</v>
      </c>
      <c r="B168" s="9">
        <f>LPRP!D119</f>
        <v>0</v>
      </c>
      <c r="C168" s="10" t="s">
        <v>1278</v>
      </c>
      <c r="D168" s="7"/>
    </row>
    <row r="169" spans="1:4" s="1" customFormat="1" x14ac:dyDescent="0.45">
      <c r="A169" s="9" t="s">
        <v>1298</v>
      </c>
      <c r="B169" s="9" t="e">
        <f>LPRP!#REF!</f>
        <v>#REF!</v>
      </c>
      <c r="C169" s="10" t="s">
        <v>1278</v>
      </c>
      <c r="D169" s="7"/>
    </row>
    <row r="170" spans="1:4" s="1" customFormat="1" x14ac:dyDescent="0.45">
      <c r="A170" s="9" t="s">
        <v>1299</v>
      </c>
      <c r="B170" s="9" t="e">
        <f>LPRP!#REF!</f>
        <v>#REF!</v>
      </c>
      <c r="C170" s="10" t="s">
        <v>1278</v>
      </c>
      <c r="D170" s="7"/>
    </row>
    <row r="171" spans="1:4" s="1" customFormat="1" x14ac:dyDescent="0.45">
      <c r="A171" s="9" t="s">
        <v>1300</v>
      </c>
      <c r="B171" s="9">
        <f>LPRP!E119</f>
        <v>0</v>
      </c>
      <c r="C171" s="10" t="s">
        <v>1278</v>
      </c>
      <c r="D171" s="7"/>
    </row>
    <row r="172" spans="1:4" s="1" customFormat="1" x14ac:dyDescent="0.45">
      <c r="A172" s="9" t="s">
        <v>1301</v>
      </c>
      <c r="B172" s="9">
        <f>LPRP!F119</f>
        <v>0</v>
      </c>
      <c r="C172" s="10" t="s">
        <v>1278</v>
      </c>
      <c r="D172" s="7"/>
    </row>
    <row r="173" spans="1:4" s="1" customFormat="1" x14ac:dyDescent="0.45">
      <c r="A173" s="9" t="s">
        <v>1302</v>
      </c>
      <c r="B173" s="9" t="e">
        <f>LPRP!#REF!</f>
        <v>#REF!</v>
      </c>
      <c r="C173" s="10" t="s">
        <v>1278</v>
      </c>
      <c r="D173" s="7"/>
    </row>
    <row r="174" spans="1:4" s="1" customFormat="1" x14ac:dyDescent="0.45">
      <c r="A174" s="9" t="s">
        <v>1303</v>
      </c>
      <c r="B174" s="9" t="e">
        <f>LPRP!#REF!</f>
        <v>#REF!</v>
      </c>
      <c r="C174" s="10" t="s">
        <v>1278</v>
      </c>
      <c r="D174" s="7"/>
    </row>
    <row r="175" spans="1:4" s="1" customFormat="1" x14ac:dyDescent="0.45">
      <c r="A175" s="9" t="s">
        <v>1304</v>
      </c>
      <c r="B175" s="9">
        <f>LPRP!G119</f>
        <v>0</v>
      </c>
      <c r="C175" s="10" t="s">
        <v>1278</v>
      </c>
      <c r="D175" s="7"/>
    </row>
    <row r="176" spans="1:4" s="1" customFormat="1" x14ac:dyDescent="0.45">
      <c r="A176" s="9" t="s">
        <v>1305</v>
      </c>
      <c r="B176" s="9">
        <f>LPRP!H119</f>
        <v>0</v>
      </c>
      <c r="C176" s="10" t="s">
        <v>1278</v>
      </c>
      <c r="D176" s="7"/>
    </row>
    <row r="177" spans="1:4" s="1" customFormat="1" x14ac:dyDescent="0.45">
      <c r="A177" s="9" t="s">
        <v>601</v>
      </c>
      <c r="B177" s="9">
        <f>LPRP!C120</f>
        <v>0</v>
      </c>
      <c r="C177" s="10" t="s">
        <v>1278</v>
      </c>
      <c r="D177" s="7"/>
    </row>
    <row r="178" spans="1:4" s="1" customFormat="1" x14ac:dyDescent="0.45">
      <c r="A178" s="9" t="s">
        <v>1306</v>
      </c>
      <c r="B178" s="9">
        <f>LPRP!D120</f>
        <v>0</v>
      </c>
      <c r="C178" s="10" t="s">
        <v>1278</v>
      </c>
      <c r="D178" s="7"/>
    </row>
    <row r="179" spans="1:4" s="1" customFormat="1" x14ac:dyDescent="0.45">
      <c r="A179" s="9" t="s">
        <v>1307</v>
      </c>
      <c r="B179" s="9" t="e">
        <f>LPRP!#REF!</f>
        <v>#REF!</v>
      </c>
      <c r="C179" s="10" t="s">
        <v>1278</v>
      </c>
      <c r="D179" s="7"/>
    </row>
    <row r="180" spans="1:4" s="1" customFormat="1" x14ac:dyDescent="0.45">
      <c r="A180" s="9" t="s">
        <v>1308</v>
      </c>
      <c r="B180" s="9" t="e">
        <f>LPRP!#REF!</f>
        <v>#REF!</v>
      </c>
      <c r="C180" s="10" t="s">
        <v>1278</v>
      </c>
      <c r="D180" s="7"/>
    </row>
    <row r="181" spans="1:4" s="1" customFormat="1" x14ac:dyDescent="0.45">
      <c r="A181" s="9" t="s">
        <v>1309</v>
      </c>
      <c r="B181" s="9">
        <f>LPRP!E120</f>
        <v>0</v>
      </c>
      <c r="C181" s="10" t="s">
        <v>1278</v>
      </c>
      <c r="D181" s="7"/>
    </row>
    <row r="182" spans="1:4" s="1" customFormat="1" x14ac:dyDescent="0.45">
      <c r="A182" s="9" t="s">
        <v>1310</v>
      </c>
      <c r="B182" s="9">
        <f>LPRP!F120</f>
        <v>0</v>
      </c>
      <c r="C182" s="10" t="s">
        <v>1278</v>
      </c>
      <c r="D182" s="7"/>
    </row>
    <row r="183" spans="1:4" s="1" customFormat="1" x14ac:dyDescent="0.45">
      <c r="A183" s="9" t="s">
        <v>1311</v>
      </c>
      <c r="B183" s="9" t="e">
        <f>LPRP!#REF!</f>
        <v>#REF!</v>
      </c>
      <c r="C183" s="10" t="s">
        <v>1278</v>
      </c>
      <c r="D183" s="7"/>
    </row>
    <row r="184" spans="1:4" s="1" customFormat="1" x14ac:dyDescent="0.45">
      <c r="A184" s="9" t="s">
        <v>1312</v>
      </c>
      <c r="B184" s="9" t="e">
        <f>LPRP!#REF!</f>
        <v>#REF!</v>
      </c>
      <c r="C184" s="10" t="s">
        <v>1278</v>
      </c>
      <c r="D184" s="7"/>
    </row>
    <row r="185" spans="1:4" s="1" customFormat="1" x14ac:dyDescent="0.45">
      <c r="A185" s="9" t="s">
        <v>1313</v>
      </c>
      <c r="B185" s="9">
        <f>LPRP!G120</f>
        <v>0</v>
      </c>
      <c r="C185" s="10" t="s">
        <v>1278</v>
      </c>
      <c r="D185" s="7"/>
    </row>
    <row r="186" spans="1:4" s="1" customFormat="1" x14ac:dyDescent="0.45">
      <c r="A186" s="9" t="s">
        <v>1314</v>
      </c>
      <c r="B186" s="9">
        <f>LPRP!H120</f>
        <v>0</v>
      </c>
      <c r="C186" s="10" t="s">
        <v>1278</v>
      </c>
      <c r="D186" s="7"/>
    </row>
    <row r="187" spans="1:4" s="1" customFormat="1" x14ac:dyDescent="0.45">
      <c r="A187" s="9" t="s">
        <v>602</v>
      </c>
      <c r="B187" s="9">
        <f>LPRP!C121</f>
        <v>0</v>
      </c>
      <c r="C187" s="10" t="s">
        <v>1278</v>
      </c>
      <c r="D187" s="7"/>
    </row>
    <row r="188" spans="1:4" x14ac:dyDescent="0.45">
      <c r="A188" s="9" t="s">
        <v>1315</v>
      </c>
      <c r="B188" s="9">
        <f>LPRP!D121</f>
        <v>0</v>
      </c>
      <c r="C188" s="10" t="s">
        <v>1278</v>
      </c>
      <c r="D188" s="7"/>
    </row>
    <row r="189" spans="1:4" x14ac:dyDescent="0.45">
      <c r="A189" s="9" t="s">
        <v>1316</v>
      </c>
      <c r="B189" s="9" t="e">
        <f>LPRP!#REF!</f>
        <v>#REF!</v>
      </c>
      <c r="C189" s="10" t="s">
        <v>1278</v>
      </c>
      <c r="D189" s="7"/>
    </row>
    <row r="190" spans="1:4" x14ac:dyDescent="0.45">
      <c r="A190" s="9" t="s">
        <v>1317</v>
      </c>
      <c r="B190" s="9" t="e">
        <f>LPRP!#REF!</f>
        <v>#REF!</v>
      </c>
      <c r="C190" s="10" t="s">
        <v>1278</v>
      </c>
      <c r="D190" s="7"/>
    </row>
    <row r="191" spans="1:4" x14ac:dyDescent="0.45">
      <c r="A191" s="9" t="s">
        <v>1318</v>
      </c>
      <c r="B191" s="9">
        <f>LPRP!E121</f>
        <v>0</v>
      </c>
      <c r="C191" s="10" t="s">
        <v>1278</v>
      </c>
      <c r="D191" s="7"/>
    </row>
    <row r="192" spans="1:4" x14ac:dyDescent="0.45">
      <c r="A192" s="9" t="s">
        <v>1319</v>
      </c>
      <c r="B192" s="9">
        <f>LPRP!F121</f>
        <v>0</v>
      </c>
      <c r="C192" s="10" t="s">
        <v>1278</v>
      </c>
      <c r="D192" s="7"/>
    </row>
    <row r="193" spans="1:4" s="1" customFormat="1" x14ac:dyDescent="0.45">
      <c r="A193" s="9" t="s">
        <v>1320</v>
      </c>
      <c r="B193" s="9" t="e">
        <f>LPRP!#REF!</f>
        <v>#REF!</v>
      </c>
      <c r="C193" s="10" t="s">
        <v>1278</v>
      </c>
      <c r="D193" s="7"/>
    </row>
    <row r="194" spans="1:4" s="1" customFormat="1" x14ac:dyDescent="0.45">
      <c r="A194" s="9" t="s">
        <v>1321</v>
      </c>
      <c r="B194" s="9" t="e">
        <f>LPRP!#REF!</f>
        <v>#REF!</v>
      </c>
      <c r="C194" s="10" t="s">
        <v>1278</v>
      </c>
      <c r="D194" s="7"/>
    </row>
    <row r="195" spans="1:4" s="1" customFormat="1" x14ac:dyDescent="0.45">
      <c r="A195" s="9" t="s">
        <v>1322</v>
      </c>
      <c r="B195" s="9">
        <f>LPRP!G121</f>
        <v>0</v>
      </c>
      <c r="C195" s="10" t="s">
        <v>1278</v>
      </c>
      <c r="D195" s="7"/>
    </row>
    <row r="196" spans="1:4" s="1" customFormat="1" x14ac:dyDescent="0.45">
      <c r="A196" s="9" t="s">
        <v>1323</v>
      </c>
      <c r="B196" s="9">
        <f>LPRP!H121</f>
        <v>0</v>
      </c>
      <c r="C196" s="10" t="s">
        <v>1278</v>
      </c>
      <c r="D196" s="7"/>
    </row>
    <row r="197" spans="1:4" s="1" customFormat="1" x14ac:dyDescent="0.45">
      <c r="A197" s="9" t="s">
        <v>603</v>
      </c>
      <c r="B197" s="9">
        <f>LPRP!C122</f>
        <v>0</v>
      </c>
      <c r="C197" s="10" t="s">
        <v>1278</v>
      </c>
      <c r="D197" s="7"/>
    </row>
    <row r="198" spans="1:4" s="1" customFormat="1" x14ac:dyDescent="0.45">
      <c r="A198" s="9" t="s">
        <v>1324</v>
      </c>
      <c r="B198" s="9">
        <f>LPRP!D122</f>
        <v>0</v>
      </c>
      <c r="C198" s="10" t="s">
        <v>1278</v>
      </c>
      <c r="D198" s="7"/>
    </row>
    <row r="199" spans="1:4" s="1" customFormat="1" x14ac:dyDescent="0.45">
      <c r="A199" s="9" t="s">
        <v>1325</v>
      </c>
      <c r="B199" s="9" t="e">
        <f>LPRP!#REF!</f>
        <v>#REF!</v>
      </c>
      <c r="C199" s="10" t="s">
        <v>1278</v>
      </c>
      <c r="D199" s="7"/>
    </row>
    <row r="200" spans="1:4" s="1" customFormat="1" x14ac:dyDescent="0.45">
      <c r="A200" s="9" t="s">
        <v>1326</v>
      </c>
      <c r="B200" s="9" t="e">
        <f>LPRP!#REF!</f>
        <v>#REF!</v>
      </c>
      <c r="C200" s="10" t="s">
        <v>1278</v>
      </c>
      <c r="D200" s="7"/>
    </row>
    <row r="201" spans="1:4" s="1" customFormat="1" x14ac:dyDescent="0.45">
      <c r="A201" s="9" t="s">
        <v>1327</v>
      </c>
      <c r="B201" s="9">
        <f>LPRP!E122</f>
        <v>0</v>
      </c>
      <c r="C201" s="10" t="s">
        <v>1278</v>
      </c>
      <c r="D201" s="7"/>
    </row>
    <row r="202" spans="1:4" s="1" customFormat="1" x14ac:dyDescent="0.45">
      <c r="A202" s="9" t="s">
        <v>1328</v>
      </c>
      <c r="B202" s="9">
        <f>LPRP!F122</f>
        <v>0</v>
      </c>
      <c r="C202" s="10" t="s">
        <v>1278</v>
      </c>
      <c r="D202" s="7"/>
    </row>
    <row r="203" spans="1:4" s="1" customFormat="1" x14ac:dyDescent="0.45">
      <c r="A203" s="9" t="s">
        <v>1329</v>
      </c>
      <c r="B203" s="9" t="e">
        <f>LPRP!#REF!</f>
        <v>#REF!</v>
      </c>
      <c r="C203" s="10" t="s">
        <v>1278</v>
      </c>
      <c r="D203" s="7"/>
    </row>
    <row r="204" spans="1:4" s="1" customFormat="1" x14ac:dyDescent="0.45">
      <c r="A204" s="9" t="s">
        <v>1330</v>
      </c>
      <c r="B204" s="9" t="e">
        <f>LPRP!#REF!</f>
        <v>#REF!</v>
      </c>
      <c r="C204" s="10" t="s">
        <v>1278</v>
      </c>
      <c r="D204" s="7"/>
    </row>
    <row r="205" spans="1:4" s="1" customFormat="1" x14ac:dyDescent="0.45">
      <c r="A205" s="9" t="s">
        <v>1331</v>
      </c>
      <c r="B205" s="9">
        <f>LPRP!G122</f>
        <v>0</v>
      </c>
      <c r="C205" s="10" t="s">
        <v>1278</v>
      </c>
      <c r="D205" s="7"/>
    </row>
    <row r="206" spans="1:4" s="1" customFormat="1" x14ac:dyDescent="0.45">
      <c r="A206" s="9" t="s">
        <v>1332</v>
      </c>
      <c r="B206" s="9">
        <f>LPRP!H122</f>
        <v>0</v>
      </c>
      <c r="C206" s="10" t="s">
        <v>1278</v>
      </c>
      <c r="D206" s="7"/>
    </row>
    <row r="207" spans="1:4" x14ac:dyDescent="0.45">
      <c r="A207" s="9" t="s">
        <v>618</v>
      </c>
      <c r="B207" s="9">
        <f>LPRP!A128</f>
        <v>0</v>
      </c>
      <c r="C207" s="10" t="s">
        <v>1333</v>
      </c>
      <c r="D207" s="7"/>
    </row>
    <row r="208" spans="1:4" x14ac:dyDescent="0.45">
      <c r="A208" s="9" t="s">
        <v>620</v>
      </c>
      <c r="B208" s="9">
        <f>LPRP!D128</f>
        <v>0</v>
      </c>
      <c r="C208" s="10" t="s">
        <v>1333</v>
      </c>
      <c r="D208" s="7"/>
    </row>
    <row r="209" spans="1:4" x14ac:dyDescent="0.45">
      <c r="A209" s="9" t="s">
        <v>621</v>
      </c>
      <c r="B209" s="9">
        <f>LPRP!G128</f>
        <v>0</v>
      </c>
      <c r="C209" s="10" t="s">
        <v>1333</v>
      </c>
      <c r="D209" s="7"/>
    </row>
    <row r="210" spans="1:4" x14ac:dyDescent="0.45">
      <c r="A210" s="9" t="s">
        <v>625</v>
      </c>
      <c r="B210" s="9">
        <f>LPRP!D134</f>
        <v>0</v>
      </c>
      <c r="C210" s="10" t="s">
        <v>1334</v>
      </c>
      <c r="D210" s="7"/>
    </row>
    <row r="211" spans="1:4" s="1" customFormat="1" x14ac:dyDescent="0.45">
      <c r="A211" s="9" t="s">
        <v>627</v>
      </c>
      <c r="B211" s="9">
        <f>LPRP!G134</f>
        <v>0</v>
      </c>
      <c r="C211" s="10" t="s">
        <v>1334</v>
      </c>
      <c r="D211" s="7"/>
    </row>
    <row r="212" spans="1:4" s="1" customFormat="1" x14ac:dyDescent="0.45">
      <c r="A212" s="9" t="s">
        <v>628</v>
      </c>
      <c r="B212" s="9" t="e">
        <f>LPRP!#REF!</f>
        <v>#REF!</v>
      </c>
      <c r="C212" s="10" t="s">
        <v>1334</v>
      </c>
      <c r="D212" s="7"/>
    </row>
    <row r="213" spans="1:4" s="1" customFormat="1" x14ac:dyDescent="0.45">
      <c r="A213" s="9" t="s">
        <v>1335</v>
      </c>
      <c r="B213" s="9" t="e">
        <f>LPRP!#REF!</f>
        <v>#REF!</v>
      </c>
      <c r="C213" s="10" t="s">
        <v>1334</v>
      </c>
      <c r="D213" s="7"/>
    </row>
    <row r="214" spans="1:4" s="1" customFormat="1" x14ac:dyDescent="0.45">
      <c r="A214" s="9" t="s">
        <v>1336</v>
      </c>
      <c r="B214" s="9" t="e">
        <f>LPRP!#REF!</f>
        <v>#REF!</v>
      </c>
      <c r="C214" s="10" t="s">
        <v>1334</v>
      </c>
      <c r="D214" s="7"/>
    </row>
    <row r="215" spans="1:4" s="1" customFormat="1" x14ac:dyDescent="0.45">
      <c r="A215" s="9" t="s">
        <v>1337</v>
      </c>
      <c r="B215" s="9" t="e">
        <f>LPRP!#REF!</f>
        <v>#REF!</v>
      </c>
      <c r="C215" s="10" t="s">
        <v>1334</v>
      </c>
      <c r="D215" s="7"/>
    </row>
    <row r="216" spans="1:4" x14ac:dyDescent="0.45">
      <c r="A216" s="9" t="s">
        <v>1338</v>
      </c>
      <c r="B216" s="9">
        <f>LPRP!D135</f>
        <v>0</v>
      </c>
      <c r="C216" s="10" t="s">
        <v>1334</v>
      </c>
      <c r="D216" s="7"/>
    </row>
    <row r="217" spans="1:4" x14ac:dyDescent="0.45">
      <c r="A217" s="9" t="s">
        <v>1339</v>
      </c>
      <c r="B217" s="9">
        <f>LPRP!G135</f>
        <v>0</v>
      </c>
      <c r="C217" s="10" t="s">
        <v>1334</v>
      </c>
      <c r="D217" s="7"/>
    </row>
    <row r="218" spans="1:4" x14ac:dyDescent="0.45">
      <c r="A218" s="9" t="s">
        <v>1340</v>
      </c>
      <c r="B218" s="9" t="e">
        <f>LPRP!#REF!</f>
        <v>#REF!</v>
      </c>
      <c r="C218" s="10" t="s">
        <v>1334</v>
      </c>
      <c r="D218" s="7"/>
    </row>
    <row r="219" spans="1:4" x14ac:dyDescent="0.45">
      <c r="A219" s="9" t="s">
        <v>1341</v>
      </c>
      <c r="B219" s="9" t="e">
        <f>LPRP!#REF!</f>
        <v>#REF!</v>
      </c>
      <c r="C219" s="10" t="s">
        <v>1334</v>
      </c>
      <c r="D219" s="7"/>
    </row>
    <row r="220" spans="1:4" x14ac:dyDescent="0.45">
      <c r="A220" s="9" t="s">
        <v>1342</v>
      </c>
      <c r="B220" s="9" t="e">
        <f>LPRP!#REF!</f>
        <v>#REF!</v>
      </c>
      <c r="C220" s="10" t="s">
        <v>1334</v>
      </c>
      <c r="D220" s="7"/>
    </row>
    <row r="221" spans="1:4" x14ac:dyDescent="0.45">
      <c r="A221" s="9" t="s">
        <v>1343</v>
      </c>
      <c r="B221" s="9" t="e">
        <f>LPRP!#REF!</f>
        <v>#REF!</v>
      </c>
      <c r="C221" s="10" t="s">
        <v>1334</v>
      </c>
      <c r="D221" s="7"/>
    </row>
    <row r="222" spans="1:4" x14ac:dyDescent="0.45">
      <c r="A222" s="9" t="s">
        <v>1344</v>
      </c>
      <c r="B222" s="9">
        <f>LPRP!D136</f>
        <v>0</v>
      </c>
      <c r="C222" s="10" t="s">
        <v>1334</v>
      </c>
      <c r="D222" s="7"/>
    </row>
    <row r="223" spans="1:4" x14ac:dyDescent="0.45">
      <c r="A223" s="9" t="s">
        <v>1345</v>
      </c>
      <c r="B223" s="9">
        <f>LPRP!G136</f>
        <v>0</v>
      </c>
      <c r="C223" s="10" t="s">
        <v>1334</v>
      </c>
      <c r="D223" s="7"/>
    </row>
    <row r="224" spans="1:4" s="1" customFormat="1" x14ac:dyDescent="0.45">
      <c r="A224" s="9" t="s">
        <v>1346</v>
      </c>
      <c r="B224" s="9" t="e">
        <f>LPRP!#REF!</f>
        <v>#REF!</v>
      </c>
      <c r="C224" s="10" t="s">
        <v>1334</v>
      </c>
      <c r="D224" s="7"/>
    </row>
    <row r="225" spans="1:4" s="1" customFormat="1" x14ac:dyDescent="0.45">
      <c r="A225" s="9" t="s">
        <v>1347</v>
      </c>
      <c r="B225" s="9" t="e">
        <f>LPRP!#REF!</f>
        <v>#REF!</v>
      </c>
      <c r="C225" s="10" t="s">
        <v>1334</v>
      </c>
      <c r="D225" s="7"/>
    </row>
    <row r="226" spans="1:4" s="1" customFormat="1" x14ac:dyDescent="0.45">
      <c r="A226" s="9" t="s">
        <v>1348</v>
      </c>
      <c r="B226" s="9" t="e">
        <f>LPRP!#REF!</f>
        <v>#REF!</v>
      </c>
      <c r="C226" s="10" t="s">
        <v>1334</v>
      </c>
      <c r="D226" s="7"/>
    </row>
    <row r="227" spans="1:4" s="1" customFormat="1" x14ac:dyDescent="0.45">
      <c r="A227" s="9" t="s">
        <v>1349</v>
      </c>
      <c r="B227" s="9" t="e">
        <f>LPRP!#REF!</f>
        <v>#REF!</v>
      </c>
      <c r="C227" s="10" t="s">
        <v>1334</v>
      </c>
      <c r="D227" s="7"/>
    </row>
    <row r="228" spans="1:4" s="1" customFormat="1" x14ac:dyDescent="0.45">
      <c r="A228" s="9" t="s">
        <v>1350</v>
      </c>
      <c r="B228" s="9">
        <f>LPRP!D137</f>
        <v>0</v>
      </c>
      <c r="C228" s="10" t="s">
        <v>1334</v>
      </c>
      <c r="D228" s="7"/>
    </row>
    <row r="229" spans="1:4" s="1" customFormat="1" x14ac:dyDescent="0.45">
      <c r="A229" s="9" t="s">
        <v>1351</v>
      </c>
      <c r="B229" s="9">
        <f>LPRP!G137</f>
        <v>0</v>
      </c>
      <c r="C229" s="10" t="s">
        <v>1334</v>
      </c>
      <c r="D229" s="7"/>
    </row>
    <row r="230" spans="1:4" s="1" customFormat="1" x14ac:dyDescent="0.45">
      <c r="A230" s="9" t="s">
        <v>1352</v>
      </c>
      <c r="B230" s="9" t="e">
        <f>LPRP!#REF!</f>
        <v>#REF!</v>
      </c>
      <c r="C230" s="10" t="s">
        <v>1334</v>
      </c>
      <c r="D230" s="7"/>
    </row>
    <row r="231" spans="1:4" s="1" customFormat="1" x14ac:dyDescent="0.45">
      <c r="A231" s="9" t="s">
        <v>1353</v>
      </c>
      <c r="B231" s="9" t="e">
        <f>LPRP!#REF!</f>
        <v>#REF!</v>
      </c>
      <c r="C231" s="10" t="s">
        <v>1334</v>
      </c>
      <c r="D231" s="7"/>
    </row>
    <row r="232" spans="1:4" s="1" customFormat="1" x14ac:dyDescent="0.45">
      <c r="A232" s="9" t="s">
        <v>1354</v>
      </c>
      <c r="B232" s="9" t="e">
        <f>LPRP!#REF!</f>
        <v>#REF!</v>
      </c>
      <c r="C232" s="10" t="s">
        <v>1334</v>
      </c>
      <c r="D232" s="7"/>
    </row>
    <row r="233" spans="1:4" s="1" customFormat="1" x14ac:dyDescent="0.45">
      <c r="A233" s="9" t="s">
        <v>1355</v>
      </c>
      <c r="B233" s="9" t="e">
        <f>LPRP!#REF!</f>
        <v>#REF!</v>
      </c>
      <c r="C233" s="10" t="s">
        <v>1334</v>
      </c>
      <c r="D233" s="7"/>
    </row>
    <row r="234" spans="1:4" s="1" customFormat="1" x14ac:dyDescent="0.45">
      <c r="A234" s="9" t="s">
        <v>1356</v>
      </c>
      <c r="B234" s="9">
        <f>LPRP!D138</f>
        <v>0</v>
      </c>
      <c r="C234" s="10" t="s">
        <v>1334</v>
      </c>
      <c r="D234" s="7"/>
    </row>
    <row r="235" spans="1:4" s="1" customFormat="1" x14ac:dyDescent="0.45">
      <c r="A235" s="9" t="s">
        <v>1357</v>
      </c>
      <c r="B235" s="9">
        <f>LPRP!G138</f>
        <v>0</v>
      </c>
      <c r="C235" s="10" t="s">
        <v>1334</v>
      </c>
      <c r="D235" s="7"/>
    </row>
    <row r="236" spans="1:4" s="1" customFormat="1" x14ac:dyDescent="0.45">
      <c r="A236" s="9" t="s">
        <v>1358</v>
      </c>
      <c r="B236" s="9" t="e">
        <f>LPRP!#REF!</f>
        <v>#REF!</v>
      </c>
      <c r="C236" s="10" t="s">
        <v>1334</v>
      </c>
      <c r="D236" s="7"/>
    </row>
    <row r="237" spans="1:4" s="1" customFormat="1" x14ac:dyDescent="0.45">
      <c r="A237" s="9" t="s">
        <v>1359</v>
      </c>
      <c r="B237" s="9" t="e">
        <f>LPRP!#REF!</f>
        <v>#REF!</v>
      </c>
      <c r="C237" s="10" t="s">
        <v>1334</v>
      </c>
      <c r="D237" s="7"/>
    </row>
    <row r="238" spans="1:4" s="1" customFormat="1" x14ac:dyDescent="0.45">
      <c r="A238" s="9" t="s">
        <v>1360</v>
      </c>
      <c r="B238" s="9" t="e">
        <f>LPRP!#REF!</f>
        <v>#REF!</v>
      </c>
      <c r="C238" s="10" t="s">
        <v>1334</v>
      </c>
      <c r="D238" s="7"/>
    </row>
    <row r="239" spans="1:4" s="1" customFormat="1" x14ac:dyDescent="0.45">
      <c r="A239" s="9" t="s">
        <v>1361</v>
      </c>
      <c r="B239" s="9" t="e">
        <f>LPRP!#REF!</f>
        <v>#REF!</v>
      </c>
      <c r="C239" s="10" t="s">
        <v>1334</v>
      </c>
      <c r="D239" s="7"/>
    </row>
    <row r="240" spans="1:4" s="1" customFormat="1" x14ac:dyDescent="0.45">
      <c r="A240" s="9" t="s">
        <v>1362</v>
      </c>
      <c r="B240" s="9">
        <f>LPRP!D139</f>
        <v>0</v>
      </c>
      <c r="C240" s="10" t="s">
        <v>1334</v>
      </c>
      <c r="D240" s="7"/>
    </row>
    <row r="241" spans="1:4" s="1" customFormat="1" x14ac:dyDescent="0.45">
      <c r="A241" s="9" t="s">
        <v>1363</v>
      </c>
      <c r="B241" s="9">
        <f>LPRP!G139</f>
        <v>0</v>
      </c>
      <c r="C241" s="10" t="s">
        <v>1334</v>
      </c>
      <c r="D241" s="7"/>
    </row>
    <row r="242" spans="1:4" s="1" customFormat="1" x14ac:dyDescent="0.45">
      <c r="A242" s="9" t="s">
        <v>1364</v>
      </c>
      <c r="B242" s="9" t="e">
        <f>LPRP!#REF!</f>
        <v>#REF!</v>
      </c>
      <c r="C242" s="10" t="s">
        <v>1334</v>
      </c>
      <c r="D242" s="7"/>
    </row>
    <row r="243" spans="1:4" s="1" customFormat="1" x14ac:dyDescent="0.45">
      <c r="A243" s="9" t="s">
        <v>1365</v>
      </c>
      <c r="B243" s="9" t="e">
        <f>LPRP!#REF!</f>
        <v>#REF!</v>
      </c>
      <c r="C243" s="10" t="s">
        <v>1334</v>
      </c>
      <c r="D243" s="7"/>
    </row>
    <row r="244" spans="1:4" s="1" customFormat="1" x14ac:dyDescent="0.45">
      <c r="A244" s="9" t="s">
        <v>1366</v>
      </c>
      <c r="B244" s="9" t="e">
        <f>LPRP!#REF!</f>
        <v>#REF!</v>
      </c>
      <c r="C244" s="10" t="s">
        <v>1334</v>
      </c>
      <c r="D244" s="7"/>
    </row>
    <row r="245" spans="1:4" s="1" customFormat="1" x14ac:dyDescent="0.45">
      <c r="A245" s="9" t="s">
        <v>1367</v>
      </c>
      <c r="B245" s="9" t="e">
        <f>LPRP!#REF!</f>
        <v>#REF!</v>
      </c>
      <c r="C245" s="10" t="s">
        <v>1334</v>
      </c>
      <c r="D245" s="7"/>
    </row>
    <row r="246" spans="1:4" s="1" customFormat="1" x14ac:dyDescent="0.45">
      <c r="A246" s="9" t="s">
        <v>629</v>
      </c>
      <c r="B246" s="9" t="e">
        <f>LPRP!#REF!</f>
        <v>#REF!</v>
      </c>
      <c r="C246" s="10" t="s">
        <v>1368</v>
      </c>
      <c r="D246" s="7"/>
    </row>
    <row r="247" spans="1:4" s="1" customFormat="1" x14ac:dyDescent="0.45">
      <c r="A247" s="9" t="s">
        <v>631</v>
      </c>
      <c r="B247" s="9" t="e">
        <f>LPRP!#REF!</f>
        <v>#REF!</v>
      </c>
      <c r="C247" s="10" t="s">
        <v>1368</v>
      </c>
      <c r="D247" s="7"/>
    </row>
    <row r="248" spans="1:4" x14ac:dyDescent="0.45">
      <c r="A248" s="9" t="s">
        <v>632</v>
      </c>
      <c r="B248" s="9" t="e">
        <f>LPRP!#REF!</f>
        <v>#REF!</v>
      </c>
      <c r="C248" s="10" t="s">
        <v>1368</v>
      </c>
      <c r="D248" s="7"/>
    </row>
    <row r="249" spans="1:4" x14ac:dyDescent="0.45">
      <c r="A249" s="9" t="s">
        <v>700</v>
      </c>
      <c r="B249" s="9" t="e">
        <f>LPRP!#REF!</f>
        <v>#REF!</v>
      </c>
      <c r="C249" s="10" t="s">
        <v>1369</v>
      </c>
      <c r="D249" s="7"/>
    </row>
    <row r="250" spans="1:4" x14ac:dyDescent="0.45">
      <c r="A250" s="9" t="s">
        <v>702</v>
      </c>
      <c r="B250" s="9" t="e">
        <f>LPRP!#REF!</f>
        <v>#REF!</v>
      </c>
      <c r="C250" s="10" t="s">
        <v>1369</v>
      </c>
      <c r="D250" s="7"/>
    </row>
    <row r="251" spans="1:4" x14ac:dyDescent="0.45">
      <c r="A251" s="9" t="s">
        <v>703</v>
      </c>
      <c r="B251" s="9" t="e">
        <f>LPRP!#REF!</f>
        <v>#REF!</v>
      </c>
      <c r="C251" s="10" t="s">
        <v>1369</v>
      </c>
      <c r="D251" s="7"/>
    </row>
    <row r="252" spans="1:4" x14ac:dyDescent="0.45">
      <c r="A252" s="9" t="s">
        <v>1370</v>
      </c>
      <c r="B252" s="9" t="e">
        <f>LPRP!#REF!</f>
        <v>#REF!</v>
      </c>
      <c r="C252" s="10" t="s">
        <v>1369</v>
      </c>
      <c r="D252" s="7"/>
    </row>
    <row r="253" spans="1:4" x14ac:dyDescent="0.45">
      <c r="A253" s="9" t="s">
        <v>1371</v>
      </c>
      <c r="B253" s="9" t="e">
        <f>LPRP!#REF!</f>
        <v>#REF!</v>
      </c>
      <c r="C253" s="10" t="s">
        <v>1369</v>
      </c>
      <c r="D253" s="7"/>
    </row>
    <row r="254" spans="1:4" x14ac:dyDescent="0.45">
      <c r="A254" s="9" t="s">
        <v>1372</v>
      </c>
      <c r="B254" s="9" t="e">
        <f>LPRP!#REF!</f>
        <v>#REF!</v>
      </c>
      <c r="C254" s="10" t="s">
        <v>1369</v>
      </c>
      <c r="D254" s="7"/>
    </row>
    <row r="255" spans="1:4" x14ac:dyDescent="0.45">
      <c r="A255" s="9" t="s">
        <v>1373</v>
      </c>
      <c r="B255" s="9" t="e">
        <f>LPRP!#REF!</f>
        <v>#REF!</v>
      </c>
      <c r="C255" s="10" t="s">
        <v>1369</v>
      </c>
      <c r="D255" s="7"/>
    </row>
    <row r="256" spans="1:4" x14ac:dyDescent="0.45">
      <c r="A256" s="9" t="s">
        <v>1374</v>
      </c>
      <c r="B256" s="9" t="e">
        <f>LPRP!#REF!</f>
        <v>#REF!</v>
      </c>
      <c r="C256" s="10" t="s">
        <v>1369</v>
      </c>
      <c r="D256" s="7"/>
    </row>
    <row r="257" spans="1:4" x14ac:dyDescent="0.45">
      <c r="A257" s="9" t="s">
        <v>1375</v>
      </c>
      <c r="B257" s="9" t="e">
        <f>LPRP!#REF!</f>
        <v>#REF!</v>
      </c>
      <c r="C257" s="10" t="s">
        <v>1369</v>
      </c>
      <c r="D257" s="7"/>
    </row>
    <row r="258" spans="1:4" x14ac:dyDescent="0.45">
      <c r="A258" s="9" t="s">
        <v>1376</v>
      </c>
      <c r="B258" s="9" t="e">
        <f>LPRP!#REF!</f>
        <v>#REF!</v>
      </c>
      <c r="C258" s="10" t="s">
        <v>1369</v>
      </c>
      <c r="D258" s="7"/>
    </row>
    <row r="259" spans="1:4" x14ac:dyDescent="0.45">
      <c r="A259" s="9" t="s">
        <v>1377</v>
      </c>
      <c r="B259" s="9" t="e">
        <f>LPRP!#REF!</f>
        <v>#REF!</v>
      </c>
      <c r="C259" s="10" t="s">
        <v>1369</v>
      </c>
      <c r="D259" s="7"/>
    </row>
    <row r="260" spans="1:4" x14ac:dyDescent="0.45">
      <c r="A260" s="9" t="s">
        <v>1378</v>
      </c>
      <c r="B260" s="9" t="e">
        <f>LPRP!#REF!</f>
        <v>#REF!</v>
      </c>
      <c r="C260" s="10" t="s">
        <v>1369</v>
      </c>
      <c r="D260" s="7"/>
    </row>
    <row r="261" spans="1:4" x14ac:dyDescent="0.45">
      <c r="A261" s="9" t="s">
        <v>1379</v>
      </c>
      <c r="B261" s="9" t="e">
        <f>LPRP!#REF!</f>
        <v>#REF!</v>
      </c>
      <c r="C261" s="10" t="s">
        <v>1369</v>
      </c>
      <c r="D261" s="7"/>
    </row>
    <row r="262" spans="1:4" x14ac:dyDescent="0.45">
      <c r="A262" s="9" t="s">
        <v>1380</v>
      </c>
      <c r="B262" s="9" t="e">
        <f>LPRP!#REF!</f>
        <v>#REF!</v>
      </c>
      <c r="C262" s="10" t="s">
        <v>1369</v>
      </c>
      <c r="D262" s="7"/>
    </row>
    <row r="263" spans="1:4" x14ac:dyDescent="0.45">
      <c r="A263" s="9" t="s">
        <v>1381</v>
      </c>
      <c r="B263" s="9" t="e">
        <f>LPRP!#REF!</f>
        <v>#REF!</v>
      </c>
      <c r="C263" s="10" t="s">
        <v>1369</v>
      </c>
      <c r="D263" s="7"/>
    </row>
    <row r="264" spans="1:4" x14ac:dyDescent="0.45">
      <c r="A264" s="9" t="s">
        <v>1382</v>
      </c>
      <c r="B264" s="9" t="e">
        <f>LPRP!#REF!</f>
        <v>#REF!</v>
      </c>
      <c r="C264" s="10" t="s">
        <v>1369</v>
      </c>
      <c r="D264" s="7"/>
    </row>
    <row r="265" spans="1:4" x14ac:dyDescent="0.45">
      <c r="A265" s="9" t="s">
        <v>1383</v>
      </c>
      <c r="B265" s="9" t="e">
        <f>LPRP!#REF!</f>
        <v>#REF!</v>
      </c>
      <c r="C265" s="10" t="s">
        <v>1369</v>
      </c>
      <c r="D265" s="7"/>
    </row>
    <row r="266" spans="1:4" x14ac:dyDescent="0.45">
      <c r="A266" s="9" t="s">
        <v>1384</v>
      </c>
      <c r="B266" s="9" t="e">
        <f>LPRP!#REF!</f>
        <v>#REF!</v>
      </c>
      <c r="C266" s="10" t="s">
        <v>1369</v>
      </c>
      <c r="D266" s="7"/>
    </row>
    <row r="267" spans="1:4" x14ac:dyDescent="0.45">
      <c r="A267" s="9" t="s">
        <v>1385</v>
      </c>
      <c r="B267" s="9" t="e">
        <f>LPRP!#REF!</f>
        <v>#REF!</v>
      </c>
      <c r="C267" s="10" t="s">
        <v>1369</v>
      </c>
      <c r="D267" s="7"/>
    </row>
    <row r="268" spans="1:4" s="1" customFormat="1" x14ac:dyDescent="0.45">
      <c r="A268" s="9" t="s">
        <v>1386</v>
      </c>
      <c r="B268" s="9" t="e">
        <f>LPRP!#REF!</f>
        <v>#REF!</v>
      </c>
      <c r="C268" s="10" t="s">
        <v>1369</v>
      </c>
      <c r="D268" s="7"/>
    </row>
    <row r="269" spans="1:4" s="1" customFormat="1" x14ac:dyDescent="0.45">
      <c r="A269" s="9" t="s">
        <v>1387</v>
      </c>
      <c r="B269" s="9" t="e">
        <f>LPRP!#REF!</f>
        <v>#REF!</v>
      </c>
      <c r="C269" s="10" t="s">
        <v>1369</v>
      </c>
      <c r="D269" s="7"/>
    </row>
    <row r="270" spans="1:4" s="1" customFormat="1" x14ac:dyDescent="0.45">
      <c r="A270" s="9" t="s">
        <v>1388</v>
      </c>
      <c r="B270" s="9" t="e">
        <f>LPRP!#REF!</f>
        <v>#REF!</v>
      </c>
      <c r="C270" s="10" t="s">
        <v>1369</v>
      </c>
      <c r="D270" s="7"/>
    </row>
    <row r="271" spans="1:4" s="1" customFormat="1" x14ac:dyDescent="0.45">
      <c r="A271" s="9" t="s">
        <v>1389</v>
      </c>
      <c r="B271" s="9" t="e">
        <f>LPRP!#REF!</f>
        <v>#REF!</v>
      </c>
      <c r="C271" s="10" t="s">
        <v>1369</v>
      </c>
      <c r="D271" s="7"/>
    </row>
    <row r="272" spans="1:4" s="1" customFormat="1" x14ac:dyDescent="0.45">
      <c r="A272" s="9" t="s">
        <v>1390</v>
      </c>
      <c r="B272" s="9" t="e">
        <f>LPRP!#REF!</f>
        <v>#REF!</v>
      </c>
      <c r="C272" s="10" t="s">
        <v>1369</v>
      </c>
      <c r="D272" s="7"/>
    </row>
    <row r="273" spans="1:4" s="1" customFormat="1" x14ac:dyDescent="0.45">
      <c r="A273" s="9" t="s">
        <v>1391</v>
      </c>
      <c r="B273" s="9" t="e">
        <f>LPRP!#REF!</f>
        <v>#REF!</v>
      </c>
      <c r="C273" s="10" t="s">
        <v>1369</v>
      </c>
      <c r="D273" s="7"/>
    </row>
    <row r="274" spans="1:4" s="1" customFormat="1" x14ac:dyDescent="0.45">
      <c r="A274" s="9" t="s">
        <v>1392</v>
      </c>
      <c r="B274" s="9" t="e">
        <f>LPRP!#REF!</f>
        <v>#REF!</v>
      </c>
      <c r="C274" s="10" t="s">
        <v>1369</v>
      </c>
      <c r="D274" s="7"/>
    </row>
    <row r="275" spans="1:4" s="1" customFormat="1" x14ac:dyDescent="0.45">
      <c r="A275" s="9" t="s">
        <v>1393</v>
      </c>
      <c r="B275" s="9" t="e">
        <f>LPRP!#REF!</f>
        <v>#REF!</v>
      </c>
      <c r="C275" s="10" t="s">
        <v>1369</v>
      </c>
      <c r="D275" s="7"/>
    </row>
    <row r="276" spans="1:4" s="1" customFormat="1" x14ac:dyDescent="0.45">
      <c r="A276" s="9" t="s">
        <v>1394</v>
      </c>
      <c r="B276" s="9" t="e">
        <f>LPRP!#REF!</f>
        <v>#REF!</v>
      </c>
      <c r="C276" s="10" t="s">
        <v>1369</v>
      </c>
      <c r="D276" s="7"/>
    </row>
    <row r="277" spans="1:4" s="1" customFormat="1" x14ac:dyDescent="0.45">
      <c r="A277" s="9" t="s">
        <v>1395</v>
      </c>
      <c r="B277" s="9" t="e">
        <f>LPRP!#REF!</f>
        <v>#REF!</v>
      </c>
      <c r="C277" s="10" t="s">
        <v>1369</v>
      </c>
      <c r="D277" s="7"/>
    </row>
    <row r="278" spans="1:4" s="1" customFormat="1" x14ac:dyDescent="0.45">
      <c r="A278" s="9" t="s">
        <v>1396</v>
      </c>
      <c r="B278" s="9" t="e">
        <f>LPRP!#REF!</f>
        <v>#REF!</v>
      </c>
      <c r="C278" s="10" t="s">
        <v>1369</v>
      </c>
      <c r="D278" s="7"/>
    </row>
    <row r="279" spans="1:4" s="1" customFormat="1" x14ac:dyDescent="0.45">
      <c r="A279" s="9" t="s">
        <v>1397</v>
      </c>
      <c r="B279" s="9" t="e">
        <f>LPRP!#REF!</f>
        <v>#REF!</v>
      </c>
      <c r="C279" s="10" t="s">
        <v>1369</v>
      </c>
      <c r="D279" s="7"/>
    </row>
    <row r="280" spans="1:4" s="1" customFormat="1" x14ac:dyDescent="0.45">
      <c r="A280" s="9" t="s">
        <v>1398</v>
      </c>
      <c r="B280" s="9" t="e">
        <f>LPRP!#REF!</f>
        <v>#REF!</v>
      </c>
      <c r="C280" s="10" t="s">
        <v>1369</v>
      </c>
      <c r="D280" s="7"/>
    </row>
    <row r="281" spans="1:4" s="1" customFormat="1" x14ac:dyDescent="0.45">
      <c r="A281" s="9" t="s">
        <v>1399</v>
      </c>
      <c r="B281" s="9" t="e">
        <f>LPRP!#REF!</f>
        <v>#REF!</v>
      </c>
      <c r="C281" s="10" t="s">
        <v>1369</v>
      </c>
      <c r="D281" s="7"/>
    </row>
    <row r="282" spans="1:4" s="1" customFormat="1" x14ac:dyDescent="0.45">
      <c r="A282" s="9" t="s">
        <v>1400</v>
      </c>
      <c r="B282" s="9" t="e">
        <f>LPRP!#REF!</f>
        <v>#REF!</v>
      </c>
      <c r="C282" s="10" t="s">
        <v>1369</v>
      </c>
      <c r="D282" s="7"/>
    </row>
    <row r="283" spans="1:4" s="1" customFormat="1" x14ac:dyDescent="0.45">
      <c r="A283" s="9" t="s">
        <v>1401</v>
      </c>
      <c r="B283" s="9" t="e">
        <f>LPRP!#REF!</f>
        <v>#REF!</v>
      </c>
      <c r="C283" s="10" t="s">
        <v>1369</v>
      </c>
      <c r="D283" s="7"/>
    </row>
    <row r="284" spans="1:4" s="1" customFormat="1" x14ac:dyDescent="0.45">
      <c r="A284" s="9" t="s">
        <v>1402</v>
      </c>
      <c r="B284" s="9" t="e">
        <f>LPRP!#REF!</f>
        <v>#REF!</v>
      </c>
      <c r="C284" s="10" t="s">
        <v>1369</v>
      </c>
      <c r="D284" s="7"/>
    </row>
    <row r="285" spans="1:4" s="1" customFormat="1" x14ac:dyDescent="0.45">
      <c r="A285" s="6" t="s">
        <v>704</v>
      </c>
      <c r="B285" s="6">
        <f>LPRP!C145</f>
        <v>0</v>
      </c>
      <c r="C285" s="8" t="s">
        <v>1403</v>
      </c>
      <c r="D285" s="7"/>
    </row>
    <row r="286" spans="1:4" s="1" customFormat="1" x14ac:dyDescent="0.45">
      <c r="A286" s="6" t="s">
        <v>706</v>
      </c>
      <c r="B286" s="6">
        <f>LPRP!E145</f>
        <v>0</v>
      </c>
      <c r="C286" s="8" t="s">
        <v>1403</v>
      </c>
      <c r="D286" s="7"/>
    </row>
    <row r="287" spans="1:4" s="1" customFormat="1" x14ac:dyDescent="0.45">
      <c r="A287" s="6" t="s">
        <v>707</v>
      </c>
      <c r="B287" s="6">
        <f>LPRP!G145</f>
        <v>0</v>
      </c>
      <c r="C287" s="8" t="s">
        <v>1403</v>
      </c>
      <c r="D287" s="7"/>
    </row>
    <row r="288" spans="1:4" s="1" customFormat="1" x14ac:dyDescent="0.45">
      <c r="A288" s="6" t="s">
        <v>708</v>
      </c>
      <c r="B288" s="6">
        <f>LPRP!I145</f>
        <v>0</v>
      </c>
      <c r="C288" s="8" t="s">
        <v>1403</v>
      </c>
      <c r="D288" s="7"/>
    </row>
    <row r="289" spans="1:4" s="1" customFormat="1" x14ac:dyDescent="0.45">
      <c r="A289" s="6" t="s">
        <v>711</v>
      </c>
      <c r="B289" s="6">
        <f>LPRP!C146</f>
        <v>0</v>
      </c>
      <c r="C289" s="8" t="s">
        <v>1403</v>
      </c>
      <c r="D289" s="7"/>
    </row>
    <row r="290" spans="1:4" s="1" customFormat="1" x14ac:dyDescent="0.45">
      <c r="A290" s="6" t="s">
        <v>712</v>
      </c>
      <c r="B290" s="6">
        <f>LPRP!E146</f>
        <v>0</v>
      </c>
      <c r="C290" s="8" t="s">
        <v>1403</v>
      </c>
      <c r="D290" s="7"/>
    </row>
    <row r="291" spans="1:4" s="1" customFormat="1" x14ac:dyDescent="0.45">
      <c r="A291" s="6" t="s">
        <v>713</v>
      </c>
      <c r="B291" s="6">
        <f>LPRP!G146</f>
        <v>0</v>
      </c>
      <c r="C291" s="8" t="s">
        <v>1403</v>
      </c>
      <c r="D291" s="7"/>
    </row>
    <row r="292" spans="1:4" s="1" customFormat="1" x14ac:dyDescent="0.45">
      <c r="A292" s="6" t="s">
        <v>714</v>
      </c>
      <c r="B292" s="6">
        <f>LPRP!I146</f>
        <v>0</v>
      </c>
      <c r="C292" s="8" t="s">
        <v>1403</v>
      </c>
      <c r="D292" s="7"/>
    </row>
    <row r="293" spans="1:4" s="1" customFormat="1" x14ac:dyDescent="0.45">
      <c r="A293" s="6" t="s">
        <v>717</v>
      </c>
      <c r="B293" s="6">
        <f>LPRP!C147</f>
        <v>0</v>
      </c>
      <c r="C293" s="8" t="s">
        <v>1403</v>
      </c>
      <c r="D293" s="7"/>
    </row>
    <row r="294" spans="1:4" s="1" customFormat="1" x14ac:dyDescent="0.45">
      <c r="A294" s="6" t="s">
        <v>718</v>
      </c>
      <c r="B294" s="6">
        <f>LPRP!E147</f>
        <v>0</v>
      </c>
      <c r="C294" s="8" t="s">
        <v>1403</v>
      </c>
      <c r="D294" s="7"/>
    </row>
    <row r="295" spans="1:4" s="1" customFormat="1" x14ac:dyDescent="0.45">
      <c r="A295" s="6" t="s">
        <v>719</v>
      </c>
      <c r="B295" s="6">
        <f>LPRP!G147</f>
        <v>0</v>
      </c>
      <c r="C295" s="8" t="s">
        <v>1403</v>
      </c>
      <c r="D295" s="7"/>
    </row>
    <row r="296" spans="1:4" s="1" customFormat="1" x14ac:dyDescent="0.45">
      <c r="A296" s="6" t="s">
        <v>720</v>
      </c>
      <c r="B296" s="6">
        <f>LPRP!I147</f>
        <v>0</v>
      </c>
      <c r="C296" s="8" t="s">
        <v>1403</v>
      </c>
      <c r="D296" s="7"/>
    </row>
    <row r="297" spans="1:4" s="1" customFormat="1" x14ac:dyDescent="0.45">
      <c r="A297" s="6" t="s">
        <v>723</v>
      </c>
      <c r="B297" s="6">
        <f>LPRP!C148</f>
        <v>0</v>
      </c>
      <c r="C297" s="8" t="s">
        <v>1403</v>
      </c>
      <c r="D297" s="7"/>
    </row>
    <row r="298" spans="1:4" s="1" customFormat="1" x14ac:dyDescent="0.45">
      <c r="A298" s="6" t="s">
        <v>724</v>
      </c>
      <c r="B298" s="6">
        <f>LPRP!E148</f>
        <v>0</v>
      </c>
      <c r="C298" s="8" t="s">
        <v>1403</v>
      </c>
      <c r="D298" s="7"/>
    </row>
    <row r="299" spans="1:4" s="1" customFormat="1" x14ac:dyDescent="0.45">
      <c r="A299" s="6" t="s">
        <v>725</v>
      </c>
      <c r="B299" s="6">
        <f>LPRP!G148</f>
        <v>0</v>
      </c>
      <c r="C299" s="8" t="s">
        <v>1403</v>
      </c>
      <c r="D299" s="7"/>
    </row>
    <row r="300" spans="1:4" s="1" customFormat="1" x14ac:dyDescent="0.45">
      <c r="A300" s="6" t="s">
        <v>726</v>
      </c>
      <c r="B300" s="6">
        <f>LPRP!I148</f>
        <v>0</v>
      </c>
      <c r="C300" s="8" t="s">
        <v>1403</v>
      </c>
      <c r="D300" s="7"/>
    </row>
    <row r="301" spans="1:4" s="1" customFormat="1" x14ac:dyDescent="0.45">
      <c r="A301" s="6" t="s">
        <v>729</v>
      </c>
      <c r="B301" s="6">
        <f>LPRP!C149</f>
        <v>0</v>
      </c>
      <c r="C301" s="8" t="s">
        <v>1403</v>
      </c>
      <c r="D301" s="7"/>
    </row>
    <row r="302" spans="1:4" s="1" customFormat="1" x14ac:dyDescent="0.45">
      <c r="A302" s="6" t="s">
        <v>730</v>
      </c>
      <c r="B302" s="6">
        <f>LPRP!E149</f>
        <v>0</v>
      </c>
      <c r="C302" s="8" t="s">
        <v>1403</v>
      </c>
      <c r="D302" s="7"/>
    </row>
    <row r="303" spans="1:4" s="1" customFormat="1" x14ac:dyDescent="0.45">
      <c r="A303" s="6" t="s">
        <v>731</v>
      </c>
      <c r="B303" s="6">
        <f>LPRP!G149</f>
        <v>0</v>
      </c>
      <c r="C303" s="8" t="s">
        <v>1403</v>
      </c>
      <c r="D303" s="7"/>
    </row>
    <row r="304" spans="1:4" s="1" customFormat="1" x14ac:dyDescent="0.45">
      <c r="A304" s="6" t="s">
        <v>732</v>
      </c>
      <c r="B304" s="6">
        <f>LPRP!I149</f>
        <v>0</v>
      </c>
      <c r="C304" s="8" t="s">
        <v>1403</v>
      </c>
      <c r="D304" s="7"/>
    </row>
    <row r="305" spans="1:4" s="1" customFormat="1" x14ac:dyDescent="0.45">
      <c r="A305" s="6" t="s">
        <v>735</v>
      </c>
      <c r="B305" s="6">
        <f>LPRP!C150</f>
        <v>0</v>
      </c>
      <c r="C305" s="8" t="s">
        <v>1403</v>
      </c>
      <c r="D305" s="7"/>
    </row>
    <row r="306" spans="1:4" s="1" customFormat="1" x14ac:dyDescent="0.45">
      <c r="A306" s="6" t="s">
        <v>736</v>
      </c>
      <c r="B306" s="6">
        <f>LPRP!E150</f>
        <v>0</v>
      </c>
      <c r="C306" s="8" t="s">
        <v>1403</v>
      </c>
      <c r="D306" s="7"/>
    </row>
    <row r="307" spans="1:4" s="1" customFormat="1" x14ac:dyDescent="0.45">
      <c r="A307" s="6" t="s">
        <v>737</v>
      </c>
      <c r="B307" s="6">
        <f>LPRP!G150</f>
        <v>0</v>
      </c>
      <c r="C307" s="8" t="s">
        <v>1403</v>
      </c>
      <c r="D307" s="7"/>
    </row>
    <row r="308" spans="1:4" s="1" customFormat="1" x14ac:dyDescent="0.45">
      <c r="A308" s="6" t="s">
        <v>738</v>
      </c>
      <c r="B308" s="6">
        <f>LPRP!I150</f>
        <v>0</v>
      </c>
      <c r="C308" s="8" t="s">
        <v>1403</v>
      </c>
      <c r="D308" s="7"/>
    </row>
    <row r="309" spans="1:4" s="1" customFormat="1" x14ac:dyDescent="0.45">
      <c r="A309" s="6" t="s">
        <v>747</v>
      </c>
      <c r="B309" s="6">
        <f>LPRP!E157</f>
        <v>0</v>
      </c>
      <c r="C309" s="8" t="s">
        <v>1404</v>
      </c>
      <c r="D309" s="7"/>
    </row>
    <row r="310" spans="1:4" s="1" customFormat="1" x14ac:dyDescent="0.45">
      <c r="A310" s="6" t="s">
        <v>1405</v>
      </c>
      <c r="B310" s="6" t="str">
        <f>LPRP!E159</f>
        <v>0</v>
      </c>
      <c r="C310" s="8" t="s">
        <v>1404</v>
      </c>
      <c r="D310" s="7"/>
    </row>
    <row r="311" spans="1:4" s="1" customFormat="1" x14ac:dyDescent="0.45">
      <c r="A311" s="6" t="s">
        <v>751</v>
      </c>
      <c r="B311" s="6">
        <f>LPRP!A168</f>
        <v>0</v>
      </c>
      <c r="C311" s="8" t="s">
        <v>1406</v>
      </c>
      <c r="D311" s="7"/>
    </row>
    <row r="312" spans="1:4" s="1" customFormat="1" x14ac:dyDescent="0.45">
      <c r="A312" s="6" t="s">
        <v>753</v>
      </c>
      <c r="B312" s="6">
        <f>LPRP!E168</f>
        <v>0</v>
      </c>
      <c r="C312" s="8" t="s">
        <v>1406</v>
      </c>
      <c r="D312" s="7"/>
    </row>
    <row r="313" spans="1:4" s="1" customFormat="1" x14ac:dyDescent="0.45">
      <c r="A313" s="6" t="s">
        <v>754</v>
      </c>
      <c r="B313" s="6">
        <f>LPRP!G168</f>
        <v>0</v>
      </c>
      <c r="C313" s="8" t="s">
        <v>1406</v>
      </c>
      <c r="D313" s="7"/>
    </row>
    <row r="314" spans="1:4" s="1" customFormat="1" x14ac:dyDescent="0.45">
      <c r="A314" s="6" t="s">
        <v>755</v>
      </c>
      <c r="B314" s="6">
        <f>LPRP!I168</f>
        <v>0</v>
      </c>
      <c r="C314" s="8" t="s">
        <v>1406</v>
      </c>
      <c r="D314" s="7"/>
    </row>
    <row r="315" spans="1:4" s="1" customFormat="1" x14ac:dyDescent="0.45">
      <c r="A315" s="6" t="s">
        <v>756</v>
      </c>
      <c r="B315" s="6">
        <f>LPRP!K168</f>
        <v>0</v>
      </c>
      <c r="C315" s="8" t="s">
        <v>1406</v>
      </c>
      <c r="D315" s="7"/>
    </row>
    <row r="316" spans="1:4" s="1" customFormat="1" x14ac:dyDescent="0.45">
      <c r="A316" s="6" t="s">
        <v>794</v>
      </c>
      <c r="B316" s="6">
        <f>LPRP!D173</f>
        <v>0</v>
      </c>
      <c r="C316" s="8" t="s">
        <v>1407</v>
      </c>
      <c r="D316" s="7"/>
    </row>
    <row r="317" spans="1:4" s="1" customFormat="1" x14ac:dyDescent="0.45">
      <c r="A317" s="6" t="s">
        <v>796</v>
      </c>
      <c r="B317" s="6">
        <f>LPRP!G173</f>
        <v>0</v>
      </c>
      <c r="C317" s="8" t="s">
        <v>1407</v>
      </c>
      <c r="D317" s="7"/>
    </row>
    <row r="318" spans="1:4" s="1" customFormat="1" x14ac:dyDescent="0.45">
      <c r="A318" s="6" t="s">
        <v>798</v>
      </c>
      <c r="B318" s="6">
        <f>LPRP!D174</f>
        <v>0</v>
      </c>
      <c r="C318" s="8" t="s">
        <v>1407</v>
      </c>
      <c r="D318" s="7"/>
    </row>
    <row r="319" spans="1:4" s="1" customFormat="1" x14ac:dyDescent="0.45">
      <c r="A319" s="6" t="s">
        <v>799</v>
      </c>
      <c r="B319" s="6">
        <f>LPRP!G174</f>
        <v>0</v>
      </c>
      <c r="C319" s="8" t="s">
        <v>1407</v>
      </c>
      <c r="D319" s="7"/>
    </row>
    <row r="320" spans="1:4" s="1" customFormat="1" x14ac:dyDescent="0.45">
      <c r="A320" s="6" t="s">
        <v>801</v>
      </c>
      <c r="B320" s="6">
        <f>LPRP!D175</f>
        <v>0</v>
      </c>
      <c r="C320" s="8" t="s">
        <v>1407</v>
      </c>
      <c r="D320" s="7"/>
    </row>
    <row r="321" spans="1:4" s="1" customFormat="1" x14ac:dyDescent="0.45">
      <c r="A321" s="6" t="s">
        <v>802</v>
      </c>
      <c r="B321" s="6">
        <f>LPRP!G175</f>
        <v>0</v>
      </c>
      <c r="C321" s="8" t="s">
        <v>1407</v>
      </c>
      <c r="D321" s="7"/>
    </row>
    <row r="322" spans="1:4" s="1" customFormat="1" x14ac:dyDescent="0.45">
      <c r="A322" s="6" t="s">
        <v>804</v>
      </c>
      <c r="B322" s="6">
        <f>LPRP!D176</f>
        <v>0</v>
      </c>
      <c r="C322" s="8" t="s">
        <v>1407</v>
      </c>
      <c r="D322" s="7"/>
    </row>
    <row r="323" spans="1:4" s="1" customFormat="1" x14ac:dyDescent="0.45">
      <c r="A323" s="6" t="s">
        <v>805</v>
      </c>
      <c r="B323" s="6">
        <f>LPRP!G176</f>
        <v>0</v>
      </c>
      <c r="C323" s="8" t="s">
        <v>1407</v>
      </c>
      <c r="D323" s="7"/>
    </row>
    <row r="324" spans="1:4" x14ac:dyDescent="0.45">
      <c r="A324" s="6" t="s">
        <v>807</v>
      </c>
      <c r="B324" s="6">
        <f>LPRP!D177</f>
        <v>0</v>
      </c>
      <c r="C324" s="8" t="s">
        <v>1407</v>
      </c>
      <c r="D324" s="7"/>
    </row>
    <row r="325" spans="1:4" x14ac:dyDescent="0.45">
      <c r="A325" s="6" t="s">
        <v>808</v>
      </c>
      <c r="B325" s="6">
        <f>LPRP!G177</f>
        <v>0</v>
      </c>
      <c r="C325" s="8" t="s">
        <v>1407</v>
      </c>
      <c r="D325" s="7"/>
    </row>
    <row r="326" spans="1:4" x14ac:dyDescent="0.45">
      <c r="A326" s="6" t="s">
        <v>810</v>
      </c>
      <c r="B326" s="6">
        <f>LPRP!D178</f>
        <v>0</v>
      </c>
      <c r="C326" s="8" t="s">
        <v>1407</v>
      </c>
      <c r="D326" s="7"/>
    </row>
    <row r="327" spans="1:4" x14ac:dyDescent="0.45">
      <c r="A327" s="6" t="s">
        <v>811</v>
      </c>
      <c r="B327" s="6">
        <f>LPRP!G178</f>
        <v>0</v>
      </c>
      <c r="C327" s="8" t="s">
        <v>1407</v>
      </c>
      <c r="D327" s="7"/>
    </row>
    <row r="328" spans="1:4" x14ac:dyDescent="0.45">
      <c r="A328" s="6" t="s">
        <v>813</v>
      </c>
      <c r="B328" s="6">
        <f>LPRP!D179</f>
        <v>0</v>
      </c>
      <c r="C328" s="8" t="s">
        <v>1407</v>
      </c>
      <c r="D328" s="7"/>
    </row>
    <row r="329" spans="1:4" x14ac:dyDescent="0.45">
      <c r="A329" s="6" t="s">
        <v>814</v>
      </c>
      <c r="B329" s="6">
        <f>LPRP!G179</f>
        <v>0</v>
      </c>
      <c r="C329" s="8" t="s">
        <v>1407</v>
      </c>
      <c r="D329" s="7"/>
    </row>
    <row r="330" spans="1:4" x14ac:dyDescent="0.45">
      <c r="A330" s="6" t="s">
        <v>816</v>
      </c>
      <c r="B330" s="6" t="e">
        <f>LPRP!#REF!</f>
        <v>#REF!</v>
      </c>
      <c r="C330" s="8" t="s">
        <v>1408</v>
      </c>
      <c r="D330" s="7"/>
    </row>
    <row r="331" spans="1:4" x14ac:dyDescent="0.45">
      <c r="A331" s="6" t="s">
        <v>1409</v>
      </c>
      <c r="B331" s="6" t="e">
        <f>LPRP!#REF!</f>
        <v>#REF!</v>
      </c>
      <c r="C331" s="8" t="s">
        <v>1408</v>
      </c>
      <c r="D331" s="7"/>
    </row>
    <row r="332" spans="1:4" x14ac:dyDescent="0.45">
      <c r="A332" s="6" t="s">
        <v>818</v>
      </c>
      <c r="B332" s="6" t="e">
        <f>LPRP!#REF!</f>
        <v>#REF!</v>
      </c>
      <c r="C332" s="8" t="s">
        <v>1408</v>
      </c>
      <c r="D332" s="7"/>
    </row>
    <row r="333" spans="1:4" x14ac:dyDescent="0.45">
      <c r="A333" s="6" t="s">
        <v>1410</v>
      </c>
      <c r="B333" s="6" t="e">
        <f>LPRP!#REF!</f>
        <v>#REF!</v>
      </c>
      <c r="C333" s="8" t="s">
        <v>1408</v>
      </c>
      <c r="D333" s="7"/>
    </row>
    <row r="334" spans="1:4" x14ac:dyDescent="0.45">
      <c r="A334" s="6" t="s">
        <v>819</v>
      </c>
      <c r="B334" s="6">
        <f>LPRP!A185</f>
        <v>0</v>
      </c>
      <c r="C334" s="8">
        <v>4</v>
      </c>
      <c r="D334" s="7"/>
    </row>
    <row r="335" spans="1:4" x14ac:dyDescent="0.45">
      <c r="A335" s="6" t="s">
        <v>821</v>
      </c>
      <c r="B335" s="6">
        <f>LPRP!D185</f>
        <v>0</v>
      </c>
      <c r="C335" s="8">
        <v>4</v>
      </c>
      <c r="D335" s="7"/>
    </row>
    <row r="336" spans="1:4" x14ac:dyDescent="0.45">
      <c r="A336" s="6" t="s">
        <v>822</v>
      </c>
      <c r="B336" s="6">
        <f>LPRP!G185</f>
        <v>0</v>
      </c>
      <c r="C336" s="8">
        <v>4</v>
      </c>
      <c r="D336" s="7"/>
    </row>
    <row r="337" spans="1:4" x14ac:dyDescent="0.45">
      <c r="A337" s="6" t="s">
        <v>825</v>
      </c>
      <c r="B337" s="6">
        <f>LPRP!I190</f>
        <v>0</v>
      </c>
      <c r="C337" s="8">
        <v>5</v>
      </c>
      <c r="D337" s="7"/>
    </row>
    <row r="338" spans="1:4" x14ac:dyDescent="0.45">
      <c r="A338" s="6" t="s">
        <v>828</v>
      </c>
      <c r="B338" s="6">
        <f>LPRP!I191</f>
        <v>0</v>
      </c>
      <c r="C338" s="8">
        <v>5</v>
      </c>
      <c r="D338" s="7"/>
    </row>
    <row r="339" spans="1:4" x14ac:dyDescent="0.45">
      <c r="A339" s="6" t="s">
        <v>840</v>
      </c>
      <c r="B339" s="6">
        <f>LPRP!E202</f>
        <v>0</v>
      </c>
      <c r="C339" s="8" t="s">
        <v>1411</v>
      </c>
      <c r="D339" s="7"/>
    </row>
    <row r="340" spans="1:4" x14ac:dyDescent="0.45">
      <c r="A340" s="6" t="s">
        <v>842</v>
      </c>
      <c r="B340" s="6">
        <f>LPRP!G202</f>
        <v>0</v>
      </c>
      <c r="C340" s="8" t="s">
        <v>1411</v>
      </c>
      <c r="D340" s="7"/>
    </row>
    <row r="341" spans="1:4" x14ac:dyDescent="0.45">
      <c r="A341" s="6" t="s">
        <v>1412</v>
      </c>
      <c r="B341" s="6">
        <f>LPRP!I202</f>
        <v>0</v>
      </c>
      <c r="C341" s="8" t="s">
        <v>1411</v>
      </c>
      <c r="D341" s="7"/>
    </row>
    <row r="342" spans="1:4" x14ac:dyDescent="0.45">
      <c r="A342" s="6" t="s">
        <v>1413</v>
      </c>
      <c r="B342" s="6">
        <f>LPRP!K202</f>
        <v>0</v>
      </c>
      <c r="C342" s="8" t="s">
        <v>1411</v>
      </c>
      <c r="D342" s="7"/>
    </row>
    <row r="343" spans="1:4" x14ac:dyDescent="0.45">
      <c r="A343" s="6" t="s">
        <v>1414</v>
      </c>
      <c r="B343" s="6">
        <f>LPRP!M202</f>
        <v>0</v>
      </c>
      <c r="C343" s="8" t="s">
        <v>1411</v>
      </c>
      <c r="D343" s="7"/>
    </row>
    <row r="344" spans="1:4" x14ac:dyDescent="0.45">
      <c r="A344" s="6" t="s">
        <v>1415</v>
      </c>
      <c r="B344" s="6">
        <f>LPRP!O202</f>
        <v>0</v>
      </c>
      <c r="C344" s="8" t="s">
        <v>1411</v>
      </c>
      <c r="D344" s="7"/>
    </row>
    <row r="345" spans="1:4" x14ac:dyDescent="0.45">
      <c r="A345" s="6" t="s">
        <v>1416</v>
      </c>
      <c r="B345" s="6">
        <f>LPRP!P202</f>
        <v>0</v>
      </c>
      <c r="C345" s="8" t="s">
        <v>1411</v>
      </c>
      <c r="D345" s="7"/>
    </row>
    <row r="346" spans="1:4" x14ac:dyDescent="0.45">
      <c r="A346" s="6" t="s">
        <v>1417</v>
      </c>
      <c r="B346" s="6">
        <f>LPRP!R202</f>
        <v>0</v>
      </c>
      <c r="C346" s="8" t="s">
        <v>1411</v>
      </c>
      <c r="D346" s="7"/>
    </row>
    <row r="347" spans="1:4" x14ac:dyDescent="0.45">
      <c r="A347" s="6" t="s">
        <v>845</v>
      </c>
      <c r="B347" s="6">
        <f>LPRP!E210</f>
        <v>0</v>
      </c>
      <c r="C347" s="8" t="s">
        <v>1418</v>
      </c>
      <c r="D347" s="7"/>
    </row>
    <row r="348" spans="1:4" x14ac:dyDescent="0.45">
      <c r="A348" s="6" t="s">
        <v>847</v>
      </c>
      <c r="B348" s="6">
        <f>LPRP!G210</f>
        <v>0</v>
      </c>
      <c r="C348" s="8" t="s">
        <v>1418</v>
      </c>
      <c r="D348" s="7"/>
    </row>
    <row r="349" spans="1:4" x14ac:dyDescent="0.45">
      <c r="A349" s="6" t="s">
        <v>848</v>
      </c>
      <c r="B349" s="6">
        <f>LPRP!I210</f>
        <v>0</v>
      </c>
      <c r="C349" s="8" t="s">
        <v>1418</v>
      </c>
      <c r="D349" s="7"/>
    </row>
    <row r="350" spans="1:4" x14ac:dyDescent="0.45">
      <c r="A350" s="6" t="s">
        <v>849</v>
      </c>
      <c r="B350" s="6">
        <f>LPRP!K210</f>
        <v>0</v>
      </c>
      <c r="C350" s="8" t="s">
        <v>1418</v>
      </c>
      <c r="D350" s="7"/>
    </row>
    <row r="351" spans="1:4" x14ac:dyDescent="0.45">
      <c r="A351" s="6" t="s">
        <v>1419</v>
      </c>
      <c r="B351" s="6">
        <f>LPRP!M210</f>
        <v>0</v>
      </c>
      <c r="C351" s="8" t="s">
        <v>1418</v>
      </c>
      <c r="D351" s="7"/>
    </row>
    <row r="352" spans="1:4" x14ac:dyDescent="0.45">
      <c r="A352" s="6" t="s">
        <v>1420</v>
      </c>
      <c r="B352" s="6">
        <f>LPRP!O210</f>
        <v>0</v>
      </c>
      <c r="C352" s="8" t="s">
        <v>1418</v>
      </c>
      <c r="D352" s="7"/>
    </row>
    <row r="353" spans="1:4" x14ac:dyDescent="0.45">
      <c r="A353" s="6" t="s">
        <v>1421</v>
      </c>
      <c r="B353" s="6">
        <f>LPRP!P210</f>
        <v>0</v>
      </c>
      <c r="C353" s="8" t="s">
        <v>1418</v>
      </c>
      <c r="D353" s="7"/>
    </row>
    <row r="354" spans="1:4" x14ac:dyDescent="0.45">
      <c r="A354" s="6" t="s">
        <v>1422</v>
      </c>
      <c r="B354" s="6">
        <f>LPRP!R210</f>
        <v>0</v>
      </c>
      <c r="C354" s="8" t="s">
        <v>1418</v>
      </c>
      <c r="D354" s="7"/>
    </row>
    <row r="355" spans="1:4" x14ac:dyDescent="0.45">
      <c r="A355" s="6" t="s">
        <v>850</v>
      </c>
      <c r="B355" s="6">
        <f>LPRP!E211</f>
        <v>0</v>
      </c>
      <c r="C355" s="8" t="s">
        <v>1418</v>
      </c>
      <c r="D355" s="7"/>
    </row>
    <row r="356" spans="1:4" x14ac:dyDescent="0.45">
      <c r="A356" s="6" t="s">
        <v>851</v>
      </c>
      <c r="B356" s="6">
        <f>LPRP!G211</f>
        <v>0</v>
      </c>
      <c r="C356" s="8" t="s">
        <v>1418</v>
      </c>
      <c r="D356" s="7"/>
    </row>
    <row r="357" spans="1:4" x14ac:dyDescent="0.45">
      <c r="A357" s="6" t="s">
        <v>852</v>
      </c>
      <c r="B357" s="6">
        <f>LPRP!I211</f>
        <v>0</v>
      </c>
      <c r="C357" s="8" t="s">
        <v>1418</v>
      </c>
      <c r="D357" s="7"/>
    </row>
    <row r="358" spans="1:4" x14ac:dyDescent="0.45">
      <c r="A358" s="6" t="s">
        <v>853</v>
      </c>
      <c r="B358" s="6">
        <f>LPRP!K211</f>
        <v>0</v>
      </c>
      <c r="C358" s="8" t="s">
        <v>1418</v>
      </c>
      <c r="D358" s="7"/>
    </row>
    <row r="359" spans="1:4" x14ac:dyDescent="0.45">
      <c r="A359" s="6" t="s">
        <v>1423</v>
      </c>
      <c r="B359" s="6">
        <f>LPRP!M211</f>
        <v>0</v>
      </c>
      <c r="C359" s="8" t="s">
        <v>1418</v>
      </c>
      <c r="D359" s="7"/>
    </row>
    <row r="360" spans="1:4" x14ac:dyDescent="0.45">
      <c r="A360" s="6" t="s">
        <v>1424</v>
      </c>
      <c r="B360" s="6">
        <f>LPRP!O211</f>
        <v>0</v>
      </c>
      <c r="C360" s="8" t="s">
        <v>1418</v>
      </c>
      <c r="D360" s="7"/>
    </row>
    <row r="361" spans="1:4" x14ac:dyDescent="0.45">
      <c r="A361" s="6" t="s">
        <v>1425</v>
      </c>
      <c r="B361" s="6">
        <f>LPRP!P211</f>
        <v>0</v>
      </c>
      <c r="C361" s="8" t="s">
        <v>1418</v>
      </c>
      <c r="D361" s="7"/>
    </row>
    <row r="362" spans="1:4" x14ac:dyDescent="0.45">
      <c r="A362" s="6" t="s">
        <v>1426</v>
      </c>
      <c r="B362" s="6">
        <f>LPRP!R211</f>
        <v>0</v>
      </c>
      <c r="C362" s="8" t="s">
        <v>1418</v>
      </c>
      <c r="D362" s="7"/>
    </row>
    <row r="363" spans="1:4" x14ac:dyDescent="0.45">
      <c r="A363" s="6" t="s">
        <v>854</v>
      </c>
      <c r="B363" s="6">
        <v>0</v>
      </c>
      <c r="C363" s="8" t="s">
        <v>1418</v>
      </c>
      <c r="D363" s="14" t="s">
        <v>1427</v>
      </c>
    </row>
    <row r="364" spans="1:4" x14ac:dyDescent="0.45">
      <c r="A364" s="6" t="s">
        <v>855</v>
      </c>
      <c r="B364" s="6">
        <v>0</v>
      </c>
      <c r="C364" s="8" t="s">
        <v>1418</v>
      </c>
      <c r="D364" s="14" t="s">
        <v>1427</v>
      </c>
    </row>
    <row r="365" spans="1:4" x14ac:dyDescent="0.45">
      <c r="A365" s="6" t="s">
        <v>856</v>
      </c>
      <c r="B365" s="6">
        <v>0</v>
      </c>
      <c r="C365" s="8" t="s">
        <v>1418</v>
      </c>
      <c r="D365" s="14" t="s">
        <v>1427</v>
      </c>
    </row>
    <row r="366" spans="1:4" x14ac:dyDescent="0.45">
      <c r="A366" s="6" t="s">
        <v>857</v>
      </c>
      <c r="B366" s="6">
        <v>0</v>
      </c>
      <c r="C366" s="8" t="s">
        <v>1418</v>
      </c>
      <c r="D366" s="14" t="s">
        <v>1427</v>
      </c>
    </row>
    <row r="367" spans="1:4" x14ac:dyDescent="0.45">
      <c r="A367" s="6" t="s">
        <v>1428</v>
      </c>
      <c r="B367" s="6">
        <v>0</v>
      </c>
      <c r="C367" s="8" t="s">
        <v>1418</v>
      </c>
      <c r="D367" s="14" t="s">
        <v>1427</v>
      </c>
    </row>
    <row r="368" spans="1:4" x14ac:dyDescent="0.45">
      <c r="A368" s="6" t="s">
        <v>1429</v>
      </c>
      <c r="B368" s="6">
        <v>0</v>
      </c>
      <c r="C368" s="8" t="s">
        <v>1418</v>
      </c>
      <c r="D368" s="14" t="s">
        <v>1427</v>
      </c>
    </row>
    <row r="369" spans="1:4" x14ac:dyDescent="0.45">
      <c r="A369" s="6" t="s">
        <v>1430</v>
      </c>
      <c r="B369" s="6">
        <v>0</v>
      </c>
      <c r="C369" s="8" t="s">
        <v>1418</v>
      </c>
      <c r="D369" s="14" t="s">
        <v>1427</v>
      </c>
    </row>
    <row r="370" spans="1:4" x14ac:dyDescent="0.45">
      <c r="A370" s="6" t="s">
        <v>1431</v>
      </c>
      <c r="B370" s="6">
        <f>LPRP!R212</f>
        <v>0</v>
      </c>
      <c r="C370" s="8" t="s">
        <v>1418</v>
      </c>
      <c r="D370" s="7"/>
    </row>
    <row r="371" spans="1:4" x14ac:dyDescent="0.45">
      <c r="A371" s="6" t="s">
        <v>874</v>
      </c>
      <c r="B371" s="6">
        <f>LPRP!E220</f>
        <v>0</v>
      </c>
      <c r="C371" s="8" t="s">
        <v>912</v>
      </c>
      <c r="D371" s="7"/>
    </row>
    <row r="372" spans="1:4" x14ac:dyDescent="0.45">
      <c r="A372" s="6" t="s">
        <v>876</v>
      </c>
      <c r="B372" s="6">
        <f>LPRP!G220</f>
        <v>0</v>
      </c>
      <c r="C372" s="8" t="s">
        <v>912</v>
      </c>
      <c r="D372" s="7"/>
    </row>
    <row r="373" spans="1:4" x14ac:dyDescent="0.45">
      <c r="A373" s="6" t="s">
        <v>877</v>
      </c>
      <c r="B373" s="6">
        <f>LPRP!I220</f>
        <v>0</v>
      </c>
      <c r="C373" s="8" t="s">
        <v>912</v>
      </c>
      <c r="D373" s="7"/>
    </row>
    <row r="374" spans="1:4" x14ac:dyDescent="0.45">
      <c r="A374" s="6" t="s">
        <v>878</v>
      </c>
      <c r="B374" s="6">
        <f>LPRP!K220</f>
        <v>0</v>
      </c>
      <c r="C374" s="8" t="s">
        <v>912</v>
      </c>
      <c r="D374" s="7"/>
    </row>
    <row r="375" spans="1:4" x14ac:dyDescent="0.45">
      <c r="A375" s="6" t="s">
        <v>879</v>
      </c>
      <c r="B375" s="6">
        <f>LPRP!E221</f>
        <v>0</v>
      </c>
      <c r="C375" s="8" t="s">
        <v>912</v>
      </c>
      <c r="D375" s="7"/>
    </row>
    <row r="376" spans="1:4" x14ac:dyDescent="0.45">
      <c r="A376" s="6" t="s">
        <v>880</v>
      </c>
      <c r="B376" s="6">
        <f>LPRP!G221</f>
        <v>0</v>
      </c>
      <c r="C376" s="8" t="s">
        <v>912</v>
      </c>
      <c r="D376" s="7"/>
    </row>
    <row r="377" spans="1:4" x14ac:dyDescent="0.45">
      <c r="A377" s="6" t="s">
        <v>881</v>
      </c>
      <c r="B377" s="6">
        <f>LPRP!I221</f>
        <v>0</v>
      </c>
      <c r="C377" s="8" t="s">
        <v>912</v>
      </c>
      <c r="D377" s="7"/>
    </row>
    <row r="378" spans="1:4" x14ac:dyDescent="0.45">
      <c r="A378" s="6" t="s">
        <v>882</v>
      </c>
      <c r="B378" s="6">
        <f>LPRP!K221</f>
        <v>0</v>
      </c>
      <c r="C378" s="8" t="s">
        <v>912</v>
      </c>
      <c r="D378" s="7"/>
    </row>
    <row r="379" spans="1:4" x14ac:dyDescent="0.45">
      <c r="A379" s="6" t="s">
        <v>883</v>
      </c>
      <c r="B379" s="6">
        <f>LPRP!E222</f>
        <v>0</v>
      </c>
      <c r="C379" s="8" t="s">
        <v>912</v>
      </c>
      <c r="D379" s="7"/>
    </row>
    <row r="380" spans="1:4" s="1" customFormat="1" x14ac:dyDescent="0.45">
      <c r="A380" s="6" t="s">
        <v>884</v>
      </c>
      <c r="B380" s="6">
        <f>LPRP!G222</f>
        <v>0</v>
      </c>
      <c r="C380" s="8" t="s">
        <v>912</v>
      </c>
      <c r="D380" s="7"/>
    </row>
    <row r="381" spans="1:4" s="1" customFormat="1" x14ac:dyDescent="0.45">
      <c r="A381" s="6" t="s">
        <v>885</v>
      </c>
      <c r="B381" s="6">
        <f>LPRP!I222</f>
        <v>0</v>
      </c>
      <c r="C381" s="8" t="s">
        <v>912</v>
      </c>
      <c r="D381" s="7"/>
    </row>
    <row r="382" spans="1:4" s="1" customFormat="1" x14ac:dyDescent="0.45">
      <c r="A382" s="6" t="s">
        <v>886</v>
      </c>
      <c r="B382" s="6">
        <f>LPRP!K222</f>
        <v>0</v>
      </c>
      <c r="C382" s="8" t="s">
        <v>912</v>
      </c>
      <c r="D382" s="7"/>
    </row>
    <row r="383" spans="1:4" s="1" customFormat="1" x14ac:dyDescent="0.45">
      <c r="A383" s="6" t="s">
        <v>887</v>
      </c>
      <c r="B383" s="6">
        <f>LPRP!E223</f>
        <v>0</v>
      </c>
      <c r="C383" s="8" t="s">
        <v>912</v>
      </c>
      <c r="D383" s="7"/>
    </row>
    <row r="384" spans="1:4" s="1" customFormat="1" x14ac:dyDescent="0.45">
      <c r="A384" s="6" t="s">
        <v>888</v>
      </c>
      <c r="B384" s="6">
        <f>LPRP!G223</f>
        <v>0</v>
      </c>
      <c r="C384" s="8" t="s">
        <v>912</v>
      </c>
      <c r="D384" s="7"/>
    </row>
    <row r="385" spans="1:4" s="1" customFormat="1" x14ac:dyDescent="0.45">
      <c r="A385" s="6" t="s">
        <v>889</v>
      </c>
      <c r="B385" s="6">
        <f>LPRP!I223</f>
        <v>0</v>
      </c>
      <c r="C385" s="8" t="s">
        <v>912</v>
      </c>
      <c r="D385" s="7"/>
    </row>
    <row r="386" spans="1:4" s="1" customFormat="1" x14ac:dyDescent="0.45">
      <c r="A386" s="6" t="s">
        <v>890</v>
      </c>
      <c r="B386" s="6">
        <f>LPRP!K223</f>
        <v>0</v>
      </c>
      <c r="C386" s="8" t="s">
        <v>912</v>
      </c>
      <c r="D386" s="7"/>
    </row>
    <row r="387" spans="1:4" s="1" customFormat="1" x14ac:dyDescent="0.45">
      <c r="A387" s="9" t="s">
        <v>891</v>
      </c>
      <c r="B387" s="9">
        <f>LPRP!E224</f>
        <v>0</v>
      </c>
      <c r="C387" s="10" t="s">
        <v>912</v>
      </c>
      <c r="D387" s="7"/>
    </row>
    <row r="388" spans="1:4" s="1" customFormat="1" x14ac:dyDescent="0.45">
      <c r="A388" s="9" t="s">
        <v>892</v>
      </c>
      <c r="B388" s="9">
        <f>LPRP!G224</f>
        <v>0</v>
      </c>
      <c r="C388" s="10" t="s">
        <v>912</v>
      </c>
      <c r="D388" s="7"/>
    </row>
    <row r="389" spans="1:4" s="1" customFormat="1" x14ac:dyDescent="0.45">
      <c r="A389" s="9" t="s">
        <v>893</v>
      </c>
      <c r="B389" s="9">
        <f>LPRP!I224</f>
        <v>0</v>
      </c>
      <c r="C389" s="10" t="s">
        <v>912</v>
      </c>
      <c r="D389" s="7"/>
    </row>
    <row r="390" spans="1:4" s="1" customFormat="1" x14ac:dyDescent="0.45">
      <c r="A390" s="9" t="s">
        <v>894</v>
      </c>
      <c r="B390" s="9">
        <f>LPRP!K224</f>
        <v>0</v>
      </c>
      <c r="C390" s="10" t="s">
        <v>912</v>
      </c>
      <c r="D390" s="7"/>
    </row>
    <row r="391" spans="1:4" s="1" customFormat="1" x14ac:dyDescent="0.45">
      <c r="A391" s="9" t="s">
        <v>895</v>
      </c>
      <c r="B391" s="9">
        <f>LPRP!E225</f>
        <v>0</v>
      </c>
      <c r="C391" s="10" t="s">
        <v>912</v>
      </c>
      <c r="D391" s="7"/>
    </row>
    <row r="392" spans="1:4" s="1" customFormat="1" x14ac:dyDescent="0.45">
      <c r="A392" s="9" t="s">
        <v>896</v>
      </c>
      <c r="B392" s="9">
        <f>LPRP!G225</f>
        <v>0</v>
      </c>
      <c r="C392" s="10" t="s">
        <v>912</v>
      </c>
      <c r="D392" s="7"/>
    </row>
    <row r="393" spans="1:4" s="1" customFormat="1" x14ac:dyDescent="0.45">
      <c r="A393" s="9" t="s">
        <v>897</v>
      </c>
      <c r="B393" s="9">
        <f>LPRP!I225</f>
        <v>0</v>
      </c>
      <c r="C393" s="10" t="s">
        <v>912</v>
      </c>
      <c r="D393" s="7"/>
    </row>
    <row r="394" spans="1:4" s="1" customFormat="1" x14ac:dyDescent="0.45">
      <c r="A394" s="9" t="s">
        <v>898</v>
      </c>
      <c r="B394" s="9">
        <f>LPRP!K225</f>
        <v>0</v>
      </c>
      <c r="C394" s="10" t="s">
        <v>912</v>
      </c>
      <c r="D394" s="7"/>
    </row>
    <row r="395" spans="1:4" s="1" customFormat="1" x14ac:dyDescent="0.45">
      <c r="A395" s="6" t="s">
        <v>899</v>
      </c>
      <c r="B395" s="6">
        <f>LPRP!E231</f>
        <v>0</v>
      </c>
      <c r="C395" s="8" t="s">
        <v>933</v>
      </c>
      <c r="D395" s="7"/>
    </row>
    <row r="396" spans="1:4" s="1" customFormat="1" x14ac:dyDescent="0.45">
      <c r="A396" s="6" t="s">
        <v>900</v>
      </c>
      <c r="B396" s="6">
        <f>LPRP!F231</f>
        <v>0</v>
      </c>
      <c r="C396" s="8" t="s">
        <v>933</v>
      </c>
      <c r="D396" s="7"/>
    </row>
    <row r="397" spans="1:4" s="1" customFormat="1" x14ac:dyDescent="0.45">
      <c r="A397" s="6" t="s">
        <v>901</v>
      </c>
      <c r="B397" s="6">
        <f>LPRP!G231</f>
        <v>0</v>
      </c>
      <c r="C397" s="8" t="s">
        <v>933</v>
      </c>
      <c r="D397" s="7"/>
    </row>
    <row r="398" spans="1:4" s="1" customFormat="1" x14ac:dyDescent="0.45">
      <c r="A398" s="6" t="s">
        <v>902</v>
      </c>
      <c r="B398" s="6">
        <f>LPRP!H231</f>
        <v>0</v>
      </c>
      <c r="C398" s="8" t="s">
        <v>933</v>
      </c>
      <c r="D398" s="7"/>
    </row>
    <row r="399" spans="1:4" s="1" customFormat="1" x14ac:dyDescent="0.45">
      <c r="A399" s="6" t="s">
        <v>903</v>
      </c>
      <c r="B399" s="6">
        <f>LPRP!I231</f>
        <v>0</v>
      </c>
      <c r="C399" s="8" t="s">
        <v>933</v>
      </c>
      <c r="D399" s="7"/>
    </row>
    <row r="400" spans="1:4" s="1" customFormat="1" x14ac:dyDescent="0.45">
      <c r="A400" s="6" t="s">
        <v>904</v>
      </c>
      <c r="B400" s="6">
        <f>LPRP!J231</f>
        <v>0</v>
      </c>
      <c r="C400" s="8" t="s">
        <v>933</v>
      </c>
      <c r="D400" s="7"/>
    </row>
    <row r="401" spans="1:4" s="1" customFormat="1" x14ac:dyDescent="0.45">
      <c r="A401" s="6" t="s">
        <v>1432</v>
      </c>
      <c r="B401" s="6">
        <f>LPRP!K231</f>
        <v>0</v>
      </c>
      <c r="C401" s="8" t="s">
        <v>933</v>
      </c>
      <c r="D401" s="7"/>
    </row>
    <row r="402" spans="1:4" s="1" customFormat="1" x14ac:dyDescent="0.45">
      <c r="A402" s="6" t="s">
        <v>1433</v>
      </c>
      <c r="B402" s="6">
        <f>LPRP!L231</f>
        <v>0</v>
      </c>
      <c r="C402" s="8" t="s">
        <v>933</v>
      </c>
      <c r="D402" s="7"/>
    </row>
    <row r="403" spans="1:4" s="1" customFormat="1" x14ac:dyDescent="0.45">
      <c r="A403" s="6" t="s">
        <v>905</v>
      </c>
      <c r="B403" s="6">
        <f>LPRP!E232</f>
        <v>0</v>
      </c>
      <c r="C403" s="8" t="s">
        <v>933</v>
      </c>
      <c r="D403" s="7"/>
    </row>
    <row r="404" spans="1:4" s="1" customFormat="1" x14ac:dyDescent="0.45">
      <c r="A404" s="6" t="s">
        <v>906</v>
      </c>
      <c r="B404" s="6">
        <f>LPRP!F232</f>
        <v>0</v>
      </c>
      <c r="C404" s="8" t="s">
        <v>933</v>
      </c>
      <c r="D404" s="7"/>
    </row>
    <row r="405" spans="1:4" s="1" customFormat="1" x14ac:dyDescent="0.45">
      <c r="A405" s="6" t="s">
        <v>907</v>
      </c>
      <c r="B405" s="6">
        <f>LPRP!G232</f>
        <v>0</v>
      </c>
      <c r="C405" s="8" t="s">
        <v>933</v>
      </c>
      <c r="D405" s="7"/>
    </row>
    <row r="406" spans="1:4" s="1" customFormat="1" x14ac:dyDescent="0.45">
      <c r="A406" s="6" t="s">
        <v>908</v>
      </c>
      <c r="B406" s="6">
        <f>LPRP!H232</f>
        <v>0</v>
      </c>
      <c r="C406" s="8" t="s">
        <v>933</v>
      </c>
      <c r="D406" s="7"/>
    </row>
    <row r="407" spans="1:4" s="1" customFormat="1" x14ac:dyDescent="0.45">
      <c r="A407" s="6" t="s">
        <v>909</v>
      </c>
      <c r="B407" s="6">
        <f>LPRP!I232</f>
        <v>0</v>
      </c>
      <c r="C407" s="8" t="s">
        <v>933</v>
      </c>
      <c r="D407" s="7"/>
    </row>
    <row r="408" spans="1:4" s="1" customFormat="1" x14ac:dyDescent="0.45">
      <c r="A408" s="6" t="s">
        <v>910</v>
      </c>
      <c r="B408" s="6">
        <f>LPRP!J232</f>
        <v>0</v>
      </c>
      <c r="C408" s="8" t="s">
        <v>933</v>
      </c>
      <c r="D408" s="7"/>
    </row>
    <row r="409" spans="1:4" s="1" customFormat="1" x14ac:dyDescent="0.45">
      <c r="A409" s="6" t="s">
        <v>1434</v>
      </c>
      <c r="B409" s="6">
        <f>LPRP!K232</f>
        <v>0</v>
      </c>
      <c r="C409" s="8" t="s">
        <v>933</v>
      </c>
      <c r="D409" s="7"/>
    </row>
    <row r="410" spans="1:4" s="1" customFormat="1" x14ac:dyDescent="0.45">
      <c r="A410" s="6" t="s">
        <v>1435</v>
      </c>
      <c r="B410" s="6">
        <f>LPRP!L232</f>
        <v>0</v>
      </c>
      <c r="C410" s="8" t="s">
        <v>933</v>
      </c>
      <c r="D410" s="7"/>
    </row>
    <row r="411" spans="1:4" s="1" customFormat="1" x14ac:dyDescent="0.45">
      <c r="A411" s="6" t="s">
        <v>1436</v>
      </c>
      <c r="B411" s="6">
        <f>LPRP!E233</f>
        <v>0</v>
      </c>
      <c r="C411" s="8" t="s">
        <v>933</v>
      </c>
      <c r="D411" s="7"/>
    </row>
    <row r="412" spans="1:4" s="1" customFormat="1" x14ac:dyDescent="0.45">
      <c r="A412" s="6" t="s">
        <v>1437</v>
      </c>
      <c r="B412" s="6">
        <f>LPRP!F233</f>
        <v>0</v>
      </c>
      <c r="C412" s="8" t="s">
        <v>933</v>
      </c>
      <c r="D412" s="7"/>
    </row>
    <row r="413" spans="1:4" s="1" customFormat="1" x14ac:dyDescent="0.45">
      <c r="A413" s="6" t="s">
        <v>1438</v>
      </c>
      <c r="B413" s="6">
        <f>LPRP!G233</f>
        <v>0</v>
      </c>
      <c r="C413" s="8" t="s">
        <v>933</v>
      </c>
      <c r="D413" s="7"/>
    </row>
    <row r="414" spans="1:4" s="1" customFormat="1" x14ac:dyDescent="0.45">
      <c r="A414" s="6" t="s">
        <v>1439</v>
      </c>
      <c r="B414" s="6">
        <f>LPRP!H233</f>
        <v>0</v>
      </c>
      <c r="C414" s="8" t="s">
        <v>933</v>
      </c>
      <c r="D414" s="7"/>
    </row>
    <row r="415" spans="1:4" s="1" customFormat="1" x14ac:dyDescent="0.45">
      <c r="A415" s="6" t="s">
        <v>1440</v>
      </c>
      <c r="B415" s="6">
        <f>LPRP!I233</f>
        <v>0</v>
      </c>
      <c r="C415" s="8" t="s">
        <v>933</v>
      </c>
      <c r="D415" s="7"/>
    </row>
    <row r="416" spans="1:4" s="1" customFormat="1" x14ac:dyDescent="0.45">
      <c r="A416" s="6" t="s">
        <v>1441</v>
      </c>
      <c r="B416" s="6">
        <f>LPRP!J233</f>
        <v>0</v>
      </c>
      <c r="C416" s="8" t="s">
        <v>933</v>
      </c>
      <c r="D416" s="7"/>
    </row>
    <row r="417" spans="1:4" s="1" customFormat="1" x14ac:dyDescent="0.45">
      <c r="A417" s="6" t="s">
        <v>1442</v>
      </c>
      <c r="B417" s="6">
        <f>LPRP!K233</f>
        <v>0</v>
      </c>
      <c r="C417" s="8" t="s">
        <v>933</v>
      </c>
      <c r="D417" s="7"/>
    </row>
    <row r="418" spans="1:4" s="1" customFormat="1" x14ac:dyDescent="0.45">
      <c r="A418" s="6" t="s">
        <v>1443</v>
      </c>
      <c r="B418" s="6">
        <f>LPRP!L233</f>
        <v>0</v>
      </c>
      <c r="C418" s="8" t="s">
        <v>933</v>
      </c>
      <c r="D418" s="7"/>
    </row>
    <row r="419" spans="1:4" s="1" customFormat="1" x14ac:dyDescent="0.45">
      <c r="A419" s="6" t="s">
        <v>1444</v>
      </c>
      <c r="B419" s="6">
        <f>LPRP!E234</f>
        <v>0</v>
      </c>
      <c r="C419" s="8" t="s">
        <v>933</v>
      </c>
      <c r="D419" s="7"/>
    </row>
    <row r="420" spans="1:4" s="1" customFormat="1" x14ac:dyDescent="0.45">
      <c r="A420" s="6" t="s">
        <v>1445</v>
      </c>
      <c r="B420" s="6">
        <f>LPRP!F234</f>
        <v>0</v>
      </c>
      <c r="C420" s="8" t="s">
        <v>933</v>
      </c>
      <c r="D420" s="7"/>
    </row>
    <row r="421" spans="1:4" s="1" customFormat="1" x14ac:dyDescent="0.45">
      <c r="A421" s="6" t="s">
        <v>1446</v>
      </c>
      <c r="B421" s="6">
        <f>LPRP!G234</f>
        <v>0</v>
      </c>
      <c r="C421" s="8" t="s">
        <v>933</v>
      </c>
      <c r="D421" s="7"/>
    </row>
    <row r="422" spans="1:4" s="1" customFormat="1" x14ac:dyDescent="0.45">
      <c r="A422" s="6" t="s">
        <v>1447</v>
      </c>
      <c r="B422" s="6">
        <f>LPRP!H234</f>
        <v>0</v>
      </c>
      <c r="C422" s="8" t="s">
        <v>933</v>
      </c>
      <c r="D422" s="7"/>
    </row>
    <row r="423" spans="1:4" s="1" customFormat="1" x14ac:dyDescent="0.45">
      <c r="A423" s="6" t="s">
        <v>1448</v>
      </c>
      <c r="B423" s="6">
        <f>LPRP!I234</f>
        <v>0</v>
      </c>
      <c r="C423" s="8" t="s">
        <v>933</v>
      </c>
      <c r="D423" s="7"/>
    </row>
    <row r="424" spans="1:4" s="1" customFormat="1" x14ac:dyDescent="0.45">
      <c r="A424" s="6" t="s">
        <v>1449</v>
      </c>
      <c r="B424" s="6">
        <f>LPRP!J234</f>
        <v>0</v>
      </c>
      <c r="C424" s="8" t="s">
        <v>933</v>
      </c>
      <c r="D424" s="7"/>
    </row>
    <row r="425" spans="1:4" s="1" customFormat="1" x14ac:dyDescent="0.45">
      <c r="A425" s="6" t="s">
        <v>1450</v>
      </c>
      <c r="B425" s="6">
        <f>LPRP!K234</f>
        <v>0</v>
      </c>
      <c r="C425" s="8" t="s">
        <v>933</v>
      </c>
      <c r="D425" s="7"/>
    </row>
    <row r="426" spans="1:4" s="1" customFormat="1" x14ac:dyDescent="0.45">
      <c r="A426" s="6" t="s">
        <v>1451</v>
      </c>
      <c r="B426" s="6">
        <f>LPRP!L234</f>
        <v>0</v>
      </c>
      <c r="C426" s="8" t="s">
        <v>933</v>
      </c>
      <c r="D426" s="7"/>
    </row>
    <row r="427" spans="1:4" s="1" customFormat="1" x14ac:dyDescent="0.45">
      <c r="A427" s="6" t="s">
        <v>1452</v>
      </c>
      <c r="B427" s="6">
        <f>LPRP!E235</f>
        <v>0</v>
      </c>
      <c r="C427" s="8" t="s">
        <v>933</v>
      </c>
      <c r="D427" s="7"/>
    </row>
    <row r="428" spans="1:4" s="1" customFormat="1" x14ac:dyDescent="0.45">
      <c r="A428" s="6" t="s">
        <v>1453</v>
      </c>
      <c r="B428" s="6">
        <f>LPRP!F235</f>
        <v>0</v>
      </c>
      <c r="C428" s="8" t="s">
        <v>933</v>
      </c>
      <c r="D428" s="7"/>
    </row>
    <row r="429" spans="1:4" s="1" customFormat="1" x14ac:dyDescent="0.45">
      <c r="A429" s="6" t="s">
        <v>1454</v>
      </c>
      <c r="B429" s="6">
        <f>LPRP!G235</f>
        <v>0</v>
      </c>
      <c r="C429" s="8" t="s">
        <v>933</v>
      </c>
      <c r="D429" s="7"/>
    </row>
    <row r="430" spans="1:4" s="1" customFormat="1" x14ac:dyDescent="0.45">
      <c r="A430" s="6" t="s">
        <v>1455</v>
      </c>
      <c r="B430" s="6">
        <f>LPRP!H235</f>
        <v>0</v>
      </c>
      <c r="C430" s="8" t="s">
        <v>933</v>
      </c>
      <c r="D430" s="7"/>
    </row>
    <row r="431" spans="1:4" s="1" customFormat="1" x14ac:dyDescent="0.45">
      <c r="A431" s="6" t="s">
        <v>1456</v>
      </c>
      <c r="B431" s="6">
        <f>LPRP!I235</f>
        <v>0</v>
      </c>
      <c r="C431" s="8" t="s">
        <v>933</v>
      </c>
      <c r="D431" s="7"/>
    </row>
    <row r="432" spans="1:4" s="1" customFormat="1" x14ac:dyDescent="0.45">
      <c r="A432" s="6" t="s">
        <v>1457</v>
      </c>
      <c r="B432" s="6">
        <f>LPRP!J235</f>
        <v>0</v>
      </c>
      <c r="C432" s="8" t="s">
        <v>933</v>
      </c>
      <c r="D432" s="7"/>
    </row>
    <row r="433" spans="1:4" s="1" customFormat="1" x14ac:dyDescent="0.45">
      <c r="A433" s="6" t="s">
        <v>1458</v>
      </c>
      <c r="B433" s="6">
        <f>LPRP!K235</f>
        <v>0</v>
      </c>
      <c r="C433" s="8" t="s">
        <v>933</v>
      </c>
      <c r="D433" s="7"/>
    </row>
    <row r="434" spans="1:4" s="1" customFormat="1" x14ac:dyDescent="0.45">
      <c r="A434" s="6" t="s">
        <v>1459</v>
      </c>
      <c r="B434" s="6">
        <f>LPRP!L235</f>
        <v>0</v>
      </c>
      <c r="C434" s="8" t="s">
        <v>933</v>
      </c>
      <c r="D434" s="7"/>
    </row>
    <row r="435" spans="1:4" s="1" customFormat="1" x14ac:dyDescent="0.45">
      <c r="A435" s="6" t="s">
        <v>1460</v>
      </c>
      <c r="B435" s="6">
        <f>LPRP!E236</f>
        <v>0</v>
      </c>
      <c r="C435" s="8" t="s">
        <v>933</v>
      </c>
      <c r="D435" s="7"/>
    </row>
    <row r="436" spans="1:4" s="1" customFormat="1" x14ac:dyDescent="0.45">
      <c r="A436" s="6" t="s">
        <v>1461</v>
      </c>
      <c r="B436" s="6">
        <f>LPRP!F236</f>
        <v>0</v>
      </c>
      <c r="C436" s="8" t="s">
        <v>933</v>
      </c>
      <c r="D436" s="7"/>
    </row>
    <row r="437" spans="1:4" s="1" customFormat="1" x14ac:dyDescent="0.45">
      <c r="A437" s="6" t="s">
        <v>1462</v>
      </c>
      <c r="B437" s="6">
        <f>LPRP!G236</f>
        <v>0</v>
      </c>
      <c r="C437" s="8" t="s">
        <v>933</v>
      </c>
      <c r="D437" s="7"/>
    </row>
    <row r="438" spans="1:4" s="1" customFormat="1" x14ac:dyDescent="0.45">
      <c r="A438" s="6" t="s">
        <v>1463</v>
      </c>
      <c r="B438" s="6">
        <f>LPRP!H236</f>
        <v>0</v>
      </c>
      <c r="C438" s="8" t="s">
        <v>933</v>
      </c>
      <c r="D438" s="7"/>
    </row>
    <row r="439" spans="1:4" s="1" customFormat="1" x14ac:dyDescent="0.45">
      <c r="A439" s="6" t="s">
        <v>1464</v>
      </c>
      <c r="B439" s="6">
        <f>LPRP!I236</f>
        <v>0</v>
      </c>
      <c r="C439" s="8" t="s">
        <v>933</v>
      </c>
      <c r="D439" s="7"/>
    </row>
    <row r="440" spans="1:4" s="1" customFormat="1" x14ac:dyDescent="0.45">
      <c r="A440" s="6" t="s">
        <v>1465</v>
      </c>
      <c r="B440" s="6">
        <f>LPRP!J236</f>
        <v>0</v>
      </c>
      <c r="C440" s="8" t="s">
        <v>933</v>
      </c>
      <c r="D440" s="7"/>
    </row>
    <row r="441" spans="1:4" s="1" customFormat="1" x14ac:dyDescent="0.45">
      <c r="A441" s="6" t="s">
        <v>1466</v>
      </c>
      <c r="B441" s="6">
        <f>LPRP!K236</f>
        <v>0</v>
      </c>
      <c r="C441" s="8" t="s">
        <v>933</v>
      </c>
      <c r="D441" s="7"/>
    </row>
    <row r="442" spans="1:4" s="1" customFormat="1" x14ac:dyDescent="0.45">
      <c r="A442" s="6" t="s">
        <v>1467</v>
      </c>
      <c r="B442" s="6">
        <f>LPRP!L236</f>
        <v>0</v>
      </c>
      <c r="C442" s="8" t="s">
        <v>933</v>
      </c>
      <c r="D442" s="7"/>
    </row>
    <row r="443" spans="1:4" s="1" customFormat="1" x14ac:dyDescent="0.45">
      <c r="A443" s="6" t="s">
        <v>1468</v>
      </c>
      <c r="B443" s="6">
        <f>LPRP!E237</f>
        <v>0</v>
      </c>
      <c r="C443" s="8" t="s">
        <v>933</v>
      </c>
      <c r="D443" s="7"/>
    </row>
    <row r="444" spans="1:4" s="1" customFormat="1" x14ac:dyDescent="0.45">
      <c r="A444" s="6" t="s">
        <v>1469</v>
      </c>
      <c r="B444" s="6">
        <f>LPRP!F237</f>
        <v>0</v>
      </c>
      <c r="C444" s="8" t="s">
        <v>933</v>
      </c>
      <c r="D444" s="7"/>
    </row>
    <row r="445" spans="1:4" s="1" customFormat="1" x14ac:dyDescent="0.45">
      <c r="A445" s="6" t="s">
        <v>1470</v>
      </c>
      <c r="B445" s="6">
        <f>LPRP!G237</f>
        <v>0</v>
      </c>
      <c r="C445" s="8" t="s">
        <v>933</v>
      </c>
      <c r="D445" s="7"/>
    </row>
    <row r="446" spans="1:4" s="1" customFormat="1" x14ac:dyDescent="0.45">
      <c r="A446" s="6" t="s">
        <v>1471</v>
      </c>
      <c r="B446" s="6">
        <f>LPRP!H237</f>
        <v>0</v>
      </c>
      <c r="C446" s="8" t="s">
        <v>933</v>
      </c>
      <c r="D446" s="7"/>
    </row>
    <row r="447" spans="1:4" s="1" customFormat="1" x14ac:dyDescent="0.45">
      <c r="A447" s="6" t="s">
        <v>1472</v>
      </c>
      <c r="B447" s="6">
        <f>LPRP!I237</f>
        <v>0</v>
      </c>
      <c r="C447" s="8" t="s">
        <v>933</v>
      </c>
      <c r="D447" s="7"/>
    </row>
    <row r="448" spans="1:4" s="1" customFormat="1" x14ac:dyDescent="0.45">
      <c r="A448" s="6" t="s">
        <v>1473</v>
      </c>
      <c r="B448" s="6">
        <f>LPRP!J237</f>
        <v>0</v>
      </c>
      <c r="C448" s="8" t="s">
        <v>933</v>
      </c>
      <c r="D448" s="7"/>
    </row>
    <row r="449" spans="1:4" s="1" customFormat="1" x14ac:dyDescent="0.45">
      <c r="A449" s="6" t="s">
        <v>1474</v>
      </c>
      <c r="B449" s="6">
        <f>LPRP!K237</f>
        <v>0</v>
      </c>
      <c r="C449" s="8" t="s">
        <v>933</v>
      </c>
      <c r="D449" s="7"/>
    </row>
    <row r="450" spans="1:4" s="1" customFormat="1" x14ac:dyDescent="0.45">
      <c r="A450" s="6" t="s">
        <v>1475</v>
      </c>
      <c r="B450" s="6">
        <f>LPRP!L237</f>
        <v>0</v>
      </c>
      <c r="C450" s="8" t="s">
        <v>933</v>
      </c>
      <c r="D450" s="7"/>
    </row>
    <row r="451" spans="1:4" s="1" customFormat="1" x14ac:dyDescent="0.45">
      <c r="A451" s="6" t="s">
        <v>911</v>
      </c>
      <c r="B451" s="6">
        <f>LPRP!E243</f>
        <v>0</v>
      </c>
      <c r="C451" s="8" t="s">
        <v>976</v>
      </c>
      <c r="D451" s="7"/>
    </row>
    <row r="452" spans="1:4" s="1" customFormat="1" x14ac:dyDescent="0.45">
      <c r="A452" s="6" t="s">
        <v>913</v>
      </c>
      <c r="B452" s="6">
        <f>LPRP!F243</f>
        <v>0</v>
      </c>
      <c r="C452" s="8" t="s">
        <v>976</v>
      </c>
      <c r="D452" s="7"/>
    </row>
    <row r="453" spans="1:4" s="1" customFormat="1" x14ac:dyDescent="0.45">
      <c r="A453" s="6" t="s">
        <v>914</v>
      </c>
      <c r="B453" s="6">
        <f>LPRP!G243</f>
        <v>0</v>
      </c>
      <c r="C453" s="8" t="s">
        <v>976</v>
      </c>
      <c r="D453" s="7"/>
    </row>
    <row r="454" spans="1:4" s="1" customFormat="1" x14ac:dyDescent="0.45">
      <c r="A454" s="6" t="s">
        <v>915</v>
      </c>
      <c r="B454" s="6">
        <f>LPRP!H243</f>
        <v>0</v>
      </c>
      <c r="C454" s="8" t="s">
        <v>976</v>
      </c>
      <c r="D454" s="7"/>
    </row>
    <row r="455" spans="1:4" s="1" customFormat="1" x14ac:dyDescent="0.45">
      <c r="A455" s="6" t="s">
        <v>1476</v>
      </c>
      <c r="B455" s="6">
        <f>LPRP!I243</f>
        <v>0</v>
      </c>
      <c r="C455" s="8" t="s">
        <v>976</v>
      </c>
      <c r="D455" s="7"/>
    </row>
    <row r="456" spans="1:4" s="1" customFormat="1" x14ac:dyDescent="0.45">
      <c r="A456" s="6" t="s">
        <v>1477</v>
      </c>
      <c r="B456" s="6">
        <f>LPRP!J243</f>
        <v>0</v>
      </c>
      <c r="C456" s="8" t="s">
        <v>976</v>
      </c>
      <c r="D456" s="7"/>
    </row>
    <row r="457" spans="1:4" s="1" customFormat="1" x14ac:dyDescent="0.45">
      <c r="A457" s="6" t="s">
        <v>1478</v>
      </c>
      <c r="B457" s="6">
        <f>LPRP!K243</f>
        <v>0</v>
      </c>
      <c r="C457" s="8" t="s">
        <v>976</v>
      </c>
      <c r="D457" s="7"/>
    </row>
    <row r="458" spans="1:4" s="1" customFormat="1" x14ac:dyDescent="0.45">
      <c r="A458" s="6" t="s">
        <v>1479</v>
      </c>
      <c r="B458" s="6">
        <f>LPRP!L243</f>
        <v>0</v>
      </c>
      <c r="C458" s="8" t="s">
        <v>976</v>
      </c>
      <c r="D458" s="7"/>
    </row>
    <row r="459" spans="1:4" s="1" customFormat="1" x14ac:dyDescent="0.45">
      <c r="A459" s="6" t="s">
        <v>916</v>
      </c>
      <c r="B459" s="6">
        <f>LPRP!E244</f>
        <v>0</v>
      </c>
      <c r="C459" s="8" t="s">
        <v>976</v>
      </c>
      <c r="D459" s="7"/>
    </row>
    <row r="460" spans="1:4" s="1" customFormat="1" x14ac:dyDescent="0.45">
      <c r="A460" s="6" t="s">
        <v>917</v>
      </c>
      <c r="B460" s="6">
        <f>LPRP!F244</f>
        <v>0</v>
      </c>
      <c r="C460" s="8" t="s">
        <v>976</v>
      </c>
      <c r="D460" s="7"/>
    </row>
    <row r="461" spans="1:4" s="1" customFormat="1" x14ac:dyDescent="0.45">
      <c r="A461" s="6" t="s">
        <v>918</v>
      </c>
      <c r="B461" s="6">
        <f>LPRP!G244</f>
        <v>0</v>
      </c>
      <c r="C461" s="8" t="s">
        <v>976</v>
      </c>
      <c r="D461" s="7"/>
    </row>
    <row r="462" spans="1:4" s="1" customFormat="1" x14ac:dyDescent="0.45">
      <c r="A462" s="6" t="s">
        <v>919</v>
      </c>
      <c r="B462" s="6">
        <f>LPRP!H244</f>
        <v>0</v>
      </c>
      <c r="C462" s="8" t="s">
        <v>976</v>
      </c>
      <c r="D462" s="7"/>
    </row>
    <row r="463" spans="1:4" s="1" customFormat="1" x14ac:dyDescent="0.45">
      <c r="A463" s="6" t="s">
        <v>1480</v>
      </c>
      <c r="B463" s="6">
        <f>LPRP!I244</f>
        <v>0</v>
      </c>
      <c r="C463" s="8" t="s">
        <v>976</v>
      </c>
      <c r="D463" s="7"/>
    </row>
    <row r="464" spans="1:4" s="1" customFormat="1" x14ac:dyDescent="0.45">
      <c r="A464" s="6" t="s">
        <v>1481</v>
      </c>
      <c r="B464" s="6">
        <f>LPRP!J244</f>
        <v>0</v>
      </c>
      <c r="C464" s="8" t="s">
        <v>976</v>
      </c>
      <c r="D464" s="7"/>
    </row>
    <row r="465" spans="1:4" s="1" customFormat="1" x14ac:dyDescent="0.45">
      <c r="A465" s="6" t="s">
        <v>1482</v>
      </c>
      <c r="B465" s="6">
        <f>LPRP!K244</f>
        <v>0</v>
      </c>
      <c r="C465" s="8" t="s">
        <v>976</v>
      </c>
      <c r="D465" s="7"/>
    </row>
    <row r="466" spans="1:4" s="1" customFormat="1" x14ac:dyDescent="0.45">
      <c r="A466" s="6" t="s">
        <v>1483</v>
      </c>
      <c r="B466" s="6">
        <f>LPRP!L244</f>
        <v>0</v>
      </c>
      <c r="C466" s="8" t="s">
        <v>976</v>
      </c>
      <c r="D466" s="7"/>
    </row>
    <row r="467" spans="1:4" s="1" customFormat="1" x14ac:dyDescent="0.45">
      <c r="A467" s="6" t="s">
        <v>920</v>
      </c>
      <c r="B467" s="6">
        <f>LPRP!E245</f>
        <v>0</v>
      </c>
      <c r="C467" s="8" t="s">
        <v>976</v>
      </c>
      <c r="D467" s="7"/>
    </row>
    <row r="468" spans="1:4" s="1" customFormat="1" x14ac:dyDescent="0.45">
      <c r="A468" s="6" t="s">
        <v>921</v>
      </c>
      <c r="B468" s="6">
        <f>LPRP!F245</f>
        <v>0</v>
      </c>
      <c r="C468" s="8" t="s">
        <v>976</v>
      </c>
      <c r="D468" s="7"/>
    </row>
    <row r="469" spans="1:4" s="1" customFormat="1" x14ac:dyDescent="0.45">
      <c r="A469" s="6" t="s">
        <v>922</v>
      </c>
      <c r="B469" s="6">
        <f>LPRP!G245</f>
        <v>0</v>
      </c>
      <c r="C469" s="8" t="s">
        <v>976</v>
      </c>
      <c r="D469" s="7"/>
    </row>
    <row r="470" spans="1:4" s="1" customFormat="1" x14ac:dyDescent="0.45">
      <c r="A470" s="6" t="s">
        <v>923</v>
      </c>
      <c r="B470" s="6">
        <f>LPRP!H245</f>
        <v>0</v>
      </c>
      <c r="C470" s="8" t="s">
        <v>976</v>
      </c>
      <c r="D470" s="7"/>
    </row>
    <row r="471" spans="1:4" s="1" customFormat="1" x14ac:dyDescent="0.45">
      <c r="A471" s="6" t="s">
        <v>1484</v>
      </c>
      <c r="B471" s="6">
        <f>LPRP!I245</f>
        <v>0</v>
      </c>
      <c r="C471" s="8" t="s">
        <v>976</v>
      </c>
      <c r="D471" s="7"/>
    </row>
    <row r="472" spans="1:4" s="1" customFormat="1" x14ac:dyDescent="0.45">
      <c r="A472" s="6" t="s">
        <v>1485</v>
      </c>
      <c r="B472" s="6">
        <f>LPRP!J245</f>
        <v>0</v>
      </c>
      <c r="C472" s="8" t="s">
        <v>976</v>
      </c>
      <c r="D472" s="7"/>
    </row>
    <row r="473" spans="1:4" s="1" customFormat="1" x14ac:dyDescent="0.45">
      <c r="A473" s="6" t="s">
        <v>1486</v>
      </c>
      <c r="B473" s="6">
        <f>LPRP!K245</f>
        <v>0</v>
      </c>
      <c r="C473" s="8" t="s">
        <v>976</v>
      </c>
      <c r="D473" s="7"/>
    </row>
    <row r="474" spans="1:4" s="1" customFormat="1" x14ac:dyDescent="0.45">
      <c r="A474" s="6" t="s">
        <v>1487</v>
      </c>
      <c r="B474" s="6">
        <f>LPRP!L245</f>
        <v>0</v>
      </c>
      <c r="C474" s="8" t="s">
        <v>976</v>
      </c>
      <c r="D474" s="7"/>
    </row>
    <row r="475" spans="1:4" s="1" customFormat="1" x14ac:dyDescent="0.45">
      <c r="A475" s="6" t="s">
        <v>924</v>
      </c>
      <c r="B475" s="6">
        <f>LPRP!E246</f>
        <v>0</v>
      </c>
      <c r="C475" s="8" t="s">
        <v>976</v>
      </c>
      <c r="D475" s="7"/>
    </row>
    <row r="476" spans="1:4" s="1" customFormat="1" x14ac:dyDescent="0.45">
      <c r="A476" s="6" t="s">
        <v>925</v>
      </c>
      <c r="B476" s="6">
        <f>LPRP!F246</f>
        <v>0</v>
      </c>
      <c r="C476" s="8" t="s">
        <v>976</v>
      </c>
      <c r="D476" s="7"/>
    </row>
    <row r="477" spans="1:4" s="1" customFormat="1" x14ac:dyDescent="0.45">
      <c r="A477" s="6" t="s">
        <v>926</v>
      </c>
      <c r="B477" s="6">
        <f>LPRP!G246</f>
        <v>0</v>
      </c>
      <c r="C477" s="8" t="s">
        <v>976</v>
      </c>
      <c r="D477" s="7"/>
    </row>
    <row r="478" spans="1:4" s="1" customFormat="1" x14ac:dyDescent="0.45">
      <c r="A478" s="6" t="s">
        <v>927</v>
      </c>
      <c r="B478" s="6">
        <f>LPRP!H246</f>
        <v>0</v>
      </c>
      <c r="C478" s="8" t="s">
        <v>976</v>
      </c>
      <c r="D478" s="7"/>
    </row>
    <row r="479" spans="1:4" s="1" customFormat="1" x14ac:dyDescent="0.45">
      <c r="A479" s="6" t="s">
        <v>1488</v>
      </c>
      <c r="B479" s="6">
        <f>LPRP!I246</f>
        <v>0</v>
      </c>
      <c r="C479" s="8" t="s">
        <v>976</v>
      </c>
      <c r="D479" s="7"/>
    </row>
    <row r="480" spans="1:4" s="1" customFormat="1" x14ac:dyDescent="0.45">
      <c r="A480" s="6" t="s">
        <v>1489</v>
      </c>
      <c r="B480" s="6">
        <f>LPRP!J246</f>
        <v>0</v>
      </c>
      <c r="C480" s="8" t="s">
        <v>976</v>
      </c>
      <c r="D480" s="7"/>
    </row>
    <row r="481" spans="1:4" s="1" customFormat="1" x14ac:dyDescent="0.45">
      <c r="A481" s="6" t="s">
        <v>1490</v>
      </c>
      <c r="B481" s="6">
        <f>LPRP!K246</f>
        <v>0</v>
      </c>
      <c r="C481" s="8" t="s">
        <v>976</v>
      </c>
      <c r="D481" s="7"/>
    </row>
    <row r="482" spans="1:4" s="1" customFormat="1" x14ac:dyDescent="0.45">
      <c r="A482" s="6" t="s">
        <v>1491</v>
      </c>
      <c r="B482" s="6">
        <f>LPRP!L246</f>
        <v>0</v>
      </c>
      <c r="C482" s="8" t="s">
        <v>976</v>
      </c>
      <c r="D482" s="7"/>
    </row>
    <row r="483" spans="1:4" s="1" customFormat="1" x14ac:dyDescent="0.45">
      <c r="A483" s="6" t="s">
        <v>928</v>
      </c>
      <c r="B483" s="6">
        <f>LPRP!E247</f>
        <v>0</v>
      </c>
      <c r="C483" s="8" t="s">
        <v>976</v>
      </c>
      <c r="D483" s="7"/>
    </row>
    <row r="484" spans="1:4" s="1" customFormat="1" x14ac:dyDescent="0.45">
      <c r="A484" s="6" t="s">
        <v>929</v>
      </c>
      <c r="B484" s="6">
        <f>LPRP!F247</f>
        <v>0</v>
      </c>
      <c r="C484" s="8" t="s">
        <v>976</v>
      </c>
      <c r="D484" s="7"/>
    </row>
    <row r="485" spans="1:4" s="1" customFormat="1" x14ac:dyDescent="0.45">
      <c r="A485" s="6" t="s">
        <v>930</v>
      </c>
      <c r="B485" s="6">
        <f>LPRP!G247</f>
        <v>0</v>
      </c>
      <c r="C485" s="8" t="s">
        <v>976</v>
      </c>
      <c r="D485" s="7"/>
    </row>
    <row r="486" spans="1:4" s="1" customFormat="1" x14ac:dyDescent="0.45">
      <c r="A486" s="6" t="s">
        <v>931</v>
      </c>
      <c r="B486" s="6">
        <f>LPRP!H247</f>
        <v>0</v>
      </c>
      <c r="C486" s="8" t="s">
        <v>976</v>
      </c>
      <c r="D486" s="7"/>
    </row>
    <row r="487" spans="1:4" s="1" customFormat="1" x14ac:dyDescent="0.45">
      <c r="A487" s="6" t="s">
        <v>1492</v>
      </c>
      <c r="B487" s="6">
        <f>LPRP!I247</f>
        <v>0</v>
      </c>
      <c r="C487" s="8" t="s">
        <v>976</v>
      </c>
      <c r="D487" s="7"/>
    </row>
    <row r="488" spans="1:4" s="1" customFormat="1" x14ac:dyDescent="0.45">
      <c r="A488" s="6" t="s">
        <v>1493</v>
      </c>
      <c r="B488" s="6">
        <f>LPRP!J247</f>
        <v>0</v>
      </c>
      <c r="C488" s="8" t="s">
        <v>976</v>
      </c>
      <c r="D488" s="7"/>
    </row>
    <row r="489" spans="1:4" s="1" customFormat="1" x14ac:dyDescent="0.45">
      <c r="A489" s="6" t="s">
        <v>1494</v>
      </c>
      <c r="B489" s="6">
        <f>LPRP!K247</f>
        <v>0</v>
      </c>
      <c r="C489" s="8" t="s">
        <v>976</v>
      </c>
      <c r="D489" s="7"/>
    </row>
    <row r="490" spans="1:4" s="1" customFormat="1" x14ac:dyDescent="0.45">
      <c r="A490" s="6" t="s">
        <v>1495</v>
      </c>
      <c r="B490" s="6">
        <f>LPRP!L247</f>
        <v>0</v>
      </c>
      <c r="C490" s="8" t="s">
        <v>976</v>
      </c>
      <c r="D490" s="7"/>
    </row>
    <row r="491" spans="1:4" s="1" customFormat="1" x14ac:dyDescent="0.45">
      <c r="A491" s="6" t="s">
        <v>1496</v>
      </c>
      <c r="B491" s="6">
        <f>LPRP!E248</f>
        <v>0</v>
      </c>
      <c r="C491" s="8" t="s">
        <v>976</v>
      </c>
      <c r="D491" s="7"/>
    </row>
    <row r="492" spans="1:4" s="1" customFormat="1" x14ac:dyDescent="0.45">
      <c r="A492" s="6" t="s">
        <v>1497</v>
      </c>
      <c r="B492" s="6">
        <f>LPRP!F248</f>
        <v>0</v>
      </c>
      <c r="C492" s="8" t="s">
        <v>976</v>
      </c>
      <c r="D492" s="7"/>
    </row>
    <row r="493" spans="1:4" s="1" customFormat="1" x14ac:dyDescent="0.45">
      <c r="A493" s="6" t="s">
        <v>1498</v>
      </c>
      <c r="B493" s="6">
        <f>LPRP!G248</f>
        <v>0</v>
      </c>
      <c r="C493" s="8" t="s">
        <v>976</v>
      </c>
      <c r="D493" s="7"/>
    </row>
    <row r="494" spans="1:4" s="1" customFormat="1" x14ac:dyDescent="0.45">
      <c r="A494" s="6" t="s">
        <v>1499</v>
      </c>
      <c r="B494" s="6">
        <f>LPRP!H248</f>
        <v>0</v>
      </c>
      <c r="C494" s="8" t="s">
        <v>976</v>
      </c>
      <c r="D494" s="7"/>
    </row>
    <row r="495" spans="1:4" s="1" customFormat="1" x14ac:dyDescent="0.45">
      <c r="A495" s="6" t="s">
        <v>1500</v>
      </c>
      <c r="B495" s="6">
        <f>LPRP!I248</f>
        <v>0</v>
      </c>
      <c r="C495" s="8" t="s">
        <v>976</v>
      </c>
      <c r="D495" s="7"/>
    </row>
    <row r="496" spans="1:4" s="1" customFormat="1" x14ac:dyDescent="0.45">
      <c r="A496" s="6" t="s">
        <v>1501</v>
      </c>
      <c r="B496" s="6">
        <f>LPRP!J248</f>
        <v>0</v>
      </c>
      <c r="C496" s="8" t="s">
        <v>976</v>
      </c>
      <c r="D496" s="7"/>
    </row>
    <row r="497" spans="1:4" s="1" customFormat="1" x14ac:dyDescent="0.45">
      <c r="A497" s="6" t="s">
        <v>1502</v>
      </c>
      <c r="B497" s="6">
        <f>LPRP!K248</f>
        <v>0</v>
      </c>
      <c r="C497" s="8" t="s">
        <v>976</v>
      </c>
      <c r="D497" s="7"/>
    </row>
    <row r="498" spans="1:4" s="1" customFormat="1" x14ac:dyDescent="0.45">
      <c r="A498" s="6" t="s">
        <v>1503</v>
      </c>
      <c r="B498" s="6">
        <f>LPRP!L248</f>
        <v>0</v>
      </c>
      <c r="C498" s="8" t="s">
        <v>976</v>
      </c>
      <c r="D498" s="7"/>
    </row>
    <row r="499" spans="1:4" s="1" customFormat="1" x14ac:dyDescent="0.45">
      <c r="A499" s="6" t="s">
        <v>1504</v>
      </c>
      <c r="B499" s="6">
        <f>LPRP!E249</f>
        <v>0</v>
      </c>
      <c r="C499" s="8" t="s">
        <v>976</v>
      </c>
      <c r="D499" s="7"/>
    </row>
    <row r="500" spans="1:4" s="1" customFormat="1" x14ac:dyDescent="0.45">
      <c r="A500" s="6" t="s">
        <v>1505</v>
      </c>
      <c r="B500" s="6">
        <f>LPRP!F249</f>
        <v>0</v>
      </c>
      <c r="C500" s="8" t="s">
        <v>976</v>
      </c>
      <c r="D500" s="7"/>
    </row>
    <row r="501" spans="1:4" s="1" customFormat="1" x14ac:dyDescent="0.45">
      <c r="A501" s="6" t="s">
        <v>1506</v>
      </c>
      <c r="B501" s="6">
        <f>LPRP!G249</f>
        <v>0</v>
      </c>
      <c r="C501" s="8" t="s">
        <v>976</v>
      </c>
      <c r="D501" s="7"/>
    </row>
    <row r="502" spans="1:4" s="1" customFormat="1" x14ac:dyDescent="0.45">
      <c r="A502" s="6" t="s">
        <v>1507</v>
      </c>
      <c r="B502" s="6">
        <f>LPRP!H249</f>
        <v>0</v>
      </c>
      <c r="C502" s="8" t="s">
        <v>976</v>
      </c>
      <c r="D502" s="7"/>
    </row>
    <row r="503" spans="1:4" s="1" customFormat="1" x14ac:dyDescent="0.45">
      <c r="A503" s="6" t="s">
        <v>1508</v>
      </c>
      <c r="B503" s="6">
        <f>LPRP!I249</f>
        <v>0</v>
      </c>
      <c r="C503" s="8" t="s">
        <v>976</v>
      </c>
      <c r="D503" s="7"/>
    </row>
    <row r="504" spans="1:4" s="1" customFormat="1" x14ac:dyDescent="0.45">
      <c r="A504" s="6" t="s">
        <v>1509</v>
      </c>
      <c r="B504" s="6">
        <f>LPRP!J249</f>
        <v>0</v>
      </c>
      <c r="C504" s="8" t="s">
        <v>976</v>
      </c>
      <c r="D504" s="7"/>
    </row>
    <row r="505" spans="1:4" s="1" customFormat="1" x14ac:dyDescent="0.45">
      <c r="A505" s="6" t="s">
        <v>1510</v>
      </c>
      <c r="B505" s="6">
        <f>LPRP!K249</f>
        <v>0</v>
      </c>
      <c r="C505" s="8" t="s">
        <v>976</v>
      </c>
      <c r="D505" s="7"/>
    </row>
    <row r="506" spans="1:4" s="1" customFormat="1" x14ac:dyDescent="0.45">
      <c r="A506" s="6" t="s">
        <v>1511</v>
      </c>
      <c r="B506" s="6">
        <f>LPRP!L249</f>
        <v>0</v>
      </c>
      <c r="C506" s="8" t="s">
        <v>976</v>
      </c>
      <c r="D506" s="7"/>
    </row>
    <row r="507" spans="1:4" s="1" customFormat="1" x14ac:dyDescent="0.45">
      <c r="A507" s="6" t="s">
        <v>932</v>
      </c>
      <c r="B507" s="6">
        <f>LPRP!C257</f>
        <v>0</v>
      </c>
      <c r="C507" s="8" t="s">
        <v>1019</v>
      </c>
      <c r="D507" s="7"/>
    </row>
    <row r="508" spans="1:4" s="1" customFormat="1" x14ac:dyDescent="0.45">
      <c r="A508" s="6" t="s">
        <v>934</v>
      </c>
      <c r="B508" s="6">
        <f>LPRP!D257</f>
        <v>0</v>
      </c>
      <c r="C508" s="8" t="s">
        <v>1019</v>
      </c>
      <c r="D508" s="7"/>
    </row>
    <row r="509" spans="1:4" s="1" customFormat="1" x14ac:dyDescent="0.45">
      <c r="A509" s="6" t="s">
        <v>935</v>
      </c>
      <c r="B509" s="6" t="e">
        <f>LPRP!#REF!</f>
        <v>#REF!</v>
      </c>
      <c r="C509" s="8" t="s">
        <v>1019</v>
      </c>
      <c r="D509" s="7"/>
    </row>
    <row r="510" spans="1:4" s="1" customFormat="1" x14ac:dyDescent="0.45">
      <c r="A510" s="6" t="s">
        <v>936</v>
      </c>
      <c r="B510" s="6" t="e">
        <f>LPRP!#REF!</f>
        <v>#REF!</v>
      </c>
      <c r="C510" s="8" t="s">
        <v>1019</v>
      </c>
      <c r="D510" s="7"/>
    </row>
    <row r="511" spans="1:4" s="1" customFormat="1" x14ac:dyDescent="0.45">
      <c r="A511" s="6" t="s">
        <v>937</v>
      </c>
      <c r="B511" s="6">
        <f>LPRP!E257</f>
        <v>0</v>
      </c>
      <c r="C511" s="8" t="s">
        <v>1019</v>
      </c>
      <c r="D511" s="7"/>
    </row>
    <row r="512" spans="1:4" s="1" customFormat="1" x14ac:dyDescent="0.45">
      <c r="A512" s="6" t="s">
        <v>938</v>
      </c>
      <c r="B512" s="6">
        <f>LPRP!F257</f>
        <v>0</v>
      </c>
      <c r="C512" s="8" t="s">
        <v>1019</v>
      </c>
      <c r="D512" s="7"/>
    </row>
    <row r="513" spans="1:4" s="1" customFormat="1" x14ac:dyDescent="0.45">
      <c r="A513" s="6" t="s">
        <v>939</v>
      </c>
      <c r="B513" s="6" t="e">
        <f>LPRP!#REF!</f>
        <v>#REF!</v>
      </c>
      <c r="C513" s="8" t="s">
        <v>1019</v>
      </c>
      <c r="D513" s="7"/>
    </row>
    <row r="514" spans="1:4" s="1" customFormat="1" x14ac:dyDescent="0.45">
      <c r="A514" s="6" t="s">
        <v>1512</v>
      </c>
      <c r="B514" s="6" t="e">
        <f>LPRP!#REF!</f>
        <v>#REF!</v>
      </c>
      <c r="C514" s="8" t="s">
        <v>1019</v>
      </c>
      <c r="D514" s="7"/>
    </row>
    <row r="515" spans="1:4" s="1" customFormat="1" x14ac:dyDescent="0.45">
      <c r="A515" s="6" t="s">
        <v>1513</v>
      </c>
      <c r="B515" s="6">
        <f>LPRP!G257</f>
        <v>0</v>
      </c>
      <c r="C515" s="8" t="s">
        <v>1019</v>
      </c>
      <c r="D515" s="7"/>
    </row>
    <row r="516" spans="1:4" s="1" customFormat="1" x14ac:dyDescent="0.45">
      <c r="A516" s="6" t="s">
        <v>1514</v>
      </c>
      <c r="B516" s="6">
        <f>LPRP!H257</f>
        <v>0</v>
      </c>
      <c r="C516" s="8" t="s">
        <v>1019</v>
      </c>
      <c r="D516" s="7"/>
    </row>
    <row r="517" spans="1:4" s="1" customFormat="1" x14ac:dyDescent="0.45">
      <c r="A517" s="6" t="s">
        <v>940</v>
      </c>
      <c r="B517" s="6">
        <f>LPRP!C258</f>
        <v>0</v>
      </c>
      <c r="C517" s="8" t="s">
        <v>1019</v>
      </c>
      <c r="D517" s="7"/>
    </row>
    <row r="518" spans="1:4" s="1" customFormat="1" x14ac:dyDescent="0.45">
      <c r="A518" s="6" t="s">
        <v>941</v>
      </c>
      <c r="B518" s="6">
        <f>LPRP!D258</f>
        <v>0</v>
      </c>
      <c r="C518" s="8" t="s">
        <v>1019</v>
      </c>
      <c r="D518" s="7"/>
    </row>
    <row r="519" spans="1:4" s="1" customFormat="1" x14ac:dyDescent="0.45">
      <c r="A519" s="6" t="s">
        <v>942</v>
      </c>
      <c r="B519" s="6" t="e">
        <f>LPRP!#REF!</f>
        <v>#REF!</v>
      </c>
      <c r="C519" s="8" t="s">
        <v>1019</v>
      </c>
      <c r="D519" s="7"/>
    </row>
    <row r="520" spans="1:4" x14ac:dyDescent="0.45">
      <c r="A520" s="6" t="s">
        <v>943</v>
      </c>
      <c r="B520" s="6" t="e">
        <f>LPRP!#REF!</f>
        <v>#REF!</v>
      </c>
      <c r="C520" s="8" t="s">
        <v>1019</v>
      </c>
      <c r="D520" s="7"/>
    </row>
    <row r="521" spans="1:4" x14ac:dyDescent="0.45">
      <c r="A521" s="6" t="s">
        <v>944</v>
      </c>
      <c r="B521" s="6">
        <f>LPRP!E258</f>
        <v>0</v>
      </c>
      <c r="C521" s="8" t="s">
        <v>1019</v>
      </c>
      <c r="D521" s="7"/>
    </row>
    <row r="522" spans="1:4" x14ac:dyDescent="0.45">
      <c r="A522" s="6" t="s">
        <v>945</v>
      </c>
      <c r="B522" s="6">
        <f>LPRP!F258</f>
        <v>0</v>
      </c>
      <c r="C522" s="8" t="s">
        <v>1019</v>
      </c>
      <c r="D522" s="7"/>
    </row>
    <row r="523" spans="1:4" x14ac:dyDescent="0.45">
      <c r="A523" s="6" t="s">
        <v>946</v>
      </c>
      <c r="B523" s="6" t="e">
        <f>LPRP!#REF!</f>
        <v>#REF!</v>
      </c>
      <c r="C523" s="8" t="s">
        <v>1019</v>
      </c>
      <c r="D523" s="7"/>
    </row>
    <row r="524" spans="1:4" s="1" customFormat="1" x14ac:dyDescent="0.45">
      <c r="A524" s="6" t="s">
        <v>1515</v>
      </c>
      <c r="B524" s="6" t="e">
        <f>LPRP!#REF!</f>
        <v>#REF!</v>
      </c>
      <c r="C524" s="8" t="s">
        <v>1019</v>
      </c>
      <c r="D524" s="7"/>
    </row>
    <row r="525" spans="1:4" x14ac:dyDescent="0.45">
      <c r="A525" s="6" t="s">
        <v>1516</v>
      </c>
      <c r="B525" s="6">
        <f>LPRP!G258</f>
        <v>0</v>
      </c>
      <c r="C525" s="8" t="s">
        <v>1019</v>
      </c>
      <c r="D525" s="7"/>
    </row>
    <row r="526" spans="1:4" x14ac:dyDescent="0.45">
      <c r="A526" s="6" t="s">
        <v>1517</v>
      </c>
      <c r="B526" s="6">
        <f>LPRP!H258</f>
        <v>0</v>
      </c>
      <c r="C526" s="8" t="s">
        <v>1019</v>
      </c>
      <c r="D526" s="7"/>
    </row>
    <row r="527" spans="1:4" x14ac:dyDescent="0.45">
      <c r="A527" s="6" t="s">
        <v>947</v>
      </c>
      <c r="B527" s="6">
        <f>LPRP!C259</f>
        <v>0</v>
      </c>
      <c r="C527" s="8" t="s">
        <v>1019</v>
      </c>
      <c r="D527" s="7"/>
    </row>
    <row r="528" spans="1:4" x14ac:dyDescent="0.45">
      <c r="A528" s="6" t="s">
        <v>948</v>
      </c>
      <c r="B528" s="6">
        <f>LPRP!D259</f>
        <v>0</v>
      </c>
      <c r="C528" s="8" t="s">
        <v>1019</v>
      </c>
      <c r="D528" s="7"/>
    </row>
    <row r="529" spans="1:4" s="1" customFormat="1" x14ac:dyDescent="0.45">
      <c r="A529" s="6" t="s">
        <v>949</v>
      </c>
      <c r="B529" s="6" t="e">
        <f>LPRP!#REF!</f>
        <v>#REF!</v>
      </c>
      <c r="C529" s="8" t="s">
        <v>1019</v>
      </c>
      <c r="D529" s="7"/>
    </row>
    <row r="530" spans="1:4" s="1" customFormat="1" x14ac:dyDescent="0.45">
      <c r="A530" s="6" t="s">
        <v>950</v>
      </c>
      <c r="B530" s="6" t="e">
        <f>LPRP!#REF!</f>
        <v>#REF!</v>
      </c>
      <c r="C530" s="8" t="s">
        <v>1019</v>
      </c>
      <c r="D530" s="7"/>
    </row>
    <row r="531" spans="1:4" s="1" customFormat="1" x14ac:dyDescent="0.45">
      <c r="A531" s="6" t="s">
        <v>951</v>
      </c>
      <c r="B531" s="6">
        <f>LPRP!E259</f>
        <v>0</v>
      </c>
      <c r="C531" s="8" t="s">
        <v>1019</v>
      </c>
      <c r="D531" s="7"/>
    </row>
    <row r="532" spans="1:4" s="1" customFormat="1" x14ac:dyDescent="0.45">
      <c r="A532" s="6" t="s">
        <v>952</v>
      </c>
      <c r="B532" s="6">
        <f>LPRP!F259</f>
        <v>0</v>
      </c>
      <c r="C532" s="8" t="s">
        <v>1019</v>
      </c>
      <c r="D532" s="7"/>
    </row>
    <row r="533" spans="1:4" s="1" customFormat="1" x14ac:dyDescent="0.45">
      <c r="A533" s="6" t="s">
        <v>953</v>
      </c>
      <c r="B533" s="6" t="e">
        <f>LPRP!#REF!</f>
        <v>#REF!</v>
      </c>
      <c r="C533" s="8" t="s">
        <v>1019</v>
      </c>
      <c r="D533" s="7"/>
    </row>
    <row r="534" spans="1:4" s="1" customFormat="1" x14ac:dyDescent="0.45">
      <c r="A534" s="6" t="s">
        <v>1518</v>
      </c>
      <c r="B534" s="6" t="e">
        <f>LPRP!#REF!</f>
        <v>#REF!</v>
      </c>
      <c r="C534" s="8" t="s">
        <v>1019</v>
      </c>
      <c r="D534" s="7"/>
    </row>
    <row r="535" spans="1:4" s="1" customFormat="1" x14ac:dyDescent="0.45">
      <c r="A535" s="6" t="s">
        <v>1519</v>
      </c>
      <c r="B535" s="6">
        <f>LPRP!G259</f>
        <v>0</v>
      </c>
      <c r="C535" s="8" t="s">
        <v>1019</v>
      </c>
      <c r="D535" s="7"/>
    </row>
    <row r="536" spans="1:4" s="1" customFormat="1" x14ac:dyDescent="0.45">
      <c r="A536" s="6" t="s">
        <v>1520</v>
      </c>
      <c r="B536" s="6">
        <f>LPRP!H259</f>
        <v>0</v>
      </c>
      <c r="C536" s="8" t="s">
        <v>1019</v>
      </c>
      <c r="D536" s="7"/>
    </row>
    <row r="537" spans="1:4" s="1" customFormat="1" x14ac:dyDescent="0.45">
      <c r="A537" s="6" t="s">
        <v>954</v>
      </c>
      <c r="B537" s="6">
        <f>LPRP!C260</f>
        <v>0</v>
      </c>
      <c r="C537" s="8" t="s">
        <v>1019</v>
      </c>
      <c r="D537" s="7"/>
    </row>
    <row r="538" spans="1:4" s="1" customFormat="1" x14ac:dyDescent="0.45">
      <c r="A538" s="6" t="s">
        <v>955</v>
      </c>
      <c r="B538" s="6">
        <f>LPRP!D260</f>
        <v>0</v>
      </c>
      <c r="C538" s="8" t="s">
        <v>1019</v>
      </c>
      <c r="D538" s="7"/>
    </row>
    <row r="539" spans="1:4" s="1" customFormat="1" x14ac:dyDescent="0.45">
      <c r="A539" s="6" t="s">
        <v>956</v>
      </c>
      <c r="B539" s="6" t="e">
        <f>LPRP!#REF!</f>
        <v>#REF!</v>
      </c>
      <c r="C539" s="8" t="s">
        <v>1019</v>
      </c>
      <c r="D539" s="7"/>
    </row>
    <row r="540" spans="1:4" x14ac:dyDescent="0.45">
      <c r="A540" s="6" t="s">
        <v>957</v>
      </c>
      <c r="B540" s="6" t="e">
        <f>LPRP!#REF!</f>
        <v>#REF!</v>
      </c>
      <c r="C540" s="8" t="s">
        <v>1019</v>
      </c>
      <c r="D540" s="7"/>
    </row>
    <row r="541" spans="1:4" x14ac:dyDescent="0.45">
      <c r="A541" s="6" t="s">
        <v>958</v>
      </c>
      <c r="B541" s="6">
        <f>LPRP!E260</f>
        <v>0</v>
      </c>
      <c r="C541" s="8" t="s">
        <v>1019</v>
      </c>
      <c r="D541" s="7"/>
    </row>
    <row r="542" spans="1:4" x14ac:dyDescent="0.45">
      <c r="A542" s="6" t="s">
        <v>959</v>
      </c>
      <c r="B542" s="6">
        <f>LPRP!F260</f>
        <v>0</v>
      </c>
      <c r="C542" s="8" t="s">
        <v>1019</v>
      </c>
      <c r="D542" s="7"/>
    </row>
    <row r="543" spans="1:4" x14ac:dyDescent="0.45">
      <c r="A543" s="6" t="s">
        <v>960</v>
      </c>
      <c r="B543" s="6" t="e">
        <f>LPRP!#REF!</f>
        <v>#REF!</v>
      </c>
      <c r="C543" s="8" t="s">
        <v>1019</v>
      </c>
      <c r="D543" s="7"/>
    </row>
    <row r="544" spans="1:4" x14ac:dyDescent="0.45">
      <c r="A544" s="6" t="s">
        <v>1521</v>
      </c>
      <c r="B544" s="6" t="e">
        <f>LPRP!#REF!</f>
        <v>#REF!</v>
      </c>
      <c r="C544" s="8" t="s">
        <v>1019</v>
      </c>
      <c r="D544" s="7"/>
    </row>
    <row r="545" spans="1:4" x14ac:dyDescent="0.45">
      <c r="A545" s="6" t="s">
        <v>1522</v>
      </c>
      <c r="B545" s="6">
        <f>LPRP!G260</f>
        <v>0</v>
      </c>
      <c r="C545" s="8" t="s">
        <v>1019</v>
      </c>
      <c r="D545" s="7"/>
    </row>
    <row r="546" spans="1:4" x14ac:dyDescent="0.45">
      <c r="A546" s="6" t="s">
        <v>1523</v>
      </c>
      <c r="B546" s="6">
        <f>LPRP!H260</f>
        <v>0</v>
      </c>
      <c r="C546" s="8" t="s">
        <v>1019</v>
      </c>
      <c r="D546" s="7"/>
    </row>
    <row r="547" spans="1:4" x14ac:dyDescent="0.45">
      <c r="A547" s="6" t="s">
        <v>961</v>
      </c>
      <c r="B547" s="6">
        <f>LPRP!C261</f>
        <v>0</v>
      </c>
      <c r="C547" s="8" t="s">
        <v>1019</v>
      </c>
      <c r="D547" s="7"/>
    </row>
    <row r="548" spans="1:4" x14ac:dyDescent="0.45">
      <c r="A548" s="6" t="s">
        <v>962</v>
      </c>
      <c r="B548" s="6">
        <f>LPRP!D261</f>
        <v>0</v>
      </c>
      <c r="C548" s="8" t="s">
        <v>1019</v>
      </c>
      <c r="D548" s="7"/>
    </row>
    <row r="549" spans="1:4" x14ac:dyDescent="0.45">
      <c r="A549" s="6" t="s">
        <v>963</v>
      </c>
      <c r="B549" s="6" t="e">
        <f>LPRP!#REF!</f>
        <v>#REF!</v>
      </c>
      <c r="C549" s="8" t="s">
        <v>1019</v>
      </c>
      <c r="D549" s="7"/>
    </row>
    <row r="550" spans="1:4" x14ac:dyDescent="0.45">
      <c r="A550" s="6" t="s">
        <v>964</v>
      </c>
      <c r="B550" s="6" t="e">
        <f>LPRP!#REF!</f>
        <v>#REF!</v>
      </c>
      <c r="C550" s="8" t="s">
        <v>1019</v>
      </c>
      <c r="D550" s="7"/>
    </row>
    <row r="551" spans="1:4" x14ac:dyDescent="0.45">
      <c r="A551" s="6" t="s">
        <v>965</v>
      </c>
      <c r="B551" s="6">
        <f>LPRP!E261</f>
        <v>0</v>
      </c>
      <c r="C551" s="8" t="s">
        <v>1019</v>
      </c>
      <c r="D551" s="7"/>
    </row>
    <row r="552" spans="1:4" x14ac:dyDescent="0.45">
      <c r="A552" s="6" t="s">
        <v>966</v>
      </c>
      <c r="B552" s="6">
        <f>LPRP!F261</f>
        <v>0</v>
      </c>
      <c r="C552" s="8" t="s">
        <v>1019</v>
      </c>
      <c r="D552" s="7"/>
    </row>
    <row r="553" spans="1:4" x14ac:dyDescent="0.45">
      <c r="A553" s="6" t="s">
        <v>967</v>
      </c>
      <c r="B553" s="6" t="e">
        <f>LPRP!#REF!</f>
        <v>#REF!</v>
      </c>
      <c r="C553" s="8" t="s">
        <v>1019</v>
      </c>
      <c r="D553" s="7"/>
    </row>
    <row r="554" spans="1:4" x14ac:dyDescent="0.45">
      <c r="A554" s="6" t="s">
        <v>1524</v>
      </c>
      <c r="B554" s="6" t="e">
        <f>LPRP!#REF!</f>
        <v>#REF!</v>
      </c>
      <c r="C554" s="8" t="s">
        <v>1019</v>
      </c>
      <c r="D554" s="7"/>
    </row>
    <row r="555" spans="1:4" x14ac:dyDescent="0.45">
      <c r="A555" s="6" t="s">
        <v>1525</v>
      </c>
      <c r="B555" s="6">
        <f>LPRP!G261</f>
        <v>0</v>
      </c>
      <c r="C555" s="8" t="s">
        <v>1019</v>
      </c>
      <c r="D555" s="7"/>
    </row>
    <row r="556" spans="1:4" x14ac:dyDescent="0.45">
      <c r="A556" s="6" t="s">
        <v>1526</v>
      </c>
      <c r="B556" s="6">
        <f>LPRP!H261</f>
        <v>0</v>
      </c>
      <c r="C556" s="8" t="s">
        <v>1019</v>
      </c>
      <c r="D556" s="7"/>
    </row>
    <row r="557" spans="1:4" x14ac:dyDescent="0.45">
      <c r="A557" s="6" t="s">
        <v>968</v>
      </c>
      <c r="B557" s="6">
        <f>LPRP!C262</f>
        <v>0</v>
      </c>
      <c r="C557" s="8" t="s">
        <v>1019</v>
      </c>
      <c r="D557" s="7"/>
    </row>
    <row r="558" spans="1:4" x14ac:dyDescent="0.45">
      <c r="A558" s="6" t="s">
        <v>969</v>
      </c>
      <c r="B558" s="6">
        <f>LPRP!D262</f>
        <v>0</v>
      </c>
      <c r="C558" s="8" t="s">
        <v>1019</v>
      </c>
      <c r="D558" s="7"/>
    </row>
    <row r="559" spans="1:4" x14ac:dyDescent="0.45">
      <c r="A559" s="6" t="s">
        <v>970</v>
      </c>
      <c r="B559" s="6" t="e">
        <f>LPRP!#REF!</f>
        <v>#REF!</v>
      </c>
      <c r="C559" s="8" t="s">
        <v>1019</v>
      </c>
      <c r="D559" s="7"/>
    </row>
    <row r="560" spans="1:4" x14ac:dyDescent="0.45">
      <c r="A560" s="6" t="s">
        <v>971</v>
      </c>
      <c r="B560" s="6" t="e">
        <f>LPRP!#REF!</f>
        <v>#REF!</v>
      </c>
      <c r="C560" s="8" t="s">
        <v>1019</v>
      </c>
      <c r="D560" s="7"/>
    </row>
    <row r="561" spans="1:4" x14ac:dyDescent="0.45">
      <c r="A561" s="6" t="s">
        <v>972</v>
      </c>
      <c r="B561" s="6">
        <f>LPRP!E262</f>
        <v>0</v>
      </c>
      <c r="C561" s="8" t="s">
        <v>1019</v>
      </c>
      <c r="D561" s="7"/>
    </row>
    <row r="562" spans="1:4" x14ac:dyDescent="0.45">
      <c r="A562" s="6" t="s">
        <v>973</v>
      </c>
      <c r="B562" s="6">
        <f>LPRP!F262</f>
        <v>0</v>
      </c>
      <c r="C562" s="8" t="s">
        <v>1019</v>
      </c>
      <c r="D562" s="7"/>
    </row>
    <row r="563" spans="1:4" x14ac:dyDescent="0.45">
      <c r="A563" s="6" t="s">
        <v>974</v>
      </c>
      <c r="B563" s="6" t="e">
        <f>LPRP!#REF!</f>
        <v>#REF!</v>
      </c>
      <c r="C563" s="8" t="s">
        <v>1019</v>
      </c>
      <c r="D563" s="7"/>
    </row>
    <row r="564" spans="1:4" x14ac:dyDescent="0.45">
      <c r="A564" s="6" t="s">
        <v>1527</v>
      </c>
      <c r="B564" s="6" t="e">
        <f>LPRP!#REF!</f>
        <v>#REF!</v>
      </c>
      <c r="C564" s="8" t="s">
        <v>1019</v>
      </c>
      <c r="D564" s="7"/>
    </row>
    <row r="565" spans="1:4" x14ac:dyDescent="0.45">
      <c r="A565" s="6" t="s">
        <v>1528</v>
      </c>
      <c r="B565" s="6">
        <f>LPRP!G262</f>
        <v>0</v>
      </c>
      <c r="C565" s="8" t="s">
        <v>1019</v>
      </c>
      <c r="D565" s="7"/>
    </row>
    <row r="566" spans="1:4" x14ac:dyDescent="0.45">
      <c r="A566" s="6" t="s">
        <v>1529</v>
      </c>
      <c r="B566" s="6">
        <f>LPRP!H262</f>
        <v>0</v>
      </c>
      <c r="C566" s="8" t="s">
        <v>1019</v>
      </c>
      <c r="D566" s="7"/>
    </row>
    <row r="567" spans="1:4" x14ac:dyDescent="0.45">
      <c r="A567" s="6" t="s">
        <v>1530</v>
      </c>
      <c r="B567" s="6">
        <f>LPRP!C263</f>
        <v>0</v>
      </c>
      <c r="C567" s="8" t="s">
        <v>1019</v>
      </c>
      <c r="D567" s="7"/>
    </row>
    <row r="568" spans="1:4" x14ac:dyDescent="0.45">
      <c r="A568" s="6" t="s">
        <v>1531</v>
      </c>
      <c r="B568" s="6">
        <f>LPRP!D263</f>
        <v>0</v>
      </c>
      <c r="C568" s="8" t="s">
        <v>1019</v>
      </c>
      <c r="D568" s="7"/>
    </row>
    <row r="569" spans="1:4" x14ac:dyDescent="0.45">
      <c r="A569" s="6" t="s">
        <v>1532</v>
      </c>
      <c r="B569" s="6" t="e">
        <f>LPRP!#REF!</f>
        <v>#REF!</v>
      </c>
      <c r="C569" s="8" t="s">
        <v>1019</v>
      </c>
      <c r="D569" s="7"/>
    </row>
    <row r="570" spans="1:4" x14ac:dyDescent="0.45">
      <c r="A570" s="6" t="s">
        <v>1533</v>
      </c>
      <c r="B570" s="6" t="e">
        <f>LPRP!#REF!</f>
        <v>#REF!</v>
      </c>
      <c r="C570" s="8" t="s">
        <v>1019</v>
      </c>
      <c r="D570" s="7"/>
    </row>
    <row r="571" spans="1:4" x14ac:dyDescent="0.45">
      <c r="A571" s="6" t="s">
        <v>1534</v>
      </c>
      <c r="B571" s="6">
        <f>LPRP!E263</f>
        <v>0</v>
      </c>
      <c r="C571" s="8" t="s">
        <v>1019</v>
      </c>
      <c r="D571" s="7"/>
    </row>
    <row r="572" spans="1:4" x14ac:dyDescent="0.45">
      <c r="A572" s="6" t="s">
        <v>1535</v>
      </c>
      <c r="B572" s="6">
        <f>LPRP!F263</f>
        <v>0</v>
      </c>
      <c r="C572" s="8" t="s">
        <v>1019</v>
      </c>
      <c r="D572" s="7"/>
    </row>
    <row r="573" spans="1:4" x14ac:dyDescent="0.45">
      <c r="A573" s="6" t="s">
        <v>1536</v>
      </c>
      <c r="B573" s="6" t="e">
        <f>LPRP!#REF!</f>
        <v>#REF!</v>
      </c>
      <c r="C573" s="8" t="s">
        <v>1019</v>
      </c>
      <c r="D573" s="7"/>
    </row>
    <row r="574" spans="1:4" x14ac:dyDescent="0.45">
      <c r="A574" s="6" t="s">
        <v>1537</v>
      </c>
      <c r="B574" s="6" t="e">
        <f>LPRP!#REF!</f>
        <v>#REF!</v>
      </c>
      <c r="C574" s="8" t="s">
        <v>1019</v>
      </c>
      <c r="D574" s="7"/>
    </row>
    <row r="575" spans="1:4" x14ac:dyDescent="0.45">
      <c r="A575" s="6" t="s">
        <v>1538</v>
      </c>
      <c r="B575" s="6">
        <f>LPRP!G263</f>
        <v>0</v>
      </c>
      <c r="C575" s="8" t="s">
        <v>1019</v>
      </c>
      <c r="D575" s="7"/>
    </row>
    <row r="576" spans="1:4" x14ac:dyDescent="0.45">
      <c r="A576" s="6" t="s">
        <v>1539</v>
      </c>
      <c r="B576" s="6">
        <f>LPRP!H263</f>
        <v>0</v>
      </c>
      <c r="C576" s="8" t="s">
        <v>1019</v>
      </c>
      <c r="D576" s="7"/>
    </row>
    <row r="577" spans="1:4" x14ac:dyDescent="0.45">
      <c r="A577" s="6" t="s">
        <v>975</v>
      </c>
      <c r="B577" s="6">
        <f>LPRP!C270</f>
        <v>0</v>
      </c>
      <c r="C577" s="8" t="s">
        <v>1090</v>
      </c>
      <c r="D577" s="7"/>
    </row>
    <row r="578" spans="1:4" x14ac:dyDescent="0.45">
      <c r="A578" s="6" t="s">
        <v>977</v>
      </c>
      <c r="B578" s="6">
        <f>LPRP!D270</f>
        <v>0</v>
      </c>
      <c r="C578" s="8" t="s">
        <v>1090</v>
      </c>
      <c r="D578" s="7"/>
    </row>
    <row r="579" spans="1:4" x14ac:dyDescent="0.45">
      <c r="A579" s="6" t="s">
        <v>978</v>
      </c>
      <c r="B579" s="6" t="e">
        <f>LPRP!#REF!</f>
        <v>#REF!</v>
      </c>
      <c r="C579" s="8" t="s">
        <v>1090</v>
      </c>
      <c r="D579" s="7"/>
    </row>
    <row r="580" spans="1:4" x14ac:dyDescent="0.45">
      <c r="A580" s="6" t="s">
        <v>979</v>
      </c>
      <c r="B580" s="6" t="e">
        <f>LPRP!#REF!</f>
        <v>#REF!</v>
      </c>
      <c r="C580" s="8" t="s">
        <v>1090</v>
      </c>
      <c r="D580" s="7"/>
    </row>
    <row r="581" spans="1:4" x14ac:dyDescent="0.45">
      <c r="A581" s="6" t="s">
        <v>980</v>
      </c>
      <c r="B581" s="6">
        <f>LPRP!E270</f>
        <v>0</v>
      </c>
      <c r="C581" s="8" t="s">
        <v>1090</v>
      </c>
      <c r="D581" s="7"/>
    </row>
    <row r="582" spans="1:4" x14ac:dyDescent="0.45">
      <c r="A582" s="6" t="s">
        <v>981</v>
      </c>
      <c r="B582" s="6">
        <f>LPRP!F270</f>
        <v>0</v>
      </c>
      <c r="C582" s="8" t="s">
        <v>1090</v>
      </c>
      <c r="D582" s="7"/>
    </row>
    <row r="583" spans="1:4" x14ac:dyDescent="0.45">
      <c r="A583" s="6" t="s">
        <v>982</v>
      </c>
      <c r="B583" s="6" t="e">
        <f>LPRP!#REF!</f>
        <v>#REF!</v>
      </c>
      <c r="C583" s="8" t="s">
        <v>1090</v>
      </c>
      <c r="D583" s="7"/>
    </row>
    <row r="584" spans="1:4" x14ac:dyDescent="0.45">
      <c r="A584" s="6" t="s">
        <v>1540</v>
      </c>
      <c r="B584" s="6" t="e">
        <f>LPRP!#REF!</f>
        <v>#REF!</v>
      </c>
      <c r="C584" s="8" t="s">
        <v>1090</v>
      </c>
      <c r="D584" s="7"/>
    </row>
    <row r="585" spans="1:4" x14ac:dyDescent="0.45">
      <c r="A585" s="6" t="s">
        <v>1541</v>
      </c>
      <c r="B585" s="6">
        <f>LPRP!G270</f>
        <v>0</v>
      </c>
      <c r="C585" s="8" t="s">
        <v>1090</v>
      </c>
      <c r="D585" s="7"/>
    </row>
    <row r="586" spans="1:4" x14ac:dyDescent="0.45">
      <c r="A586" s="6" t="s">
        <v>1542</v>
      </c>
      <c r="B586" s="6">
        <f>LPRP!H270</f>
        <v>0</v>
      </c>
      <c r="C586" s="8" t="s">
        <v>1090</v>
      </c>
      <c r="D586" s="7"/>
    </row>
    <row r="587" spans="1:4" x14ac:dyDescent="0.45">
      <c r="A587" s="6" t="s">
        <v>983</v>
      </c>
      <c r="B587" s="6">
        <f>LPRP!C271</f>
        <v>0</v>
      </c>
      <c r="C587" s="8" t="s">
        <v>1090</v>
      </c>
      <c r="D587" s="7"/>
    </row>
    <row r="588" spans="1:4" x14ac:dyDescent="0.45">
      <c r="A588" s="6" t="s">
        <v>984</v>
      </c>
      <c r="B588" s="6">
        <f>LPRP!D271</f>
        <v>0</v>
      </c>
      <c r="C588" s="8" t="s">
        <v>1090</v>
      </c>
      <c r="D588" s="7"/>
    </row>
    <row r="589" spans="1:4" x14ac:dyDescent="0.45">
      <c r="A589" s="6" t="s">
        <v>985</v>
      </c>
      <c r="B589" s="6" t="e">
        <f>LPRP!#REF!</f>
        <v>#REF!</v>
      </c>
      <c r="C589" s="8" t="s">
        <v>1090</v>
      </c>
      <c r="D589" s="7"/>
    </row>
    <row r="590" spans="1:4" x14ac:dyDescent="0.45">
      <c r="A590" s="6" t="s">
        <v>986</v>
      </c>
      <c r="B590" s="6" t="e">
        <f>LPRP!#REF!</f>
        <v>#REF!</v>
      </c>
      <c r="C590" s="8" t="s">
        <v>1090</v>
      </c>
      <c r="D590" s="7"/>
    </row>
    <row r="591" spans="1:4" x14ac:dyDescent="0.45">
      <c r="A591" s="6" t="s">
        <v>987</v>
      </c>
      <c r="B591" s="6">
        <f>LPRP!E271</f>
        <v>0</v>
      </c>
      <c r="C591" s="8" t="s">
        <v>1090</v>
      </c>
      <c r="D591" s="7"/>
    </row>
    <row r="592" spans="1:4" x14ac:dyDescent="0.45">
      <c r="A592" s="6" t="s">
        <v>988</v>
      </c>
      <c r="B592" s="6">
        <f>LPRP!F271</f>
        <v>0</v>
      </c>
      <c r="C592" s="8" t="s">
        <v>1090</v>
      </c>
      <c r="D592" s="7"/>
    </row>
    <row r="593" spans="1:4" x14ac:dyDescent="0.45">
      <c r="A593" s="6" t="s">
        <v>989</v>
      </c>
      <c r="B593" s="6" t="e">
        <f>LPRP!#REF!</f>
        <v>#REF!</v>
      </c>
      <c r="C593" s="8" t="s">
        <v>1090</v>
      </c>
      <c r="D593" s="7"/>
    </row>
    <row r="594" spans="1:4" x14ac:dyDescent="0.45">
      <c r="A594" s="6" t="s">
        <v>1543</v>
      </c>
      <c r="B594" s="6" t="e">
        <f>LPRP!#REF!</f>
        <v>#REF!</v>
      </c>
      <c r="C594" s="8" t="s">
        <v>1090</v>
      </c>
      <c r="D594" s="7"/>
    </row>
    <row r="595" spans="1:4" x14ac:dyDescent="0.45">
      <c r="A595" s="6" t="s">
        <v>1544</v>
      </c>
      <c r="B595" s="6">
        <f>LPRP!G271</f>
        <v>0</v>
      </c>
      <c r="C595" s="8" t="s">
        <v>1090</v>
      </c>
      <c r="D595" s="7"/>
    </row>
    <row r="596" spans="1:4" x14ac:dyDescent="0.45">
      <c r="A596" s="6" t="s">
        <v>1545</v>
      </c>
      <c r="B596" s="6">
        <f>LPRP!H271</f>
        <v>0</v>
      </c>
      <c r="C596" s="8" t="s">
        <v>1090</v>
      </c>
      <c r="D596" s="7"/>
    </row>
    <row r="597" spans="1:4" x14ac:dyDescent="0.45">
      <c r="A597" s="6" t="s">
        <v>990</v>
      </c>
      <c r="B597" s="6">
        <f>LPRP!C272</f>
        <v>0</v>
      </c>
      <c r="C597" s="8" t="s">
        <v>1090</v>
      </c>
      <c r="D597" s="7"/>
    </row>
    <row r="598" spans="1:4" x14ac:dyDescent="0.45">
      <c r="A598" s="6" t="s">
        <v>991</v>
      </c>
      <c r="B598" s="6">
        <f>LPRP!D272</f>
        <v>0</v>
      </c>
      <c r="C598" s="8" t="s">
        <v>1090</v>
      </c>
      <c r="D598" s="7"/>
    </row>
    <row r="599" spans="1:4" x14ac:dyDescent="0.45">
      <c r="A599" s="6" t="s">
        <v>992</v>
      </c>
      <c r="B599" s="6" t="e">
        <f>LPRP!#REF!</f>
        <v>#REF!</v>
      </c>
      <c r="C599" s="8" t="s">
        <v>1090</v>
      </c>
      <c r="D599" s="7"/>
    </row>
    <row r="600" spans="1:4" x14ac:dyDescent="0.45">
      <c r="A600" s="6" t="s">
        <v>993</v>
      </c>
      <c r="B600" s="6" t="e">
        <f>LPRP!#REF!</f>
        <v>#REF!</v>
      </c>
      <c r="C600" s="8" t="s">
        <v>1090</v>
      </c>
      <c r="D600" s="7"/>
    </row>
    <row r="601" spans="1:4" x14ac:dyDescent="0.45">
      <c r="A601" s="6" t="s">
        <v>994</v>
      </c>
      <c r="B601" s="6">
        <f>LPRP!E272</f>
        <v>0</v>
      </c>
      <c r="C601" s="8" t="s">
        <v>1090</v>
      </c>
      <c r="D601" s="7"/>
    </row>
    <row r="602" spans="1:4" x14ac:dyDescent="0.45">
      <c r="A602" s="6" t="s">
        <v>995</v>
      </c>
      <c r="B602" s="6">
        <f>LPRP!F272</f>
        <v>0</v>
      </c>
      <c r="C602" s="8" t="s">
        <v>1090</v>
      </c>
      <c r="D602" s="7"/>
    </row>
    <row r="603" spans="1:4" x14ac:dyDescent="0.45">
      <c r="A603" s="6" t="s">
        <v>996</v>
      </c>
      <c r="B603" s="6" t="e">
        <f>LPRP!#REF!</f>
        <v>#REF!</v>
      </c>
      <c r="C603" s="8" t="s">
        <v>1090</v>
      </c>
      <c r="D603" s="7"/>
    </row>
    <row r="604" spans="1:4" x14ac:dyDescent="0.45">
      <c r="A604" s="6" t="s">
        <v>1546</v>
      </c>
      <c r="B604" s="6" t="e">
        <f>LPRP!#REF!</f>
        <v>#REF!</v>
      </c>
      <c r="C604" s="8" t="s">
        <v>1090</v>
      </c>
      <c r="D604" s="7"/>
    </row>
    <row r="605" spans="1:4" x14ac:dyDescent="0.45">
      <c r="A605" s="6" t="s">
        <v>1547</v>
      </c>
      <c r="B605" s="6">
        <f>LPRP!G272</f>
        <v>0</v>
      </c>
      <c r="C605" s="8" t="s">
        <v>1090</v>
      </c>
      <c r="D605" s="7"/>
    </row>
    <row r="606" spans="1:4" x14ac:dyDescent="0.45">
      <c r="A606" s="6" t="s">
        <v>1548</v>
      </c>
      <c r="B606" s="6">
        <f>LPRP!H272</f>
        <v>0</v>
      </c>
      <c r="C606" s="8" t="s">
        <v>1090</v>
      </c>
      <c r="D606" s="7"/>
    </row>
    <row r="607" spans="1:4" x14ac:dyDescent="0.45">
      <c r="A607" s="6" t="s">
        <v>997</v>
      </c>
      <c r="B607" s="6">
        <f>LPRP!C273</f>
        <v>0</v>
      </c>
      <c r="C607" s="8" t="s">
        <v>1090</v>
      </c>
      <c r="D607" s="7"/>
    </row>
    <row r="608" spans="1:4" x14ac:dyDescent="0.45">
      <c r="A608" s="6" t="s">
        <v>998</v>
      </c>
      <c r="B608" s="6">
        <f>LPRP!D273</f>
        <v>0</v>
      </c>
      <c r="C608" s="8" t="s">
        <v>1090</v>
      </c>
      <c r="D608" s="7"/>
    </row>
    <row r="609" spans="1:4" x14ac:dyDescent="0.45">
      <c r="A609" s="6" t="s">
        <v>999</v>
      </c>
      <c r="B609" s="6" t="e">
        <f>LPRP!#REF!</f>
        <v>#REF!</v>
      </c>
      <c r="C609" s="8" t="s">
        <v>1090</v>
      </c>
      <c r="D609" s="7"/>
    </row>
    <row r="610" spans="1:4" x14ac:dyDescent="0.45">
      <c r="A610" s="6" t="s">
        <v>1000</v>
      </c>
      <c r="B610" s="6" t="e">
        <f>LPRP!#REF!</f>
        <v>#REF!</v>
      </c>
      <c r="C610" s="8" t="s">
        <v>1090</v>
      </c>
      <c r="D610" s="7"/>
    </row>
    <row r="611" spans="1:4" x14ac:dyDescent="0.45">
      <c r="A611" s="6" t="s">
        <v>1001</v>
      </c>
      <c r="B611" s="6">
        <f>LPRP!E273</f>
        <v>0</v>
      </c>
      <c r="C611" s="8" t="s">
        <v>1090</v>
      </c>
      <c r="D611" s="7"/>
    </row>
    <row r="612" spans="1:4" x14ac:dyDescent="0.45">
      <c r="A612" s="6" t="s">
        <v>1002</v>
      </c>
      <c r="B612" s="6">
        <f>LPRP!F273</f>
        <v>0</v>
      </c>
      <c r="C612" s="8" t="s">
        <v>1090</v>
      </c>
      <c r="D612" s="7"/>
    </row>
    <row r="613" spans="1:4" x14ac:dyDescent="0.45">
      <c r="A613" s="6" t="s">
        <v>1003</v>
      </c>
      <c r="B613" s="6" t="e">
        <f>LPRP!#REF!</f>
        <v>#REF!</v>
      </c>
      <c r="C613" s="8" t="s">
        <v>1090</v>
      </c>
      <c r="D613" s="7"/>
    </row>
    <row r="614" spans="1:4" x14ac:dyDescent="0.45">
      <c r="A614" s="6" t="s">
        <v>1549</v>
      </c>
      <c r="B614" s="6" t="e">
        <f>LPRP!#REF!</f>
        <v>#REF!</v>
      </c>
      <c r="C614" s="8" t="s">
        <v>1090</v>
      </c>
      <c r="D614" s="7"/>
    </row>
    <row r="615" spans="1:4" x14ac:dyDescent="0.45">
      <c r="A615" s="6" t="s">
        <v>1550</v>
      </c>
      <c r="B615" s="6">
        <f>LPRP!G273</f>
        <v>0</v>
      </c>
      <c r="C615" s="8" t="s">
        <v>1090</v>
      </c>
      <c r="D615" s="7"/>
    </row>
    <row r="616" spans="1:4" x14ac:dyDescent="0.45">
      <c r="A616" s="6" t="s">
        <v>1551</v>
      </c>
      <c r="B616" s="6">
        <f>LPRP!H273</f>
        <v>0</v>
      </c>
      <c r="C616" s="8" t="s">
        <v>1090</v>
      </c>
      <c r="D616" s="7"/>
    </row>
    <row r="617" spans="1:4" x14ac:dyDescent="0.45">
      <c r="A617" s="6" t="s">
        <v>1004</v>
      </c>
      <c r="B617" s="6">
        <f>LPRP!C274</f>
        <v>0</v>
      </c>
      <c r="C617" s="8" t="s">
        <v>1090</v>
      </c>
      <c r="D617" s="7"/>
    </row>
    <row r="618" spans="1:4" x14ac:dyDescent="0.45">
      <c r="A618" s="6" t="s">
        <v>1005</v>
      </c>
      <c r="B618" s="6">
        <f>LPRP!D274</f>
        <v>0</v>
      </c>
      <c r="C618" s="8" t="s">
        <v>1090</v>
      </c>
      <c r="D618" s="7"/>
    </row>
    <row r="619" spans="1:4" x14ac:dyDescent="0.45">
      <c r="A619" s="6" t="s">
        <v>1006</v>
      </c>
      <c r="B619" s="6" t="e">
        <f>LPRP!#REF!</f>
        <v>#REF!</v>
      </c>
      <c r="C619" s="8" t="s">
        <v>1090</v>
      </c>
      <c r="D619" s="7"/>
    </row>
    <row r="620" spans="1:4" x14ac:dyDescent="0.45">
      <c r="A620" s="6" t="s">
        <v>1007</v>
      </c>
      <c r="B620" s="6" t="e">
        <f>LPRP!#REF!</f>
        <v>#REF!</v>
      </c>
      <c r="C620" s="8" t="s">
        <v>1090</v>
      </c>
      <c r="D620" s="7"/>
    </row>
    <row r="621" spans="1:4" x14ac:dyDescent="0.45">
      <c r="A621" s="6" t="s">
        <v>1008</v>
      </c>
      <c r="B621" s="6">
        <f>LPRP!E274</f>
        <v>0</v>
      </c>
      <c r="C621" s="8" t="s">
        <v>1090</v>
      </c>
      <c r="D621" s="7"/>
    </row>
    <row r="622" spans="1:4" x14ac:dyDescent="0.45">
      <c r="A622" s="6" t="s">
        <v>1009</v>
      </c>
      <c r="B622" s="6">
        <f>LPRP!F274</f>
        <v>0</v>
      </c>
      <c r="C622" s="8" t="s">
        <v>1090</v>
      </c>
      <c r="D622" s="7"/>
    </row>
    <row r="623" spans="1:4" x14ac:dyDescent="0.45">
      <c r="A623" s="6" t="s">
        <v>1010</v>
      </c>
      <c r="B623" s="6" t="e">
        <f>LPRP!#REF!</f>
        <v>#REF!</v>
      </c>
      <c r="C623" s="8" t="s">
        <v>1090</v>
      </c>
      <c r="D623" s="7"/>
    </row>
    <row r="624" spans="1:4" x14ac:dyDescent="0.45">
      <c r="A624" s="6" t="s">
        <v>1552</v>
      </c>
      <c r="B624" s="6" t="e">
        <f>LPRP!#REF!</f>
        <v>#REF!</v>
      </c>
      <c r="C624" s="8" t="s">
        <v>1090</v>
      </c>
      <c r="D624" s="7"/>
    </row>
    <row r="625" spans="1:4" x14ac:dyDescent="0.45">
      <c r="A625" s="6" t="s">
        <v>1553</v>
      </c>
      <c r="B625" s="6">
        <f>LPRP!G274</f>
        <v>0</v>
      </c>
      <c r="C625" s="8" t="s">
        <v>1090</v>
      </c>
      <c r="D625" s="7"/>
    </row>
    <row r="626" spans="1:4" x14ac:dyDescent="0.45">
      <c r="A626" s="6" t="s">
        <v>1554</v>
      </c>
      <c r="B626" s="6">
        <f>LPRP!H274</f>
        <v>0</v>
      </c>
      <c r="C626" s="8" t="s">
        <v>1090</v>
      </c>
      <c r="D626" s="7"/>
    </row>
    <row r="627" spans="1:4" x14ac:dyDescent="0.45">
      <c r="A627" s="6" t="s">
        <v>1011</v>
      </c>
      <c r="B627" s="6">
        <f>LPRP!C275</f>
        <v>0</v>
      </c>
      <c r="C627" s="8" t="s">
        <v>1090</v>
      </c>
      <c r="D627" s="7"/>
    </row>
    <row r="628" spans="1:4" x14ac:dyDescent="0.45">
      <c r="A628" s="6" t="s">
        <v>1012</v>
      </c>
      <c r="B628" s="6">
        <f>LPRP!D275</f>
        <v>0</v>
      </c>
      <c r="C628" s="8" t="s">
        <v>1090</v>
      </c>
      <c r="D628" s="7"/>
    </row>
    <row r="629" spans="1:4" x14ac:dyDescent="0.45">
      <c r="A629" s="6" t="s">
        <v>1013</v>
      </c>
      <c r="B629" s="6" t="e">
        <f>LPRP!#REF!</f>
        <v>#REF!</v>
      </c>
      <c r="C629" s="8" t="s">
        <v>1090</v>
      </c>
      <c r="D629" s="7"/>
    </row>
    <row r="630" spans="1:4" x14ac:dyDescent="0.45">
      <c r="A630" s="6" t="s">
        <v>1014</v>
      </c>
      <c r="B630" s="6" t="e">
        <f>LPRP!#REF!</f>
        <v>#REF!</v>
      </c>
      <c r="C630" s="8" t="s">
        <v>1090</v>
      </c>
      <c r="D630" s="7"/>
    </row>
    <row r="631" spans="1:4" x14ac:dyDescent="0.45">
      <c r="A631" s="6" t="s">
        <v>1015</v>
      </c>
      <c r="B631" s="6">
        <f>LPRP!E275</f>
        <v>0</v>
      </c>
      <c r="C631" s="8" t="s">
        <v>1090</v>
      </c>
      <c r="D631" s="7"/>
    </row>
    <row r="632" spans="1:4" x14ac:dyDescent="0.45">
      <c r="A632" s="6" t="s">
        <v>1016</v>
      </c>
      <c r="B632" s="6">
        <f>LPRP!F275</f>
        <v>0</v>
      </c>
      <c r="C632" s="8" t="s">
        <v>1090</v>
      </c>
      <c r="D632" s="7"/>
    </row>
    <row r="633" spans="1:4" x14ac:dyDescent="0.45">
      <c r="A633" s="6" t="s">
        <v>1017</v>
      </c>
      <c r="B633" s="6" t="e">
        <f>LPRP!#REF!</f>
        <v>#REF!</v>
      </c>
      <c r="C633" s="8" t="s">
        <v>1090</v>
      </c>
      <c r="D633" s="7"/>
    </row>
    <row r="634" spans="1:4" x14ac:dyDescent="0.45">
      <c r="A634" s="6" t="s">
        <v>1555</v>
      </c>
      <c r="B634" s="6" t="e">
        <f>LPRP!#REF!</f>
        <v>#REF!</v>
      </c>
      <c r="C634" s="8" t="s">
        <v>1090</v>
      </c>
      <c r="D634" s="7"/>
    </row>
    <row r="635" spans="1:4" x14ac:dyDescent="0.45">
      <c r="A635" s="6" t="s">
        <v>1556</v>
      </c>
      <c r="B635" s="6">
        <f>LPRP!G275</f>
        <v>0</v>
      </c>
      <c r="C635" s="8" t="s">
        <v>1090</v>
      </c>
      <c r="D635" s="7"/>
    </row>
    <row r="636" spans="1:4" x14ac:dyDescent="0.45">
      <c r="A636" s="6" t="s">
        <v>1557</v>
      </c>
      <c r="B636" s="6">
        <f>LPRP!H275</f>
        <v>0</v>
      </c>
      <c r="C636" s="8" t="s">
        <v>1090</v>
      </c>
      <c r="D636" s="7"/>
    </row>
    <row r="637" spans="1:4" x14ac:dyDescent="0.45">
      <c r="A637" s="6" t="s">
        <v>1558</v>
      </c>
      <c r="B637" s="6">
        <f>LPRP!C276</f>
        <v>0</v>
      </c>
      <c r="C637" s="8" t="s">
        <v>1090</v>
      </c>
      <c r="D637" s="7"/>
    </row>
    <row r="638" spans="1:4" x14ac:dyDescent="0.45">
      <c r="A638" s="6" t="s">
        <v>1559</v>
      </c>
      <c r="B638" s="6">
        <f>LPRP!D276</f>
        <v>0</v>
      </c>
      <c r="C638" s="8" t="s">
        <v>1090</v>
      </c>
      <c r="D638" s="7"/>
    </row>
    <row r="639" spans="1:4" x14ac:dyDescent="0.45">
      <c r="A639" s="6" t="s">
        <v>1560</v>
      </c>
      <c r="B639" s="6" t="e">
        <f>LPRP!#REF!</f>
        <v>#REF!</v>
      </c>
      <c r="C639" s="8" t="s">
        <v>1090</v>
      </c>
      <c r="D639" s="7"/>
    </row>
    <row r="640" spans="1:4" x14ac:dyDescent="0.45">
      <c r="A640" s="6" t="s">
        <v>1561</v>
      </c>
      <c r="B640" s="6" t="e">
        <f>LPRP!#REF!</f>
        <v>#REF!</v>
      </c>
      <c r="C640" s="8" t="s">
        <v>1090</v>
      </c>
      <c r="D640" s="7"/>
    </row>
    <row r="641" spans="1:4" x14ac:dyDescent="0.45">
      <c r="A641" s="6" t="s">
        <v>1562</v>
      </c>
      <c r="B641" s="6">
        <f>LPRP!E276</f>
        <v>0</v>
      </c>
      <c r="C641" s="8" t="s">
        <v>1090</v>
      </c>
      <c r="D641" s="7"/>
    </row>
    <row r="642" spans="1:4" x14ac:dyDescent="0.45">
      <c r="A642" s="6" t="s">
        <v>1563</v>
      </c>
      <c r="B642" s="6">
        <f>LPRP!F276</f>
        <v>0</v>
      </c>
      <c r="C642" s="8" t="s">
        <v>1090</v>
      </c>
      <c r="D642" s="7"/>
    </row>
    <row r="643" spans="1:4" x14ac:dyDescent="0.45">
      <c r="A643" s="6" t="s">
        <v>1564</v>
      </c>
      <c r="B643" s="6" t="e">
        <f>LPRP!#REF!</f>
        <v>#REF!</v>
      </c>
      <c r="C643" s="8" t="s">
        <v>1090</v>
      </c>
      <c r="D643" s="7"/>
    </row>
    <row r="644" spans="1:4" x14ac:dyDescent="0.45">
      <c r="A644" s="6" t="s">
        <v>1565</v>
      </c>
      <c r="B644" s="6" t="e">
        <f>LPRP!#REF!</f>
        <v>#REF!</v>
      </c>
      <c r="C644" s="8" t="s">
        <v>1090</v>
      </c>
      <c r="D644" s="7"/>
    </row>
    <row r="645" spans="1:4" x14ac:dyDescent="0.45">
      <c r="A645" s="6" t="s">
        <v>1566</v>
      </c>
      <c r="B645" s="6">
        <f>LPRP!G276</f>
        <v>0</v>
      </c>
      <c r="C645" s="8" t="s">
        <v>1090</v>
      </c>
      <c r="D645" s="7"/>
    </row>
    <row r="646" spans="1:4" x14ac:dyDescent="0.45">
      <c r="A646" s="6" t="s">
        <v>1567</v>
      </c>
      <c r="B646" s="6">
        <f>LPRP!H276</f>
        <v>0</v>
      </c>
      <c r="C646" s="8" t="s">
        <v>1090</v>
      </c>
      <c r="D646" s="7"/>
    </row>
    <row r="647" spans="1:4" x14ac:dyDescent="0.45">
      <c r="A647" s="6" t="s">
        <v>1018</v>
      </c>
      <c r="B647" s="6">
        <f>LPRP!A282</f>
        <v>0</v>
      </c>
      <c r="C647" s="8">
        <v>9</v>
      </c>
      <c r="D647" s="7"/>
    </row>
    <row r="648" spans="1:4" x14ac:dyDescent="0.45">
      <c r="A648" s="6" t="s">
        <v>1020</v>
      </c>
      <c r="B648" s="6">
        <f>LPRP!C282</f>
        <v>0</v>
      </c>
      <c r="C648" s="8">
        <v>9</v>
      </c>
      <c r="D648" s="7"/>
    </row>
    <row r="649" spans="1:4" x14ac:dyDescent="0.45">
      <c r="A649" s="6" t="s">
        <v>1021</v>
      </c>
      <c r="B649" s="6">
        <f>LPRP!E282</f>
        <v>0</v>
      </c>
      <c r="C649" s="8">
        <v>9</v>
      </c>
      <c r="D649" s="7"/>
    </row>
    <row r="650" spans="1:4" x14ac:dyDescent="0.45">
      <c r="A650" s="6" t="s">
        <v>1022</v>
      </c>
      <c r="B650" s="6">
        <f>LPRP!G282</f>
        <v>0</v>
      </c>
      <c r="C650" s="8">
        <v>9</v>
      </c>
      <c r="D650" s="7"/>
    </row>
    <row r="651" spans="1:4" x14ac:dyDescent="0.45">
      <c r="A651" s="6" t="s">
        <v>1089</v>
      </c>
      <c r="B651" s="6">
        <f>LPRP!F291</f>
        <v>0</v>
      </c>
      <c r="C651" s="8" t="s">
        <v>1172</v>
      </c>
      <c r="D651" s="7"/>
    </row>
    <row r="652" spans="1:4" x14ac:dyDescent="0.45">
      <c r="A652" s="9" t="s">
        <v>1100</v>
      </c>
      <c r="B652" s="9">
        <f>LPRP!F292</f>
        <v>0</v>
      </c>
      <c r="C652" s="10" t="s">
        <v>1172</v>
      </c>
      <c r="D652" s="7"/>
    </row>
    <row r="653" spans="1:4" x14ac:dyDescent="0.45">
      <c r="A653" s="9" t="s">
        <v>1160</v>
      </c>
      <c r="B653" s="9">
        <f>LPRP!F301</f>
        <v>0</v>
      </c>
      <c r="C653" s="10" t="s">
        <v>1177</v>
      </c>
      <c r="D653" s="7"/>
    </row>
    <row r="654" spans="1:4" x14ac:dyDescent="0.45">
      <c r="A654" s="9" t="s">
        <v>1162</v>
      </c>
      <c r="B654" s="9">
        <f>LPRP!G301</f>
        <v>0</v>
      </c>
      <c r="C654" s="10" t="s">
        <v>1177</v>
      </c>
      <c r="D654" s="7"/>
    </row>
    <row r="655" spans="1:4" x14ac:dyDescent="0.45">
      <c r="A655" s="9" t="s">
        <v>1163</v>
      </c>
      <c r="B655" s="9">
        <f>LPRP!H301</f>
        <v>0</v>
      </c>
      <c r="C655" s="10" t="s">
        <v>1177</v>
      </c>
      <c r="D655" s="7"/>
    </row>
    <row r="656" spans="1:4" x14ac:dyDescent="0.45">
      <c r="A656" s="9" t="s">
        <v>1568</v>
      </c>
      <c r="B656" s="9">
        <f>LPRP!J301</f>
        <v>0</v>
      </c>
      <c r="C656" s="10" t="s">
        <v>1177</v>
      </c>
      <c r="D656" s="7"/>
    </row>
    <row r="657" spans="1:4" x14ac:dyDescent="0.45">
      <c r="A657" s="9" t="s">
        <v>1569</v>
      </c>
      <c r="B657" s="9">
        <f>LPRP!F302</f>
        <v>0</v>
      </c>
      <c r="C657" s="10" t="s">
        <v>1177</v>
      </c>
      <c r="D657" s="7"/>
    </row>
    <row r="658" spans="1:4" x14ac:dyDescent="0.45">
      <c r="A658" s="9" t="s">
        <v>1570</v>
      </c>
      <c r="B658" s="9">
        <f>LPRP!G302</f>
        <v>0</v>
      </c>
      <c r="C658" s="10" t="s">
        <v>1177</v>
      </c>
      <c r="D658" s="7"/>
    </row>
    <row r="659" spans="1:4" x14ac:dyDescent="0.45">
      <c r="A659" s="9" t="s">
        <v>1571</v>
      </c>
      <c r="B659" s="9">
        <f>LPRP!H302</f>
        <v>0</v>
      </c>
      <c r="C659" s="10" t="s">
        <v>1177</v>
      </c>
      <c r="D659" s="7"/>
    </row>
    <row r="660" spans="1:4" x14ac:dyDescent="0.45">
      <c r="A660" s="9" t="s">
        <v>1572</v>
      </c>
      <c r="B660" s="9">
        <f>LPRP!J302</f>
        <v>0</v>
      </c>
      <c r="C660" s="10" t="s">
        <v>1177</v>
      </c>
      <c r="D660" s="7"/>
    </row>
    <row r="661" spans="1:4" x14ac:dyDescent="0.45">
      <c r="A661" s="6" t="s">
        <v>1164</v>
      </c>
      <c r="B661" s="6">
        <f>LPRP!J315</f>
        <v>0</v>
      </c>
      <c r="C661" s="8" t="s">
        <v>1179</v>
      </c>
      <c r="D661" s="7"/>
    </row>
    <row r="662" spans="1:4" x14ac:dyDescent="0.45">
      <c r="A662" s="6" t="s">
        <v>1573</v>
      </c>
      <c r="B662" s="6">
        <f>LPRP!J316</f>
        <v>0</v>
      </c>
      <c r="C662" s="8" t="s">
        <v>1179</v>
      </c>
      <c r="D662" s="7"/>
    </row>
    <row r="663" spans="1:4" x14ac:dyDescent="0.45">
      <c r="A663" s="9" t="s">
        <v>1171</v>
      </c>
      <c r="B663" s="9">
        <f>LPRP!J319</f>
        <v>0</v>
      </c>
      <c r="C663" s="10" t="s">
        <v>1185</v>
      </c>
      <c r="D663" s="7"/>
    </row>
    <row r="664" spans="1:4" x14ac:dyDescent="0.45">
      <c r="A664" s="6" t="s">
        <v>1176</v>
      </c>
      <c r="B664" s="6">
        <f>LPRP!I330</f>
        <v>0</v>
      </c>
      <c r="C664" s="8" t="s">
        <v>1574</v>
      </c>
      <c r="D664" s="7"/>
    </row>
    <row r="665" spans="1:4" x14ac:dyDescent="0.45">
      <c r="A665" s="6" t="s">
        <v>1575</v>
      </c>
      <c r="B665" s="6">
        <f>LPRP!I331</f>
        <v>0</v>
      </c>
      <c r="C665" s="8" t="s">
        <v>1574</v>
      </c>
      <c r="D665" s="7"/>
    </row>
    <row r="666" spans="1:4" x14ac:dyDescent="0.45">
      <c r="A666" s="6" t="s">
        <v>1576</v>
      </c>
      <c r="B666" s="6">
        <f>LPRP!I332</f>
        <v>0</v>
      </c>
      <c r="C666" s="8" t="s">
        <v>1574</v>
      </c>
      <c r="D666" s="7"/>
    </row>
    <row r="667" spans="1:4" x14ac:dyDescent="0.45">
      <c r="A667" s="6" t="s">
        <v>1577</v>
      </c>
      <c r="B667" s="6">
        <f>LPRP!F333</f>
        <v>0</v>
      </c>
      <c r="C667" s="8" t="s">
        <v>1574</v>
      </c>
      <c r="D667" s="7"/>
    </row>
    <row r="668" spans="1:4" x14ac:dyDescent="0.45">
      <c r="A668" s="6" t="s">
        <v>1578</v>
      </c>
      <c r="B668" s="6">
        <f>LPRP!F334</f>
        <v>0</v>
      </c>
      <c r="C668" s="8" t="s">
        <v>1574</v>
      </c>
      <c r="D668" s="7"/>
    </row>
    <row r="669" spans="1:4" x14ac:dyDescent="0.45">
      <c r="A669" s="9" t="s">
        <v>1178</v>
      </c>
      <c r="B669" s="9">
        <f>LPRP!F339</f>
        <v>0</v>
      </c>
      <c r="C669" s="10" t="s">
        <v>1579</v>
      </c>
      <c r="D669" s="7"/>
    </row>
    <row r="670" spans="1:4" x14ac:dyDescent="0.45">
      <c r="A670" s="9" t="s">
        <v>1180</v>
      </c>
      <c r="B670" s="9">
        <f>LPRP!F340</f>
        <v>0</v>
      </c>
      <c r="C670" s="10" t="s">
        <v>1579</v>
      </c>
      <c r="D670" s="7"/>
    </row>
    <row r="671" spans="1:4" x14ac:dyDescent="0.45">
      <c r="A671" s="9" t="s">
        <v>1181</v>
      </c>
      <c r="B671" s="9">
        <f>LPRP!F341</f>
        <v>0</v>
      </c>
      <c r="C671" s="10" t="s">
        <v>1579</v>
      </c>
      <c r="D671" s="7"/>
    </row>
    <row r="672" spans="1:4" x14ac:dyDescent="0.45">
      <c r="A672" s="9" t="s">
        <v>1182</v>
      </c>
      <c r="B672" s="9">
        <f>LPRP!F342</f>
        <v>0</v>
      </c>
      <c r="C672" s="10" t="s">
        <v>1579</v>
      </c>
      <c r="D672" s="7"/>
    </row>
    <row r="673" spans="1:4" x14ac:dyDescent="0.45">
      <c r="A673" s="9" t="s">
        <v>1183</v>
      </c>
      <c r="B673" s="9">
        <f>LPRP!F343</f>
        <v>0</v>
      </c>
      <c r="C673" s="10" t="s">
        <v>1579</v>
      </c>
      <c r="D673" s="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98a1368e-d07b-4654-8962-d7870efb807b" xsi:nil="true"/>
    <DatePublished xmlns="98a1368e-d07b-4654-8962-d7870efb807b" xsi:nil="true"/>
    <IconOverlay xmlns="http://schemas.microsoft.com/sharepoint/v4" xsi:nil="true"/>
    <lcf76f155ced4ddcb4097134ff3c332f xmlns="98a1368e-d07b-4654-8962-d7870efb807b">
      <Terms xmlns="http://schemas.microsoft.com/office/infopath/2007/PartnerControls"/>
    </lcf76f155ced4ddcb4097134ff3c332f>
    <IDGReviewTags xmlns="98a1368e-d07b-4654-8962-d7870efb807b" xsi:nil="true"/>
    <_Flow_SignoffStatus xmlns="98a1368e-d07b-4654-8962-d7870efb807b" xsi:nil="true"/>
    <Document_x0020_Type xmlns="98a1368e-d07b-4654-8962-d7870efb807b" xsi:nil="true"/>
    <TaxCatchAll xmlns="83aa663b-4b8a-469d-b5ee-90eaa0e315d8" xsi:nil="true"/>
    <Frenchversion xmlns="98a1368e-d07b-4654-8962-d7870efb807b">false</Frenchversion>
    <Infosourceduedate xmlns="98a1368e-d07b-4654-8962-d7870efb807b" xsi:nil="true"/>
    <Consult xmlns="98a1368e-d07b-4654-8962-d7870efb807b" xsi:nil="true"/>
    <Status xmlns="98a1368e-d07b-4654-8962-d7870efb807b" xsi:nil="true"/>
    <_dlc_DocId xmlns="83aa663b-4b8a-469d-b5ee-90eaa0e315d8">4RWRPJAYJ72E-25897711-209173</_dlc_DocId>
    <_dlc_DocIdUrl xmlns="83aa663b-4b8a-469d-b5ee-90eaa0e315d8">
      <Url>https://056gc.sharepoint.com/sites/OCIO-DDP-_BDPI-SDPN/_layouts/15/DocIdRedir.aspx?ID=4RWRPJAYJ72E-25897711-209173</Url>
      <Description>4RWRPJAYJ72E-25897711-209173</Description>
    </_dlc_DocIdUrl>
    <MetaData1 xmlns="98a1368e-d07b-4654-8962-d7870efb807b">Forms</MetaData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A7348FF32FD4983FEBC65875BD8E7" ma:contentTypeVersion="32" ma:contentTypeDescription="Create a new document." ma:contentTypeScope="" ma:versionID="fde51bdf98357f6a5356e8cffbacfc7c">
  <xsd:schema xmlns:xsd="http://www.w3.org/2001/XMLSchema" xmlns:xs="http://www.w3.org/2001/XMLSchema" xmlns:p="http://schemas.microsoft.com/office/2006/metadata/properties" xmlns:ns1="http://schemas.microsoft.com/sharepoint/v3" xmlns:ns2="83aa663b-4b8a-469d-b5ee-90eaa0e315d8" xmlns:ns3="98a1368e-d07b-4654-8962-d7870efb807b" xmlns:ns4="http://schemas.microsoft.com/sharepoint/v4" targetNamespace="http://schemas.microsoft.com/office/2006/metadata/properties" ma:root="true" ma:fieldsID="756fd53fbe337007bb3be312aac9fe5b" ns1:_="" ns2:_="" ns3:_="" ns4:_="">
    <xsd:import namespace="http://schemas.microsoft.com/sharepoint/v3"/>
    <xsd:import namespace="83aa663b-4b8a-469d-b5ee-90eaa0e315d8"/>
    <xsd:import namespace="98a1368e-d07b-4654-8962-d7870efb807b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Statu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Frenchversion" minOccurs="0"/>
                <xsd:element ref="ns3:Infosourceduedate" minOccurs="0"/>
                <xsd:element ref="ns3:DatePublished" minOccurs="0"/>
                <xsd:element ref="ns3:MediaServiceBillingMetadata" minOccurs="0"/>
                <xsd:element ref="ns3:Consult" minOccurs="0"/>
                <xsd:element ref="ns3:Document_x0020_Type" minOccurs="0"/>
                <xsd:element ref="ns3:IDGReviewTags" minOccurs="0"/>
                <xsd:element ref="ns3:Language" minOccurs="0"/>
                <xsd:element ref="ns3:MetaData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9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0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a663b-4b8a-469d-b5ee-90eaa0e315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017eb2-65c3-4c7c-bb0f-e7e8039ce12a}" ma:internalName="TaxCatchAll" ma:showField="CatchAllData" ma:web="83aa663b-4b8a-469d-b5ee-90eaa0e315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1368e-d07b-4654-8962-d7870efb8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f3204f-aabd-4e28-9088-5d29a8bce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Status" ma:index="27" nillable="true" ma:displayName="Status" ma:format="Dropdown" ma:internalName="Status">
      <xsd:simpleType>
        <xsd:restriction base="dms:Choice">
          <xsd:enumeration value="Working Copy"/>
          <xsd:enumeration value="Final"/>
          <xsd:enumeration value="Draft"/>
        </xsd:restriction>
      </xsd:simpleType>
    </xsd:element>
    <xsd:element name="Frenchversion" ma:index="31" nillable="true" ma:displayName="French version" ma:default="0" ma:format="Dropdown" ma:internalName="Frenchversion">
      <xsd:simpleType>
        <xsd:restriction base="dms:Boolean"/>
      </xsd:simpleType>
    </xsd:element>
    <xsd:element name="Infosourceduedate" ma:index="32" nillable="true" ma:displayName="Info source due date" ma:description="For documents discussing or following up on Info Source updates that were due on a particular date" ma:format="Dropdown" ma:internalName="Infosourceduedate">
      <xsd:simpleType>
        <xsd:restriction base="dms:Text">
          <xsd:maxLength value="255"/>
        </xsd:restriction>
      </xsd:simpleType>
    </xsd:element>
    <xsd:element name="DatePublished" ma:index="33" nillable="true" ma:displayName="Date Published" ma:description="The date upon which the content was originally published on GCconnex" ma:format="DateOnly" ma:indexed="true" ma:internalName="DatePublished">
      <xsd:simpleType>
        <xsd:restriction base="dms:DateTim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sult" ma:index="35" nillable="true" ma:displayName="Consult" ma:description="Identify whose comments are included in the draft" ma:format="Dropdown" ma:indexed="true" ma:internalName="Consult">
      <xsd:simpleType>
        <xsd:restriction base="dms:Text">
          <xsd:maxLength value="255"/>
        </xsd:restriction>
      </xsd:simpleType>
    </xsd:element>
    <xsd:element name="Document_x0020_Type" ma:index="36" nillable="true" ma:displayName="Document Type" ma:format="Dropdown" ma:indexed="true" ma:internalName="Document_x0020_Type">
      <xsd:simpleType>
        <xsd:union memberTypes="dms:Text">
          <xsd:simpleType>
            <xsd:restriction base="dms:Choice">
              <xsd:enumeration value="Meeting Agenda"/>
              <xsd:enumeration value="Record of Discussion"/>
            </xsd:restriction>
          </xsd:simpleType>
        </xsd:union>
      </xsd:simpleType>
    </xsd:element>
    <xsd:element name="IDGReviewTags" ma:index="37" nillable="true" ma:displayName="IDG Review Tags" ma:description="List of tags assigned from each of the PSD, Digital Ambition, Data Strategy and associated instruments" ma:format="Dropdown" ma:internalName="IDGReviewTa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igital Ambition"/>
                    <xsd:enumeration value="Data"/>
                    <xsd:enumeration value="Choice 3"/>
                    <xsd:enumeration value="Choice 4"/>
                  </xsd:restriction>
                </xsd:simpleType>
              </xsd:element>
            </xsd:sequence>
          </xsd:extension>
        </xsd:complexContent>
      </xsd:complexType>
    </xsd:element>
    <xsd:element name="Language" ma:index="38" nillable="true" ma:displayName="Language" ma:format="Dropdown" ma:internalName="Language">
      <xsd:simpleType>
        <xsd:restriction base="dms:Text">
          <xsd:maxLength value="255"/>
        </xsd:restriction>
      </xsd:simpleType>
    </xsd:element>
    <xsd:element name="MetaData1" ma:index="39" nillable="true" ma:displayName="MetaData1" ma:default="Forms" ma:format="Dropdown" ma:internalName="MetaData1">
      <xsd:simpleType>
        <xsd:union memberTypes="dms:Text">
          <xsd:simpleType>
            <xsd:restriction base="dms:Choice">
              <xsd:enumeration value="Forms"/>
              <xsd:enumeration value="Fingerprint"/>
              <xsd:enumeration value="CSIS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715112-8491-4A42-964C-BE8924090F1A}">
  <ds:schemaRefs>
    <ds:schemaRef ds:uri="http://schemas.microsoft.com/sharepoint/v3"/>
    <ds:schemaRef ds:uri="http://schemas.microsoft.com/office/2006/documentManagement/types"/>
    <ds:schemaRef ds:uri="98a1368e-d07b-4654-8962-d7870efb807b"/>
    <ds:schemaRef ds:uri="http://purl.org/dc/dcmitype/"/>
    <ds:schemaRef ds:uri="http://purl.org/dc/terms/"/>
    <ds:schemaRef ds:uri="http://schemas.microsoft.com/sharepoint/v4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83aa663b-4b8a-469d-b5ee-90eaa0e315d8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B0421A-330C-4804-8B57-D6FF481853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5AC31-9536-400A-A1CE-C735E5FAE99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CD3C630-0E41-4575-AF21-3AC3E8F0A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aa663b-4b8a-469d-b5ee-90eaa0e315d8"/>
    <ds:schemaRef ds:uri="98a1368e-d07b-4654-8962-d7870efb807b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LAI</vt:lpstr>
      <vt:lpstr>LPRP</vt:lpstr>
      <vt:lpstr>ATI_ForConsumption</vt:lpstr>
      <vt:lpstr>Privacy_ForConsumption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Ronald.Denault@tbs-sct.gc.ca</dc:creator>
  <cp:lastModifiedBy>Reghigh, Ali</cp:lastModifiedBy>
  <dcterms:created xsi:type="dcterms:W3CDTF">2019-09-12T17:12:57Z</dcterms:created>
  <dcterms:modified xsi:type="dcterms:W3CDTF">2026-04-22T17:39:39Z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0fa4c0fc-ae0b-436d-9a71-7abe68d5c368</vt:lpwstr>
  </property>
  <property fmtid="{D5CDD505-2E9C-101B-9397-08002B2CF9AE}" pid="3" name="SECCLASS">
    <vt:lpwstr>CLASSU</vt:lpwstr>
  </property>
  <property fmtid="{D5CDD505-2E9C-101B-9397-08002B2CF9AE}" pid="4" name="TBSSCTCLASSIFICATION">
    <vt:lpwstr>UNCLASSIFIED</vt:lpwstr>
  </property>
  <property fmtid="{D5CDD505-2E9C-101B-9397-08002B2CF9AE}" pid="5" name="TBSSCTVISUALMARKINGNO">
    <vt:lpwstr>NO</vt:lpwstr>
  </property>
  <property fmtid="{D5CDD505-2E9C-101B-9397-08002B2CF9AE}" pid="6" name="MSIP_Label_3515d617-256d-4284-aedb-1064be1c4b48_Enabled">
    <vt:lpwstr>true</vt:lpwstr>
  </property>
  <property fmtid="{D5CDD505-2E9C-101B-9397-08002B2CF9AE}" pid="7" name="MSIP_Label_3515d617-256d-4284-aedb-1064be1c4b48_SetDate">
    <vt:lpwstr>2022-03-08T14:42:18Z</vt:lpwstr>
  </property>
  <property fmtid="{D5CDD505-2E9C-101B-9397-08002B2CF9AE}" pid="8" name="MSIP_Label_3515d617-256d-4284-aedb-1064be1c4b48_Method">
    <vt:lpwstr>Privileged</vt:lpwstr>
  </property>
  <property fmtid="{D5CDD505-2E9C-101B-9397-08002B2CF9AE}" pid="9" name="MSIP_Label_3515d617-256d-4284-aedb-1064be1c4b48_Name">
    <vt:lpwstr>3515d617-256d-4284-aedb-1064be1c4b48</vt:lpwstr>
  </property>
  <property fmtid="{D5CDD505-2E9C-101B-9397-08002B2CF9AE}" pid="10" name="MSIP_Label_3515d617-256d-4284-aedb-1064be1c4b48_SiteId">
    <vt:lpwstr>6397df10-4595-4047-9c4f-03311282152b</vt:lpwstr>
  </property>
  <property fmtid="{D5CDD505-2E9C-101B-9397-08002B2CF9AE}" pid="11" name="MSIP_Label_3515d617-256d-4284-aedb-1064be1c4b48_ActionId">
    <vt:lpwstr>b785ede9-b877-4224-8009-1862591ac5de</vt:lpwstr>
  </property>
  <property fmtid="{D5CDD505-2E9C-101B-9397-08002B2CF9AE}" pid="12" name="MSIP_Label_3515d617-256d-4284-aedb-1064be1c4b48_ContentBits">
    <vt:lpwstr>0</vt:lpwstr>
  </property>
  <property fmtid="{D5CDD505-2E9C-101B-9397-08002B2CF9AE}" pid="13" name="ContentTypeId">
    <vt:lpwstr>0x0101005C2A7348FF32FD4983FEBC65875BD8E7</vt:lpwstr>
  </property>
  <property fmtid="{D5CDD505-2E9C-101B-9397-08002B2CF9AE}" pid="14" name="TaxKeyword">
    <vt:lpwstr/>
  </property>
  <property fmtid="{D5CDD505-2E9C-101B-9397-08002B2CF9AE}" pid="15" name="MediaServiceImageTags">
    <vt:lpwstr/>
  </property>
  <property fmtid="{D5CDD505-2E9C-101B-9397-08002B2CF9AE}" pid="16" name="_dlc_DocIdItemGuid">
    <vt:lpwstr>b880f9c2-52ad-487c-a823-c3d5da05fb56</vt:lpwstr>
  </property>
  <property fmtid="{D5CDD505-2E9C-101B-9397-08002B2CF9AE}" pid="17" name="xd_ProgID">
    <vt:lpwstr/>
  </property>
  <property fmtid="{D5CDD505-2E9C-101B-9397-08002B2CF9AE}" pid="18" name="Approved">
    <vt:bool>false</vt:bool>
  </property>
  <property fmtid="{D5CDD505-2E9C-101B-9397-08002B2CF9AE}" pid="19" name="ComplianceAssetId">
    <vt:lpwstr/>
  </property>
  <property fmtid="{D5CDD505-2E9C-101B-9397-08002B2CF9AE}" pid="20" name="TemplateUrl">
    <vt:lpwstr/>
  </property>
  <property fmtid="{D5CDD505-2E9C-101B-9397-08002B2CF9AE}" pid="21" name="_ExtendedDescription">
    <vt:lpwstr/>
  </property>
  <property fmtid="{D5CDD505-2E9C-101B-9397-08002B2CF9AE}" pid="22" name="xd_Signature">
    <vt:bool>false</vt:bool>
  </property>
  <property fmtid="{D5CDD505-2E9C-101B-9397-08002B2CF9AE}" pid="23" name="TriggerFlowInfo">
    <vt:lpwstr/>
  </property>
  <property fmtid="{D5CDD505-2E9C-101B-9397-08002B2CF9AE}" pid="24" name="XREF">
    <vt:lpwstr>, </vt:lpwstr>
  </property>
</Properties>
</file>