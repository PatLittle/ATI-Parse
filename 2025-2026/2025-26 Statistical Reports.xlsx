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png" ContentType="image/p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2.xml" ContentType="application/xml"/>
  <Override PartName="/customXml/itemProps1.xml" ContentType="application/vnd.openxmlformats-officedocument.customXmlProperties+xml"/>
  <Override PartName="/customXml/item3.xml" ContentType="application/xml"/>
  <Override PartName="/customXml/itemProps2.xml" ContentType="application/vnd.openxmlformats-officedocument.customXmlProperties+xml"/>
  <Override PartName="/customXml/item4.xml" ContentType="application/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_rels/item4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TI" sheetId="1" state="visible" r:id="rId3"/>
    <sheet name="Priv" sheetId="2" state="visible" r:id="rId4"/>
    <sheet name="ATI_ForConsumption" sheetId="3" state="visible" r:id="rId5"/>
    <sheet name="Privacy_ForConsumption" sheetId="4" state="visible" r:id="rId6"/>
  </sheets>
  <definedNames>
    <definedName function="false" hidden="false" localSheetId="0" name="_xlnm.Print_Area" vbProcedure="false">ATI!$B$1:$M$363</definedName>
    <definedName function="false" hidden="false" localSheetId="1" name="_xlnm.Print_Area" vbProcedure="false">Priv!$B$1:$T$346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<sst xmlns="http://schemas.openxmlformats.org/spreadsheetml/2006/main" count="3688" uniqueCount="1604">
  <si>
    <r>
      <rPr>
        <b val="true"/>
        <sz val="14"/>
        <color theme="1"/>
        <rFont val="Arial"/>
        <family val="2"/>
        <charset val="1"/>
      </rPr>
      <t xml:space="preserve">Statistical Report on the </t>
    </r>
    <r>
      <rPr>
        <b val="true"/>
        <i val="true"/>
        <sz val="14"/>
        <color theme="1"/>
        <rFont val="Arial"/>
        <family val="2"/>
        <charset val="1"/>
      </rPr>
      <t xml:space="preserve">Access to Information Act</t>
    </r>
  </si>
  <si>
    <t xml:space="preserve">Name of institution:</t>
  </si>
  <si>
    <t xml:space="preserve">payt</t>
  </si>
  <si>
    <t xml:space="preserve">Reporting period:</t>
  </si>
  <si>
    <t xml:space="preserve">to</t>
  </si>
  <si>
    <r>
      <rPr>
        <b val="true"/>
        <sz val="11"/>
        <color theme="0"/>
        <rFont val="Arial"/>
        <family val="2"/>
        <charset val="1"/>
      </rPr>
      <t xml:space="preserve">Section 1: Requests Under the </t>
    </r>
    <r>
      <rPr>
        <b val="true"/>
        <i val="true"/>
        <sz val="11"/>
        <color theme="0"/>
        <rFont val="Arial"/>
        <family val="2"/>
        <charset val="1"/>
      </rPr>
      <t xml:space="preserve">Access to Information Act</t>
    </r>
  </si>
  <si>
    <t xml:space="preserve">1.1  Number of requests</t>
  </si>
  <si>
    <t xml:space="preserve">Number of Requests</t>
  </si>
  <si>
    <t xml:space="preserve">Received during reporting period</t>
  </si>
  <si>
    <t xml:space="preserve">Outstanding from previous reporting periods</t>
  </si>
  <si>
    <t xml:space="preserve">• Outstanding from previous reporting period</t>
  </si>
  <si>
    <t xml:space="preserve">• Outstanding from more than one reporting period</t>
  </si>
  <si>
    <t xml:space="preserve">Total</t>
  </si>
  <si>
    <t xml:space="preserve">Closed during reporting period</t>
  </si>
  <si>
    <t xml:space="preserve">Carried over to next reporting period</t>
  </si>
  <si>
    <t xml:space="preserve">• Carried over within legislated timeline</t>
  </si>
  <si>
    <t xml:space="preserve">• Carried over beyond legislated timeline</t>
  </si>
  <si>
    <t xml:space="preserve">1.2  Sources of requests</t>
  </si>
  <si>
    <t xml:space="preserve">Source</t>
  </si>
  <si>
    <t xml:space="preserve">Media</t>
  </si>
  <si>
    <t xml:space="preserve">Academia</t>
  </si>
  <si>
    <t xml:space="preserve">Business (private sector)</t>
  </si>
  <si>
    <t xml:space="preserve">Organization</t>
  </si>
  <si>
    <t xml:space="preserve">Public</t>
  </si>
  <si>
    <t xml:space="preserve">Decline to Identify</t>
  </si>
  <si>
    <t xml:space="preserve">1.3  Channels of requests</t>
  </si>
  <si>
    <t xml:space="preserve">Online</t>
  </si>
  <si>
    <t xml:space="preserve">E-mail</t>
  </si>
  <si>
    <t xml:space="preserve">Mail</t>
  </si>
  <si>
    <t xml:space="preserve">In person</t>
  </si>
  <si>
    <t xml:space="preserve">Phone</t>
  </si>
  <si>
    <t xml:space="preserve">Fax</t>
  </si>
  <si>
    <t xml:space="preserve">Section 2: Informal Requests</t>
  </si>
  <si>
    <t xml:space="preserve">2.1 Number of informal requests</t>
  </si>
  <si>
    <t xml:space="preserve">2.2 Completion time of informal requests</t>
  </si>
  <si>
    <t xml:space="preserve">Completion Time</t>
  </si>
  <si>
    <t xml:space="preserve">0 to 15 Days</t>
  </si>
  <si>
    <t xml:space="preserve">16 to 30 Days</t>
  </si>
  <si>
    <t xml:space="preserve">31 to 60 Days</t>
  </si>
  <si>
    <t xml:space="preserve">61 to 120 Days</t>
  </si>
  <si>
    <t xml:space="preserve">121 to 180 Days</t>
  </si>
  <si>
    <t xml:space="preserve">181 to 365 Days</t>
  </si>
  <si>
    <t xml:space="preserve">More Than 365 Days</t>
  </si>
  <si>
    <t xml:space="preserve">2.3 Pages released and re-released informally</t>
  </si>
  <si>
    <t xml:space="preserve">Less Than 500
Pages Released and Re-released</t>
  </si>
  <si>
    <t xml:space="preserve">500-10000
Pages Released and Re-released</t>
  </si>
  <si>
    <t xml:space="preserve">More Than 10000
Pages Released and Re-released</t>
  </si>
  <si>
    <t xml:space="preserve">Number of pages</t>
  </si>
  <si>
    <t xml:space="preserve">Section 3: Applications to the Information Commissioner on Declining to Act on Requests</t>
  </si>
  <si>
    <t xml:space="preserve">Outstanding from previous reporting period</t>
  </si>
  <si>
    <t xml:space="preserve">Sent during reporting period</t>
  </si>
  <si>
    <t xml:space="preserve">Approved by the Information Commissioner during reporting period </t>
  </si>
  <si>
    <t xml:space="preserve">Declined by the Information Commissioner during reporting period </t>
  </si>
  <si>
    <t xml:space="preserve">Withdrawn during reporting period</t>
  </si>
  <si>
    <t xml:space="preserve">Section 4: Requests Closed During the Reporting Period </t>
  </si>
  <si>
    <t xml:space="preserve">4.1 Disposition and completion time</t>
  </si>
  <si>
    <t xml:space="preserve">Disposition of Requests</t>
  </si>
  <si>
    <t xml:space="preserve">All disclosed</t>
  </si>
  <si>
    <t xml:space="preserve">Disclosed in part</t>
  </si>
  <si>
    <t xml:space="preserve">All exempted</t>
  </si>
  <si>
    <t xml:space="preserve">All excluded</t>
  </si>
  <si>
    <t xml:space="preserve">No records exist</t>
  </si>
  <si>
    <t xml:space="preserve">Request transferred</t>
  </si>
  <si>
    <t xml:space="preserve">Request abandoned</t>
  </si>
  <si>
    <t xml:space="preserve">Neither confirmed nor denied</t>
  </si>
  <si>
    <t xml:space="preserve">Declined to act with the approval of the Information Commissioner</t>
  </si>
  <si>
    <t xml:space="preserve">4.2 Exemptions </t>
  </si>
  <si>
    <t xml:space="preserve">Section</t>
  </si>
  <si>
    <t xml:space="preserve">13(1)(a)</t>
  </si>
  <si>
    <t xml:space="preserve">16(2)</t>
  </si>
  <si>
    <t xml:space="preserve">18(a)</t>
  </si>
  <si>
    <t xml:space="preserve">13(1)(b)</t>
  </si>
  <si>
    <t xml:space="preserve">16(2)(a)</t>
  </si>
  <si>
    <t xml:space="preserve">18(b)</t>
  </si>
  <si>
    <t xml:space="preserve">13(1)(c)</t>
  </si>
  <si>
    <t xml:space="preserve">16(2)(b)</t>
  </si>
  <si>
    <t xml:space="preserve">18(c)</t>
  </si>
  <si>
    <t xml:space="preserve">13(1)(d)</t>
  </si>
  <si>
    <t xml:space="preserve">16(2)(c)</t>
  </si>
  <si>
    <t xml:space="preserve">18(d)</t>
  </si>
  <si>
    <t xml:space="preserve">21(1)(a)</t>
  </si>
  <si>
    <t xml:space="preserve">13(1)(e)</t>
  </si>
  <si>
    <t xml:space="preserve">16(3)</t>
  </si>
  <si>
    <t xml:space="preserve">18.1(1)(a)</t>
  </si>
  <si>
    <t xml:space="preserve">21(1)(b)</t>
  </si>
  <si>
    <t xml:space="preserve">16.1(1)(a)</t>
  </si>
  <si>
    <t xml:space="preserve">18.1(1)(b)</t>
  </si>
  <si>
    <t xml:space="preserve">21(1)(c)</t>
  </si>
  <si>
    <t xml:space="preserve">14(a)</t>
  </si>
  <si>
    <t xml:space="preserve">16.1(1)(b)</t>
  </si>
  <si>
    <t xml:space="preserve">18.1(1)(c)</t>
  </si>
  <si>
    <t xml:space="preserve">21(1)(d)</t>
  </si>
  <si>
    <t xml:space="preserve">14(b)</t>
  </si>
  <si>
    <t xml:space="preserve">16.1(1)(c)</t>
  </si>
  <si>
    <t xml:space="preserve">18.1(1)(d)</t>
  </si>
  <si>
    <t xml:space="preserve">15(1)</t>
  </si>
  <si>
    <t xml:space="preserve">16.1(1)(d)</t>
  </si>
  <si>
    <t xml:space="preserve">19(1)</t>
  </si>
  <si>
    <t xml:space="preserve">22.1(1)</t>
  </si>
  <si>
    <t xml:space="preserve">15(1) - I.A.*</t>
  </si>
  <si>
    <t xml:space="preserve">16.2(1)</t>
  </si>
  <si>
    <t xml:space="preserve">20(1)(a)</t>
  </si>
  <si>
    <t xml:space="preserve">15(1) - Def.*</t>
  </si>
  <si>
    <t xml:space="preserve">20(1)(b)</t>
  </si>
  <si>
    <t xml:space="preserve">15(1) - S.A.*</t>
  </si>
  <si>
    <t xml:space="preserve">16.4(1)(a)</t>
  </si>
  <si>
    <t xml:space="preserve">20(1)(b.1)</t>
  </si>
  <si>
    <t xml:space="preserve">24(1)</t>
  </si>
  <si>
    <t xml:space="preserve">16(1)(a)(i)</t>
  </si>
  <si>
    <t xml:space="preserve">16.4(1)(b)</t>
  </si>
  <si>
    <t xml:space="preserve">20(1)(c)</t>
  </si>
  <si>
    <t xml:space="preserve">16(1)(a)(ii)</t>
  </si>
  <si>
    <t xml:space="preserve">20(1)(d)</t>
  </si>
  <si>
    <t xml:space="preserve">16(1)(a)(iii)</t>
  </si>
  <si>
    <t xml:space="preserve">16(1)(b)</t>
  </si>
  <si>
    <t xml:space="preserve">16(1)(c)</t>
  </si>
  <si>
    <t xml:space="preserve">16(1)(d)</t>
  </si>
  <si>
    <t xml:space="preserve">* I.A.:  International Affairs       Def.:  Defence of Canada       S.A.:  Subversive Activities</t>
  </si>
  <si>
    <t xml:space="preserve">4.3 Exclusions </t>
  </si>
  <si>
    <t xml:space="preserve">68(a)</t>
  </si>
  <si>
    <t xml:space="preserve">69(1)</t>
  </si>
  <si>
    <t xml:space="preserve">69(1)(g) re (a)</t>
  </si>
  <si>
    <t xml:space="preserve">68(b)</t>
  </si>
  <si>
    <t xml:space="preserve">69(1)(a)</t>
  </si>
  <si>
    <t xml:space="preserve">69(1)(g) re (b)</t>
  </si>
  <si>
    <t xml:space="preserve">68(c)</t>
  </si>
  <si>
    <t xml:space="preserve">69(1)(b)</t>
  </si>
  <si>
    <t xml:space="preserve">69(1)(g) re (c)</t>
  </si>
  <si>
    <t xml:space="preserve">68.1</t>
  </si>
  <si>
    <t xml:space="preserve">69(1)(c)</t>
  </si>
  <si>
    <t xml:space="preserve">69(1)(g) re (d)</t>
  </si>
  <si>
    <t xml:space="preserve">68.2(a)</t>
  </si>
  <si>
    <t xml:space="preserve">69(1)(d)</t>
  </si>
  <si>
    <t xml:space="preserve">69(1)(g) re (e)</t>
  </si>
  <si>
    <t xml:space="preserve">68.2(b)</t>
  </si>
  <si>
    <t xml:space="preserve">69(1)(e)</t>
  </si>
  <si>
    <t xml:space="preserve">69(1)(g) re (f)</t>
  </si>
  <si>
    <t xml:space="preserve">69(1)(f)</t>
  </si>
  <si>
    <t xml:space="preserve">69.1(1)</t>
  </si>
  <si>
    <t xml:space="preserve">4.4  Format of information released</t>
  </si>
  <si>
    <t xml:space="preserve">Paper</t>
  </si>
  <si>
    <t xml:space="preserve">Electronic</t>
  </si>
  <si>
    <t xml:space="preserve">Other</t>
  </si>
  <si>
    <t xml:space="preserve">E-record</t>
  </si>
  <si>
    <t xml:space="preserve">Data set</t>
  </si>
  <si>
    <t xml:space="preserve">Video</t>
  </si>
  <si>
    <t xml:space="preserve">Audio</t>
  </si>
  <si>
    <t xml:space="preserve">4.5 Complexity</t>
  </si>
  <si>
    <t xml:space="preserve">4.5.1 Relevant pages processed and disclosed for paper, e-record and dataset formats</t>
  </si>
  <si>
    <t xml:space="preserve">Number of Pages Processed</t>
  </si>
  <si>
    <t xml:space="preserve">Number of Pages Disclosed</t>
  </si>
  <si>
    <r>
      <rPr>
        <b val="true"/>
        <sz val="11"/>
        <rFont val="Arial"/>
        <family val="2"/>
        <charset val="1"/>
      </rPr>
      <t xml:space="preserve">4.5.2 Relevant pages processed per request disposition for </t>
    </r>
    <r>
      <rPr>
        <b val="true"/>
        <u val="single"/>
        <sz val="11"/>
        <rFont val="Arial"/>
        <family val="2"/>
        <charset val="1"/>
      </rPr>
      <t xml:space="preserve">paper</t>
    </r>
    <r>
      <rPr>
        <b val="true"/>
        <sz val="11"/>
        <rFont val="Arial"/>
        <family val="2"/>
        <charset val="1"/>
      </rPr>
      <t xml:space="preserve">, </t>
    </r>
    <r>
      <rPr>
        <b val="true"/>
        <u val="single"/>
        <sz val="11"/>
        <rFont val="Arial"/>
        <family val="2"/>
        <charset val="1"/>
      </rPr>
      <t xml:space="preserve">e-record</t>
    </r>
    <r>
      <rPr>
        <b val="true"/>
        <sz val="11"/>
        <rFont val="Arial"/>
        <family val="2"/>
        <charset val="1"/>
      </rPr>
      <t xml:space="preserve"> and </t>
    </r>
    <r>
      <rPr>
        <b val="true"/>
        <u val="single"/>
        <sz val="11"/>
        <rFont val="Arial"/>
        <family val="2"/>
        <charset val="1"/>
      </rPr>
      <t xml:space="preserve">dataset</t>
    </r>
    <r>
      <rPr>
        <b val="true"/>
        <sz val="11"/>
        <rFont val="Arial"/>
        <family val="2"/>
        <charset val="1"/>
      </rPr>
      <t xml:space="preserve"> formats by size of requests</t>
    </r>
  </si>
  <si>
    <t xml:space="preserve">Disposition</t>
  </si>
  <si>
    <t xml:space="preserve">Less Than 500
Pages Processed</t>
  </si>
  <si>
    <t xml:space="preserve">500-10 000
Pages Processed</t>
  </si>
  <si>
    <t xml:space="preserve">More Than 10 000
Pages Processed</t>
  </si>
  <si>
    <t xml:space="preserve">Pages Processed</t>
  </si>
  <si>
    <t xml:space="preserve">Request abandoned </t>
  </si>
  <si>
    <r>
      <rPr>
        <b val="true"/>
        <sz val="11"/>
        <rFont val="Arial"/>
        <family val="2"/>
        <charset val="1"/>
      </rPr>
      <t xml:space="preserve">4.5.3 Relevant minutes processed and disclosed for </t>
    </r>
    <r>
      <rPr>
        <b val="true"/>
        <u val="single"/>
        <sz val="11"/>
        <rFont val="Arial"/>
        <family val="2"/>
        <charset val="1"/>
      </rPr>
      <t xml:space="preserve">audio and video</t>
    </r>
    <r>
      <rPr>
        <b val="true"/>
        <sz val="11"/>
        <rFont val="Arial"/>
        <family val="2"/>
        <charset val="1"/>
      </rPr>
      <t xml:space="preserve"> formats</t>
    </r>
  </si>
  <si>
    <t xml:space="preserve">Number of Minutes Processed</t>
  </si>
  <si>
    <t xml:space="preserve">Number of Minutes Disclosed</t>
  </si>
  <si>
    <r>
      <rPr>
        <b val="true"/>
        <sz val="11"/>
        <color theme="1"/>
        <rFont val="Arial"/>
        <family val="2"/>
        <charset val="1"/>
      </rPr>
      <t xml:space="preserve">4.5.4 Relevant minutes processed per request disposition for </t>
    </r>
    <r>
      <rPr>
        <b val="true"/>
        <u val="single"/>
        <sz val="11"/>
        <color theme="1"/>
        <rFont val="Arial"/>
        <family val="2"/>
        <charset val="1"/>
      </rPr>
      <t xml:space="preserve">audio and video</t>
    </r>
    <r>
      <rPr>
        <b val="true"/>
        <sz val="11"/>
        <color theme="1"/>
        <rFont val="Arial"/>
        <family val="2"/>
        <charset val="1"/>
      </rPr>
      <t xml:space="preserve"> formats</t>
    </r>
  </si>
  <si>
    <t xml:space="preserve">Minutes Processed</t>
  </si>
  <si>
    <t xml:space="preserve"> </t>
  </si>
  <si>
    <t xml:space="preserve">4.5.5 Other complexities</t>
  </si>
  <si>
    <t xml:space="preserve">Consultation Required</t>
  </si>
  <si>
    <t xml:space="preserve">Legal Advice Sought</t>
  </si>
  <si>
    <t xml:space="preserve">4.6 Closed requests</t>
  </si>
  <si>
    <t xml:space="preserve">4.6.1  Requests closed within legislated timelines</t>
  </si>
  <si>
    <r>
      <rPr>
        <b val="true"/>
        <sz val="10"/>
        <color theme="1"/>
        <rFont val="Arial"/>
        <family val="2"/>
        <charset val="1"/>
      </rPr>
      <t xml:space="preserve">Number of requests closed within legislated</t>
    </r>
    <r>
      <rPr>
        <b val="true"/>
        <sz val="10"/>
        <color rgb="FFFF000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timelines</t>
    </r>
  </si>
  <si>
    <t xml:space="preserve">Percentage of requests closed within legislated timelines (%)</t>
  </si>
  <si>
    <t xml:space="preserve">4.7 Deemed refusals</t>
  </si>
  <si>
    <r>
      <rPr>
        <b val="true"/>
        <sz val="11"/>
        <rFont val="Arial"/>
        <family val="2"/>
        <charset val="1"/>
      </rPr>
      <t xml:space="preserve">4.7.1 </t>
    </r>
    <r>
      <rPr>
        <b val="true"/>
        <sz val="11"/>
        <color theme="1"/>
        <rFont val="Arial"/>
        <family val="2"/>
        <charset val="1"/>
      </rPr>
      <t xml:space="preserve">Reasons for not meeting legislated</t>
    </r>
    <r>
      <rPr>
        <b val="true"/>
        <sz val="11"/>
        <rFont val="Arial"/>
        <family val="2"/>
        <charset val="1"/>
      </rPr>
      <t xml:space="preserve"> timelines</t>
    </r>
  </si>
  <si>
    <r>
      <rPr>
        <b val="true"/>
        <sz val="10"/>
        <rFont val="Arial"/>
        <family val="2"/>
        <charset val="1"/>
      </rPr>
      <t xml:space="preserve">Number of requests closed past the</t>
    </r>
    <r>
      <rPr>
        <b val="true"/>
        <sz val="10"/>
        <color rgb="FFFF000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legislated timelines</t>
    </r>
  </si>
  <si>
    <t xml:space="preserve">Principal Reason</t>
  </si>
  <si>
    <t xml:space="preserve">Interference with operations/ Workload</t>
  </si>
  <si>
    <t xml:space="preserve">External Consultation</t>
  </si>
  <si>
    <t xml:space="preserve">Internal Consultation</t>
  </si>
  <si>
    <r>
      <rPr>
        <b val="true"/>
        <sz val="11"/>
        <rFont val="Arial"/>
        <family val="2"/>
        <charset val="1"/>
      </rPr>
      <t xml:space="preserve">4.7.2 </t>
    </r>
    <r>
      <rPr>
        <b val="true"/>
        <sz val="11"/>
        <color theme="1"/>
        <rFont val="Arial"/>
        <family val="2"/>
        <charset val="1"/>
      </rPr>
      <t xml:space="preserve">Requests closed beyond </t>
    </r>
    <r>
      <rPr>
        <b val="true"/>
        <sz val="11"/>
        <rFont val="Arial"/>
        <family val="2"/>
        <charset val="1"/>
      </rPr>
      <t xml:space="preserve">legislated timelines</t>
    </r>
    <r>
      <rPr>
        <b val="true"/>
        <sz val="11"/>
        <color theme="1"/>
        <rFont val="Arial"/>
        <family val="2"/>
        <charset val="1"/>
      </rPr>
      <t xml:space="preserve"> (including any extension taken)</t>
    </r>
  </si>
  <si>
    <t xml:space="preserve">Number of days past legislated timelines</t>
  </si>
  <si>
    <t xml:space="preserve">Number of requests past legislated timeline where no extension was taken</t>
  </si>
  <si>
    <t xml:space="preserve">Number of requests past legislated timeline where an extension was taken</t>
  </si>
  <si>
    <t xml:space="preserve">1 to 15 days</t>
  </si>
  <si>
    <t xml:space="preserve">16 to 30 days</t>
  </si>
  <si>
    <t xml:space="preserve">31 to 60 days</t>
  </si>
  <si>
    <t xml:space="preserve">61 to 120 days</t>
  </si>
  <si>
    <t xml:space="preserve">121  to 180 days</t>
  </si>
  <si>
    <t xml:space="preserve">181 to 365 days</t>
  </si>
  <si>
    <t xml:space="preserve">More than 365 days</t>
  </si>
  <si>
    <t xml:space="preserve">Section 5: Extensions</t>
  </si>
  <si>
    <t xml:space="preserve">5.1  Reasons for extensions and disposition of requests</t>
  </si>
  <si>
    <t xml:space="preserve">Disposition of Requests Where an Extension Was Taken</t>
  </si>
  <si>
    <t xml:space="preserve">9(1)(a)
Interference With Operations/ Workload</t>
  </si>
  <si>
    <t xml:space="preserve">9(1)(b)
Consultation</t>
  </si>
  <si>
    <t xml:space="preserve">9(1)(c)
Third-Party Notice</t>
  </si>
  <si>
    <t xml:space="preserve">Section 69</t>
  </si>
  <si>
    <t xml:space="preserve">5.2 Length of extensions</t>
  </si>
  <si>
    <t xml:space="preserve">Length of Extensions</t>
  </si>
  <si>
    <t xml:space="preserve">30 days or less</t>
  </si>
  <si>
    <t xml:space="preserve">121 to 180 days</t>
  </si>
  <si>
    <t xml:space="preserve">365 days or more</t>
  </si>
  <si>
    <t xml:space="preserve">Section 6: Fees</t>
  </si>
  <si>
    <t xml:space="preserve">Fee Type</t>
  </si>
  <si>
    <t xml:space="preserve">Fee Collected</t>
  </si>
  <si>
    <t xml:space="preserve">Fee Waived </t>
  </si>
  <si>
    <t xml:space="preserve">Fee Refunded</t>
  </si>
  <si>
    <t xml:space="preserve">Number of 
Requests</t>
  </si>
  <si>
    <t xml:space="preserve">Amount</t>
  </si>
  <si>
    <t xml:space="preserve">Application</t>
  </si>
  <si>
    <t xml:space="preserve">Other fees </t>
  </si>
  <si>
    <t xml:space="preserve">Section 7: Consultations Received From Other Institutions and Organizations</t>
  </si>
  <si>
    <t xml:space="preserve">7.1  Consultations received from other Government of Canada institutions and other organizations</t>
  </si>
  <si>
    <t xml:space="preserve">Consultations</t>
  </si>
  <si>
    <t xml:space="preserve">Other Government of Canada Institutions</t>
  </si>
  <si>
    <t xml:space="preserve">Number of Pages to Review</t>
  </si>
  <si>
    <t xml:space="preserve">Other Organizations</t>
  </si>
  <si>
    <t xml:space="preserve">Received during the reporting period</t>
  </si>
  <si>
    <t xml:space="preserve">Outstanding from the previous reporting period</t>
  </si>
  <si>
    <t xml:space="preserve">Closed during the reporting period</t>
  </si>
  <si>
    <t xml:space="preserve">Carried over within negotiated timelines</t>
  </si>
  <si>
    <t xml:space="preserve">Carried over beyond negotiated timelines</t>
  </si>
  <si>
    <t xml:space="preserve">7.2 Recommendations and completion time for consultations received from other Government of Canada institutions</t>
  </si>
  <si>
    <t xml:space="preserve">Recommendation</t>
  </si>
  <si>
    <t xml:space="preserve">Number of Days Required to Complete Consultation Requests</t>
  </si>
  <si>
    <t xml:space="preserve">121  to 180 Days</t>
  </si>
  <si>
    <t xml:space="preserve">Disclose entirely</t>
  </si>
  <si>
    <t xml:space="preserve">Disclose in part</t>
  </si>
  <si>
    <t xml:space="preserve">Exempt entirely</t>
  </si>
  <si>
    <t xml:space="preserve">Exclude entirely</t>
  </si>
  <si>
    <t xml:space="preserve">Consult other institution</t>
  </si>
  <si>
    <t xml:space="preserve">7.3 Recommendations and completion time for consultations received from other organizations outside the Government of Canada</t>
  </si>
  <si>
    <t xml:space="preserve">Total Number of Consultations</t>
  </si>
  <si>
    <t xml:space="preserve">Section 8: Completion Time of Consultations on Cabinet Confidences</t>
  </si>
  <si>
    <t xml:space="preserve">8.1 Requests with Legal Services</t>
  </si>
  <si>
    <t xml:space="preserve">Number of Days</t>
  </si>
  <si>
    <t xml:space="preserve">Fewer Than 500 Pages Processed</t>
  </si>
  <si>
    <t xml:space="preserve">500-10000
Pages Processed</t>
  </si>
  <si>
    <t xml:space="preserve">More Than 10000
Pages Processed</t>
  </si>
  <si>
    <t xml:space="preserve">Number of
Requests</t>
  </si>
  <si>
    <t xml:space="preserve">Pages Disclosed</t>
  </si>
  <si>
    <t xml:space="preserve">1 to 15</t>
  </si>
  <si>
    <t xml:space="preserve">16 to 30</t>
  </si>
  <si>
    <t xml:space="preserve">31 to 60</t>
  </si>
  <si>
    <t xml:space="preserve">61 to 120</t>
  </si>
  <si>
    <t xml:space="preserve">121 to 180</t>
  </si>
  <si>
    <t xml:space="preserve">181 to 365</t>
  </si>
  <si>
    <t xml:space="preserve">More than 365</t>
  </si>
  <si>
    <t xml:space="preserve">8.2 Requests with Privy Council Office</t>
  </si>
  <si>
    <t xml:space="preserve">Section 9: Investigations and Reports of finding</t>
  </si>
  <si>
    <t xml:space="preserve">9.1 Investigations</t>
  </si>
  <si>
    <t xml:space="preserve">Section 32 Notice of intention to investigate</t>
  </si>
  <si>
    <t xml:space="preserve">Subsection 30(5) Ceased to investigate</t>
  </si>
  <si>
    <t xml:space="preserve">Section 35  Formal Representations</t>
  </si>
  <si>
    <t xml:space="preserve">9.2 Investigations and Reports of finding</t>
  </si>
  <si>
    <t xml:space="preserve">Subsection 37(1) Initial Reports</t>
  </si>
  <si>
    <t xml:space="preserve">Subsection 37(2) Final Reports</t>
  </si>
  <si>
    <t xml:space="preserve"> Received</t>
  </si>
  <si>
    <t xml:space="preserve">Containing recommendations issued by the Information Commissioner</t>
  </si>
  <si>
    <t xml:space="preserve">Containing an intent to issue an order by the Information Commissioner</t>
  </si>
  <si>
    <t xml:space="preserve">Containing orders issued by the Information Commissioner</t>
  </si>
  <si>
    <t xml:space="preserve">Section 10: Court Action</t>
  </si>
  <si>
    <t xml:space="preserve">10.1 Court actions on complaints</t>
  </si>
  <si>
    <t xml:space="preserve">Section 41 </t>
  </si>
  <si>
    <t xml:space="preserve">Complainant (1)</t>
  </si>
  <si>
    <t xml:space="preserve">Institution (2)</t>
  </si>
  <si>
    <t xml:space="preserve">Third Party (3)</t>
  </si>
  <si>
    <t xml:space="preserve">Privacy Commissioner (4)</t>
  </si>
  <si>
    <t xml:space="preserve">10.2 Court actions on third party notifications under paragraph 28(1)(b)</t>
  </si>
  <si>
    <t xml:space="preserve">Section 44 - under paragraph 28(1)(b)</t>
  </si>
  <si>
    <r>
      <rPr>
        <b val="true"/>
        <sz val="11"/>
        <color rgb="FFFFFFFF"/>
        <rFont val="Arial"/>
        <family val="2"/>
        <charset val="1"/>
      </rPr>
      <t xml:space="preserve">Section 11: Resources Related to the </t>
    </r>
    <r>
      <rPr>
        <b val="true"/>
        <i val="true"/>
        <sz val="11"/>
        <color rgb="FFFFFFFF"/>
        <rFont val="Arial"/>
        <family val="2"/>
        <charset val="1"/>
      </rPr>
      <t xml:space="preserve">Access to Information Act</t>
    </r>
  </si>
  <si>
    <t xml:space="preserve">11.1 Allocated Costs</t>
  </si>
  <si>
    <t xml:space="preserve">Expenditures</t>
  </si>
  <si>
    <t xml:space="preserve">Salaries </t>
  </si>
  <si>
    <t xml:space="preserve">Overtime</t>
  </si>
  <si>
    <t xml:space="preserve">Goods and Services</t>
  </si>
  <si>
    <t xml:space="preserve">• Professional services contracts</t>
  </si>
  <si>
    <t xml:space="preserve">• Other</t>
  </si>
  <si>
    <r>
      <rPr>
        <b val="true"/>
        <sz val="11"/>
        <color theme="1"/>
        <rFont val="Arial"/>
        <family val="2"/>
        <charset val="1"/>
      </rPr>
      <t xml:space="preserve">11.2  </t>
    </r>
    <r>
      <rPr>
        <b val="true"/>
        <sz val="11"/>
        <color rgb="FF000000"/>
        <rFont val="Arial"/>
        <family val="2"/>
        <charset val="1"/>
      </rPr>
      <t xml:space="preserve">Human Resources</t>
    </r>
  </si>
  <si>
    <t xml:space="preserve">Resources</t>
  </si>
  <si>
    <t xml:space="preserve">Person Years Dedicated to Access to Information Activities </t>
  </si>
  <si>
    <t xml:space="preserve">Full-time employees</t>
  </si>
  <si>
    <t xml:space="preserve">Part-time and casual employees</t>
  </si>
  <si>
    <t xml:space="preserve">Regional staff</t>
  </si>
  <si>
    <t xml:space="preserve">Consultants and agency personnel</t>
  </si>
  <si>
    <t xml:space="preserve">Students</t>
  </si>
  <si>
    <t xml:space="preserve">Note: Enter values to three decimal places.</t>
  </si>
  <si>
    <r>
      <rPr>
        <b val="true"/>
        <sz val="14"/>
        <color theme="1"/>
        <rFont val="Arial"/>
        <family val="2"/>
        <charset val="1"/>
      </rPr>
      <t xml:space="preserve">Statistical Report on the </t>
    </r>
    <r>
      <rPr>
        <b val="true"/>
        <i val="true"/>
        <sz val="14"/>
        <color theme="1"/>
        <rFont val="Arial"/>
        <family val="2"/>
        <charset val="1"/>
      </rPr>
      <t xml:space="preserve">Privacy Act</t>
    </r>
  </si>
  <si>
    <r>
      <rPr>
        <b val="true"/>
        <sz val="12"/>
        <color theme="0"/>
        <rFont val="Arial"/>
        <family val="2"/>
        <charset val="1"/>
      </rPr>
      <t xml:space="preserve">Section</t>
    </r>
    <r>
      <rPr>
        <b val="true"/>
        <sz val="12"/>
        <color theme="9" tint="0.3999"/>
        <rFont val="Arial"/>
        <family val="2"/>
        <charset val="1"/>
      </rPr>
      <t xml:space="preserve"> </t>
    </r>
    <r>
      <rPr>
        <b val="true"/>
        <sz val="12"/>
        <color theme="0"/>
        <rFont val="Arial"/>
        <family val="2"/>
        <charset val="1"/>
      </rPr>
      <t xml:space="preserve">1: Requests Under the </t>
    </r>
    <r>
      <rPr>
        <b val="true"/>
        <i val="true"/>
        <sz val="12"/>
        <color theme="0"/>
        <rFont val="Arial"/>
        <family val="2"/>
        <charset val="1"/>
      </rPr>
      <t xml:space="preserve">Privacy Act</t>
    </r>
  </si>
  <si>
    <t xml:space="preserve">1.1  Number of requests received</t>
  </si>
  <si>
    <t xml:space="preserve">1.2  Channels of requests</t>
  </si>
  <si>
    <t xml:space="preserve">Section 2: Informal requests </t>
  </si>
  <si>
    <t xml:space="preserve">2.3 Pages released informally</t>
  </si>
  <si>
    <t xml:space="preserve">Less Than 500
Pages Released</t>
  </si>
  <si>
    <t xml:space="preserve">500-10000
Pages Released</t>
  </si>
  <si>
    <t xml:space="preserve">More Than 10000
Pages Released</t>
  </si>
  <si>
    <t xml:space="preserve">Pages Released</t>
  </si>
  <si>
    <t xml:space="preserve">Section 3: Requests Closed During the Reporting Period </t>
  </si>
  <si>
    <t xml:space="preserve">3.1 Disposition and completion time</t>
  </si>
  <si>
    <t xml:space="preserve">3.2 Exemptions </t>
  </si>
  <si>
    <t xml:space="preserve">18(2)</t>
  </si>
  <si>
    <t xml:space="preserve">22(1)(a)(i)</t>
  </si>
  <si>
    <t xml:space="preserve">23(a)</t>
  </si>
  <si>
    <t xml:space="preserve">19(1)(a)</t>
  </si>
  <si>
    <t xml:space="preserve">22(1)(a)(ii)</t>
  </si>
  <si>
    <t xml:space="preserve">23(b)</t>
  </si>
  <si>
    <t xml:space="preserve">19(1)(b)</t>
  </si>
  <si>
    <t xml:space="preserve">22(1)(a)(iii)</t>
  </si>
  <si>
    <t xml:space="preserve">24(a)</t>
  </si>
  <si>
    <t xml:space="preserve">19(1)(c)</t>
  </si>
  <si>
    <t xml:space="preserve">22(1)(b)</t>
  </si>
  <si>
    <t xml:space="preserve">24(b)</t>
  </si>
  <si>
    <t xml:space="preserve">19(1)(d)</t>
  </si>
  <si>
    <t xml:space="preserve">22(1)(c)</t>
  </si>
  <si>
    <t xml:space="preserve">19(1)(e)</t>
  </si>
  <si>
    <t xml:space="preserve">22(2)</t>
  </si>
  <si>
    <t xml:space="preserve">19(1)(f)</t>
  </si>
  <si>
    <t xml:space="preserve">3.3 Exclusions </t>
  </si>
  <si>
    <t xml:space="preserve">70(1)</t>
  </si>
  <si>
    <t xml:space="preserve">70(1)(d)</t>
  </si>
  <si>
    <t xml:space="preserve">70(1)(a)</t>
  </si>
  <si>
    <t xml:space="preserve">70(1)(e)</t>
  </si>
  <si>
    <t xml:space="preserve">70(1)(b)</t>
  </si>
  <si>
    <t xml:space="preserve">70(1)(f)</t>
  </si>
  <si>
    <t xml:space="preserve">70(1)(c)</t>
  </si>
  <si>
    <t xml:space="preserve">3.4 Format of information released</t>
  </si>
  <si>
    <t xml:space="preserve">3.5 Complexity</t>
  </si>
  <si>
    <t xml:space="preserve">3.5.1 Relevant pages processed and disclosed for paper, e-record and dataset formats</t>
  </si>
  <si>
    <t xml:space="preserve">Number of Pages  Processed</t>
  </si>
  <si>
    <r>
      <rPr>
        <b val="true"/>
        <sz val="11"/>
        <rFont val="Arial"/>
        <family val="2"/>
        <charset val="1"/>
      </rPr>
      <t xml:space="preserve">3.5.2 Relevant pages processed per request disposition for </t>
    </r>
    <r>
      <rPr>
        <b val="true"/>
        <u val="single"/>
        <sz val="11"/>
        <rFont val="Arial"/>
        <family val="2"/>
        <charset val="1"/>
      </rPr>
      <t xml:space="preserve">paper</t>
    </r>
    <r>
      <rPr>
        <b val="true"/>
        <sz val="11"/>
        <rFont val="Arial"/>
        <family val="2"/>
        <charset val="1"/>
      </rPr>
      <t xml:space="preserve">, </t>
    </r>
    <r>
      <rPr>
        <b val="true"/>
        <u val="single"/>
        <sz val="11"/>
        <rFont val="Arial"/>
        <family val="2"/>
        <charset val="1"/>
      </rPr>
      <t xml:space="preserve">e-record</t>
    </r>
    <r>
      <rPr>
        <b val="true"/>
        <sz val="11"/>
        <rFont val="Arial"/>
        <family val="2"/>
        <charset val="1"/>
      </rPr>
      <t xml:space="preserve"> and </t>
    </r>
    <r>
      <rPr>
        <b val="true"/>
        <u val="single"/>
        <sz val="11"/>
        <rFont val="Arial"/>
        <family val="2"/>
        <charset val="1"/>
      </rPr>
      <t xml:space="preserve">dataset</t>
    </r>
    <r>
      <rPr>
        <b val="true"/>
        <sz val="11"/>
        <rFont val="Arial"/>
        <family val="2"/>
        <charset val="1"/>
      </rPr>
      <t xml:space="preserve"> formats by size of requests</t>
    </r>
  </si>
  <si>
    <t xml:space="preserve">Number of requests 3.5.2</t>
  </si>
  <si>
    <t xml:space="preserve">Total 3.5.2, 3.5.4 and 3.5.6</t>
  </si>
  <si>
    <r>
      <rPr>
        <b val="true"/>
        <sz val="11"/>
        <rFont val="Arial"/>
        <family val="2"/>
        <charset val="1"/>
      </rPr>
      <t xml:space="preserve">3.5.3 Relevant minutes processed and disclosed for </t>
    </r>
    <r>
      <rPr>
        <b val="true"/>
        <u val="single"/>
        <sz val="11"/>
        <rFont val="Arial"/>
        <family val="2"/>
        <charset val="1"/>
      </rPr>
      <t xml:space="preserve">audio and video</t>
    </r>
    <r>
      <rPr>
        <b val="true"/>
        <sz val="11"/>
        <rFont val="Arial"/>
        <family val="2"/>
        <charset val="1"/>
      </rPr>
      <t xml:space="preserve"> formats</t>
    </r>
  </si>
  <si>
    <r>
      <rPr>
        <b val="true"/>
        <sz val="11"/>
        <rFont val="Arial"/>
        <family val="2"/>
        <charset val="1"/>
      </rPr>
      <t xml:space="preserve">3.5.4 Relevant minutes processed per request disposition for </t>
    </r>
    <r>
      <rPr>
        <b val="true"/>
        <u val="single"/>
        <sz val="11"/>
        <rFont val="Arial"/>
        <family val="2"/>
        <charset val="1"/>
      </rPr>
      <t xml:space="preserve">audio and video</t>
    </r>
    <r>
      <rPr>
        <b val="true"/>
        <sz val="11"/>
        <rFont val="Arial"/>
        <family val="2"/>
        <charset val="1"/>
      </rPr>
      <t xml:space="preserve"> formats</t>
    </r>
    <r>
      <rPr>
        <b val="true"/>
        <strike val="true"/>
        <sz val="11"/>
        <rFont val="Arial"/>
        <family val="2"/>
        <charset val="1"/>
      </rPr>
      <t xml:space="preserve"> by size of requests</t>
    </r>
  </si>
  <si>
    <t xml:space="preserve">Number of requests</t>
  </si>
  <si>
    <t xml:space="preserve">3.5.5 Other complexities</t>
  </si>
  <si>
    <t xml:space="preserve">Interwoven Information</t>
  </si>
  <si>
    <t xml:space="preserve">3.6 Closed requests</t>
  </si>
  <si>
    <r>
      <rPr>
        <b val="true"/>
        <sz val="11"/>
        <color theme="1"/>
        <rFont val="Arial"/>
        <family val="2"/>
        <charset val="1"/>
      </rPr>
      <t xml:space="preserve">3.6.1</t>
    </r>
    <r>
      <rPr>
        <b val="true"/>
        <sz val="11"/>
        <rFont val="Arial"/>
        <family val="2"/>
        <charset val="1"/>
      </rPr>
      <t xml:space="preserve">  Number of requests closed within legislated timelines</t>
    </r>
  </si>
  <si>
    <r>
      <rPr>
        <b val="true"/>
        <sz val="10"/>
        <color theme="1"/>
        <rFont val="Arial"/>
        <family val="2"/>
        <charset val="1"/>
      </rPr>
      <t xml:space="preserve">Number of requests closed within legislate</t>
    </r>
    <r>
      <rPr>
        <b val="true"/>
        <sz val="10"/>
        <rFont val="Arial"/>
        <family val="2"/>
        <charset val="1"/>
      </rPr>
      <t xml:space="preserve">d timelines</t>
    </r>
  </si>
  <si>
    <t xml:space="preserve">3.7 Deemed refusals</t>
  </si>
  <si>
    <t xml:space="preserve">3.7.1 Reasons for not meeting legislated timelines</t>
  </si>
  <si>
    <t xml:space="preserve">Number of requests closed past the legislated timelines</t>
  </si>
  <si>
    <t xml:space="preserve">Interference with operations / Workload</t>
  </si>
  <si>
    <r>
      <rPr>
        <b val="true"/>
        <sz val="11"/>
        <rFont val="Arial"/>
        <family val="2"/>
        <charset val="1"/>
      </rPr>
      <t xml:space="preserve">3.7.2 Request</t>
    </r>
    <r>
      <rPr>
        <b val="true"/>
        <sz val="11"/>
        <color theme="1"/>
        <rFont val="Arial"/>
        <family val="2"/>
        <charset val="1"/>
      </rPr>
      <t xml:space="preserve"> closed beyond legislated</t>
    </r>
    <r>
      <rPr>
        <b val="true"/>
        <sz val="11"/>
        <rFont val="Arial"/>
        <family val="2"/>
        <charset val="1"/>
      </rPr>
      <t xml:space="preserve"> timelines</t>
    </r>
    <r>
      <rPr>
        <b val="true"/>
        <sz val="11"/>
        <color theme="1"/>
        <rFont val="Arial"/>
        <family val="2"/>
        <charset val="1"/>
      </rPr>
      <t xml:space="preserve"> (including any extension taken)</t>
    </r>
  </si>
  <si>
    <t xml:space="preserve">Number of requests past  legislated timeline where an extension was taken</t>
  </si>
  <si>
    <t xml:space="preserve">Section 4: Disclosures Under Subsections 8(2) and 8(5)</t>
  </si>
  <si>
    <t xml:space="preserve">Paragraph 8(2)(e)</t>
  </si>
  <si>
    <t xml:space="preserve">Paragraph 8(2)(m)</t>
  </si>
  <si>
    <t xml:space="preserve">Subsection 8(5)</t>
  </si>
  <si>
    <t xml:space="preserve">Section 5: Requests for Correction of Personal Information and Notations</t>
  </si>
  <si>
    <t xml:space="preserve">Disposition for Correction Requests Received</t>
  </si>
  <si>
    <t xml:space="preserve">Number</t>
  </si>
  <si>
    <t xml:space="preserve">Notations attached</t>
  </si>
  <si>
    <t xml:space="preserve">Requests for correction accepted</t>
  </si>
  <si>
    <t xml:space="preserve">Section 6: Extensions</t>
  </si>
  <si>
    <t xml:space="preserve">6.1  Reasons for extensions</t>
  </si>
  <si>
    <t xml:space="preserve">15(a)(i) Interference with operations</t>
  </si>
  <si>
    <t xml:space="preserve">15 (a)(ii) Consultation </t>
  </si>
  <si>
    <t xml:space="preserve">15(b)
Translation purposes or conversion</t>
  </si>
  <si>
    <t xml:space="preserve">Further review required to determine exemptions</t>
  </si>
  <si>
    <t xml:space="preserve">Large volume of pages</t>
  </si>
  <si>
    <t xml:space="preserve">Large volume of requests</t>
  </si>
  <si>
    <t xml:space="preserve">Documents are difficult to obtain</t>
  </si>
  <si>
    <t xml:space="preserve">Cabinet Confidence (Section 70)</t>
  </si>
  <si>
    <t xml:space="preserve">External</t>
  </si>
  <si>
    <t xml:space="preserve">Internal</t>
  </si>
  <si>
    <t xml:space="preserve">Number of extensions taken</t>
  </si>
  <si>
    <t xml:space="preserve">6.2 Length of extensions</t>
  </si>
  <si>
    <t xml:space="preserve">31 days or greater </t>
  </si>
  <si>
    <t xml:space="preserve">7.1 Consultations received from other Government of Canada institutions and other organizations</t>
  </si>
  <si>
    <t xml:space="preserve">Number of days required to complete consultation requests</t>
  </si>
  <si>
    <t xml:space="preserve">More than 10000
Pages Processed</t>
  </si>
  <si>
    <t xml:space="preserve">Section 9: Complaints and Investigations Notices Received</t>
  </si>
  <si>
    <t xml:space="preserve">Section 31</t>
  </si>
  <si>
    <t xml:space="preserve">Section 33</t>
  </si>
  <si>
    <t xml:space="preserve">Section 35</t>
  </si>
  <si>
    <t xml:space="preserve">Court action</t>
  </si>
  <si>
    <t xml:space="preserve">Section 10: Privacy Impact Assessments (PIAs) and Personal Information Banks (PIBs)</t>
  </si>
  <si>
    <t xml:space="preserve">10.1 Programs and activities</t>
  </si>
  <si>
    <t xml:space="preserve">Number of existing programs or activities that use personal information that have been substantially modified during the reporting period</t>
  </si>
  <si>
    <t xml:space="preserve">Number of new programs or new activities that use personal information established during the reporting period</t>
  </si>
  <si>
    <t xml:space="preserve">10.2 Privacy Impact Assessments</t>
  </si>
  <si>
    <t xml:space="preserve">Number of PIAs completed</t>
  </si>
  <si>
    <t xml:space="preserve">Number of PIAs modified</t>
  </si>
  <si>
    <t xml:space="preserve">Number of PIA summaries published during the reporting period</t>
  </si>
  <si>
    <t xml:space="preserve">Number of PIAs for which the risk mitigation measures have been reviewed during the reporting period</t>
  </si>
  <si>
    <t xml:space="preserve">10.3 Privacy Protocols</t>
  </si>
  <si>
    <t xml:space="preserve">Number of privacy protocols completed to establish or modify Personal Information Banks</t>
  </si>
  <si>
    <t xml:space="preserve">10.4 Institution-specific and Central Personal Information Banks</t>
  </si>
  <si>
    <t xml:space="preserve">Personal Information Banks</t>
  </si>
  <si>
    <t xml:space="preserve">Active</t>
  </si>
  <si>
    <t xml:space="preserve">Created</t>
  </si>
  <si>
    <t xml:space="preserve">Terminated</t>
  </si>
  <si>
    <t xml:space="preserve">Modified</t>
  </si>
  <si>
    <t xml:space="preserve">Institution-specific</t>
  </si>
  <si>
    <t xml:space="preserve">Central</t>
  </si>
  <si>
    <t xml:space="preserve">10.5 Info Source page</t>
  </si>
  <si>
    <t xml:space="preserve">Date of the most recent major change to Personal Information Banks on the Info Source page</t>
  </si>
  <si>
    <t xml:space="preserve">Section 11: Social Insurance Number</t>
  </si>
  <si>
    <t xml:space="preserve">Number of new programs or activities that collect or use Social Insurance Number</t>
  </si>
  <si>
    <t xml:space="preserve">Section 12: Privacy Breaches</t>
  </si>
  <si>
    <t xml:space="preserve">12.1 Material Privacy Breaches reported</t>
  </si>
  <si>
    <t xml:space="preserve">Number of material privacy breaches reported to TBS</t>
  </si>
  <si>
    <t xml:space="preserve">Number of material privacy breaches reported to OPC</t>
  </si>
  <si>
    <t xml:space="preserve">12.2 Non-Material Privacy Breaches</t>
  </si>
  <si>
    <t xml:space="preserve">Number of non-material privacy breaches </t>
  </si>
  <si>
    <t xml:space="preserve">Section 13: Privacy Training</t>
  </si>
  <si>
    <t xml:space="preserve">Number of employees that have completed privacy training during the reporting period</t>
  </si>
  <si>
    <t xml:space="preserve">Section 14: Resources Related to the Privacy Act</t>
  </si>
  <si>
    <t xml:space="preserve">14.1  Allocated Costs</t>
  </si>
  <si>
    <t xml:space="preserve">14.2  Human Resources</t>
  </si>
  <si>
    <t xml:space="preserve">Person Years Dedicated to Privacy Activities </t>
  </si>
  <si>
    <t xml:space="preserve">Inst</t>
  </si>
  <si>
    <t xml:space="preserve">Report</t>
  </si>
  <si>
    <t xml:space="preserve">2025;2026</t>
  </si>
  <si>
    <t xml:space="preserve">Q1R1C1</t>
  </si>
  <si>
    <t xml:space="preserve">1,1</t>
  </si>
  <si>
    <t xml:space="preserve">Q1R2C1</t>
  </si>
  <si>
    <t xml:space="preserve">Q1R3C1</t>
  </si>
  <si>
    <t xml:space="preserve">Q1R4C1</t>
  </si>
  <si>
    <t xml:space="preserve">Q1R5C1</t>
  </si>
  <si>
    <t xml:space="preserve">Q1R6C1</t>
  </si>
  <si>
    <t xml:space="preserve">Q1R7C1</t>
  </si>
  <si>
    <t xml:space="preserve">Q1R8C1</t>
  </si>
  <si>
    <t xml:space="preserve">Q1R9C1</t>
  </si>
  <si>
    <t xml:space="preserve">Q2R1C1</t>
  </si>
  <si>
    <t xml:space="preserve">1,2</t>
  </si>
  <si>
    <t xml:space="preserve">Q2R2C1</t>
  </si>
  <si>
    <t xml:space="preserve">Q2R3C1</t>
  </si>
  <si>
    <t xml:space="preserve">Q2R4C1</t>
  </si>
  <si>
    <t xml:space="preserve">Q2R5C1</t>
  </si>
  <si>
    <t xml:space="preserve">Q2R6C1</t>
  </si>
  <si>
    <t xml:space="preserve">Q2R7C1</t>
  </si>
  <si>
    <t xml:space="preserve">Q3R1C1</t>
  </si>
  <si>
    <t xml:space="preserve">1,3</t>
  </si>
  <si>
    <t xml:space="preserve">Q3R2C1</t>
  </si>
  <si>
    <t xml:space="preserve">Q3R3C1</t>
  </si>
  <si>
    <t xml:space="preserve">Q3R4C1</t>
  </si>
  <si>
    <t xml:space="preserve">Q3R5C1</t>
  </si>
  <si>
    <t xml:space="preserve">Q3R6C1</t>
  </si>
  <si>
    <t xml:space="preserve">Q3R7C1</t>
  </si>
  <si>
    <t xml:space="preserve">Q4R1C1</t>
  </si>
  <si>
    <t xml:space="preserve">2,1</t>
  </si>
  <si>
    <t xml:space="preserve">Q4R2C1</t>
  </si>
  <si>
    <t xml:space="preserve">Q4R3C1</t>
  </si>
  <si>
    <t xml:space="preserve">Q4R4C1</t>
  </si>
  <si>
    <t xml:space="preserve">Q4R5C1</t>
  </si>
  <si>
    <t xml:space="preserve">Q4R6C1</t>
  </si>
  <si>
    <t xml:space="preserve">Q4R7C1</t>
  </si>
  <si>
    <t xml:space="preserve">Q5R1C1</t>
  </si>
  <si>
    <t xml:space="preserve">2,2</t>
  </si>
  <si>
    <t xml:space="preserve">Q5R2C1</t>
  </si>
  <si>
    <t xml:space="preserve">Q5R3C1</t>
  </si>
  <si>
    <t xml:space="preserve">Q5R4C1</t>
  </si>
  <si>
    <t xml:space="preserve">Q5R5C1</t>
  </si>
  <si>
    <t xml:space="preserve">Q5R6C1</t>
  </si>
  <si>
    <t xml:space="preserve">Q5R7C1</t>
  </si>
  <si>
    <t xml:space="preserve">Q6R1C1</t>
  </si>
  <si>
    <t xml:space="preserve">2,3</t>
  </si>
  <si>
    <t xml:space="preserve">Q6R1C2</t>
  </si>
  <si>
    <t xml:space="preserve">Q6R1C3</t>
  </si>
  <si>
    <t xml:space="preserve">Q6R1C4</t>
  </si>
  <si>
    <t xml:space="preserve">Q6R1C5</t>
  </si>
  <si>
    <t xml:space="preserve">Q6R1C6</t>
  </si>
  <si>
    <t xml:space="preserve">Q6R1C7</t>
  </si>
  <si>
    <t xml:space="preserve">Q7R1C1</t>
  </si>
  <si>
    <t xml:space="preserve">2,4</t>
  </si>
  <si>
    <t xml:space="preserve">Q7R1C2</t>
  </si>
  <si>
    <t xml:space="preserve">Q7R1C3</t>
  </si>
  <si>
    <t xml:space="preserve">Q7R1C4</t>
  </si>
  <si>
    <t xml:space="preserve">Q7R1C5</t>
  </si>
  <si>
    <t xml:space="preserve">Q7R1C6</t>
  </si>
  <si>
    <t xml:space="preserve">Q7R1C7</t>
  </si>
  <si>
    <t xml:space="preserve">Q7R1C8</t>
  </si>
  <si>
    <t xml:space="preserve">Q7R1C9</t>
  </si>
  <si>
    <t xml:space="preserve">Q7R1C10</t>
  </si>
  <si>
    <t xml:space="preserve">Q8R1C1</t>
  </si>
  <si>
    <t xml:space="preserve">2,5</t>
  </si>
  <si>
    <t xml:space="preserve">Q8R1C2</t>
  </si>
  <si>
    <t xml:space="preserve">Q8R1C3</t>
  </si>
  <si>
    <t xml:space="preserve">Q8R1C4</t>
  </si>
  <si>
    <t xml:space="preserve">Q8R1C5</t>
  </si>
  <si>
    <t xml:space="preserve">Q8R1C6</t>
  </si>
  <si>
    <t xml:space="preserve">Q8R1C7</t>
  </si>
  <si>
    <t xml:space="preserve">Q8R1C8</t>
  </si>
  <si>
    <t xml:space="preserve">Q8R1C9</t>
  </si>
  <si>
    <t xml:space="preserve">Q8R1C10</t>
  </si>
  <si>
    <t xml:space="preserve">Q9R1C1</t>
  </si>
  <si>
    <t xml:space="preserve">Q9R2C1</t>
  </si>
  <si>
    <t xml:space="preserve">Q9R3C1</t>
  </si>
  <si>
    <t xml:space="preserve">Q9R4C1</t>
  </si>
  <si>
    <t xml:space="preserve">Q9R5C1</t>
  </si>
  <si>
    <t xml:space="preserve">Q9R6C1</t>
  </si>
  <si>
    <t xml:space="preserve">Q9R7C1</t>
  </si>
  <si>
    <t xml:space="preserve">Q10R1C1</t>
  </si>
  <si>
    <t xml:space="preserve">4,1</t>
  </si>
  <si>
    <t xml:space="preserve">Q10R1C2</t>
  </si>
  <si>
    <t xml:space="preserve">Q10R1C3</t>
  </si>
  <si>
    <t xml:space="preserve">Q10R1C4</t>
  </si>
  <si>
    <t xml:space="preserve">Q10R1C5</t>
  </si>
  <si>
    <t xml:space="preserve">Q10R1C6</t>
  </si>
  <si>
    <t xml:space="preserve">Q10R1C7</t>
  </si>
  <si>
    <t xml:space="preserve">Q10R2C1</t>
  </si>
  <si>
    <t xml:space="preserve">Q10R2C2</t>
  </si>
  <si>
    <t xml:space="preserve">Q10R2C3</t>
  </si>
  <si>
    <t xml:space="preserve">Q10R2C4</t>
  </si>
  <si>
    <t xml:space="preserve">Q10R2C5</t>
  </si>
  <si>
    <t xml:space="preserve">Q10R2C6</t>
  </si>
  <si>
    <t xml:space="preserve">Q10R2C7</t>
  </si>
  <si>
    <t xml:space="preserve">Q10R3C1</t>
  </si>
  <si>
    <t xml:space="preserve">Q10R3C2</t>
  </si>
  <si>
    <t xml:space="preserve">Q10R3C3</t>
  </si>
  <si>
    <t xml:space="preserve">Q10R3C4</t>
  </si>
  <si>
    <t xml:space="preserve">Q10R3C5</t>
  </si>
  <si>
    <t xml:space="preserve">Q10R3C6</t>
  </si>
  <si>
    <t xml:space="preserve">Q10R3C7</t>
  </si>
  <si>
    <t xml:space="preserve">Q10R4C1</t>
  </si>
  <si>
    <t xml:space="preserve">Q10R4C2</t>
  </si>
  <si>
    <t xml:space="preserve">Q10R4C3</t>
  </si>
  <si>
    <t xml:space="preserve">Q10R4C4</t>
  </si>
  <si>
    <t xml:space="preserve">Q10R4C5</t>
  </si>
  <si>
    <t xml:space="preserve">Q10R4C6</t>
  </si>
  <si>
    <t xml:space="preserve">Q10R4C7</t>
  </si>
  <si>
    <t xml:space="preserve">Q10R5C1</t>
  </si>
  <si>
    <t xml:space="preserve">Q10R5C2</t>
  </si>
  <si>
    <t xml:space="preserve">Q10R5C3</t>
  </si>
  <si>
    <t xml:space="preserve">Q10R5C4</t>
  </si>
  <si>
    <t xml:space="preserve">Q10R5C5</t>
  </si>
  <si>
    <t xml:space="preserve">Q10R5C6</t>
  </si>
  <si>
    <t xml:space="preserve">Q10R5C7</t>
  </si>
  <si>
    <t xml:space="preserve">Q10R6C1</t>
  </si>
  <si>
    <t xml:space="preserve">Q10R6C2</t>
  </si>
  <si>
    <t xml:space="preserve">Q10R6C3</t>
  </si>
  <si>
    <t xml:space="preserve">Q10R6C4</t>
  </si>
  <si>
    <t xml:space="preserve">Q10R6C5</t>
  </si>
  <si>
    <t xml:space="preserve">Q10R6C6</t>
  </si>
  <si>
    <t xml:space="preserve">Q10R6C7</t>
  </si>
  <si>
    <t xml:space="preserve">Q10R7C1</t>
  </si>
  <si>
    <t xml:space="preserve">Q10R7C2</t>
  </si>
  <si>
    <t xml:space="preserve">Q10R7C3</t>
  </si>
  <si>
    <t xml:space="preserve">Q10R7C4</t>
  </si>
  <si>
    <t xml:space="preserve">Q10R7C5</t>
  </si>
  <si>
    <t xml:space="preserve">Q10R7C6</t>
  </si>
  <si>
    <t xml:space="preserve">Q10R7C7</t>
  </si>
  <si>
    <t xml:space="preserve">Q10R8C1</t>
  </si>
  <si>
    <t xml:space="preserve">Q10R8C2</t>
  </si>
  <si>
    <t xml:space="preserve">Q10R8C3</t>
  </si>
  <si>
    <t xml:space="preserve">Q10R8C4</t>
  </si>
  <si>
    <t xml:space="preserve">Q10R8C5</t>
  </si>
  <si>
    <t xml:space="preserve">Q10R8C6</t>
  </si>
  <si>
    <t xml:space="preserve">Q10R8C7</t>
  </si>
  <si>
    <t xml:space="preserve">Q10R9C1</t>
  </si>
  <si>
    <t xml:space="preserve">Q10R9C2</t>
  </si>
  <si>
    <t xml:space="preserve">Q10R9C3</t>
  </si>
  <si>
    <t xml:space="preserve">Q10R9C4</t>
  </si>
  <si>
    <t xml:space="preserve">Q10R9C5</t>
  </si>
  <si>
    <t xml:space="preserve">Q10R9C6</t>
  </si>
  <si>
    <t xml:space="preserve">Q10R9C7</t>
  </si>
  <si>
    <t xml:space="preserve">Q11R1C1</t>
  </si>
  <si>
    <t xml:space="preserve">4,2</t>
  </si>
  <si>
    <t xml:space="preserve">Q11R2C1</t>
  </si>
  <si>
    <t xml:space="preserve">Q11R3C1</t>
  </si>
  <si>
    <t xml:space="preserve">Q11R4C1</t>
  </si>
  <si>
    <t xml:space="preserve">Q11R5C1</t>
  </si>
  <si>
    <t xml:space="preserve">Q11R6C1</t>
  </si>
  <si>
    <t xml:space="preserve">Q11R7C1</t>
  </si>
  <si>
    <t xml:space="preserve">Q11R8C1</t>
  </si>
  <si>
    <t xml:space="preserve">Q11R9C1</t>
  </si>
  <si>
    <t xml:space="preserve">Q11R10C1</t>
  </si>
  <si>
    <t xml:space="preserve">Q11R11C1</t>
  </si>
  <si>
    <t xml:space="preserve">Q11R12C1</t>
  </si>
  <si>
    <t xml:space="preserve">Q11R13C1</t>
  </si>
  <si>
    <t xml:space="preserve">Q11R14C1</t>
  </si>
  <si>
    <t xml:space="preserve">Q11R15C1</t>
  </si>
  <si>
    <t xml:space="preserve">Q11R16C1</t>
  </si>
  <si>
    <t xml:space="preserve">Q11R17C1</t>
  </si>
  <si>
    <t xml:space="preserve">Q11R18C1</t>
  </si>
  <si>
    <t xml:space="preserve">Q11R19C1</t>
  </si>
  <si>
    <t xml:space="preserve">Q11R20C1</t>
  </si>
  <si>
    <t xml:space="preserve">Q11R21C1</t>
  </si>
  <si>
    <t xml:space="preserve">Q11R22C1</t>
  </si>
  <si>
    <t xml:space="preserve">Q11R23C1</t>
  </si>
  <si>
    <t xml:space="preserve">Q11R24C1</t>
  </si>
  <si>
    <t xml:space="preserve">Q11R25C1</t>
  </si>
  <si>
    <t xml:space="preserve">Q11R26C1</t>
  </si>
  <si>
    <t xml:space="preserve">Q11R27C1</t>
  </si>
  <si>
    <t xml:space="preserve">Q11R28C1</t>
  </si>
  <si>
    <t xml:space="preserve">Q11R29C1</t>
  </si>
  <si>
    <t xml:space="preserve">Q11R30C1</t>
  </si>
  <si>
    <t xml:space="preserve">Q11R31C1</t>
  </si>
  <si>
    <t xml:space="preserve">Q11R32C1</t>
  </si>
  <si>
    <t xml:space="preserve">Q11R33C1</t>
  </si>
  <si>
    <t xml:space="preserve">Q11R34C1</t>
  </si>
  <si>
    <t xml:space="preserve">Q11R35C1</t>
  </si>
  <si>
    <t xml:space="preserve">Q11R36C1</t>
  </si>
  <si>
    <t xml:space="preserve">Q11R37C1</t>
  </si>
  <si>
    <t xml:space="preserve">Q11R38C1</t>
  </si>
  <si>
    <t xml:space="preserve">Q11R39C1</t>
  </si>
  <si>
    <t xml:space="preserve">Q11R40C1</t>
  </si>
  <si>
    <t xml:space="preserve">Q11R41C1</t>
  </si>
  <si>
    <t xml:space="preserve">Q11R42C1</t>
  </si>
  <si>
    <t xml:space="preserve">Q11R43C1</t>
  </si>
  <si>
    <t xml:space="preserve">Q11R44C1</t>
  </si>
  <si>
    <t xml:space="preserve">Q11R45C1</t>
  </si>
  <si>
    <t xml:space="preserve">Q11R46C1</t>
  </si>
  <si>
    <t xml:space="preserve">Q11R47C1</t>
  </si>
  <si>
    <t xml:space="preserve">Q11R48C1</t>
  </si>
  <si>
    <t xml:space="preserve">Q11R49C1</t>
  </si>
  <si>
    <t xml:space="preserve">Q11R50C1</t>
  </si>
  <si>
    <t xml:space="preserve">Q11R51C1</t>
  </si>
  <si>
    <t xml:space="preserve">Q11R52C1</t>
  </si>
  <si>
    <t xml:space="preserve">Q11R53C1</t>
  </si>
  <si>
    <t xml:space="preserve">Q11R54C1</t>
  </si>
  <si>
    <t xml:space="preserve">Q11R55C1</t>
  </si>
  <si>
    <t xml:space="preserve">Q11R56C1</t>
  </si>
  <si>
    <t xml:space="preserve">Q11R57C1</t>
  </si>
  <si>
    <t xml:space="preserve">Q11R58C1</t>
  </si>
  <si>
    <t xml:space="preserve">Q11R59C1</t>
  </si>
  <si>
    <t xml:space="preserve">Q11R60C1</t>
  </si>
  <si>
    <t xml:space="preserve">Q11R61C1</t>
  </si>
  <si>
    <t xml:space="preserve">Q12R1C1</t>
  </si>
  <si>
    <t xml:space="preserve">4,3</t>
  </si>
  <si>
    <t xml:space="preserve">Q12R2C1</t>
  </si>
  <si>
    <t xml:space="preserve">Q12R3C1</t>
  </si>
  <si>
    <t xml:space="preserve">Q12R4C1</t>
  </si>
  <si>
    <t xml:space="preserve">Q12R5C1</t>
  </si>
  <si>
    <t xml:space="preserve">Q12R6C1</t>
  </si>
  <si>
    <t xml:space="preserve">Q12R7C1</t>
  </si>
  <si>
    <t xml:space="preserve">Q12R8C1</t>
  </si>
  <si>
    <t xml:space="preserve">Q12R9C1</t>
  </si>
  <si>
    <t xml:space="preserve">Q12R10C1</t>
  </si>
  <si>
    <t xml:space="preserve">Q12R11C1</t>
  </si>
  <si>
    <t xml:space="preserve">Q12R12C1</t>
  </si>
  <si>
    <t xml:space="preserve">Q12R13C1</t>
  </si>
  <si>
    <t xml:space="preserve">Q12R14C1</t>
  </si>
  <si>
    <t xml:space="preserve">Q12R15C1</t>
  </si>
  <si>
    <t xml:space="preserve">Q12R16C1</t>
  </si>
  <si>
    <t xml:space="preserve">Q12R17C1</t>
  </si>
  <si>
    <t xml:space="preserve">Q12R18C1</t>
  </si>
  <si>
    <t xml:space="preserve">Q12R19C1</t>
  </si>
  <si>
    <t xml:space="preserve">Q12R20C1</t>
  </si>
  <si>
    <t xml:space="preserve">Q13R1C1</t>
  </si>
  <si>
    <t xml:space="preserve">4,4</t>
  </si>
  <si>
    <t xml:space="preserve">Q13R1C2</t>
  </si>
  <si>
    <t xml:space="preserve">Q13R1C3</t>
  </si>
  <si>
    <t xml:space="preserve">Q13R1C4</t>
  </si>
  <si>
    <t xml:space="preserve">Q13R1C5</t>
  </si>
  <si>
    <t xml:space="preserve">Q13R1C6</t>
  </si>
  <si>
    <t xml:space="preserve">Q14R1C1</t>
  </si>
  <si>
    <t xml:space="preserve">4.5.1</t>
  </si>
  <si>
    <t xml:space="preserve">Q14R1C2</t>
  </si>
  <si>
    <t xml:space="preserve">Q14R1C3</t>
  </si>
  <si>
    <t xml:space="preserve">Q15R1C1</t>
  </si>
  <si>
    <t xml:space="preserve">4.5.2</t>
  </si>
  <si>
    <t xml:space="preserve">Q15R1C2</t>
  </si>
  <si>
    <t xml:space="preserve">Q15R1C3</t>
  </si>
  <si>
    <t xml:space="preserve">Q15R1C4</t>
  </si>
  <si>
    <t xml:space="preserve">Q15R1C5</t>
  </si>
  <si>
    <t xml:space="preserve">Q15R1C6</t>
  </si>
  <si>
    <t xml:space="preserve">Q15R1C7</t>
  </si>
  <si>
    <t xml:space="preserve">Q15R1C8</t>
  </si>
  <si>
    <t xml:space="preserve">Q15R1C9</t>
  </si>
  <si>
    <t xml:space="preserve">Q15R1C10</t>
  </si>
  <si>
    <t xml:space="preserve">Q15R2C1</t>
  </si>
  <si>
    <t xml:space="preserve">Q15R2C2</t>
  </si>
  <si>
    <t xml:space="preserve">Q15R2C3</t>
  </si>
  <si>
    <t xml:space="preserve">Q15R2C4</t>
  </si>
  <si>
    <t xml:space="preserve">Q15R2C5</t>
  </si>
  <si>
    <t xml:space="preserve">Q15R2C6</t>
  </si>
  <si>
    <t xml:space="preserve">Q15R2C7</t>
  </si>
  <si>
    <t xml:space="preserve">Q15R2C8</t>
  </si>
  <si>
    <t xml:space="preserve">Q15R2C9</t>
  </si>
  <si>
    <t xml:space="preserve">Q15R2C10</t>
  </si>
  <si>
    <t xml:space="preserve">Q15R3C1</t>
  </si>
  <si>
    <t xml:space="preserve">Q15R3C2</t>
  </si>
  <si>
    <t xml:space="preserve">Q15R3C3</t>
  </si>
  <si>
    <t xml:space="preserve">Q15R3C4</t>
  </si>
  <si>
    <t xml:space="preserve">Q15R3C5</t>
  </si>
  <si>
    <t xml:space="preserve">Q15R3C6</t>
  </si>
  <si>
    <t xml:space="preserve">Q15R3C7</t>
  </si>
  <si>
    <t xml:space="preserve">Q15R3C8</t>
  </si>
  <si>
    <t xml:space="preserve">Q15R3C9</t>
  </si>
  <si>
    <t xml:space="preserve">Q15R3C10</t>
  </si>
  <si>
    <t xml:space="preserve">Q15R4C1</t>
  </si>
  <si>
    <t xml:space="preserve">Q15R4C2</t>
  </si>
  <si>
    <t xml:space="preserve">Q15R4C3</t>
  </si>
  <si>
    <t xml:space="preserve">Q15R4C4</t>
  </si>
  <si>
    <t xml:space="preserve">Q15R4C5</t>
  </si>
  <si>
    <t xml:space="preserve">Q15R4C6</t>
  </si>
  <si>
    <t xml:space="preserve">Q15R4C7</t>
  </si>
  <si>
    <t xml:space="preserve">Q15R4C8</t>
  </si>
  <si>
    <t xml:space="preserve">Q15R4C9</t>
  </si>
  <si>
    <t xml:space="preserve">Q15R4C10</t>
  </si>
  <si>
    <t xml:space="preserve">Q15R5C1</t>
  </si>
  <si>
    <t xml:space="preserve">Q15R5C2</t>
  </si>
  <si>
    <t xml:space="preserve">Q15R5C3</t>
  </si>
  <si>
    <t xml:space="preserve">Q15R5C4</t>
  </si>
  <si>
    <t xml:space="preserve">Q15R5C5</t>
  </si>
  <si>
    <t xml:space="preserve">Q15R5C6</t>
  </si>
  <si>
    <t xml:space="preserve">Q15R5C7</t>
  </si>
  <si>
    <t xml:space="preserve">Q15R5C8</t>
  </si>
  <si>
    <t xml:space="preserve">Q15R5C9</t>
  </si>
  <si>
    <t xml:space="preserve">Q15R5C10</t>
  </si>
  <si>
    <t xml:space="preserve">Q15R6C1</t>
  </si>
  <si>
    <t xml:space="preserve">Q15R6C2</t>
  </si>
  <si>
    <t xml:space="preserve">Q15R6C3</t>
  </si>
  <si>
    <t xml:space="preserve">Q15R6C4</t>
  </si>
  <si>
    <t xml:space="preserve">Q15R6C5</t>
  </si>
  <si>
    <t xml:space="preserve">Q15R6C6</t>
  </si>
  <si>
    <t xml:space="preserve">Q15R6C7</t>
  </si>
  <si>
    <t xml:space="preserve">Q15R6C8</t>
  </si>
  <si>
    <t xml:space="preserve">Q15R6C9</t>
  </si>
  <si>
    <t xml:space="preserve">Q15R6C10</t>
  </si>
  <si>
    <t xml:space="preserve">Q15R7C1</t>
  </si>
  <si>
    <t xml:space="preserve">Q15R7C2</t>
  </si>
  <si>
    <t xml:space="preserve">Q15R7C3</t>
  </si>
  <si>
    <t xml:space="preserve">Q15R7C4</t>
  </si>
  <si>
    <t xml:space="preserve">Q15R7C5</t>
  </si>
  <si>
    <t xml:space="preserve">Q15R7C6</t>
  </si>
  <si>
    <t xml:space="preserve">Q15R7C7</t>
  </si>
  <si>
    <t xml:space="preserve">Q15R7C8</t>
  </si>
  <si>
    <t xml:space="preserve">Q15R7C9</t>
  </si>
  <si>
    <t xml:space="preserve">Q15R7C10</t>
  </si>
  <si>
    <t xml:space="preserve">Q16R1C1</t>
  </si>
  <si>
    <t xml:space="preserve">4.5.3</t>
  </si>
  <si>
    <t xml:space="preserve">Q16R1C2</t>
  </si>
  <si>
    <t xml:space="preserve">Q16R1C3</t>
  </si>
  <si>
    <t xml:space="preserve">Q17R1C1</t>
  </si>
  <si>
    <t xml:space="preserve">4.5.4</t>
  </si>
  <si>
    <t xml:space="preserve">Q17R1C2</t>
  </si>
  <si>
    <t xml:space="preserve">Q17R1C3</t>
  </si>
  <si>
    <t xml:space="preserve">Q17R1C4</t>
  </si>
  <si>
    <t xml:space="preserve">Q17R1C5</t>
  </si>
  <si>
    <t xml:space="preserve">Q17R1C6</t>
  </si>
  <si>
    <t xml:space="preserve">Q17R2C1</t>
  </si>
  <si>
    <t xml:space="preserve">Q17R2C2</t>
  </si>
  <si>
    <t xml:space="preserve">Q17R2C3</t>
  </si>
  <si>
    <t xml:space="preserve">Q17R2C4</t>
  </si>
  <si>
    <t xml:space="preserve">Q17R2C5</t>
  </si>
  <si>
    <t xml:space="preserve">Q17R2C6</t>
  </si>
  <si>
    <t xml:space="preserve">Q17R3C1</t>
  </si>
  <si>
    <t xml:space="preserve">Q17R3C2</t>
  </si>
  <si>
    <t xml:space="preserve">Q17R3C3</t>
  </si>
  <si>
    <t xml:space="preserve">Q17R3C4</t>
  </si>
  <si>
    <t xml:space="preserve">Q17R3C5</t>
  </si>
  <si>
    <t xml:space="preserve">Q17R3C6</t>
  </si>
  <si>
    <t xml:space="preserve">Q17R4C1</t>
  </si>
  <si>
    <t xml:space="preserve">Q17R4C2</t>
  </si>
  <si>
    <t xml:space="preserve">Q17R4C3</t>
  </si>
  <si>
    <t xml:space="preserve">Q17R4C4</t>
  </si>
  <si>
    <t xml:space="preserve">Q17R4C5</t>
  </si>
  <si>
    <t xml:space="preserve">Q17R4C6</t>
  </si>
  <si>
    <t xml:space="preserve">Q17R5C1</t>
  </si>
  <si>
    <t xml:space="preserve">Q17R5C2</t>
  </si>
  <si>
    <t xml:space="preserve">Q17R5C3</t>
  </si>
  <si>
    <t xml:space="preserve">Q17R5C4</t>
  </si>
  <si>
    <t xml:space="preserve">Q17R5C5</t>
  </si>
  <si>
    <t xml:space="preserve">Q17R5C6</t>
  </si>
  <si>
    <t xml:space="preserve">Q17R6C1</t>
  </si>
  <si>
    <t xml:space="preserve">Q17R6C2</t>
  </si>
  <si>
    <t xml:space="preserve">Q17R6C3</t>
  </si>
  <si>
    <t xml:space="preserve">Q17R6C4</t>
  </si>
  <si>
    <t xml:space="preserve">Q17R6C5</t>
  </si>
  <si>
    <t xml:space="preserve">Q17R6C6</t>
  </si>
  <si>
    <t xml:space="preserve">Q17R7C1</t>
  </si>
  <si>
    <t xml:space="preserve">Q17R7C2</t>
  </si>
  <si>
    <t xml:space="preserve">Q17R7C3</t>
  </si>
  <si>
    <t xml:space="preserve">Q17R7C4</t>
  </si>
  <si>
    <t xml:space="preserve">Q17R7C5</t>
  </si>
  <si>
    <t xml:space="preserve">Q17R7C6</t>
  </si>
  <si>
    <t xml:space="preserve">Q18R1C1</t>
  </si>
  <si>
    <t xml:space="preserve">4.5.5</t>
  </si>
  <si>
    <t xml:space="preserve">Q18R1C2</t>
  </si>
  <si>
    <t xml:space="preserve">Q18R1C3</t>
  </si>
  <si>
    <t xml:space="preserve">Q19R1C1</t>
  </si>
  <si>
    <t xml:space="preserve">4.5.6</t>
  </si>
  <si>
    <t xml:space="preserve">Q19R1C2</t>
  </si>
  <si>
    <t xml:space="preserve">Q19R1C3</t>
  </si>
  <si>
    <t xml:space="preserve">Q19R1C4</t>
  </si>
  <si>
    <t xml:space="preserve">Q19R1C5</t>
  </si>
  <si>
    <t xml:space="preserve">Q19R1C6</t>
  </si>
  <si>
    <t xml:space="preserve">Q19R2C1</t>
  </si>
  <si>
    <t xml:space="preserve">Q19R2C2</t>
  </si>
  <si>
    <t xml:space="preserve">Q19R2C3</t>
  </si>
  <si>
    <t xml:space="preserve">Q19R2C4</t>
  </si>
  <si>
    <t xml:space="preserve">Q19R2C5</t>
  </si>
  <si>
    <t xml:space="preserve">Q19R2C6</t>
  </si>
  <si>
    <t xml:space="preserve">Q19R3C1</t>
  </si>
  <si>
    <t xml:space="preserve">Q19R3C2</t>
  </si>
  <si>
    <t xml:space="preserve">Q19R3C3</t>
  </si>
  <si>
    <t xml:space="preserve">Q19R3C4</t>
  </si>
  <si>
    <t xml:space="preserve">Q19R3C5</t>
  </si>
  <si>
    <t xml:space="preserve">Q19R3C6</t>
  </si>
  <si>
    <t xml:space="preserve">Q19R4C1</t>
  </si>
  <si>
    <t xml:space="preserve">Q19R4C2</t>
  </si>
  <si>
    <t xml:space="preserve">Q19R4C3</t>
  </si>
  <si>
    <t xml:space="preserve">Q19R4C4</t>
  </si>
  <si>
    <t xml:space="preserve">Q19R4C5</t>
  </si>
  <si>
    <t xml:space="preserve">Q19R4C6</t>
  </si>
  <si>
    <t xml:space="preserve">Q19R5C1</t>
  </si>
  <si>
    <t xml:space="preserve">Q19R5C2</t>
  </si>
  <si>
    <t xml:space="preserve">Q19R5C3</t>
  </si>
  <si>
    <t xml:space="preserve">Q19R5C4</t>
  </si>
  <si>
    <t xml:space="preserve">Q19R5C5</t>
  </si>
  <si>
    <t xml:space="preserve">Q19R5C6</t>
  </si>
  <si>
    <t xml:space="preserve">Q19R6C1</t>
  </si>
  <si>
    <t xml:space="preserve">Q19R6C2</t>
  </si>
  <si>
    <t xml:space="preserve">Q19R6C3</t>
  </si>
  <si>
    <t xml:space="preserve">Q19R6C4</t>
  </si>
  <si>
    <t xml:space="preserve">Q19R6C5</t>
  </si>
  <si>
    <t xml:space="preserve">Q19R6C6</t>
  </si>
  <si>
    <t xml:space="preserve">Q19R7C1</t>
  </si>
  <si>
    <t xml:space="preserve">Q19R7C2</t>
  </si>
  <si>
    <t xml:space="preserve">Q19R7C3</t>
  </si>
  <si>
    <t xml:space="preserve">Q19R7C4</t>
  </si>
  <si>
    <t xml:space="preserve">Q19R7C5</t>
  </si>
  <si>
    <t xml:space="preserve">Q19R7C6</t>
  </si>
  <si>
    <t xml:space="preserve">Q20R1C1</t>
  </si>
  <si>
    <t xml:space="preserve">4.5.7</t>
  </si>
  <si>
    <t xml:space="preserve">Q20R1C2</t>
  </si>
  <si>
    <t xml:space="preserve">Q20R1C3</t>
  </si>
  <si>
    <t xml:space="preserve">Q20R2C1</t>
  </si>
  <si>
    <t xml:space="preserve">Q20R2C2</t>
  </si>
  <si>
    <t xml:space="preserve">Q20R2C3</t>
  </si>
  <si>
    <t xml:space="preserve">Q20R3C1</t>
  </si>
  <si>
    <t xml:space="preserve">Q20R3C2</t>
  </si>
  <si>
    <t xml:space="preserve">Q20R3C3</t>
  </si>
  <si>
    <t xml:space="preserve">Q20R4C1</t>
  </si>
  <si>
    <t xml:space="preserve">Q20R4C2</t>
  </si>
  <si>
    <t xml:space="preserve">Q20R4C3</t>
  </si>
  <si>
    <t xml:space="preserve">Q20R5C1</t>
  </si>
  <si>
    <t xml:space="preserve">Q20R5C2</t>
  </si>
  <si>
    <t xml:space="preserve">Q20R5C3</t>
  </si>
  <si>
    <t xml:space="preserve">Q20R6C1</t>
  </si>
  <si>
    <t xml:space="preserve">Q20R6C2</t>
  </si>
  <si>
    <t xml:space="preserve">Q20R6C3</t>
  </si>
  <si>
    <t xml:space="preserve">Q20R7C1</t>
  </si>
  <si>
    <t xml:space="preserve">Q20R7C2</t>
  </si>
  <si>
    <t xml:space="preserve">Q20R7C3</t>
  </si>
  <si>
    <t xml:space="preserve">Q21R1C1</t>
  </si>
  <si>
    <t xml:space="preserve">4.6.1</t>
  </si>
  <si>
    <t xml:space="preserve">Q21R2C1</t>
  </si>
  <si>
    <t xml:space="preserve">Q22R1C1</t>
  </si>
  <si>
    <t xml:space="preserve">4.7.1</t>
  </si>
  <si>
    <t xml:space="preserve">Q22R1C2</t>
  </si>
  <si>
    <t xml:space="preserve">Q22R1C3</t>
  </si>
  <si>
    <t xml:space="preserve">Q22R1C4</t>
  </si>
  <si>
    <t xml:space="preserve">Q22R1C5</t>
  </si>
  <si>
    <t xml:space="preserve">Q23R1C1</t>
  </si>
  <si>
    <t xml:space="preserve">4.7.2</t>
  </si>
  <si>
    <t xml:space="preserve">Q23R1C2</t>
  </si>
  <si>
    <t xml:space="preserve">Q23R2C1</t>
  </si>
  <si>
    <t xml:space="preserve">Q23R2C2</t>
  </si>
  <si>
    <t xml:space="preserve">Q23R3C1</t>
  </si>
  <si>
    <t xml:space="preserve">Q23R3C2</t>
  </si>
  <si>
    <t xml:space="preserve">Q23R4C1</t>
  </si>
  <si>
    <t xml:space="preserve">Q23R4C2</t>
  </si>
  <si>
    <t xml:space="preserve">Q23R5C1</t>
  </si>
  <si>
    <t xml:space="preserve">Q23R5C2</t>
  </si>
  <si>
    <t xml:space="preserve">Q23R6C1</t>
  </si>
  <si>
    <t xml:space="preserve">Q23R6C2</t>
  </si>
  <si>
    <t xml:space="preserve">Q23R7C1</t>
  </si>
  <si>
    <t xml:space="preserve">Q23R7C2</t>
  </si>
  <si>
    <t xml:space="preserve">Q24R1C1</t>
  </si>
  <si>
    <t xml:space="preserve">4,8</t>
  </si>
  <si>
    <t xml:space="preserve">Q24R1C2</t>
  </si>
  <si>
    <t xml:space="preserve">Q24R2C1</t>
  </si>
  <si>
    <t xml:space="preserve">Q24R2C2</t>
  </si>
  <si>
    <t xml:space="preserve">Q25R1C1</t>
  </si>
  <si>
    <t xml:space="preserve">5,1</t>
  </si>
  <si>
    <t xml:space="preserve">Q25R1C2</t>
  </si>
  <si>
    <t xml:space="preserve">Q25R1C3</t>
  </si>
  <si>
    <t xml:space="preserve">Q25R1C4</t>
  </si>
  <si>
    <t xml:space="preserve">Q25R2C1</t>
  </si>
  <si>
    <t xml:space="preserve">Q25R2C2</t>
  </si>
  <si>
    <t xml:space="preserve">Q25R2C3</t>
  </si>
  <si>
    <t xml:space="preserve">Q25R2C4</t>
  </si>
  <si>
    <t xml:space="preserve">Q25R3C1</t>
  </si>
  <si>
    <t xml:space="preserve">Q25R3C2</t>
  </si>
  <si>
    <t xml:space="preserve">Q25R3C3</t>
  </si>
  <si>
    <t xml:space="preserve">Q25R3C4</t>
  </si>
  <si>
    <t xml:space="preserve">Q25R4C1</t>
  </si>
  <si>
    <t xml:space="preserve">Q25R4C2</t>
  </si>
  <si>
    <t xml:space="preserve">Q25R4C3</t>
  </si>
  <si>
    <t xml:space="preserve">Q25R4C4</t>
  </si>
  <si>
    <t xml:space="preserve">Q25R5C1</t>
  </si>
  <si>
    <t xml:space="preserve">Q25R5C2</t>
  </si>
  <si>
    <t xml:space="preserve">Q25R5C3</t>
  </si>
  <si>
    <t xml:space="preserve">Q25R5C4</t>
  </si>
  <si>
    <t xml:space="preserve">Q25R6C1</t>
  </si>
  <si>
    <t xml:space="preserve">Q25R6C2</t>
  </si>
  <si>
    <t xml:space="preserve">Q25R6C3</t>
  </si>
  <si>
    <t xml:space="preserve">Q25R6C4</t>
  </si>
  <si>
    <t xml:space="preserve">Q25R7C1</t>
  </si>
  <si>
    <t xml:space="preserve">Q25R7C2</t>
  </si>
  <si>
    <t xml:space="preserve">Q25R7C3</t>
  </si>
  <si>
    <t xml:space="preserve">Q25R7C4</t>
  </si>
  <si>
    <t xml:space="preserve">Q26R1C1</t>
  </si>
  <si>
    <t xml:space="preserve">5,2</t>
  </si>
  <si>
    <t xml:space="preserve">Q26R1C2</t>
  </si>
  <si>
    <t xml:space="preserve">Q26R1C3</t>
  </si>
  <si>
    <t xml:space="preserve">Q26R1C4</t>
  </si>
  <si>
    <t xml:space="preserve">Q26R2C1</t>
  </si>
  <si>
    <t xml:space="preserve">Q26R2C2</t>
  </si>
  <si>
    <t xml:space="preserve">Q26R2C3</t>
  </si>
  <si>
    <t xml:space="preserve">Q26R2C4</t>
  </si>
  <si>
    <t xml:space="preserve">Q26R3C1</t>
  </si>
  <si>
    <t xml:space="preserve">Q26R3C2</t>
  </si>
  <si>
    <t xml:space="preserve">Q26R3C3</t>
  </si>
  <si>
    <t xml:space="preserve">Q26R3C4</t>
  </si>
  <si>
    <t xml:space="preserve">Q26R4C1</t>
  </si>
  <si>
    <t xml:space="preserve">Q26R4C2</t>
  </si>
  <si>
    <t xml:space="preserve">Q26R4C3</t>
  </si>
  <si>
    <t xml:space="preserve">Q26R4C4</t>
  </si>
  <si>
    <t xml:space="preserve">Q26R5C1</t>
  </si>
  <si>
    <t xml:space="preserve">Q26R5C2</t>
  </si>
  <si>
    <t xml:space="preserve">Q26R5C3</t>
  </si>
  <si>
    <t xml:space="preserve">Q26R5C4</t>
  </si>
  <si>
    <t xml:space="preserve">Q26R6C1</t>
  </si>
  <si>
    <t xml:space="preserve">Q26R6C2</t>
  </si>
  <si>
    <t xml:space="preserve">Q26R6C3</t>
  </si>
  <si>
    <t xml:space="preserve">Q26R6C4</t>
  </si>
  <si>
    <t xml:space="preserve">Q27R1C1</t>
  </si>
  <si>
    <t xml:space="preserve">Q27R1C2</t>
  </si>
  <si>
    <t xml:space="preserve">Q27R1C3</t>
  </si>
  <si>
    <t xml:space="preserve">Q27R1C4</t>
  </si>
  <si>
    <t xml:space="preserve">Q27R1C5</t>
  </si>
  <si>
    <t xml:space="preserve">Q27R1C6</t>
  </si>
  <si>
    <t xml:space="preserve">Q27R2C1</t>
  </si>
  <si>
    <t xml:space="preserve">Q27R2C2</t>
  </si>
  <si>
    <t xml:space="preserve">Q27R2C3</t>
  </si>
  <si>
    <t xml:space="preserve">Q27R2C4</t>
  </si>
  <si>
    <t xml:space="preserve">Q27R2C5</t>
  </si>
  <si>
    <t xml:space="preserve">Q27R2C6</t>
  </si>
  <si>
    <t xml:space="preserve">Q28R1C1</t>
  </si>
  <si>
    <t xml:space="preserve">7,1</t>
  </si>
  <si>
    <t xml:space="preserve">Q28R1C2</t>
  </si>
  <si>
    <t xml:space="preserve">Q28R1C3</t>
  </si>
  <si>
    <t xml:space="preserve">Q28R1C4</t>
  </si>
  <si>
    <t xml:space="preserve">Q28R2C1</t>
  </si>
  <si>
    <t xml:space="preserve">Q28R2C2</t>
  </si>
  <si>
    <t xml:space="preserve">Q28R2C3</t>
  </si>
  <si>
    <t xml:space="preserve">Q28R2C4</t>
  </si>
  <si>
    <t xml:space="preserve">Q28R3C1</t>
  </si>
  <si>
    <t xml:space="preserve">Q28R3C2</t>
  </si>
  <si>
    <t xml:space="preserve">Q28R3C3</t>
  </si>
  <si>
    <t xml:space="preserve">Q28R3C4</t>
  </si>
  <si>
    <t xml:space="preserve">Q28R4C1</t>
  </si>
  <si>
    <t xml:space="preserve">Q28R4C2</t>
  </si>
  <si>
    <t xml:space="preserve">Q28R4C3</t>
  </si>
  <si>
    <t xml:space="preserve">Q28R4C4</t>
  </si>
  <si>
    <t xml:space="preserve">Q28R5C1</t>
  </si>
  <si>
    <t xml:space="preserve">Q28R5C2</t>
  </si>
  <si>
    <t xml:space="preserve">Q28R5C3</t>
  </si>
  <si>
    <t xml:space="preserve">Q28R5C4</t>
  </si>
  <si>
    <t xml:space="preserve">Q29R1C1</t>
  </si>
  <si>
    <t xml:space="preserve">7,2</t>
  </si>
  <si>
    <t xml:space="preserve">Q29R1C2</t>
  </si>
  <si>
    <t xml:space="preserve">Q29R1C3</t>
  </si>
  <si>
    <t xml:space="preserve">Q29R1C4</t>
  </si>
  <si>
    <t xml:space="preserve">Q29R1C5</t>
  </si>
  <si>
    <t xml:space="preserve">Q29R1C6</t>
  </si>
  <si>
    <t xml:space="preserve">Q29R1C7</t>
  </si>
  <si>
    <t xml:space="preserve">Q29R2C1</t>
  </si>
  <si>
    <t xml:space="preserve">Q29R2C2</t>
  </si>
  <si>
    <t xml:space="preserve">Q29R2C3</t>
  </si>
  <si>
    <t xml:space="preserve">Q29R2C4</t>
  </si>
  <si>
    <t xml:space="preserve">Q29R2C5</t>
  </si>
  <si>
    <t xml:space="preserve">Q29R2C6</t>
  </si>
  <si>
    <t xml:space="preserve">Q29R2C7</t>
  </si>
  <si>
    <t xml:space="preserve">Q29R3C1</t>
  </si>
  <si>
    <t xml:space="preserve">Q29R3C2</t>
  </si>
  <si>
    <t xml:space="preserve">Q29R3C3</t>
  </si>
  <si>
    <t xml:space="preserve">Q29R3C4</t>
  </si>
  <si>
    <t xml:space="preserve">Q29R3C5</t>
  </si>
  <si>
    <t xml:space="preserve">Q29R3C6</t>
  </si>
  <si>
    <t xml:space="preserve">Q29R3C7</t>
  </si>
  <si>
    <t xml:space="preserve">Q29R4C1</t>
  </si>
  <si>
    <t xml:space="preserve">Q29R4C2</t>
  </si>
  <si>
    <t xml:space="preserve">Q29R4C3</t>
  </si>
  <si>
    <t xml:space="preserve">Q29R4C4</t>
  </si>
  <si>
    <t xml:space="preserve">Q29R4C5</t>
  </si>
  <si>
    <t xml:space="preserve">Q29R4C6</t>
  </si>
  <si>
    <t xml:space="preserve">Q29R4C7</t>
  </si>
  <si>
    <t xml:space="preserve">Q29R5C1</t>
  </si>
  <si>
    <t xml:space="preserve">Q29R5C2</t>
  </si>
  <si>
    <t xml:space="preserve">Q29R5C3</t>
  </si>
  <si>
    <t xml:space="preserve">Q29R5C4</t>
  </si>
  <si>
    <t xml:space="preserve">Q29R5C5</t>
  </si>
  <si>
    <t xml:space="preserve">Q29R5C6</t>
  </si>
  <si>
    <t xml:space="preserve">Q29R5C7</t>
  </si>
  <si>
    <t xml:space="preserve">Q29R6C1</t>
  </si>
  <si>
    <t xml:space="preserve">Q29R6C2</t>
  </si>
  <si>
    <t xml:space="preserve">Q29R6C3</t>
  </si>
  <si>
    <t xml:space="preserve">Q29R6C4</t>
  </si>
  <si>
    <t xml:space="preserve">Q29R6C5</t>
  </si>
  <si>
    <t xml:space="preserve">Q29R6C6</t>
  </si>
  <si>
    <t xml:space="preserve">Q29R6C7</t>
  </si>
  <si>
    <t xml:space="preserve">Q30R1C1</t>
  </si>
  <si>
    <t xml:space="preserve">7,3</t>
  </si>
  <si>
    <t xml:space="preserve">Q30R1C2</t>
  </si>
  <si>
    <t xml:space="preserve">Q30R1C3</t>
  </si>
  <si>
    <t xml:space="preserve">Q30R1C4</t>
  </si>
  <si>
    <t xml:space="preserve">Q30R1C5</t>
  </si>
  <si>
    <t xml:space="preserve">Q30R1C6</t>
  </si>
  <si>
    <t xml:space="preserve">Q30R1C7</t>
  </si>
  <si>
    <t xml:space="preserve">Q30R2C1</t>
  </si>
  <si>
    <t xml:space="preserve">Q30R2C2</t>
  </si>
  <si>
    <t xml:space="preserve">Q30R2C3</t>
  </si>
  <si>
    <t xml:space="preserve">Q30R2C4</t>
  </si>
  <si>
    <t xml:space="preserve">Q30R2C5</t>
  </si>
  <si>
    <t xml:space="preserve">Q30R2C6</t>
  </si>
  <si>
    <t xml:space="preserve">Q30R2C7</t>
  </si>
  <si>
    <t xml:space="preserve">Q30R3C1</t>
  </si>
  <si>
    <t xml:space="preserve">Q30R3C2</t>
  </si>
  <si>
    <t xml:space="preserve">Q30R3C3</t>
  </si>
  <si>
    <t xml:space="preserve">Q30R3C4</t>
  </si>
  <si>
    <t xml:space="preserve">Q30R3C5</t>
  </si>
  <si>
    <t xml:space="preserve">Q30R3C6</t>
  </si>
  <si>
    <t xml:space="preserve">Q30R3C7</t>
  </si>
  <si>
    <t xml:space="preserve">Q30R4C1</t>
  </si>
  <si>
    <t xml:space="preserve">Q30R4C2</t>
  </si>
  <si>
    <t xml:space="preserve">Q30R4C3</t>
  </si>
  <si>
    <t xml:space="preserve">Q30R4C4</t>
  </si>
  <si>
    <t xml:space="preserve">Q30R4C5</t>
  </si>
  <si>
    <t xml:space="preserve">Q30R4C6</t>
  </si>
  <si>
    <t xml:space="preserve">Q30R4C7</t>
  </si>
  <si>
    <t xml:space="preserve">Q30R5C1</t>
  </si>
  <si>
    <t xml:space="preserve">Q30R5C2</t>
  </si>
  <si>
    <t xml:space="preserve">Q30R5C3</t>
  </si>
  <si>
    <t xml:space="preserve">Q30R5C4</t>
  </si>
  <si>
    <t xml:space="preserve">Q30R5C5</t>
  </si>
  <si>
    <t xml:space="preserve">Q30R5C6</t>
  </si>
  <si>
    <t xml:space="preserve">Q30R5C7</t>
  </si>
  <si>
    <t xml:space="preserve">Q30R6C1</t>
  </si>
  <si>
    <t xml:space="preserve">Q30R6C2</t>
  </si>
  <si>
    <t xml:space="preserve">Q30R6C3</t>
  </si>
  <si>
    <t xml:space="preserve">Q30R6C4</t>
  </si>
  <si>
    <t xml:space="preserve">Q30R6C5</t>
  </si>
  <si>
    <t xml:space="preserve">Q30R6C6</t>
  </si>
  <si>
    <t xml:space="preserve">Q30R6C7</t>
  </si>
  <si>
    <t xml:space="preserve">Q31R1C1</t>
  </si>
  <si>
    <t xml:space="preserve">8,1</t>
  </si>
  <si>
    <t xml:space="preserve">Q31R1C2</t>
  </si>
  <si>
    <t xml:space="preserve">Q31R1C3</t>
  </si>
  <si>
    <t xml:space="preserve">Q31R1C4</t>
  </si>
  <si>
    <t xml:space="preserve">Q31R1C5</t>
  </si>
  <si>
    <t xml:space="preserve">Q31R1C6</t>
  </si>
  <si>
    <t xml:space="preserve">Q31R1C7</t>
  </si>
  <si>
    <t xml:space="preserve">Q31R1C8</t>
  </si>
  <si>
    <t xml:space="preserve">Q31R1C9</t>
  </si>
  <si>
    <t xml:space="preserve">Q31R1C10</t>
  </si>
  <si>
    <t xml:space="preserve">Q31R2C1</t>
  </si>
  <si>
    <t xml:space="preserve">Q31R2C2</t>
  </si>
  <si>
    <t xml:space="preserve">Q31R2C3</t>
  </si>
  <si>
    <t xml:space="preserve">Q31R2C4</t>
  </si>
  <si>
    <t xml:space="preserve">Q31R2C5</t>
  </si>
  <si>
    <t xml:space="preserve">Q31R2C6</t>
  </si>
  <si>
    <t xml:space="preserve">Q31R2C7</t>
  </si>
  <si>
    <t xml:space="preserve">Q31R2C8</t>
  </si>
  <si>
    <t xml:space="preserve">Q31R2C9</t>
  </si>
  <si>
    <t xml:space="preserve">Q31R2C10</t>
  </si>
  <si>
    <t xml:space="preserve">Q31R3C1</t>
  </si>
  <si>
    <t xml:space="preserve">Q31R3C2</t>
  </si>
  <si>
    <t xml:space="preserve">Q31R3C3</t>
  </si>
  <si>
    <t xml:space="preserve">Q31R3C4</t>
  </si>
  <si>
    <t xml:space="preserve">Q31R3C5</t>
  </si>
  <si>
    <t xml:space="preserve">Q31R3C6</t>
  </si>
  <si>
    <t xml:space="preserve">Q31R3C7</t>
  </si>
  <si>
    <t xml:space="preserve">Q31R3C8</t>
  </si>
  <si>
    <t xml:space="preserve">Q31R3C9</t>
  </si>
  <si>
    <t xml:space="preserve">Q31R3C10</t>
  </si>
  <si>
    <t xml:space="preserve">Q31R4C1</t>
  </si>
  <si>
    <t xml:space="preserve">Q31R4C2</t>
  </si>
  <si>
    <t xml:space="preserve">Q31R4C3</t>
  </si>
  <si>
    <t xml:space="preserve">Q31R4C4</t>
  </si>
  <si>
    <t xml:space="preserve">Q31R4C5</t>
  </si>
  <si>
    <t xml:space="preserve">Q31R4C6</t>
  </si>
  <si>
    <t xml:space="preserve">Q31R4C7</t>
  </si>
  <si>
    <t xml:space="preserve">Q31R4C8</t>
  </si>
  <si>
    <t xml:space="preserve">Q31R4C9</t>
  </si>
  <si>
    <t xml:space="preserve">Q31R4C10</t>
  </si>
  <si>
    <t xml:space="preserve">Q31R5C1</t>
  </si>
  <si>
    <t xml:space="preserve">Q31R5C2</t>
  </si>
  <si>
    <t xml:space="preserve">Q31R5C3</t>
  </si>
  <si>
    <t xml:space="preserve">Q31R5C4</t>
  </si>
  <si>
    <t xml:space="preserve">Q31R5C5</t>
  </si>
  <si>
    <t xml:space="preserve">Q31R5C6</t>
  </si>
  <si>
    <t xml:space="preserve">Q31R5C7</t>
  </si>
  <si>
    <t xml:space="preserve">Q31R5C8</t>
  </si>
  <si>
    <t xml:space="preserve">Q31R5C9</t>
  </si>
  <si>
    <t xml:space="preserve">Q31R5C10</t>
  </si>
  <si>
    <t xml:space="preserve">Q31R6C1</t>
  </si>
  <si>
    <t xml:space="preserve">Q31R6C2</t>
  </si>
  <si>
    <t xml:space="preserve">Q31R6C3</t>
  </si>
  <si>
    <t xml:space="preserve">Q31R6C4</t>
  </si>
  <si>
    <t xml:space="preserve">Q31R6C5</t>
  </si>
  <si>
    <t xml:space="preserve">Q31R6C6</t>
  </si>
  <si>
    <t xml:space="preserve">Q31R6C7</t>
  </si>
  <si>
    <t xml:space="preserve">Q31R6C8</t>
  </si>
  <si>
    <t xml:space="preserve">Q31R6C9</t>
  </si>
  <si>
    <t xml:space="preserve">Q31R6C10</t>
  </si>
  <si>
    <t xml:space="preserve">Q31R7C1</t>
  </si>
  <si>
    <t xml:space="preserve">Q31R7C2</t>
  </si>
  <si>
    <t xml:space="preserve">Q31R7C3</t>
  </si>
  <si>
    <t xml:space="preserve">Q31R7C4</t>
  </si>
  <si>
    <t xml:space="preserve">Q31R7C5</t>
  </si>
  <si>
    <t xml:space="preserve">Q31R7C6</t>
  </si>
  <si>
    <t xml:space="preserve">Q31R7C7</t>
  </si>
  <si>
    <t xml:space="preserve">Q31R7C8</t>
  </si>
  <si>
    <t xml:space="preserve">Q31R7C9</t>
  </si>
  <si>
    <t xml:space="preserve">Q31R7C10</t>
  </si>
  <si>
    <t xml:space="preserve">Q32R1C1</t>
  </si>
  <si>
    <t xml:space="preserve">8,2</t>
  </si>
  <si>
    <t xml:space="preserve">Q32R1C2</t>
  </si>
  <si>
    <t xml:space="preserve">Q32R1C3</t>
  </si>
  <si>
    <t xml:space="preserve">Q32R1C4</t>
  </si>
  <si>
    <t xml:space="preserve">Q32R1C5</t>
  </si>
  <si>
    <t xml:space="preserve">Q32R1C6</t>
  </si>
  <si>
    <t xml:space="preserve">Q32R1C7</t>
  </si>
  <si>
    <t xml:space="preserve">Q32R1C8</t>
  </si>
  <si>
    <t xml:space="preserve">Q32R1C9</t>
  </si>
  <si>
    <t xml:space="preserve">Q32R1C10</t>
  </si>
  <si>
    <t xml:space="preserve">Q32R2C1</t>
  </si>
  <si>
    <t xml:space="preserve">Q32R2C2</t>
  </si>
  <si>
    <t xml:space="preserve">Q32R2C3</t>
  </si>
  <si>
    <t xml:space="preserve">Q32R2C4</t>
  </si>
  <si>
    <t xml:space="preserve">Q32R2C5</t>
  </si>
  <si>
    <t xml:space="preserve">Q32R2C6</t>
  </si>
  <si>
    <t xml:space="preserve">Q32R2C7</t>
  </si>
  <si>
    <t xml:space="preserve">Q32R2C8</t>
  </si>
  <si>
    <t xml:space="preserve">Q32R2C9</t>
  </si>
  <si>
    <t xml:space="preserve">Q32R2C10</t>
  </si>
  <si>
    <t xml:space="preserve">Q32R3C1</t>
  </si>
  <si>
    <t xml:space="preserve">Q32R3C2</t>
  </si>
  <si>
    <t xml:space="preserve">Q32R3C3</t>
  </si>
  <si>
    <t xml:space="preserve">Q32R3C4</t>
  </si>
  <si>
    <t xml:space="preserve">Q32R3C5</t>
  </si>
  <si>
    <t xml:space="preserve">Q32R3C6</t>
  </si>
  <si>
    <t xml:space="preserve">Q32R3C7</t>
  </si>
  <si>
    <t xml:space="preserve">Q32R3C8</t>
  </si>
  <si>
    <t xml:space="preserve">Q32R3C9</t>
  </si>
  <si>
    <t xml:space="preserve">Q32R3C10</t>
  </si>
  <si>
    <t xml:space="preserve">Q32R4C1</t>
  </si>
  <si>
    <t xml:space="preserve">Q32R4C2</t>
  </si>
  <si>
    <t xml:space="preserve">Q32R4C3</t>
  </si>
  <si>
    <t xml:space="preserve">Q32R4C4</t>
  </si>
  <si>
    <t xml:space="preserve">Q32R4C5</t>
  </si>
  <si>
    <t xml:space="preserve">Q32R4C6</t>
  </si>
  <si>
    <t xml:space="preserve">Q32R4C7</t>
  </si>
  <si>
    <t xml:space="preserve">Q32R4C8</t>
  </si>
  <si>
    <t xml:space="preserve">Q32R4C9</t>
  </si>
  <si>
    <t xml:space="preserve">Q32R4C10</t>
  </si>
  <si>
    <t xml:space="preserve">Q32R5C1</t>
  </si>
  <si>
    <t xml:space="preserve">Q32R5C2</t>
  </si>
  <si>
    <t xml:space="preserve">Q32R5C3</t>
  </si>
  <si>
    <t xml:space="preserve">Q32R5C4</t>
  </si>
  <si>
    <t xml:space="preserve">Q32R5C5</t>
  </si>
  <si>
    <t xml:space="preserve">Q32R5C6</t>
  </si>
  <si>
    <t xml:space="preserve">Q32R5C7</t>
  </si>
  <si>
    <t xml:space="preserve">Q32R5C8</t>
  </si>
  <si>
    <t xml:space="preserve">Q32R5C9</t>
  </si>
  <si>
    <t xml:space="preserve">Q32R5C10</t>
  </si>
  <si>
    <t xml:space="preserve">Q32R6C1</t>
  </si>
  <si>
    <t xml:space="preserve">Q32R6C2</t>
  </si>
  <si>
    <t xml:space="preserve">Q32R6C3</t>
  </si>
  <si>
    <t xml:space="preserve">Q32R6C4</t>
  </si>
  <si>
    <t xml:space="preserve">Q32R6C5</t>
  </si>
  <si>
    <t xml:space="preserve">Q32R6C6</t>
  </si>
  <si>
    <t xml:space="preserve">Q32R6C7</t>
  </si>
  <si>
    <t xml:space="preserve">Q32R6C8</t>
  </si>
  <si>
    <t xml:space="preserve">Q32R6C9</t>
  </si>
  <si>
    <t xml:space="preserve">Q32R6C10</t>
  </si>
  <si>
    <t xml:space="preserve">Q32R7C1</t>
  </si>
  <si>
    <t xml:space="preserve">Q32R7C2</t>
  </si>
  <si>
    <t xml:space="preserve">Q32R7C3</t>
  </si>
  <si>
    <t xml:space="preserve">Q32R7C4</t>
  </si>
  <si>
    <t xml:space="preserve">Q32R7C5</t>
  </si>
  <si>
    <t xml:space="preserve">Q32R7C6</t>
  </si>
  <si>
    <t xml:space="preserve">Q32R7C7</t>
  </si>
  <si>
    <t xml:space="preserve">Q32R7C8</t>
  </si>
  <si>
    <t xml:space="preserve">Q32R7C9</t>
  </si>
  <si>
    <t xml:space="preserve">Q32R7C10</t>
  </si>
  <si>
    <t xml:space="preserve">Q33R1C1</t>
  </si>
  <si>
    <t xml:space="preserve">9,1</t>
  </si>
  <si>
    <t xml:space="preserve">Q33R1C2</t>
  </si>
  <si>
    <t xml:space="preserve">Q33R1C3</t>
  </si>
  <si>
    <t xml:space="preserve">Q34R1C1</t>
  </si>
  <si>
    <t xml:space="preserve">9,2</t>
  </si>
  <si>
    <t xml:space="preserve">Q34R1C2</t>
  </si>
  <si>
    <t xml:space="preserve">Q34R1C3</t>
  </si>
  <si>
    <t xml:space="preserve">Q34R1C4</t>
  </si>
  <si>
    <t xml:space="preserve">Q34R1C5</t>
  </si>
  <si>
    <t xml:space="preserve">Q34R1C6</t>
  </si>
  <si>
    <t xml:space="preserve">Q35R1C1</t>
  </si>
  <si>
    <t xml:space="preserve">10,1</t>
  </si>
  <si>
    <t xml:space="preserve">Q35R1C2</t>
  </si>
  <si>
    <t xml:space="preserve">Q35R1C3</t>
  </si>
  <si>
    <t xml:space="preserve">Q35R1C4</t>
  </si>
  <si>
    <t xml:space="preserve">Q36R1C1</t>
  </si>
  <si>
    <t xml:space="preserve">10,2</t>
  </si>
  <si>
    <t xml:space="preserve">Q37R1C1</t>
  </si>
  <si>
    <t xml:space="preserve">11,1</t>
  </si>
  <si>
    <t xml:space="preserve">Q37R2C1</t>
  </si>
  <si>
    <t xml:space="preserve">Q37R3C1</t>
  </si>
  <si>
    <t xml:space="preserve">Q37R4C1</t>
  </si>
  <si>
    <t xml:space="preserve">Q37R5C1</t>
  </si>
  <si>
    <t xml:space="preserve">Q38R1C1</t>
  </si>
  <si>
    <t xml:space="preserve">11,2</t>
  </si>
  <si>
    <t xml:space="preserve">Q38R2C1</t>
  </si>
  <si>
    <t xml:space="preserve">Q38R3C1</t>
  </si>
  <si>
    <t xml:space="preserve">Q38R4C1</t>
  </si>
  <si>
    <t xml:space="preserve">Q38R5C1</t>
  </si>
  <si>
    <t xml:space="preserve">2021;2022</t>
  </si>
  <si>
    <t xml:space="preserve">Q5R1C2</t>
  </si>
  <si>
    <t xml:space="preserve">Q5R1C3</t>
  </si>
  <si>
    <t xml:space="preserve">Q5R1C4</t>
  </si>
  <si>
    <t xml:space="preserve">Q5R1C5</t>
  </si>
  <si>
    <t xml:space="preserve">Q5R1C6</t>
  </si>
  <si>
    <t xml:space="preserve">Q5R1C7</t>
  </si>
  <si>
    <t xml:space="preserve">Q6R1C8</t>
  </si>
  <si>
    <t xml:space="preserve">Q6R1C9</t>
  </si>
  <si>
    <t xml:space="preserve">Q6R1C10</t>
  </si>
  <si>
    <t xml:space="preserve">3,1</t>
  </si>
  <si>
    <t xml:space="preserve">Q7R2C1</t>
  </si>
  <si>
    <t xml:space="preserve">Q7R2C2</t>
  </si>
  <si>
    <t xml:space="preserve">Q7R2C3</t>
  </si>
  <si>
    <t xml:space="preserve">Q7R2C4</t>
  </si>
  <si>
    <t xml:space="preserve">Q7R2C5</t>
  </si>
  <si>
    <t xml:space="preserve">Q7R2C6</t>
  </si>
  <si>
    <t xml:space="preserve">Q7R3C7</t>
  </si>
  <si>
    <t xml:space="preserve">Q7R3C1</t>
  </si>
  <si>
    <t xml:space="preserve">Q7R3C2</t>
  </si>
  <si>
    <t xml:space="preserve">Q7R3C3</t>
  </si>
  <si>
    <t xml:space="preserve">Q7R3C4</t>
  </si>
  <si>
    <t xml:space="preserve">Q7R3C5</t>
  </si>
  <si>
    <t xml:space="preserve">Q7R3C6</t>
  </si>
  <si>
    <t xml:space="preserve">Q7R4C1</t>
  </si>
  <si>
    <t xml:space="preserve">Q7R4C2</t>
  </si>
  <si>
    <t xml:space="preserve">Q7R4C3</t>
  </si>
  <si>
    <t xml:space="preserve">Q7R4C4</t>
  </si>
  <si>
    <t xml:space="preserve">Q7R4C5</t>
  </si>
  <si>
    <t xml:space="preserve">Q7R4C6</t>
  </si>
  <si>
    <t xml:space="preserve">Q7R4C7</t>
  </si>
  <si>
    <t xml:space="preserve">Q7R5C1</t>
  </si>
  <si>
    <t xml:space="preserve">Q7R5C2</t>
  </si>
  <si>
    <t xml:space="preserve">Q7R5C3</t>
  </si>
  <si>
    <t xml:space="preserve">Q7R5C4</t>
  </si>
  <si>
    <t xml:space="preserve">Q7R5C5</t>
  </si>
  <si>
    <t xml:space="preserve">Q7R5C6</t>
  </si>
  <si>
    <t xml:space="preserve">Q7R5C7</t>
  </si>
  <si>
    <t xml:space="preserve">Q7R6C1</t>
  </si>
  <si>
    <t xml:space="preserve">Q7R6C2</t>
  </si>
  <si>
    <t xml:space="preserve">Q7R6C3</t>
  </si>
  <si>
    <t xml:space="preserve">Q7R6C4</t>
  </si>
  <si>
    <t xml:space="preserve">Q7R6C5</t>
  </si>
  <si>
    <t xml:space="preserve">Q7R6C6</t>
  </si>
  <si>
    <t xml:space="preserve">Q7R6C7</t>
  </si>
  <si>
    <t xml:space="preserve">Q7R7C1</t>
  </si>
  <si>
    <t xml:space="preserve">Q7R7C2</t>
  </si>
  <si>
    <t xml:space="preserve">Q7R7C3</t>
  </si>
  <si>
    <t xml:space="preserve">Q7R7C4</t>
  </si>
  <si>
    <t xml:space="preserve">Q7R7C5</t>
  </si>
  <si>
    <t xml:space="preserve">Q7R7C6</t>
  </si>
  <si>
    <t xml:space="preserve">Q7R7C7</t>
  </si>
  <si>
    <t xml:space="preserve">3,2</t>
  </si>
  <si>
    <t xml:space="preserve">Q8R2C1</t>
  </si>
  <si>
    <t xml:space="preserve">Q8R3C1</t>
  </si>
  <si>
    <t xml:space="preserve">Q8R4C1</t>
  </si>
  <si>
    <t xml:space="preserve">Q8R5C1</t>
  </si>
  <si>
    <t xml:space="preserve">Q8R6C1</t>
  </si>
  <si>
    <t xml:space="preserve">Q8R7C1</t>
  </si>
  <si>
    <t xml:space="preserve">Q8R8C1</t>
  </si>
  <si>
    <t xml:space="preserve">Q8R9C1</t>
  </si>
  <si>
    <t xml:space="preserve">Q8R10C1</t>
  </si>
  <si>
    <t xml:space="preserve">Q8R11C1</t>
  </si>
  <si>
    <t xml:space="preserve">Q8R12C1</t>
  </si>
  <si>
    <t xml:space="preserve">Q8R13C1</t>
  </si>
  <si>
    <t xml:space="preserve">Q8R14C1</t>
  </si>
  <si>
    <t xml:space="preserve">Q8R15C1</t>
  </si>
  <si>
    <t xml:space="preserve">Q8R16C1</t>
  </si>
  <si>
    <t xml:space="preserve">Q8R17C1</t>
  </si>
  <si>
    <t xml:space="preserve">Q8R18C1</t>
  </si>
  <si>
    <t xml:space="preserve">Q8R19C1</t>
  </si>
  <si>
    <t xml:space="preserve">Q8R20C1</t>
  </si>
  <si>
    <t xml:space="preserve">Q8R21C1</t>
  </si>
  <si>
    <t xml:space="preserve">Q8R22C1</t>
  </si>
  <si>
    <t xml:space="preserve">Q8R23C1</t>
  </si>
  <si>
    <t xml:space="preserve">Q8R24C1</t>
  </si>
  <si>
    <t xml:space="preserve">Q8R25C1</t>
  </si>
  <si>
    <t xml:space="preserve">Q8R26C1</t>
  </si>
  <si>
    <t xml:space="preserve">Q8R27C1</t>
  </si>
  <si>
    <t xml:space="preserve">Q8R28C1</t>
  </si>
  <si>
    <t xml:space="preserve">3,3</t>
  </si>
  <si>
    <t xml:space="preserve">Q9R8C1</t>
  </si>
  <si>
    <t xml:space="preserve">Q9R9C1</t>
  </si>
  <si>
    <t xml:space="preserve">Q9R10C1</t>
  </si>
  <si>
    <t xml:space="preserve">Q9R11C1</t>
  </si>
  <si>
    <t xml:space="preserve">3,4</t>
  </si>
  <si>
    <t xml:space="preserve">3.5.1</t>
  </si>
  <si>
    <t xml:space="preserve">Q11R1C2</t>
  </si>
  <si>
    <t xml:space="preserve">Q11R1C3</t>
  </si>
  <si>
    <t xml:space="preserve">3.5.2</t>
  </si>
  <si>
    <t xml:space="preserve">Q12R1C2</t>
  </si>
  <si>
    <t xml:space="preserve">Q12R1C3</t>
  </si>
  <si>
    <t xml:space="preserve">Q12R1C4</t>
  </si>
  <si>
    <t xml:space="preserve">Q12R1C5</t>
  </si>
  <si>
    <t xml:space="preserve">Q12R1C6</t>
  </si>
  <si>
    <t xml:space="preserve">Q12R1C7</t>
  </si>
  <si>
    <t xml:space="preserve">Q12R1C8</t>
  </si>
  <si>
    <t xml:space="preserve">Q12R1C9</t>
  </si>
  <si>
    <t xml:space="preserve">Q12R1C10</t>
  </si>
  <si>
    <t xml:space="preserve">Q12R2C2</t>
  </si>
  <si>
    <t xml:space="preserve">Q12R2C3</t>
  </si>
  <si>
    <t xml:space="preserve">Q12R2C4</t>
  </si>
  <si>
    <t xml:space="preserve">Q12R2C5</t>
  </si>
  <si>
    <t xml:space="preserve">Q12R2C6</t>
  </si>
  <si>
    <t xml:space="preserve">Q12R2C7</t>
  </si>
  <si>
    <t xml:space="preserve">Q12R2C8</t>
  </si>
  <si>
    <t xml:space="preserve">Q12R2C9</t>
  </si>
  <si>
    <t xml:space="preserve">Q12R2C10</t>
  </si>
  <si>
    <t xml:space="preserve">Q12R3C2</t>
  </si>
  <si>
    <t xml:space="preserve">Q12R3C3</t>
  </si>
  <si>
    <t xml:space="preserve">Q12R3C4</t>
  </si>
  <si>
    <t xml:space="preserve">Q12R3C5</t>
  </si>
  <si>
    <t xml:space="preserve">Q12R3C6</t>
  </si>
  <si>
    <t xml:space="preserve">Q12R3C7</t>
  </si>
  <si>
    <t xml:space="preserve">Q12R3C8</t>
  </si>
  <si>
    <t xml:space="preserve">Q12R3C9</t>
  </si>
  <si>
    <t xml:space="preserve">Q12R3C10</t>
  </si>
  <si>
    <t xml:space="preserve">Q12R4C2</t>
  </si>
  <si>
    <t xml:space="preserve">Q12R4C3</t>
  </si>
  <si>
    <t xml:space="preserve">Q12R4C4</t>
  </si>
  <si>
    <t xml:space="preserve">Q12R4C5</t>
  </si>
  <si>
    <t xml:space="preserve">Q12R4C6</t>
  </si>
  <si>
    <t xml:space="preserve">Q12R4C7</t>
  </si>
  <si>
    <t xml:space="preserve">Q12R4C8</t>
  </si>
  <si>
    <t xml:space="preserve">Q12R4C9</t>
  </si>
  <si>
    <t xml:space="preserve">Q12R4C10</t>
  </si>
  <si>
    <t xml:space="preserve">Q12R5C2</t>
  </si>
  <si>
    <t xml:space="preserve">Q12R5C3</t>
  </si>
  <si>
    <t xml:space="preserve">Q12R5C4</t>
  </si>
  <si>
    <t xml:space="preserve">Q12R5C5</t>
  </si>
  <si>
    <t xml:space="preserve">Q12R5C6</t>
  </si>
  <si>
    <t xml:space="preserve">Q12R5C7</t>
  </si>
  <si>
    <t xml:space="preserve">Q12R5C8</t>
  </si>
  <si>
    <t xml:space="preserve">Q12R5C9</t>
  </si>
  <si>
    <t xml:space="preserve">Q12R5C10</t>
  </si>
  <si>
    <t xml:space="preserve">Q12R6C2</t>
  </si>
  <si>
    <t xml:space="preserve">Q12R6C3</t>
  </si>
  <si>
    <t xml:space="preserve">Q12R6C4</t>
  </si>
  <si>
    <t xml:space="preserve">Q12R6C5</t>
  </si>
  <si>
    <t xml:space="preserve">Q12R6C6</t>
  </si>
  <si>
    <t xml:space="preserve">Q12R6C7</t>
  </si>
  <si>
    <t xml:space="preserve">Q12R6C8</t>
  </si>
  <si>
    <t xml:space="preserve">Q12R6C9</t>
  </si>
  <si>
    <t xml:space="preserve">Q12R6C10</t>
  </si>
  <si>
    <t xml:space="preserve">3.5.3</t>
  </si>
  <si>
    <t xml:space="preserve">3.5.4</t>
  </si>
  <si>
    <t xml:space="preserve">Q14R1C4</t>
  </si>
  <si>
    <t xml:space="preserve">Q14R1C5</t>
  </si>
  <si>
    <t xml:space="preserve">Q14R1C6</t>
  </si>
  <si>
    <t xml:space="preserve">Q14R2C1</t>
  </si>
  <si>
    <t xml:space="preserve">Q14R2C2</t>
  </si>
  <si>
    <t xml:space="preserve">Q14R2C3</t>
  </si>
  <si>
    <t xml:space="preserve">Q14R2C4</t>
  </si>
  <si>
    <t xml:space="preserve">Q14R2C5</t>
  </si>
  <si>
    <t xml:space="preserve">Q14R2C6</t>
  </si>
  <si>
    <t xml:space="preserve">Q14R3C1</t>
  </si>
  <si>
    <t xml:space="preserve">Q14R3C2</t>
  </si>
  <si>
    <t xml:space="preserve">Q14R3C3</t>
  </si>
  <si>
    <t xml:space="preserve">Q14R3C4</t>
  </si>
  <si>
    <t xml:space="preserve">Q14R3C5</t>
  </si>
  <si>
    <t xml:space="preserve">Q14R3C6</t>
  </si>
  <si>
    <t xml:space="preserve">Q14R4C1</t>
  </si>
  <si>
    <t xml:space="preserve">Q14R4C2</t>
  </si>
  <si>
    <t xml:space="preserve">Q14R4C3</t>
  </si>
  <si>
    <t xml:space="preserve">Q14R4C4</t>
  </si>
  <si>
    <t xml:space="preserve">Q14R4C5</t>
  </si>
  <si>
    <t xml:space="preserve">Q14R4C6</t>
  </si>
  <si>
    <t xml:space="preserve">Q14R5C1</t>
  </si>
  <si>
    <t xml:space="preserve">Q14R5C2</t>
  </si>
  <si>
    <t xml:space="preserve">Q14R5C3</t>
  </si>
  <si>
    <t xml:space="preserve">Q14R5C4</t>
  </si>
  <si>
    <t xml:space="preserve">Q14R5C5</t>
  </si>
  <si>
    <t xml:space="preserve">Q14R5C6</t>
  </si>
  <si>
    <t xml:space="preserve">Q14R6C1</t>
  </si>
  <si>
    <t xml:space="preserve">Q14R6C2</t>
  </si>
  <si>
    <t xml:space="preserve">Q14R6C3</t>
  </si>
  <si>
    <t xml:space="preserve">Q14R6C4</t>
  </si>
  <si>
    <t xml:space="preserve">Q14R6C5</t>
  </si>
  <si>
    <t xml:space="preserve">Q14R6C6</t>
  </si>
  <si>
    <t xml:space="preserve">3.5.5</t>
  </si>
  <si>
    <t xml:space="preserve">3.5.6</t>
  </si>
  <si>
    <t xml:space="preserve">Q16R1C4</t>
  </si>
  <si>
    <t xml:space="preserve">Q16R1C5</t>
  </si>
  <si>
    <t xml:space="preserve">Q16R1C6</t>
  </si>
  <si>
    <t xml:space="preserve">Q16R2C1</t>
  </si>
  <si>
    <t xml:space="preserve">Q16R2C2</t>
  </si>
  <si>
    <t xml:space="preserve">Q16R2C3</t>
  </si>
  <si>
    <t xml:space="preserve">Q16R2C4</t>
  </si>
  <si>
    <t xml:space="preserve">Q16R2C5</t>
  </si>
  <si>
    <t xml:space="preserve">Q16R2C6</t>
  </si>
  <si>
    <t xml:space="preserve">Q16R3C1</t>
  </si>
  <si>
    <t xml:space="preserve">Q16R3C2</t>
  </si>
  <si>
    <t xml:space="preserve">Q16R3C3</t>
  </si>
  <si>
    <t xml:space="preserve">Q16R3C4</t>
  </si>
  <si>
    <t xml:space="preserve">Q16R3C5</t>
  </si>
  <si>
    <t xml:space="preserve">Q16R3C6</t>
  </si>
  <si>
    <t xml:space="preserve">Q16R4C1</t>
  </si>
  <si>
    <t xml:space="preserve">Q16R4C2</t>
  </si>
  <si>
    <t xml:space="preserve">Q16R4C3</t>
  </si>
  <si>
    <t xml:space="preserve">Q16R4C4</t>
  </si>
  <si>
    <t xml:space="preserve">Q16R4C5</t>
  </si>
  <si>
    <t xml:space="preserve">Q16R4C6</t>
  </si>
  <si>
    <t xml:space="preserve">Q16R5C1</t>
  </si>
  <si>
    <t xml:space="preserve">Q16R5C2</t>
  </si>
  <si>
    <t xml:space="preserve">Q16R5C3</t>
  </si>
  <si>
    <t xml:space="preserve">Q16R5C4</t>
  </si>
  <si>
    <t xml:space="preserve">Q16R5C5</t>
  </si>
  <si>
    <t xml:space="preserve">Q16R5C6</t>
  </si>
  <si>
    <t xml:space="preserve">Q16R6C1</t>
  </si>
  <si>
    <t xml:space="preserve">Q16R6C2</t>
  </si>
  <si>
    <t xml:space="preserve">Q16R6C3</t>
  </si>
  <si>
    <t xml:space="preserve">Q16R6C4</t>
  </si>
  <si>
    <t xml:space="preserve">Q16R6C5</t>
  </si>
  <si>
    <t xml:space="preserve">Q16R6C6</t>
  </si>
  <si>
    <t xml:space="preserve">3.5.7</t>
  </si>
  <si>
    <t xml:space="preserve">3.6.1</t>
  </si>
  <si>
    <t xml:space="preserve">Q18R2C1</t>
  </si>
  <si>
    <t xml:space="preserve">3.7.1</t>
  </si>
  <si>
    <t xml:space="preserve">3.7.2</t>
  </si>
  <si>
    <t xml:space="preserve">3,8</t>
  </si>
  <si>
    <t xml:space="preserve">Q21R1C2</t>
  </si>
  <si>
    <t xml:space="preserve">Q21R2C2</t>
  </si>
  <si>
    <t xml:space="preserve">6,1</t>
  </si>
  <si>
    <t xml:space="preserve">Q24R1C3</t>
  </si>
  <si>
    <t xml:space="preserve">Q24R1C4</t>
  </si>
  <si>
    <t xml:space="preserve">Q24R1C5</t>
  </si>
  <si>
    <t xml:space="preserve">Q24R1C6</t>
  </si>
  <si>
    <t xml:space="preserve">Q24R1C7</t>
  </si>
  <si>
    <t xml:space="preserve">Q24R1C8</t>
  </si>
  <si>
    <t xml:space="preserve">6,2</t>
  </si>
  <si>
    <t xml:space="preserve">Q25R1C5</t>
  </si>
  <si>
    <t xml:space="preserve">Q25R1C6</t>
  </si>
  <si>
    <t xml:space="preserve">Q25R1C7</t>
  </si>
  <si>
    <t xml:space="preserve">Q25R1C8</t>
  </si>
  <si>
    <t xml:space="preserve">Q25R2C5</t>
  </si>
  <si>
    <t xml:space="preserve">Q25R2C6</t>
  </si>
  <si>
    <t xml:space="preserve">Q25R2C7</t>
  </si>
  <si>
    <t xml:space="preserve">Q25R2C8</t>
  </si>
  <si>
    <t xml:space="preserve">Forced to 0</t>
  </si>
  <si>
    <t xml:space="preserve">Q25R3C5</t>
  </si>
  <si>
    <t xml:space="preserve">Q25R3C6</t>
  </si>
  <si>
    <t xml:space="preserve">Q25R3C7</t>
  </si>
  <si>
    <t xml:space="preserve">Q25R3C8</t>
  </si>
  <si>
    <t xml:space="preserve">Q27R1C7</t>
  </si>
  <si>
    <t xml:space="preserve">Q27R1C8</t>
  </si>
  <si>
    <t xml:space="preserve">Q27R2C7</t>
  </si>
  <si>
    <t xml:space="preserve">Q27R2C8</t>
  </si>
  <si>
    <t xml:space="preserve">Q27R3C1</t>
  </si>
  <si>
    <t xml:space="preserve">Q27R3C2</t>
  </si>
  <si>
    <t xml:space="preserve">Q27R3C3</t>
  </si>
  <si>
    <t xml:space="preserve">Q27R3C4</t>
  </si>
  <si>
    <t xml:space="preserve">Q27R3C5</t>
  </si>
  <si>
    <t xml:space="preserve">Q27R3C6</t>
  </si>
  <si>
    <t xml:space="preserve">Q27R3C7</t>
  </si>
  <si>
    <t xml:space="preserve">Q27R3C8</t>
  </si>
  <si>
    <t xml:space="preserve">Q27R4C1</t>
  </si>
  <si>
    <t xml:space="preserve">Q27R4C2</t>
  </si>
  <si>
    <t xml:space="preserve">Q27R4C3</t>
  </si>
  <si>
    <t xml:space="preserve">Q27R4C4</t>
  </si>
  <si>
    <t xml:space="preserve">Q27R4C5</t>
  </si>
  <si>
    <t xml:space="preserve">Q27R4C6</t>
  </si>
  <si>
    <t xml:space="preserve">Q27R4C7</t>
  </si>
  <si>
    <t xml:space="preserve">Q27R4C8</t>
  </si>
  <si>
    <t xml:space="preserve">Q27R5C1</t>
  </si>
  <si>
    <t xml:space="preserve">Q27R5C2</t>
  </si>
  <si>
    <t xml:space="preserve">Q27R5C3</t>
  </si>
  <si>
    <t xml:space="preserve">Q27R5C4</t>
  </si>
  <si>
    <t xml:space="preserve">Q27R5C5</t>
  </si>
  <si>
    <t xml:space="preserve">Q27R5C6</t>
  </si>
  <si>
    <t xml:space="preserve">Q27R5C7</t>
  </si>
  <si>
    <t xml:space="preserve">Q27R5C8</t>
  </si>
  <si>
    <t xml:space="preserve">Q27R6C1</t>
  </si>
  <si>
    <t xml:space="preserve">Q27R6C2</t>
  </si>
  <si>
    <t xml:space="preserve">Q27R6C3</t>
  </si>
  <si>
    <t xml:space="preserve">Q27R6C4</t>
  </si>
  <si>
    <t xml:space="preserve">Q27R6C5</t>
  </si>
  <si>
    <t xml:space="preserve">Q27R6C6</t>
  </si>
  <si>
    <t xml:space="preserve">Q27R6C7</t>
  </si>
  <si>
    <t xml:space="preserve">Q27R6C8</t>
  </si>
  <si>
    <t xml:space="preserve">Q27R7C1</t>
  </si>
  <si>
    <t xml:space="preserve">Q27R7C2</t>
  </si>
  <si>
    <t xml:space="preserve">Q27R7C3</t>
  </si>
  <si>
    <t xml:space="preserve">Q27R7C4</t>
  </si>
  <si>
    <t xml:space="preserve">Q27R7C5</t>
  </si>
  <si>
    <t xml:space="preserve">Q27R7C6</t>
  </si>
  <si>
    <t xml:space="preserve">Q27R7C7</t>
  </si>
  <si>
    <t xml:space="preserve">Q27R7C8</t>
  </si>
  <si>
    <t xml:space="preserve">Q28R1C5</t>
  </si>
  <si>
    <t xml:space="preserve">Q28R1C6</t>
  </si>
  <si>
    <t xml:space="preserve">Q28R1C7</t>
  </si>
  <si>
    <t xml:space="preserve">Q28R1C8</t>
  </si>
  <si>
    <t xml:space="preserve">Q28R2C5</t>
  </si>
  <si>
    <t xml:space="preserve">Q28R2C6</t>
  </si>
  <si>
    <t xml:space="preserve">Q28R2C7</t>
  </si>
  <si>
    <t xml:space="preserve">Q28R2C8</t>
  </si>
  <si>
    <t xml:space="preserve">Q28R3C5</t>
  </si>
  <si>
    <t xml:space="preserve">Q28R3C6</t>
  </si>
  <si>
    <t xml:space="preserve">Q28R3C7</t>
  </si>
  <si>
    <t xml:space="preserve">Q28R3C8</t>
  </si>
  <si>
    <t xml:space="preserve">Q28R4C5</t>
  </si>
  <si>
    <t xml:space="preserve">Q28R4C6</t>
  </si>
  <si>
    <t xml:space="preserve">Q28R4C7</t>
  </si>
  <si>
    <t xml:space="preserve">Q28R4C8</t>
  </si>
  <si>
    <t xml:space="preserve">Q28R5C5</t>
  </si>
  <si>
    <t xml:space="preserve">Q28R5C6</t>
  </si>
  <si>
    <t xml:space="preserve">Q28R5C7</t>
  </si>
  <si>
    <t xml:space="preserve">Q28R5C8</t>
  </si>
  <si>
    <t xml:space="preserve">Q28R6C1</t>
  </si>
  <si>
    <t xml:space="preserve">Q28R6C2</t>
  </si>
  <si>
    <t xml:space="preserve">Q28R6C3</t>
  </si>
  <si>
    <t xml:space="preserve">Q28R6C4</t>
  </si>
  <si>
    <t xml:space="preserve">Q28R6C5</t>
  </si>
  <si>
    <t xml:space="preserve">Q28R6C6</t>
  </si>
  <si>
    <t xml:space="preserve">Q28R6C7</t>
  </si>
  <si>
    <t xml:space="preserve">Q28R6C8</t>
  </si>
  <si>
    <t xml:space="preserve">Q28R7C1</t>
  </si>
  <si>
    <t xml:space="preserve">Q28R7C2</t>
  </si>
  <si>
    <t xml:space="preserve">Q28R7C3</t>
  </si>
  <si>
    <t xml:space="preserve">Q28R7C4</t>
  </si>
  <si>
    <t xml:space="preserve">Q28R7C5</t>
  </si>
  <si>
    <t xml:space="preserve">Q28R7C6</t>
  </si>
  <si>
    <t xml:space="preserve">Q28R7C7</t>
  </si>
  <si>
    <t xml:space="preserve">Q28R7C8</t>
  </si>
  <si>
    <t xml:space="preserve">Q29R1C8</t>
  </si>
  <si>
    <t xml:space="preserve">Q29R1C9</t>
  </si>
  <si>
    <t xml:space="preserve">Q29R1C10</t>
  </si>
  <si>
    <t xml:space="preserve">Q29R2C8</t>
  </si>
  <si>
    <t xml:space="preserve">Q29R2C9</t>
  </si>
  <si>
    <t xml:space="preserve">Q29R2C10</t>
  </si>
  <si>
    <t xml:space="preserve">Q29R3C8</t>
  </si>
  <si>
    <t xml:space="preserve">Q29R3C9</t>
  </si>
  <si>
    <t xml:space="preserve">Q29R3C10</t>
  </si>
  <si>
    <t xml:space="preserve">Q29R4C8</t>
  </si>
  <si>
    <t xml:space="preserve">Q29R4C9</t>
  </si>
  <si>
    <t xml:space="preserve">Q29R4C10</t>
  </si>
  <si>
    <t xml:space="preserve">Q29R5C8</t>
  </si>
  <si>
    <t xml:space="preserve">Q29R5C9</t>
  </si>
  <si>
    <t xml:space="preserve">Q29R5C10</t>
  </si>
  <si>
    <t xml:space="preserve">Q29R6C8</t>
  </si>
  <si>
    <t xml:space="preserve">Q29R6C9</t>
  </si>
  <si>
    <t xml:space="preserve">Q29R6C10</t>
  </si>
  <si>
    <t xml:space="preserve">Q29R7C1</t>
  </si>
  <si>
    <t xml:space="preserve">Q29R7C2</t>
  </si>
  <si>
    <t xml:space="preserve">Q29R7C3</t>
  </si>
  <si>
    <t xml:space="preserve">Q29R7C4</t>
  </si>
  <si>
    <t xml:space="preserve">Q29R7C5</t>
  </si>
  <si>
    <t xml:space="preserve">Q29R7C6</t>
  </si>
  <si>
    <t xml:space="preserve">Q29R7C7</t>
  </si>
  <si>
    <t xml:space="preserve">Q29R7C8</t>
  </si>
  <si>
    <t xml:space="preserve">Q29R7C9</t>
  </si>
  <si>
    <t xml:space="preserve">Q29R7C10</t>
  </si>
  <si>
    <t xml:space="preserve">Q30R1C8</t>
  </si>
  <si>
    <t xml:space="preserve">Q30R1C9</t>
  </si>
  <si>
    <t xml:space="preserve">Q30R1C10</t>
  </si>
  <si>
    <t xml:space="preserve">Q30R2C8</t>
  </si>
  <si>
    <t xml:space="preserve">Q30R2C9</t>
  </si>
  <si>
    <t xml:space="preserve">Q30R2C10</t>
  </si>
  <si>
    <t xml:space="preserve">Q30R3C8</t>
  </si>
  <si>
    <t xml:space="preserve">Q30R3C9</t>
  </si>
  <si>
    <t xml:space="preserve">Q30R3C10</t>
  </si>
  <si>
    <t xml:space="preserve">Q30R4C8</t>
  </si>
  <si>
    <t xml:space="preserve">Q30R4C9</t>
  </si>
  <si>
    <t xml:space="preserve">Q30R4C10</t>
  </si>
  <si>
    <t xml:space="preserve">Q30R5C8</t>
  </si>
  <si>
    <t xml:space="preserve">Q30R5C9</t>
  </si>
  <si>
    <t xml:space="preserve">Q30R5C10</t>
  </si>
  <si>
    <t xml:space="preserve">Q30R6C8</t>
  </si>
  <si>
    <t xml:space="preserve">Q30R6C9</t>
  </si>
  <si>
    <t xml:space="preserve">Q30R6C10</t>
  </si>
  <si>
    <t xml:space="preserve">Q30R7C1</t>
  </si>
  <si>
    <t xml:space="preserve">Q30R7C2</t>
  </si>
  <si>
    <t xml:space="preserve">Q30R7C3</t>
  </si>
  <si>
    <t xml:space="preserve">Q30R7C4</t>
  </si>
  <si>
    <t xml:space="preserve">Q30R7C5</t>
  </si>
  <si>
    <t xml:space="preserve">Q30R7C6</t>
  </si>
  <si>
    <t xml:space="preserve">Q30R7C7</t>
  </si>
  <si>
    <t xml:space="preserve">Q30R7C8</t>
  </si>
  <si>
    <t xml:space="preserve">Q30R7C9</t>
  </si>
  <si>
    <t xml:space="preserve">Q30R7C10</t>
  </si>
  <si>
    <t xml:space="preserve">Q33R1C4</t>
  </si>
  <si>
    <t xml:space="preserve">Q33R2C1</t>
  </si>
  <si>
    <t xml:space="preserve">Q33R2C2</t>
  </si>
  <si>
    <t xml:space="preserve">Q33R2C3</t>
  </si>
  <si>
    <t xml:space="preserve">Q33R2C4</t>
  </si>
  <si>
    <t xml:space="preserve">Q34R2C1</t>
  </si>
  <si>
    <t xml:space="preserve">12,1</t>
  </si>
  <si>
    <t xml:space="preserve">Q36R2C1</t>
  </si>
  <si>
    <t xml:space="preserve">Q36R3C1</t>
  </si>
  <si>
    <t xml:space="preserve">Q36R4C1</t>
  </si>
  <si>
    <t xml:space="preserve">Q36R5C1</t>
  </si>
  <si>
    <t xml:space="preserve">12,2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</si>
</sst>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\$#,##0.00"/>
    <numFmt numFmtId="167" formatCode="\$#,##0"/>
    <numFmt numFmtId="168" formatCode="0.000"/>
  </numFmts>
  <fonts count="5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rgb="FFFF0000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4"/>
      <color theme="1"/>
      <name val="Arial"/>
      <family val="2"/>
      <charset val="1"/>
    </font>
    <font>
      <b val="true"/>
      <i val="true"/>
      <sz val="14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i val="true"/>
      <sz val="11"/>
      <color theme="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0"/>
      <color rgb="FFFF0000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9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8.5"/>
      <name val="Arial"/>
      <family val="2"/>
      <charset val="1"/>
    </font>
    <font>
      <sz val="11"/>
      <name val="Arial"/>
      <family val="2"/>
      <charset val="1"/>
    </font>
    <font>
      <b val="true"/>
      <sz val="8"/>
      <name val="Arial"/>
      <family val="2"/>
      <charset val="1"/>
    </font>
    <font>
      <sz val="11"/>
      <color theme="0"/>
      <name val="Arial"/>
      <family val="2"/>
      <charset val="1"/>
    </font>
    <font>
      <sz val="7.5"/>
      <name val="Arial"/>
      <family val="2"/>
      <charset val="1"/>
    </font>
    <font>
      <b val="true"/>
      <u val="single"/>
      <sz val="11"/>
      <name val="Arial"/>
      <family val="2"/>
      <charset val="1"/>
    </font>
    <font>
      <b val="true"/>
      <sz val="7.5"/>
      <name val="Arial"/>
      <family val="2"/>
      <charset val="1"/>
    </font>
    <font>
      <b val="true"/>
      <u val="single"/>
      <sz val="11"/>
      <color theme="1"/>
      <name val="Arial"/>
      <family val="2"/>
      <charset val="1"/>
    </font>
    <font>
      <b val="true"/>
      <sz val="8"/>
      <color theme="1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9"/>
      <color rgb="FF00B0F0"/>
      <name val="Arial"/>
      <family val="2"/>
      <charset val="1"/>
    </font>
    <font>
      <sz val="9"/>
      <color theme="1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theme="1"/>
      <name val="Calibri"/>
      <family val="2"/>
      <charset val="1"/>
    </font>
    <font>
      <b val="true"/>
      <i val="true"/>
      <sz val="11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sz val="7"/>
      <color theme="1"/>
      <name val="Arial"/>
      <family val="2"/>
      <charset val="1"/>
    </font>
    <font>
      <b val="true"/>
      <sz val="12"/>
      <color theme="0"/>
      <name val="Arial"/>
      <family val="2"/>
      <charset val="1"/>
    </font>
    <font>
      <b val="true"/>
      <sz val="12"/>
      <color theme="9" tint="0.3999"/>
      <name val="Arial"/>
      <family val="2"/>
      <charset val="1"/>
    </font>
    <font>
      <b val="true"/>
      <i val="true"/>
      <sz val="12"/>
      <color theme="0"/>
      <name val="Arial"/>
      <family val="2"/>
      <charset val="1"/>
    </font>
    <font>
      <b val="true"/>
      <sz val="6"/>
      <name val="Arial"/>
      <family val="2"/>
      <charset val="1"/>
    </font>
    <font>
      <sz val="7"/>
      <color theme="0"/>
      <name val="Arial"/>
      <family val="2"/>
      <charset val="1"/>
    </font>
    <font>
      <sz val="7"/>
      <name val="Arial"/>
      <family val="2"/>
      <charset val="1"/>
    </font>
    <font>
      <b val="true"/>
      <strike val="true"/>
      <sz val="11"/>
      <name val="Arial"/>
      <family val="2"/>
      <charset val="1"/>
    </font>
    <font>
      <sz val="11"/>
      <color rgb="FFFF0000"/>
      <name val="Calibri"/>
      <family val="2"/>
      <charset val="1"/>
    </font>
    <font>
      <b val="true"/>
      <sz val="9.5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12"/>
      <color rgb="FFFF0000"/>
      <name val="Calibri"/>
      <family val="2"/>
      <charset val="1"/>
    </font>
    <font>
      <b val="true"/>
      <sz val="12"/>
      <color rgb="FFFF0000"/>
      <name val="Arial"/>
      <family val="2"/>
      <charset val="1"/>
    </font>
    <font>
      <b val="true"/>
      <sz val="11"/>
      <name val="Calibri"/>
      <family val="2"/>
      <charset val="1"/>
    </font>
    <font>
      <sz val="1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444444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CCFFCC"/>
      </patternFill>
    </fill>
  </fills>
  <borders count="8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 style="thick"/>
      <right style="thick"/>
      <top style="thick"/>
      <bottom style="thin"/>
      <diagonal/>
    </border>
    <border diagonalUp="false" diagonalDown="false">
      <left style="thick"/>
      <right style="thick"/>
      <top style="thin"/>
      <bottom style="thin"/>
      <diagonal/>
    </border>
    <border diagonalUp="false" diagonalDown="false">
      <left style="thick"/>
      <right/>
      <top style="thin"/>
      <bottom style="thick"/>
      <diagonal/>
    </border>
    <border diagonalUp="false" diagonalDown="false">
      <left style="thick"/>
      <right/>
      <top/>
      <bottom/>
      <diagonal/>
    </border>
    <border diagonalUp="false" diagonalDown="false">
      <left style="thick"/>
      <right style="thick"/>
      <top style="thin"/>
      <bottom style="thick"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ck"/>
      <right style="thick"/>
      <top style="thin"/>
      <bottom/>
      <diagonal/>
    </border>
    <border diagonalUp="false" diagonalDown="false">
      <left style="thick"/>
      <right/>
      <top style="thin"/>
      <bottom style="thin"/>
      <diagonal/>
    </border>
    <border diagonalUp="false" diagonalDown="false">
      <left style="thick"/>
      <right style="thick"/>
      <top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 style="thin"/>
      <diagonal/>
    </border>
    <border diagonalUp="false" diagonalDown="false">
      <left style="thick"/>
      <right style="thin"/>
      <top/>
      <bottom style="thick"/>
      <diagonal/>
    </border>
    <border diagonalUp="false" diagonalDown="false">
      <left style="thin"/>
      <right/>
      <top/>
      <bottom style="thick"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 style="thin"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ck"/>
      <right style="thin"/>
      <top style="thick"/>
      <bottom style="thick"/>
      <diagonal/>
    </border>
    <border diagonalUp="false" diagonalDown="false">
      <left style="thin"/>
      <right style="thin"/>
      <top style="thick"/>
      <bottom style="thick"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 style="thin"/>
      <top style="thin"/>
      <bottom style="thick"/>
      <diagonal/>
    </border>
    <border diagonalUp="false" diagonalDown="false">
      <left/>
      <right style="thin"/>
      <top style="thin"/>
      <bottom style="thick"/>
      <diagonal/>
    </border>
    <border diagonalUp="false" diagonalDown="false">
      <left style="thin"/>
      <right style="thick"/>
      <top style="thin"/>
      <bottom style="thick"/>
      <diagonal/>
    </border>
    <border diagonalUp="false" diagonalDown="false">
      <left style="thin"/>
      <right/>
      <top style="thick"/>
      <bottom style="thick"/>
      <diagonal/>
    </border>
    <border diagonalUp="false" diagonalDown="false">
      <left style="thin"/>
      <right style="thick"/>
      <top style="thick"/>
      <bottom style="thick"/>
      <diagonal/>
    </border>
    <border diagonalUp="false" diagonalDown="false">
      <left style="thick"/>
      <right style="thick"/>
      <top/>
      <bottom/>
      <diagonal/>
    </border>
    <border diagonalUp="false" diagonalDown="false">
      <left/>
      <right style="thin"/>
      <top style="thick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 style="thick"/>
      <right style="thin"/>
      <top style="thick"/>
      <bottom style="thin"/>
      <diagonal/>
    </border>
    <border diagonalUp="false" diagonalDown="false">
      <left/>
      <right style="thick"/>
      <top style="thick"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/>
      <right style="thick"/>
      <top style="thin"/>
      <bottom style="thin"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ck"/>
      <right/>
      <top/>
      <bottom style="thin"/>
      <diagonal/>
    </border>
    <border diagonalUp="false" diagonalDown="false">
      <left/>
      <right style="thick"/>
      <top style="thin"/>
      <bottom style="thick"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ck"/>
      <bottom style="thin"/>
      <diagonal/>
    </border>
    <border diagonalUp="false" diagonalDown="false">
      <left style="thin"/>
      <right style="thick"/>
      <top style="thick"/>
      <bottom style="thin"/>
      <diagonal/>
    </border>
    <border diagonalUp="false" diagonalDown="false">
      <left/>
      <right style="thick"/>
      <top/>
      <bottom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/>
      <top style="thick"/>
      <bottom style="thick"/>
      <diagonal/>
    </border>
    <border diagonalUp="false" diagonalDown="false">
      <left style="thin"/>
      <right style="thin"/>
      <top style="thick"/>
      <bottom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 style="thin"/>
      <right style="thick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 style="thick"/>
      <diagonal/>
    </border>
    <border diagonalUp="false" diagonalDown="false">
      <left style="thin"/>
      <right style="thin"/>
      <top style="thick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ck"/>
      <right style="thick"/>
      <top style="thick"/>
      <bottom style="medium"/>
      <diagonal/>
    </border>
    <border diagonalUp="false" diagonalDown="false">
      <left/>
      <right/>
      <top style="thin"/>
      <bottom style="thick"/>
      <diagonal/>
    </border>
    <border diagonalUp="false" diagonalDown="false">
      <left style="thick"/>
      <right/>
      <top style="medium"/>
      <bottom style="thin"/>
      <diagonal/>
    </border>
    <border diagonalUp="false" diagonalDown="false">
      <left style="thin"/>
      <right/>
      <top style="thick"/>
      <bottom style="thin"/>
      <diagonal/>
    </border>
    <border diagonalUp="false" diagonalDown="false">
      <left style="thick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ck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ck"/>
      <bottom style="thick"/>
      <diagonal/>
    </border>
    <border diagonalUp="false" diagonalDown="false">
      <left style="thin"/>
      <right style="thick"/>
      <top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 style="thin"/>
      <right style="thick"/>
      <top style="thick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ck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ck"/>
      <right style="thin"/>
      <top style="thick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ck"/>
      <right style="thick"/>
      <top style="thin"/>
      <bottom style="medium"/>
      <diagonal/>
    </border>
    <border diagonalUp="false" diagonalDown="false">
      <left style="thick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thick"/>
      <top style="thin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6" xfId="2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" fillId="3" borderId="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7" xfId="2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4" fillId="3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6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1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3" borderId="1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6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3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3" borderId="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3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3" borderId="1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3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3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3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3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3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8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19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2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2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2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22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0" borderId="8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2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2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2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2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19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2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32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5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3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3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3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6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3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4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23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3" xfId="20" applyFont="true" applyBorder="true" applyAlignment="true" applyProtection="false">
      <alignment horizontal="center" vertical="bottom" textRotation="0" wrapText="true" indent="0" shrinkToFit="true"/>
      <protection locked="true" hidden="false"/>
    </xf>
    <xf numFmtId="164" fontId="19" fillId="0" borderId="2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31" xfId="20" applyFont="true" applyBorder="true" applyAlignment="true" applyProtection="false">
      <alignment horizontal="center" vertical="bottom" textRotation="0" wrapText="true" indent="0" shrinkToFit="true"/>
      <protection locked="true" hidden="false"/>
    </xf>
    <xf numFmtId="164" fontId="18" fillId="0" borderId="25" xfId="20" applyFont="true" applyBorder="true" applyAlignment="true" applyProtection="false">
      <alignment horizontal="center" vertical="bottom" textRotation="0" wrapText="true" indent="0" shrinkToFit="true"/>
      <protection locked="true" hidden="false"/>
    </xf>
    <xf numFmtId="164" fontId="4" fillId="0" borderId="37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3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3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4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6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4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4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3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4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27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4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8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2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7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2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0" borderId="2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3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25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4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7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4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1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5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27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49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3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5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19" fillId="0" borderId="5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3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5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4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7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6" fillId="0" borderId="29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5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5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53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4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6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5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5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4" fillId="0" borderId="2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5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7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0" borderId="4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0" borderId="2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3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0" xfId="2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2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19" fillId="3" borderId="23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24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3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2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3" borderId="2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3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6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5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3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4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3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5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1" fillId="0" borderId="2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2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0" borderId="10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9" fillId="0" borderId="4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24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5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3" borderId="37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56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3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4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57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3" borderId="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3" borderId="5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3" borderId="4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3" borderId="2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2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1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5" fillId="3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0" borderId="5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27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58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29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0" borderId="3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47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3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9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3" borderId="27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2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3" borderId="9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3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2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4" fillId="3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9" fillId="0" borderId="56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5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7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56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57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9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5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5" xfId="2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4" fillId="0" borderId="37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47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6" xfId="2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4" fillId="0" borderId="40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35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9" fillId="0" borderId="59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46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3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27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6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4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61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6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0" borderId="47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42" xfId="2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4" fillId="0" borderId="63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0" borderId="5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0" borderId="2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9" fillId="0" borderId="3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3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4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2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8" fillId="3" borderId="18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3" borderId="2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3" borderId="19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36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5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6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6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3" borderId="1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5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5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5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3" borderId="4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3" borderId="1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2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19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3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3" borderId="2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3" borderId="49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9" fillId="0" borderId="26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4" fillId="0" borderId="2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5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2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9" fillId="0" borderId="1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1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3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3" borderId="2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3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6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4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0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0" borderId="6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2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4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" xfId="2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7" fontId="4" fillId="0" borderId="9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2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4" fillId="0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9" fillId="3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3" borderId="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3" borderId="6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3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19" fillId="3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1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7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8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3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3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22" xfId="2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3" borderId="1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3" borderId="13" xfId="2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15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3" borderId="0" xfId="2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6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4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3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3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3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3" borderId="0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3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8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3" borderId="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9" fillId="3" borderId="66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67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2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19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0" borderId="0" xfId="2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2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2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5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5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6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5" fillId="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3" borderId="18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3" borderId="2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3" borderId="67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3" borderId="69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3" borderId="48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5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3" borderId="7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5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7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3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6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3" borderId="4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5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7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7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3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7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6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3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6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9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1" fillId="3" borderId="5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2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0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36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3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2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3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1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31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37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52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53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4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27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6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9" fillId="3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2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8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27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1" fillId="0" borderId="29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2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43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73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2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3" borderId="0" xfId="2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3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4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7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4" fillId="0" borderId="47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4" fillId="0" borderId="40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4" fillId="0" borderId="35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4" fillId="0" borderId="9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27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4" fillId="0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4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0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0" borderId="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3" borderId="1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43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3" borderId="13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3" borderId="6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3" borderId="9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3" borderId="22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3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7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3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7" fillId="3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19" fillId="3" borderId="4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7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58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29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3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2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3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76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3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9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9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30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3" borderId="3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3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3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3" borderId="2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3" borderId="4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3" borderId="1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3" borderId="38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3" borderId="3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6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3" borderId="4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3" borderId="4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3" borderId="5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6" fillId="3" borderId="2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6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2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5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25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5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3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3" borderId="2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7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72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14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3" borderId="7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3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12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3" borderId="7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4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6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7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4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3" borderId="5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2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0" borderId="1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43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42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0" borderId="10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0" borderId="1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9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6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9" fillId="3" borderId="5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6" fillId="3" borderId="18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6" fillId="3" borderId="2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6" fillId="3" borderId="19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43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3" borderId="13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3" borderId="7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9" fillId="3" borderId="10" xfId="2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3" borderId="3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4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27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29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79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4" fillId="0" borderId="8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8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8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9" fillId="3" borderId="2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2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3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3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38" fillId="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7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4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8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3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5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7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1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6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21" fillId="0" borderId="3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1" fillId="0" borderId="5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1" fillId="0" borderId="4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22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21" fillId="0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1" fillId="0" borderId="2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1" fillId="0" borderId="2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9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7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0" borderId="3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0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3" borderId="0" xfId="0" applyFont="true" applyBorder="false" applyAlignment="true" applyProtection="false">
      <alignment horizontal="left" vertical="top" textRotation="0" wrapText="false" indent="1" shrinkToFit="false"/>
      <protection locked="true" hidden="false"/>
    </xf>
    <xf numFmtId="164" fontId="34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1" fillId="3" borderId="0" xfId="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4" fontId="4" fillId="0" borderId="0" xfId="0" applyFont="true" applyBorder="false" applyAlignment="true" applyProtection="false">
      <alignment horizontal="left" vertical="top" textRotation="0" wrapText="false" indent="1" shrinkToFit="false"/>
      <protection locked="true" hidden="false"/>
    </xf>
    <xf numFmtId="164" fontId="5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4" fontId="1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4" fillId="3" borderId="3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3" borderId="4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3" borderId="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3" borderId="4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3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6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0</xdr:colOff>
      <xdr:row>0</xdr:row>
      <xdr:rowOff>9360</xdr:rowOff>
    </xdr:from>
    <xdr:to>
      <xdr:col>5</xdr:col>
      <xdr:colOff>26640</xdr:colOff>
      <xdr:row>1</xdr:row>
      <xdr:rowOff>85320</xdr:rowOff>
    </xdr:to>
    <xdr:pic>
      <xdr:nvPicPr>
        <xdr:cNvPr id="0" name="Picture 1" descr="e gov of cda fip 10pt"/>
        <xdr:cNvPicPr/>
      </xdr:nvPicPr>
      <xdr:blipFill>
        <a:blip r:embed="rId1"/>
        <a:stretch/>
      </xdr:blipFill>
      <xdr:spPr>
        <a:xfrm>
          <a:off x="634320" y="9360"/>
          <a:ext cx="2589480" cy="257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66600</xdr:colOff>
      <xdr:row>0</xdr:row>
      <xdr:rowOff>38160</xdr:rowOff>
    </xdr:from>
    <xdr:to>
      <xdr:col>5</xdr:col>
      <xdr:colOff>93240</xdr:colOff>
      <xdr:row>1</xdr:row>
      <xdr:rowOff>76320</xdr:rowOff>
    </xdr:to>
    <xdr:pic>
      <xdr:nvPicPr>
        <xdr:cNvPr id="1" name="Picture 1" descr="e gov of cda fip 10pt"/>
        <xdr:cNvPicPr/>
      </xdr:nvPicPr>
      <xdr:blipFill>
        <a:blip r:embed="rId1"/>
        <a:stretch/>
      </xdr:blipFill>
      <xdr:spPr>
        <a:xfrm>
          <a:off x="668520" y="38160"/>
          <a:ext cx="2409840" cy="209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366"/>
  <sheetViews>
    <sheetView showFormulas="false" showGridLines="true" showRowColHeaders="true" showZeros="true" rightToLeft="false" tabSelected="false" showOutlineSymbols="true" defaultGridColor="true" view="normal" topLeftCell="A192" colorId="64" zoomScale="100" zoomScaleNormal="100" zoomScalePageLayoutView="90" workbookViewId="0">
      <selection pane="topLeft" activeCell="M356" activeCellId="0" sqref="M356"/>
    </sheetView>
  </sheetViews>
  <sheetFormatPr defaultColWidth="9.00390625" defaultRowHeight="13.5" customHeight="true" zeroHeight="false" outlineLevelRow="0" outlineLevelCol="0"/>
  <cols>
    <col collapsed="false" customWidth="false" hidden="false" outlineLevel="0" max="1" min="1" style="1" width="9"/>
    <col collapsed="false" customWidth="false" hidden="false" outlineLevel="0" max="2" min="2" style="2" width="9"/>
    <col collapsed="false" customWidth="true" hidden="false" outlineLevel="0" max="3" min="3" style="2" width="8.54"/>
    <col collapsed="false" customWidth="false" hidden="false" outlineLevel="0" max="4" min="4" style="2" width="9"/>
    <col collapsed="false" customWidth="true" hidden="false" outlineLevel="0" max="5" min="5" style="2" width="9.82"/>
    <col collapsed="false" customWidth="true" hidden="false" outlineLevel="0" max="6" min="6" style="2" width="9.54"/>
    <col collapsed="false" customWidth="true" hidden="false" outlineLevel="0" max="7" min="7" style="2" width="10.18"/>
    <col collapsed="false" customWidth="true" hidden="false" outlineLevel="0" max="8" min="8" style="2" width="9.18"/>
    <col collapsed="false" customWidth="true" hidden="false" outlineLevel="0" max="9" min="9" style="2" width="10.27"/>
    <col collapsed="false" customWidth="true" hidden="false" outlineLevel="0" max="11" min="10" style="2" width="9.45"/>
    <col collapsed="false" customWidth="false" hidden="false" outlineLevel="0" max="12" min="12" style="2" width="9"/>
    <col collapsed="false" customWidth="true" hidden="false" outlineLevel="0" max="13" min="13" style="2" width="10.18"/>
    <col collapsed="false" customWidth="false" hidden="false" outlineLevel="0" max="29" min="14" style="3" width="9"/>
    <col collapsed="false" customWidth="false" hidden="false" outlineLevel="0" max="16384" min="30" style="2" width="9"/>
  </cols>
  <sheetData>
    <row r="1" customFormat="false" ht="14.25" hidden="false" customHeight="true" outlineLevel="0" collapsed="false"/>
    <row r="2" customFormat="false" ht="14.25" hidden="false" customHeight="true" outlineLevel="0" collapsed="false">
      <c r="I2" s="4"/>
    </row>
    <row r="3" customFormat="false" ht="15" hidden="false" customHeight="true" outlineLevel="0" collapsed="false"/>
    <row r="4" customFormat="false" ht="17.15" hidden="false" customHeight="false" outlineLevel="0" collapsed="false">
      <c r="B4" s="5" t="s">
        <v>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customFormat="false" ht="14.25" hidden="false" customHeight="true" outlineLevel="0" collapsed="false"/>
    <row r="6" customFormat="false" ht="14.25" hidden="false" customHeight="true" outlineLevel="0" collapsed="false">
      <c r="B6" s="6" t="s">
        <v>1</v>
      </c>
      <c r="C6" s="6"/>
      <c r="D6" s="6"/>
      <c r="E6" s="7" t="s">
        <v>2</v>
      </c>
      <c r="F6" s="7"/>
      <c r="G6" s="7"/>
      <c r="H6" s="7"/>
      <c r="I6" s="7"/>
      <c r="J6" s="7"/>
      <c r="K6" s="8"/>
      <c r="L6" s="3" t="str">
        <f aca="false">IF(E6="", "You must enter an Institution name", "")</f>
        <v/>
      </c>
    </row>
    <row r="7" customFormat="false" ht="14.25" hidden="false" customHeight="true" outlineLevel="0" collapsed="false"/>
    <row r="8" customFormat="false" ht="13.5" hidden="false" customHeight="false" outlineLevel="0" collapsed="false">
      <c r="B8" s="6" t="s">
        <v>3</v>
      </c>
      <c r="C8" s="6"/>
      <c r="D8" s="6"/>
      <c r="E8" s="9" t="n">
        <v>45748</v>
      </c>
      <c r="F8" s="9"/>
      <c r="G8" s="9"/>
      <c r="H8" s="10" t="s">
        <v>4</v>
      </c>
      <c r="I8" s="9" t="n">
        <v>46112</v>
      </c>
      <c r="J8" s="9"/>
      <c r="K8" s="9"/>
    </row>
    <row r="9" customFormat="false" ht="14.25" hidden="false" customHeight="true" outlineLevel="0" collapsed="false"/>
    <row r="10" customFormat="false" ht="14.25" hidden="false" customHeight="true" outlineLevel="0" collapsed="false">
      <c r="B10" s="11" t="s">
        <v>5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customFormat="false" ht="14.25" hidden="false" customHeight="true" outlineLevel="0" collapsed="false"/>
    <row r="12" customFormat="false" ht="14.25" hidden="false" customHeight="true" outlineLevel="0" collapsed="false">
      <c r="A12" s="1" t="n">
        <v>1</v>
      </c>
      <c r="B12" s="12" t="s">
        <v>6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3"/>
    </row>
    <row r="13" customFormat="false" ht="14.25" hidden="false" customHeight="true" outlineLevel="0" collapsed="false">
      <c r="B13" s="14"/>
      <c r="C13" s="14"/>
      <c r="D13" s="14"/>
      <c r="E13" s="14"/>
      <c r="F13" s="14"/>
      <c r="G13" s="14"/>
      <c r="H13" s="15"/>
      <c r="I13" s="16" t="s">
        <v>7</v>
      </c>
      <c r="J13" s="16"/>
      <c r="K13" s="16"/>
      <c r="L13" s="17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8"/>
      <c r="AE13" s="8"/>
      <c r="AF13" s="8"/>
      <c r="AG13" s="8"/>
      <c r="AH13" s="8"/>
    </row>
    <row r="14" customFormat="false" ht="14.25" hidden="false" customHeight="true" outlineLevel="0" collapsed="false">
      <c r="B14" s="18" t="s">
        <v>8</v>
      </c>
      <c r="C14" s="18"/>
      <c r="D14" s="18"/>
      <c r="E14" s="18"/>
      <c r="F14" s="18"/>
      <c r="G14" s="18"/>
      <c r="H14" s="18"/>
      <c r="I14" s="19" t="n">
        <v>0</v>
      </c>
      <c r="J14" s="19"/>
      <c r="K14" s="19"/>
      <c r="L14" s="8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8"/>
      <c r="AE14" s="8"/>
      <c r="AF14" s="8"/>
      <c r="AG14" s="8"/>
      <c r="AH14" s="8"/>
    </row>
    <row r="15" customFormat="false" ht="14.25" hidden="false" customHeight="true" outlineLevel="0" collapsed="false">
      <c r="B15" s="21" t="s">
        <v>9</v>
      </c>
      <c r="C15" s="21"/>
      <c r="D15" s="21"/>
      <c r="E15" s="21"/>
      <c r="F15" s="21"/>
      <c r="G15" s="21"/>
      <c r="H15" s="21"/>
      <c r="I15" s="22" t="n">
        <f aca="false">SUM(H16:H17)</f>
        <v>0</v>
      </c>
      <c r="J15" s="22"/>
      <c r="K15" s="22"/>
      <c r="L15" s="8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8"/>
      <c r="AE15" s="8"/>
      <c r="AF15" s="8"/>
      <c r="AG15" s="8"/>
      <c r="AH15" s="8"/>
    </row>
    <row r="16" customFormat="false" ht="14.25" hidden="false" customHeight="true" outlineLevel="0" collapsed="false">
      <c r="B16" s="23" t="s">
        <v>10</v>
      </c>
      <c r="C16" s="23"/>
      <c r="D16" s="23"/>
      <c r="E16" s="23"/>
      <c r="F16" s="23"/>
      <c r="G16" s="23"/>
      <c r="H16" s="24" t="n">
        <v>0</v>
      </c>
      <c r="I16" s="25"/>
      <c r="J16" s="25"/>
      <c r="K16" s="25"/>
      <c r="L16" s="26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8"/>
      <c r="AE16" s="8"/>
      <c r="AF16" s="8"/>
      <c r="AG16" s="8"/>
      <c r="AH16" s="8"/>
    </row>
    <row r="17" customFormat="false" ht="14.25" hidden="false" customHeight="true" outlineLevel="0" collapsed="false">
      <c r="B17" s="27" t="s">
        <v>11</v>
      </c>
      <c r="C17" s="27"/>
      <c r="D17" s="27"/>
      <c r="E17" s="27"/>
      <c r="F17" s="27"/>
      <c r="G17" s="27"/>
      <c r="H17" s="28" t="n">
        <v>0</v>
      </c>
      <c r="I17" s="25"/>
      <c r="J17" s="25"/>
      <c r="K17" s="25"/>
      <c r="L17" s="26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8"/>
      <c r="AE17" s="8"/>
      <c r="AF17" s="8"/>
      <c r="AG17" s="8"/>
      <c r="AH17" s="8"/>
    </row>
    <row r="18" customFormat="false" ht="14.25" hidden="false" customHeight="true" outlineLevel="0" collapsed="false">
      <c r="B18" s="29" t="s">
        <v>12</v>
      </c>
      <c r="C18" s="29"/>
      <c r="D18" s="29"/>
      <c r="E18" s="29"/>
      <c r="F18" s="29"/>
      <c r="G18" s="29"/>
      <c r="H18" s="29"/>
      <c r="I18" s="30" t="n">
        <f aca="false">SUM(I14:K15)</f>
        <v>0</v>
      </c>
      <c r="J18" s="30"/>
      <c r="K18" s="30"/>
      <c r="L18" s="31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8"/>
      <c r="AE18" s="8"/>
      <c r="AF18" s="8"/>
      <c r="AG18" s="8"/>
      <c r="AH18" s="8"/>
    </row>
    <row r="19" customFormat="false" ht="14.25" hidden="false" customHeight="true" outlineLevel="0" collapsed="false">
      <c r="B19" s="32" t="s">
        <v>13</v>
      </c>
      <c r="C19" s="32"/>
      <c r="D19" s="32"/>
      <c r="E19" s="32"/>
      <c r="F19" s="32"/>
      <c r="G19" s="32"/>
      <c r="H19" s="32"/>
      <c r="I19" s="19" t="n">
        <v>0</v>
      </c>
      <c r="J19" s="19"/>
      <c r="K19" s="19"/>
      <c r="L19" s="8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8"/>
      <c r="AE19" s="8"/>
      <c r="AF19" s="8"/>
      <c r="AG19" s="8"/>
      <c r="AH19" s="8"/>
    </row>
    <row r="20" customFormat="false" ht="13.8" hidden="false" customHeight="false" outlineLevel="0" collapsed="false">
      <c r="B20" s="33" t="s">
        <v>14</v>
      </c>
      <c r="C20" s="33"/>
      <c r="D20" s="33"/>
      <c r="E20" s="33"/>
      <c r="F20" s="33"/>
      <c r="G20" s="33"/>
      <c r="H20" s="33"/>
      <c r="I20" s="34" t="n">
        <f aca="false">H21+H22</f>
        <v>0</v>
      </c>
      <c r="J20" s="34"/>
      <c r="K20" s="34"/>
      <c r="L20" s="35" t="str">
        <f aca="false">IF(I20&lt;&gt;(I18-I19),"Section 1.1 - The ""Carried over to next reporting period"" must equal to the ""Total"" minus ""Closed during reporting period"" of Section 1.1","")</f>
        <v/>
      </c>
      <c r="M20" s="35"/>
      <c r="N20" s="35"/>
      <c r="O20" s="35"/>
      <c r="P20" s="35"/>
      <c r="Q20" s="35"/>
      <c r="R20" s="35"/>
      <c r="S20" s="35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8"/>
      <c r="AG20" s="8"/>
      <c r="AH20" s="8"/>
    </row>
    <row r="21" customFormat="false" ht="14.25" hidden="false" customHeight="true" outlineLevel="0" collapsed="false">
      <c r="B21" s="23" t="s">
        <v>15</v>
      </c>
      <c r="C21" s="23"/>
      <c r="D21" s="23"/>
      <c r="E21" s="23"/>
      <c r="F21" s="23"/>
      <c r="G21" s="23"/>
      <c r="H21" s="36" t="n">
        <v>0</v>
      </c>
      <c r="I21" s="37"/>
      <c r="J21" s="37"/>
      <c r="K21" s="37"/>
      <c r="L21" s="35"/>
      <c r="M21" s="35"/>
      <c r="N21" s="35"/>
      <c r="O21" s="35"/>
      <c r="P21" s="35"/>
      <c r="Q21" s="35"/>
      <c r="R21" s="35"/>
      <c r="S21" s="35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8"/>
      <c r="AE21" s="8"/>
      <c r="AF21" s="8"/>
      <c r="AG21" s="8"/>
      <c r="AH21" s="8"/>
    </row>
    <row r="22" customFormat="false" ht="14.25" hidden="false" customHeight="true" outlineLevel="0" collapsed="false">
      <c r="B22" s="27" t="s">
        <v>16</v>
      </c>
      <c r="C22" s="27"/>
      <c r="D22" s="27"/>
      <c r="E22" s="27"/>
      <c r="F22" s="27"/>
      <c r="G22" s="27"/>
      <c r="H22" s="28" t="n">
        <v>0</v>
      </c>
      <c r="I22" s="37"/>
      <c r="J22" s="37"/>
      <c r="K22" s="37"/>
      <c r="L22" s="35"/>
      <c r="M22" s="35"/>
      <c r="N22" s="35"/>
      <c r="O22" s="35"/>
      <c r="P22" s="35"/>
      <c r="Q22" s="35"/>
      <c r="R22" s="35"/>
      <c r="S22" s="35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8"/>
      <c r="AE22" s="8"/>
      <c r="AF22" s="8"/>
      <c r="AG22" s="8"/>
      <c r="AH22" s="8"/>
    </row>
    <row r="23" customFormat="false" ht="14.25" hidden="false" customHeight="true" outlineLevel="0" collapsed="false">
      <c r="B23" s="38"/>
      <c r="C23" s="38"/>
      <c r="D23" s="38"/>
      <c r="E23" s="38"/>
      <c r="F23" s="38"/>
      <c r="G23" s="38"/>
      <c r="H23" s="39"/>
      <c r="I23" s="40"/>
      <c r="J23" s="40"/>
      <c r="K23" s="40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8"/>
      <c r="AE23" s="8"/>
      <c r="AF23" s="8"/>
      <c r="AG23" s="8"/>
      <c r="AH23" s="8"/>
    </row>
    <row r="24" customFormat="false" ht="14.25" hidden="false" customHeight="true" outlineLevel="0" collapsed="false">
      <c r="B24" s="6" t="s">
        <v>17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8"/>
      <c r="AE24" s="8"/>
      <c r="AF24" s="8"/>
      <c r="AG24" s="8"/>
      <c r="AH24" s="8"/>
    </row>
    <row r="25" customFormat="false" ht="14.25" hidden="false" customHeight="true" outlineLevel="0" collapsed="false">
      <c r="B25" s="38"/>
      <c r="C25" s="38"/>
      <c r="D25" s="38"/>
      <c r="E25" s="38"/>
      <c r="F25" s="38"/>
      <c r="G25" s="38"/>
      <c r="H25" s="10"/>
      <c r="I25" s="10"/>
      <c r="J25" s="10"/>
      <c r="K25" s="10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8"/>
      <c r="AE25" s="8"/>
      <c r="AF25" s="8"/>
      <c r="AG25" s="8"/>
      <c r="AH25" s="8"/>
    </row>
    <row r="26" customFormat="false" ht="14.25" hidden="false" customHeight="true" outlineLevel="0" collapsed="false">
      <c r="A26" s="1" t="n">
        <v>2</v>
      </c>
      <c r="B26" s="16" t="s">
        <v>18</v>
      </c>
      <c r="C26" s="16"/>
      <c r="D26" s="16"/>
      <c r="E26" s="16"/>
      <c r="F26" s="16"/>
      <c r="G26" s="16"/>
      <c r="H26" s="16" t="s">
        <v>7</v>
      </c>
      <c r="I26" s="16"/>
      <c r="J26" s="16"/>
      <c r="K26" s="16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8"/>
      <c r="AE26" s="8"/>
      <c r="AF26" s="8"/>
      <c r="AG26" s="8"/>
      <c r="AH26" s="8"/>
    </row>
    <row r="27" customFormat="false" ht="14.25" hidden="false" customHeight="true" outlineLevel="0" collapsed="false">
      <c r="B27" s="32" t="s">
        <v>19</v>
      </c>
      <c r="C27" s="32"/>
      <c r="D27" s="32"/>
      <c r="E27" s="32"/>
      <c r="F27" s="32"/>
      <c r="G27" s="32"/>
      <c r="H27" s="19" t="n">
        <v>0</v>
      </c>
      <c r="I27" s="19"/>
      <c r="J27" s="19"/>
      <c r="K27" s="19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8"/>
      <c r="AE27" s="8"/>
      <c r="AF27" s="8"/>
      <c r="AG27" s="8"/>
      <c r="AH27" s="8"/>
    </row>
    <row r="28" customFormat="false" ht="14.25" hidden="false" customHeight="true" outlineLevel="0" collapsed="false">
      <c r="B28" s="41" t="s">
        <v>20</v>
      </c>
      <c r="C28" s="41"/>
      <c r="D28" s="41"/>
      <c r="E28" s="41"/>
      <c r="F28" s="41"/>
      <c r="G28" s="41"/>
      <c r="H28" s="42" t="n">
        <v>0</v>
      </c>
      <c r="I28" s="42"/>
      <c r="J28" s="42"/>
      <c r="K28" s="42"/>
      <c r="L28" s="26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8"/>
      <c r="AE28" s="8"/>
      <c r="AF28" s="8"/>
      <c r="AG28" s="8"/>
      <c r="AH28" s="8"/>
    </row>
    <row r="29" customFormat="false" ht="14.25" hidden="false" customHeight="true" outlineLevel="0" collapsed="false">
      <c r="B29" s="41" t="s">
        <v>21</v>
      </c>
      <c r="C29" s="41"/>
      <c r="D29" s="41"/>
      <c r="E29" s="41"/>
      <c r="F29" s="41"/>
      <c r="G29" s="41"/>
      <c r="H29" s="42" t="n">
        <v>0</v>
      </c>
      <c r="I29" s="42"/>
      <c r="J29" s="42"/>
      <c r="K29" s="42"/>
      <c r="L29" s="26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8"/>
      <c r="AE29" s="8"/>
      <c r="AF29" s="8"/>
      <c r="AG29" s="8"/>
      <c r="AH29" s="8"/>
    </row>
    <row r="30" customFormat="false" ht="14.25" hidden="false" customHeight="true" outlineLevel="0" collapsed="false">
      <c r="B30" s="41" t="s">
        <v>22</v>
      </c>
      <c r="C30" s="41"/>
      <c r="D30" s="41"/>
      <c r="E30" s="41"/>
      <c r="F30" s="41"/>
      <c r="G30" s="41"/>
      <c r="H30" s="42" t="n">
        <v>0</v>
      </c>
      <c r="I30" s="42"/>
      <c r="J30" s="42"/>
      <c r="K30" s="42"/>
      <c r="L30" s="26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8"/>
      <c r="AE30" s="8"/>
      <c r="AF30" s="8"/>
      <c r="AG30" s="8"/>
      <c r="AH30" s="8"/>
    </row>
    <row r="31" customFormat="false" ht="14.25" hidden="false" customHeight="true" outlineLevel="0" collapsed="false">
      <c r="B31" s="41" t="s">
        <v>23</v>
      </c>
      <c r="C31" s="41"/>
      <c r="D31" s="41"/>
      <c r="E31" s="41"/>
      <c r="F31" s="41"/>
      <c r="G31" s="41"/>
      <c r="H31" s="42" t="n">
        <v>0</v>
      </c>
      <c r="I31" s="42"/>
      <c r="J31" s="42"/>
      <c r="K31" s="42"/>
      <c r="L31" s="26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8"/>
      <c r="AE31" s="8"/>
      <c r="AF31" s="8"/>
      <c r="AG31" s="8"/>
      <c r="AH31" s="8"/>
    </row>
    <row r="32" customFormat="false" ht="14.25" hidden="false" customHeight="true" outlineLevel="0" collapsed="false">
      <c r="B32" s="43" t="s">
        <v>24</v>
      </c>
      <c r="C32" s="43"/>
      <c r="D32" s="43"/>
      <c r="E32" s="43"/>
      <c r="F32" s="43"/>
      <c r="G32" s="43"/>
      <c r="H32" s="44" t="n">
        <v>0</v>
      </c>
      <c r="I32" s="44"/>
      <c r="J32" s="44"/>
      <c r="K32" s="44"/>
      <c r="L32" s="26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8"/>
      <c r="AE32" s="8"/>
      <c r="AF32" s="8"/>
      <c r="AG32" s="8"/>
      <c r="AH32" s="8"/>
    </row>
    <row r="33" customFormat="false" ht="14.25" hidden="false" customHeight="true" outlineLevel="0" collapsed="false">
      <c r="B33" s="29" t="s">
        <v>12</v>
      </c>
      <c r="C33" s="29"/>
      <c r="D33" s="29"/>
      <c r="E33" s="29"/>
      <c r="F33" s="29"/>
      <c r="G33" s="29"/>
      <c r="H33" s="30" t="n">
        <f aca="false">SUM(H27:K32)</f>
        <v>0</v>
      </c>
      <c r="I33" s="30"/>
      <c r="J33" s="30"/>
      <c r="K33" s="30"/>
      <c r="L33" s="26"/>
      <c r="N33" s="45"/>
      <c r="O33" s="45"/>
      <c r="P33" s="45"/>
      <c r="Q33" s="45"/>
      <c r="R33" s="45"/>
      <c r="S33" s="45"/>
      <c r="T33" s="45"/>
      <c r="U33" s="45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8"/>
      <c r="AG33" s="8"/>
      <c r="AH33" s="8"/>
    </row>
    <row r="34" customFormat="false" ht="14.25" hidden="false" customHeight="true" outlineLevel="0" collapsed="false">
      <c r="B34" s="46"/>
      <c r="C34" s="47"/>
      <c r="D34" s="47"/>
      <c r="E34" s="47"/>
      <c r="F34" s="47"/>
      <c r="G34" s="47"/>
      <c r="H34" s="39"/>
      <c r="I34" s="39"/>
      <c r="J34" s="39"/>
      <c r="K34" s="39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8"/>
      <c r="AE34" s="8"/>
      <c r="AF34" s="8"/>
      <c r="AG34" s="8"/>
      <c r="AH34" s="8"/>
    </row>
    <row r="35" customFormat="false" ht="14.25" hidden="false" customHeight="true" outlineLevel="0" collapsed="false">
      <c r="B35" s="48" t="s">
        <v>25</v>
      </c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8"/>
      <c r="AE35" s="8"/>
      <c r="AF35" s="8"/>
      <c r="AG35" s="8"/>
      <c r="AH35" s="8"/>
    </row>
    <row r="36" customFormat="false" ht="14.25" hidden="false" customHeight="true" outlineLevel="0" collapsed="false">
      <c r="B36" s="47"/>
      <c r="C36" s="47"/>
      <c r="D36" s="47"/>
      <c r="E36" s="47"/>
      <c r="F36" s="47"/>
      <c r="G36" s="47"/>
      <c r="H36" s="39"/>
      <c r="I36" s="39"/>
      <c r="J36" s="39"/>
      <c r="K36" s="39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8"/>
      <c r="AE36" s="8"/>
      <c r="AF36" s="8"/>
      <c r="AG36" s="8"/>
      <c r="AH36" s="8"/>
    </row>
    <row r="37" customFormat="false" ht="14.25" hidden="false" customHeight="true" outlineLevel="0" collapsed="false">
      <c r="A37" s="1" t="n">
        <v>3</v>
      </c>
      <c r="B37" s="49" t="s">
        <v>18</v>
      </c>
      <c r="C37" s="49"/>
      <c r="D37" s="49"/>
      <c r="E37" s="49"/>
      <c r="F37" s="49"/>
      <c r="G37" s="49"/>
      <c r="H37" s="50" t="s">
        <v>7</v>
      </c>
      <c r="I37" s="50"/>
      <c r="J37" s="50"/>
      <c r="K37" s="50"/>
      <c r="L37" s="26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8"/>
      <c r="AE37" s="8"/>
      <c r="AF37" s="8"/>
      <c r="AG37" s="8"/>
      <c r="AH37" s="8"/>
    </row>
    <row r="38" customFormat="false" ht="14.25" hidden="false" customHeight="true" outlineLevel="0" collapsed="false">
      <c r="B38" s="51" t="s">
        <v>26</v>
      </c>
      <c r="C38" s="51"/>
      <c r="D38" s="51"/>
      <c r="E38" s="51"/>
      <c r="F38" s="51"/>
      <c r="G38" s="51"/>
      <c r="H38" s="52" t="n">
        <v>0</v>
      </c>
      <c r="I38" s="52"/>
      <c r="J38" s="52"/>
      <c r="K38" s="52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8"/>
      <c r="AE38" s="8"/>
      <c r="AF38" s="8"/>
      <c r="AG38" s="8"/>
      <c r="AH38" s="8"/>
    </row>
    <row r="39" customFormat="false" ht="14.25" hidden="false" customHeight="true" outlineLevel="0" collapsed="false">
      <c r="B39" s="53" t="s">
        <v>27</v>
      </c>
      <c r="C39" s="53"/>
      <c r="D39" s="53"/>
      <c r="E39" s="53"/>
      <c r="F39" s="53"/>
      <c r="G39" s="53"/>
      <c r="H39" s="54" t="n">
        <v>0</v>
      </c>
      <c r="I39" s="54"/>
      <c r="J39" s="54"/>
      <c r="K39" s="54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8"/>
      <c r="AE39" s="8"/>
      <c r="AF39" s="8"/>
      <c r="AG39" s="8"/>
      <c r="AH39" s="8"/>
    </row>
    <row r="40" customFormat="false" ht="14.25" hidden="false" customHeight="true" outlineLevel="0" collapsed="false">
      <c r="B40" s="53" t="s">
        <v>28</v>
      </c>
      <c r="C40" s="53"/>
      <c r="D40" s="53"/>
      <c r="E40" s="53"/>
      <c r="F40" s="53"/>
      <c r="G40" s="53"/>
      <c r="H40" s="55" t="n">
        <v>0</v>
      </c>
      <c r="I40" s="55"/>
      <c r="J40" s="55"/>
      <c r="K40" s="55"/>
      <c r="L40" s="26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8"/>
      <c r="AE40" s="8"/>
      <c r="AF40" s="8"/>
      <c r="AG40" s="8"/>
      <c r="AH40" s="8"/>
    </row>
    <row r="41" customFormat="false" ht="14.25" hidden="false" customHeight="true" outlineLevel="0" collapsed="false">
      <c r="B41" s="53" t="s">
        <v>29</v>
      </c>
      <c r="C41" s="53"/>
      <c r="D41" s="53"/>
      <c r="E41" s="53"/>
      <c r="F41" s="53"/>
      <c r="G41" s="53"/>
      <c r="H41" s="54" t="n">
        <v>0</v>
      </c>
      <c r="I41" s="54"/>
      <c r="J41" s="54"/>
      <c r="K41" s="54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8"/>
      <c r="AE41" s="8"/>
      <c r="AF41" s="8"/>
      <c r="AG41" s="8"/>
      <c r="AH41" s="8"/>
    </row>
    <row r="42" customFormat="false" ht="14.25" hidden="false" customHeight="true" outlineLevel="0" collapsed="false">
      <c r="B42" s="53" t="s">
        <v>30</v>
      </c>
      <c r="C42" s="53"/>
      <c r="D42" s="53"/>
      <c r="E42" s="53"/>
      <c r="F42" s="53"/>
      <c r="G42" s="53"/>
      <c r="H42" s="56" t="n">
        <v>0</v>
      </c>
      <c r="I42" s="56"/>
      <c r="J42" s="56"/>
      <c r="K42" s="56"/>
      <c r="L42" s="26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8"/>
      <c r="AE42" s="8"/>
      <c r="AF42" s="8"/>
      <c r="AG42" s="8"/>
      <c r="AH42" s="8"/>
    </row>
    <row r="43" customFormat="false" ht="14.25" hidden="false" customHeight="true" outlineLevel="0" collapsed="false">
      <c r="B43" s="57" t="s">
        <v>31</v>
      </c>
      <c r="C43" s="57"/>
      <c r="D43" s="57"/>
      <c r="E43" s="57"/>
      <c r="F43" s="57"/>
      <c r="G43" s="57"/>
      <c r="H43" s="58" t="n">
        <v>0</v>
      </c>
      <c r="I43" s="58"/>
      <c r="J43" s="58"/>
      <c r="K43" s="58"/>
      <c r="L43" s="26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8"/>
      <c r="AE43" s="8"/>
      <c r="AF43" s="8"/>
      <c r="AG43" s="8"/>
      <c r="AH43" s="8"/>
    </row>
    <row r="44" customFormat="false" ht="14.25" hidden="false" customHeight="true" outlineLevel="0" collapsed="false">
      <c r="B44" s="59" t="s">
        <v>12</v>
      </c>
      <c r="C44" s="59"/>
      <c r="D44" s="59"/>
      <c r="E44" s="59"/>
      <c r="F44" s="59"/>
      <c r="G44" s="59"/>
      <c r="H44" s="30" t="n">
        <f aca="false">SUM(H38:K43)</f>
        <v>0</v>
      </c>
      <c r="I44" s="30"/>
      <c r="J44" s="30"/>
      <c r="K44" s="30"/>
      <c r="L44" s="26"/>
      <c r="N44" s="45"/>
      <c r="O44" s="45"/>
      <c r="P44" s="45"/>
      <c r="Q44" s="45"/>
      <c r="R44" s="45"/>
      <c r="S44" s="45"/>
      <c r="T44" s="45"/>
      <c r="U44" s="45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8"/>
      <c r="AG44" s="8"/>
      <c r="AH44" s="8"/>
    </row>
    <row r="45" customFormat="false" ht="14.25" hidden="false" customHeight="true" outlineLevel="0" collapsed="false">
      <c r="B45" s="47"/>
      <c r="C45" s="47"/>
      <c r="D45" s="47"/>
      <c r="E45" s="47"/>
      <c r="F45" s="47"/>
      <c r="G45" s="47"/>
      <c r="H45" s="39"/>
      <c r="I45" s="39"/>
      <c r="J45" s="39"/>
      <c r="K45" s="39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8"/>
      <c r="AE45" s="8"/>
      <c r="AF45" s="8"/>
      <c r="AG45" s="8"/>
      <c r="AH45" s="8"/>
    </row>
    <row r="46" customFormat="false" ht="14.25" hidden="false" customHeight="true" outlineLevel="0" collapsed="false">
      <c r="B46" s="11" t="s">
        <v>32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8"/>
      <c r="AE46" s="8"/>
      <c r="AF46" s="8"/>
      <c r="AG46" s="8"/>
      <c r="AH46" s="8"/>
    </row>
    <row r="47" customFormat="false" ht="14.25" hidden="false" customHeight="true" outlineLevel="0" collapsed="false"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8"/>
      <c r="AE47" s="8"/>
      <c r="AF47" s="8"/>
      <c r="AG47" s="8"/>
      <c r="AH47" s="8"/>
    </row>
    <row r="48" customFormat="false" ht="14.25" hidden="false" customHeight="true" outlineLevel="0" collapsed="false">
      <c r="B48" s="61" t="s">
        <v>33</v>
      </c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8"/>
      <c r="AE48" s="8"/>
      <c r="AF48" s="8"/>
      <c r="AG48" s="8"/>
      <c r="AH48" s="8"/>
    </row>
    <row r="49" customFormat="false" ht="14.25" hidden="false" customHeight="true" outlineLevel="0" collapsed="false">
      <c r="A49" s="1" t="n">
        <v>4</v>
      </c>
      <c r="B49" s="62"/>
      <c r="C49" s="62"/>
      <c r="D49" s="62"/>
      <c r="E49" s="62"/>
      <c r="F49" s="62"/>
      <c r="G49" s="62"/>
      <c r="H49" s="62"/>
      <c r="I49" s="30" t="s">
        <v>7</v>
      </c>
      <c r="J49" s="30"/>
      <c r="K49" s="30"/>
      <c r="L49" s="6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8"/>
      <c r="AE49" s="8"/>
      <c r="AF49" s="8"/>
      <c r="AG49" s="8"/>
      <c r="AH49" s="8"/>
    </row>
    <row r="50" customFormat="false" ht="14.25" hidden="false" customHeight="true" outlineLevel="0" collapsed="false">
      <c r="B50" s="64" t="s">
        <v>8</v>
      </c>
      <c r="C50" s="64"/>
      <c r="D50" s="64"/>
      <c r="E50" s="64"/>
      <c r="F50" s="64"/>
      <c r="G50" s="64"/>
      <c r="H50" s="64"/>
      <c r="I50" s="65" t="n">
        <v>0</v>
      </c>
      <c r="J50" s="65"/>
      <c r="K50" s="65"/>
      <c r="L50" s="3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8"/>
      <c r="AE50" s="8"/>
      <c r="AF50" s="8"/>
      <c r="AG50" s="8"/>
      <c r="AH50" s="8"/>
    </row>
    <row r="51" customFormat="false" ht="14.25" hidden="false" customHeight="true" outlineLevel="0" collapsed="false">
      <c r="B51" s="66" t="s">
        <v>9</v>
      </c>
      <c r="C51" s="66"/>
      <c r="D51" s="66"/>
      <c r="E51" s="66"/>
      <c r="F51" s="66"/>
      <c r="G51" s="66"/>
      <c r="H51" s="66"/>
      <c r="I51" s="22" t="n">
        <f aca="false">SUM(H52:H53)</f>
        <v>0</v>
      </c>
      <c r="J51" s="22"/>
      <c r="K51" s="22"/>
      <c r="L51" s="8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8"/>
      <c r="AE51" s="8"/>
      <c r="AF51" s="8"/>
      <c r="AG51" s="8"/>
      <c r="AH51" s="8"/>
    </row>
    <row r="52" customFormat="false" ht="14.25" hidden="false" customHeight="true" outlineLevel="0" collapsed="false">
      <c r="B52" s="23" t="s">
        <v>10</v>
      </c>
      <c r="C52" s="23"/>
      <c r="D52" s="23"/>
      <c r="E52" s="23"/>
      <c r="F52" s="23"/>
      <c r="G52" s="23"/>
      <c r="H52" s="24" t="n">
        <v>0</v>
      </c>
      <c r="I52" s="67"/>
      <c r="J52" s="67"/>
      <c r="K52" s="67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8"/>
      <c r="AE52" s="8"/>
      <c r="AF52" s="8"/>
      <c r="AG52" s="8"/>
      <c r="AH52" s="8"/>
    </row>
    <row r="53" customFormat="false" ht="14.25" hidden="false" customHeight="true" outlineLevel="0" collapsed="false">
      <c r="B53" s="27" t="s">
        <v>11</v>
      </c>
      <c r="C53" s="27"/>
      <c r="D53" s="27"/>
      <c r="E53" s="27"/>
      <c r="F53" s="27"/>
      <c r="G53" s="27"/>
      <c r="H53" s="28" t="n">
        <v>0</v>
      </c>
      <c r="I53" s="67"/>
      <c r="J53" s="67"/>
      <c r="K53" s="67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8"/>
      <c r="AE53" s="8"/>
      <c r="AF53" s="8"/>
      <c r="AG53" s="8"/>
      <c r="AH53" s="8"/>
    </row>
    <row r="54" customFormat="false" ht="14.25" hidden="false" customHeight="true" outlineLevel="0" collapsed="false">
      <c r="B54" s="59" t="s">
        <v>12</v>
      </c>
      <c r="C54" s="59"/>
      <c r="D54" s="59"/>
      <c r="E54" s="59"/>
      <c r="F54" s="59"/>
      <c r="G54" s="59"/>
      <c r="H54" s="59"/>
      <c r="I54" s="68" t="n">
        <f aca="false">SUM(I50:K51)</f>
        <v>0</v>
      </c>
      <c r="J54" s="68"/>
      <c r="K54" s="68"/>
      <c r="L54" s="8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8"/>
      <c r="AE54" s="8"/>
      <c r="AF54" s="8"/>
      <c r="AG54" s="8"/>
      <c r="AH54" s="8"/>
    </row>
    <row r="55" customFormat="false" ht="14.25" hidden="false" customHeight="true" outlineLevel="0" collapsed="false">
      <c r="B55" s="51" t="s">
        <v>13</v>
      </c>
      <c r="C55" s="51"/>
      <c r="D55" s="51"/>
      <c r="E55" s="51"/>
      <c r="F55" s="51"/>
      <c r="G55" s="51"/>
      <c r="H55" s="51"/>
      <c r="I55" s="52" t="n">
        <v>0</v>
      </c>
      <c r="J55" s="52"/>
      <c r="K55" s="52"/>
      <c r="L55" s="8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13"/>
      <c r="AB55" s="13"/>
      <c r="AC55" s="13"/>
      <c r="AD55" s="13"/>
      <c r="AE55" s="13"/>
      <c r="AF55" s="8"/>
      <c r="AG55" s="8"/>
      <c r="AH55" s="8"/>
    </row>
    <row r="56" customFormat="false" ht="14.25" hidden="false" customHeight="true" outlineLevel="0" collapsed="false">
      <c r="B56" s="57" t="s">
        <v>14</v>
      </c>
      <c r="C56" s="57"/>
      <c r="D56" s="57"/>
      <c r="E56" s="57"/>
      <c r="F56" s="57"/>
      <c r="G56" s="57"/>
      <c r="H56" s="57"/>
      <c r="I56" s="69" t="n">
        <f aca="false">I54-I55</f>
        <v>0</v>
      </c>
      <c r="J56" s="69"/>
      <c r="K56" s="69"/>
      <c r="L56" s="8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8"/>
      <c r="AE56" s="8"/>
      <c r="AF56" s="8"/>
      <c r="AG56" s="8"/>
      <c r="AH56" s="8"/>
    </row>
    <row r="57" customFormat="false" ht="14.25" hidden="false" customHeight="true" outlineLevel="0" collapsed="false">
      <c r="B57" s="38"/>
      <c r="C57" s="38"/>
      <c r="D57" s="38"/>
      <c r="E57" s="38"/>
      <c r="F57" s="38"/>
      <c r="G57" s="38"/>
      <c r="H57" s="10"/>
      <c r="I57" s="10"/>
      <c r="J57" s="10"/>
      <c r="K57" s="10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8"/>
      <c r="AE57" s="8"/>
      <c r="AF57" s="8"/>
      <c r="AG57" s="8"/>
      <c r="AH57" s="8"/>
    </row>
    <row r="58" customFormat="false" ht="14.25" hidden="false" customHeight="true" outlineLevel="0" collapsed="false">
      <c r="B58" s="39"/>
      <c r="C58" s="39"/>
      <c r="D58" s="39"/>
      <c r="E58" s="39"/>
      <c r="F58" s="39"/>
      <c r="G58" s="39"/>
      <c r="H58" s="39"/>
      <c r="I58" s="39"/>
      <c r="J58" s="10"/>
      <c r="K58" s="10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8"/>
      <c r="AE58" s="8"/>
      <c r="AF58" s="8"/>
      <c r="AG58" s="8"/>
      <c r="AH58" s="8"/>
    </row>
    <row r="59" customFormat="false" ht="14.25" hidden="false" customHeight="true" outlineLevel="0" collapsed="false">
      <c r="B59" s="70" t="s">
        <v>34</v>
      </c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8"/>
      <c r="AE59" s="8"/>
      <c r="AF59" s="8"/>
      <c r="AG59" s="8"/>
      <c r="AH59" s="8"/>
    </row>
    <row r="60" customFormat="false" ht="14.25" hidden="false" customHeight="true" outlineLevel="0" collapsed="false">
      <c r="B60" s="14"/>
      <c r="C60" s="14"/>
      <c r="D60" s="14"/>
      <c r="E60" s="14"/>
      <c r="F60" s="14"/>
      <c r="G60" s="14"/>
      <c r="H60" s="14"/>
      <c r="I60" s="14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8"/>
      <c r="AE60" s="8"/>
      <c r="AF60" s="8"/>
      <c r="AG60" s="8"/>
      <c r="AH60" s="8"/>
    </row>
    <row r="61" customFormat="false" ht="14.25" hidden="false" customHeight="true" outlineLevel="0" collapsed="false">
      <c r="A61" s="1" t="n">
        <v>5</v>
      </c>
      <c r="B61" s="71" t="s">
        <v>35</v>
      </c>
      <c r="C61" s="71"/>
      <c r="D61" s="71"/>
      <c r="E61" s="71"/>
      <c r="F61" s="71"/>
      <c r="G61" s="71"/>
      <c r="H61" s="71"/>
      <c r="I61" s="71"/>
      <c r="J61" s="72"/>
      <c r="K61" s="7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8"/>
      <c r="AE61" s="8"/>
      <c r="AF61" s="8"/>
      <c r="AG61" s="8"/>
      <c r="AH61" s="8"/>
    </row>
    <row r="62" customFormat="false" ht="41.25" hidden="false" customHeight="true" outlineLevel="0" collapsed="false">
      <c r="B62" s="74" t="s">
        <v>36</v>
      </c>
      <c r="C62" s="75" t="s">
        <v>37</v>
      </c>
      <c r="D62" s="76" t="s">
        <v>38</v>
      </c>
      <c r="E62" s="77" t="s">
        <v>39</v>
      </c>
      <c r="F62" s="75" t="s">
        <v>40</v>
      </c>
      <c r="G62" s="75" t="s">
        <v>41</v>
      </c>
      <c r="H62" s="78" t="s">
        <v>42</v>
      </c>
      <c r="I62" s="79" t="s">
        <v>12</v>
      </c>
      <c r="J62" s="80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8"/>
      <c r="AE62" s="8"/>
      <c r="AF62" s="8"/>
      <c r="AG62" s="8"/>
      <c r="AH62" s="8"/>
    </row>
    <row r="63" customFormat="false" ht="13.8" hidden="false" customHeight="false" outlineLevel="0" collapsed="false">
      <c r="B63" s="81" t="n">
        <v>0</v>
      </c>
      <c r="C63" s="82" t="n">
        <v>0</v>
      </c>
      <c r="D63" s="82" t="n">
        <v>0</v>
      </c>
      <c r="E63" s="82" t="n">
        <v>0</v>
      </c>
      <c r="F63" s="82" t="n">
        <v>0</v>
      </c>
      <c r="G63" s="82" t="n">
        <v>0</v>
      </c>
      <c r="H63" s="83" t="n">
        <v>0</v>
      </c>
      <c r="I63" s="84" t="n">
        <f aca="false">SUM(B63:H63)</f>
        <v>0</v>
      </c>
      <c r="J63" s="31"/>
      <c r="K63" s="39"/>
      <c r="L63" s="85"/>
      <c r="M63" s="85"/>
      <c r="N63" s="45"/>
      <c r="O63" s="45"/>
      <c r="P63" s="45"/>
      <c r="Q63" s="45"/>
      <c r="R63" s="45"/>
      <c r="S63" s="45"/>
      <c r="T63" s="45"/>
      <c r="U63" s="45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8"/>
      <c r="AG63" s="8"/>
      <c r="AH63" s="8"/>
    </row>
    <row r="64" customFormat="false" ht="11.25" hidden="false" customHeight="true" outlineLevel="0" collapsed="false">
      <c r="B64" s="39"/>
      <c r="C64" s="39"/>
      <c r="D64" s="39"/>
      <c r="E64" s="39"/>
      <c r="F64" s="39"/>
      <c r="G64" s="39"/>
      <c r="H64" s="39"/>
      <c r="I64" s="40"/>
      <c r="J64" s="39"/>
      <c r="K64" s="39"/>
      <c r="L64" s="85"/>
      <c r="M64" s="85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8"/>
      <c r="AE64" s="8"/>
      <c r="AF64" s="8"/>
      <c r="AG64" s="8"/>
      <c r="AH64" s="8"/>
    </row>
    <row r="65" customFormat="false" ht="15" hidden="false" customHeight="true" outlineLevel="0" collapsed="false"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13"/>
      <c r="Z65" s="13"/>
      <c r="AA65" s="13"/>
      <c r="AB65" s="13"/>
      <c r="AC65" s="13"/>
      <c r="AD65" s="8"/>
      <c r="AE65" s="8"/>
      <c r="AF65" s="8"/>
      <c r="AG65" s="8"/>
      <c r="AH65" s="8"/>
    </row>
    <row r="66" s="91" customFormat="true" ht="13.5" hidden="false" customHeight="true" outlineLevel="0" collapsed="false">
      <c r="A66" s="87"/>
      <c r="B66" s="88" t="s">
        <v>43</v>
      </c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90"/>
      <c r="AB66" s="90"/>
      <c r="AC66" s="90"/>
      <c r="AD66" s="90"/>
      <c r="AE66" s="90"/>
      <c r="AF66" s="90"/>
      <c r="AG66" s="90"/>
      <c r="AH66" s="90"/>
    </row>
    <row r="67" customFormat="false" ht="15" hidden="false" customHeight="true" outlineLevel="0" collapsed="false"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92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8"/>
      <c r="AE67" s="8"/>
      <c r="AF67" s="8"/>
      <c r="AG67" s="8"/>
      <c r="AH67" s="8"/>
    </row>
    <row r="68" customFormat="false" ht="42" hidden="false" customHeight="true" outlineLevel="0" collapsed="false">
      <c r="A68" s="1" t="n">
        <v>6</v>
      </c>
      <c r="B68" s="93" t="s">
        <v>44</v>
      </c>
      <c r="C68" s="93"/>
      <c r="D68" s="93" t="s">
        <v>45</v>
      </c>
      <c r="E68" s="93"/>
      <c r="F68" s="93" t="s">
        <v>46</v>
      </c>
      <c r="G68" s="93"/>
      <c r="H68" s="86"/>
      <c r="I68" s="86"/>
      <c r="J68" s="92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8"/>
      <c r="AA68" s="8"/>
      <c r="AB68" s="8"/>
      <c r="AC68" s="8"/>
      <c r="AD68" s="8"/>
    </row>
    <row r="69" customFormat="false" ht="39" hidden="false" customHeight="true" outlineLevel="0" collapsed="false">
      <c r="B69" s="94" t="s">
        <v>7</v>
      </c>
      <c r="C69" s="95" t="s">
        <v>47</v>
      </c>
      <c r="D69" s="96" t="s">
        <v>7</v>
      </c>
      <c r="E69" s="97" t="s">
        <v>47</v>
      </c>
      <c r="F69" s="94" t="s">
        <v>7</v>
      </c>
      <c r="G69" s="97" t="s">
        <v>47</v>
      </c>
      <c r="H69" s="86"/>
      <c r="I69" s="86"/>
      <c r="J69" s="98"/>
      <c r="K69" s="3"/>
      <c r="L69" s="3"/>
      <c r="M69" s="3"/>
      <c r="U69" s="13"/>
      <c r="V69" s="13"/>
      <c r="W69" s="13"/>
      <c r="X69" s="13"/>
      <c r="Y69" s="13"/>
      <c r="Z69" s="13"/>
      <c r="AA69" s="13"/>
      <c r="AB69" s="8"/>
      <c r="AC69" s="8"/>
      <c r="AD69" s="8"/>
    </row>
    <row r="70" customFormat="false" ht="13.8" hidden="false" customHeight="false" outlineLevel="0" collapsed="false">
      <c r="B70" s="99" t="n">
        <v>0</v>
      </c>
      <c r="C70" s="100" t="n">
        <v>0</v>
      </c>
      <c r="D70" s="99" t="n">
        <v>0</v>
      </c>
      <c r="E70" s="101" t="n">
        <v>0</v>
      </c>
      <c r="F70" s="99" t="n">
        <v>0</v>
      </c>
      <c r="G70" s="101" t="n">
        <v>0</v>
      </c>
      <c r="H70" s="86"/>
      <c r="I70" s="86"/>
      <c r="J70" s="98"/>
      <c r="K70" s="3"/>
      <c r="L70" s="3"/>
      <c r="M70" s="3"/>
      <c r="W70" s="13"/>
      <c r="X70" s="13"/>
      <c r="Y70" s="13"/>
      <c r="Z70" s="13"/>
      <c r="AA70" s="13"/>
      <c r="AB70" s="8"/>
      <c r="AC70" s="8"/>
      <c r="AD70" s="8"/>
    </row>
    <row r="71" customFormat="false" ht="13.8" hidden="false" customHeight="false" outlineLevel="0" collapsed="false">
      <c r="N71" s="92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8"/>
      <c r="AE71" s="8"/>
      <c r="AF71" s="8"/>
      <c r="AG71" s="8"/>
      <c r="AH71" s="8"/>
    </row>
    <row r="72" customFormat="false" ht="14.25" hidden="false" customHeight="true" outlineLevel="0" collapsed="false">
      <c r="B72" s="11" t="s">
        <v>48</v>
      </c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8"/>
      <c r="AE72" s="8"/>
      <c r="AF72" s="8"/>
      <c r="AG72" s="8"/>
      <c r="AH72" s="8"/>
    </row>
    <row r="73" customFormat="false" ht="12" hidden="false" customHeight="true" outlineLevel="0" collapsed="false"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8"/>
      <c r="AE73" s="8"/>
      <c r="AF73" s="8"/>
      <c r="AG73" s="8"/>
      <c r="AH73" s="8"/>
    </row>
    <row r="74" customFormat="false" ht="14.25" hidden="false" customHeight="true" outlineLevel="0" collapsed="false">
      <c r="A74" s="1" t="n">
        <v>7</v>
      </c>
      <c r="B74" s="8"/>
      <c r="C74" s="8"/>
      <c r="D74" s="8"/>
      <c r="E74" s="8"/>
      <c r="F74" s="8"/>
      <c r="G74" s="8"/>
      <c r="H74" s="8"/>
      <c r="I74" s="16" t="s">
        <v>7</v>
      </c>
      <c r="J74" s="16"/>
      <c r="K74" s="16"/>
      <c r="L74" s="16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8"/>
      <c r="AE74" s="8"/>
      <c r="AF74" s="8"/>
      <c r="AG74" s="8"/>
      <c r="AH74" s="8"/>
    </row>
    <row r="75" customFormat="false" ht="13.8" hidden="false" customHeight="false" outlineLevel="0" collapsed="false">
      <c r="B75" s="102" t="s">
        <v>49</v>
      </c>
      <c r="C75" s="102"/>
      <c r="D75" s="102"/>
      <c r="E75" s="102"/>
      <c r="F75" s="102"/>
      <c r="G75" s="102"/>
      <c r="H75" s="102"/>
      <c r="I75" s="19" t="n">
        <v>0</v>
      </c>
      <c r="J75" s="19"/>
      <c r="K75" s="19"/>
      <c r="L75" s="19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8"/>
      <c r="AE75" s="8"/>
      <c r="AF75" s="8"/>
      <c r="AG75" s="8"/>
      <c r="AH75" s="8"/>
    </row>
    <row r="76" customFormat="false" ht="13.8" hidden="false" customHeight="false" outlineLevel="0" collapsed="false">
      <c r="B76" s="103" t="s">
        <v>50</v>
      </c>
      <c r="C76" s="103"/>
      <c r="D76" s="103"/>
      <c r="E76" s="103"/>
      <c r="F76" s="103"/>
      <c r="G76" s="103"/>
      <c r="H76" s="103"/>
      <c r="I76" s="104" t="n">
        <v>0</v>
      </c>
      <c r="J76" s="104"/>
      <c r="K76" s="104"/>
      <c r="L76" s="104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8"/>
      <c r="AE76" s="8"/>
      <c r="AF76" s="8"/>
      <c r="AG76" s="8"/>
      <c r="AH76" s="8"/>
    </row>
    <row r="77" customFormat="false" ht="13.8" hidden="false" customHeight="false" outlineLevel="0" collapsed="false">
      <c r="B77" s="105" t="s">
        <v>12</v>
      </c>
      <c r="C77" s="105"/>
      <c r="D77" s="105"/>
      <c r="E77" s="105"/>
      <c r="F77" s="105"/>
      <c r="G77" s="105"/>
      <c r="H77" s="105"/>
      <c r="I77" s="106" t="n">
        <f aca="false">SUM(I75:L76)</f>
        <v>0</v>
      </c>
      <c r="J77" s="106"/>
      <c r="K77" s="106"/>
      <c r="L77" s="106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8"/>
      <c r="AE77" s="8"/>
      <c r="AF77" s="8"/>
      <c r="AG77" s="8"/>
      <c r="AH77" s="8"/>
    </row>
    <row r="78" customFormat="false" ht="13.8" hidden="false" customHeight="true" outlineLevel="0" collapsed="false">
      <c r="B78" s="107" t="s">
        <v>51</v>
      </c>
      <c r="C78" s="107"/>
      <c r="D78" s="107"/>
      <c r="E78" s="107"/>
      <c r="F78" s="107"/>
      <c r="G78" s="107"/>
      <c r="H78" s="107"/>
      <c r="I78" s="108" t="n">
        <v>0</v>
      </c>
      <c r="J78" s="108"/>
      <c r="K78" s="108"/>
      <c r="L78" s="108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8"/>
      <c r="AE78" s="8"/>
      <c r="AF78" s="8"/>
      <c r="AG78" s="8"/>
      <c r="AH78" s="8"/>
    </row>
    <row r="79" customFormat="false" ht="13.8" hidden="false" customHeight="true" outlineLevel="0" collapsed="false">
      <c r="B79" s="109" t="s">
        <v>52</v>
      </c>
      <c r="C79" s="109"/>
      <c r="D79" s="109"/>
      <c r="E79" s="109"/>
      <c r="F79" s="109"/>
      <c r="G79" s="109"/>
      <c r="H79" s="109"/>
      <c r="I79" s="110" t="n">
        <v>0</v>
      </c>
      <c r="J79" s="110"/>
      <c r="K79" s="110"/>
      <c r="L79" s="110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8"/>
      <c r="AE79" s="8"/>
      <c r="AF79" s="8"/>
      <c r="AG79" s="8"/>
      <c r="AH79" s="8"/>
    </row>
    <row r="80" customFormat="false" ht="15" hidden="false" customHeight="true" outlineLevel="0" collapsed="false">
      <c r="B80" s="111" t="s">
        <v>53</v>
      </c>
      <c r="C80" s="111"/>
      <c r="D80" s="111"/>
      <c r="E80" s="111"/>
      <c r="F80" s="111"/>
      <c r="G80" s="111"/>
      <c r="H80" s="111"/>
      <c r="I80" s="110" t="n">
        <v>0</v>
      </c>
      <c r="J80" s="110"/>
      <c r="K80" s="110"/>
      <c r="L80" s="110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  <c r="Z80" s="112"/>
      <c r="AA80" s="13"/>
      <c r="AB80" s="13"/>
      <c r="AC80" s="13"/>
      <c r="AD80" s="8"/>
      <c r="AE80" s="8"/>
      <c r="AF80" s="8"/>
      <c r="AG80" s="8"/>
      <c r="AH80" s="8"/>
    </row>
    <row r="81" customFormat="false" ht="13.8" hidden="false" customHeight="true" outlineLevel="0" collapsed="false">
      <c r="B81" s="113" t="s">
        <v>14</v>
      </c>
      <c r="C81" s="113"/>
      <c r="D81" s="113"/>
      <c r="E81" s="113"/>
      <c r="F81" s="113"/>
      <c r="G81" s="113"/>
      <c r="H81" s="113"/>
      <c r="I81" s="104" t="n">
        <v>0</v>
      </c>
      <c r="J81" s="104"/>
      <c r="K81" s="104"/>
      <c r="L81" s="104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  <c r="AA81" s="13"/>
      <c r="AB81" s="13"/>
      <c r="AC81" s="13"/>
      <c r="AD81" s="8"/>
      <c r="AE81" s="8"/>
      <c r="AF81" s="8"/>
      <c r="AG81" s="8"/>
      <c r="AH81" s="8"/>
    </row>
    <row r="82" customFormat="false" ht="14.25" hidden="false" customHeight="true" outlineLevel="0" collapsed="false"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8"/>
      <c r="AE82" s="8"/>
      <c r="AF82" s="8"/>
      <c r="AG82" s="8"/>
      <c r="AH82" s="8"/>
    </row>
    <row r="83" customFormat="false" ht="14.25" hidden="false" customHeight="true" outlineLevel="0" collapsed="false">
      <c r="B83" s="11" t="s">
        <v>54</v>
      </c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8"/>
      <c r="AE83" s="8"/>
      <c r="AF83" s="8"/>
      <c r="AG83" s="8"/>
      <c r="AH83" s="8"/>
    </row>
    <row r="84" customFormat="false" ht="13.5" hidden="false" customHeight="false" outlineLevel="0" collapsed="false"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8"/>
      <c r="AE84" s="8"/>
      <c r="AF84" s="8"/>
      <c r="AG84" s="8"/>
      <c r="AH84" s="8"/>
    </row>
    <row r="85" customFormat="false" ht="14.25" hidden="false" customHeight="true" outlineLevel="0" collapsed="false">
      <c r="B85" s="6" t="s">
        <v>55</v>
      </c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92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8"/>
      <c r="AE85" s="8"/>
      <c r="AF85" s="8"/>
      <c r="AG85" s="8"/>
      <c r="AH85" s="8"/>
    </row>
    <row r="86" customFormat="false" ht="12.75" hidden="false" customHeight="true" outlineLevel="0" collapsed="false">
      <c r="N86" s="92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8"/>
      <c r="AE86" s="8"/>
      <c r="AF86" s="8"/>
      <c r="AG86" s="8"/>
      <c r="AH86" s="8"/>
    </row>
    <row r="87" customFormat="false" ht="14.25" hidden="false" customHeight="true" outlineLevel="0" collapsed="false">
      <c r="A87" s="1" t="n">
        <v>8</v>
      </c>
      <c r="B87" s="114" t="s">
        <v>56</v>
      </c>
      <c r="C87" s="114"/>
      <c r="D87" s="114"/>
      <c r="E87" s="114"/>
      <c r="F87" s="115" t="s">
        <v>35</v>
      </c>
      <c r="G87" s="115"/>
      <c r="H87" s="115"/>
      <c r="I87" s="115"/>
      <c r="J87" s="115"/>
      <c r="K87" s="115"/>
      <c r="L87" s="115"/>
      <c r="M87" s="115"/>
      <c r="N87" s="92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8"/>
      <c r="AE87" s="8"/>
      <c r="AF87" s="8"/>
      <c r="AG87" s="8"/>
      <c r="AH87" s="8"/>
    </row>
    <row r="88" customFormat="false" ht="19.4" hidden="false" customHeight="false" outlineLevel="0" collapsed="false">
      <c r="B88" s="114"/>
      <c r="C88" s="114"/>
      <c r="D88" s="114"/>
      <c r="E88" s="114"/>
      <c r="F88" s="116" t="s">
        <v>36</v>
      </c>
      <c r="G88" s="117" t="s">
        <v>37</v>
      </c>
      <c r="H88" s="116" t="s">
        <v>38</v>
      </c>
      <c r="I88" s="118" t="s">
        <v>39</v>
      </c>
      <c r="J88" s="117" t="s">
        <v>40</v>
      </c>
      <c r="K88" s="116" t="s">
        <v>41</v>
      </c>
      <c r="L88" s="119" t="s">
        <v>42</v>
      </c>
      <c r="M88" s="120" t="s">
        <v>12</v>
      </c>
      <c r="AA88" s="13"/>
      <c r="AB88" s="13"/>
      <c r="AC88" s="13"/>
      <c r="AD88" s="8"/>
      <c r="AE88" s="8"/>
      <c r="AF88" s="8"/>
      <c r="AG88" s="8"/>
      <c r="AH88" s="8"/>
    </row>
    <row r="89" customFormat="false" ht="13.8" hidden="false" customHeight="false" outlineLevel="0" collapsed="false">
      <c r="B89" s="121" t="s">
        <v>57</v>
      </c>
      <c r="C89" s="121"/>
      <c r="D89" s="121"/>
      <c r="E89" s="121"/>
      <c r="F89" s="122" t="n">
        <v>0</v>
      </c>
      <c r="G89" s="122" t="n">
        <v>0</v>
      </c>
      <c r="H89" s="122" t="n">
        <v>0</v>
      </c>
      <c r="I89" s="122" t="n">
        <v>0</v>
      </c>
      <c r="J89" s="122" t="n">
        <v>0</v>
      </c>
      <c r="K89" s="122" t="n">
        <v>0</v>
      </c>
      <c r="L89" s="65" t="n">
        <v>0</v>
      </c>
      <c r="M89" s="123" t="n">
        <f aca="false">SUM(F89:L89)</f>
        <v>0</v>
      </c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  <c r="AD89" s="124"/>
      <c r="AE89" s="13"/>
      <c r="AF89" s="8"/>
      <c r="AG89" s="8"/>
      <c r="AH89" s="8"/>
    </row>
    <row r="90" customFormat="false" ht="13.8" hidden="false" customHeight="false" outlineLevel="0" collapsed="false">
      <c r="B90" s="125" t="s">
        <v>58</v>
      </c>
      <c r="C90" s="125"/>
      <c r="D90" s="125"/>
      <c r="E90" s="125"/>
      <c r="F90" s="126" t="n">
        <v>0</v>
      </c>
      <c r="G90" s="126" t="n">
        <v>0</v>
      </c>
      <c r="H90" s="126" t="n">
        <v>0</v>
      </c>
      <c r="I90" s="126" t="n">
        <v>0</v>
      </c>
      <c r="J90" s="126" t="n">
        <v>0</v>
      </c>
      <c r="K90" s="126" t="n">
        <v>0</v>
      </c>
      <c r="L90" s="55" t="n">
        <v>0</v>
      </c>
      <c r="M90" s="127" t="n">
        <f aca="false">SUM(F90:L90)</f>
        <v>0</v>
      </c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  <c r="AD90" s="124"/>
      <c r="AE90" s="13"/>
      <c r="AF90" s="8"/>
      <c r="AG90" s="8"/>
      <c r="AH90" s="8"/>
    </row>
    <row r="91" customFormat="false" ht="13.8" hidden="false" customHeight="false" outlineLevel="0" collapsed="false">
      <c r="B91" s="125" t="s">
        <v>59</v>
      </c>
      <c r="C91" s="125"/>
      <c r="D91" s="125"/>
      <c r="E91" s="125"/>
      <c r="F91" s="126" t="n">
        <v>0</v>
      </c>
      <c r="G91" s="126" t="n">
        <v>0</v>
      </c>
      <c r="H91" s="126" t="n">
        <v>0</v>
      </c>
      <c r="I91" s="126" t="n">
        <v>0</v>
      </c>
      <c r="J91" s="126" t="n">
        <v>0</v>
      </c>
      <c r="K91" s="126" t="n">
        <v>0</v>
      </c>
      <c r="L91" s="126" t="n">
        <v>0</v>
      </c>
      <c r="M91" s="127" t="n">
        <f aca="false">SUM(F91:L91)</f>
        <v>0</v>
      </c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3"/>
      <c r="AB91" s="13"/>
      <c r="AC91" s="13"/>
      <c r="AD91" s="13"/>
      <c r="AE91" s="13"/>
      <c r="AF91" s="8"/>
      <c r="AG91" s="8"/>
      <c r="AH91" s="8"/>
    </row>
    <row r="92" customFormat="false" ht="13.8" hidden="false" customHeight="false" outlineLevel="0" collapsed="false">
      <c r="B92" s="125" t="s">
        <v>60</v>
      </c>
      <c r="C92" s="125"/>
      <c r="D92" s="125"/>
      <c r="E92" s="125"/>
      <c r="F92" s="126" t="n">
        <v>0</v>
      </c>
      <c r="G92" s="126" t="n">
        <v>0</v>
      </c>
      <c r="H92" s="126" t="n">
        <v>0</v>
      </c>
      <c r="I92" s="126" t="n">
        <v>0</v>
      </c>
      <c r="J92" s="126" t="n">
        <v>0</v>
      </c>
      <c r="K92" s="126" t="n">
        <v>0</v>
      </c>
      <c r="L92" s="55" t="n">
        <v>0</v>
      </c>
      <c r="M92" s="127" t="n">
        <f aca="false">SUM(F92:L92)</f>
        <v>0</v>
      </c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3"/>
      <c r="AB92" s="13"/>
      <c r="AC92" s="13"/>
      <c r="AD92" s="13"/>
      <c r="AE92" s="13"/>
      <c r="AF92" s="8"/>
      <c r="AG92" s="8"/>
      <c r="AH92" s="8"/>
    </row>
    <row r="93" customFormat="false" ht="13.8" hidden="false" customHeight="false" outlineLevel="0" collapsed="false">
      <c r="B93" s="125" t="s">
        <v>61</v>
      </c>
      <c r="C93" s="125"/>
      <c r="D93" s="125"/>
      <c r="E93" s="125"/>
      <c r="F93" s="126" t="n">
        <v>0</v>
      </c>
      <c r="G93" s="126" t="n">
        <v>0</v>
      </c>
      <c r="H93" s="126" t="n">
        <v>0</v>
      </c>
      <c r="I93" s="126" t="n">
        <v>0</v>
      </c>
      <c r="J93" s="126" t="n">
        <v>0</v>
      </c>
      <c r="K93" s="126" t="n">
        <v>0</v>
      </c>
      <c r="L93" s="128" t="n">
        <v>0</v>
      </c>
      <c r="M93" s="127" t="n">
        <f aca="false">SUM(F93:L93)</f>
        <v>0</v>
      </c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8"/>
      <c r="AG93" s="8"/>
      <c r="AH93" s="8"/>
    </row>
    <row r="94" customFormat="false" ht="13.8" hidden="false" customHeight="false" outlineLevel="0" collapsed="false">
      <c r="B94" s="125" t="s">
        <v>62</v>
      </c>
      <c r="C94" s="125"/>
      <c r="D94" s="125"/>
      <c r="E94" s="125"/>
      <c r="F94" s="126" t="n">
        <v>0</v>
      </c>
      <c r="G94" s="126" t="n">
        <v>0</v>
      </c>
      <c r="H94" s="126" t="n">
        <v>0</v>
      </c>
      <c r="I94" s="126" t="n">
        <v>0</v>
      </c>
      <c r="J94" s="126" t="n">
        <v>0</v>
      </c>
      <c r="K94" s="126" t="n">
        <v>0</v>
      </c>
      <c r="L94" s="55" t="n">
        <v>0</v>
      </c>
      <c r="M94" s="127" t="n">
        <f aca="false">SUM(F94:L94)</f>
        <v>0</v>
      </c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8"/>
      <c r="AG94" s="8"/>
      <c r="AH94" s="8"/>
    </row>
    <row r="95" customFormat="false" ht="21.75" hidden="false" customHeight="true" outlineLevel="0" collapsed="false">
      <c r="B95" s="125" t="s">
        <v>63</v>
      </c>
      <c r="C95" s="125"/>
      <c r="D95" s="125"/>
      <c r="E95" s="125"/>
      <c r="F95" s="126" t="n">
        <v>0</v>
      </c>
      <c r="G95" s="126" t="n">
        <v>0</v>
      </c>
      <c r="H95" s="126" t="n">
        <v>0</v>
      </c>
      <c r="I95" s="126" t="n">
        <v>0</v>
      </c>
      <c r="J95" s="126" t="n">
        <v>0</v>
      </c>
      <c r="K95" s="126" t="n">
        <v>0</v>
      </c>
      <c r="L95" s="128" t="n">
        <v>0</v>
      </c>
      <c r="M95" s="127" t="n">
        <f aca="false">SUM(F95:L95)</f>
        <v>0</v>
      </c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3"/>
      <c r="AB95" s="13"/>
      <c r="AC95" s="13"/>
      <c r="AD95" s="13"/>
      <c r="AE95" s="13"/>
      <c r="AF95" s="8"/>
      <c r="AG95" s="8"/>
      <c r="AH95" s="8"/>
    </row>
    <row r="96" customFormat="false" ht="16.5" hidden="false" customHeight="true" outlineLevel="0" collapsed="false">
      <c r="B96" s="129" t="s">
        <v>64</v>
      </c>
      <c r="C96" s="129"/>
      <c r="D96" s="129"/>
      <c r="E96" s="129"/>
      <c r="F96" s="126" t="n">
        <v>0</v>
      </c>
      <c r="G96" s="126" t="n">
        <v>0</v>
      </c>
      <c r="H96" s="126" t="n">
        <v>0</v>
      </c>
      <c r="I96" s="126" t="n">
        <v>0</v>
      </c>
      <c r="J96" s="126" t="n">
        <v>0</v>
      </c>
      <c r="K96" s="126" t="n">
        <v>0</v>
      </c>
      <c r="L96" s="128" t="n">
        <v>0</v>
      </c>
      <c r="M96" s="127" t="n">
        <f aca="false">SUM(F96:L96)</f>
        <v>0</v>
      </c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3"/>
      <c r="AB96" s="13"/>
      <c r="AC96" s="13"/>
      <c r="AD96" s="13"/>
      <c r="AE96" s="13"/>
      <c r="AF96" s="8"/>
      <c r="AG96" s="8"/>
      <c r="AH96" s="8"/>
    </row>
    <row r="97" customFormat="false" ht="27" hidden="false" customHeight="true" outlineLevel="0" collapsed="false">
      <c r="B97" s="130" t="s">
        <v>65</v>
      </c>
      <c r="C97" s="130"/>
      <c r="D97" s="130"/>
      <c r="E97" s="130"/>
      <c r="F97" s="131" t="n">
        <v>0</v>
      </c>
      <c r="G97" s="131" t="n">
        <v>0</v>
      </c>
      <c r="H97" s="131" t="n">
        <v>0</v>
      </c>
      <c r="I97" s="131" t="n">
        <v>0</v>
      </c>
      <c r="J97" s="131" t="n">
        <v>0</v>
      </c>
      <c r="K97" s="131" t="n">
        <v>0</v>
      </c>
      <c r="L97" s="131" t="n">
        <v>0</v>
      </c>
      <c r="M97" s="132" t="n">
        <f aca="false">SUM(F97:L97)</f>
        <v>0</v>
      </c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3"/>
      <c r="AB97" s="13"/>
      <c r="AC97" s="13"/>
      <c r="AD97" s="13"/>
      <c r="AE97" s="13"/>
      <c r="AF97" s="8"/>
      <c r="AG97" s="8"/>
      <c r="AH97" s="8"/>
    </row>
    <row r="98" customFormat="false" ht="13.8" hidden="false" customHeight="false" outlineLevel="0" collapsed="false">
      <c r="B98" s="133" t="s">
        <v>12</v>
      </c>
      <c r="C98" s="133"/>
      <c r="D98" s="133"/>
      <c r="E98" s="133"/>
      <c r="F98" s="134" t="n">
        <f aca="false">SUM(F89:F97)</f>
        <v>0</v>
      </c>
      <c r="G98" s="135" t="n">
        <f aca="false">SUM(G89:G97)</f>
        <v>0</v>
      </c>
      <c r="H98" s="135" t="n">
        <f aca="false">SUM(H89:H97)</f>
        <v>0</v>
      </c>
      <c r="I98" s="135" t="n">
        <f aca="false">SUM(I89:I97)</f>
        <v>0</v>
      </c>
      <c r="J98" s="135" t="n">
        <f aca="false">SUM(J89:J97)</f>
        <v>0</v>
      </c>
      <c r="K98" s="135" t="n">
        <f aca="false">SUM(K89:K97)</f>
        <v>0</v>
      </c>
      <c r="L98" s="136" t="n">
        <f aca="false">SUM(L89:L97)</f>
        <v>0</v>
      </c>
      <c r="M98" s="137" t="n">
        <f aca="false">SUM(F98:L98)</f>
        <v>0</v>
      </c>
      <c r="N98" s="124" t="str">
        <f aca="false">IF(M98&lt;&gt;I19,"Section 4.1 - The Total of the ""Total"" should be equal to ""Closed during reporting period"" of Section 1.1","")</f>
        <v/>
      </c>
      <c r="O98" s="124"/>
      <c r="P98" s="124"/>
      <c r="Q98" s="124"/>
      <c r="R98" s="124"/>
      <c r="S98" s="124"/>
      <c r="T98" s="124"/>
      <c r="U98" s="124"/>
      <c r="V98" s="138"/>
      <c r="W98" s="138"/>
      <c r="X98" s="138"/>
      <c r="Y98" s="138"/>
      <c r="Z98" s="138"/>
      <c r="AA98" s="13"/>
      <c r="AB98" s="13"/>
      <c r="AC98" s="13"/>
      <c r="AD98" s="13"/>
      <c r="AE98" s="13"/>
      <c r="AF98" s="8"/>
      <c r="AG98" s="8"/>
      <c r="AH98" s="8"/>
    </row>
    <row r="99" customFormat="false" ht="14.25" hidden="false" customHeight="true" outlineLevel="0" collapsed="false">
      <c r="G99" s="139"/>
      <c r="H99" s="139"/>
      <c r="M99" s="140" t="n">
        <f aca="false">SUM(M89:M92,M95:M97)</f>
        <v>0</v>
      </c>
      <c r="N99" s="124"/>
      <c r="O99" s="124"/>
      <c r="P99" s="124"/>
      <c r="Q99" s="124"/>
      <c r="R99" s="124"/>
      <c r="S99" s="124"/>
      <c r="T99" s="124"/>
      <c r="U99" s="124"/>
      <c r="V99" s="138"/>
      <c r="W99" s="138"/>
      <c r="X99" s="138"/>
      <c r="Y99" s="138"/>
      <c r="Z99" s="138"/>
      <c r="AA99" s="13"/>
      <c r="AB99" s="13"/>
      <c r="AC99" s="13"/>
      <c r="AD99" s="13"/>
      <c r="AE99" s="13"/>
      <c r="AF99" s="8"/>
      <c r="AG99" s="8"/>
      <c r="AH99" s="8"/>
    </row>
    <row r="100" customFormat="false" ht="13.5" hidden="false" customHeight="false" outlineLevel="0" collapsed="false">
      <c r="B100" s="6" t="s">
        <v>66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8"/>
      <c r="AE100" s="8"/>
      <c r="AF100" s="8"/>
      <c r="AG100" s="8"/>
      <c r="AH100" s="8"/>
    </row>
    <row r="101" customFormat="false" ht="14.25" hidden="false" customHeight="true" outlineLevel="0" collapsed="false"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8"/>
      <c r="AE101" s="8"/>
      <c r="AF101" s="8"/>
      <c r="AG101" s="8"/>
      <c r="AH101" s="8"/>
    </row>
    <row r="102" customFormat="false" ht="39.75" hidden="false" customHeight="true" outlineLevel="0" collapsed="false">
      <c r="A102" s="1" t="n">
        <v>9</v>
      </c>
      <c r="B102" s="141" t="s">
        <v>67</v>
      </c>
      <c r="C102" s="141"/>
      <c r="D102" s="142" t="s">
        <v>7</v>
      </c>
      <c r="E102" s="143" t="s">
        <v>67</v>
      </c>
      <c r="F102" s="143"/>
      <c r="G102" s="144" t="s">
        <v>7</v>
      </c>
      <c r="H102" s="141" t="s">
        <v>67</v>
      </c>
      <c r="I102" s="141"/>
      <c r="J102" s="145" t="s">
        <v>7</v>
      </c>
      <c r="K102" s="141" t="s">
        <v>67</v>
      </c>
      <c r="L102" s="141"/>
      <c r="M102" s="145" t="s">
        <v>7</v>
      </c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8"/>
      <c r="AE102" s="8"/>
      <c r="AF102" s="8"/>
      <c r="AG102" s="8"/>
      <c r="AH102" s="8"/>
    </row>
    <row r="103" customFormat="false" ht="14.25" hidden="false" customHeight="true" outlineLevel="0" collapsed="false">
      <c r="B103" s="146" t="s">
        <v>68</v>
      </c>
      <c r="C103" s="146"/>
      <c r="D103" s="147" t="n">
        <v>0</v>
      </c>
      <c r="E103" s="148" t="s">
        <v>69</v>
      </c>
      <c r="F103" s="148"/>
      <c r="G103" s="149" t="n">
        <v>0</v>
      </c>
      <c r="H103" s="146" t="s">
        <v>70</v>
      </c>
      <c r="I103" s="146"/>
      <c r="J103" s="150" t="n">
        <v>0</v>
      </c>
      <c r="K103" s="146" t="n">
        <v>20.1</v>
      </c>
      <c r="L103" s="146"/>
      <c r="M103" s="151" t="n">
        <v>0</v>
      </c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8"/>
      <c r="AE103" s="8"/>
      <c r="AF103" s="8"/>
      <c r="AG103" s="8"/>
      <c r="AH103" s="8"/>
    </row>
    <row r="104" customFormat="false" ht="14.25" hidden="false" customHeight="true" outlineLevel="0" collapsed="false">
      <c r="B104" s="152" t="s">
        <v>71</v>
      </c>
      <c r="C104" s="152"/>
      <c r="D104" s="153" t="n">
        <v>0</v>
      </c>
      <c r="E104" s="154" t="s">
        <v>72</v>
      </c>
      <c r="F104" s="154"/>
      <c r="G104" s="151" t="n">
        <v>0</v>
      </c>
      <c r="H104" s="154" t="s">
        <v>73</v>
      </c>
      <c r="I104" s="154"/>
      <c r="J104" s="155" t="n">
        <v>0</v>
      </c>
      <c r="K104" s="154" t="n">
        <v>20.2</v>
      </c>
      <c r="L104" s="154"/>
      <c r="M104" s="156" t="n">
        <v>0</v>
      </c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8"/>
      <c r="AE104" s="8"/>
      <c r="AF104" s="8"/>
      <c r="AG104" s="8"/>
      <c r="AH104" s="8"/>
    </row>
    <row r="105" customFormat="false" ht="14.25" hidden="false" customHeight="true" outlineLevel="0" collapsed="false">
      <c r="B105" s="152" t="s">
        <v>74</v>
      </c>
      <c r="C105" s="152"/>
      <c r="D105" s="153" t="n">
        <v>0</v>
      </c>
      <c r="E105" s="154" t="s">
        <v>75</v>
      </c>
      <c r="F105" s="154"/>
      <c r="G105" s="156" t="n">
        <v>0</v>
      </c>
      <c r="H105" s="154" t="s">
        <v>76</v>
      </c>
      <c r="I105" s="154"/>
      <c r="J105" s="155" t="n">
        <v>0</v>
      </c>
      <c r="K105" s="154" t="n">
        <v>20.4</v>
      </c>
      <c r="L105" s="154"/>
      <c r="M105" s="156" t="n">
        <v>0</v>
      </c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8"/>
      <c r="AE105" s="8"/>
      <c r="AF105" s="8"/>
      <c r="AG105" s="8"/>
      <c r="AH105" s="8"/>
    </row>
    <row r="106" customFormat="false" ht="14.25" hidden="false" customHeight="true" outlineLevel="0" collapsed="false">
      <c r="B106" s="152" t="s">
        <v>77</v>
      </c>
      <c r="C106" s="152"/>
      <c r="D106" s="153" t="n">
        <v>0</v>
      </c>
      <c r="E106" s="154" t="s">
        <v>78</v>
      </c>
      <c r="F106" s="154"/>
      <c r="G106" s="156" t="n">
        <v>0</v>
      </c>
      <c r="H106" s="154" t="s">
        <v>79</v>
      </c>
      <c r="I106" s="154"/>
      <c r="J106" s="155" t="n">
        <v>0</v>
      </c>
      <c r="K106" s="154" t="s">
        <v>80</v>
      </c>
      <c r="L106" s="154"/>
      <c r="M106" s="156" t="n">
        <v>0</v>
      </c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8"/>
      <c r="AE106" s="8"/>
      <c r="AF106" s="8"/>
      <c r="AG106" s="8"/>
      <c r="AH106" s="8"/>
    </row>
    <row r="107" customFormat="false" ht="14.25" hidden="false" customHeight="true" outlineLevel="0" collapsed="false">
      <c r="B107" s="152" t="s">
        <v>81</v>
      </c>
      <c r="C107" s="152"/>
      <c r="D107" s="153" t="n">
        <v>0</v>
      </c>
      <c r="E107" s="154" t="s">
        <v>82</v>
      </c>
      <c r="F107" s="154"/>
      <c r="G107" s="156" t="n">
        <v>0</v>
      </c>
      <c r="H107" s="154" t="s">
        <v>83</v>
      </c>
      <c r="I107" s="154"/>
      <c r="J107" s="155" t="n">
        <v>0</v>
      </c>
      <c r="K107" s="154" t="s">
        <v>84</v>
      </c>
      <c r="L107" s="154"/>
      <c r="M107" s="156" t="n">
        <v>0</v>
      </c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8"/>
      <c r="AE107" s="8"/>
      <c r="AF107" s="8"/>
      <c r="AG107" s="8"/>
      <c r="AH107" s="8"/>
    </row>
    <row r="108" customFormat="false" ht="14.25" hidden="false" customHeight="true" outlineLevel="0" collapsed="false">
      <c r="B108" s="157" t="n">
        <v>14</v>
      </c>
      <c r="C108" s="157"/>
      <c r="D108" s="158" t="n">
        <v>0</v>
      </c>
      <c r="E108" s="154" t="s">
        <v>85</v>
      </c>
      <c r="F108" s="154"/>
      <c r="G108" s="156" t="n">
        <v>0</v>
      </c>
      <c r="H108" s="154" t="s">
        <v>86</v>
      </c>
      <c r="I108" s="154"/>
      <c r="J108" s="155" t="n">
        <v>0</v>
      </c>
      <c r="K108" s="154" t="s">
        <v>87</v>
      </c>
      <c r="L108" s="154"/>
      <c r="M108" s="156" t="n">
        <v>0</v>
      </c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8"/>
      <c r="AE108" s="8"/>
      <c r="AF108" s="8"/>
      <c r="AG108" s="8"/>
      <c r="AH108" s="8"/>
    </row>
    <row r="109" customFormat="false" ht="14.25" hidden="false" customHeight="true" outlineLevel="0" collapsed="false">
      <c r="B109" s="154" t="s">
        <v>88</v>
      </c>
      <c r="C109" s="154"/>
      <c r="D109" s="156" t="n">
        <v>0</v>
      </c>
      <c r="E109" s="154" t="s">
        <v>89</v>
      </c>
      <c r="F109" s="154"/>
      <c r="G109" s="156" t="n">
        <v>0</v>
      </c>
      <c r="H109" s="154" t="s">
        <v>90</v>
      </c>
      <c r="I109" s="154"/>
      <c r="J109" s="155" t="n">
        <v>0</v>
      </c>
      <c r="K109" s="154" t="s">
        <v>91</v>
      </c>
      <c r="L109" s="154"/>
      <c r="M109" s="156" t="n">
        <v>0</v>
      </c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8"/>
      <c r="AE109" s="8"/>
      <c r="AF109" s="8"/>
      <c r="AG109" s="8"/>
      <c r="AH109" s="8"/>
    </row>
    <row r="110" customFormat="false" ht="14.25" hidden="false" customHeight="true" outlineLevel="0" collapsed="false">
      <c r="B110" s="152" t="s">
        <v>92</v>
      </c>
      <c r="C110" s="152"/>
      <c r="D110" s="153" t="n">
        <v>0</v>
      </c>
      <c r="E110" s="154" t="s">
        <v>93</v>
      </c>
      <c r="F110" s="154"/>
      <c r="G110" s="156" t="n">
        <v>0</v>
      </c>
      <c r="H110" s="154" t="s">
        <v>94</v>
      </c>
      <c r="I110" s="154"/>
      <c r="J110" s="155" t="n">
        <v>0</v>
      </c>
      <c r="K110" s="154" t="n">
        <v>22</v>
      </c>
      <c r="L110" s="154"/>
      <c r="M110" s="156" t="n">
        <v>0</v>
      </c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8"/>
      <c r="AE110" s="8"/>
      <c r="AF110" s="8"/>
      <c r="AG110" s="8"/>
      <c r="AH110" s="8"/>
    </row>
    <row r="111" customFormat="false" ht="14.25" hidden="false" customHeight="true" outlineLevel="0" collapsed="false">
      <c r="B111" s="159" t="s">
        <v>95</v>
      </c>
      <c r="C111" s="159"/>
      <c r="D111" s="158" t="n">
        <v>0</v>
      </c>
      <c r="E111" s="154" t="s">
        <v>96</v>
      </c>
      <c r="F111" s="154"/>
      <c r="G111" s="156" t="n">
        <v>0</v>
      </c>
      <c r="H111" s="154" t="s">
        <v>97</v>
      </c>
      <c r="I111" s="154"/>
      <c r="J111" s="155" t="n">
        <v>0</v>
      </c>
      <c r="K111" s="154" t="s">
        <v>98</v>
      </c>
      <c r="L111" s="154"/>
      <c r="M111" s="156" t="n">
        <v>0</v>
      </c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8"/>
      <c r="AE111" s="8"/>
      <c r="AF111" s="8"/>
      <c r="AG111" s="8"/>
      <c r="AH111" s="8"/>
    </row>
    <row r="112" customFormat="false" ht="14.25" hidden="false" customHeight="true" outlineLevel="0" collapsed="false">
      <c r="B112" s="152" t="s">
        <v>99</v>
      </c>
      <c r="C112" s="152"/>
      <c r="D112" s="153" t="n">
        <v>0</v>
      </c>
      <c r="E112" s="154" t="s">
        <v>100</v>
      </c>
      <c r="F112" s="154"/>
      <c r="G112" s="156" t="n">
        <v>0</v>
      </c>
      <c r="H112" s="154" t="s">
        <v>101</v>
      </c>
      <c r="I112" s="154"/>
      <c r="J112" s="155" t="n">
        <v>0</v>
      </c>
      <c r="K112" s="154" t="n">
        <v>23</v>
      </c>
      <c r="L112" s="154"/>
      <c r="M112" s="156" t="n">
        <v>0</v>
      </c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8"/>
      <c r="AE112" s="8"/>
      <c r="AF112" s="8"/>
      <c r="AG112" s="8"/>
      <c r="AH112" s="8"/>
    </row>
    <row r="113" customFormat="false" ht="14.25" hidden="false" customHeight="true" outlineLevel="0" collapsed="false">
      <c r="B113" s="154" t="s">
        <v>102</v>
      </c>
      <c r="C113" s="154"/>
      <c r="D113" s="156" t="n">
        <v>0</v>
      </c>
      <c r="E113" s="154" t="n">
        <v>16.3</v>
      </c>
      <c r="F113" s="154"/>
      <c r="G113" s="156" t="n">
        <v>0</v>
      </c>
      <c r="H113" s="154" t="s">
        <v>103</v>
      </c>
      <c r="I113" s="154"/>
      <c r="J113" s="155" t="n">
        <v>0</v>
      </c>
      <c r="K113" s="154" t="n">
        <v>23.1</v>
      </c>
      <c r="L113" s="154"/>
      <c r="M113" s="156" t="n">
        <v>0</v>
      </c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8"/>
      <c r="AE113" s="8"/>
      <c r="AF113" s="8"/>
      <c r="AG113" s="8"/>
      <c r="AH113" s="8"/>
    </row>
    <row r="114" customFormat="false" ht="14.25" hidden="false" customHeight="true" outlineLevel="0" collapsed="false">
      <c r="B114" s="152" t="s">
        <v>104</v>
      </c>
      <c r="C114" s="152"/>
      <c r="D114" s="153" t="n">
        <v>0</v>
      </c>
      <c r="E114" s="154" t="s">
        <v>105</v>
      </c>
      <c r="F114" s="154"/>
      <c r="G114" s="156" t="n">
        <v>0</v>
      </c>
      <c r="H114" s="154" t="s">
        <v>106</v>
      </c>
      <c r="I114" s="154"/>
      <c r="J114" s="155" t="n">
        <v>0</v>
      </c>
      <c r="K114" s="154" t="s">
        <v>107</v>
      </c>
      <c r="L114" s="154"/>
      <c r="M114" s="156" t="n">
        <v>0</v>
      </c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8"/>
      <c r="AE114" s="8"/>
      <c r="AF114" s="8"/>
      <c r="AG114" s="8"/>
      <c r="AH114" s="8"/>
    </row>
    <row r="115" customFormat="false" ht="14.25" hidden="false" customHeight="true" outlineLevel="0" collapsed="false">
      <c r="B115" s="152" t="s">
        <v>108</v>
      </c>
      <c r="C115" s="152"/>
      <c r="D115" s="153" t="n">
        <v>0</v>
      </c>
      <c r="E115" s="154" t="s">
        <v>109</v>
      </c>
      <c r="F115" s="154"/>
      <c r="G115" s="156" t="n">
        <v>0</v>
      </c>
      <c r="H115" s="154" t="s">
        <v>110</v>
      </c>
      <c r="I115" s="154"/>
      <c r="J115" s="155" t="n">
        <v>0</v>
      </c>
      <c r="K115" s="160" t="n">
        <v>26</v>
      </c>
      <c r="L115" s="160"/>
      <c r="M115" s="161" t="n">
        <v>0</v>
      </c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8"/>
      <c r="AE115" s="8"/>
      <c r="AF115" s="8"/>
      <c r="AG115" s="8"/>
      <c r="AH115" s="8"/>
    </row>
    <row r="116" customFormat="false" ht="14.25" hidden="false" customHeight="true" outlineLevel="0" collapsed="false">
      <c r="B116" s="154" t="s">
        <v>111</v>
      </c>
      <c r="C116" s="154"/>
      <c r="D116" s="156" t="n">
        <v>0</v>
      </c>
      <c r="E116" s="154" t="n">
        <v>16.5</v>
      </c>
      <c r="F116" s="154"/>
      <c r="G116" s="156" t="n">
        <v>0</v>
      </c>
      <c r="H116" s="160" t="s">
        <v>112</v>
      </c>
      <c r="I116" s="160"/>
      <c r="J116" s="162" t="n">
        <v>0</v>
      </c>
      <c r="K116" s="163"/>
      <c r="L116" s="164"/>
      <c r="M116" s="165"/>
      <c r="N116" s="92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8"/>
      <c r="AE116" s="8"/>
      <c r="AF116" s="8"/>
      <c r="AG116" s="8"/>
      <c r="AH116" s="8"/>
    </row>
    <row r="117" customFormat="false" ht="14.25" hidden="false" customHeight="true" outlineLevel="0" collapsed="false">
      <c r="B117" s="152" t="s">
        <v>113</v>
      </c>
      <c r="C117" s="152"/>
      <c r="D117" s="153" t="n">
        <v>0</v>
      </c>
      <c r="E117" s="154" t="n">
        <v>16.6</v>
      </c>
      <c r="F117" s="154"/>
      <c r="G117" s="156" t="n">
        <v>0</v>
      </c>
      <c r="H117" s="8"/>
      <c r="I117" s="8"/>
      <c r="J117" s="166"/>
      <c r="K117" s="8"/>
      <c r="L117" s="8"/>
      <c r="M117" s="8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8"/>
      <c r="AE117" s="8"/>
      <c r="AF117" s="8"/>
      <c r="AG117" s="8"/>
      <c r="AH117" s="8"/>
    </row>
    <row r="118" customFormat="false" ht="14.25" hidden="false" customHeight="true" outlineLevel="0" collapsed="false">
      <c r="B118" s="152" t="s">
        <v>114</v>
      </c>
      <c r="C118" s="152"/>
      <c r="D118" s="153" t="n">
        <v>0</v>
      </c>
      <c r="E118" s="160" t="n">
        <v>17</v>
      </c>
      <c r="F118" s="160"/>
      <c r="G118" s="161" t="n">
        <v>0</v>
      </c>
      <c r="H118" s="8"/>
      <c r="I118" s="8"/>
      <c r="J118" s="8"/>
      <c r="K118" s="8"/>
      <c r="L118" s="8"/>
      <c r="M118" s="8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8"/>
      <c r="AE118" s="8"/>
      <c r="AF118" s="8"/>
      <c r="AG118" s="8"/>
      <c r="AH118" s="8"/>
    </row>
    <row r="119" customFormat="false" ht="14.25" hidden="false" customHeight="true" outlineLevel="0" collapsed="false">
      <c r="B119" s="167" t="s">
        <v>115</v>
      </c>
      <c r="C119" s="167"/>
      <c r="D119" s="153" t="n">
        <v>0</v>
      </c>
      <c r="H119" s="164"/>
      <c r="I119" s="164"/>
      <c r="J119" s="165"/>
      <c r="K119" s="168"/>
      <c r="L119" s="168"/>
      <c r="M119" s="165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8"/>
      <c r="AE119" s="8"/>
      <c r="AF119" s="8"/>
      <c r="AG119" s="8"/>
      <c r="AH119" s="8"/>
    </row>
    <row r="120" customFormat="false" ht="14.25" hidden="false" customHeight="true" outlineLevel="0" collapsed="false">
      <c r="B120" s="169" t="s">
        <v>116</v>
      </c>
      <c r="C120" s="169"/>
      <c r="D120" s="170" t="n">
        <v>0</v>
      </c>
      <c r="E120" s="171"/>
      <c r="F120" s="172" t="s">
        <v>117</v>
      </c>
      <c r="G120" s="173"/>
      <c r="H120" s="173"/>
      <c r="I120" s="173"/>
      <c r="J120" s="173"/>
      <c r="K120" s="173"/>
      <c r="L120" s="173"/>
      <c r="M120" s="17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8"/>
      <c r="AE120" s="8"/>
      <c r="AF120" s="8"/>
      <c r="AG120" s="8"/>
      <c r="AH120" s="8"/>
    </row>
    <row r="121" customFormat="false" ht="14.25" hidden="false" customHeight="true" outlineLevel="0" collapsed="false"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8"/>
      <c r="AE121" s="8"/>
      <c r="AF121" s="8"/>
      <c r="AG121" s="8"/>
      <c r="AH121" s="8"/>
    </row>
    <row r="122" customFormat="false" ht="13.5" hidden="false" customHeight="false" outlineLevel="0" collapsed="false">
      <c r="B122" s="174" t="s">
        <v>118</v>
      </c>
      <c r="C122" s="174"/>
      <c r="D122" s="174"/>
      <c r="E122" s="174"/>
      <c r="F122" s="174"/>
      <c r="G122" s="174"/>
      <c r="H122" s="174"/>
      <c r="I122" s="174"/>
      <c r="J122" s="174"/>
      <c r="K122" s="174"/>
      <c r="L122" s="174"/>
      <c r="M122" s="174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8"/>
      <c r="AE122" s="8"/>
      <c r="AF122" s="8"/>
      <c r="AG122" s="8"/>
      <c r="AH122" s="8"/>
    </row>
    <row r="123" customFormat="false" ht="14.25" hidden="false" customHeight="true" outlineLevel="0" collapsed="false">
      <c r="D123" s="14"/>
      <c r="E123" s="14"/>
      <c r="F123" s="14"/>
      <c r="G123" s="14"/>
      <c r="H123" s="14"/>
      <c r="I123" s="14"/>
      <c r="J123" s="14"/>
      <c r="K123" s="14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8"/>
      <c r="AE123" s="8"/>
      <c r="AF123" s="8"/>
      <c r="AG123" s="8"/>
      <c r="AH123" s="8"/>
    </row>
    <row r="124" customFormat="false" ht="27.75" hidden="false" customHeight="true" outlineLevel="0" collapsed="false">
      <c r="A124" s="1" t="n">
        <v>10</v>
      </c>
      <c r="B124" s="175" t="s">
        <v>67</v>
      </c>
      <c r="C124" s="175"/>
      <c r="D124" s="176" t="s">
        <v>7</v>
      </c>
      <c r="E124" s="176"/>
      <c r="F124" s="175" t="s">
        <v>67</v>
      </c>
      <c r="G124" s="175"/>
      <c r="H124" s="177" t="s">
        <v>7</v>
      </c>
      <c r="I124" s="177"/>
      <c r="J124" s="175" t="s">
        <v>67</v>
      </c>
      <c r="K124" s="175"/>
      <c r="L124" s="177" t="s">
        <v>7</v>
      </c>
      <c r="M124" s="177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8"/>
      <c r="AE124" s="8"/>
      <c r="AF124" s="8"/>
      <c r="AG124" s="8"/>
      <c r="AH124" s="8"/>
    </row>
    <row r="125" customFormat="false" ht="14.25" hidden="false" customHeight="true" outlineLevel="0" collapsed="false">
      <c r="B125" s="178" t="s">
        <v>119</v>
      </c>
      <c r="C125" s="178"/>
      <c r="D125" s="179" t="n">
        <v>0</v>
      </c>
      <c r="E125" s="179"/>
      <c r="F125" s="146" t="s">
        <v>120</v>
      </c>
      <c r="G125" s="146"/>
      <c r="H125" s="147" t="n">
        <v>0</v>
      </c>
      <c r="I125" s="147"/>
      <c r="J125" s="146" t="s">
        <v>121</v>
      </c>
      <c r="K125" s="146"/>
      <c r="L125" s="147" t="n">
        <v>0</v>
      </c>
      <c r="M125" s="147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8"/>
      <c r="AE125" s="8"/>
      <c r="AF125" s="8"/>
      <c r="AG125" s="8"/>
      <c r="AH125" s="8"/>
    </row>
    <row r="126" customFormat="false" ht="14.25" hidden="false" customHeight="true" outlineLevel="0" collapsed="false">
      <c r="B126" s="152" t="s">
        <v>122</v>
      </c>
      <c r="C126" s="152"/>
      <c r="D126" s="153" t="n">
        <v>0</v>
      </c>
      <c r="E126" s="153"/>
      <c r="F126" s="154" t="s">
        <v>123</v>
      </c>
      <c r="G126" s="154"/>
      <c r="H126" s="156" t="n">
        <v>0</v>
      </c>
      <c r="I126" s="156"/>
      <c r="J126" s="154" t="s">
        <v>124</v>
      </c>
      <c r="K126" s="154"/>
      <c r="L126" s="156" t="n">
        <v>0</v>
      </c>
      <c r="M126" s="156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8"/>
      <c r="AE126" s="8"/>
      <c r="AF126" s="8"/>
      <c r="AG126" s="8"/>
      <c r="AH126" s="8"/>
    </row>
    <row r="127" customFormat="false" ht="14.25" hidden="false" customHeight="true" outlineLevel="0" collapsed="false">
      <c r="B127" s="152" t="s">
        <v>125</v>
      </c>
      <c r="C127" s="152"/>
      <c r="D127" s="153" t="n">
        <v>0</v>
      </c>
      <c r="E127" s="153"/>
      <c r="F127" s="154" t="s">
        <v>126</v>
      </c>
      <c r="G127" s="154"/>
      <c r="H127" s="156" t="n">
        <v>0</v>
      </c>
      <c r="I127" s="156"/>
      <c r="J127" s="154" t="s">
        <v>127</v>
      </c>
      <c r="K127" s="154"/>
      <c r="L127" s="156" t="n">
        <v>0</v>
      </c>
      <c r="M127" s="156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8"/>
      <c r="AE127" s="8"/>
      <c r="AF127" s="8"/>
      <c r="AG127" s="8"/>
      <c r="AH127" s="8"/>
    </row>
    <row r="128" customFormat="false" ht="13.8" hidden="false" customHeight="false" outlineLevel="0" collapsed="false">
      <c r="B128" s="152" t="s">
        <v>128</v>
      </c>
      <c r="C128" s="152"/>
      <c r="D128" s="153" t="n">
        <v>0</v>
      </c>
      <c r="E128" s="153"/>
      <c r="F128" s="154" t="s">
        <v>129</v>
      </c>
      <c r="G128" s="154"/>
      <c r="H128" s="156" t="n">
        <v>0</v>
      </c>
      <c r="I128" s="156"/>
      <c r="J128" s="154" t="s">
        <v>130</v>
      </c>
      <c r="K128" s="154"/>
      <c r="L128" s="156" t="n">
        <v>0</v>
      </c>
      <c r="M128" s="156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8"/>
      <c r="AE128" s="8"/>
      <c r="AF128" s="8"/>
      <c r="AG128" s="8"/>
      <c r="AH128" s="8"/>
    </row>
    <row r="129" customFormat="false" ht="13.8" hidden="false" customHeight="false" outlineLevel="0" collapsed="false">
      <c r="B129" s="152" t="s">
        <v>131</v>
      </c>
      <c r="C129" s="152"/>
      <c r="D129" s="153" t="n">
        <v>0</v>
      </c>
      <c r="E129" s="153"/>
      <c r="F129" s="154" t="s">
        <v>132</v>
      </c>
      <c r="G129" s="154"/>
      <c r="H129" s="156" t="n">
        <v>0</v>
      </c>
      <c r="I129" s="156"/>
      <c r="J129" s="154" t="s">
        <v>133</v>
      </c>
      <c r="K129" s="154"/>
      <c r="L129" s="156" t="n">
        <v>0</v>
      </c>
      <c r="M129" s="156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8"/>
      <c r="AE129" s="8"/>
      <c r="AF129" s="8"/>
      <c r="AG129" s="8"/>
      <c r="AH129" s="8"/>
    </row>
    <row r="130" customFormat="false" ht="13.8" hidden="false" customHeight="false" outlineLevel="0" collapsed="false">
      <c r="B130" s="169" t="s">
        <v>134</v>
      </c>
      <c r="C130" s="169"/>
      <c r="D130" s="170" t="n">
        <v>0</v>
      </c>
      <c r="E130" s="170"/>
      <c r="F130" s="154" t="s">
        <v>135</v>
      </c>
      <c r="G130" s="154"/>
      <c r="H130" s="156" t="n">
        <v>0</v>
      </c>
      <c r="I130" s="156"/>
      <c r="J130" s="154" t="s">
        <v>136</v>
      </c>
      <c r="K130" s="154"/>
      <c r="L130" s="156" t="n">
        <v>0</v>
      </c>
      <c r="M130" s="156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8"/>
      <c r="AE130" s="8"/>
      <c r="AF130" s="8"/>
      <c r="AG130" s="8"/>
      <c r="AH130" s="8"/>
    </row>
    <row r="131" customFormat="false" ht="14.25" hidden="false" customHeight="true" outlineLevel="0" collapsed="false">
      <c r="B131" s="180"/>
      <c r="C131" s="180"/>
      <c r="D131" s="181"/>
      <c r="E131" s="181"/>
      <c r="F131" s="160" t="s">
        <v>137</v>
      </c>
      <c r="G131" s="160"/>
      <c r="H131" s="161" t="n">
        <v>0</v>
      </c>
      <c r="I131" s="161"/>
      <c r="J131" s="160" t="s">
        <v>138</v>
      </c>
      <c r="K131" s="160"/>
      <c r="L131" s="161" t="n">
        <v>0</v>
      </c>
      <c r="M131" s="161"/>
      <c r="N131" s="92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8"/>
      <c r="AE131" s="8"/>
      <c r="AF131" s="8"/>
      <c r="AG131" s="8"/>
      <c r="AH131" s="8"/>
    </row>
    <row r="132" customFormat="false" ht="14.25" hidden="false" customHeight="true" outlineLevel="0" collapsed="false">
      <c r="B132" s="168"/>
      <c r="C132" s="168"/>
      <c r="D132" s="168"/>
      <c r="E132" s="168"/>
      <c r="F132" s="164"/>
      <c r="G132" s="164"/>
      <c r="H132" s="165"/>
      <c r="I132" s="165"/>
      <c r="J132" s="164"/>
      <c r="K132" s="164"/>
      <c r="L132" s="165"/>
      <c r="M132" s="165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3"/>
      <c r="Y132" s="13"/>
      <c r="Z132" s="13"/>
      <c r="AA132" s="13"/>
      <c r="AB132" s="13"/>
      <c r="AC132" s="13"/>
      <c r="AD132" s="8"/>
      <c r="AE132" s="8"/>
      <c r="AF132" s="8"/>
      <c r="AG132" s="8"/>
      <c r="AH132" s="8"/>
    </row>
    <row r="133" customFormat="false" ht="14.25" hidden="false" customHeight="true" outlineLevel="0" collapsed="false">
      <c r="B133" s="61" t="s">
        <v>139</v>
      </c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3"/>
      <c r="Y133" s="13"/>
      <c r="Z133" s="13"/>
      <c r="AA133" s="13"/>
      <c r="AB133" s="13"/>
      <c r="AC133" s="13"/>
      <c r="AD133" s="8"/>
      <c r="AE133" s="8"/>
      <c r="AF133" s="8"/>
      <c r="AG133" s="8"/>
      <c r="AH133" s="8"/>
    </row>
    <row r="134" customFormat="false" ht="14.25" hidden="false" customHeight="true" outlineLevel="0" collapsed="false">
      <c r="N134" s="182"/>
      <c r="O134" s="182"/>
      <c r="P134" s="182"/>
      <c r="Q134" s="182"/>
      <c r="R134" s="182"/>
      <c r="S134" s="182"/>
      <c r="T134" s="182"/>
      <c r="U134" s="182"/>
      <c r="V134" s="182"/>
      <c r="W134" s="182"/>
      <c r="X134" s="182"/>
      <c r="Y134" s="182"/>
      <c r="Z134" s="182"/>
      <c r="AA134" s="182"/>
      <c r="AB134" s="13"/>
      <c r="AC134" s="13"/>
      <c r="AD134" s="8"/>
      <c r="AE134" s="8"/>
      <c r="AF134" s="8"/>
      <c r="AG134" s="8"/>
      <c r="AH134" s="8"/>
    </row>
    <row r="135" customFormat="false" ht="14.25" hidden="false" customHeight="true" outlineLevel="0" collapsed="false">
      <c r="A135" s="1" t="n">
        <v>11</v>
      </c>
      <c r="B135" s="183" t="s">
        <v>140</v>
      </c>
      <c r="C135" s="183"/>
      <c r="D135" s="184" t="s">
        <v>141</v>
      </c>
      <c r="E135" s="184"/>
      <c r="F135" s="184"/>
      <c r="G135" s="184"/>
      <c r="H135" s="184"/>
      <c r="I135" s="177" t="s">
        <v>142</v>
      </c>
      <c r="J135" s="177"/>
      <c r="K135" s="185"/>
      <c r="L135" s="185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  <c r="AA135" s="186"/>
      <c r="AB135" s="13"/>
      <c r="AC135" s="13"/>
      <c r="AD135" s="8"/>
      <c r="AE135" s="8"/>
      <c r="AF135" s="8"/>
      <c r="AG135" s="8"/>
      <c r="AH135" s="8"/>
    </row>
    <row r="136" customFormat="false" ht="14.25" hidden="false" customHeight="true" outlineLevel="0" collapsed="false">
      <c r="B136" s="183"/>
      <c r="C136" s="183"/>
      <c r="D136" s="187" t="s">
        <v>143</v>
      </c>
      <c r="E136" s="187"/>
      <c r="F136" s="188" t="s">
        <v>144</v>
      </c>
      <c r="G136" s="189" t="s">
        <v>145</v>
      </c>
      <c r="H136" s="190" t="s">
        <v>146</v>
      </c>
      <c r="I136" s="177"/>
      <c r="J136" s="177"/>
      <c r="K136" s="185"/>
      <c r="L136" s="185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  <c r="AA136" s="186"/>
      <c r="AB136" s="13"/>
      <c r="AC136" s="13"/>
      <c r="AD136" s="8"/>
      <c r="AE136" s="8"/>
      <c r="AF136" s="8"/>
      <c r="AG136" s="8"/>
      <c r="AH136" s="8"/>
    </row>
    <row r="137" customFormat="false" ht="14.25" hidden="false" customHeight="true" outlineLevel="0" collapsed="false">
      <c r="B137" s="191" t="n">
        <v>0</v>
      </c>
      <c r="C137" s="191"/>
      <c r="D137" s="192" t="n">
        <v>0</v>
      </c>
      <c r="E137" s="192"/>
      <c r="F137" s="193" t="n">
        <v>0</v>
      </c>
      <c r="G137" s="193" t="n">
        <v>0</v>
      </c>
      <c r="H137" s="194" t="n">
        <v>0</v>
      </c>
      <c r="I137" s="191" t="n">
        <v>0</v>
      </c>
      <c r="J137" s="191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13"/>
      <c r="AC137" s="13"/>
      <c r="AD137" s="13"/>
      <c r="AE137" s="13"/>
      <c r="AF137" s="8"/>
      <c r="AG137" s="8"/>
      <c r="AH137" s="8"/>
    </row>
    <row r="138" customFormat="false" ht="14.25" hidden="false" customHeight="true" outlineLevel="0" collapsed="false"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13"/>
      <c r="AC138" s="13"/>
      <c r="AD138" s="8"/>
      <c r="AE138" s="8"/>
      <c r="AF138" s="8"/>
      <c r="AG138" s="8"/>
      <c r="AH138" s="8"/>
    </row>
    <row r="139" customFormat="false" ht="14.25" hidden="false" customHeight="true" outlineLevel="0" collapsed="false">
      <c r="B139" s="6" t="s">
        <v>147</v>
      </c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  <c r="AA139" s="186"/>
      <c r="AB139" s="13"/>
      <c r="AC139" s="13"/>
      <c r="AD139" s="8"/>
      <c r="AE139" s="8"/>
      <c r="AF139" s="8"/>
      <c r="AG139" s="8"/>
      <c r="AH139" s="8"/>
    </row>
    <row r="140" customFormat="false" ht="14.25" hidden="false" customHeight="true" outlineLevel="0" collapsed="false">
      <c r="B140" s="195"/>
      <c r="N140" s="92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8"/>
      <c r="AE140" s="8"/>
      <c r="AF140" s="8"/>
      <c r="AG140" s="8"/>
      <c r="AH140" s="8"/>
    </row>
    <row r="141" customFormat="false" ht="13.5" hidden="false" customHeight="false" outlineLevel="0" collapsed="false">
      <c r="B141" s="196" t="s">
        <v>148</v>
      </c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92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8"/>
      <c r="AE141" s="8"/>
      <c r="AF141" s="8"/>
      <c r="AG141" s="8"/>
      <c r="AH141" s="8"/>
    </row>
    <row r="142" customFormat="false" ht="14.25" hidden="false" customHeight="true" outlineLevel="0" collapsed="false">
      <c r="N142" s="92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8"/>
      <c r="AE142" s="8"/>
      <c r="AF142" s="8"/>
      <c r="AG142" s="8"/>
      <c r="AH142" s="8"/>
    </row>
    <row r="143" customFormat="false" ht="30.75" hidden="false" customHeight="true" outlineLevel="0" collapsed="false">
      <c r="A143" s="1" t="n">
        <v>12</v>
      </c>
      <c r="B143" s="141" t="s">
        <v>149</v>
      </c>
      <c r="C143" s="141"/>
      <c r="D143" s="141"/>
      <c r="E143" s="197" t="s">
        <v>150</v>
      </c>
      <c r="F143" s="197"/>
      <c r="G143" s="197"/>
      <c r="H143" s="198" t="s">
        <v>7</v>
      </c>
      <c r="I143" s="198"/>
      <c r="J143" s="198"/>
      <c r="K143" s="26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3"/>
      <c r="AB143" s="13"/>
      <c r="AC143" s="13"/>
      <c r="AD143" s="13"/>
      <c r="AE143" s="13"/>
      <c r="AF143" s="8"/>
      <c r="AG143" s="8"/>
      <c r="AH143" s="8"/>
    </row>
    <row r="144" customFormat="false" ht="14.25" hidden="false" customHeight="true" outlineLevel="0" collapsed="false">
      <c r="B144" s="81" t="n">
        <v>0</v>
      </c>
      <c r="C144" s="81"/>
      <c r="D144" s="81"/>
      <c r="E144" s="199" t="n">
        <v>0</v>
      </c>
      <c r="F144" s="199"/>
      <c r="G144" s="199"/>
      <c r="H144" s="200" t="n">
        <v>0</v>
      </c>
      <c r="I144" s="200"/>
      <c r="J144" s="200"/>
      <c r="K144" s="26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3"/>
      <c r="AB144" s="13"/>
      <c r="AC144" s="13"/>
      <c r="AD144" s="13"/>
      <c r="AE144" s="13"/>
      <c r="AF144" s="8"/>
      <c r="AG144" s="8"/>
      <c r="AH144" s="8"/>
    </row>
    <row r="145" customFormat="false" ht="14.25" hidden="false" customHeight="true" outlineLevel="0" collapsed="false">
      <c r="B145" s="201"/>
      <c r="C145" s="201"/>
      <c r="D145" s="201"/>
      <c r="E145" s="201"/>
      <c r="F145" s="201"/>
      <c r="G145" s="201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8"/>
      <c r="AG145" s="8"/>
      <c r="AH145" s="8"/>
    </row>
    <row r="146" customFormat="false" ht="13.5" hidden="false" customHeight="true" outlineLevel="0" collapsed="false">
      <c r="B146" s="202" t="s">
        <v>151</v>
      </c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90"/>
      <c r="O146" s="90"/>
      <c r="P146" s="90"/>
      <c r="Q146" s="90"/>
      <c r="R146" s="90"/>
      <c r="S146" s="90"/>
      <c r="T146" s="90"/>
      <c r="U146" s="90"/>
      <c r="V146" s="90"/>
      <c r="W146" s="13"/>
      <c r="X146" s="13"/>
      <c r="Y146" s="13"/>
      <c r="Z146" s="13"/>
      <c r="AA146" s="13"/>
      <c r="AB146" s="13"/>
      <c r="AC146" s="13"/>
      <c r="AD146" s="8"/>
      <c r="AE146" s="8"/>
      <c r="AF146" s="8"/>
      <c r="AG146" s="8"/>
      <c r="AH146" s="8"/>
    </row>
    <row r="147" customFormat="false" ht="13.8" hidden="false" customHeight="false" outlineLevel="0" collapsed="false"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90"/>
      <c r="O147" s="90"/>
      <c r="P147" s="90"/>
      <c r="Q147" s="90"/>
      <c r="R147" s="90"/>
      <c r="S147" s="90"/>
      <c r="T147" s="90"/>
      <c r="U147" s="90"/>
      <c r="V147" s="90"/>
      <c r="W147" s="13"/>
      <c r="X147" s="13"/>
      <c r="Y147" s="13"/>
      <c r="Z147" s="13"/>
      <c r="AA147" s="13"/>
      <c r="AB147" s="13"/>
      <c r="AC147" s="13"/>
      <c r="AD147" s="8"/>
      <c r="AE147" s="8"/>
      <c r="AF147" s="8"/>
      <c r="AG147" s="8"/>
      <c r="AH147" s="8"/>
    </row>
    <row r="148" customFormat="false" ht="13.8" hidden="false" customHeight="false" outlineLevel="0" collapsed="false">
      <c r="B148" s="91"/>
      <c r="C148" s="91"/>
      <c r="D148" s="203"/>
      <c r="E148" s="203"/>
      <c r="F148" s="203"/>
      <c r="G148" s="203"/>
      <c r="H148" s="203"/>
      <c r="I148" s="203"/>
      <c r="J148" s="91"/>
      <c r="K148" s="91"/>
      <c r="L148" s="91"/>
      <c r="M148" s="91"/>
      <c r="N148" s="90"/>
      <c r="O148" s="90"/>
      <c r="P148" s="90"/>
      <c r="Q148" s="90"/>
      <c r="R148" s="90"/>
      <c r="S148" s="90"/>
      <c r="T148" s="90"/>
      <c r="U148" s="90"/>
      <c r="V148" s="90"/>
      <c r="W148" s="13"/>
      <c r="X148" s="13"/>
      <c r="Y148" s="13"/>
      <c r="Z148" s="13"/>
      <c r="AA148" s="13"/>
      <c r="AB148" s="13"/>
      <c r="AC148" s="13"/>
      <c r="AD148" s="8"/>
      <c r="AE148" s="8"/>
      <c r="AF148" s="8"/>
      <c r="AG148" s="8"/>
      <c r="AH148" s="8"/>
    </row>
    <row r="149" customFormat="false" ht="30" hidden="false" customHeight="true" outlineLevel="0" collapsed="false">
      <c r="A149" s="1" t="n">
        <v>13</v>
      </c>
      <c r="B149" s="204" t="s">
        <v>152</v>
      </c>
      <c r="C149" s="204"/>
      <c r="D149" s="205" t="s">
        <v>153</v>
      </c>
      <c r="E149" s="205"/>
      <c r="F149" s="205" t="s">
        <v>154</v>
      </c>
      <c r="G149" s="205"/>
      <c r="H149" s="206" t="s">
        <v>155</v>
      </c>
      <c r="I149" s="206"/>
      <c r="J149" s="207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13"/>
      <c r="X149" s="13"/>
      <c r="Y149" s="13"/>
      <c r="Z149" s="8"/>
      <c r="AA149" s="8"/>
      <c r="AB149" s="8"/>
      <c r="AC149" s="8"/>
      <c r="AD149" s="8"/>
    </row>
    <row r="150" customFormat="false" ht="33" hidden="false" customHeight="true" outlineLevel="0" collapsed="false">
      <c r="B150" s="204"/>
      <c r="C150" s="204"/>
      <c r="D150" s="208" t="s">
        <v>7</v>
      </c>
      <c r="E150" s="209" t="s">
        <v>156</v>
      </c>
      <c r="F150" s="208" t="s">
        <v>7</v>
      </c>
      <c r="G150" s="209" t="s">
        <v>156</v>
      </c>
      <c r="H150" s="208" t="s">
        <v>7</v>
      </c>
      <c r="I150" s="209" t="s">
        <v>156</v>
      </c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13"/>
      <c r="X150" s="13"/>
      <c r="Y150" s="13"/>
      <c r="Z150" s="8"/>
      <c r="AA150" s="8"/>
      <c r="AB150" s="8"/>
      <c r="AC150" s="8"/>
      <c r="AD150" s="8"/>
    </row>
    <row r="151" customFormat="false" ht="14.25" hidden="false" customHeight="true" outlineLevel="0" collapsed="false">
      <c r="B151" s="210" t="s">
        <v>57</v>
      </c>
      <c r="C151" s="210"/>
      <c r="D151" s="211" t="n">
        <v>0</v>
      </c>
      <c r="E151" s="212" t="n">
        <v>0</v>
      </c>
      <c r="F151" s="211" t="n">
        <v>0</v>
      </c>
      <c r="G151" s="212" t="n">
        <v>0</v>
      </c>
      <c r="H151" s="211" t="n">
        <v>0</v>
      </c>
      <c r="I151" s="179" t="n">
        <v>0</v>
      </c>
      <c r="J151" s="213"/>
      <c r="K151" s="213"/>
      <c r="L151" s="213"/>
      <c r="M151" s="213"/>
      <c r="N151" s="213"/>
      <c r="O151" s="213"/>
      <c r="P151" s="213"/>
      <c r="Q151" s="213"/>
      <c r="R151" s="213"/>
      <c r="S151" s="213"/>
      <c r="T151" s="213"/>
      <c r="U151" s="213"/>
      <c r="V151" s="213"/>
      <c r="W151" s="13"/>
      <c r="X151" s="13"/>
      <c r="Y151" s="13"/>
      <c r="Z151" s="8"/>
      <c r="AA151" s="8"/>
      <c r="AB151" s="8"/>
      <c r="AC151" s="8"/>
      <c r="AD151" s="8"/>
    </row>
    <row r="152" customFormat="false" ht="16.5" hidden="false" customHeight="true" outlineLevel="0" collapsed="false">
      <c r="B152" s="214" t="s">
        <v>58</v>
      </c>
      <c r="C152" s="214"/>
      <c r="D152" s="215" t="n">
        <v>0</v>
      </c>
      <c r="E152" s="153" t="n">
        <v>0</v>
      </c>
      <c r="F152" s="215" t="n">
        <v>0</v>
      </c>
      <c r="G152" s="153" t="n">
        <v>0</v>
      </c>
      <c r="H152" s="211" t="n">
        <v>0</v>
      </c>
      <c r="I152" s="212" t="n">
        <v>0</v>
      </c>
      <c r="J152" s="213"/>
      <c r="K152" s="213"/>
      <c r="L152" s="213"/>
      <c r="M152" s="213"/>
      <c r="N152" s="213"/>
      <c r="O152" s="213"/>
      <c r="P152" s="213"/>
      <c r="Q152" s="213"/>
      <c r="R152" s="213"/>
      <c r="S152" s="213"/>
      <c r="T152" s="213"/>
      <c r="U152" s="213"/>
      <c r="V152" s="213"/>
      <c r="W152" s="13"/>
      <c r="X152" s="13"/>
      <c r="Y152" s="13"/>
      <c r="Z152" s="8"/>
      <c r="AA152" s="8"/>
      <c r="AB152" s="8"/>
      <c r="AC152" s="8"/>
      <c r="AD152" s="8"/>
    </row>
    <row r="153" customFormat="false" ht="13.5" hidden="false" customHeight="false" outlineLevel="0" collapsed="false">
      <c r="B153" s="216" t="s">
        <v>59</v>
      </c>
      <c r="C153" s="216"/>
      <c r="D153" s="215" t="n">
        <v>0</v>
      </c>
      <c r="E153" s="153" t="n">
        <v>0</v>
      </c>
      <c r="F153" s="215" t="n">
        <v>0</v>
      </c>
      <c r="G153" s="153" t="n">
        <v>0</v>
      </c>
      <c r="H153" s="211" t="n">
        <v>0</v>
      </c>
      <c r="I153" s="212" t="n">
        <v>0</v>
      </c>
      <c r="J153" s="213"/>
      <c r="K153" s="213"/>
      <c r="L153" s="213"/>
      <c r="M153" s="213"/>
      <c r="N153" s="213"/>
      <c r="O153" s="213"/>
      <c r="P153" s="213"/>
      <c r="Q153" s="213"/>
      <c r="R153" s="213"/>
      <c r="S153" s="213"/>
      <c r="T153" s="213"/>
      <c r="U153" s="213"/>
      <c r="V153" s="213"/>
      <c r="W153" s="13"/>
      <c r="X153" s="13"/>
      <c r="Y153" s="13"/>
      <c r="Z153" s="8"/>
      <c r="AA153" s="8"/>
      <c r="AB153" s="8"/>
      <c r="AC153" s="8"/>
      <c r="AD153" s="8"/>
    </row>
    <row r="154" customFormat="false" ht="13.5" hidden="false" customHeight="false" outlineLevel="0" collapsed="false">
      <c r="B154" s="216" t="s">
        <v>60</v>
      </c>
      <c r="C154" s="216"/>
      <c r="D154" s="215" t="n">
        <v>0</v>
      </c>
      <c r="E154" s="153" t="n">
        <v>0</v>
      </c>
      <c r="F154" s="215" t="n">
        <v>0</v>
      </c>
      <c r="G154" s="153" t="n">
        <v>0</v>
      </c>
      <c r="H154" s="211" t="n">
        <v>0</v>
      </c>
      <c r="I154" s="212" t="n">
        <v>0</v>
      </c>
      <c r="J154" s="213"/>
      <c r="K154" s="213"/>
      <c r="L154" s="213"/>
      <c r="M154" s="213"/>
      <c r="N154" s="213"/>
      <c r="O154" s="213"/>
      <c r="P154" s="213"/>
      <c r="Q154" s="213"/>
      <c r="R154" s="213"/>
      <c r="S154" s="213"/>
      <c r="T154" s="213"/>
      <c r="U154" s="213"/>
      <c r="V154" s="213"/>
      <c r="W154" s="13"/>
      <c r="X154" s="13"/>
      <c r="Y154" s="13"/>
      <c r="Z154" s="8"/>
      <c r="AA154" s="8"/>
      <c r="AB154" s="8"/>
      <c r="AC154" s="8"/>
      <c r="AD154" s="8"/>
    </row>
    <row r="155" customFormat="false" ht="24.75" hidden="false" customHeight="true" outlineLevel="0" collapsed="false">
      <c r="B155" s="214" t="s">
        <v>157</v>
      </c>
      <c r="C155" s="214"/>
      <c r="D155" s="215" t="n">
        <v>0</v>
      </c>
      <c r="E155" s="217" t="n">
        <v>0</v>
      </c>
      <c r="F155" s="215" t="n">
        <v>0</v>
      </c>
      <c r="G155" s="153" t="n">
        <v>0</v>
      </c>
      <c r="H155" s="211" t="n">
        <v>0</v>
      </c>
      <c r="I155" s="212" t="n">
        <v>0</v>
      </c>
      <c r="J155" s="213"/>
      <c r="K155" s="213"/>
      <c r="L155" s="213"/>
      <c r="M155" s="213"/>
      <c r="N155" s="213"/>
      <c r="O155" s="213"/>
      <c r="P155" s="213"/>
      <c r="Q155" s="213"/>
      <c r="R155" s="213"/>
      <c r="S155" s="213"/>
      <c r="T155" s="213"/>
      <c r="U155" s="213"/>
      <c r="V155" s="213"/>
      <c r="W155" s="13"/>
      <c r="X155" s="13"/>
      <c r="Y155" s="13"/>
      <c r="Z155" s="8"/>
      <c r="AA155" s="8"/>
      <c r="AB155" s="8"/>
      <c r="AC155" s="8"/>
      <c r="AD155" s="8"/>
    </row>
    <row r="156" customFormat="false" ht="27" hidden="false" customHeight="true" outlineLevel="0" collapsed="false">
      <c r="B156" s="214" t="s">
        <v>64</v>
      </c>
      <c r="C156" s="214"/>
      <c r="D156" s="215" t="n">
        <v>0</v>
      </c>
      <c r="E156" s="218" t="n">
        <v>0</v>
      </c>
      <c r="F156" s="219" t="n">
        <v>0</v>
      </c>
      <c r="G156" s="220" t="n">
        <v>0</v>
      </c>
      <c r="H156" s="221" t="n">
        <v>0</v>
      </c>
      <c r="I156" s="222" t="n">
        <v>0</v>
      </c>
      <c r="J156" s="213"/>
      <c r="K156" s="213"/>
      <c r="L156" s="213"/>
      <c r="M156" s="213"/>
      <c r="N156" s="213"/>
      <c r="O156" s="213"/>
      <c r="P156" s="213"/>
      <c r="Q156" s="213"/>
      <c r="R156" s="213"/>
      <c r="S156" s="213"/>
      <c r="T156" s="213"/>
      <c r="U156" s="213"/>
      <c r="V156" s="213"/>
      <c r="W156" s="13"/>
      <c r="X156" s="13"/>
      <c r="Y156" s="13"/>
      <c r="Z156" s="8"/>
      <c r="AA156" s="8"/>
      <c r="AB156" s="8"/>
      <c r="AC156" s="8"/>
      <c r="AD156" s="8"/>
    </row>
    <row r="157" customFormat="false" ht="54" hidden="false" customHeight="true" outlineLevel="0" collapsed="false">
      <c r="B157" s="223" t="s">
        <v>65</v>
      </c>
      <c r="C157" s="223"/>
      <c r="D157" s="224" t="n">
        <v>0</v>
      </c>
      <c r="E157" s="225" t="n">
        <v>0</v>
      </c>
      <c r="F157" s="224" t="n">
        <v>0</v>
      </c>
      <c r="G157" s="226" t="n">
        <v>0</v>
      </c>
      <c r="H157" s="227" t="n">
        <v>0</v>
      </c>
      <c r="I157" s="226" t="n">
        <v>0</v>
      </c>
      <c r="J157" s="213"/>
      <c r="K157" s="213"/>
      <c r="L157" s="213"/>
      <c r="M157" s="213"/>
      <c r="N157" s="213"/>
      <c r="O157" s="213"/>
      <c r="P157" s="213"/>
      <c r="Q157" s="213"/>
      <c r="R157" s="213"/>
      <c r="S157" s="213"/>
      <c r="T157" s="213"/>
      <c r="U157" s="213"/>
      <c r="V157" s="213"/>
      <c r="W157" s="13"/>
      <c r="X157" s="13"/>
      <c r="Y157" s="13"/>
      <c r="Z157" s="8"/>
      <c r="AA157" s="8"/>
      <c r="AB157" s="8"/>
      <c r="AC157" s="8"/>
      <c r="AD157" s="8"/>
    </row>
    <row r="158" customFormat="false" ht="14.25" hidden="false" customHeight="true" outlineLevel="0" collapsed="false">
      <c r="B158" s="228" t="s">
        <v>12</v>
      </c>
      <c r="C158" s="228"/>
      <c r="D158" s="229" t="n">
        <f aca="false">SUM(D151:D157)</f>
        <v>0</v>
      </c>
      <c r="E158" s="230" t="n">
        <f aca="false">SUM(E151:E157)</f>
        <v>0</v>
      </c>
      <c r="F158" s="229" t="n">
        <f aca="false">SUM(F151:F157)</f>
        <v>0</v>
      </c>
      <c r="G158" s="230" t="n">
        <f aca="false">SUM(G151:G157)</f>
        <v>0</v>
      </c>
      <c r="H158" s="229" t="n">
        <f aca="false">SUM(H151:H157)</f>
        <v>0</v>
      </c>
      <c r="I158" s="230" t="n">
        <f aca="false">SUM(I151:I157)</f>
        <v>0</v>
      </c>
      <c r="J158" s="231" t="str">
        <f aca="false">IF(H144&lt;&gt;SUM(D158,F158,H158),"Section 4.5.2 - The ""Total"" of ""Number of Requests"" should be equal to the ""Number of Requests"" of Section 4.5.1.","")</f>
        <v/>
      </c>
      <c r="K158" s="232"/>
      <c r="L158" s="232"/>
      <c r="M158" s="232"/>
      <c r="N158" s="232"/>
      <c r="O158" s="232"/>
      <c r="P158" s="232"/>
      <c r="Q158" s="232"/>
      <c r="R158" s="232"/>
      <c r="S158" s="232"/>
      <c r="T158" s="232"/>
      <c r="U158" s="232"/>
      <c r="V158" s="232"/>
      <c r="W158" s="13"/>
      <c r="X158" s="13"/>
      <c r="Y158" s="13"/>
      <c r="Z158" s="8"/>
      <c r="AA158" s="8"/>
      <c r="AB158" s="8"/>
      <c r="AC158" s="8"/>
      <c r="AD158" s="8"/>
    </row>
    <row r="159" customFormat="false" ht="13.8" hidden="false" customHeight="false" outlineLevel="0" collapsed="false">
      <c r="B159" s="233"/>
      <c r="C159" s="233"/>
      <c r="D159" s="165"/>
      <c r="E159" s="165"/>
      <c r="F159" s="165"/>
      <c r="G159" s="234"/>
      <c r="H159" s="234"/>
      <c r="I159" s="165"/>
      <c r="J159" s="235" t="str">
        <f aca="false">IF(B144&lt;&gt;SUM(E158,G158,I158),"Section 4.5.2 - The total of Columns of ""Pages Processed"" should be equal to the ""Number of Pages Processed"" of Section 4.5.1.","")</f>
        <v/>
      </c>
      <c r="K159" s="165"/>
      <c r="L159" s="165"/>
      <c r="M159" s="165"/>
      <c r="N159" s="231"/>
      <c r="O159" s="231"/>
      <c r="P159" s="231"/>
      <c r="Q159" s="231"/>
      <c r="R159" s="231"/>
      <c r="S159" s="231"/>
      <c r="T159" s="231"/>
      <c r="U159" s="231"/>
      <c r="V159" s="231"/>
      <c r="W159" s="231"/>
      <c r="X159" s="231"/>
      <c r="Y159" s="231"/>
      <c r="Z159" s="231"/>
      <c r="AA159" s="13"/>
      <c r="AB159" s="13"/>
      <c r="AC159" s="13"/>
      <c r="AD159" s="8"/>
      <c r="AE159" s="8"/>
      <c r="AF159" s="8"/>
      <c r="AG159" s="8"/>
      <c r="AH159" s="8"/>
    </row>
    <row r="160" s="91" customFormat="true" ht="13.5" hidden="false" customHeight="false" outlineLevel="0" collapsed="false">
      <c r="A160" s="87"/>
      <c r="B160" s="236" t="s">
        <v>158</v>
      </c>
      <c r="C160" s="236"/>
      <c r="D160" s="236"/>
      <c r="E160" s="236"/>
      <c r="F160" s="236"/>
      <c r="G160" s="236"/>
      <c r="H160" s="236"/>
      <c r="I160" s="236"/>
      <c r="J160" s="236"/>
      <c r="K160" s="165"/>
      <c r="L160" s="165"/>
      <c r="M160" s="165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  <c r="AD160" s="90"/>
      <c r="AE160" s="90"/>
      <c r="AF160" s="90"/>
      <c r="AG160" s="90"/>
      <c r="AH160" s="90"/>
    </row>
    <row r="161" customFormat="false" ht="14.25" hidden="false" customHeight="true" outlineLevel="0" collapsed="false"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8"/>
      <c r="AE161" s="8"/>
      <c r="AF161" s="8"/>
      <c r="AG161" s="8"/>
      <c r="AH161" s="8"/>
    </row>
    <row r="162" customFormat="false" ht="27.75" hidden="false" customHeight="true" outlineLevel="0" collapsed="false">
      <c r="A162" s="1" t="n">
        <v>14</v>
      </c>
      <c r="B162" s="237" t="s">
        <v>159</v>
      </c>
      <c r="C162" s="237"/>
      <c r="D162" s="237"/>
      <c r="E162" s="238" t="s">
        <v>160</v>
      </c>
      <c r="F162" s="238"/>
      <c r="G162" s="238"/>
      <c r="H162" s="239" t="s">
        <v>7</v>
      </c>
      <c r="I162" s="239"/>
      <c r="J162" s="239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3"/>
      <c r="AB162" s="13"/>
      <c r="AC162" s="13"/>
      <c r="AD162" s="8"/>
      <c r="AE162" s="8"/>
      <c r="AF162" s="8"/>
      <c r="AG162" s="8"/>
      <c r="AH162" s="8"/>
    </row>
    <row r="163" customFormat="false" ht="14.25" hidden="false" customHeight="true" outlineLevel="0" collapsed="false">
      <c r="B163" s="240" t="n">
        <v>0</v>
      </c>
      <c r="C163" s="240"/>
      <c r="D163" s="240"/>
      <c r="E163" s="241" t="n">
        <v>0</v>
      </c>
      <c r="F163" s="241"/>
      <c r="G163" s="241"/>
      <c r="H163" s="242" t="n">
        <v>0</v>
      </c>
      <c r="I163" s="242"/>
      <c r="J163" s="242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3"/>
      <c r="AB163" s="13"/>
      <c r="AC163" s="13"/>
      <c r="AD163" s="8"/>
      <c r="AE163" s="8"/>
      <c r="AF163" s="8"/>
      <c r="AG163" s="8"/>
      <c r="AH163" s="8"/>
    </row>
    <row r="164" customFormat="false" ht="13.5" hidden="false" customHeight="true" outlineLevel="0" collapsed="false">
      <c r="B164" s="243" t="s">
        <v>161</v>
      </c>
      <c r="C164" s="243"/>
      <c r="D164" s="243"/>
      <c r="E164" s="243"/>
      <c r="F164" s="243"/>
      <c r="G164" s="243"/>
      <c r="H164" s="243"/>
      <c r="I164" s="243"/>
      <c r="J164" s="243"/>
      <c r="K164" s="243"/>
      <c r="L164" s="243"/>
      <c r="M164" s="244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8"/>
      <c r="AE164" s="8"/>
      <c r="AF164" s="8"/>
      <c r="AG164" s="8"/>
      <c r="AH164" s="8"/>
    </row>
    <row r="165" customFormat="false" ht="13.8" hidden="false" customHeight="false" outlineLevel="0" collapsed="false">
      <c r="B165" s="243"/>
      <c r="C165" s="243"/>
      <c r="D165" s="243"/>
      <c r="E165" s="243"/>
      <c r="F165" s="243"/>
      <c r="G165" s="243"/>
      <c r="H165" s="243"/>
      <c r="I165" s="243"/>
      <c r="J165" s="243"/>
      <c r="K165" s="243"/>
      <c r="L165" s="243"/>
      <c r="M165" s="245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8"/>
      <c r="AE165" s="8"/>
      <c r="AF165" s="8"/>
      <c r="AG165" s="8"/>
      <c r="AH165" s="8"/>
    </row>
    <row r="166" s="2" customFormat="true" ht="24.75" hidden="false" customHeight="true" outlineLevel="0" collapsed="false">
      <c r="A166" s="1" t="n">
        <v>15</v>
      </c>
      <c r="B166" s="204" t="s">
        <v>152</v>
      </c>
      <c r="C166" s="204"/>
      <c r="D166" s="246" t="s">
        <v>7</v>
      </c>
      <c r="E166" s="247" t="s">
        <v>162</v>
      </c>
      <c r="F166" s="247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 t="s">
        <v>163</v>
      </c>
      <c r="S166" s="13"/>
      <c r="T166" s="13"/>
      <c r="U166" s="13"/>
      <c r="V166" s="13"/>
      <c r="W166" s="13"/>
      <c r="X166" s="8"/>
      <c r="Y166" s="8"/>
      <c r="Z166" s="8"/>
      <c r="AA166" s="8"/>
      <c r="AB166" s="8"/>
    </row>
    <row r="167" customFormat="false" ht="36" hidden="false" customHeight="true" outlineLevel="0" collapsed="false">
      <c r="B167" s="204"/>
      <c r="C167" s="204"/>
      <c r="D167" s="246"/>
      <c r="E167" s="247"/>
      <c r="F167" s="247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8"/>
      <c r="Y167" s="8"/>
      <c r="Z167" s="8"/>
      <c r="AA167" s="8"/>
      <c r="AB167" s="8"/>
      <c r="AC167" s="2"/>
    </row>
    <row r="168" customFormat="false" ht="14.25" hidden="false" customHeight="true" outlineLevel="0" collapsed="false">
      <c r="B168" s="248" t="s">
        <v>57</v>
      </c>
      <c r="C168" s="248"/>
      <c r="D168" s="249" t="n">
        <v>0</v>
      </c>
      <c r="E168" s="250" t="n">
        <v>0</v>
      </c>
      <c r="F168" s="250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3"/>
      <c r="V168" s="13"/>
      <c r="W168" s="13"/>
      <c r="X168" s="8"/>
      <c r="Y168" s="8"/>
      <c r="Z168" s="8"/>
      <c r="AA168" s="8"/>
      <c r="AB168" s="8"/>
      <c r="AC168" s="2"/>
    </row>
    <row r="169" customFormat="false" ht="13.8" hidden="false" customHeight="true" outlineLevel="0" collapsed="false">
      <c r="B169" s="251" t="s">
        <v>58</v>
      </c>
      <c r="C169" s="251"/>
      <c r="D169" s="252" t="n">
        <v>0</v>
      </c>
      <c r="E169" s="158" t="n">
        <v>0</v>
      </c>
      <c r="F169" s="158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3"/>
      <c r="V169" s="13"/>
      <c r="W169" s="13"/>
      <c r="X169" s="8"/>
      <c r="Y169" s="8"/>
      <c r="Z169" s="8"/>
      <c r="AA169" s="8"/>
      <c r="AB169" s="8"/>
      <c r="AC169" s="2"/>
    </row>
    <row r="170" customFormat="false" ht="13.8" hidden="false" customHeight="false" outlineLevel="0" collapsed="false">
      <c r="B170" s="253" t="s">
        <v>59</v>
      </c>
      <c r="C170" s="253"/>
      <c r="D170" s="252" t="n">
        <v>0</v>
      </c>
      <c r="E170" s="158" t="n">
        <v>0</v>
      </c>
      <c r="F170" s="158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3"/>
      <c r="V170" s="13"/>
      <c r="W170" s="13"/>
      <c r="X170" s="8"/>
      <c r="Y170" s="8"/>
      <c r="Z170" s="8"/>
      <c r="AA170" s="8"/>
      <c r="AB170" s="8"/>
      <c r="AC170" s="2"/>
    </row>
    <row r="171" customFormat="false" ht="13.8" hidden="false" customHeight="false" outlineLevel="0" collapsed="false">
      <c r="B171" s="253" t="s">
        <v>60</v>
      </c>
      <c r="C171" s="253"/>
      <c r="D171" s="252" t="n">
        <v>0</v>
      </c>
      <c r="E171" s="254" t="n">
        <v>0</v>
      </c>
      <c r="F171" s="254"/>
      <c r="G171" s="255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3"/>
      <c r="V171" s="13"/>
      <c r="W171" s="13"/>
      <c r="X171" s="8"/>
      <c r="Y171" s="8"/>
      <c r="Z171" s="8"/>
      <c r="AA171" s="8"/>
      <c r="AB171" s="8"/>
      <c r="AC171" s="2"/>
    </row>
    <row r="172" customFormat="false" ht="27" hidden="false" customHeight="true" outlineLevel="0" collapsed="false">
      <c r="B172" s="251" t="s">
        <v>157</v>
      </c>
      <c r="C172" s="251"/>
      <c r="D172" s="252" t="n">
        <v>0</v>
      </c>
      <c r="E172" s="254" t="n">
        <v>0</v>
      </c>
      <c r="F172" s="254"/>
      <c r="G172" s="255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3"/>
      <c r="V172" s="13"/>
      <c r="W172" s="13"/>
      <c r="X172" s="8"/>
      <c r="Y172" s="8"/>
      <c r="Z172" s="8"/>
      <c r="AA172" s="8"/>
      <c r="AB172" s="8"/>
      <c r="AC172" s="2"/>
    </row>
    <row r="173" customFormat="false" ht="26.25" hidden="false" customHeight="true" outlineLevel="0" collapsed="false">
      <c r="B173" s="251" t="s">
        <v>64</v>
      </c>
      <c r="C173" s="251"/>
      <c r="D173" s="252" t="n">
        <v>0</v>
      </c>
      <c r="E173" s="256" t="n">
        <v>0</v>
      </c>
      <c r="F173" s="256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3"/>
      <c r="V173" s="13"/>
      <c r="W173" s="13"/>
      <c r="X173" s="8"/>
      <c r="Y173" s="8"/>
      <c r="Z173" s="8"/>
      <c r="AA173" s="8"/>
      <c r="AB173" s="8"/>
      <c r="AC173" s="2"/>
    </row>
    <row r="174" customFormat="false" ht="53.25" hidden="false" customHeight="true" outlineLevel="0" collapsed="false">
      <c r="B174" s="257" t="s">
        <v>65</v>
      </c>
      <c r="C174" s="257"/>
      <c r="D174" s="258" t="n">
        <v>0</v>
      </c>
      <c r="E174" s="259" t="n">
        <v>0</v>
      </c>
      <c r="F174" s="259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3"/>
      <c r="V174" s="13"/>
      <c r="W174" s="13"/>
      <c r="X174" s="8"/>
      <c r="Y174" s="8"/>
      <c r="Z174" s="8"/>
      <c r="AA174" s="8"/>
      <c r="AB174" s="8"/>
      <c r="AC174" s="2"/>
    </row>
    <row r="175" customFormat="false" ht="14.25" hidden="false" customHeight="true" outlineLevel="0" collapsed="false">
      <c r="B175" s="260" t="s">
        <v>12</v>
      </c>
      <c r="C175" s="260"/>
      <c r="D175" s="261" t="n">
        <f aca="false">SUM(D168:D174)</f>
        <v>0</v>
      </c>
      <c r="E175" s="262" t="n">
        <f aca="false">SUM(E168:F174)</f>
        <v>0</v>
      </c>
      <c r="F175" s="262"/>
      <c r="G175" s="231" t="str">
        <f aca="false">IF(H163&lt;&gt;D175,"Section 4.5.4 - The ""Total"" of ""Number of Requests"" should be equal to the ""Number of Requests"" of Section 4.5.3.","")</f>
        <v/>
      </c>
      <c r="H175" s="263"/>
      <c r="I175" s="263"/>
      <c r="J175" s="263"/>
      <c r="K175" s="263"/>
      <c r="L175" s="263"/>
      <c r="M175" s="263"/>
      <c r="N175" s="263"/>
      <c r="O175" s="263"/>
      <c r="P175" s="263"/>
      <c r="Q175" s="263"/>
      <c r="R175" s="263"/>
      <c r="S175" s="263"/>
      <c r="T175" s="263"/>
      <c r="U175" s="13"/>
      <c r="V175" s="13"/>
      <c r="W175" s="13"/>
      <c r="X175" s="8"/>
      <c r="Y175" s="8"/>
      <c r="Z175" s="8"/>
      <c r="AA175" s="8"/>
      <c r="AB175" s="8"/>
      <c r="AC175" s="2"/>
    </row>
    <row r="176" customFormat="false" ht="14.25" hidden="false" customHeight="true" outlineLevel="0" collapsed="false">
      <c r="B176" s="233"/>
      <c r="C176" s="233"/>
      <c r="D176" s="165"/>
      <c r="E176" s="165"/>
      <c r="F176" s="165"/>
      <c r="G176" s="235" t="str">
        <f aca="false">IF(E175&lt;&gt;B163,"Section 4.5.4 - The total of Columns of ""Minutes Processed"" should be equal to the ""Number of Minutes Processed"" of Section 4.5.3.","")</f>
        <v/>
      </c>
      <c r="H176" s="165"/>
      <c r="I176" s="165"/>
      <c r="N176" s="263"/>
      <c r="O176" s="263"/>
      <c r="P176" s="263"/>
      <c r="Q176" s="263"/>
      <c r="R176" s="263"/>
      <c r="S176" s="263"/>
      <c r="T176" s="263"/>
      <c r="U176" s="263"/>
      <c r="V176" s="263"/>
      <c r="W176" s="263"/>
      <c r="X176" s="263"/>
      <c r="Y176" s="263"/>
      <c r="Z176" s="263"/>
      <c r="AA176" s="13"/>
      <c r="AB176" s="13"/>
      <c r="AC176" s="13"/>
      <c r="AD176" s="8"/>
      <c r="AE176" s="8"/>
      <c r="AF176" s="8"/>
      <c r="AG176" s="8"/>
      <c r="AH176" s="8"/>
    </row>
    <row r="177" s="91" customFormat="true" ht="13.5" hidden="false" customHeight="false" outlineLevel="0" collapsed="false">
      <c r="A177" s="87"/>
      <c r="B177" s="236" t="s">
        <v>164</v>
      </c>
      <c r="C177" s="236"/>
      <c r="D177" s="236"/>
      <c r="E177" s="236"/>
      <c r="F177" s="236"/>
      <c r="G177" s="236"/>
      <c r="H177" s="236"/>
      <c r="I177" s="236"/>
      <c r="J177" s="236"/>
      <c r="K177" s="236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  <c r="AD177" s="90"/>
      <c r="AE177" s="90"/>
      <c r="AF177" s="90"/>
      <c r="AG177" s="90"/>
      <c r="AH177" s="90"/>
    </row>
    <row r="178" customFormat="false" ht="13.5" hidden="false" customHeight="true" outlineLevel="0" collapsed="false">
      <c r="B178" s="264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8"/>
      <c r="AE178" s="8"/>
      <c r="AF178" s="8"/>
      <c r="AG178" s="8"/>
      <c r="AH178" s="8"/>
    </row>
    <row r="179" customFormat="false" ht="28.5" hidden="false" customHeight="true" outlineLevel="0" collapsed="false">
      <c r="A179" s="1" t="n">
        <v>16</v>
      </c>
      <c r="B179" s="265" t="s">
        <v>152</v>
      </c>
      <c r="C179" s="265"/>
      <c r="D179" s="141" t="s">
        <v>165</v>
      </c>
      <c r="E179" s="141"/>
      <c r="F179" s="266" t="s">
        <v>166</v>
      </c>
      <c r="G179" s="266"/>
      <c r="H179" s="266" t="s">
        <v>142</v>
      </c>
      <c r="I179" s="266"/>
      <c r="J179" s="265" t="s">
        <v>12</v>
      </c>
      <c r="K179" s="265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8"/>
      <c r="AE179" s="8"/>
      <c r="AF179" s="8"/>
      <c r="AG179" s="8"/>
      <c r="AH179" s="8"/>
    </row>
    <row r="180" customFormat="false" ht="14.25" hidden="false" customHeight="true" outlineLevel="0" collapsed="false">
      <c r="B180" s="267" t="s">
        <v>57</v>
      </c>
      <c r="C180" s="267"/>
      <c r="D180" s="268" t="n">
        <v>0</v>
      </c>
      <c r="E180" s="268"/>
      <c r="F180" s="269" t="n">
        <v>0</v>
      </c>
      <c r="G180" s="269"/>
      <c r="H180" s="269" t="n">
        <v>0</v>
      </c>
      <c r="I180" s="269"/>
      <c r="J180" s="270" t="n">
        <f aca="false">SUM(D180:I180)</f>
        <v>0</v>
      </c>
      <c r="K180" s="270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8"/>
      <c r="AE180" s="8"/>
      <c r="AF180" s="8"/>
      <c r="AG180" s="8"/>
      <c r="AH180" s="8"/>
    </row>
    <row r="181" customFormat="false" ht="13.5" hidden="false" customHeight="true" outlineLevel="0" collapsed="false">
      <c r="B181" s="214" t="s">
        <v>58</v>
      </c>
      <c r="C181" s="214"/>
      <c r="D181" s="271" t="n">
        <v>0</v>
      </c>
      <c r="E181" s="271"/>
      <c r="F181" s="272" t="n">
        <v>0</v>
      </c>
      <c r="G181" s="272"/>
      <c r="H181" s="272" t="n">
        <v>0</v>
      </c>
      <c r="I181" s="272"/>
      <c r="J181" s="273" t="n">
        <f aca="false">SUM(D181:I181)</f>
        <v>0</v>
      </c>
      <c r="K181" s="27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8"/>
      <c r="AE181" s="8"/>
      <c r="AF181" s="8"/>
      <c r="AG181" s="8"/>
      <c r="AH181" s="8"/>
    </row>
    <row r="182" customFormat="false" ht="13.5" hidden="false" customHeight="true" outlineLevel="0" collapsed="false">
      <c r="B182" s="214" t="s">
        <v>59</v>
      </c>
      <c r="C182" s="214"/>
      <c r="D182" s="271" t="n">
        <v>0</v>
      </c>
      <c r="E182" s="271"/>
      <c r="F182" s="272" t="n">
        <v>0</v>
      </c>
      <c r="G182" s="272"/>
      <c r="H182" s="272" t="n">
        <v>0</v>
      </c>
      <c r="I182" s="272"/>
      <c r="J182" s="273" t="n">
        <f aca="false">SUM(D182:I182)</f>
        <v>0</v>
      </c>
      <c r="K182" s="27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8"/>
      <c r="AE182" s="8"/>
      <c r="AF182" s="8"/>
      <c r="AG182" s="8"/>
      <c r="AH182" s="8"/>
    </row>
    <row r="183" customFormat="false" ht="13.5" hidden="false" customHeight="true" outlineLevel="0" collapsed="false">
      <c r="B183" s="214" t="s">
        <v>60</v>
      </c>
      <c r="C183" s="214"/>
      <c r="D183" s="271" t="n">
        <v>0</v>
      </c>
      <c r="E183" s="271"/>
      <c r="F183" s="272" t="n">
        <v>0</v>
      </c>
      <c r="G183" s="272"/>
      <c r="H183" s="272" t="n">
        <v>0</v>
      </c>
      <c r="I183" s="272"/>
      <c r="J183" s="273" t="n">
        <f aca="false">SUM(D183:I183)</f>
        <v>0</v>
      </c>
      <c r="K183" s="27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8"/>
      <c r="AE183" s="8"/>
      <c r="AF183" s="8"/>
      <c r="AG183" s="8"/>
      <c r="AH183" s="8"/>
    </row>
    <row r="184" customFormat="false" ht="24.75" hidden="false" customHeight="true" outlineLevel="0" collapsed="false">
      <c r="B184" s="214" t="s">
        <v>63</v>
      </c>
      <c r="C184" s="214"/>
      <c r="D184" s="271" t="n">
        <v>0</v>
      </c>
      <c r="E184" s="271"/>
      <c r="F184" s="272" t="n">
        <v>0</v>
      </c>
      <c r="G184" s="272"/>
      <c r="H184" s="272" t="n">
        <v>0</v>
      </c>
      <c r="I184" s="272"/>
      <c r="J184" s="273" t="n">
        <f aca="false">SUM(D184:I184)</f>
        <v>0</v>
      </c>
      <c r="K184" s="27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8"/>
      <c r="AE184" s="8"/>
      <c r="AF184" s="8"/>
      <c r="AG184" s="8"/>
      <c r="AH184" s="8"/>
    </row>
    <row r="185" customFormat="false" ht="26.25" hidden="false" customHeight="true" outlineLevel="0" collapsed="false">
      <c r="B185" s="214" t="s">
        <v>64</v>
      </c>
      <c r="C185" s="214"/>
      <c r="D185" s="271" t="n">
        <v>0</v>
      </c>
      <c r="E185" s="271"/>
      <c r="F185" s="272" t="n">
        <v>0</v>
      </c>
      <c r="G185" s="272"/>
      <c r="H185" s="272" t="n">
        <v>0</v>
      </c>
      <c r="I185" s="272"/>
      <c r="J185" s="273" t="n">
        <f aca="false">SUM(D185:I185)</f>
        <v>0</v>
      </c>
      <c r="K185" s="27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8"/>
      <c r="AE185" s="8"/>
      <c r="AF185" s="8"/>
      <c r="AG185" s="8"/>
      <c r="AH185" s="8"/>
    </row>
    <row r="186" customFormat="false" ht="54" hidden="false" customHeight="true" outlineLevel="0" collapsed="false">
      <c r="B186" s="257" t="s">
        <v>65</v>
      </c>
      <c r="C186" s="257"/>
      <c r="D186" s="274" t="n">
        <v>0</v>
      </c>
      <c r="E186" s="274"/>
      <c r="F186" s="275" t="n">
        <v>0</v>
      </c>
      <c r="G186" s="275"/>
      <c r="H186" s="276" t="n">
        <v>0</v>
      </c>
      <c r="I186" s="276"/>
      <c r="J186" s="273" t="n">
        <f aca="false">SUM(D186:I186)</f>
        <v>0</v>
      </c>
      <c r="K186" s="27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8"/>
      <c r="AE186" s="8"/>
      <c r="AF186" s="8"/>
      <c r="AG186" s="8"/>
      <c r="AH186" s="8"/>
    </row>
    <row r="187" customFormat="false" ht="14.25" hidden="false" customHeight="true" outlineLevel="0" collapsed="false">
      <c r="B187" s="228" t="s">
        <v>12</v>
      </c>
      <c r="C187" s="228"/>
      <c r="D187" s="277" t="n">
        <f aca="false">SUM(D180:E186)</f>
        <v>0</v>
      </c>
      <c r="E187" s="277"/>
      <c r="F187" s="278" t="n">
        <f aca="false">SUM(F180:G186)</f>
        <v>0</v>
      </c>
      <c r="G187" s="278"/>
      <c r="H187" s="278" t="n">
        <f aca="false">SUM(H180:I186)</f>
        <v>0</v>
      </c>
      <c r="I187" s="278"/>
      <c r="J187" s="279" t="n">
        <f aca="false">SUM(J180:K186)</f>
        <v>0</v>
      </c>
      <c r="K187" s="279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8"/>
      <c r="AE187" s="8"/>
      <c r="AF187" s="8"/>
      <c r="AG187" s="8"/>
      <c r="AH187" s="8"/>
    </row>
    <row r="188" customFormat="false" ht="14.25" hidden="false" customHeight="true" outlineLevel="0" collapsed="false">
      <c r="D188" s="280"/>
      <c r="E188" s="280"/>
      <c r="F188" s="280"/>
      <c r="G188" s="280"/>
      <c r="H188" s="280"/>
      <c r="I188" s="280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8"/>
      <c r="AE188" s="8"/>
      <c r="AF188" s="8"/>
      <c r="AG188" s="8"/>
      <c r="AH188" s="8"/>
    </row>
    <row r="189" customFormat="false" ht="14.25" hidden="false" customHeight="true" outlineLevel="0" collapsed="false">
      <c r="B189" s="174" t="s">
        <v>167</v>
      </c>
      <c r="C189" s="174"/>
      <c r="D189" s="174"/>
      <c r="E189" s="174"/>
      <c r="F189" s="174"/>
      <c r="G189" s="174"/>
      <c r="H189" s="174"/>
      <c r="I189" s="174"/>
      <c r="J189" s="174"/>
      <c r="K189" s="174"/>
      <c r="L189" s="174"/>
      <c r="M189" s="174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8"/>
      <c r="AE189" s="8"/>
      <c r="AF189" s="8"/>
      <c r="AG189" s="8"/>
      <c r="AH189" s="8"/>
    </row>
    <row r="190" customFormat="false" ht="14.25" hidden="false" customHeight="true" outlineLevel="0" collapsed="false">
      <c r="B190" s="264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8"/>
      <c r="AE190" s="8"/>
      <c r="AF190" s="8"/>
      <c r="AG190" s="8"/>
      <c r="AH190" s="8"/>
    </row>
    <row r="191" customFormat="false" ht="14.25" hidden="false" customHeight="true" outlineLevel="0" collapsed="false">
      <c r="B191" s="236" t="s">
        <v>168</v>
      </c>
      <c r="C191" s="236"/>
      <c r="D191" s="236"/>
      <c r="E191" s="236"/>
      <c r="F191" s="236"/>
      <c r="G191" s="236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8"/>
      <c r="AE191" s="8"/>
      <c r="AF191" s="8"/>
      <c r="AG191" s="8"/>
      <c r="AH191" s="8"/>
    </row>
    <row r="192" customFormat="false" ht="16.5" hidden="false" customHeight="true" outlineLevel="0" collapsed="false">
      <c r="B192" s="264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8"/>
      <c r="AE192" s="8"/>
      <c r="AF192" s="8"/>
      <c r="AG192" s="8"/>
      <c r="AH192" s="8"/>
    </row>
    <row r="193" customFormat="false" ht="15.75" hidden="false" customHeight="true" outlineLevel="0" collapsed="false">
      <c r="A193" s="1" t="n">
        <v>17</v>
      </c>
      <c r="B193" s="281" t="s">
        <v>169</v>
      </c>
      <c r="C193" s="281"/>
      <c r="D193" s="281"/>
      <c r="E193" s="281"/>
      <c r="F193" s="282" t="n">
        <f aca="false">I19-B203</f>
        <v>0</v>
      </c>
      <c r="G193" s="282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8"/>
      <c r="AE193" s="8"/>
      <c r="AF193" s="8"/>
      <c r="AG193" s="8"/>
      <c r="AH193" s="8"/>
    </row>
    <row r="194" customFormat="false" ht="13.5" hidden="false" customHeight="true" outlineLevel="0" collapsed="false">
      <c r="B194" s="281"/>
      <c r="C194" s="281"/>
      <c r="D194" s="281"/>
      <c r="E194" s="281"/>
      <c r="F194" s="282"/>
      <c r="G194" s="282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8"/>
      <c r="AE194" s="8"/>
      <c r="AF194" s="8"/>
      <c r="AG194" s="8"/>
      <c r="AH194" s="8"/>
    </row>
    <row r="195" s="280" customFormat="true" ht="29.25" hidden="false" customHeight="true" outlineLevel="0" collapsed="false">
      <c r="A195" s="1"/>
      <c r="B195" s="283" t="s">
        <v>170</v>
      </c>
      <c r="C195" s="283"/>
      <c r="D195" s="283"/>
      <c r="E195" s="283"/>
      <c r="F195" s="284" t="str">
        <f aca="false">IF(I19=0,"0",(F193/I19)*100)</f>
        <v>0</v>
      </c>
      <c r="G195" s="284"/>
      <c r="H195" s="2"/>
      <c r="I195" s="2"/>
      <c r="J195" s="2"/>
      <c r="K195" s="2"/>
      <c r="L195" s="2"/>
      <c r="M195" s="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13"/>
      <c r="Y195" s="13"/>
      <c r="Z195" s="13"/>
      <c r="AA195" s="13"/>
      <c r="AB195" s="13"/>
      <c r="AC195" s="13"/>
      <c r="AD195" s="8"/>
      <c r="AE195" s="8"/>
      <c r="AF195" s="8"/>
      <c r="AG195" s="8"/>
      <c r="AH195" s="8"/>
      <c r="AI195" s="2"/>
      <c r="AJ195" s="2"/>
      <c r="AK195" s="2"/>
      <c r="AL195" s="2"/>
      <c r="AM195" s="2"/>
      <c r="AN195" s="2"/>
      <c r="AO195" s="2"/>
      <c r="AP195" s="2"/>
      <c r="AQ195" s="2"/>
    </row>
    <row r="196" customFormat="false" ht="14.25" hidden="false" customHeight="true" outlineLevel="0" collapsed="false">
      <c r="B196" s="285"/>
      <c r="C196" s="13"/>
      <c r="D196" s="13"/>
      <c r="E196" s="13"/>
      <c r="F196" s="286"/>
      <c r="G196" s="286"/>
      <c r="H196" s="286"/>
      <c r="I196" s="286"/>
      <c r="J196" s="286"/>
      <c r="K196" s="286"/>
      <c r="L196" s="286"/>
      <c r="M196" s="286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B197" s="287" t="s">
        <v>171</v>
      </c>
      <c r="C197" s="287"/>
      <c r="D197" s="287"/>
      <c r="E197" s="287"/>
      <c r="F197" s="287"/>
      <c r="G197" s="287"/>
      <c r="H197" s="287"/>
      <c r="I197" s="287"/>
      <c r="J197" s="287"/>
      <c r="K197" s="287"/>
      <c r="L197" s="287"/>
      <c r="M197" s="287"/>
      <c r="N197" s="287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8"/>
      <c r="AE197" s="8"/>
      <c r="AF197" s="8"/>
      <c r="AG197" s="8"/>
      <c r="AH197" s="8"/>
    </row>
    <row r="198" customFormat="false" ht="14.25" hidden="false" customHeight="true" outlineLevel="0" collapsed="false">
      <c r="B198" s="233"/>
      <c r="C198" s="233"/>
      <c r="D198" s="233"/>
      <c r="E198" s="165"/>
      <c r="F198" s="165"/>
      <c r="G198" s="165"/>
      <c r="H198" s="165"/>
      <c r="I198" s="165"/>
      <c r="J198" s="165"/>
      <c r="K198" s="165"/>
      <c r="L198" s="165"/>
      <c r="M198" s="165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8"/>
      <c r="AE198" s="8"/>
      <c r="AF198" s="8"/>
      <c r="AG198" s="8"/>
      <c r="AH198" s="8"/>
    </row>
    <row r="199" customFormat="false" ht="16.5" hidden="false" customHeight="true" outlineLevel="0" collapsed="false">
      <c r="B199" s="236" t="s">
        <v>172</v>
      </c>
      <c r="C199" s="236"/>
      <c r="D199" s="236"/>
      <c r="E199" s="236"/>
      <c r="F199" s="236"/>
      <c r="G199" s="236"/>
      <c r="H199" s="236"/>
      <c r="I199" s="236"/>
      <c r="J199" s="236"/>
      <c r="K199" s="236"/>
      <c r="L199" s="236"/>
      <c r="M199" s="236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8"/>
      <c r="AE199" s="8"/>
      <c r="AF199" s="8"/>
      <c r="AG199" s="8"/>
      <c r="AH199" s="8"/>
    </row>
    <row r="200" customFormat="false" ht="13.8" hidden="false" customHeight="false" outlineLevel="0" collapsed="false"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8"/>
      <c r="AE200" s="8"/>
      <c r="AF200" s="8"/>
      <c r="AG200" s="8"/>
      <c r="AH200" s="8"/>
    </row>
    <row r="201" customFormat="false" ht="14.25" hidden="false" customHeight="true" outlineLevel="0" collapsed="false">
      <c r="A201" s="1" t="n">
        <v>18</v>
      </c>
      <c r="B201" s="265" t="s">
        <v>173</v>
      </c>
      <c r="C201" s="265"/>
      <c r="D201" s="265"/>
      <c r="E201" s="265"/>
      <c r="F201" s="288" t="s">
        <v>174</v>
      </c>
      <c r="G201" s="288"/>
      <c r="H201" s="288"/>
      <c r="I201" s="288"/>
      <c r="J201" s="288"/>
      <c r="K201" s="288"/>
      <c r="L201" s="288"/>
      <c r="M201" s="288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8"/>
      <c r="AE201" s="8"/>
      <c r="AF201" s="8"/>
      <c r="AG201" s="8"/>
      <c r="AH201" s="8"/>
    </row>
    <row r="202" customFormat="false" ht="27.75" hidden="false" customHeight="true" outlineLevel="0" collapsed="false">
      <c r="B202" s="265"/>
      <c r="C202" s="265"/>
      <c r="D202" s="265"/>
      <c r="E202" s="265"/>
      <c r="F202" s="289" t="s">
        <v>175</v>
      </c>
      <c r="G202" s="289"/>
      <c r="H202" s="290" t="s">
        <v>176</v>
      </c>
      <c r="I202" s="290"/>
      <c r="J202" s="290" t="s">
        <v>177</v>
      </c>
      <c r="K202" s="290"/>
      <c r="L202" s="291" t="s">
        <v>142</v>
      </c>
      <c r="M202" s="29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8"/>
      <c r="AE202" s="8"/>
      <c r="AF202" s="8"/>
      <c r="AG202" s="8"/>
      <c r="AH202" s="8"/>
    </row>
    <row r="203" customFormat="false" ht="14.25" hidden="false" customHeight="true" outlineLevel="0" collapsed="false">
      <c r="B203" s="292" t="n">
        <f aca="false">SUM(F203:M203)</f>
        <v>0</v>
      </c>
      <c r="C203" s="292"/>
      <c r="D203" s="292"/>
      <c r="E203" s="292"/>
      <c r="F203" s="192" t="n">
        <v>0</v>
      </c>
      <c r="G203" s="192"/>
      <c r="H203" s="193" t="n">
        <v>0</v>
      </c>
      <c r="I203" s="193"/>
      <c r="J203" s="193" t="n">
        <v>0</v>
      </c>
      <c r="K203" s="193"/>
      <c r="L203" s="293" t="n">
        <v>0</v>
      </c>
      <c r="M203" s="29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8"/>
      <c r="AE203" s="8"/>
      <c r="AF203" s="8"/>
      <c r="AG203" s="8"/>
      <c r="AH203" s="8"/>
    </row>
    <row r="204" customFormat="false" ht="13.8" hidden="false" customHeight="false" outlineLevel="0" collapsed="false">
      <c r="B204" s="165"/>
      <c r="C204" s="165"/>
      <c r="D204" s="165"/>
      <c r="E204" s="165"/>
      <c r="F204" s="165"/>
      <c r="G204" s="234"/>
      <c r="H204" s="234"/>
      <c r="I204" s="165"/>
      <c r="J204" s="165"/>
      <c r="K204" s="165"/>
      <c r="L204" s="165"/>
      <c r="M204" s="165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8"/>
      <c r="AE204" s="8"/>
      <c r="AF204" s="8"/>
      <c r="AG204" s="8"/>
      <c r="AH204" s="8"/>
    </row>
    <row r="205" customFormat="false" ht="13.5" hidden="false" customHeight="false" outlineLevel="0" collapsed="false">
      <c r="B205" s="236" t="s">
        <v>178</v>
      </c>
      <c r="C205" s="236"/>
      <c r="D205" s="236"/>
      <c r="E205" s="236"/>
      <c r="F205" s="236"/>
      <c r="G205" s="236"/>
      <c r="H205" s="236"/>
      <c r="I205" s="236"/>
      <c r="J205" s="236"/>
      <c r="K205" s="236"/>
      <c r="L205" s="236"/>
      <c r="M205" s="236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8"/>
      <c r="AE205" s="8"/>
      <c r="AF205" s="8"/>
      <c r="AG205" s="8"/>
      <c r="AH205" s="8"/>
    </row>
    <row r="206" customFormat="false" ht="14.25" hidden="false" customHeight="true" outlineLevel="0" collapsed="false"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8"/>
      <c r="AE206" s="8"/>
      <c r="AF206" s="8"/>
      <c r="AG206" s="8"/>
      <c r="AH206" s="8"/>
    </row>
    <row r="207" customFormat="false" ht="41.25" hidden="false" customHeight="true" outlineLevel="0" collapsed="false">
      <c r="A207" s="1" t="n">
        <v>19</v>
      </c>
      <c r="B207" s="265" t="s">
        <v>179</v>
      </c>
      <c r="C207" s="265"/>
      <c r="D207" s="265"/>
      <c r="E207" s="141" t="s">
        <v>180</v>
      </c>
      <c r="F207" s="141"/>
      <c r="G207" s="141"/>
      <c r="H207" s="294" t="s">
        <v>181</v>
      </c>
      <c r="I207" s="294"/>
      <c r="J207" s="294"/>
      <c r="K207" s="265" t="s">
        <v>12</v>
      </c>
      <c r="L207" s="265"/>
      <c r="M207" s="265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8"/>
      <c r="AE207" s="8"/>
      <c r="AF207" s="8"/>
      <c r="AG207" s="8"/>
      <c r="AH207" s="8"/>
    </row>
    <row r="208" customFormat="false" ht="14.25" hidden="false" customHeight="true" outlineLevel="0" collapsed="false">
      <c r="B208" s="210" t="s">
        <v>182</v>
      </c>
      <c r="C208" s="210"/>
      <c r="D208" s="210"/>
      <c r="E208" s="268" t="n">
        <v>0</v>
      </c>
      <c r="F208" s="268"/>
      <c r="G208" s="268"/>
      <c r="H208" s="295" t="n">
        <v>0</v>
      </c>
      <c r="I208" s="295"/>
      <c r="J208" s="295"/>
      <c r="K208" s="270" t="n">
        <f aca="false">SUM(E208:J208)</f>
        <v>0</v>
      </c>
      <c r="L208" s="270"/>
      <c r="M208" s="270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8"/>
      <c r="AE208" s="8"/>
      <c r="AF208" s="8"/>
      <c r="AG208" s="8"/>
      <c r="AH208" s="8"/>
    </row>
    <row r="209" s="280" customFormat="true" ht="15" hidden="false" customHeight="true" outlineLevel="0" collapsed="false">
      <c r="A209" s="1"/>
      <c r="B209" s="216" t="s">
        <v>183</v>
      </c>
      <c r="C209" s="216"/>
      <c r="D209" s="216"/>
      <c r="E209" s="271" t="n">
        <v>0</v>
      </c>
      <c r="F209" s="271"/>
      <c r="G209" s="271"/>
      <c r="H209" s="296" t="n">
        <v>0</v>
      </c>
      <c r="I209" s="296"/>
      <c r="J209" s="296"/>
      <c r="K209" s="273" t="n">
        <f aca="false">SUM(E209:J209)</f>
        <v>0</v>
      </c>
      <c r="L209" s="273"/>
      <c r="M209" s="273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13"/>
      <c r="Y209" s="13"/>
      <c r="Z209" s="13"/>
      <c r="AA209" s="13"/>
      <c r="AB209" s="13"/>
      <c r="AC209" s="13"/>
      <c r="AD209" s="8"/>
      <c r="AE209" s="8"/>
      <c r="AF209" s="8"/>
      <c r="AG209" s="8"/>
      <c r="AH209" s="8"/>
      <c r="AI209" s="2"/>
      <c r="AJ209" s="2"/>
      <c r="AK209" s="2"/>
      <c r="AL209" s="2"/>
      <c r="AM209" s="2"/>
      <c r="AN209" s="2"/>
      <c r="AO209" s="2"/>
      <c r="AP209" s="2"/>
      <c r="AQ209" s="2"/>
    </row>
    <row r="210" customFormat="false" ht="12.75" hidden="false" customHeight="true" outlineLevel="0" collapsed="false">
      <c r="B210" s="216" t="s">
        <v>184</v>
      </c>
      <c r="C210" s="216"/>
      <c r="D210" s="216"/>
      <c r="E210" s="271" t="n">
        <v>0</v>
      </c>
      <c r="F210" s="271"/>
      <c r="G210" s="271"/>
      <c r="H210" s="296" t="n">
        <v>0</v>
      </c>
      <c r="I210" s="296"/>
      <c r="J210" s="296"/>
      <c r="K210" s="273" t="n">
        <f aca="false">SUM(E210:J210)</f>
        <v>0</v>
      </c>
      <c r="L210" s="273"/>
      <c r="M210" s="27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8"/>
      <c r="AE210" s="8"/>
      <c r="AF210" s="8"/>
      <c r="AG210" s="8"/>
      <c r="AH210" s="8"/>
    </row>
    <row r="211" customFormat="false" ht="14.25" hidden="false" customHeight="true" outlineLevel="0" collapsed="false">
      <c r="B211" s="216" t="s">
        <v>185</v>
      </c>
      <c r="C211" s="216"/>
      <c r="D211" s="216"/>
      <c r="E211" s="271" t="n">
        <v>0</v>
      </c>
      <c r="F211" s="271"/>
      <c r="G211" s="271"/>
      <c r="H211" s="296" t="n">
        <v>0</v>
      </c>
      <c r="I211" s="296"/>
      <c r="J211" s="296"/>
      <c r="K211" s="273" t="n">
        <f aca="false">SUM(E211:J211)</f>
        <v>0</v>
      </c>
      <c r="L211" s="273"/>
      <c r="M211" s="27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8"/>
      <c r="AE211" s="8"/>
      <c r="AF211" s="8"/>
      <c r="AG211" s="8"/>
      <c r="AH211" s="8"/>
    </row>
    <row r="212" customFormat="false" ht="14.25" hidden="false" customHeight="true" outlineLevel="0" collapsed="false">
      <c r="B212" s="216" t="s">
        <v>186</v>
      </c>
      <c r="C212" s="216"/>
      <c r="D212" s="216"/>
      <c r="E212" s="271" t="n">
        <v>0</v>
      </c>
      <c r="F212" s="271"/>
      <c r="G212" s="271"/>
      <c r="H212" s="296" t="n">
        <v>0</v>
      </c>
      <c r="I212" s="296"/>
      <c r="J212" s="296"/>
      <c r="K212" s="273" t="n">
        <f aca="false">SUM(E212:J212)</f>
        <v>0</v>
      </c>
      <c r="L212" s="273"/>
      <c r="M212" s="27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8"/>
      <c r="AE212" s="8"/>
      <c r="AF212" s="8"/>
      <c r="AG212" s="8"/>
      <c r="AH212" s="8"/>
    </row>
    <row r="213" customFormat="false" ht="13.8" hidden="false" customHeight="false" outlineLevel="0" collapsed="false">
      <c r="B213" s="216" t="s">
        <v>187</v>
      </c>
      <c r="C213" s="216"/>
      <c r="D213" s="216"/>
      <c r="E213" s="271" t="n">
        <v>0</v>
      </c>
      <c r="F213" s="271"/>
      <c r="G213" s="271"/>
      <c r="H213" s="296" t="n">
        <v>0</v>
      </c>
      <c r="I213" s="296"/>
      <c r="J213" s="296"/>
      <c r="K213" s="273" t="n">
        <f aca="false">SUM(E213:J213)</f>
        <v>0</v>
      </c>
      <c r="L213" s="273"/>
      <c r="M213" s="27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8"/>
      <c r="AE213" s="8"/>
      <c r="AF213" s="8"/>
      <c r="AG213" s="8"/>
      <c r="AH213" s="8"/>
    </row>
    <row r="214" customFormat="false" ht="13.8" hidden="false" customHeight="false" outlineLevel="0" collapsed="false">
      <c r="B214" s="297" t="s">
        <v>188</v>
      </c>
      <c r="C214" s="297"/>
      <c r="D214" s="297"/>
      <c r="E214" s="298" t="n">
        <v>0</v>
      </c>
      <c r="F214" s="298"/>
      <c r="G214" s="298"/>
      <c r="H214" s="299" t="n">
        <v>0</v>
      </c>
      <c r="I214" s="299"/>
      <c r="J214" s="299"/>
      <c r="K214" s="300" t="n">
        <f aca="false">SUM(E214:J214)</f>
        <v>0</v>
      </c>
      <c r="L214" s="300"/>
      <c r="M214" s="300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8"/>
      <c r="AE214" s="8"/>
      <c r="AF214" s="8"/>
      <c r="AG214" s="8"/>
      <c r="AH214" s="8"/>
    </row>
    <row r="215" customFormat="false" ht="13.8" hidden="false" customHeight="false" outlineLevel="0" collapsed="false">
      <c r="B215" s="228" t="s">
        <v>12</v>
      </c>
      <c r="C215" s="228"/>
      <c r="D215" s="228"/>
      <c r="E215" s="277" t="n">
        <f aca="false">SUM(E208:G214)</f>
        <v>0</v>
      </c>
      <c r="F215" s="277"/>
      <c r="G215" s="277"/>
      <c r="H215" s="301" t="n">
        <f aca="false">SUM(H208:J214)</f>
        <v>0</v>
      </c>
      <c r="I215" s="301"/>
      <c r="J215" s="301"/>
      <c r="K215" s="279" t="n">
        <f aca="false">SUM(E215:J215)</f>
        <v>0</v>
      </c>
      <c r="L215" s="279"/>
      <c r="M215" s="279"/>
      <c r="N215" s="231" t="str">
        <f aca="false">IF(K215&lt;&gt;B203,"Section 4.7.2 - Total should equal ""Number of requests closed past the legislated timelines"" of Section 4.7.1","")</f>
        <v/>
      </c>
      <c r="O215" s="231"/>
      <c r="P215" s="231"/>
      <c r="Q215" s="231"/>
      <c r="R215" s="231"/>
      <c r="S215" s="231"/>
      <c r="T215" s="231"/>
      <c r="U215" s="231"/>
      <c r="V215" s="231"/>
      <c r="W215" s="231"/>
      <c r="X215" s="231"/>
      <c r="Y215" s="231"/>
      <c r="Z215" s="231"/>
      <c r="AA215" s="13"/>
      <c r="AB215" s="13"/>
      <c r="AC215" s="13"/>
      <c r="AD215" s="8"/>
      <c r="AE215" s="8"/>
      <c r="AF215" s="8"/>
      <c r="AG215" s="8"/>
      <c r="AH215" s="8"/>
    </row>
    <row r="216" customFormat="false" ht="14.25" hidden="false" customHeight="true" outlineLevel="0" collapsed="false">
      <c r="B216" s="302"/>
      <c r="C216" s="233"/>
      <c r="D216" s="233"/>
      <c r="E216" s="303"/>
      <c r="F216" s="303"/>
      <c r="G216" s="303"/>
      <c r="H216" s="303"/>
      <c r="I216" s="303"/>
      <c r="J216" s="303"/>
      <c r="K216" s="303"/>
      <c r="L216" s="303"/>
      <c r="M216" s="30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8"/>
      <c r="AE216" s="8"/>
      <c r="AF216" s="8"/>
      <c r="AG216" s="8"/>
      <c r="AH216" s="8"/>
    </row>
    <row r="217" customFormat="false" ht="14.25" hidden="false" customHeight="true" outlineLevel="0" collapsed="false">
      <c r="B217" s="304" t="s">
        <v>189</v>
      </c>
      <c r="C217" s="304"/>
      <c r="D217" s="304"/>
      <c r="E217" s="304"/>
      <c r="F217" s="304"/>
      <c r="G217" s="304"/>
      <c r="H217" s="304"/>
      <c r="I217" s="304"/>
      <c r="J217" s="304"/>
      <c r="K217" s="304"/>
      <c r="L217" s="304"/>
      <c r="M217" s="304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8"/>
      <c r="AE217" s="8"/>
      <c r="AF217" s="8"/>
      <c r="AG217" s="8"/>
      <c r="AH217" s="8"/>
    </row>
    <row r="218" customFormat="false" ht="13.8" hidden="false" customHeight="false" outlineLevel="0" collapsed="false"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8"/>
      <c r="AE218" s="8"/>
      <c r="AF218" s="8"/>
      <c r="AG218" s="8"/>
      <c r="AH218" s="8"/>
    </row>
    <row r="219" customFormat="false" ht="13.8" hidden="false" customHeight="false" outlineLevel="0" collapsed="false">
      <c r="B219" s="12" t="s">
        <v>190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8"/>
      <c r="AE219" s="8"/>
      <c r="AF219" s="8"/>
      <c r="AG219" s="8"/>
      <c r="AH219" s="8"/>
    </row>
    <row r="220" customFormat="false" ht="13.8" hidden="false" customHeight="false" outlineLevel="0" collapsed="false"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8"/>
      <c r="AE220" s="8"/>
      <c r="AF220" s="8"/>
      <c r="AG220" s="8"/>
      <c r="AH220" s="8"/>
    </row>
    <row r="221" customFormat="false" ht="26.25" hidden="false" customHeight="true" outlineLevel="0" collapsed="false">
      <c r="A221" s="1" t="n">
        <v>20</v>
      </c>
      <c r="B221" s="265" t="s">
        <v>191</v>
      </c>
      <c r="C221" s="265"/>
      <c r="D221" s="265"/>
      <c r="E221" s="265"/>
      <c r="F221" s="141" t="s">
        <v>192</v>
      </c>
      <c r="G221" s="141"/>
      <c r="H221" s="305" t="s">
        <v>193</v>
      </c>
      <c r="I221" s="305"/>
      <c r="J221" s="305"/>
      <c r="K221" s="305"/>
      <c r="L221" s="294" t="s">
        <v>194</v>
      </c>
      <c r="M221" s="294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8"/>
      <c r="AE221" s="8"/>
      <c r="AF221" s="8"/>
      <c r="AG221" s="8"/>
      <c r="AH221" s="8"/>
    </row>
    <row r="222" customFormat="false" ht="23.25" hidden="false" customHeight="true" outlineLevel="0" collapsed="false">
      <c r="B222" s="265"/>
      <c r="C222" s="265"/>
      <c r="D222" s="265"/>
      <c r="E222" s="265"/>
      <c r="F222" s="141"/>
      <c r="G222" s="141"/>
      <c r="H222" s="306" t="s">
        <v>195</v>
      </c>
      <c r="I222" s="306"/>
      <c r="J222" s="306" t="s">
        <v>142</v>
      </c>
      <c r="K222" s="306"/>
      <c r="L222" s="294"/>
      <c r="M222" s="294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8"/>
      <c r="AE222" s="8"/>
      <c r="AF222" s="8"/>
      <c r="AG222" s="8"/>
      <c r="AH222" s="8"/>
    </row>
    <row r="223" customFormat="false" ht="14.25" hidden="false" customHeight="true" outlineLevel="0" collapsed="false">
      <c r="B223" s="210" t="s">
        <v>57</v>
      </c>
      <c r="C223" s="210"/>
      <c r="D223" s="210"/>
      <c r="E223" s="210"/>
      <c r="F223" s="307" t="n">
        <v>0</v>
      </c>
      <c r="G223" s="307"/>
      <c r="H223" s="308" t="n">
        <v>0</v>
      </c>
      <c r="I223" s="308"/>
      <c r="J223" s="308" t="n">
        <v>0</v>
      </c>
      <c r="K223" s="308"/>
      <c r="L223" s="179" t="n">
        <v>0</v>
      </c>
      <c r="M223" s="179"/>
      <c r="N223" s="92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8"/>
      <c r="AE223" s="8"/>
      <c r="AF223" s="8"/>
      <c r="AG223" s="8"/>
      <c r="AH223" s="8"/>
    </row>
    <row r="224" customFormat="false" ht="14.25" hidden="false" customHeight="true" outlineLevel="0" collapsed="false">
      <c r="B224" s="216" t="s">
        <v>58</v>
      </c>
      <c r="C224" s="216"/>
      <c r="D224" s="216"/>
      <c r="E224" s="216"/>
      <c r="F224" s="215" t="n">
        <v>0</v>
      </c>
      <c r="G224" s="215"/>
      <c r="H224" s="309" t="n">
        <v>0</v>
      </c>
      <c r="I224" s="309"/>
      <c r="J224" s="309" t="n">
        <v>0</v>
      </c>
      <c r="K224" s="309"/>
      <c r="L224" s="153" t="n">
        <v>0</v>
      </c>
      <c r="M224" s="153"/>
      <c r="N224" s="92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8"/>
      <c r="AE224" s="8"/>
      <c r="AF224" s="8"/>
      <c r="AG224" s="8"/>
      <c r="AH224" s="8"/>
    </row>
    <row r="225" customFormat="false" ht="14.25" hidden="false" customHeight="true" outlineLevel="0" collapsed="false">
      <c r="B225" s="216" t="s">
        <v>59</v>
      </c>
      <c r="C225" s="216"/>
      <c r="D225" s="216"/>
      <c r="E225" s="216"/>
      <c r="F225" s="215" t="n">
        <v>0</v>
      </c>
      <c r="G225" s="215"/>
      <c r="H225" s="309" t="n">
        <v>0</v>
      </c>
      <c r="I225" s="309"/>
      <c r="J225" s="309" t="n">
        <v>0</v>
      </c>
      <c r="K225" s="309"/>
      <c r="L225" s="153" t="n">
        <v>0</v>
      </c>
      <c r="M225" s="153"/>
      <c r="N225" s="92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8"/>
      <c r="AE225" s="8"/>
      <c r="AF225" s="8"/>
      <c r="AG225" s="8"/>
      <c r="AH225" s="8"/>
    </row>
    <row r="226" customFormat="false" ht="13.5" hidden="false" customHeight="false" outlineLevel="0" collapsed="false">
      <c r="B226" s="216" t="s">
        <v>60</v>
      </c>
      <c r="C226" s="216"/>
      <c r="D226" s="216"/>
      <c r="E226" s="216"/>
      <c r="F226" s="215" t="n">
        <v>0</v>
      </c>
      <c r="G226" s="215"/>
      <c r="H226" s="309" t="n">
        <v>0</v>
      </c>
      <c r="I226" s="309"/>
      <c r="J226" s="309" t="n">
        <v>0</v>
      </c>
      <c r="K226" s="309"/>
      <c r="L226" s="153" t="n">
        <v>0</v>
      </c>
      <c r="M226" s="153"/>
      <c r="N226" s="92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8"/>
      <c r="AE226" s="8"/>
      <c r="AF226" s="8"/>
      <c r="AG226" s="8"/>
      <c r="AH226" s="8"/>
    </row>
    <row r="227" customFormat="false" ht="13.5" hidden="false" customHeight="false" outlineLevel="0" collapsed="false">
      <c r="B227" s="216" t="s">
        <v>63</v>
      </c>
      <c r="C227" s="216"/>
      <c r="D227" s="216"/>
      <c r="E227" s="216"/>
      <c r="F227" s="215" t="n">
        <v>0</v>
      </c>
      <c r="G227" s="215"/>
      <c r="H227" s="309" t="n">
        <v>0</v>
      </c>
      <c r="I227" s="309"/>
      <c r="J227" s="309" t="n">
        <v>0</v>
      </c>
      <c r="K227" s="309"/>
      <c r="L227" s="153" t="n">
        <v>0</v>
      </c>
      <c r="M227" s="153"/>
      <c r="N227" s="92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8"/>
      <c r="AE227" s="8"/>
      <c r="AF227" s="8"/>
      <c r="AG227" s="8"/>
      <c r="AH227" s="8"/>
    </row>
    <row r="228" customFormat="false" ht="14.25" hidden="false" customHeight="true" outlineLevel="0" collapsed="false">
      <c r="B228" s="216" t="s">
        <v>61</v>
      </c>
      <c r="C228" s="216"/>
      <c r="D228" s="216"/>
      <c r="E228" s="216"/>
      <c r="F228" s="215" t="n">
        <v>0</v>
      </c>
      <c r="G228" s="215"/>
      <c r="H228" s="309" t="n">
        <v>0</v>
      </c>
      <c r="I228" s="309"/>
      <c r="J228" s="309" t="n">
        <v>0</v>
      </c>
      <c r="K228" s="309"/>
      <c r="L228" s="153" t="n">
        <v>0</v>
      </c>
      <c r="M228" s="153"/>
      <c r="N228" s="92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8"/>
      <c r="AE228" s="8"/>
      <c r="AF228" s="8"/>
      <c r="AG228" s="8"/>
      <c r="AH228" s="8"/>
    </row>
    <row r="229" customFormat="false" ht="30.75" hidden="false" customHeight="true" outlineLevel="0" collapsed="false">
      <c r="B229" s="310" t="s">
        <v>65</v>
      </c>
      <c r="C229" s="310"/>
      <c r="D229" s="310"/>
      <c r="E229" s="310"/>
      <c r="F229" s="227" t="n">
        <v>0</v>
      </c>
      <c r="G229" s="227"/>
      <c r="H229" s="311" t="n">
        <v>0</v>
      </c>
      <c r="I229" s="311"/>
      <c r="J229" s="311" t="n">
        <v>0</v>
      </c>
      <c r="K229" s="311"/>
      <c r="L229" s="170" t="n">
        <v>0</v>
      </c>
      <c r="M229" s="170"/>
      <c r="N229" s="92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8"/>
      <c r="AE229" s="8"/>
      <c r="AF229" s="8"/>
      <c r="AG229" s="8"/>
      <c r="AH229" s="8"/>
    </row>
    <row r="230" customFormat="false" ht="14.25" hidden="false" customHeight="true" outlineLevel="0" collapsed="false">
      <c r="B230" s="228" t="s">
        <v>12</v>
      </c>
      <c r="C230" s="228"/>
      <c r="D230" s="228"/>
      <c r="E230" s="228"/>
      <c r="F230" s="277" t="n">
        <f aca="false">SUM(F223:G229)</f>
        <v>0</v>
      </c>
      <c r="G230" s="277"/>
      <c r="H230" s="278" t="n">
        <f aca="false">SUM(H223:I229)</f>
        <v>0</v>
      </c>
      <c r="I230" s="278"/>
      <c r="J230" s="278" t="n">
        <f aca="false">SUM(J223:K229)</f>
        <v>0</v>
      </c>
      <c r="K230" s="278"/>
      <c r="L230" s="301" t="n">
        <f aca="false">SUM(L223:M229)</f>
        <v>0</v>
      </c>
      <c r="M230" s="301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8"/>
      <c r="AE230" s="8"/>
      <c r="AF230" s="8"/>
      <c r="AG230" s="8"/>
      <c r="AH230" s="8"/>
    </row>
    <row r="231" customFormat="false" ht="14.25" hidden="false" customHeight="true" outlineLevel="0" collapsed="false">
      <c r="B231" s="233"/>
      <c r="C231" s="233"/>
      <c r="D231" s="233"/>
      <c r="E231" s="233"/>
      <c r="F231" s="165"/>
      <c r="G231" s="165"/>
      <c r="H231" s="165"/>
      <c r="I231" s="165"/>
      <c r="J231" s="165"/>
      <c r="K231" s="165"/>
      <c r="L231" s="165"/>
      <c r="M231" s="165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8"/>
      <c r="AE231" s="8"/>
      <c r="AF231" s="8"/>
      <c r="AG231" s="8"/>
      <c r="AH231" s="8"/>
    </row>
    <row r="232" customFormat="false" ht="13.8" hidden="false" customHeight="false" outlineLevel="0" collapsed="false">
      <c r="B232" s="12" t="s">
        <v>196</v>
      </c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8"/>
      <c r="AE232" s="8"/>
      <c r="AF232" s="8"/>
      <c r="AG232" s="8"/>
      <c r="AH232" s="8"/>
    </row>
    <row r="233" customFormat="false" ht="13.8" hidden="false" customHeight="false" outlineLevel="0" collapsed="false"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8"/>
      <c r="AE233" s="8"/>
      <c r="AF233" s="8"/>
      <c r="AG233" s="8"/>
      <c r="AH233" s="8"/>
    </row>
    <row r="234" customFormat="false" ht="27.75" hidden="false" customHeight="true" outlineLevel="0" collapsed="false">
      <c r="A234" s="1" t="n">
        <v>21</v>
      </c>
      <c r="B234" s="265" t="s">
        <v>197</v>
      </c>
      <c r="C234" s="265"/>
      <c r="D234" s="265"/>
      <c r="E234" s="265"/>
      <c r="F234" s="141" t="s">
        <v>192</v>
      </c>
      <c r="G234" s="141"/>
      <c r="H234" s="305" t="s">
        <v>193</v>
      </c>
      <c r="I234" s="305"/>
      <c r="J234" s="305"/>
      <c r="K234" s="305"/>
      <c r="L234" s="294" t="s">
        <v>194</v>
      </c>
      <c r="M234" s="294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8"/>
      <c r="AE234" s="8"/>
      <c r="AF234" s="8"/>
      <c r="AG234" s="8"/>
      <c r="AH234" s="8"/>
    </row>
    <row r="235" customFormat="false" ht="24" hidden="false" customHeight="true" outlineLevel="0" collapsed="false">
      <c r="B235" s="265"/>
      <c r="C235" s="265"/>
      <c r="D235" s="265"/>
      <c r="E235" s="265"/>
      <c r="F235" s="141"/>
      <c r="G235" s="141"/>
      <c r="H235" s="306" t="s">
        <v>195</v>
      </c>
      <c r="I235" s="306"/>
      <c r="J235" s="306" t="s">
        <v>142</v>
      </c>
      <c r="K235" s="306"/>
      <c r="L235" s="294"/>
      <c r="M235" s="294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8"/>
      <c r="AE235" s="8"/>
      <c r="AF235" s="8"/>
      <c r="AG235" s="8"/>
      <c r="AH235" s="8"/>
    </row>
    <row r="236" customFormat="false" ht="14.25" hidden="false" customHeight="true" outlineLevel="0" collapsed="false">
      <c r="B236" s="312" t="s">
        <v>198</v>
      </c>
      <c r="C236" s="312"/>
      <c r="D236" s="312"/>
      <c r="E236" s="312"/>
      <c r="F236" s="313" t="n">
        <v>0</v>
      </c>
      <c r="G236" s="313"/>
      <c r="H236" s="308" t="n">
        <v>0</v>
      </c>
      <c r="I236" s="308"/>
      <c r="J236" s="308" t="n">
        <v>0</v>
      </c>
      <c r="K236" s="308"/>
      <c r="L236" s="314" t="n">
        <v>0</v>
      </c>
      <c r="M236" s="314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8"/>
      <c r="AE236" s="8"/>
      <c r="AF236" s="8"/>
      <c r="AG236" s="8"/>
      <c r="AH236" s="8"/>
    </row>
    <row r="237" customFormat="false" ht="14.25" hidden="false" customHeight="true" outlineLevel="0" collapsed="false">
      <c r="B237" s="315" t="s">
        <v>184</v>
      </c>
      <c r="C237" s="315"/>
      <c r="D237" s="315"/>
      <c r="E237" s="315"/>
      <c r="F237" s="316" t="n">
        <v>0</v>
      </c>
      <c r="G237" s="316"/>
      <c r="H237" s="309" t="n">
        <v>0</v>
      </c>
      <c r="I237" s="309"/>
      <c r="J237" s="309" t="n">
        <v>0</v>
      </c>
      <c r="K237" s="309"/>
      <c r="L237" s="317" t="n">
        <v>0</v>
      </c>
      <c r="M237" s="317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8"/>
      <c r="AE237" s="8"/>
      <c r="AF237" s="8"/>
      <c r="AG237" s="8"/>
      <c r="AH237" s="8"/>
    </row>
    <row r="238" customFormat="false" ht="14.25" hidden="false" customHeight="true" outlineLevel="0" collapsed="false">
      <c r="B238" s="315" t="s">
        <v>185</v>
      </c>
      <c r="C238" s="315"/>
      <c r="D238" s="315"/>
      <c r="E238" s="315"/>
      <c r="F238" s="316" t="n">
        <v>0</v>
      </c>
      <c r="G238" s="316"/>
      <c r="H238" s="309" t="n">
        <v>0</v>
      </c>
      <c r="I238" s="309"/>
      <c r="J238" s="309" t="n">
        <v>0</v>
      </c>
      <c r="K238" s="309"/>
      <c r="L238" s="317" t="n">
        <v>0</v>
      </c>
      <c r="M238" s="317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8"/>
      <c r="AE238" s="8"/>
      <c r="AF238" s="8"/>
      <c r="AG238" s="8"/>
      <c r="AH238" s="8"/>
    </row>
    <row r="239" customFormat="false" ht="14.25" hidden="false" customHeight="true" outlineLevel="0" collapsed="false">
      <c r="B239" s="315" t="s">
        <v>199</v>
      </c>
      <c r="C239" s="315"/>
      <c r="D239" s="315"/>
      <c r="E239" s="315"/>
      <c r="F239" s="316" t="n">
        <v>0</v>
      </c>
      <c r="G239" s="316"/>
      <c r="H239" s="309" t="n">
        <v>0</v>
      </c>
      <c r="I239" s="309"/>
      <c r="J239" s="309" t="n">
        <v>0</v>
      </c>
      <c r="K239" s="309"/>
      <c r="L239" s="317" t="n">
        <v>0</v>
      </c>
      <c r="M239" s="317"/>
      <c r="N239" s="231" t="str">
        <f aca="false">IF(F242&lt;&gt;F230,"Section 5.2 - Totals for ""Interference With Operations/ Workload"" should be equal to ""Interference With Operations/ Workload"" of Section 5.1","")</f>
        <v/>
      </c>
      <c r="O239" s="231"/>
      <c r="P239" s="231"/>
      <c r="Q239" s="231"/>
      <c r="R239" s="231"/>
      <c r="S239" s="231"/>
      <c r="T239" s="231"/>
      <c r="U239" s="231"/>
      <c r="V239" s="231"/>
      <c r="W239" s="231"/>
      <c r="X239" s="231"/>
      <c r="Y239" s="231"/>
      <c r="Z239" s="231"/>
      <c r="AA239" s="13"/>
      <c r="AB239" s="13"/>
      <c r="AC239" s="13"/>
      <c r="AD239" s="8"/>
      <c r="AE239" s="8"/>
      <c r="AF239" s="8"/>
      <c r="AG239" s="8"/>
      <c r="AH239" s="8"/>
    </row>
    <row r="240" customFormat="false" ht="13.8" hidden="false" customHeight="false" outlineLevel="0" collapsed="false">
      <c r="B240" s="216" t="s">
        <v>187</v>
      </c>
      <c r="C240" s="216"/>
      <c r="D240" s="216"/>
      <c r="E240" s="216"/>
      <c r="F240" s="215" t="n">
        <v>0</v>
      </c>
      <c r="G240" s="215"/>
      <c r="H240" s="309" t="n">
        <v>0</v>
      </c>
      <c r="I240" s="309"/>
      <c r="J240" s="309" t="n">
        <v>0</v>
      </c>
      <c r="K240" s="309"/>
      <c r="L240" s="153" t="n">
        <v>0</v>
      </c>
      <c r="M240" s="153"/>
      <c r="N240" s="231" t="str">
        <f aca="false">IF(H242&lt;&gt;H230,"Section 5.2 - Totals for ""Section 69"" should be equal to ""Section 69"" of Section 5.1","")</f>
        <v/>
      </c>
      <c r="O240" s="231"/>
      <c r="P240" s="231"/>
      <c r="Q240" s="231"/>
      <c r="R240" s="231"/>
      <c r="S240" s="231"/>
      <c r="T240" s="231"/>
      <c r="U240" s="231"/>
      <c r="V240" s="231"/>
      <c r="W240" s="231"/>
      <c r="X240" s="231"/>
      <c r="Y240" s="231"/>
      <c r="Z240" s="231"/>
      <c r="AA240" s="13"/>
      <c r="AB240" s="13"/>
      <c r="AC240" s="13"/>
      <c r="AD240" s="8"/>
      <c r="AE240" s="8"/>
      <c r="AF240" s="8"/>
      <c r="AG240" s="8"/>
      <c r="AH240" s="8"/>
    </row>
    <row r="241" customFormat="false" ht="13.8" hidden="false" customHeight="false" outlineLevel="0" collapsed="false">
      <c r="B241" s="297" t="s">
        <v>200</v>
      </c>
      <c r="C241" s="297"/>
      <c r="D241" s="297"/>
      <c r="E241" s="297"/>
      <c r="F241" s="227" t="n">
        <v>0</v>
      </c>
      <c r="G241" s="227"/>
      <c r="H241" s="311" t="n">
        <v>0</v>
      </c>
      <c r="I241" s="311"/>
      <c r="J241" s="311" t="n">
        <v>0</v>
      </c>
      <c r="K241" s="311"/>
      <c r="L241" s="170" t="n">
        <v>0</v>
      </c>
      <c r="M241" s="170"/>
      <c r="N241" s="231" t="str">
        <f aca="false">IF(J242&lt;&gt;J230,"Section 5.2 - Totals for ""Other"" should be equal to ""Other"" of Section 5.1","")</f>
        <v/>
      </c>
      <c r="O241" s="231"/>
      <c r="P241" s="231"/>
      <c r="Q241" s="231"/>
      <c r="R241" s="231"/>
      <c r="S241" s="231"/>
      <c r="T241" s="231"/>
      <c r="U241" s="231"/>
      <c r="V241" s="231"/>
      <c r="W241" s="231"/>
      <c r="X241" s="231"/>
      <c r="Y241" s="231"/>
      <c r="Z241" s="231"/>
      <c r="AA241" s="13"/>
      <c r="AB241" s="13"/>
      <c r="AC241" s="13"/>
      <c r="AD241" s="8"/>
      <c r="AE241" s="8"/>
      <c r="AF241" s="8"/>
      <c r="AG241" s="8"/>
      <c r="AH241" s="8"/>
    </row>
    <row r="242" customFormat="false" ht="13.8" hidden="false" customHeight="false" outlineLevel="0" collapsed="false">
      <c r="B242" s="228" t="s">
        <v>12</v>
      </c>
      <c r="C242" s="228"/>
      <c r="D242" s="228"/>
      <c r="E242" s="228"/>
      <c r="F242" s="277" t="n">
        <f aca="false">SUM(F236:G241)</f>
        <v>0</v>
      </c>
      <c r="G242" s="277"/>
      <c r="H242" s="278" t="n">
        <f aca="false">SUM(H236:I241)</f>
        <v>0</v>
      </c>
      <c r="I242" s="278"/>
      <c r="J242" s="278" t="n">
        <f aca="false">SUM(J236:K241)</f>
        <v>0</v>
      </c>
      <c r="K242" s="278"/>
      <c r="L242" s="301" t="n">
        <f aca="false">SUM(L236:M241)</f>
        <v>0</v>
      </c>
      <c r="M242" s="301"/>
      <c r="N242" s="231" t="str">
        <f aca="false">IF(L242&lt;&gt;L230,"Section 5.2 - Totals for ""Third-Party Notice"" should be equal to ""Third-Party Notice"" of Section 5.1","")</f>
        <v/>
      </c>
      <c r="O242" s="231"/>
      <c r="P242" s="318"/>
      <c r="Q242" s="318"/>
      <c r="R242" s="318"/>
      <c r="S242" s="318"/>
      <c r="T242" s="318"/>
      <c r="U242" s="318"/>
      <c r="V242" s="318"/>
      <c r="W242" s="318"/>
      <c r="X242" s="318"/>
      <c r="Y242" s="318"/>
      <c r="Z242" s="318"/>
      <c r="AA242" s="13"/>
      <c r="AB242" s="13"/>
      <c r="AC242" s="13"/>
      <c r="AD242" s="8"/>
      <c r="AE242" s="8"/>
      <c r="AF242" s="8"/>
      <c r="AG242" s="8"/>
      <c r="AH242" s="8"/>
    </row>
    <row r="243" customFormat="false" ht="14.25" hidden="false" customHeight="true" outlineLevel="0" collapsed="false">
      <c r="G243" s="139"/>
      <c r="H243" s="139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8"/>
      <c r="AE243" s="8"/>
      <c r="AF243" s="8"/>
      <c r="AG243" s="8"/>
      <c r="AH243" s="8"/>
    </row>
    <row r="244" customFormat="false" ht="14.25" hidden="false" customHeight="true" outlineLevel="0" collapsed="false">
      <c r="B244" s="11" t="s">
        <v>201</v>
      </c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8"/>
      <c r="AE244" s="8"/>
      <c r="AF244" s="8"/>
      <c r="AG244" s="8"/>
      <c r="AH244" s="8"/>
    </row>
    <row r="245" customFormat="false" ht="13.8" hidden="false" customHeight="false" outlineLevel="0" collapsed="false"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8"/>
      <c r="AE245" s="8"/>
      <c r="AF245" s="8"/>
      <c r="AG245" s="8"/>
      <c r="AH245" s="8"/>
    </row>
    <row r="246" customFormat="false" ht="13.8" hidden="false" customHeight="false" outlineLevel="0" collapsed="false">
      <c r="A246" s="1" t="n">
        <v>22</v>
      </c>
      <c r="B246" s="319" t="s">
        <v>202</v>
      </c>
      <c r="C246" s="319"/>
      <c r="D246" s="320" t="s">
        <v>203</v>
      </c>
      <c r="E246" s="320"/>
      <c r="F246" s="320"/>
      <c r="G246" s="184" t="s">
        <v>204</v>
      </c>
      <c r="H246" s="184"/>
      <c r="I246" s="184"/>
      <c r="J246" s="321" t="s">
        <v>205</v>
      </c>
      <c r="K246" s="321"/>
      <c r="L246" s="321"/>
      <c r="N246" s="92"/>
      <c r="O246" s="32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13"/>
      <c r="AB246" s="13"/>
      <c r="AC246" s="13"/>
      <c r="AD246" s="8"/>
      <c r="AE246" s="8"/>
      <c r="AF246" s="8"/>
      <c r="AG246" s="8"/>
      <c r="AH246" s="8"/>
    </row>
    <row r="247" customFormat="false" ht="57" hidden="false" customHeight="true" outlineLevel="0" collapsed="false">
      <c r="B247" s="319"/>
      <c r="C247" s="319"/>
      <c r="D247" s="323" t="s">
        <v>206</v>
      </c>
      <c r="E247" s="324" t="s">
        <v>207</v>
      </c>
      <c r="F247" s="324"/>
      <c r="G247" s="323" t="s">
        <v>206</v>
      </c>
      <c r="H247" s="324" t="s">
        <v>207</v>
      </c>
      <c r="I247" s="324"/>
      <c r="J247" s="323" t="s">
        <v>206</v>
      </c>
      <c r="K247" s="325" t="s">
        <v>207</v>
      </c>
      <c r="L247" s="325"/>
      <c r="N247" s="98"/>
      <c r="O247" s="326"/>
      <c r="P247" s="326"/>
      <c r="Q247" s="326"/>
      <c r="R247" s="326"/>
      <c r="S247" s="326"/>
      <c r="T247" s="326"/>
      <c r="U247" s="326"/>
      <c r="V247" s="326"/>
      <c r="W247" s="326"/>
      <c r="X247" s="326"/>
      <c r="Y247" s="326"/>
      <c r="Z247" s="326"/>
      <c r="AA247" s="13"/>
      <c r="AB247" s="13"/>
      <c r="AC247" s="13"/>
      <c r="AD247" s="8"/>
      <c r="AE247" s="8"/>
      <c r="AF247" s="8"/>
      <c r="AG247" s="8"/>
      <c r="AH247" s="8"/>
    </row>
    <row r="248" s="280" customFormat="true" ht="14.25" hidden="false" customHeight="true" outlineLevel="0" collapsed="false">
      <c r="A248" s="1"/>
      <c r="B248" s="327" t="s">
        <v>208</v>
      </c>
      <c r="C248" s="327"/>
      <c r="D248" s="307" t="n">
        <v>0</v>
      </c>
      <c r="E248" s="328" t="n">
        <v>0</v>
      </c>
      <c r="F248" s="328"/>
      <c r="G248" s="307" t="n">
        <v>0</v>
      </c>
      <c r="H248" s="328" t="n">
        <v>0</v>
      </c>
      <c r="I248" s="328"/>
      <c r="J248" s="307" t="n">
        <v>0</v>
      </c>
      <c r="K248" s="329" t="n">
        <v>0</v>
      </c>
      <c r="L248" s="329"/>
      <c r="M248" s="2"/>
      <c r="N248" s="286"/>
      <c r="O248" s="286"/>
      <c r="P248" s="286"/>
      <c r="Q248" s="286"/>
      <c r="R248" s="286"/>
      <c r="S248" s="286"/>
      <c r="T248" s="286"/>
      <c r="U248" s="286"/>
      <c r="V248" s="286"/>
      <c r="W248" s="286"/>
      <c r="X248" s="286"/>
      <c r="Y248" s="286"/>
      <c r="Z248" s="286"/>
      <c r="AA248" s="13"/>
      <c r="AB248" s="13"/>
      <c r="AC248" s="13"/>
      <c r="AD248" s="8"/>
      <c r="AE248" s="8"/>
      <c r="AF248" s="8"/>
      <c r="AG248" s="8"/>
      <c r="AH248" s="8"/>
      <c r="AI248" s="2"/>
      <c r="AJ248" s="2"/>
      <c r="AK248" s="2"/>
      <c r="AL248" s="2"/>
      <c r="AM248" s="2"/>
      <c r="AN248" s="2"/>
      <c r="AO248" s="2"/>
      <c r="AP248" s="2"/>
      <c r="AQ248" s="2"/>
    </row>
    <row r="249" customFormat="false" ht="14.25" hidden="false" customHeight="true" outlineLevel="0" collapsed="false">
      <c r="B249" s="330" t="s">
        <v>209</v>
      </c>
      <c r="C249" s="330"/>
      <c r="D249" s="331" t="n">
        <v>0</v>
      </c>
      <c r="E249" s="332" t="n">
        <v>0</v>
      </c>
      <c r="F249" s="332"/>
      <c r="G249" s="227" t="n">
        <v>0</v>
      </c>
      <c r="H249" s="332" t="n">
        <v>0</v>
      </c>
      <c r="I249" s="332"/>
      <c r="J249" s="227" t="n">
        <v>0</v>
      </c>
      <c r="K249" s="333" t="n">
        <v>0</v>
      </c>
      <c r="L249" s="333"/>
      <c r="N249" s="286"/>
      <c r="O249" s="286"/>
      <c r="P249" s="286"/>
      <c r="Q249" s="286"/>
      <c r="R249" s="286"/>
      <c r="S249" s="286"/>
      <c r="T249" s="286"/>
      <c r="U249" s="286"/>
      <c r="V249" s="286"/>
      <c r="W249" s="286"/>
      <c r="X249" s="286"/>
      <c r="Y249" s="286"/>
      <c r="Z249" s="286"/>
      <c r="AA249" s="13"/>
      <c r="AB249" s="13"/>
      <c r="AC249" s="13"/>
      <c r="AD249" s="8"/>
      <c r="AE249" s="8"/>
      <c r="AF249" s="8"/>
      <c r="AG249" s="8"/>
      <c r="AH249" s="8"/>
    </row>
    <row r="250" customFormat="false" ht="14.25" hidden="false" customHeight="true" outlineLevel="0" collapsed="false">
      <c r="B250" s="228" t="s">
        <v>12</v>
      </c>
      <c r="C250" s="228"/>
      <c r="D250" s="229" t="n">
        <f aca="false">SUM(D248:D249)</f>
        <v>0</v>
      </c>
      <c r="E250" s="334" t="n">
        <f aca="false">SUM(E248:F249)</f>
        <v>0</v>
      </c>
      <c r="F250" s="334"/>
      <c r="G250" s="229" t="n">
        <f aca="false">SUM(G248:G249)</f>
        <v>0</v>
      </c>
      <c r="H250" s="334" t="n">
        <f aca="false">SUM(H248:I249)</f>
        <v>0</v>
      </c>
      <c r="I250" s="334"/>
      <c r="J250" s="229" t="n">
        <f aca="false">SUM(J248:J249)</f>
        <v>0</v>
      </c>
      <c r="K250" s="335" t="n">
        <f aca="false">SUM(K248:L249)</f>
        <v>0</v>
      </c>
      <c r="L250" s="335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3"/>
      <c r="AB250" s="13"/>
      <c r="AC250" s="13"/>
      <c r="AD250" s="8"/>
      <c r="AE250" s="8"/>
      <c r="AF250" s="8"/>
      <c r="AG250" s="8"/>
      <c r="AH250" s="8"/>
    </row>
    <row r="251" customFormat="false" ht="13.8" hidden="false" customHeight="false" outlineLevel="0" collapsed="false"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8"/>
      <c r="AE251" s="8"/>
      <c r="AF251" s="8"/>
      <c r="AG251" s="8"/>
      <c r="AH251" s="8"/>
    </row>
    <row r="252" customFormat="false" ht="15" hidden="false" customHeight="true" outlineLevel="0" collapsed="false">
      <c r="B252" s="11" t="s">
        <v>210</v>
      </c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8"/>
      <c r="AE252" s="8"/>
      <c r="AF252" s="8"/>
      <c r="AG252" s="8"/>
      <c r="AH252" s="8"/>
    </row>
    <row r="253" customFormat="false" ht="14.25" hidden="false" customHeight="true" outlineLevel="0" collapsed="false"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8"/>
      <c r="AE253" s="8"/>
      <c r="AF253" s="8"/>
      <c r="AG253" s="8"/>
      <c r="AH253" s="8"/>
    </row>
    <row r="254" customFormat="false" ht="13.5" hidden="false" customHeight="true" outlineLevel="0" collapsed="false">
      <c r="B254" s="336" t="s">
        <v>211</v>
      </c>
      <c r="C254" s="336"/>
      <c r="D254" s="336"/>
      <c r="E254" s="336"/>
      <c r="F254" s="336"/>
      <c r="G254" s="336"/>
      <c r="H254" s="336"/>
      <c r="I254" s="336"/>
      <c r="J254" s="336"/>
      <c r="K254" s="336"/>
      <c r="L254" s="336"/>
      <c r="M254" s="336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8"/>
      <c r="AE254" s="8"/>
      <c r="AF254" s="8"/>
      <c r="AG254" s="8"/>
      <c r="AH254" s="8"/>
    </row>
    <row r="255" customFormat="false" ht="13.8" hidden="false" customHeight="false" outlineLevel="0" collapsed="false"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8"/>
      <c r="AE255" s="8"/>
      <c r="AF255" s="8"/>
      <c r="AG255" s="8"/>
      <c r="AH255" s="8"/>
    </row>
    <row r="256" customFormat="false" ht="56.25" hidden="false" customHeight="true" outlineLevel="0" collapsed="false">
      <c r="A256" s="1" t="n">
        <v>23</v>
      </c>
      <c r="B256" s="265" t="s">
        <v>212</v>
      </c>
      <c r="C256" s="265"/>
      <c r="D256" s="265"/>
      <c r="E256" s="265"/>
      <c r="F256" s="141" t="s">
        <v>213</v>
      </c>
      <c r="G256" s="141"/>
      <c r="H256" s="294" t="s">
        <v>214</v>
      </c>
      <c r="I256" s="294"/>
      <c r="J256" s="141" t="s">
        <v>215</v>
      </c>
      <c r="K256" s="141"/>
      <c r="L256" s="294" t="s">
        <v>214</v>
      </c>
      <c r="M256" s="294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8"/>
      <c r="AE256" s="8"/>
      <c r="AF256" s="8"/>
      <c r="AG256" s="8"/>
      <c r="AH256" s="8"/>
    </row>
    <row r="257" customFormat="false" ht="15" hidden="false" customHeight="true" outlineLevel="0" collapsed="false">
      <c r="B257" s="267" t="s">
        <v>216</v>
      </c>
      <c r="C257" s="267"/>
      <c r="D257" s="267"/>
      <c r="E257" s="267"/>
      <c r="F257" s="307" t="n">
        <v>0</v>
      </c>
      <c r="G257" s="307"/>
      <c r="H257" s="179" t="n">
        <v>0</v>
      </c>
      <c r="I257" s="179"/>
      <c r="J257" s="307" t="n">
        <v>0</v>
      </c>
      <c r="K257" s="307"/>
      <c r="L257" s="179" t="n">
        <v>0</v>
      </c>
      <c r="M257" s="179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8"/>
      <c r="AE257" s="8"/>
      <c r="AF257" s="8"/>
      <c r="AG257" s="8"/>
      <c r="AH257" s="8"/>
    </row>
    <row r="258" customFormat="false" ht="27" hidden="false" customHeight="true" outlineLevel="0" collapsed="false">
      <c r="B258" s="310" t="s">
        <v>217</v>
      </c>
      <c r="C258" s="310"/>
      <c r="D258" s="310"/>
      <c r="E258" s="310"/>
      <c r="F258" s="227" t="n">
        <v>0</v>
      </c>
      <c r="G258" s="227"/>
      <c r="H258" s="170" t="n">
        <v>0</v>
      </c>
      <c r="I258" s="170"/>
      <c r="J258" s="227" t="n">
        <v>0</v>
      </c>
      <c r="K258" s="227"/>
      <c r="L258" s="170" t="n">
        <v>0</v>
      </c>
      <c r="M258" s="170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8"/>
      <c r="AE258" s="8"/>
      <c r="AF258" s="8"/>
      <c r="AG258" s="8"/>
      <c r="AH258" s="8"/>
    </row>
    <row r="259" customFormat="false" ht="13.8" hidden="false" customHeight="true" outlineLevel="0" collapsed="false">
      <c r="B259" s="337" t="s">
        <v>12</v>
      </c>
      <c r="C259" s="337"/>
      <c r="D259" s="337"/>
      <c r="E259" s="337"/>
      <c r="F259" s="229" t="n">
        <f aca="false">SUM(F257:G258)</f>
        <v>0</v>
      </c>
      <c r="G259" s="229"/>
      <c r="H259" s="230" t="n">
        <f aca="false">SUM(H257:I258)</f>
        <v>0</v>
      </c>
      <c r="I259" s="230"/>
      <c r="J259" s="229" t="n">
        <f aca="false">SUM(J257:K258)</f>
        <v>0</v>
      </c>
      <c r="K259" s="229"/>
      <c r="L259" s="230" t="n">
        <f aca="false">SUM(L257:M258)</f>
        <v>0</v>
      </c>
      <c r="M259" s="230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  <c r="AA259" s="13"/>
      <c r="AB259" s="13"/>
      <c r="AC259" s="13"/>
      <c r="AD259" s="8"/>
      <c r="AE259" s="8"/>
      <c r="AF259" s="8"/>
      <c r="AG259" s="8"/>
      <c r="AH259" s="8"/>
    </row>
    <row r="260" customFormat="false" ht="15" hidden="false" customHeight="true" outlineLevel="0" collapsed="false">
      <c r="B260" s="267" t="s">
        <v>218</v>
      </c>
      <c r="C260" s="267"/>
      <c r="D260" s="267"/>
      <c r="E260" s="267"/>
      <c r="F260" s="307" t="n">
        <v>0</v>
      </c>
      <c r="G260" s="307"/>
      <c r="H260" s="179" t="n">
        <v>0</v>
      </c>
      <c r="I260" s="179"/>
      <c r="J260" s="307" t="n">
        <v>0</v>
      </c>
      <c r="K260" s="307"/>
      <c r="L260" s="179" t="n">
        <v>0</v>
      </c>
      <c r="M260" s="179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  <c r="AA260" s="13"/>
      <c r="AB260" s="13"/>
      <c r="AC260" s="13"/>
      <c r="AD260" s="8"/>
      <c r="AE260" s="8"/>
      <c r="AF260" s="8"/>
      <c r="AG260" s="8"/>
      <c r="AH260" s="8"/>
    </row>
    <row r="261" customFormat="false" ht="14.25" hidden="false" customHeight="true" outlineLevel="0" collapsed="false">
      <c r="B261" s="214" t="s">
        <v>219</v>
      </c>
      <c r="C261" s="214"/>
      <c r="D261" s="214"/>
      <c r="E261" s="214"/>
      <c r="F261" s="215" t="n">
        <v>0</v>
      </c>
      <c r="G261" s="215"/>
      <c r="H261" s="153" t="n">
        <v>0</v>
      </c>
      <c r="I261" s="153"/>
      <c r="J261" s="215" t="n">
        <v>0</v>
      </c>
      <c r="K261" s="215"/>
      <c r="L261" s="153" t="n">
        <v>0</v>
      </c>
      <c r="M261" s="153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  <c r="AA261" s="13"/>
      <c r="AB261" s="13"/>
      <c r="AC261" s="13"/>
      <c r="AD261" s="8"/>
      <c r="AE261" s="8"/>
      <c r="AF261" s="8"/>
      <c r="AG261" s="8"/>
      <c r="AH261" s="8"/>
    </row>
    <row r="262" customFormat="false" ht="15" hidden="false" customHeight="true" outlineLevel="0" collapsed="false">
      <c r="B262" s="310" t="s">
        <v>220</v>
      </c>
      <c r="C262" s="310"/>
      <c r="D262" s="310"/>
      <c r="E262" s="310"/>
      <c r="F262" s="227" t="n">
        <v>0</v>
      </c>
      <c r="G262" s="227"/>
      <c r="H262" s="170" t="n">
        <v>0</v>
      </c>
      <c r="I262" s="170"/>
      <c r="J262" s="227" t="n">
        <v>0</v>
      </c>
      <c r="K262" s="227"/>
      <c r="L262" s="170" t="n">
        <v>0</v>
      </c>
      <c r="M262" s="170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  <c r="AA262" s="13"/>
      <c r="AB262" s="13"/>
      <c r="AC262" s="13"/>
      <c r="AD262" s="8"/>
      <c r="AE262" s="8"/>
      <c r="AF262" s="8"/>
      <c r="AG262" s="8"/>
      <c r="AH262" s="8"/>
    </row>
    <row r="263" customFormat="false" ht="14.25" hidden="false" customHeight="true" outlineLevel="0" collapsed="false">
      <c r="B263" s="338"/>
      <c r="C263" s="338"/>
      <c r="D263" s="338"/>
      <c r="E263" s="338"/>
      <c r="F263" s="165"/>
      <c r="G263" s="234"/>
      <c r="H263" s="234"/>
      <c r="I263" s="165"/>
      <c r="J263" s="165"/>
      <c r="K263" s="165"/>
      <c r="L263" s="165"/>
      <c r="M263" s="165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8"/>
      <c r="AE263" s="8"/>
      <c r="AF263" s="8"/>
      <c r="AG263" s="8"/>
      <c r="AH263" s="8"/>
    </row>
    <row r="264" customFormat="false" ht="29.25" hidden="false" customHeight="true" outlineLevel="0" collapsed="false">
      <c r="B264" s="339" t="s">
        <v>221</v>
      </c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39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8"/>
      <c r="AE264" s="8"/>
      <c r="AF264" s="8"/>
      <c r="AG264" s="8"/>
      <c r="AH264" s="8"/>
    </row>
    <row r="265" customFormat="false" ht="13.8" hidden="false" customHeight="false" outlineLevel="0" collapsed="false">
      <c r="A265" s="1" t="n">
        <v>24</v>
      </c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8"/>
      <c r="AE265" s="8"/>
      <c r="AF265" s="8"/>
      <c r="AG265" s="8"/>
      <c r="AH265" s="8"/>
    </row>
    <row r="266" customFormat="false" ht="13.5" hidden="false" customHeight="true" outlineLevel="0" collapsed="false">
      <c r="B266" s="204" t="s">
        <v>222</v>
      </c>
      <c r="C266" s="204"/>
      <c r="D266" s="204"/>
      <c r="E266" s="204"/>
      <c r="F266" s="288" t="s">
        <v>223</v>
      </c>
      <c r="G266" s="288"/>
      <c r="H266" s="288"/>
      <c r="I266" s="288"/>
      <c r="J266" s="288"/>
      <c r="K266" s="288"/>
      <c r="L266" s="288"/>
      <c r="M266" s="288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8"/>
      <c r="AE266" s="8"/>
      <c r="AF266" s="8"/>
      <c r="AG266" s="8"/>
      <c r="AH266" s="8"/>
    </row>
    <row r="267" customFormat="false" ht="22.35" hidden="false" customHeight="false" outlineLevel="0" collapsed="false">
      <c r="B267" s="204"/>
      <c r="C267" s="204"/>
      <c r="D267" s="204"/>
      <c r="E267" s="204"/>
      <c r="F267" s="340" t="s">
        <v>36</v>
      </c>
      <c r="G267" s="341" t="s">
        <v>37</v>
      </c>
      <c r="H267" s="341" t="s">
        <v>38</v>
      </c>
      <c r="I267" s="341" t="s">
        <v>39</v>
      </c>
      <c r="J267" s="341" t="s">
        <v>224</v>
      </c>
      <c r="K267" s="341" t="s">
        <v>41</v>
      </c>
      <c r="L267" s="342" t="s">
        <v>42</v>
      </c>
      <c r="M267" s="343" t="s">
        <v>12</v>
      </c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8"/>
      <c r="AE267" s="8"/>
      <c r="AF267" s="8"/>
      <c r="AG267" s="8"/>
      <c r="AH267" s="8"/>
    </row>
    <row r="268" customFormat="false" ht="13.8" hidden="false" customHeight="false" outlineLevel="0" collapsed="false">
      <c r="B268" s="210" t="s">
        <v>225</v>
      </c>
      <c r="C268" s="210"/>
      <c r="D268" s="210"/>
      <c r="E268" s="210"/>
      <c r="F268" s="344" t="n">
        <v>0</v>
      </c>
      <c r="G268" s="345" t="n">
        <v>0</v>
      </c>
      <c r="H268" s="345" t="n">
        <v>0</v>
      </c>
      <c r="I268" s="345" t="n">
        <v>0</v>
      </c>
      <c r="J268" s="345" t="n">
        <v>0</v>
      </c>
      <c r="K268" s="345" t="n">
        <v>0</v>
      </c>
      <c r="L268" s="346" t="n">
        <v>0</v>
      </c>
      <c r="M268" s="347" t="n">
        <f aca="false">SUM(F268:L268)</f>
        <v>0</v>
      </c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8"/>
      <c r="AE268" s="8"/>
      <c r="AF268" s="8"/>
      <c r="AG268" s="8"/>
      <c r="AH268" s="8"/>
    </row>
    <row r="269" customFormat="false" ht="13.8" hidden="false" customHeight="false" outlineLevel="0" collapsed="false">
      <c r="B269" s="216" t="s">
        <v>226</v>
      </c>
      <c r="C269" s="216"/>
      <c r="D269" s="216"/>
      <c r="E269" s="216"/>
      <c r="F269" s="271" t="n">
        <v>0</v>
      </c>
      <c r="G269" s="272" t="n">
        <v>0</v>
      </c>
      <c r="H269" s="272" t="n">
        <v>0</v>
      </c>
      <c r="I269" s="272" t="n">
        <v>0</v>
      </c>
      <c r="J269" s="272" t="n">
        <v>0</v>
      </c>
      <c r="K269" s="272" t="n">
        <v>0</v>
      </c>
      <c r="L269" s="348" t="n">
        <v>0</v>
      </c>
      <c r="M269" s="273" t="n">
        <f aca="false">SUM(F269:L269)</f>
        <v>0</v>
      </c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8"/>
      <c r="AE269" s="8"/>
      <c r="AF269" s="8"/>
      <c r="AG269" s="8"/>
      <c r="AH269" s="8"/>
    </row>
    <row r="270" customFormat="false" ht="13.8" hidden="false" customHeight="false" outlineLevel="0" collapsed="false">
      <c r="B270" s="216" t="s">
        <v>227</v>
      </c>
      <c r="C270" s="216"/>
      <c r="D270" s="216"/>
      <c r="E270" s="216"/>
      <c r="F270" s="271" t="n">
        <v>0</v>
      </c>
      <c r="G270" s="272" t="n">
        <v>0</v>
      </c>
      <c r="H270" s="272" t="n">
        <v>0</v>
      </c>
      <c r="I270" s="272" t="n">
        <v>0</v>
      </c>
      <c r="J270" s="272" t="n">
        <v>0</v>
      </c>
      <c r="K270" s="272" t="n">
        <v>0</v>
      </c>
      <c r="L270" s="348" t="n">
        <v>0</v>
      </c>
      <c r="M270" s="273" t="n">
        <f aca="false">SUM(F270:L270)</f>
        <v>0</v>
      </c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8"/>
      <c r="AE270" s="8"/>
      <c r="AF270" s="8"/>
      <c r="AG270" s="8"/>
      <c r="AH270" s="8"/>
    </row>
    <row r="271" customFormat="false" ht="13.8" hidden="false" customHeight="false" outlineLevel="0" collapsed="false">
      <c r="B271" s="216" t="s">
        <v>228</v>
      </c>
      <c r="C271" s="216"/>
      <c r="D271" s="216"/>
      <c r="E271" s="216"/>
      <c r="F271" s="271" t="n">
        <v>0</v>
      </c>
      <c r="G271" s="272" t="n">
        <v>0</v>
      </c>
      <c r="H271" s="272" t="n">
        <v>0</v>
      </c>
      <c r="I271" s="272" t="n">
        <v>0</v>
      </c>
      <c r="J271" s="272" t="n">
        <v>0</v>
      </c>
      <c r="K271" s="272" t="n">
        <v>0</v>
      </c>
      <c r="L271" s="348" t="n">
        <v>0</v>
      </c>
      <c r="M271" s="273" t="n">
        <f aca="false">SUM(F271:L271)</f>
        <v>0</v>
      </c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8"/>
      <c r="AE271" s="8"/>
      <c r="AF271" s="8"/>
      <c r="AG271" s="8"/>
      <c r="AH271" s="8"/>
    </row>
    <row r="272" customFormat="false" ht="13.8" hidden="false" customHeight="false" outlineLevel="0" collapsed="false">
      <c r="B272" s="216" t="s">
        <v>229</v>
      </c>
      <c r="C272" s="216"/>
      <c r="D272" s="216"/>
      <c r="E272" s="216"/>
      <c r="F272" s="271" t="n">
        <v>0</v>
      </c>
      <c r="G272" s="272" t="n">
        <v>0</v>
      </c>
      <c r="H272" s="272" t="n">
        <v>0</v>
      </c>
      <c r="I272" s="272" t="n">
        <v>0</v>
      </c>
      <c r="J272" s="272" t="n">
        <v>0</v>
      </c>
      <c r="K272" s="272" t="n">
        <v>0</v>
      </c>
      <c r="L272" s="348" t="n">
        <v>0</v>
      </c>
      <c r="M272" s="273" t="n">
        <f aca="false">SUM(F272:L272)</f>
        <v>0</v>
      </c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8"/>
      <c r="AE272" s="8"/>
      <c r="AF272" s="8"/>
      <c r="AG272" s="8"/>
      <c r="AH272" s="8"/>
    </row>
    <row r="273" customFormat="false" ht="13.8" hidden="false" customHeight="false" outlineLevel="0" collapsed="false">
      <c r="B273" s="297" t="s">
        <v>142</v>
      </c>
      <c r="C273" s="297"/>
      <c r="D273" s="297"/>
      <c r="E273" s="297"/>
      <c r="F273" s="298" t="n">
        <v>0</v>
      </c>
      <c r="G273" s="349" t="n">
        <v>0</v>
      </c>
      <c r="H273" s="349" t="n">
        <v>0</v>
      </c>
      <c r="I273" s="349" t="n">
        <v>0</v>
      </c>
      <c r="J273" s="349" t="n">
        <v>0</v>
      </c>
      <c r="K273" s="349" t="n">
        <v>0</v>
      </c>
      <c r="L273" s="350" t="n">
        <v>0</v>
      </c>
      <c r="M273" s="300" t="n">
        <f aca="false">SUM(F273:L273)</f>
        <v>0</v>
      </c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8"/>
      <c r="AE273" s="8"/>
      <c r="AF273" s="8"/>
      <c r="AG273" s="8"/>
      <c r="AH273" s="8"/>
    </row>
    <row r="274" customFormat="false" ht="13.8" hidden="false" customHeight="false" outlineLevel="0" collapsed="false">
      <c r="B274" s="351" t="s">
        <v>12</v>
      </c>
      <c r="C274" s="351"/>
      <c r="D274" s="351"/>
      <c r="E274" s="351"/>
      <c r="F274" s="352" t="n">
        <f aca="false">SUM(F268:F273)</f>
        <v>0</v>
      </c>
      <c r="G274" s="353" t="n">
        <f aca="false">SUM(G268:G273)</f>
        <v>0</v>
      </c>
      <c r="H274" s="353" t="n">
        <f aca="false">SUM(H268:H273)</f>
        <v>0</v>
      </c>
      <c r="I274" s="353" t="n">
        <f aca="false">SUM(I268:I273)</f>
        <v>0</v>
      </c>
      <c r="J274" s="353" t="n">
        <f aca="false">SUM(J268:J273)</f>
        <v>0</v>
      </c>
      <c r="K274" s="353" t="n">
        <f aca="false">SUM(K268:K273)</f>
        <v>0</v>
      </c>
      <c r="L274" s="354" t="n">
        <f aca="false">SUM(L268:L273)</f>
        <v>0</v>
      </c>
      <c r="M274" s="355" t="n">
        <f aca="false">SUM(M268:M273)</f>
        <v>0</v>
      </c>
      <c r="N274" s="356"/>
      <c r="O274" s="356"/>
      <c r="P274" s="356"/>
      <c r="Q274" s="356"/>
      <c r="R274" s="356"/>
      <c r="S274" s="356"/>
      <c r="T274" s="356"/>
      <c r="U274" s="356"/>
      <c r="V274" s="356"/>
      <c r="W274" s="356"/>
      <c r="X274" s="356"/>
      <c r="Y274" s="356"/>
      <c r="Z274" s="356"/>
      <c r="AA274" s="13"/>
      <c r="AB274" s="13"/>
      <c r="AC274" s="13"/>
      <c r="AD274" s="8"/>
      <c r="AE274" s="8"/>
      <c r="AF274" s="8"/>
      <c r="AG274" s="8"/>
      <c r="AH274" s="8"/>
    </row>
    <row r="275" customFormat="false" ht="14.25" hidden="false" customHeight="true" outlineLevel="0" collapsed="false">
      <c r="B275" s="233"/>
      <c r="C275" s="233"/>
      <c r="D275" s="233"/>
      <c r="E275" s="233"/>
      <c r="F275" s="165"/>
      <c r="G275" s="165"/>
      <c r="H275" s="165"/>
      <c r="I275" s="165"/>
      <c r="J275" s="165"/>
      <c r="K275" s="165"/>
      <c r="L275" s="165"/>
      <c r="M275" s="165"/>
      <c r="N275" s="356"/>
      <c r="O275" s="356"/>
      <c r="P275" s="356"/>
      <c r="Q275" s="356"/>
      <c r="R275" s="356"/>
      <c r="S275" s="356"/>
      <c r="T275" s="356"/>
      <c r="U275" s="356"/>
      <c r="V275" s="356"/>
      <c r="W275" s="356"/>
      <c r="X275" s="356"/>
      <c r="Y275" s="356"/>
      <c r="Z275" s="356"/>
      <c r="AA275" s="13"/>
      <c r="AB275" s="13"/>
      <c r="AC275" s="13"/>
      <c r="AD275" s="8"/>
      <c r="AE275" s="8"/>
      <c r="AF275" s="8"/>
      <c r="AG275" s="8"/>
      <c r="AH275" s="8"/>
    </row>
    <row r="276" customFormat="false" ht="31.5" hidden="false" customHeight="true" outlineLevel="0" collapsed="false">
      <c r="B276" s="339" t="s">
        <v>230</v>
      </c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39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8"/>
      <c r="AE276" s="8"/>
      <c r="AF276" s="8"/>
      <c r="AG276" s="8"/>
      <c r="AH276" s="8"/>
    </row>
    <row r="277" customFormat="false" ht="13.8" hidden="false" customHeight="false" outlineLevel="0" collapsed="false"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8"/>
      <c r="AE277" s="8"/>
      <c r="AF277" s="8"/>
      <c r="AG277" s="8"/>
      <c r="AH277" s="8"/>
    </row>
    <row r="278" customFormat="false" ht="14.25" hidden="false" customHeight="true" outlineLevel="0" collapsed="false">
      <c r="A278" s="1" t="n">
        <v>25</v>
      </c>
      <c r="B278" s="204" t="s">
        <v>222</v>
      </c>
      <c r="C278" s="204"/>
      <c r="D278" s="204"/>
      <c r="E278" s="204"/>
      <c r="F278" s="288" t="s">
        <v>223</v>
      </c>
      <c r="G278" s="288"/>
      <c r="H278" s="288"/>
      <c r="I278" s="288"/>
      <c r="J278" s="288"/>
      <c r="K278" s="288"/>
      <c r="L278" s="288"/>
      <c r="M278" s="288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8"/>
      <c r="AE278" s="8"/>
      <c r="AF278" s="8"/>
      <c r="AG278" s="8"/>
      <c r="AH278" s="8"/>
    </row>
    <row r="279" customFormat="false" ht="22.35" hidden="false" customHeight="false" outlineLevel="0" collapsed="false">
      <c r="B279" s="204"/>
      <c r="C279" s="204"/>
      <c r="D279" s="204"/>
      <c r="E279" s="204"/>
      <c r="F279" s="340" t="s">
        <v>36</v>
      </c>
      <c r="G279" s="341" t="s">
        <v>37</v>
      </c>
      <c r="H279" s="341" t="s">
        <v>38</v>
      </c>
      <c r="I279" s="341" t="s">
        <v>39</v>
      </c>
      <c r="J279" s="341" t="s">
        <v>40</v>
      </c>
      <c r="K279" s="341" t="s">
        <v>41</v>
      </c>
      <c r="L279" s="342" t="s">
        <v>42</v>
      </c>
      <c r="M279" s="343" t="s">
        <v>12</v>
      </c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8"/>
      <c r="AE279" s="8"/>
      <c r="AF279" s="8"/>
      <c r="AG279" s="8"/>
      <c r="AH279" s="8"/>
    </row>
    <row r="280" customFormat="false" ht="14.25" hidden="false" customHeight="true" outlineLevel="0" collapsed="false">
      <c r="B280" s="210" t="s">
        <v>225</v>
      </c>
      <c r="C280" s="210"/>
      <c r="D280" s="210"/>
      <c r="E280" s="210"/>
      <c r="F280" s="344" t="n">
        <v>0</v>
      </c>
      <c r="G280" s="345" t="n">
        <v>0</v>
      </c>
      <c r="H280" s="345" t="n">
        <v>0</v>
      </c>
      <c r="I280" s="345" t="n">
        <v>0</v>
      </c>
      <c r="J280" s="345" t="n">
        <v>0</v>
      </c>
      <c r="K280" s="345" t="n">
        <v>0</v>
      </c>
      <c r="L280" s="346" t="n">
        <v>0</v>
      </c>
      <c r="M280" s="270" t="n">
        <f aca="false">SUM(F280:L280)</f>
        <v>0</v>
      </c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8"/>
      <c r="AE280" s="8"/>
      <c r="AF280" s="8"/>
      <c r="AG280" s="8"/>
      <c r="AH280" s="8"/>
    </row>
    <row r="281" customFormat="false" ht="14.25" hidden="false" customHeight="true" outlineLevel="0" collapsed="false">
      <c r="B281" s="216" t="s">
        <v>226</v>
      </c>
      <c r="C281" s="216"/>
      <c r="D281" s="216"/>
      <c r="E281" s="216"/>
      <c r="F281" s="271" t="n">
        <v>0</v>
      </c>
      <c r="G281" s="272" t="n">
        <v>0</v>
      </c>
      <c r="H281" s="272" t="n">
        <v>0</v>
      </c>
      <c r="I281" s="272" t="n">
        <v>0</v>
      </c>
      <c r="J281" s="272" t="n">
        <v>0</v>
      </c>
      <c r="K281" s="272" t="n">
        <v>0</v>
      </c>
      <c r="L281" s="348" t="n">
        <v>0</v>
      </c>
      <c r="M281" s="273" t="n">
        <f aca="false">SUM(F281:L281)</f>
        <v>0</v>
      </c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8"/>
      <c r="AE281" s="8"/>
      <c r="AF281" s="8"/>
      <c r="AG281" s="8"/>
      <c r="AH281" s="8"/>
    </row>
    <row r="282" customFormat="false" ht="14.25" hidden="false" customHeight="true" outlineLevel="0" collapsed="false">
      <c r="B282" s="216" t="s">
        <v>227</v>
      </c>
      <c r="C282" s="216"/>
      <c r="D282" s="216"/>
      <c r="E282" s="216"/>
      <c r="F282" s="271" t="n">
        <v>0</v>
      </c>
      <c r="G282" s="272" t="n">
        <v>0</v>
      </c>
      <c r="H282" s="272" t="n">
        <v>0</v>
      </c>
      <c r="I282" s="272" t="n">
        <v>0</v>
      </c>
      <c r="J282" s="272" t="n">
        <v>0</v>
      </c>
      <c r="K282" s="272" t="n">
        <v>0</v>
      </c>
      <c r="L282" s="348" t="n">
        <v>0</v>
      </c>
      <c r="M282" s="273" t="n">
        <f aca="false">SUM(F282:L282)</f>
        <v>0</v>
      </c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8"/>
      <c r="AE282" s="8"/>
      <c r="AF282" s="8"/>
      <c r="AG282" s="8"/>
      <c r="AH282" s="8"/>
    </row>
    <row r="283" customFormat="false" ht="14.25" hidden="false" customHeight="true" outlineLevel="0" collapsed="false">
      <c r="B283" s="216" t="s">
        <v>228</v>
      </c>
      <c r="C283" s="216"/>
      <c r="D283" s="216"/>
      <c r="E283" s="216"/>
      <c r="F283" s="271" t="n">
        <v>0</v>
      </c>
      <c r="G283" s="272" t="n">
        <v>0</v>
      </c>
      <c r="H283" s="272" t="n">
        <v>0</v>
      </c>
      <c r="I283" s="272" t="n">
        <v>0</v>
      </c>
      <c r="J283" s="272" t="n">
        <v>0</v>
      </c>
      <c r="K283" s="272" t="n">
        <v>0</v>
      </c>
      <c r="L283" s="348" t="n">
        <v>0</v>
      </c>
      <c r="M283" s="273" t="n">
        <f aca="false">SUM(F283:L283)</f>
        <v>0</v>
      </c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8"/>
      <c r="AE283" s="8"/>
      <c r="AF283" s="8"/>
      <c r="AG283" s="8"/>
      <c r="AH283" s="8"/>
    </row>
    <row r="284" customFormat="false" ht="14.25" hidden="false" customHeight="true" outlineLevel="0" collapsed="false">
      <c r="B284" s="216" t="s">
        <v>229</v>
      </c>
      <c r="C284" s="216"/>
      <c r="D284" s="216"/>
      <c r="E284" s="216"/>
      <c r="F284" s="271" t="n">
        <v>0</v>
      </c>
      <c r="G284" s="272" t="n">
        <v>0</v>
      </c>
      <c r="H284" s="272" t="n">
        <v>0</v>
      </c>
      <c r="I284" s="272" t="n">
        <v>0</v>
      </c>
      <c r="J284" s="272" t="n">
        <v>0</v>
      </c>
      <c r="K284" s="272" t="n">
        <v>0</v>
      </c>
      <c r="L284" s="348" t="n">
        <v>0</v>
      </c>
      <c r="M284" s="273" t="n">
        <f aca="false">SUM(F284:L284)</f>
        <v>0</v>
      </c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8"/>
      <c r="AE284" s="8"/>
      <c r="AF284" s="8"/>
      <c r="AG284" s="8"/>
      <c r="AH284" s="8"/>
    </row>
    <row r="285" customFormat="false" ht="13.8" hidden="false" customHeight="false" outlineLevel="0" collapsed="false">
      <c r="B285" s="297" t="s">
        <v>142</v>
      </c>
      <c r="C285" s="297"/>
      <c r="D285" s="297"/>
      <c r="E285" s="297"/>
      <c r="F285" s="357" t="n">
        <v>0</v>
      </c>
      <c r="G285" s="349" t="n">
        <v>0</v>
      </c>
      <c r="H285" s="349" t="n">
        <v>0</v>
      </c>
      <c r="I285" s="349" t="n">
        <v>0</v>
      </c>
      <c r="J285" s="349" t="n">
        <v>0</v>
      </c>
      <c r="K285" s="349" t="n">
        <v>0</v>
      </c>
      <c r="L285" s="350" t="n">
        <v>0</v>
      </c>
      <c r="M285" s="300" t="n">
        <f aca="false">SUM(F285:L285)</f>
        <v>0</v>
      </c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8"/>
      <c r="AE285" s="8"/>
      <c r="AF285" s="8"/>
      <c r="AG285" s="8"/>
      <c r="AH285" s="8"/>
    </row>
    <row r="286" customFormat="false" ht="13.8" hidden="false" customHeight="false" outlineLevel="0" collapsed="false">
      <c r="B286" s="351" t="s">
        <v>231</v>
      </c>
      <c r="C286" s="351"/>
      <c r="D286" s="351"/>
      <c r="E286" s="351"/>
      <c r="F286" s="358" t="n">
        <f aca="false">SUM(F280:F285)</f>
        <v>0</v>
      </c>
      <c r="G286" s="278" t="n">
        <f aca="false">SUM(G280:G285)</f>
        <v>0</v>
      </c>
      <c r="H286" s="278" t="n">
        <f aca="false">SUM(H280:H285)</f>
        <v>0</v>
      </c>
      <c r="I286" s="278" t="n">
        <f aca="false">SUM(I280:I285)</f>
        <v>0</v>
      </c>
      <c r="J286" s="278" t="n">
        <f aca="false">SUM(J280:J285)</f>
        <v>0</v>
      </c>
      <c r="K286" s="278" t="n">
        <f aca="false">SUM(K280:K285)</f>
        <v>0</v>
      </c>
      <c r="L286" s="354" t="n">
        <f aca="false">SUM(L280:L285)</f>
        <v>0</v>
      </c>
      <c r="M286" s="355" t="n">
        <f aca="false">SUM(M280:M285)</f>
        <v>0</v>
      </c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  <c r="AA286" s="13"/>
      <c r="AB286" s="13"/>
      <c r="AC286" s="13"/>
      <c r="AD286" s="8"/>
      <c r="AE286" s="8"/>
      <c r="AF286" s="8"/>
      <c r="AG286" s="8"/>
      <c r="AH286" s="8"/>
    </row>
    <row r="287" customFormat="false" ht="13.8" hidden="false" customHeight="false" outlineLevel="0" collapsed="false"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8"/>
      <c r="AE287" s="8"/>
      <c r="AF287" s="8"/>
      <c r="AG287" s="8"/>
      <c r="AH287" s="8"/>
    </row>
    <row r="288" customFormat="false" ht="13.8" hidden="false" customHeight="false" outlineLevel="0" collapsed="false">
      <c r="B288" s="359" t="s">
        <v>232</v>
      </c>
      <c r="C288" s="359"/>
      <c r="D288" s="359"/>
      <c r="E288" s="359"/>
      <c r="F288" s="359"/>
      <c r="G288" s="359"/>
      <c r="H288" s="359"/>
      <c r="I288" s="359"/>
      <c r="J288" s="359"/>
      <c r="K288" s="359"/>
      <c r="L288" s="359"/>
      <c r="M288" s="359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8"/>
      <c r="AE288" s="8"/>
      <c r="AF288" s="8"/>
      <c r="AG288" s="8"/>
      <c r="AH288" s="8"/>
    </row>
    <row r="289" customFormat="false" ht="14.25" hidden="false" customHeight="true" outlineLevel="0" collapsed="false">
      <c r="B289" s="36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8"/>
      <c r="AE289" s="8"/>
      <c r="AF289" s="8"/>
      <c r="AG289" s="8"/>
      <c r="AH289" s="8"/>
    </row>
    <row r="290" customFormat="false" ht="13.8" hidden="false" customHeight="false" outlineLevel="0" collapsed="false">
      <c r="B290" s="174" t="s">
        <v>233</v>
      </c>
      <c r="C290" s="174"/>
      <c r="D290" s="174"/>
      <c r="E290" s="174"/>
      <c r="F290" s="174"/>
      <c r="G290" s="174"/>
      <c r="H290" s="174"/>
      <c r="I290" s="174"/>
      <c r="J290" s="174"/>
      <c r="K290" s="174"/>
      <c r="L290" s="174"/>
      <c r="M290" s="174"/>
      <c r="N290" s="92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8"/>
      <c r="AE290" s="8"/>
      <c r="AF290" s="8"/>
      <c r="AG290" s="8"/>
      <c r="AH290" s="8"/>
    </row>
    <row r="291" customFormat="false" ht="13.8" hidden="false" customHeight="false" outlineLevel="0" collapsed="false">
      <c r="N291" s="92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8"/>
      <c r="AE291" s="8"/>
      <c r="AF291" s="8"/>
      <c r="AG291" s="8"/>
      <c r="AH291" s="8"/>
    </row>
    <row r="292" customFormat="false" ht="30.75" hidden="false" customHeight="true" outlineLevel="0" collapsed="false">
      <c r="A292" s="1" t="n">
        <v>26</v>
      </c>
      <c r="B292" s="361" t="s">
        <v>234</v>
      </c>
      <c r="C292" s="361"/>
      <c r="D292" s="362" t="s">
        <v>235</v>
      </c>
      <c r="E292" s="362"/>
      <c r="F292" s="362" t="s">
        <v>236</v>
      </c>
      <c r="G292" s="362"/>
      <c r="H292" s="362" t="s">
        <v>237</v>
      </c>
      <c r="I292" s="362"/>
      <c r="J292" s="92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8"/>
      <c r="AA292" s="8"/>
      <c r="AB292" s="8"/>
      <c r="AC292" s="8"/>
      <c r="AD292" s="8"/>
    </row>
    <row r="293" customFormat="false" ht="27.75" hidden="false" customHeight="true" outlineLevel="0" collapsed="false">
      <c r="B293" s="361"/>
      <c r="C293" s="361"/>
      <c r="D293" s="208" t="s">
        <v>238</v>
      </c>
      <c r="E293" s="209" t="s">
        <v>239</v>
      </c>
      <c r="F293" s="208" t="s">
        <v>238</v>
      </c>
      <c r="G293" s="209" t="s">
        <v>239</v>
      </c>
      <c r="H293" s="208" t="s">
        <v>238</v>
      </c>
      <c r="I293" s="209" t="s">
        <v>239</v>
      </c>
      <c r="J293" s="92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8"/>
      <c r="AA293" s="8"/>
      <c r="AB293" s="8"/>
      <c r="AC293" s="8"/>
      <c r="AD293" s="8"/>
    </row>
    <row r="294" customFormat="false" ht="14.25" hidden="false" customHeight="true" outlineLevel="0" collapsed="false">
      <c r="B294" s="210" t="s">
        <v>240</v>
      </c>
      <c r="C294" s="210"/>
      <c r="D294" s="211" t="n">
        <v>0</v>
      </c>
      <c r="E294" s="212" t="n">
        <v>0</v>
      </c>
      <c r="F294" s="211" t="n">
        <v>0</v>
      </c>
      <c r="G294" s="212" t="n">
        <v>0</v>
      </c>
      <c r="H294" s="211" t="n">
        <v>0</v>
      </c>
      <c r="I294" s="212" t="n">
        <v>0</v>
      </c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8"/>
      <c r="AA294" s="8"/>
      <c r="AB294" s="8"/>
      <c r="AC294" s="8"/>
      <c r="AD294" s="8"/>
    </row>
    <row r="295" customFormat="false" ht="14.25" hidden="false" customHeight="true" outlineLevel="0" collapsed="false">
      <c r="B295" s="251" t="s">
        <v>241</v>
      </c>
      <c r="C295" s="251"/>
      <c r="D295" s="215" t="n">
        <v>0</v>
      </c>
      <c r="E295" s="153" t="n">
        <v>0</v>
      </c>
      <c r="F295" s="211" t="n">
        <v>0</v>
      </c>
      <c r="G295" s="212" t="n">
        <v>0</v>
      </c>
      <c r="H295" s="215" t="n">
        <v>0</v>
      </c>
      <c r="I295" s="153" t="n">
        <v>0</v>
      </c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8"/>
      <c r="AA295" s="8"/>
      <c r="AB295" s="8"/>
      <c r="AC295" s="8"/>
      <c r="AD295" s="8"/>
    </row>
    <row r="296" customFormat="false" ht="14.25" hidden="false" customHeight="true" outlineLevel="0" collapsed="false">
      <c r="B296" s="253" t="s">
        <v>242</v>
      </c>
      <c r="C296" s="253"/>
      <c r="D296" s="215" t="n">
        <v>0</v>
      </c>
      <c r="E296" s="153" t="n">
        <v>0</v>
      </c>
      <c r="F296" s="211" t="n">
        <v>0</v>
      </c>
      <c r="G296" s="212" t="n">
        <v>0</v>
      </c>
      <c r="H296" s="215" t="n">
        <v>0</v>
      </c>
      <c r="I296" s="153" t="n">
        <v>0</v>
      </c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8"/>
      <c r="AA296" s="8"/>
      <c r="AB296" s="8"/>
      <c r="AC296" s="8"/>
      <c r="AD296" s="8"/>
    </row>
    <row r="297" customFormat="false" ht="14.25" hidden="false" customHeight="true" outlineLevel="0" collapsed="false">
      <c r="B297" s="253" t="s">
        <v>243</v>
      </c>
      <c r="C297" s="253"/>
      <c r="D297" s="215" t="n">
        <v>0</v>
      </c>
      <c r="E297" s="153" t="n">
        <v>0</v>
      </c>
      <c r="F297" s="211" t="n">
        <v>0</v>
      </c>
      <c r="G297" s="212" t="n">
        <v>0</v>
      </c>
      <c r="H297" s="215" t="n">
        <v>0</v>
      </c>
      <c r="I297" s="153" t="n">
        <v>0</v>
      </c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8"/>
      <c r="AA297" s="8"/>
      <c r="AB297" s="8"/>
      <c r="AC297" s="8"/>
      <c r="AD297" s="8"/>
    </row>
    <row r="298" customFormat="false" ht="14.25" hidden="false" customHeight="true" outlineLevel="0" collapsed="false">
      <c r="B298" s="253" t="s">
        <v>244</v>
      </c>
      <c r="C298" s="253"/>
      <c r="D298" s="215" t="n">
        <v>0</v>
      </c>
      <c r="E298" s="217" t="n">
        <v>0</v>
      </c>
      <c r="F298" s="211" t="n">
        <v>0</v>
      </c>
      <c r="G298" s="212" t="n">
        <v>0</v>
      </c>
      <c r="H298" s="215" t="n">
        <v>0</v>
      </c>
      <c r="I298" s="153" t="n">
        <v>0</v>
      </c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8"/>
      <c r="AA298" s="8"/>
      <c r="AB298" s="8"/>
      <c r="AC298" s="8"/>
      <c r="AD298" s="8"/>
    </row>
    <row r="299" customFormat="false" ht="12" hidden="false" customHeight="true" outlineLevel="0" collapsed="false">
      <c r="B299" s="253" t="s">
        <v>245</v>
      </c>
      <c r="C299" s="253"/>
      <c r="D299" s="215" t="n">
        <v>0</v>
      </c>
      <c r="E299" s="217" t="n">
        <v>0</v>
      </c>
      <c r="F299" s="211" t="n">
        <v>0</v>
      </c>
      <c r="G299" s="212" t="n">
        <v>0</v>
      </c>
      <c r="H299" s="215" t="n">
        <v>0</v>
      </c>
      <c r="I299" s="153" t="n">
        <v>0</v>
      </c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8"/>
      <c r="AA299" s="8"/>
      <c r="AB299" s="8"/>
      <c r="AC299" s="8"/>
      <c r="AD299" s="8"/>
    </row>
    <row r="300" customFormat="false" ht="13.8" hidden="false" customHeight="true" outlineLevel="0" collapsed="false">
      <c r="B300" s="363" t="s">
        <v>246</v>
      </c>
      <c r="C300" s="363"/>
      <c r="D300" s="364" t="n">
        <v>0</v>
      </c>
      <c r="E300" s="365" t="n">
        <v>0</v>
      </c>
      <c r="F300" s="364" t="n">
        <v>0</v>
      </c>
      <c r="G300" s="365" t="n">
        <v>0</v>
      </c>
      <c r="H300" s="364" t="n">
        <v>0</v>
      </c>
      <c r="I300" s="366" t="n">
        <v>0</v>
      </c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8"/>
      <c r="AA300" s="8"/>
      <c r="AB300" s="8"/>
      <c r="AC300" s="8"/>
      <c r="AD300" s="8"/>
    </row>
    <row r="301" customFormat="false" ht="13.5" hidden="false" customHeight="true" outlineLevel="0" collapsed="false">
      <c r="B301" s="260" t="s">
        <v>12</v>
      </c>
      <c r="C301" s="260"/>
      <c r="D301" s="229" t="n">
        <f aca="false">SUM(D294:D300)</f>
        <v>0</v>
      </c>
      <c r="E301" s="230" t="n">
        <f aca="false">SUM(E294:E300)</f>
        <v>0</v>
      </c>
      <c r="F301" s="367" t="n">
        <f aca="false">SUM(F294:F300)</f>
        <v>0</v>
      </c>
      <c r="G301" s="368" t="n">
        <f aca="false">SUM(G294:G300)</f>
        <v>0</v>
      </c>
      <c r="H301" s="367" t="n">
        <f aca="false">SUM(H294:H300)</f>
        <v>0</v>
      </c>
      <c r="I301" s="368" t="n">
        <f aca="false">SUM(I294:I300)</f>
        <v>0</v>
      </c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8"/>
      <c r="AA301" s="8"/>
      <c r="AB301" s="8"/>
      <c r="AC301" s="8"/>
      <c r="AD301" s="8"/>
    </row>
    <row r="302" customFormat="false" ht="13.8" hidden="false" customHeight="false" outlineLevel="0" collapsed="false">
      <c r="B302" s="233"/>
      <c r="C302" s="233"/>
      <c r="D302" s="165"/>
      <c r="E302" s="165"/>
      <c r="F302" s="165"/>
      <c r="G302" s="165"/>
      <c r="H302" s="165"/>
      <c r="I302" s="165"/>
      <c r="J302" s="165"/>
      <c r="K302" s="165"/>
      <c r="L302" s="165"/>
      <c r="M302" s="165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8"/>
      <c r="AE302" s="8"/>
      <c r="AF302" s="8"/>
      <c r="AG302" s="8"/>
      <c r="AH302" s="8"/>
    </row>
    <row r="303" customFormat="false" ht="13.8" hidden="false" customHeight="false" outlineLevel="0" collapsed="false">
      <c r="B303" s="174" t="s">
        <v>247</v>
      </c>
      <c r="C303" s="174"/>
      <c r="D303" s="174"/>
      <c r="E303" s="174"/>
      <c r="F303" s="174"/>
      <c r="G303" s="174"/>
      <c r="H303" s="174"/>
      <c r="I303" s="174"/>
      <c r="J303" s="174"/>
      <c r="K303" s="174"/>
      <c r="L303" s="174"/>
      <c r="M303" s="174"/>
      <c r="N303" s="92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8"/>
      <c r="AE303" s="8"/>
      <c r="AF303" s="8"/>
      <c r="AG303" s="8"/>
      <c r="AH303" s="8"/>
    </row>
    <row r="304" customFormat="false" ht="13.8" hidden="false" customHeight="false" outlineLevel="0" collapsed="false">
      <c r="N304" s="92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8"/>
      <c r="AE304" s="8"/>
      <c r="AF304" s="8"/>
      <c r="AG304" s="8"/>
      <c r="AH304" s="8"/>
    </row>
    <row r="305" customFormat="false" ht="32.25" hidden="false" customHeight="true" outlineLevel="0" collapsed="false">
      <c r="A305" s="1" t="n">
        <v>27</v>
      </c>
      <c r="B305" s="361" t="s">
        <v>234</v>
      </c>
      <c r="C305" s="361"/>
      <c r="D305" s="362" t="s">
        <v>235</v>
      </c>
      <c r="E305" s="362"/>
      <c r="F305" s="362" t="s">
        <v>236</v>
      </c>
      <c r="G305" s="362"/>
      <c r="H305" s="362" t="s">
        <v>237</v>
      </c>
      <c r="I305" s="362"/>
      <c r="J305" s="92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8"/>
      <c r="AA305" s="8"/>
      <c r="AB305" s="8"/>
      <c r="AC305" s="8"/>
      <c r="AD305" s="8"/>
    </row>
    <row r="306" customFormat="false" ht="27" hidden="false" customHeight="true" outlineLevel="0" collapsed="false">
      <c r="B306" s="361"/>
      <c r="C306" s="361"/>
      <c r="D306" s="208" t="s">
        <v>238</v>
      </c>
      <c r="E306" s="209" t="s">
        <v>239</v>
      </c>
      <c r="F306" s="208" t="s">
        <v>238</v>
      </c>
      <c r="G306" s="209" t="s">
        <v>239</v>
      </c>
      <c r="H306" s="208" t="s">
        <v>238</v>
      </c>
      <c r="I306" s="209" t="s">
        <v>239</v>
      </c>
      <c r="J306" s="92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8"/>
      <c r="AA306" s="8"/>
      <c r="AB306" s="8"/>
      <c r="AC306" s="8"/>
      <c r="AD306" s="8"/>
    </row>
    <row r="307" customFormat="false" ht="14.25" hidden="false" customHeight="true" outlineLevel="0" collapsed="false">
      <c r="B307" s="210" t="s">
        <v>240</v>
      </c>
      <c r="C307" s="210"/>
      <c r="D307" s="211" t="n">
        <v>0</v>
      </c>
      <c r="E307" s="212" t="n">
        <v>0</v>
      </c>
      <c r="F307" s="211" t="n">
        <v>0</v>
      </c>
      <c r="G307" s="212" t="n">
        <v>0</v>
      </c>
      <c r="H307" s="211" t="n">
        <v>0</v>
      </c>
      <c r="I307" s="212" t="n">
        <v>0</v>
      </c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8"/>
      <c r="AA307" s="8"/>
      <c r="AB307" s="8"/>
      <c r="AC307" s="8"/>
      <c r="AD307" s="8"/>
    </row>
    <row r="308" customFormat="false" ht="14.25" hidden="false" customHeight="true" outlineLevel="0" collapsed="false">
      <c r="B308" s="251" t="s">
        <v>241</v>
      </c>
      <c r="C308" s="251"/>
      <c r="D308" s="215" t="n">
        <v>0</v>
      </c>
      <c r="E308" s="153" t="n">
        <v>0</v>
      </c>
      <c r="F308" s="211" t="n">
        <v>0</v>
      </c>
      <c r="G308" s="212" t="n">
        <v>0</v>
      </c>
      <c r="H308" s="215" t="n">
        <v>0</v>
      </c>
      <c r="I308" s="153" t="n">
        <v>0</v>
      </c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8"/>
      <c r="AA308" s="8"/>
      <c r="AB308" s="8"/>
      <c r="AC308" s="8"/>
      <c r="AD308" s="8"/>
    </row>
    <row r="309" customFormat="false" ht="14.25" hidden="false" customHeight="true" outlineLevel="0" collapsed="false">
      <c r="B309" s="253" t="s">
        <v>242</v>
      </c>
      <c r="C309" s="253"/>
      <c r="D309" s="215" t="n">
        <v>0</v>
      </c>
      <c r="E309" s="153" t="n">
        <v>0</v>
      </c>
      <c r="F309" s="211" t="n">
        <v>0</v>
      </c>
      <c r="G309" s="212" t="n">
        <v>0</v>
      </c>
      <c r="H309" s="215" t="n">
        <v>0</v>
      </c>
      <c r="I309" s="153" t="n">
        <v>0</v>
      </c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8"/>
      <c r="AA309" s="8"/>
      <c r="AB309" s="8"/>
      <c r="AC309" s="8"/>
      <c r="AD309" s="8"/>
    </row>
    <row r="310" customFormat="false" ht="14.25" hidden="false" customHeight="true" outlineLevel="0" collapsed="false">
      <c r="B310" s="216" t="s">
        <v>243</v>
      </c>
      <c r="C310" s="216"/>
      <c r="D310" s="215" t="n">
        <v>0</v>
      </c>
      <c r="E310" s="153" t="n">
        <v>0</v>
      </c>
      <c r="F310" s="211" t="n">
        <v>0</v>
      </c>
      <c r="G310" s="212" t="n">
        <v>0</v>
      </c>
      <c r="H310" s="215" t="n">
        <v>0</v>
      </c>
      <c r="I310" s="153" t="n">
        <v>0</v>
      </c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8"/>
      <c r="AA310" s="8"/>
      <c r="AB310" s="8"/>
      <c r="AC310" s="8"/>
      <c r="AD310" s="8"/>
    </row>
    <row r="311" customFormat="false" ht="14.25" hidden="false" customHeight="true" outlineLevel="0" collapsed="false">
      <c r="B311" s="253" t="s">
        <v>244</v>
      </c>
      <c r="C311" s="253"/>
      <c r="D311" s="215" t="n">
        <v>0</v>
      </c>
      <c r="E311" s="217" t="n">
        <v>0</v>
      </c>
      <c r="F311" s="211" t="n">
        <v>0</v>
      </c>
      <c r="G311" s="212" t="n">
        <v>0</v>
      </c>
      <c r="H311" s="215" t="n">
        <v>0</v>
      </c>
      <c r="I311" s="153" t="n">
        <v>0</v>
      </c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8"/>
      <c r="AA311" s="8"/>
      <c r="AB311" s="8"/>
      <c r="AC311" s="8"/>
      <c r="AD311" s="8"/>
    </row>
    <row r="312" customFormat="false" ht="14.25" hidden="false" customHeight="true" outlineLevel="0" collapsed="false">
      <c r="B312" s="253" t="s">
        <v>245</v>
      </c>
      <c r="C312" s="253"/>
      <c r="D312" s="215" t="n">
        <v>0</v>
      </c>
      <c r="E312" s="217" t="n">
        <v>0</v>
      </c>
      <c r="F312" s="211" t="n">
        <v>0</v>
      </c>
      <c r="G312" s="212" t="n">
        <v>0</v>
      </c>
      <c r="H312" s="215" t="n">
        <v>0</v>
      </c>
      <c r="I312" s="153" t="n">
        <v>0</v>
      </c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8"/>
      <c r="AA312" s="8"/>
      <c r="AB312" s="8"/>
      <c r="AC312" s="8"/>
      <c r="AD312" s="8"/>
    </row>
    <row r="313" customFormat="false" ht="14.25" hidden="false" customHeight="true" outlineLevel="0" collapsed="false">
      <c r="B313" s="363" t="s">
        <v>246</v>
      </c>
      <c r="C313" s="363"/>
      <c r="D313" s="364" t="n">
        <v>0</v>
      </c>
      <c r="E313" s="365" t="n">
        <v>0</v>
      </c>
      <c r="F313" s="364" t="n">
        <v>0</v>
      </c>
      <c r="G313" s="365" t="n">
        <v>0</v>
      </c>
      <c r="H313" s="364" t="n">
        <v>0</v>
      </c>
      <c r="I313" s="366" t="n">
        <v>0</v>
      </c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8"/>
      <c r="AA313" s="8"/>
      <c r="AB313" s="8"/>
      <c r="AC313" s="8"/>
      <c r="AD313" s="8"/>
    </row>
    <row r="314" customFormat="false" ht="13.8" hidden="false" customHeight="false" outlineLevel="0" collapsed="false">
      <c r="B314" s="260" t="s">
        <v>12</v>
      </c>
      <c r="C314" s="260"/>
      <c r="D314" s="229" t="n">
        <f aca="false">SUM(D307:D313)</f>
        <v>0</v>
      </c>
      <c r="E314" s="368" t="n">
        <f aca="false">SUM(E307:E313)</f>
        <v>0</v>
      </c>
      <c r="F314" s="367" t="n">
        <f aca="false">SUM(F307:F313)</f>
        <v>0</v>
      </c>
      <c r="G314" s="368" t="n">
        <f aca="false">SUM(G307:G313)</f>
        <v>0</v>
      </c>
      <c r="H314" s="367" t="n">
        <f aca="false">SUM(H307:H313)</f>
        <v>0</v>
      </c>
      <c r="I314" s="368" t="n">
        <f aca="false">SUM(I307:I313)</f>
        <v>0</v>
      </c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8"/>
      <c r="AA314" s="8"/>
      <c r="AB314" s="8"/>
      <c r="AC314" s="8"/>
      <c r="AD314" s="8"/>
    </row>
    <row r="315" customFormat="false" ht="13.8" hidden="false" customHeight="false" outlineLevel="0" collapsed="false">
      <c r="B315" s="140"/>
      <c r="C315" s="140"/>
      <c r="D315" s="140"/>
      <c r="E315" s="140"/>
      <c r="F315" s="140"/>
      <c r="G315" s="369"/>
      <c r="H315" s="369"/>
      <c r="I315" s="140"/>
      <c r="J315" s="140"/>
      <c r="K315" s="140"/>
      <c r="L315" s="140"/>
      <c r="M315" s="140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92"/>
      <c r="Y315" s="92"/>
      <c r="Z315" s="92"/>
      <c r="AA315" s="92"/>
      <c r="AB315" s="92"/>
      <c r="AC315" s="92"/>
      <c r="AD315" s="370"/>
      <c r="AE315" s="370"/>
      <c r="AF315" s="370"/>
      <c r="AG315" s="370"/>
      <c r="AH315" s="370"/>
      <c r="AI315" s="280"/>
      <c r="AJ315" s="280"/>
      <c r="AK315" s="280"/>
      <c r="AL315" s="280"/>
      <c r="AM315" s="280"/>
      <c r="AN315" s="280"/>
      <c r="AO315" s="280"/>
      <c r="AP315" s="280"/>
      <c r="AQ315" s="280"/>
    </row>
    <row r="316" customFormat="false" ht="13.8" hidden="false" customHeight="false" outlineLevel="0" collapsed="false">
      <c r="B316" s="11" t="s">
        <v>248</v>
      </c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8"/>
      <c r="AE316" s="8"/>
      <c r="AF316" s="8"/>
      <c r="AG316" s="8"/>
      <c r="AH316" s="8"/>
    </row>
    <row r="317" customFormat="false" ht="14.25" hidden="false" customHeight="true" outlineLevel="0" collapsed="false">
      <c r="B317" s="360"/>
      <c r="C317" s="360"/>
      <c r="D317" s="360"/>
      <c r="E317" s="360"/>
      <c r="F317" s="360"/>
      <c r="G317" s="360"/>
      <c r="H317" s="360"/>
      <c r="I317" s="360"/>
      <c r="J317" s="360"/>
      <c r="K317" s="360"/>
      <c r="L317" s="360"/>
      <c r="M317" s="360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8"/>
      <c r="AE317" s="8"/>
      <c r="AF317" s="8"/>
      <c r="AG317" s="8"/>
      <c r="AH317" s="8"/>
    </row>
    <row r="318" customFormat="false" ht="15.75" hidden="false" customHeight="true" outlineLevel="0" collapsed="false">
      <c r="B318" s="6" t="s">
        <v>249</v>
      </c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8"/>
      <c r="AE318" s="8"/>
      <c r="AF318" s="8"/>
      <c r="AG318" s="8"/>
      <c r="AH318" s="8"/>
    </row>
    <row r="319" customFormat="false" ht="12.75" hidden="false" customHeight="true" outlineLevel="0" collapsed="false"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8"/>
      <c r="AE319" s="8"/>
      <c r="AF319" s="8"/>
      <c r="AG319" s="8"/>
      <c r="AH319" s="8"/>
    </row>
    <row r="320" customFormat="false" ht="41.25" hidden="false" customHeight="true" outlineLevel="0" collapsed="false">
      <c r="A320" s="1" t="n">
        <v>28</v>
      </c>
      <c r="B320" s="371" t="s">
        <v>250</v>
      </c>
      <c r="C320" s="371"/>
      <c r="D320" s="372" t="s">
        <v>251</v>
      </c>
      <c r="E320" s="372"/>
      <c r="F320" s="373" t="s">
        <v>252</v>
      </c>
      <c r="G320" s="373"/>
      <c r="H320" s="374"/>
      <c r="I320" s="374"/>
      <c r="J320" s="374"/>
      <c r="K320" s="374"/>
      <c r="L320" s="374"/>
      <c r="M320" s="374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8"/>
      <c r="AE320" s="8"/>
      <c r="AF320" s="8"/>
      <c r="AG320" s="8"/>
      <c r="AH320" s="8"/>
    </row>
    <row r="321" customFormat="false" ht="13.8" hidden="false" customHeight="false" outlineLevel="0" collapsed="false">
      <c r="B321" s="81" t="n">
        <v>0</v>
      </c>
      <c r="C321" s="81"/>
      <c r="D321" s="82" t="n">
        <v>0</v>
      </c>
      <c r="E321" s="82"/>
      <c r="F321" s="200" t="n">
        <v>0</v>
      </c>
      <c r="G321" s="200"/>
      <c r="H321" s="375"/>
      <c r="I321" s="375"/>
      <c r="J321" s="376"/>
      <c r="K321" s="376"/>
      <c r="L321" s="376"/>
      <c r="M321" s="376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8"/>
      <c r="AE321" s="8"/>
      <c r="AF321" s="8"/>
      <c r="AG321" s="8"/>
      <c r="AH321" s="8"/>
    </row>
    <row r="322" customFormat="false" ht="13.8" hidden="false" customHeight="false" outlineLevel="0" collapsed="false"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8"/>
      <c r="AE322" s="8"/>
      <c r="AF322" s="8"/>
      <c r="AG322" s="8"/>
      <c r="AH322" s="8"/>
    </row>
    <row r="323" customFormat="false" ht="14.25" hidden="false" customHeight="true" outlineLevel="0" collapsed="false">
      <c r="B323" s="48" t="s">
        <v>253</v>
      </c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8"/>
      <c r="AE323" s="8"/>
      <c r="AF323" s="8"/>
      <c r="AG323" s="8"/>
      <c r="AH323" s="8"/>
    </row>
    <row r="324" customFormat="false" ht="13.8" hidden="false" customHeight="false" outlineLevel="0" collapsed="false">
      <c r="B324" s="195"/>
      <c r="C324" s="17"/>
      <c r="D324" s="17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8"/>
      <c r="AE324" s="8"/>
      <c r="AF324" s="8"/>
      <c r="AG324" s="8"/>
      <c r="AH324" s="8"/>
    </row>
    <row r="325" customFormat="false" ht="13.8" hidden="false" customHeight="false" outlineLevel="0" collapsed="false">
      <c r="A325" s="1" t="n">
        <v>29</v>
      </c>
      <c r="B325" s="377" t="s">
        <v>254</v>
      </c>
      <c r="C325" s="377"/>
      <c r="D325" s="377"/>
      <c r="E325" s="377"/>
      <c r="F325" s="377"/>
      <c r="G325" s="377"/>
      <c r="H325" s="377" t="s">
        <v>255</v>
      </c>
      <c r="I325" s="377"/>
      <c r="J325" s="377"/>
      <c r="K325" s="377"/>
      <c r="L325" s="377"/>
      <c r="M325" s="377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8"/>
      <c r="AE325" s="8"/>
      <c r="AF325" s="8"/>
      <c r="AG325" s="8"/>
      <c r="AH325" s="8"/>
    </row>
    <row r="326" customFormat="false" ht="67.5" hidden="false" customHeight="true" outlineLevel="0" collapsed="false">
      <c r="B326" s="378" t="s">
        <v>256</v>
      </c>
      <c r="C326" s="378"/>
      <c r="D326" s="379" t="s">
        <v>257</v>
      </c>
      <c r="E326" s="379"/>
      <c r="F326" s="380" t="s">
        <v>258</v>
      </c>
      <c r="G326" s="380"/>
      <c r="H326" s="378" t="s">
        <v>256</v>
      </c>
      <c r="I326" s="378"/>
      <c r="J326" s="379" t="s">
        <v>257</v>
      </c>
      <c r="K326" s="379"/>
      <c r="L326" s="381" t="s">
        <v>259</v>
      </c>
      <c r="M326" s="381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8"/>
      <c r="AE326" s="8"/>
      <c r="AF326" s="8"/>
      <c r="AG326" s="8"/>
      <c r="AH326" s="8"/>
    </row>
    <row r="327" customFormat="false" ht="14.25" hidden="false" customHeight="true" outlineLevel="0" collapsed="false">
      <c r="B327" s="240" t="n">
        <v>0</v>
      </c>
      <c r="C327" s="240"/>
      <c r="D327" s="241" t="n">
        <v>0</v>
      </c>
      <c r="E327" s="241"/>
      <c r="F327" s="242" t="n">
        <v>0</v>
      </c>
      <c r="G327" s="242"/>
      <c r="H327" s="240" t="n">
        <v>0</v>
      </c>
      <c r="I327" s="240"/>
      <c r="J327" s="241" t="n">
        <v>0</v>
      </c>
      <c r="K327" s="241"/>
      <c r="L327" s="382" t="n">
        <v>0</v>
      </c>
      <c r="M327" s="382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8"/>
      <c r="AE327" s="8"/>
      <c r="AF327" s="8"/>
      <c r="AG327" s="8"/>
      <c r="AH327" s="8"/>
    </row>
    <row r="328" customFormat="false" ht="13.8" hidden="false" customHeight="false" outlineLevel="0" collapsed="false"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8"/>
      <c r="AE328" s="8"/>
      <c r="AF328" s="8"/>
      <c r="AG328" s="8"/>
      <c r="AH328" s="8"/>
    </row>
    <row r="329" customFormat="false" ht="14.25" hidden="false" customHeight="true" outlineLevel="0" collapsed="false">
      <c r="B329" s="383" t="s">
        <v>260</v>
      </c>
      <c r="C329" s="383"/>
      <c r="D329" s="383"/>
      <c r="E329" s="383"/>
      <c r="F329" s="383"/>
      <c r="G329" s="383"/>
      <c r="H329" s="383"/>
      <c r="I329" s="383"/>
      <c r="J329" s="383"/>
      <c r="K329" s="383"/>
      <c r="L329" s="383"/>
      <c r="M329" s="38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8"/>
      <c r="AE329" s="8"/>
      <c r="AF329" s="8"/>
      <c r="AG329" s="8"/>
      <c r="AH329" s="8"/>
    </row>
    <row r="330" customFormat="false" ht="14.25" hidden="false" customHeight="true" outlineLevel="0" collapsed="false"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8"/>
      <c r="AE330" s="8"/>
      <c r="AF330" s="8"/>
      <c r="AG330" s="8"/>
      <c r="AH330" s="8"/>
    </row>
    <row r="331" customFormat="false" ht="13.5" hidden="false" customHeight="false" outlineLevel="0" collapsed="false">
      <c r="B331" s="6" t="s">
        <v>261</v>
      </c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8"/>
      <c r="AE331" s="8"/>
      <c r="AF331" s="8"/>
      <c r="AG331" s="8"/>
      <c r="AH331" s="8"/>
    </row>
    <row r="332" customFormat="false" ht="14.25" hidden="false" customHeight="true" outlineLevel="0" collapsed="false"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8"/>
      <c r="AE332" s="8"/>
      <c r="AF332" s="8"/>
      <c r="AG332" s="8"/>
      <c r="AH332" s="8"/>
    </row>
    <row r="333" customFormat="false" ht="13.5" hidden="false" customHeight="true" outlineLevel="0" collapsed="false">
      <c r="A333" s="1" t="n">
        <v>30</v>
      </c>
      <c r="B333" s="71" t="s">
        <v>262</v>
      </c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8"/>
      <c r="AE333" s="8"/>
      <c r="AF333" s="8"/>
      <c r="AG333" s="8"/>
      <c r="AH333" s="8"/>
    </row>
    <row r="334" customFormat="false" ht="16.5" hidden="false" customHeight="true" outlineLevel="0" collapsed="false">
      <c r="B334" s="384" t="s">
        <v>263</v>
      </c>
      <c r="C334" s="384"/>
      <c r="D334" s="189" t="s">
        <v>264</v>
      </c>
      <c r="E334" s="189"/>
      <c r="F334" s="385" t="s">
        <v>265</v>
      </c>
      <c r="G334" s="385"/>
      <c r="H334" s="386" t="s">
        <v>266</v>
      </c>
      <c r="I334" s="386"/>
      <c r="J334" s="386"/>
      <c r="K334" s="386"/>
      <c r="L334" s="387" t="s">
        <v>12</v>
      </c>
      <c r="M334" s="387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8"/>
      <c r="AE334" s="8"/>
      <c r="AF334" s="8"/>
      <c r="AG334" s="8"/>
      <c r="AH334" s="8"/>
    </row>
    <row r="335" customFormat="false" ht="14.25" hidden="false" customHeight="true" outlineLevel="0" collapsed="false">
      <c r="B335" s="81" t="n">
        <v>0</v>
      </c>
      <c r="C335" s="81"/>
      <c r="D335" s="82" t="n">
        <v>0</v>
      </c>
      <c r="E335" s="82"/>
      <c r="F335" s="82" t="n">
        <v>0</v>
      </c>
      <c r="G335" s="82"/>
      <c r="H335" s="388" t="n">
        <v>0</v>
      </c>
      <c r="I335" s="388"/>
      <c r="J335" s="388"/>
      <c r="K335" s="388"/>
      <c r="L335" s="68" t="n">
        <f aca="false">SUM(B335:K335)</f>
        <v>0</v>
      </c>
      <c r="M335" s="68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8"/>
      <c r="AE335" s="8"/>
      <c r="AF335" s="8"/>
      <c r="AG335" s="8"/>
      <c r="AH335" s="8"/>
    </row>
    <row r="336" customFormat="false" ht="14.25" hidden="false" customHeight="true" outlineLevel="0" collapsed="false">
      <c r="B336" s="39"/>
      <c r="C336" s="39"/>
      <c r="D336" s="39"/>
      <c r="E336" s="39"/>
      <c r="F336" s="39"/>
      <c r="G336" s="389"/>
      <c r="H336" s="39"/>
      <c r="I336" s="39"/>
      <c r="J336" s="39"/>
      <c r="K336" s="39"/>
      <c r="L336" s="39"/>
      <c r="M336" s="39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8"/>
      <c r="AE336" s="8"/>
      <c r="AF336" s="8"/>
      <c r="AG336" s="8"/>
      <c r="AH336" s="8"/>
    </row>
    <row r="337" customFormat="false" ht="14.25" hidden="false" customHeight="true" outlineLevel="0" collapsed="false">
      <c r="B337" s="48" t="s">
        <v>267</v>
      </c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8"/>
      <c r="AE337" s="8"/>
      <c r="AF337" s="8"/>
      <c r="AG337" s="8"/>
      <c r="AH337" s="8"/>
    </row>
    <row r="338" customFormat="false" ht="14.25" hidden="false" customHeight="true" outlineLevel="0" collapsed="false">
      <c r="B338" s="390"/>
      <c r="C338" s="391"/>
      <c r="D338" s="391"/>
      <c r="E338" s="39"/>
      <c r="F338" s="39"/>
      <c r="G338" s="389"/>
      <c r="H338" s="39"/>
      <c r="I338" s="39"/>
      <c r="J338" s="39"/>
      <c r="K338" s="39"/>
      <c r="L338" s="39"/>
      <c r="M338" s="39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8"/>
      <c r="AE338" s="8"/>
      <c r="AF338" s="8"/>
      <c r="AG338" s="8"/>
      <c r="AH338" s="8"/>
    </row>
    <row r="339" customFormat="false" ht="30" hidden="false" customHeight="true" outlineLevel="0" collapsed="false">
      <c r="A339" s="1" t="n">
        <v>31</v>
      </c>
      <c r="B339" s="392" t="s">
        <v>268</v>
      </c>
      <c r="C339" s="392"/>
      <c r="D339" s="392"/>
      <c r="E339" s="39"/>
      <c r="F339" s="39"/>
      <c r="G339" s="389"/>
      <c r="H339" s="39"/>
      <c r="I339" s="39"/>
      <c r="J339" s="39"/>
      <c r="K339" s="39"/>
      <c r="L339" s="39"/>
      <c r="M339" s="39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8"/>
      <c r="AE339" s="8"/>
      <c r="AF339" s="8"/>
      <c r="AG339" s="8"/>
      <c r="AH339" s="8"/>
    </row>
    <row r="340" customFormat="false" ht="14.25" hidden="false" customHeight="true" outlineLevel="0" collapsed="false">
      <c r="B340" s="393" t="n">
        <v>0</v>
      </c>
      <c r="C340" s="393"/>
      <c r="D340" s="393"/>
      <c r="E340" s="389"/>
      <c r="F340" s="39"/>
      <c r="G340" s="389"/>
      <c r="H340" s="39"/>
      <c r="I340" s="39"/>
      <c r="J340" s="39"/>
      <c r="K340" s="39"/>
      <c r="L340" s="39"/>
      <c r="M340" s="39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8"/>
      <c r="AE340" s="8"/>
      <c r="AF340" s="8"/>
      <c r="AG340" s="8"/>
      <c r="AH340" s="8"/>
    </row>
    <row r="341" customFormat="false" ht="14.25" hidden="false" customHeight="true" outlineLevel="0" collapsed="false">
      <c r="G341" s="10"/>
      <c r="H341" s="10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8"/>
      <c r="AE341" s="8"/>
      <c r="AF341" s="8"/>
      <c r="AG341" s="8"/>
      <c r="AH341" s="8"/>
    </row>
    <row r="342" customFormat="false" ht="14.25" hidden="false" customHeight="true" outlineLevel="0" collapsed="false">
      <c r="B342" s="383" t="s">
        <v>269</v>
      </c>
      <c r="C342" s="383"/>
      <c r="D342" s="383"/>
      <c r="E342" s="383"/>
      <c r="F342" s="383"/>
      <c r="G342" s="383"/>
      <c r="H342" s="383"/>
      <c r="I342" s="383"/>
      <c r="J342" s="383"/>
      <c r="K342" s="383"/>
      <c r="L342" s="383"/>
      <c r="M342" s="38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8"/>
      <c r="AE342" s="8"/>
      <c r="AF342" s="8"/>
      <c r="AG342" s="8"/>
      <c r="AH342" s="8"/>
    </row>
    <row r="343" customFormat="false" ht="14.25" hidden="false" customHeight="true" outlineLevel="0" collapsed="false"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8"/>
      <c r="AE343" s="8"/>
      <c r="AF343" s="8"/>
      <c r="AG343" s="8"/>
      <c r="AH343" s="8"/>
    </row>
    <row r="344" customFormat="false" ht="14.25" hidden="false" customHeight="true" outlineLevel="0" collapsed="false">
      <c r="B344" s="12" t="s">
        <v>270</v>
      </c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8"/>
      <c r="AE344" s="8"/>
      <c r="AF344" s="8"/>
      <c r="AG344" s="8"/>
      <c r="AH344" s="8"/>
    </row>
    <row r="345" customFormat="false" ht="14.25" hidden="false" customHeight="true" outlineLevel="0" collapsed="false">
      <c r="A345" s="1" t="n">
        <v>32</v>
      </c>
      <c r="B345" s="280"/>
      <c r="C345" s="280"/>
      <c r="D345" s="280"/>
      <c r="E345" s="280"/>
      <c r="F345" s="280"/>
      <c r="G345" s="280"/>
      <c r="H345" s="280"/>
      <c r="I345" s="280"/>
      <c r="J345" s="280"/>
      <c r="K345" s="280"/>
      <c r="L345" s="280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8"/>
      <c r="AE345" s="8"/>
      <c r="AF345" s="8"/>
      <c r="AG345" s="8"/>
      <c r="AH345" s="8"/>
    </row>
    <row r="346" customFormat="false" ht="14.25" hidden="false" customHeight="true" outlineLevel="0" collapsed="false">
      <c r="B346" s="394" t="s">
        <v>271</v>
      </c>
      <c r="C346" s="394"/>
      <c r="D346" s="394"/>
      <c r="E346" s="394"/>
      <c r="F346" s="394"/>
      <c r="G346" s="394"/>
      <c r="H346" s="394"/>
      <c r="I346" s="394" t="s">
        <v>207</v>
      </c>
      <c r="J346" s="394"/>
      <c r="K346" s="394"/>
      <c r="L346" s="394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8"/>
      <c r="AE346" s="8"/>
      <c r="AF346" s="8"/>
      <c r="AG346" s="8"/>
      <c r="AH346" s="8"/>
    </row>
    <row r="347" s="280" customFormat="true" ht="14.25" hidden="false" customHeight="true" outlineLevel="0" collapsed="false">
      <c r="A347" s="1"/>
      <c r="B347" s="210" t="s">
        <v>272</v>
      </c>
      <c r="C347" s="210"/>
      <c r="D347" s="210"/>
      <c r="E347" s="210"/>
      <c r="F347" s="210"/>
      <c r="G347" s="210"/>
      <c r="H347" s="210"/>
      <c r="I347" s="395" t="n">
        <v>0</v>
      </c>
      <c r="J347" s="395"/>
      <c r="K347" s="395"/>
      <c r="L347" s="395"/>
      <c r="M347" s="98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13"/>
      <c r="Y347" s="13"/>
      <c r="Z347" s="13"/>
      <c r="AA347" s="13"/>
      <c r="AB347" s="13"/>
      <c r="AC347" s="13"/>
      <c r="AD347" s="8"/>
      <c r="AE347" s="8"/>
      <c r="AF347" s="8"/>
      <c r="AG347" s="8"/>
      <c r="AH347" s="8"/>
      <c r="AI347" s="2"/>
      <c r="AJ347" s="2"/>
      <c r="AK347" s="2"/>
      <c r="AL347" s="2"/>
      <c r="AM347" s="2"/>
      <c r="AN347" s="2"/>
      <c r="AO347" s="2"/>
      <c r="AP347" s="2"/>
      <c r="AQ347" s="2"/>
    </row>
    <row r="348" customFormat="false" ht="14.25" hidden="false" customHeight="true" outlineLevel="0" collapsed="false">
      <c r="B348" s="216" t="s">
        <v>273</v>
      </c>
      <c r="C348" s="216"/>
      <c r="D348" s="216"/>
      <c r="E348" s="216"/>
      <c r="F348" s="216"/>
      <c r="G348" s="216"/>
      <c r="H348" s="216"/>
      <c r="I348" s="396" t="n">
        <v>0</v>
      </c>
      <c r="J348" s="396"/>
      <c r="K348" s="396"/>
      <c r="L348" s="396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8"/>
      <c r="AE348" s="8"/>
      <c r="AF348" s="8"/>
      <c r="AG348" s="8"/>
      <c r="AH348" s="8"/>
    </row>
    <row r="349" customFormat="false" ht="14.25" hidden="false" customHeight="true" outlineLevel="0" collapsed="false">
      <c r="B349" s="397" t="s">
        <v>274</v>
      </c>
      <c r="C349" s="397"/>
      <c r="D349" s="397"/>
      <c r="E349" s="397"/>
      <c r="F349" s="397"/>
      <c r="G349" s="397"/>
      <c r="H349" s="397"/>
      <c r="I349" s="398" t="n">
        <f aca="false">SUM(G350:H351)</f>
        <v>0</v>
      </c>
      <c r="J349" s="398"/>
      <c r="K349" s="398"/>
      <c r="L349" s="398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8"/>
      <c r="AE349" s="8"/>
      <c r="AF349" s="8"/>
      <c r="AG349" s="8"/>
      <c r="AH349" s="8"/>
    </row>
    <row r="350" customFormat="false" ht="14.25" hidden="false" customHeight="true" outlineLevel="0" collapsed="false">
      <c r="B350" s="399" t="s">
        <v>275</v>
      </c>
      <c r="C350" s="399"/>
      <c r="D350" s="399"/>
      <c r="E350" s="399"/>
      <c r="F350" s="399"/>
      <c r="G350" s="395" t="n">
        <v>0</v>
      </c>
      <c r="H350" s="395"/>
      <c r="I350" s="400"/>
      <c r="J350" s="400"/>
      <c r="K350" s="400"/>
      <c r="L350" s="400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8"/>
      <c r="AE350" s="8"/>
      <c r="AF350" s="8"/>
      <c r="AG350" s="8"/>
      <c r="AH350" s="8"/>
    </row>
    <row r="351" customFormat="false" ht="13.8" hidden="false" customHeight="false" outlineLevel="0" collapsed="false">
      <c r="B351" s="401" t="s">
        <v>276</v>
      </c>
      <c r="C351" s="401"/>
      <c r="D351" s="401"/>
      <c r="E351" s="401"/>
      <c r="F351" s="401"/>
      <c r="G351" s="402" t="n">
        <v>0</v>
      </c>
      <c r="H351" s="402"/>
      <c r="I351" s="400"/>
      <c r="J351" s="400"/>
      <c r="K351" s="400"/>
      <c r="L351" s="400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8"/>
      <c r="AE351" s="8"/>
      <c r="AF351" s="8"/>
      <c r="AG351" s="8"/>
      <c r="AH351" s="8"/>
    </row>
    <row r="352" customFormat="false" ht="14.25" hidden="false" customHeight="true" outlineLevel="0" collapsed="false">
      <c r="B352" s="228" t="s">
        <v>12</v>
      </c>
      <c r="C352" s="228"/>
      <c r="D352" s="228"/>
      <c r="E352" s="228"/>
      <c r="F352" s="228"/>
      <c r="G352" s="228"/>
      <c r="H352" s="228"/>
      <c r="I352" s="403" t="n">
        <f aca="false">SUM(I347:L349)</f>
        <v>0</v>
      </c>
      <c r="J352" s="403"/>
      <c r="K352" s="403"/>
      <c r="L352" s="40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8"/>
      <c r="AE352" s="8"/>
      <c r="AF352" s="8"/>
      <c r="AG352" s="8"/>
      <c r="AH352" s="8"/>
    </row>
    <row r="353" customFormat="false" ht="14.25" hidden="false" customHeight="true" outlineLevel="0" collapsed="false">
      <c r="B353" s="233"/>
      <c r="C353" s="233"/>
      <c r="D353" s="233"/>
      <c r="E353" s="233"/>
      <c r="F353" s="233"/>
      <c r="G353" s="233"/>
      <c r="H353" s="233"/>
      <c r="I353" s="404"/>
      <c r="J353" s="404"/>
      <c r="K353" s="404"/>
      <c r="L353" s="404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8"/>
      <c r="AE353" s="8"/>
      <c r="AF353" s="8"/>
      <c r="AG353" s="8"/>
      <c r="AH353" s="8"/>
    </row>
    <row r="354" customFormat="false" ht="13.5" hidden="false" customHeight="false" outlineLevel="0" collapsed="false">
      <c r="B354" s="174" t="s">
        <v>277</v>
      </c>
      <c r="C354" s="174"/>
      <c r="D354" s="174"/>
      <c r="E354" s="174"/>
      <c r="F354" s="174"/>
      <c r="G354" s="174"/>
      <c r="H354" s="174"/>
      <c r="I354" s="174"/>
      <c r="J354" s="174"/>
      <c r="K354" s="174"/>
      <c r="L354" s="174"/>
      <c r="M354" s="174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8"/>
      <c r="AE354" s="8"/>
      <c r="AF354" s="8"/>
      <c r="AG354" s="8"/>
      <c r="AH354" s="8"/>
    </row>
    <row r="355" customFormat="false" ht="13.8" hidden="false" customHeight="false" outlineLevel="0" collapsed="false">
      <c r="A355" s="1" t="n">
        <v>33</v>
      </c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8"/>
      <c r="AE355" s="8"/>
      <c r="AF355" s="8"/>
      <c r="AG355" s="8"/>
      <c r="AH355" s="8"/>
    </row>
    <row r="356" customFormat="false" ht="41.25" hidden="false" customHeight="true" outlineLevel="0" collapsed="false">
      <c r="B356" s="265" t="s">
        <v>278</v>
      </c>
      <c r="C356" s="265"/>
      <c r="D356" s="265"/>
      <c r="E356" s="265"/>
      <c r="F356" s="265"/>
      <c r="G356" s="265" t="s">
        <v>279</v>
      </c>
      <c r="H356" s="265"/>
      <c r="I356" s="265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8"/>
      <c r="AE356" s="8"/>
      <c r="AF356" s="8"/>
      <c r="AG356" s="8"/>
      <c r="AH356" s="8"/>
    </row>
    <row r="357" customFormat="false" ht="13.8" hidden="false" customHeight="false" outlineLevel="0" collapsed="false">
      <c r="B357" s="210" t="s">
        <v>280</v>
      </c>
      <c r="C357" s="210"/>
      <c r="D357" s="210"/>
      <c r="E357" s="210"/>
      <c r="F357" s="210"/>
      <c r="G357" s="405" t="n">
        <v>0</v>
      </c>
      <c r="H357" s="405"/>
      <c r="I357" s="405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8"/>
      <c r="AE357" s="8"/>
      <c r="AF357" s="8"/>
      <c r="AG357" s="8"/>
      <c r="AH357" s="8"/>
    </row>
    <row r="358" customFormat="false" ht="13.8" hidden="false" customHeight="false" outlineLevel="0" collapsed="false">
      <c r="B358" s="216" t="s">
        <v>281</v>
      </c>
      <c r="C358" s="216"/>
      <c r="D358" s="216"/>
      <c r="E358" s="216"/>
      <c r="F358" s="216"/>
      <c r="G358" s="406" t="n">
        <v>0</v>
      </c>
      <c r="H358" s="406"/>
      <c r="I358" s="406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8"/>
      <c r="AE358" s="8"/>
      <c r="AF358" s="8"/>
      <c r="AG358" s="8"/>
      <c r="AH358" s="8"/>
    </row>
    <row r="359" customFormat="false" ht="13.8" hidden="false" customHeight="false" outlineLevel="0" collapsed="false">
      <c r="B359" s="216" t="s">
        <v>282</v>
      </c>
      <c r="C359" s="216"/>
      <c r="D359" s="216"/>
      <c r="E359" s="216"/>
      <c r="F359" s="216"/>
      <c r="G359" s="406" t="n">
        <v>0</v>
      </c>
      <c r="H359" s="406"/>
      <c r="I359" s="406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8"/>
      <c r="AE359" s="8"/>
      <c r="AF359" s="8"/>
      <c r="AG359" s="8"/>
      <c r="AH359" s="8"/>
    </row>
    <row r="360" customFormat="false" ht="13.8" hidden="false" customHeight="false" outlineLevel="0" collapsed="false">
      <c r="B360" s="216" t="s">
        <v>283</v>
      </c>
      <c r="C360" s="216"/>
      <c r="D360" s="216"/>
      <c r="E360" s="216"/>
      <c r="F360" s="216"/>
      <c r="G360" s="406" t="n">
        <v>0</v>
      </c>
      <c r="H360" s="406"/>
      <c r="I360" s="406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8"/>
      <c r="AE360" s="8"/>
      <c r="AF360" s="8"/>
      <c r="AG360" s="8"/>
      <c r="AH360" s="8"/>
    </row>
    <row r="361" customFormat="false" ht="13.8" hidden="false" customHeight="false" outlineLevel="0" collapsed="false">
      <c r="B361" s="297" t="s">
        <v>284</v>
      </c>
      <c r="C361" s="297"/>
      <c r="D361" s="297"/>
      <c r="E361" s="297"/>
      <c r="F361" s="297"/>
      <c r="G361" s="407" t="n">
        <v>0</v>
      </c>
      <c r="H361" s="407"/>
      <c r="I361" s="407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8"/>
      <c r="AE361" s="8"/>
      <c r="AF361" s="8"/>
      <c r="AG361" s="8"/>
      <c r="AH361" s="8"/>
    </row>
    <row r="362" customFormat="false" ht="13.8" hidden="false" customHeight="false" outlineLevel="0" collapsed="false">
      <c r="B362" s="228" t="s">
        <v>12</v>
      </c>
      <c r="C362" s="228"/>
      <c r="D362" s="228"/>
      <c r="E362" s="228"/>
      <c r="F362" s="228"/>
      <c r="G362" s="408" t="n">
        <f aca="false">SUM(G357:I361)</f>
        <v>0</v>
      </c>
      <c r="H362" s="408"/>
      <c r="I362" s="408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8"/>
      <c r="AE362" s="8"/>
      <c r="AF362" s="8"/>
      <c r="AG362" s="8"/>
      <c r="AH362" s="8"/>
    </row>
    <row r="363" customFormat="false" ht="13.8" hidden="false" customHeight="false" outlineLevel="0" collapsed="false">
      <c r="B363" s="409" t="s">
        <v>285</v>
      </c>
      <c r="C363" s="409"/>
      <c r="D363" s="409"/>
      <c r="E363" s="409"/>
      <c r="F363" s="409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8"/>
      <c r="AE363" s="8"/>
      <c r="AF363" s="8"/>
      <c r="AG363" s="8"/>
      <c r="AH363" s="8"/>
    </row>
    <row r="364" customFormat="false" ht="14.25" hidden="false" customHeight="true" outlineLevel="0" collapsed="false"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8"/>
      <c r="AE364" s="8"/>
      <c r="AF364" s="8"/>
      <c r="AG364" s="8"/>
      <c r="AH364" s="8"/>
    </row>
    <row r="365" customFormat="false" ht="13.5" hidden="false" customHeight="false" outlineLevel="0" collapsed="false"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8"/>
      <c r="AE365" s="8"/>
      <c r="AF365" s="8"/>
      <c r="AG365" s="8"/>
      <c r="AH365" s="8"/>
    </row>
    <row r="366" customFormat="false" ht="13.5" hidden="false" customHeight="false" outlineLevel="0" collapsed="false"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8"/>
      <c r="AE366" s="8"/>
      <c r="AF366" s="8"/>
      <c r="AG366" s="8"/>
      <c r="AH366" s="8"/>
    </row>
  </sheetData>
  <mergeCells count="755">
    <mergeCell ref="B4:M4"/>
    <mergeCell ref="B6:D6"/>
    <mergeCell ref="E6:J6"/>
    <mergeCell ref="B8:D8"/>
    <mergeCell ref="E8:G8"/>
    <mergeCell ref="I8:K8"/>
    <mergeCell ref="B10:M10"/>
    <mergeCell ref="A12:A22"/>
    <mergeCell ref="B12:M12"/>
    <mergeCell ref="I13:K13"/>
    <mergeCell ref="B14:H14"/>
    <mergeCell ref="I14:K14"/>
    <mergeCell ref="N14:AC14"/>
    <mergeCell ref="B15:H15"/>
    <mergeCell ref="I15:K15"/>
    <mergeCell ref="N15:AC15"/>
    <mergeCell ref="B16:G16"/>
    <mergeCell ref="I16:K17"/>
    <mergeCell ref="N16:AC16"/>
    <mergeCell ref="B17:G17"/>
    <mergeCell ref="N17:AC17"/>
    <mergeCell ref="B18:H18"/>
    <mergeCell ref="I18:K18"/>
    <mergeCell ref="N18:AC18"/>
    <mergeCell ref="B19:H19"/>
    <mergeCell ref="I19:K19"/>
    <mergeCell ref="N19:AC19"/>
    <mergeCell ref="B20:H20"/>
    <mergeCell ref="I20:K20"/>
    <mergeCell ref="L20:S22"/>
    <mergeCell ref="B21:G21"/>
    <mergeCell ref="I21:K22"/>
    <mergeCell ref="B22:G22"/>
    <mergeCell ref="B24:M24"/>
    <mergeCell ref="A26:A33"/>
    <mergeCell ref="B26:G26"/>
    <mergeCell ref="H26:K26"/>
    <mergeCell ref="B27:G27"/>
    <mergeCell ref="H27:K27"/>
    <mergeCell ref="B28:G28"/>
    <mergeCell ref="H28:K28"/>
    <mergeCell ref="B29:G29"/>
    <mergeCell ref="H29:K29"/>
    <mergeCell ref="B30:G30"/>
    <mergeCell ref="H30:K30"/>
    <mergeCell ref="B31:G31"/>
    <mergeCell ref="H31:K31"/>
    <mergeCell ref="B32:G32"/>
    <mergeCell ref="H32:K32"/>
    <mergeCell ref="B33:G33"/>
    <mergeCell ref="H33:K33"/>
    <mergeCell ref="N33:U33"/>
    <mergeCell ref="B35:M35"/>
    <mergeCell ref="A37:A44"/>
    <mergeCell ref="B37:G37"/>
    <mergeCell ref="H37:K37"/>
    <mergeCell ref="B38:G38"/>
    <mergeCell ref="H38:K38"/>
    <mergeCell ref="B39:G39"/>
    <mergeCell ref="H39:K39"/>
    <mergeCell ref="B40:G40"/>
    <mergeCell ref="H40:K40"/>
    <mergeCell ref="B41:G41"/>
    <mergeCell ref="H41:K41"/>
    <mergeCell ref="B42:G42"/>
    <mergeCell ref="H42:K42"/>
    <mergeCell ref="B43:G43"/>
    <mergeCell ref="H43:K43"/>
    <mergeCell ref="B44:G44"/>
    <mergeCell ref="H44:K44"/>
    <mergeCell ref="N44:U44"/>
    <mergeCell ref="B46:M46"/>
    <mergeCell ref="B47:M47"/>
    <mergeCell ref="B48:M48"/>
    <mergeCell ref="A49:A56"/>
    <mergeCell ref="I49:K49"/>
    <mergeCell ref="B50:H50"/>
    <mergeCell ref="I50:K50"/>
    <mergeCell ref="B51:H51"/>
    <mergeCell ref="I51:K51"/>
    <mergeCell ref="B52:G52"/>
    <mergeCell ref="I52:K53"/>
    <mergeCell ref="B53:G53"/>
    <mergeCell ref="B54:H54"/>
    <mergeCell ref="I54:K54"/>
    <mergeCell ref="B55:H55"/>
    <mergeCell ref="I55:K55"/>
    <mergeCell ref="N55:Z55"/>
    <mergeCell ref="B56:H56"/>
    <mergeCell ref="I56:K56"/>
    <mergeCell ref="B59:M59"/>
    <mergeCell ref="A61:A63"/>
    <mergeCell ref="B61:I61"/>
    <mergeCell ref="N63:U63"/>
    <mergeCell ref="N65:X65"/>
    <mergeCell ref="B66:M66"/>
    <mergeCell ref="N66:Z66"/>
    <mergeCell ref="A68:A70"/>
    <mergeCell ref="B68:C68"/>
    <mergeCell ref="D68:E68"/>
    <mergeCell ref="F68:G68"/>
    <mergeCell ref="B72:M72"/>
    <mergeCell ref="A74:A81"/>
    <mergeCell ref="I74:L74"/>
    <mergeCell ref="B75:H75"/>
    <mergeCell ref="I75:L75"/>
    <mergeCell ref="B76:H76"/>
    <mergeCell ref="I76:L76"/>
    <mergeCell ref="B77:H77"/>
    <mergeCell ref="I77:L77"/>
    <mergeCell ref="B78:H78"/>
    <mergeCell ref="I78:L78"/>
    <mergeCell ref="B79:H79"/>
    <mergeCell ref="I79:L79"/>
    <mergeCell ref="B80:H80"/>
    <mergeCell ref="I80:L80"/>
    <mergeCell ref="M80:Z81"/>
    <mergeCell ref="B81:H81"/>
    <mergeCell ref="I81:L81"/>
    <mergeCell ref="B83:M83"/>
    <mergeCell ref="B85:M85"/>
    <mergeCell ref="A87:A98"/>
    <mergeCell ref="B87:E88"/>
    <mergeCell ref="F87:M87"/>
    <mergeCell ref="B89:E89"/>
    <mergeCell ref="N89:Z89"/>
    <mergeCell ref="AA89:AD90"/>
    <mergeCell ref="B90:E90"/>
    <mergeCell ref="N90:Z90"/>
    <mergeCell ref="B91:E91"/>
    <mergeCell ref="N91:Z91"/>
    <mergeCell ref="B92:E92"/>
    <mergeCell ref="N92:Z92"/>
    <mergeCell ref="B93:E93"/>
    <mergeCell ref="N93:AE93"/>
    <mergeCell ref="B94:E94"/>
    <mergeCell ref="N94:AE94"/>
    <mergeCell ref="B95:E95"/>
    <mergeCell ref="N95:Z95"/>
    <mergeCell ref="B96:E96"/>
    <mergeCell ref="N96:Z96"/>
    <mergeCell ref="B97:E97"/>
    <mergeCell ref="N97:Z97"/>
    <mergeCell ref="B98:E98"/>
    <mergeCell ref="N98:U99"/>
    <mergeCell ref="G99:H99"/>
    <mergeCell ref="B100:M100"/>
    <mergeCell ref="A102:A120"/>
    <mergeCell ref="B102:C102"/>
    <mergeCell ref="E102:F102"/>
    <mergeCell ref="H102:I102"/>
    <mergeCell ref="K102:L102"/>
    <mergeCell ref="B103:C103"/>
    <mergeCell ref="E103:F103"/>
    <mergeCell ref="H103:I103"/>
    <mergeCell ref="K103:L103"/>
    <mergeCell ref="B104:C104"/>
    <mergeCell ref="E104:F104"/>
    <mergeCell ref="H104:I104"/>
    <mergeCell ref="K104:L104"/>
    <mergeCell ref="B105:C105"/>
    <mergeCell ref="E105:F105"/>
    <mergeCell ref="H105:I105"/>
    <mergeCell ref="K105:L105"/>
    <mergeCell ref="B106:C106"/>
    <mergeCell ref="E106:F106"/>
    <mergeCell ref="H106:I106"/>
    <mergeCell ref="K106:L106"/>
    <mergeCell ref="B107:C107"/>
    <mergeCell ref="E107:F107"/>
    <mergeCell ref="H107:I107"/>
    <mergeCell ref="K107:L107"/>
    <mergeCell ref="B108:C108"/>
    <mergeCell ref="E108:F108"/>
    <mergeCell ref="H108:I108"/>
    <mergeCell ref="K108:L108"/>
    <mergeCell ref="B109:C109"/>
    <mergeCell ref="E109:F109"/>
    <mergeCell ref="H109:I109"/>
    <mergeCell ref="K109:L109"/>
    <mergeCell ref="B110:C110"/>
    <mergeCell ref="E110:F110"/>
    <mergeCell ref="H110:I110"/>
    <mergeCell ref="K110:L110"/>
    <mergeCell ref="B111:C111"/>
    <mergeCell ref="E111:F111"/>
    <mergeCell ref="H111:I111"/>
    <mergeCell ref="K111:L111"/>
    <mergeCell ref="B112:C112"/>
    <mergeCell ref="E112:F112"/>
    <mergeCell ref="H112:I112"/>
    <mergeCell ref="K112:L112"/>
    <mergeCell ref="B113:C113"/>
    <mergeCell ref="E113:F113"/>
    <mergeCell ref="H113:I113"/>
    <mergeCell ref="K113:L113"/>
    <mergeCell ref="B114:C114"/>
    <mergeCell ref="E114:F114"/>
    <mergeCell ref="H114:I114"/>
    <mergeCell ref="K114:L114"/>
    <mergeCell ref="B115:C115"/>
    <mergeCell ref="E115:F115"/>
    <mergeCell ref="H115:I115"/>
    <mergeCell ref="K115:L115"/>
    <mergeCell ref="B116:C116"/>
    <mergeCell ref="E116:F116"/>
    <mergeCell ref="H116:I116"/>
    <mergeCell ref="B117:C117"/>
    <mergeCell ref="E117:F117"/>
    <mergeCell ref="B118:C118"/>
    <mergeCell ref="E118:F118"/>
    <mergeCell ref="B119:C119"/>
    <mergeCell ref="B120:C120"/>
    <mergeCell ref="B122:M122"/>
    <mergeCell ref="A124:A131"/>
    <mergeCell ref="B124:C124"/>
    <mergeCell ref="D124:E124"/>
    <mergeCell ref="F124:G124"/>
    <mergeCell ref="H124:I124"/>
    <mergeCell ref="J124:K124"/>
    <mergeCell ref="L124:M124"/>
    <mergeCell ref="B125:C125"/>
    <mergeCell ref="D125:E125"/>
    <mergeCell ref="F125:G125"/>
    <mergeCell ref="H125:I125"/>
    <mergeCell ref="J125:K125"/>
    <mergeCell ref="L125:M125"/>
    <mergeCell ref="B126:C126"/>
    <mergeCell ref="D126:E126"/>
    <mergeCell ref="F126:G126"/>
    <mergeCell ref="H126:I126"/>
    <mergeCell ref="J126:K126"/>
    <mergeCell ref="L126:M126"/>
    <mergeCell ref="B127:C127"/>
    <mergeCell ref="D127:E127"/>
    <mergeCell ref="F127:G127"/>
    <mergeCell ref="H127:I127"/>
    <mergeCell ref="J127:K127"/>
    <mergeCell ref="L127:M127"/>
    <mergeCell ref="B128:C128"/>
    <mergeCell ref="D128:E128"/>
    <mergeCell ref="F128:G128"/>
    <mergeCell ref="H128:I128"/>
    <mergeCell ref="J128:K128"/>
    <mergeCell ref="L128:M128"/>
    <mergeCell ref="B129:C129"/>
    <mergeCell ref="D129:E129"/>
    <mergeCell ref="F129:G129"/>
    <mergeCell ref="H129:I129"/>
    <mergeCell ref="J129:K129"/>
    <mergeCell ref="L129:M129"/>
    <mergeCell ref="B130:C130"/>
    <mergeCell ref="D130:E130"/>
    <mergeCell ref="F130:G130"/>
    <mergeCell ref="H130:I130"/>
    <mergeCell ref="J130:K130"/>
    <mergeCell ref="L130:M130"/>
    <mergeCell ref="B131:C131"/>
    <mergeCell ref="D131:E131"/>
    <mergeCell ref="F131:G131"/>
    <mergeCell ref="H131:I131"/>
    <mergeCell ref="J131:K131"/>
    <mergeCell ref="L131:M131"/>
    <mergeCell ref="N132:W133"/>
    <mergeCell ref="B133:M133"/>
    <mergeCell ref="N134:AA134"/>
    <mergeCell ref="A135:A137"/>
    <mergeCell ref="B135:C136"/>
    <mergeCell ref="D135:H135"/>
    <mergeCell ref="I135:J136"/>
    <mergeCell ref="N135:AA135"/>
    <mergeCell ref="D136:E136"/>
    <mergeCell ref="N136:AA136"/>
    <mergeCell ref="B137:C137"/>
    <mergeCell ref="D137:E137"/>
    <mergeCell ref="I137:J137"/>
    <mergeCell ref="N137:AA137"/>
    <mergeCell ref="N138:AA138"/>
    <mergeCell ref="B139:M139"/>
    <mergeCell ref="N139:AA139"/>
    <mergeCell ref="B141:M141"/>
    <mergeCell ref="A143:A144"/>
    <mergeCell ref="B143:D143"/>
    <mergeCell ref="E143:G143"/>
    <mergeCell ref="H143:J143"/>
    <mergeCell ref="N143:Z143"/>
    <mergeCell ref="B144:D144"/>
    <mergeCell ref="E144:G144"/>
    <mergeCell ref="H144:J144"/>
    <mergeCell ref="N144:Z144"/>
    <mergeCell ref="N145:AE145"/>
    <mergeCell ref="B146:M147"/>
    <mergeCell ref="A149:A158"/>
    <mergeCell ref="B149:C150"/>
    <mergeCell ref="D149:E149"/>
    <mergeCell ref="F149:G149"/>
    <mergeCell ref="H149:I149"/>
    <mergeCell ref="B151:C151"/>
    <mergeCell ref="J151:V151"/>
    <mergeCell ref="B152:C152"/>
    <mergeCell ref="J152:V152"/>
    <mergeCell ref="B153:C153"/>
    <mergeCell ref="J153:V153"/>
    <mergeCell ref="B154:C154"/>
    <mergeCell ref="J154:V154"/>
    <mergeCell ref="B155:C155"/>
    <mergeCell ref="J155:V155"/>
    <mergeCell ref="B156:C156"/>
    <mergeCell ref="J156:V156"/>
    <mergeCell ref="B157:C157"/>
    <mergeCell ref="J157:V157"/>
    <mergeCell ref="B158:C158"/>
    <mergeCell ref="G159:H159"/>
    <mergeCell ref="B160:J160"/>
    <mergeCell ref="A162:A163"/>
    <mergeCell ref="B162:D162"/>
    <mergeCell ref="E162:G162"/>
    <mergeCell ref="H162:J162"/>
    <mergeCell ref="N162:Z162"/>
    <mergeCell ref="B163:D163"/>
    <mergeCell ref="E163:G163"/>
    <mergeCell ref="H163:J163"/>
    <mergeCell ref="N163:Z163"/>
    <mergeCell ref="B164:L165"/>
    <mergeCell ref="A166:A175"/>
    <mergeCell ref="B166:C167"/>
    <mergeCell ref="D166:D167"/>
    <mergeCell ref="E166:F167"/>
    <mergeCell ref="B168:C168"/>
    <mergeCell ref="E168:F168"/>
    <mergeCell ref="H168:T168"/>
    <mergeCell ref="B169:C169"/>
    <mergeCell ref="E169:F169"/>
    <mergeCell ref="H169:T169"/>
    <mergeCell ref="B170:C170"/>
    <mergeCell ref="E170:F170"/>
    <mergeCell ref="H170:T170"/>
    <mergeCell ref="B171:C171"/>
    <mergeCell ref="E171:F171"/>
    <mergeCell ref="H171:T171"/>
    <mergeCell ref="B172:C172"/>
    <mergeCell ref="E172:F172"/>
    <mergeCell ref="H172:T172"/>
    <mergeCell ref="B173:C173"/>
    <mergeCell ref="E173:F173"/>
    <mergeCell ref="H173:T173"/>
    <mergeCell ref="B174:C174"/>
    <mergeCell ref="E174:F174"/>
    <mergeCell ref="H174:T174"/>
    <mergeCell ref="B175:C175"/>
    <mergeCell ref="E175:F175"/>
    <mergeCell ref="B177:K177"/>
    <mergeCell ref="A179:A187"/>
    <mergeCell ref="B179:C179"/>
    <mergeCell ref="D179:E179"/>
    <mergeCell ref="F179:G179"/>
    <mergeCell ref="H179:I179"/>
    <mergeCell ref="J179:K179"/>
    <mergeCell ref="B180:C180"/>
    <mergeCell ref="D180:E180"/>
    <mergeCell ref="F180:G180"/>
    <mergeCell ref="H180:I180"/>
    <mergeCell ref="J180:K180"/>
    <mergeCell ref="B181:C181"/>
    <mergeCell ref="D181:E181"/>
    <mergeCell ref="F181:G181"/>
    <mergeCell ref="H181:I181"/>
    <mergeCell ref="J181:K181"/>
    <mergeCell ref="B182:C182"/>
    <mergeCell ref="D182:E182"/>
    <mergeCell ref="F182:G182"/>
    <mergeCell ref="H182:I182"/>
    <mergeCell ref="J182:K182"/>
    <mergeCell ref="B183:C183"/>
    <mergeCell ref="D183:E183"/>
    <mergeCell ref="F183:G183"/>
    <mergeCell ref="H183:I183"/>
    <mergeCell ref="J183:K183"/>
    <mergeCell ref="B184:C184"/>
    <mergeCell ref="D184:E184"/>
    <mergeCell ref="F184:G184"/>
    <mergeCell ref="H184:I184"/>
    <mergeCell ref="J184:K184"/>
    <mergeCell ref="B185:C185"/>
    <mergeCell ref="D185:E185"/>
    <mergeCell ref="F185:G185"/>
    <mergeCell ref="H185:I185"/>
    <mergeCell ref="J185:K185"/>
    <mergeCell ref="B186:C186"/>
    <mergeCell ref="D186:E186"/>
    <mergeCell ref="F186:G186"/>
    <mergeCell ref="H186:I186"/>
    <mergeCell ref="J186:K186"/>
    <mergeCell ref="B187:C187"/>
    <mergeCell ref="D187:E187"/>
    <mergeCell ref="F187:G187"/>
    <mergeCell ref="H187:I187"/>
    <mergeCell ref="J187:K187"/>
    <mergeCell ref="B189:M189"/>
    <mergeCell ref="B191:G191"/>
    <mergeCell ref="A193:A195"/>
    <mergeCell ref="B193:E194"/>
    <mergeCell ref="F193:G194"/>
    <mergeCell ref="B195:E195"/>
    <mergeCell ref="F195:G195"/>
    <mergeCell ref="F196:M196"/>
    <mergeCell ref="B197:N197"/>
    <mergeCell ref="B199:M199"/>
    <mergeCell ref="A201:A203"/>
    <mergeCell ref="B201:E202"/>
    <mergeCell ref="F201:M201"/>
    <mergeCell ref="F202:G202"/>
    <mergeCell ref="H202:I202"/>
    <mergeCell ref="J202:K202"/>
    <mergeCell ref="L202:M202"/>
    <mergeCell ref="B203:E203"/>
    <mergeCell ref="F203:G203"/>
    <mergeCell ref="H203:I203"/>
    <mergeCell ref="J203:K203"/>
    <mergeCell ref="L203:M203"/>
    <mergeCell ref="G204:H204"/>
    <mergeCell ref="B205:M205"/>
    <mergeCell ref="A207:A215"/>
    <mergeCell ref="B207:D207"/>
    <mergeCell ref="E207:G207"/>
    <mergeCell ref="H207:J207"/>
    <mergeCell ref="K207:M207"/>
    <mergeCell ref="B208:D208"/>
    <mergeCell ref="E208:G208"/>
    <mergeCell ref="H208:J208"/>
    <mergeCell ref="K208:M208"/>
    <mergeCell ref="B209:D209"/>
    <mergeCell ref="E209:G209"/>
    <mergeCell ref="H209:J209"/>
    <mergeCell ref="K209:M209"/>
    <mergeCell ref="B210:D210"/>
    <mergeCell ref="E210:G210"/>
    <mergeCell ref="H210:J210"/>
    <mergeCell ref="K210:M210"/>
    <mergeCell ref="B211:D211"/>
    <mergeCell ref="E211:G211"/>
    <mergeCell ref="H211:J211"/>
    <mergeCell ref="K211:M211"/>
    <mergeCell ref="B212:D212"/>
    <mergeCell ref="E212:G212"/>
    <mergeCell ref="H212:J212"/>
    <mergeCell ref="K212:M212"/>
    <mergeCell ref="B213:D213"/>
    <mergeCell ref="E213:G213"/>
    <mergeCell ref="H213:J213"/>
    <mergeCell ref="K213:M213"/>
    <mergeCell ref="B214:D214"/>
    <mergeCell ref="E214:G214"/>
    <mergeCell ref="H214:J214"/>
    <mergeCell ref="K214:M214"/>
    <mergeCell ref="B215:D215"/>
    <mergeCell ref="E215:G215"/>
    <mergeCell ref="H215:J215"/>
    <mergeCell ref="K215:M215"/>
    <mergeCell ref="B217:M217"/>
    <mergeCell ref="B219:M219"/>
    <mergeCell ref="A221:A230"/>
    <mergeCell ref="B221:E222"/>
    <mergeCell ref="F221:G222"/>
    <mergeCell ref="H221:K221"/>
    <mergeCell ref="L221:M222"/>
    <mergeCell ref="H222:I222"/>
    <mergeCell ref="J222:K222"/>
    <mergeCell ref="B223:E223"/>
    <mergeCell ref="F223:G223"/>
    <mergeCell ref="H223:I223"/>
    <mergeCell ref="J223:K223"/>
    <mergeCell ref="L223:M223"/>
    <mergeCell ref="B224:E224"/>
    <mergeCell ref="F224:G224"/>
    <mergeCell ref="H224:I224"/>
    <mergeCell ref="J224:K224"/>
    <mergeCell ref="L224:M224"/>
    <mergeCell ref="B225:E225"/>
    <mergeCell ref="F225:G225"/>
    <mergeCell ref="H225:I225"/>
    <mergeCell ref="J225:K225"/>
    <mergeCell ref="L225:M225"/>
    <mergeCell ref="B226:E226"/>
    <mergeCell ref="F226:G226"/>
    <mergeCell ref="H226:I226"/>
    <mergeCell ref="J226:K226"/>
    <mergeCell ref="L226:M226"/>
    <mergeCell ref="B227:E227"/>
    <mergeCell ref="F227:G227"/>
    <mergeCell ref="H227:I227"/>
    <mergeCell ref="J227:K227"/>
    <mergeCell ref="L227:M227"/>
    <mergeCell ref="B228:E228"/>
    <mergeCell ref="F228:G228"/>
    <mergeCell ref="H228:I228"/>
    <mergeCell ref="J228:K228"/>
    <mergeCell ref="L228:M228"/>
    <mergeCell ref="B229:E229"/>
    <mergeCell ref="F229:G229"/>
    <mergeCell ref="H229:I229"/>
    <mergeCell ref="J229:K229"/>
    <mergeCell ref="L229:M229"/>
    <mergeCell ref="B230:E230"/>
    <mergeCell ref="F230:G230"/>
    <mergeCell ref="H230:I230"/>
    <mergeCell ref="J230:K230"/>
    <mergeCell ref="L230:M230"/>
    <mergeCell ref="B232:M232"/>
    <mergeCell ref="A234:A242"/>
    <mergeCell ref="B234:E235"/>
    <mergeCell ref="F234:G235"/>
    <mergeCell ref="H234:K234"/>
    <mergeCell ref="L234:M235"/>
    <mergeCell ref="H235:I235"/>
    <mergeCell ref="J235:K235"/>
    <mergeCell ref="B236:E236"/>
    <mergeCell ref="F236:G236"/>
    <mergeCell ref="H236:I236"/>
    <mergeCell ref="J236:K236"/>
    <mergeCell ref="L236:M236"/>
    <mergeCell ref="B237:E237"/>
    <mergeCell ref="F237:G237"/>
    <mergeCell ref="H237:I237"/>
    <mergeCell ref="J237:K237"/>
    <mergeCell ref="L237:M237"/>
    <mergeCell ref="B238:E238"/>
    <mergeCell ref="F238:G238"/>
    <mergeCell ref="H238:I238"/>
    <mergeCell ref="J238:K238"/>
    <mergeCell ref="L238:M238"/>
    <mergeCell ref="B239:E239"/>
    <mergeCell ref="F239:G239"/>
    <mergeCell ref="H239:I239"/>
    <mergeCell ref="J239:K239"/>
    <mergeCell ref="L239:M239"/>
    <mergeCell ref="B240:E240"/>
    <mergeCell ref="F240:G240"/>
    <mergeCell ref="H240:I240"/>
    <mergeCell ref="J240:K240"/>
    <mergeCell ref="L240:M240"/>
    <mergeCell ref="B241:E241"/>
    <mergeCell ref="F241:G241"/>
    <mergeCell ref="H241:I241"/>
    <mergeCell ref="J241:K241"/>
    <mergeCell ref="L241:M241"/>
    <mergeCell ref="B242:E242"/>
    <mergeCell ref="F242:G242"/>
    <mergeCell ref="H242:I242"/>
    <mergeCell ref="J242:K242"/>
    <mergeCell ref="L242:M242"/>
    <mergeCell ref="G243:H243"/>
    <mergeCell ref="B244:M244"/>
    <mergeCell ref="A246:A250"/>
    <mergeCell ref="B246:C247"/>
    <mergeCell ref="D246:F246"/>
    <mergeCell ref="G246:I246"/>
    <mergeCell ref="J246:L246"/>
    <mergeCell ref="E247:F247"/>
    <mergeCell ref="H247:I247"/>
    <mergeCell ref="K247:L247"/>
    <mergeCell ref="B248:C248"/>
    <mergeCell ref="E248:F248"/>
    <mergeCell ref="H248:I248"/>
    <mergeCell ref="K248:L248"/>
    <mergeCell ref="N248:Z249"/>
    <mergeCell ref="B249:C249"/>
    <mergeCell ref="E249:F249"/>
    <mergeCell ref="H249:I249"/>
    <mergeCell ref="K249:L249"/>
    <mergeCell ref="B250:C250"/>
    <mergeCell ref="E250:F250"/>
    <mergeCell ref="H250:I250"/>
    <mergeCell ref="K250:L250"/>
    <mergeCell ref="N250:Z250"/>
    <mergeCell ref="B252:M252"/>
    <mergeCell ref="B254:M254"/>
    <mergeCell ref="A256:A262"/>
    <mergeCell ref="B256:E256"/>
    <mergeCell ref="F256:G256"/>
    <mergeCell ref="H256:I256"/>
    <mergeCell ref="J256:K256"/>
    <mergeCell ref="L256:M256"/>
    <mergeCell ref="B257:E257"/>
    <mergeCell ref="F257:G257"/>
    <mergeCell ref="H257:I257"/>
    <mergeCell ref="J257:K257"/>
    <mergeCell ref="L257:M257"/>
    <mergeCell ref="B258:E258"/>
    <mergeCell ref="F258:G258"/>
    <mergeCell ref="H258:I258"/>
    <mergeCell ref="J258:K258"/>
    <mergeCell ref="L258:M258"/>
    <mergeCell ref="B259:E259"/>
    <mergeCell ref="F259:G259"/>
    <mergeCell ref="H259:I259"/>
    <mergeCell ref="J259:K259"/>
    <mergeCell ref="L259:M259"/>
    <mergeCell ref="N259:Z259"/>
    <mergeCell ref="B260:E260"/>
    <mergeCell ref="F260:G260"/>
    <mergeCell ref="H260:I260"/>
    <mergeCell ref="J260:K260"/>
    <mergeCell ref="L260:M260"/>
    <mergeCell ref="N260:Z260"/>
    <mergeCell ref="B261:E261"/>
    <mergeCell ref="F261:G261"/>
    <mergeCell ref="H261:I261"/>
    <mergeCell ref="J261:K261"/>
    <mergeCell ref="L261:M261"/>
    <mergeCell ref="N261:Z261"/>
    <mergeCell ref="B262:E262"/>
    <mergeCell ref="F262:G262"/>
    <mergeCell ref="H262:I262"/>
    <mergeCell ref="J262:K262"/>
    <mergeCell ref="L262:M262"/>
    <mergeCell ref="N262:Z262"/>
    <mergeCell ref="G263:H263"/>
    <mergeCell ref="B264:M264"/>
    <mergeCell ref="A265:A274"/>
    <mergeCell ref="B266:E267"/>
    <mergeCell ref="F266:M266"/>
    <mergeCell ref="B268:E268"/>
    <mergeCell ref="B269:E269"/>
    <mergeCell ref="B270:E270"/>
    <mergeCell ref="B271:E271"/>
    <mergeCell ref="B272:E272"/>
    <mergeCell ref="B273:E273"/>
    <mergeCell ref="B274:E274"/>
    <mergeCell ref="N274:Z275"/>
    <mergeCell ref="B276:M276"/>
    <mergeCell ref="A278:A286"/>
    <mergeCell ref="B278:E279"/>
    <mergeCell ref="F278:M278"/>
    <mergeCell ref="B280:E280"/>
    <mergeCell ref="B281:E281"/>
    <mergeCell ref="B282:E282"/>
    <mergeCell ref="B283:E283"/>
    <mergeCell ref="B284:E284"/>
    <mergeCell ref="B285:E285"/>
    <mergeCell ref="B286:E286"/>
    <mergeCell ref="N286:Z286"/>
    <mergeCell ref="B288:M288"/>
    <mergeCell ref="B290:M290"/>
    <mergeCell ref="A292:A301"/>
    <mergeCell ref="B292:C293"/>
    <mergeCell ref="D292:E292"/>
    <mergeCell ref="F292:G292"/>
    <mergeCell ref="H292:I292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3:M303"/>
    <mergeCell ref="A305:A314"/>
    <mergeCell ref="B305:C306"/>
    <mergeCell ref="D305:E305"/>
    <mergeCell ref="F305:G305"/>
    <mergeCell ref="H305:I305"/>
    <mergeCell ref="B307:C307"/>
    <mergeCell ref="B308:C308"/>
    <mergeCell ref="B309:C309"/>
    <mergeCell ref="B310:C310"/>
    <mergeCell ref="B311:C311"/>
    <mergeCell ref="B312:C312"/>
    <mergeCell ref="B313:C313"/>
    <mergeCell ref="B314:C314"/>
    <mergeCell ref="B316:M316"/>
    <mergeCell ref="B318:M318"/>
    <mergeCell ref="A320:A321"/>
    <mergeCell ref="B320:C320"/>
    <mergeCell ref="D320:E320"/>
    <mergeCell ref="F320:G320"/>
    <mergeCell ref="H320:I320"/>
    <mergeCell ref="J320:K320"/>
    <mergeCell ref="L320:M320"/>
    <mergeCell ref="B321:C321"/>
    <mergeCell ref="D321:E321"/>
    <mergeCell ref="F321:G321"/>
    <mergeCell ref="H321:I321"/>
    <mergeCell ref="J321:K321"/>
    <mergeCell ref="L321:M321"/>
    <mergeCell ref="B323:M323"/>
    <mergeCell ref="A325:A327"/>
    <mergeCell ref="B325:G325"/>
    <mergeCell ref="H325:M325"/>
    <mergeCell ref="B326:C326"/>
    <mergeCell ref="D326:E326"/>
    <mergeCell ref="F326:G326"/>
    <mergeCell ref="H326:I326"/>
    <mergeCell ref="J326:K326"/>
    <mergeCell ref="L326:M326"/>
    <mergeCell ref="B327:C327"/>
    <mergeCell ref="D327:E327"/>
    <mergeCell ref="F327:G327"/>
    <mergeCell ref="H327:I327"/>
    <mergeCell ref="J327:K327"/>
    <mergeCell ref="L327:M327"/>
    <mergeCell ref="B329:M329"/>
    <mergeCell ref="B331:M331"/>
    <mergeCell ref="A333:A335"/>
    <mergeCell ref="B333:M333"/>
    <mergeCell ref="B334:C334"/>
    <mergeCell ref="D334:E334"/>
    <mergeCell ref="F334:G334"/>
    <mergeCell ref="H334:K334"/>
    <mergeCell ref="L334:M334"/>
    <mergeCell ref="B335:C335"/>
    <mergeCell ref="D335:E335"/>
    <mergeCell ref="F335:G335"/>
    <mergeCell ref="H335:K335"/>
    <mergeCell ref="L335:M335"/>
    <mergeCell ref="B337:M337"/>
    <mergeCell ref="A339:A340"/>
    <mergeCell ref="B339:D339"/>
    <mergeCell ref="B340:D340"/>
    <mergeCell ref="B342:M342"/>
    <mergeCell ref="B344:M344"/>
    <mergeCell ref="A345:A352"/>
    <mergeCell ref="B346:H346"/>
    <mergeCell ref="I346:L346"/>
    <mergeCell ref="B347:H347"/>
    <mergeCell ref="I347:L347"/>
    <mergeCell ref="B348:H348"/>
    <mergeCell ref="I348:L348"/>
    <mergeCell ref="B349:H349"/>
    <mergeCell ref="I349:L349"/>
    <mergeCell ref="B350:F350"/>
    <mergeCell ref="G350:H350"/>
    <mergeCell ref="I350:L351"/>
    <mergeCell ref="B351:F351"/>
    <mergeCell ref="G351:H351"/>
    <mergeCell ref="B352:H352"/>
    <mergeCell ref="I352:L352"/>
    <mergeCell ref="B354:M354"/>
    <mergeCell ref="A355:A362"/>
    <mergeCell ref="B356:F356"/>
    <mergeCell ref="G356:I356"/>
    <mergeCell ref="B357:F357"/>
    <mergeCell ref="G357:I357"/>
    <mergeCell ref="B358:F358"/>
    <mergeCell ref="G358:I358"/>
    <mergeCell ref="B359:F359"/>
    <mergeCell ref="G359:I359"/>
    <mergeCell ref="B360:F360"/>
    <mergeCell ref="G360:I360"/>
    <mergeCell ref="B361:F361"/>
    <mergeCell ref="G361:I361"/>
    <mergeCell ref="B362:F362"/>
    <mergeCell ref="G362:I362"/>
    <mergeCell ref="B363:F363"/>
  </mergeCells>
  <dataValidations count="4">
    <dataValidation allowBlank="true" errorStyle="stop" operator="greaterThanOrEqual" showDropDown="false" showErrorMessage="true" showInputMessage="true" sqref="B58:I58 K63:K64 B64:G64 I64 H132:I132 L132:M132 D159:G159 I159 K159:M159 D176:F176 H176:I176 E198:M198 B204:G204 I204:M204 E216:M216 F231:M231 E248:E249 H248 K248 E250 H250 K250 F275:M275 D302:M302 I347:L349 G350:H351 I352:L353" type="whole">
      <formula1>0</formula1>
      <formula2>0</formula2>
    </dataValidation>
    <dataValidation allowBlank="true" errorStyle="stop" operator="greaterThanOrEqual" showDropDown="false" showErrorMessage="true" showInputMessage="true" sqref="G357:I362" type="decimal">
      <formula1>0</formula1>
      <formula2>0</formula2>
    </dataValidation>
    <dataValidation allowBlank="true" errorStyle="stop" operator="greaterThan" showDropDown="false" showErrorMessage="true" showInputMessage="true" sqref="I14:K15 H16:H17 I18:K20 H21:H23 I23:K23 H27:K34 H36:K36 H38:K45 I50:K51 H52:K53 I54:K56 B63:I63 B70:G70 I75:L81 F89:M98 D103:D116 G103:G118 J103:J116 M103:M115 D117:D120 D125:E130 H125:I131 L125:M131 B137:J137 B144:J144 D151:I158 B163:J163 D168:F175 D180:K187 F193:G194 B203:M203 E208:M215 F223:M230 F236:M242 D248:D250 G248:G250 J248:J250 F257:M262 F268:M274 F280:M286 D294:I301 D307:I314 B321:G321 B327:M327 B335:M335 B340:D340" type="whole">
      <formula1>-1</formula1>
      <formula2>0</formula2>
    </dataValidation>
    <dataValidation allowBlank="true" errorStyle="stop" operator="greaterThanOrEqual" showDropDown="false" showErrorMessage="true" showInputMessage="true" sqref="F263:G263 I263:M263" type="none">
      <formula1>0</formula1>
      <formula2>0</formula2>
    </dataValidation>
  </dataValidations>
  <printOptions headings="false" gridLines="false" gridLinesSet="true" horizontalCentered="false" verticalCentered="false"/>
  <pageMargins left="0.25" right="0.25" top="0.75" bottom="0.444444444444444" header="0.511811023622047" footer="0.3"/>
  <pageSetup paperSize="1" scale="90" fitToWidth="1" fitToHeight="1" pageOrder="downThenOver" orientation="portrait" blackAndWhite="false" draft="false" cellComments="none" horizontalDpi="300" verticalDpi="300" copies="1"/>
  <headerFooter differentFirst="true" differentOddEven="true">
    <oddHeader/>
    <oddFooter/>
    <evenHeader/>
    <evenFooter/>
    <firstHeader/>
    <firstFooter/>
  </headerFooter>
  <rowBreaks count="7" manualBreakCount="7">
    <brk id="65" man="true" max="16383" min="0"/>
    <brk id="99" man="true" max="16383" min="0"/>
    <brk id="145" man="true" max="16383" min="0"/>
    <brk id="188" man="true" max="16383" min="0"/>
    <brk id="216" man="true" max="16383" min="0"/>
    <brk id="251" man="true" max="16383" min="0"/>
    <brk id="287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P350"/>
  <sheetViews>
    <sheetView showFormulas="false" showGridLines="true" showRowColHeaders="true" showZeros="true" rightToLeft="false" tabSelected="true" showOutlineSymbols="true" defaultGridColor="true" view="normal" topLeftCell="A323" colorId="64" zoomScale="100" zoomScaleNormal="100" zoomScalePageLayoutView="100" workbookViewId="0">
      <selection pane="topLeft" activeCell="A346" activeCellId="0" sqref="A346"/>
    </sheetView>
  </sheetViews>
  <sheetFormatPr defaultColWidth="9.18359375" defaultRowHeight="13.5" customHeight="true" zeroHeight="false" outlineLevelRow="0" outlineLevelCol="0"/>
  <cols>
    <col collapsed="false" customWidth="true" hidden="false" outlineLevel="0" max="1" min="1" style="410" width="8.54"/>
    <col collapsed="false" customWidth="true" hidden="false" outlineLevel="0" max="2" min="2" style="280" width="8.54"/>
    <col collapsed="false" customWidth="true" hidden="false" outlineLevel="0" max="3" min="3" style="280" width="8.27"/>
    <col collapsed="false" customWidth="true" hidden="false" outlineLevel="0" max="4" min="4" style="280" width="9"/>
    <col collapsed="false" customWidth="true" hidden="false" outlineLevel="0" max="5" min="5" style="280" width="8"/>
    <col collapsed="false" customWidth="true" hidden="false" outlineLevel="0" max="6" min="6" style="280" width="8.82"/>
    <col collapsed="false" customWidth="true" hidden="false" outlineLevel="0" max="7" min="7" style="280" width="8"/>
    <col collapsed="false" customWidth="true" hidden="false" outlineLevel="0" max="8" min="8" style="280" width="9.27"/>
    <col collapsed="false" customWidth="true" hidden="false" outlineLevel="0" max="9" min="9" style="280" width="7.45"/>
    <col collapsed="false" customWidth="true" hidden="false" outlineLevel="0" max="10" min="10" style="280" width="11.54"/>
    <col collapsed="false" customWidth="true" hidden="false" outlineLevel="0" max="11" min="11" style="280" width="8"/>
    <col collapsed="false" customWidth="true" hidden="false" outlineLevel="0" max="12" min="12" style="280" width="7.27"/>
    <col collapsed="false" customWidth="true" hidden="false" outlineLevel="0" max="13" min="13" style="280" width="8.45"/>
    <col collapsed="false" customWidth="true" hidden="false" outlineLevel="0" max="14" min="14" style="280" width="7.73"/>
    <col collapsed="false" customWidth="true" hidden="false" outlineLevel="0" max="15" min="15" style="411" width="9"/>
    <col collapsed="false" customWidth="true" hidden="false" outlineLevel="0" max="16" min="16" style="280" width="8.82"/>
    <col collapsed="false" customWidth="true" hidden="false" outlineLevel="0" max="17" min="17" style="280" width="8.27"/>
    <col collapsed="false" customWidth="false" hidden="false" outlineLevel="0" max="18" min="18" style="280" width="9.18"/>
    <col collapsed="false" customWidth="true" hidden="false" outlineLevel="0" max="19" min="19" style="280" width="9.27"/>
    <col collapsed="false" customWidth="false" hidden="false" outlineLevel="0" max="16384" min="20" style="280" width="9.18"/>
  </cols>
  <sheetData>
    <row r="2" customFormat="false" ht="13.5" hidden="false" customHeight="false" outlineLevel="0" collapsed="false">
      <c r="J2" s="412"/>
    </row>
    <row r="4" customFormat="false" ht="17.15" hidden="false" customHeight="false" outlineLevel="0" collapsed="false">
      <c r="B4" s="413" t="s">
        <v>286</v>
      </c>
      <c r="C4" s="413"/>
      <c r="D4" s="413"/>
      <c r="E4" s="413"/>
      <c r="F4" s="413"/>
      <c r="G4" s="413"/>
      <c r="H4" s="413"/>
      <c r="I4" s="413"/>
      <c r="J4" s="413"/>
      <c r="K4" s="413"/>
      <c r="L4" s="413"/>
      <c r="M4" s="413"/>
      <c r="N4" s="413"/>
      <c r="O4" s="413"/>
      <c r="P4" s="413"/>
      <c r="Q4" s="413"/>
      <c r="R4" s="413"/>
      <c r="S4" s="413"/>
      <c r="T4" s="413"/>
    </row>
    <row r="6" customFormat="false" ht="13.5" hidden="false" customHeight="false" outlineLevel="0" collapsed="false">
      <c r="F6" s="48" t="s">
        <v>1</v>
      </c>
      <c r="G6" s="48"/>
      <c r="H6" s="48"/>
      <c r="I6" s="414"/>
      <c r="J6" s="414"/>
      <c r="K6" s="414"/>
      <c r="L6" s="414"/>
      <c r="M6" s="414"/>
      <c r="N6" s="414"/>
      <c r="O6" s="280"/>
      <c r="P6" s="98" t="str">
        <f aca="false">IF(I6="", "You must enter an Institution name", "")</f>
        <v>You must enter an Institution name</v>
      </c>
    </row>
    <row r="8" customFormat="false" ht="13.5" hidden="false" customHeight="false" outlineLevel="0" collapsed="false">
      <c r="F8" s="390" t="s">
        <v>3</v>
      </c>
      <c r="G8" s="390"/>
      <c r="H8" s="390"/>
      <c r="I8" s="415" t="n">
        <v>45748</v>
      </c>
      <c r="J8" s="415"/>
      <c r="K8" s="415"/>
      <c r="L8" s="416" t="s">
        <v>4</v>
      </c>
      <c r="M8" s="415" t="n">
        <v>46112</v>
      </c>
      <c r="N8" s="415"/>
      <c r="O8" s="415"/>
    </row>
    <row r="10" customFormat="false" ht="14.15" hidden="false" customHeight="false" outlineLevel="0" collapsed="false">
      <c r="B10" s="417" t="s">
        <v>287</v>
      </c>
      <c r="C10" s="417"/>
      <c r="D10" s="417"/>
      <c r="E10" s="417"/>
      <c r="F10" s="417"/>
      <c r="G10" s="417"/>
      <c r="H10" s="417"/>
      <c r="I10" s="417"/>
      <c r="J10" s="417"/>
      <c r="K10" s="417"/>
      <c r="L10" s="417"/>
      <c r="M10" s="417"/>
      <c r="N10" s="417"/>
      <c r="O10" s="417"/>
      <c r="P10" s="417"/>
      <c r="Q10" s="417"/>
      <c r="R10" s="417"/>
      <c r="S10" s="417"/>
      <c r="T10" s="417"/>
    </row>
    <row r="11" customFormat="false" ht="15" hidden="false" customHeight="false" outlineLevel="0" collapsed="false">
      <c r="B11" s="418"/>
      <c r="C11" s="418"/>
      <c r="D11" s="418"/>
      <c r="E11" s="418"/>
      <c r="F11" s="418"/>
      <c r="G11" s="418"/>
      <c r="H11" s="418"/>
      <c r="I11" s="418"/>
      <c r="J11" s="418"/>
      <c r="K11" s="418"/>
      <c r="L11" s="418"/>
      <c r="M11" s="418"/>
      <c r="N11" s="419"/>
      <c r="R11" s="420"/>
    </row>
    <row r="12" customFormat="false" ht="13.8" hidden="false" customHeight="false" outlineLevel="0" collapsed="false">
      <c r="A12" s="410" t="n">
        <v>1</v>
      </c>
      <c r="B12" s="421" t="s">
        <v>288</v>
      </c>
      <c r="C12" s="421"/>
      <c r="D12" s="421"/>
      <c r="E12" s="421"/>
      <c r="F12" s="421"/>
      <c r="G12" s="421"/>
      <c r="H12" s="421"/>
      <c r="I12" s="421"/>
      <c r="J12" s="421"/>
      <c r="K12" s="421"/>
    </row>
    <row r="13" customFormat="false" ht="13.8" hidden="false" customHeight="false" outlineLevel="0" collapsed="false"/>
    <row r="14" customFormat="false" ht="13.8" hidden="false" customHeight="false" outlineLevel="0" collapsed="false">
      <c r="I14" s="68" t="s">
        <v>7</v>
      </c>
      <c r="J14" s="68"/>
      <c r="K14" s="68"/>
      <c r="L14" s="422"/>
    </row>
    <row r="15" customFormat="false" ht="13.8" hidden="false" customHeight="false" outlineLevel="0" collapsed="false">
      <c r="B15" s="51" t="s">
        <v>8</v>
      </c>
      <c r="C15" s="51"/>
      <c r="D15" s="51"/>
      <c r="E15" s="51"/>
      <c r="F15" s="51"/>
      <c r="G15" s="51"/>
      <c r="H15" s="51"/>
      <c r="I15" s="423" t="n">
        <v>0</v>
      </c>
      <c r="J15" s="423"/>
      <c r="K15" s="423"/>
      <c r="L15" s="370"/>
    </row>
    <row r="16" customFormat="false" ht="13.8" hidden="false" customHeight="false" outlineLevel="0" collapsed="false">
      <c r="B16" s="53" t="s">
        <v>9</v>
      </c>
      <c r="C16" s="53"/>
      <c r="D16" s="53"/>
      <c r="E16" s="53"/>
      <c r="F16" s="53"/>
      <c r="G16" s="53"/>
      <c r="H16" s="53"/>
      <c r="I16" s="424" t="n">
        <f aca="false">SUM(H17:H18)</f>
        <v>0</v>
      </c>
      <c r="J16" s="424"/>
      <c r="K16" s="424"/>
      <c r="L16" s="391"/>
    </row>
    <row r="17" customFormat="false" ht="14.25" hidden="false" customHeight="true" outlineLevel="0" collapsed="false">
      <c r="B17" s="23" t="s">
        <v>10</v>
      </c>
      <c r="C17" s="23"/>
      <c r="D17" s="23"/>
      <c r="E17" s="23"/>
      <c r="F17" s="23"/>
      <c r="G17" s="23"/>
      <c r="H17" s="24" t="n">
        <v>0</v>
      </c>
      <c r="I17" s="425"/>
      <c r="J17" s="425"/>
      <c r="K17" s="425"/>
      <c r="L17" s="391"/>
    </row>
    <row r="18" customFormat="false" ht="13.8" hidden="false" customHeight="false" outlineLevel="0" collapsed="false">
      <c r="B18" s="426" t="s">
        <v>11</v>
      </c>
      <c r="C18" s="426"/>
      <c r="D18" s="426"/>
      <c r="E18" s="426"/>
      <c r="F18" s="426"/>
      <c r="G18" s="426"/>
      <c r="H18" s="28" t="n">
        <v>0</v>
      </c>
      <c r="I18" s="425"/>
      <c r="J18" s="425"/>
      <c r="K18" s="425"/>
      <c r="L18" s="391"/>
    </row>
    <row r="19" customFormat="false" ht="13.8" hidden="false" customHeight="false" outlineLevel="0" collapsed="false">
      <c r="B19" s="427" t="s">
        <v>12</v>
      </c>
      <c r="C19" s="427"/>
      <c r="D19" s="427"/>
      <c r="E19" s="427"/>
      <c r="F19" s="427"/>
      <c r="G19" s="427"/>
      <c r="H19" s="427"/>
      <c r="I19" s="68" t="n">
        <f aca="false">SUM(I15:K16)</f>
        <v>0</v>
      </c>
      <c r="J19" s="68"/>
      <c r="K19" s="68"/>
      <c r="L19" s="391"/>
    </row>
    <row r="20" customFormat="false" ht="13.8" hidden="false" customHeight="false" outlineLevel="0" collapsed="false">
      <c r="B20" s="64" t="s">
        <v>13</v>
      </c>
      <c r="C20" s="64"/>
      <c r="D20" s="64"/>
      <c r="E20" s="64"/>
      <c r="F20" s="64"/>
      <c r="G20" s="64"/>
      <c r="H20" s="64"/>
      <c r="I20" s="423" t="n">
        <v>0</v>
      </c>
      <c r="J20" s="423"/>
      <c r="K20" s="423"/>
      <c r="L20" s="391"/>
    </row>
    <row r="21" customFormat="false" ht="13.8" hidden="false" customHeight="false" outlineLevel="0" collapsed="false">
      <c r="B21" s="428" t="s">
        <v>14</v>
      </c>
      <c r="C21" s="428"/>
      <c r="D21" s="428"/>
      <c r="E21" s="428"/>
      <c r="F21" s="428"/>
      <c r="G21" s="428"/>
      <c r="H21" s="428"/>
      <c r="I21" s="22" t="n">
        <f aca="false">SUM(H22:H23)</f>
        <v>0</v>
      </c>
      <c r="J21" s="22"/>
      <c r="K21" s="22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customFormat="false" ht="13.8" hidden="false" customHeight="true" outlineLevel="0" collapsed="false">
      <c r="B22" s="429" t="s">
        <v>15</v>
      </c>
      <c r="C22" s="429"/>
      <c r="D22" s="429"/>
      <c r="E22" s="429"/>
      <c r="F22" s="429"/>
      <c r="G22" s="429"/>
      <c r="H22" s="24" t="n">
        <v>0</v>
      </c>
      <c r="I22" s="425"/>
      <c r="J22" s="425"/>
      <c r="K22" s="425"/>
      <c r="L22" s="430" t="str">
        <f aca="false">IF(I21&lt;&gt;(I19-I20),"Section 1.1 - The ""Carried over to next reporting period"" must be equal to the ""Total"" minus ""Closed during the reporting period""","")</f>
        <v/>
      </c>
      <c r="M22" s="430"/>
      <c r="N22" s="430"/>
      <c r="O22" s="430"/>
      <c r="P22" s="430"/>
      <c r="Q22" s="430"/>
      <c r="R22" s="430"/>
      <c r="S22" s="430"/>
      <c r="T22" s="138"/>
      <c r="U22" s="138"/>
      <c r="V22" s="138"/>
      <c r="W22" s="138"/>
      <c r="X22" s="138"/>
      <c r="Y22" s="138"/>
      <c r="Z22" s="138"/>
      <c r="AA22" s="138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customFormat="false" ht="13.8" hidden="false" customHeight="false" outlineLevel="0" collapsed="false">
      <c r="B23" s="27" t="s">
        <v>16</v>
      </c>
      <c r="C23" s="27"/>
      <c r="D23" s="27"/>
      <c r="E23" s="27"/>
      <c r="F23" s="27"/>
      <c r="G23" s="27"/>
      <c r="H23" s="28" t="n">
        <v>0</v>
      </c>
      <c r="I23" s="425"/>
      <c r="J23" s="425"/>
      <c r="K23" s="425"/>
      <c r="L23" s="430"/>
      <c r="M23" s="430"/>
      <c r="N23" s="430"/>
      <c r="O23" s="430"/>
      <c r="P23" s="430"/>
      <c r="Q23" s="430"/>
      <c r="R23" s="430"/>
      <c r="S23" s="430"/>
      <c r="T23" s="431"/>
      <c r="U23" s="431"/>
      <c r="V23" s="431"/>
      <c r="W23" s="431"/>
      <c r="X23" s="431"/>
      <c r="Y23" s="431"/>
      <c r="Z23" s="431"/>
      <c r="AA23" s="431"/>
    </row>
    <row r="24" customFormat="false" ht="13.8" hidden="false" customHeight="false" outlineLevel="0" collapsed="false">
      <c r="B24" s="432"/>
      <c r="C24" s="432"/>
      <c r="D24" s="432"/>
      <c r="E24" s="432"/>
      <c r="F24" s="432"/>
      <c r="G24" s="432"/>
      <c r="H24" s="303"/>
      <c r="I24" s="416"/>
      <c r="J24" s="416"/>
      <c r="K24" s="416"/>
      <c r="L24" s="391"/>
    </row>
    <row r="25" customFormat="false" ht="13.8" hidden="false" customHeight="false" outlineLevel="0" collapsed="false">
      <c r="A25" s="410" t="n">
        <v>2</v>
      </c>
      <c r="B25" s="48" t="s">
        <v>289</v>
      </c>
      <c r="C25" s="48"/>
      <c r="D25" s="48"/>
      <c r="E25" s="48"/>
      <c r="F25" s="48"/>
      <c r="G25" s="48"/>
      <c r="H25" s="48"/>
      <c r="I25" s="48"/>
      <c r="J25" s="48"/>
      <c r="K25" s="48"/>
      <c r="L25" s="391"/>
    </row>
    <row r="26" customFormat="false" ht="13.8" hidden="false" customHeight="false" outlineLevel="0" collapsed="false">
      <c r="B26" s="433"/>
      <c r="C26" s="433"/>
      <c r="D26" s="433"/>
      <c r="E26" s="433"/>
      <c r="F26" s="433"/>
      <c r="G26" s="433"/>
      <c r="H26" s="391"/>
      <c r="I26" s="391"/>
      <c r="J26" s="391"/>
      <c r="K26" s="391"/>
      <c r="L26" s="391"/>
    </row>
    <row r="27" customFormat="false" ht="13.8" hidden="false" customHeight="false" outlineLevel="0" collapsed="false">
      <c r="B27" s="49" t="s">
        <v>18</v>
      </c>
      <c r="C27" s="49"/>
      <c r="D27" s="49"/>
      <c r="E27" s="49"/>
      <c r="F27" s="49"/>
      <c r="G27" s="49"/>
      <c r="H27" s="434" t="s">
        <v>7</v>
      </c>
      <c r="I27" s="434"/>
      <c r="J27" s="434"/>
      <c r="K27" s="434"/>
      <c r="L27" s="391"/>
    </row>
    <row r="28" customFormat="false" ht="13.8" hidden="false" customHeight="false" outlineLevel="0" collapsed="false">
      <c r="B28" s="64" t="s">
        <v>26</v>
      </c>
      <c r="C28" s="64"/>
      <c r="D28" s="64"/>
      <c r="E28" s="64"/>
      <c r="F28" s="64"/>
      <c r="G28" s="64"/>
      <c r="H28" s="423" t="n">
        <v>0</v>
      </c>
      <c r="I28" s="423"/>
      <c r="J28" s="423"/>
      <c r="K28" s="423"/>
      <c r="L28" s="391"/>
    </row>
    <row r="29" customFormat="false" ht="13.8" hidden="false" customHeight="false" outlineLevel="0" collapsed="false">
      <c r="B29" s="428" t="s">
        <v>27</v>
      </c>
      <c r="C29" s="428"/>
      <c r="D29" s="428"/>
      <c r="E29" s="428"/>
      <c r="F29" s="428"/>
      <c r="G29" s="428"/>
      <c r="H29" s="54" t="n">
        <v>0</v>
      </c>
      <c r="I29" s="54"/>
      <c r="J29" s="54"/>
      <c r="K29" s="54"/>
      <c r="L29" s="391"/>
    </row>
    <row r="30" customFormat="false" ht="13.8" hidden="false" customHeight="false" outlineLevel="0" collapsed="false">
      <c r="B30" s="428" t="s">
        <v>28</v>
      </c>
      <c r="C30" s="428"/>
      <c r="D30" s="428"/>
      <c r="E30" s="428"/>
      <c r="F30" s="428"/>
      <c r="G30" s="428"/>
      <c r="H30" s="54" t="n">
        <v>0</v>
      </c>
      <c r="I30" s="54"/>
      <c r="J30" s="54"/>
      <c r="K30" s="54"/>
      <c r="L30" s="391"/>
    </row>
    <row r="31" customFormat="false" ht="13.8" hidden="false" customHeight="false" outlineLevel="0" collapsed="false">
      <c r="B31" s="66" t="s">
        <v>29</v>
      </c>
      <c r="C31" s="66"/>
      <c r="D31" s="66"/>
      <c r="E31" s="66"/>
      <c r="F31" s="66"/>
      <c r="G31" s="66"/>
      <c r="H31" s="435" t="n">
        <v>0</v>
      </c>
      <c r="I31" s="435"/>
      <c r="J31" s="435"/>
      <c r="K31" s="435"/>
      <c r="L31" s="391"/>
    </row>
    <row r="32" customFormat="false" ht="13.8" hidden="false" customHeight="false" outlineLevel="0" collapsed="false">
      <c r="B32" s="66" t="s">
        <v>30</v>
      </c>
      <c r="C32" s="66"/>
      <c r="D32" s="66"/>
      <c r="E32" s="66"/>
      <c r="F32" s="66"/>
      <c r="G32" s="66"/>
      <c r="H32" s="435" t="n">
        <v>0</v>
      </c>
      <c r="I32" s="435"/>
      <c r="J32" s="435"/>
      <c r="K32" s="435"/>
      <c r="L32" s="391"/>
    </row>
    <row r="33" customFormat="false" ht="13.8" hidden="false" customHeight="false" outlineLevel="0" collapsed="false">
      <c r="B33" s="436" t="s">
        <v>31</v>
      </c>
      <c r="C33" s="436"/>
      <c r="D33" s="436"/>
      <c r="E33" s="436"/>
      <c r="F33" s="436"/>
      <c r="G33" s="436"/>
      <c r="H33" s="437" t="n">
        <v>0</v>
      </c>
      <c r="I33" s="437"/>
      <c r="J33" s="437"/>
      <c r="K33" s="437"/>
      <c r="L33" s="391"/>
    </row>
    <row r="34" customFormat="false" ht="13.8" hidden="false" customHeight="false" outlineLevel="0" collapsed="false">
      <c r="B34" s="438" t="s">
        <v>12</v>
      </c>
      <c r="C34" s="438"/>
      <c r="D34" s="438"/>
      <c r="E34" s="438"/>
      <c r="F34" s="438"/>
      <c r="G34" s="438"/>
      <c r="H34" s="434" t="n">
        <f aca="false">SUM(H28:K33)</f>
        <v>0</v>
      </c>
      <c r="I34" s="434"/>
      <c r="J34" s="434"/>
      <c r="K34" s="43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</row>
    <row r="35" customFormat="false" ht="13.8" hidden="false" customHeight="false" outlineLevel="0" collapsed="false">
      <c r="B35" s="432"/>
      <c r="C35" s="432"/>
      <c r="D35" s="432"/>
      <c r="E35" s="432"/>
      <c r="F35" s="432"/>
      <c r="G35" s="432"/>
      <c r="H35" s="303"/>
      <c r="I35" s="416"/>
      <c r="J35" s="416"/>
      <c r="K35" s="416"/>
      <c r="L35" s="391"/>
    </row>
    <row r="36" customFormat="false" ht="15" hidden="false" customHeight="false" outlineLevel="0" collapsed="false">
      <c r="B36" s="417" t="s">
        <v>290</v>
      </c>
      <c r="C36" s="417"/>
      <c r="D36" s="417"/>
      <c r="E36" s="417"/>
      <c r="F36" s="417"/>
      <c r="G36" s="417"/>
      <c r="H36" s="417"/>
      <c r="I36" s="417"/>
      <c r="J36" s="417"/>
      <c r="K36" s="417"/>
      <c r="L36" s="417"/>
      <c r="M36" s="417"/>
      <c r="N36" s="417"/>
      <c r="O36" s="417"/>
      <c r="P36" s="417"/>
      <c r="Q36" s="417"/>
      <c r="R36" s="417"/>
      <c r="S36" s="417"/>
      <c r="T36" s="417"/>
    </row>
    <row r="37" customFormat="false" ht="14.25" hidden="false" customHeight="true" outlineLevel="0" collapsed="false">
      <c r="B37" s="439"/>
      <c r="C37" s="439"/>
      <c r="D37" s="439"/>
      <c r="E37" s="439"/>
      <c r="F37" s="439"/>
      <c r="G37" s="439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</row>
    <row r="38" customFormat="false" ht="13.8" hidden="false" customHeight="false" outlineLevel="0" collapsed="false">
      <c r="B38" s="61" t="s">
        <v>33</v>
      </c>
      <c r="C38" s="61"/>
      <c r="D38" s="61"/>
      <c r="E38" s="61"/>
      <c r="F38" s="61"/>
      <c r="G38" s="61"/>
      <c r="H38" s="61"/>
      <c r="I38" s="61"/>
      <c r="J38" s="61"/>
      <c r="K38" s="61"/>
    </row>
    <row r="39" customFormat="false" ht="13.8" hidden="false" customHeight="false" outlineLevel="0" collapsed="false">
      <c r="A39" s="410" t="n">
        <v>3</v>
      </c>
      <c r="B39" s="440"/>
      <c r="C39" s="440"/>
      <c r="D39" s="440"/>
      <c r="E39" s="440"/>
      <c r="F39" s="440"/>
      <c r="G39" s="440"/>
      <c r="H39" s="440"/>
      <c r="I39" s="68" t="s">
        <v>7</v>
      </c>
      <c r="J39" s="68"/>
      <c r="K39" s="68"/>
      <c r="L39" s="422"/>
    </row>
    <row r="40" customFormat="false" ht="13.8" hidden="false" customHeight="false" outlineLevel="0" collapsed="false">
      <c r="B40" s="441" t="s">
        <v>8</v>
      </c>
      <c r="C40" s="441"/>
      <c r="D40" s="441"/>
      <c r="E40" s="441"/>
      <c r="F40" s="441"/>
      <c r="G40" s="441"/>
      <c r="H40" s="441"/>
      <c r="I40" s="423" t="n">
        <v>0</v>
      </c>
      <c r="J40" s="423"/>
      <c r="K40" s="423"/>
      <c r="L40" s="370"/>
    </row>
    <row r="41" customFormat="false" ht="13.8" hidden="false" customHeight="false" outlineLevel="0" collapsed="false">
      <c r="B41" s="428" t="s">
        <v>9</v>
      </c>
      <c r="C41" s="428"/>
      <c r="D41" s="428"/>
      <c r="E41" s="428"/>
      <c r="F41" s="428"/>
      <c r="G41" s="428"/>
      <c r="H41" s="428"/>
      <c r="I41" s="22" t="n">
        <f aca="false">SUM(H42:H43)</f>
        <v>0</v>
      </c>
      <c r="J41" s="22"/>
      <c r="K41" s="22"/>
      <c r="L41" s="370"/>
    </row>
    <row r="42" customFormat="false" ht="13.8" hidden="false" customHeight="true" outlineLevel="0" collapsed="false">
      <c r="B42" s="429" t="s">
        <v>10</v>
      </c>
      <c r="C42" s="429"/>
      <c r="D42" s="429"/>
      <c r="E42" s="429"/>
      <c r="F42" s="429"/>
      <c r="G42" s="429"/>
      <c r="H42" s="24" t="n">
        <v>0</v>
      </c>
      <c r="I42" s="442"/>
      <c r="J42" s="442"/>
      <c r="K42" s="442"/>
    </row>
    <row r="43" customFormat="false" ht="13.8" hidden="false" customHeight="false" outlineLevel="0" collapsed="false">
      <c r="B43" s="426" t="s">
        <v>11</v>
      </c>
      <c r="C43" s="426"/>
      <c r="D43" s="426"/>
      <c r="E43" s="426"/>
      <c r="F43" s="426"/>
      <c r="G43" s="426"/>
      <c r="H43" s="28" t="n">
        <v>0</v>
      </c>
      <c r="I43" s="442"/>
      <c r="J43" s="442"/>
      <c r="K43" s="442"/>
    </row>
    <row r="44" customFormat="false" ht="13.8" hidden="false" customHeight="false" outlineLevel="0" collapsed="false">
      <c r="B44" s="427" t="s">
        <v>12</v>
      </c>
      <c r="C44" s="427"/>
      <c r="D44" s="427"/>
      <c r="E44" s="427"/>
      <c r="F44" s="427"/>
      <c r="G44" s="427"/>
      <c r="H44" s="427"/>
      <c r="I44" s="68" t="n">
        <f aca="false">SUM(I40:K41)</f>
        <v>0</v>
      </c>
      <c r="J44" s="68"/>
      <c r="K44" s="68"/>
      <c r="L44" s="370"/>
    </row>
    <row r="45" customFormat="false" ht="13.8" hidden="false" customHeight="false" outlineLevel="0" collapsed="false">
      <c r="B45" s="443" t="s">
        <v>13</v>
      </c>
      <c r="C45" s="443"/>
      <c r="D45" s="443"/>
      <c r="E45" s="443"/>
      <c r="F45" s="443"/>
      <c r="G45" s="443"/>
      <c r="H45" s="443"/>
      <c r="I45" s="52" t="n">
        <v>0</v>
      </c>
      <c r="J45" s="52"/>
      <c r="K45" s="52"/>
      <c r="L45" s="370"/>
    </row>
    <row r="46" customFormat="false" ht="13.8" hidden="false" customHeight="false" outlineLevel="0" collapsed="false">
      <c r="B46" s="444" t="s">
        <v>14</v>
      </c>
      <c r="C46" s="444"/>
      <c r="D46" s="444"/>
      <c r="E46" s="444"/>
      <c r="F46" s="444"/>
      <c r="G46" s="444"/>
      <c r="H46" s="444"/>
      <c r="I46" s="445" t="n">
        <f aca="false">I44-I45</f>
        <v>0</v>
      </c>
      <c r="J46" s="445"/>
      <c r="K46" s="445"/>
      <c r="L46" s="370"/>
    </row>
    <row r="47" customFormat="false" ht="13.8" hidden="false" customHeight="false" outlineLevel="0" collapsed="false">
      <c r="B47" s="446"/>
      <c r="C47" s="446"/>
      <c r="D47" s="446"/>
      <c r="E47" s="446"/>
      <c r="F47" s="446"/>
      <c r="G47" s="446"/>
      <c r="H47" s="446"/>
      <c r="I47" s="391"/>
      <c r="J47" s="391"/>
      <c r="K47" s="391"/>
      <c r="L47" s="370"/>
    </row>
    <row r="48" s="91" customFormat="true" ht="15.75" hidden="false" customHeight="true" outlineLevel="0" collapsed="false">
      <c r="A48" s="87"/>
      <c r="B48" s="70" t="s">
        <v>34</v>
      </c>
      <c r="C48" s="70"/>
      <c r="D48" s="70"/>
      <c r="E48" s="70"/>
      <c r="F48" s="70"/>
      <c r="G48" s="70"/>
      <c r="H48" s="70"/>
      <c r="I48" s="70"/>
    </row>
    <row r="49" s="2" customFormat="true" ht="13.8" hidden="false" customHeight="false" outlineLevel="0" collapsed="false">
      <c r="A49" s="1"/>
      <c r="B49" s="280"/>
      <c r="C49" s="280"/>
      <c r="D49" s="280"/>
      <c r="E49" s="280"/>
      <c r="F49" s="280"/>
      <c r="G49" s="280"/>
      <c r="H49" s="280"/>
      <c r="I49" s="280"/>
    </row>
    <row r="50" s="2" customFormat="true" ht="15" hidden="false" customHeight="true" outlineLevel="0" collapsed="false">
      <c r="A50" s="1" t="n">
        <v>4</v>
      </c>
      <c r="B50" s="377" t="s">
        <v>35</v>
      </c>
      <c r="C50" s="377"/>
      <c r="D50" s="377"/>
      <c r="E50" s="377"/>
      <c r="F50" s="377"/>
      <c r="G50" s="377"/>
      <c r="H50" s="377"/>
      <c r="I50" s="377"/>
      <c r="J50" s="73"/>
      <c r="K50" s="73"/>
    </row>
    <row r="51" s="2" customFormat="true" ht="50.25" hidden="false" customHeight="true" outlineLevel="0" collapsed="false">
      <c r="A51" s="1"/>
      <c r="B51" s="447" t="s">
        <v>36</v>
      </c>
      <c r="C51" s="448" t="s">
        <v>37</v>
      </c>
      <c r="D51" s="448" t="s">
        <v>38</v>
      </c>
      <c r="E51" s="448" t="s">
        <v>39</v>
      </c>
      <c r="F51" s="448" t="s">
        <v>40</v>
      </c>
      <c r="G51" s="449" t="s">
        <v>41</v>
      </c>
      <c r="H51" s="450" t="s">
        <v>42</v>
      </c>
      <c r="I51" s="343" t="s">
        <v>12</v>
      </c>
      <c r="J51" s="451"/>
    </row>
    <row r="52" s="2" customFormat="true" ht="13.8" hidden="false" customHeight="false" outlineLevel="0" collapsed="false">
      <c r="A52" s="1"/>
      <c r="B52" s="452" t="n">
        <v>0</v>
      </c>
      <c r="C52" s="453" t="n">
        <v>0</v>
      </c>
      <c r="D52" s="453" t="n">
        <v>0</v>
      </c>
      <c r="E52" s="453" t="n">
        <v>0</v>
      </c>
      <c r="F52" s="453" t="n">
        <v>0</v>
      </c>
      <c r="G52" s="454" t="n">
        <v>0</v>
      </c>
      <c r="H52" s="455" t="n">
        <v>0</v>
      </c>
      <c r="I52" s="49" t="n">
        <f aca="false">SUM(B52:H52)</f>
        <v>0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</row>
    <row r="53" s="2" customFormat="true" ht="13.8" hidden="false" customHeight="false" outlineLevel="0" collapsed="false">
      <c r="A53" s="1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92"/>
      <c r="M53" s="85"/>
      <c r="N53" s="98"/>
    </row>
    <row r="54" s="91" customFormat="true" ht="13.8" hidden="false" customHeight="false" outlineLevel="0" collapsed="false">
      <c r="A54" s="87"/>
      <c r="B54" s="88" t="s">
        <v>291</v>
      </c>
      <c r="C54" s="88"/>
      <c r="D54" s="88"/>
      <c r="E54" s="88"/>
      <c r="F54" s="88"/>
      <c r="G54" s="88"/>
      <c r="H54" s="88"/>
      <c r="I54" s="88"/>
      <c r="J54" s="88"/>
      <c r="K54" s="88"/>
      <c r="L54" s="90"/>
      <c r="M54" s="456"/>
    </row>
    <row r="55" s="91" customFormat="true" ht="15" hidden="false" customHeight="true" outlineLevel="0" collapsed="false">
      <c r="A55" s="87" t="n">
        <v>5</v>
      </c>
      <c r="B55" s="456"/>
      <c r="C55" s="456"/>
      <c r="D55" s="456"/>
      <c r="E55" s="456"/>
      <c r="F55" s="456"/>
      <c r="G55" s="456"/>
      <c r="H55" s="456"/>
      <c r="I55" s="456"/>
      <c r="J55" s="456"/>
      <c r="K55" s="456"/>
      <c r="L55" s="90"/>
      <c r="M55" s="456"/>
    </row>
    <row r="56" s="91" customFormat="true" ht="32.25" hidden="false" customHeight="true" outlineLevel="0" collapsed="false">
      <c r="A56" s="87"/>
      <c r="B56" s="288" t="s">
        <v>292</v>
      </c>
      <c r="C56" s="288"/>
      <c r="D56" s="288" t="s">
        <v>293</v>
      </c>
      <c r="E56" s="288"/>
      <c r="F56" s="288" t="s">
        <v>294</v>
      </c>
      <c r="G56" s="288"/>
    </row>
    <row r="57" s="91" customFormat="true" ht="19.4" hidden="false" customHeight="false" outlineLevel="0" collapsed="false">
      <c r="A57" s="87"/>
      <c r="B57" s="96" t="s">
        <v>7</v>
      </c>
      <c r="C57" s="457" t="s">
        <v>295</v>
      </c>
      <c r="D57" s="96" t="s">
        <v>7</v>
      </c>
      <c r="E57" s="457" t="s">
        <v>295</v>
      </c>
      <c r="F57" s="96" t="s">
        <v>7</v>
      </c>
      <c r="G57" s="97" t="s">
        <v>295</v>
      </c>
    </row>
    <row r="58" s="91" customFormat="true" ht="15" hidden="false" customHeight="true" outlineLevel="0" collapsed="false">
      <c r="A58" s="87"/>
      <c r="B58" s="99" t="n">
        <v>0</v>
      </c>
      <c r="C58" s="100" t="n">
        <v>0</v>
      </c>
      <c r="D58" s="458" t="n">
        <v>0</v>
      </c>
      <c r="E58" s="101" t="n">
        <v>0</v>
      </c>
      <c r="F58" s="99" t="n">
        <v>0</v>
      </c>
      <c r="G58" s="101" t="n">
        <v>0</v>
      </c>
      <c r="H58" s="459"/>
      <c r="I58" s="459"/>
      <c r="J58" s="459"/>
      <c r="K58" s="459"/>
      <c r="L58" s="459"/>
      <c r="M58" s="459"/>
      <c r="N58" s="459"/>
      <c r="O58" s="459"/>
      <c r="P58" s="459"/>
      <c r="Q58" s="459"/>
      <c r="R58" s="459"/>
      <c r="S58" s="459"/>
      <c r="T58" s="459"/>
      <c r="U58" s="459"/>
      <c r="V58" s="459"/>
      <c r="W58" s="459"/>
    </row>
    <row r="59" s="2" customFormat="true" ht="13.8" hidden="false" customHeight="false" outlineLevel="0" collapsed="false">
      <c r="A59" s="1"/>
      <c r="B59" s="280"/>
      <c r="C59" s="280"/>
      <c r="D59" s="280"/>
      <c r="E59" s="280"/>
      <c r="F59" s="280"/>
      <c r="G59" s="280"/>
      <c r="H59" s="280"/>
      <c r="I59" s="280"/>
      <c r="J59" s="280"/>
      <c r="K59" s="280"/>
      <c r="L59" s="280"/>
      <c r="M59" s="86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</row>
    <row r="60" customFormat="false" ht="15" hidden="false" customHeight="true" outlineLevel="0" collapsed="false">
      <c r="B60" s="460" t="s">
        <v>296</v>
      </c>
      <c r="C60" s="460"/>
      <c r="D60" s="460"/>
      <c r="E60" s="460"/>
      <c r="F60" s="460"/>
      <c r="G60" s="460"/>
      <c r="H60" s="460"/>
      <c r="I60" s="460"/>
      <c r="J60" s="460"/>
      <c r="K60" s="460"/>
      <c r="L60" s="460"/>
      <c r="M60" s="460"/>
      <c r="N60" s="460"/>
      <c r="O60" s="460"/>
      <c r="P60" s="460"/>
      <c r="Q60" s="460"/>
      <c r="R60" s="460"/>
      <c r="S60" s="460"/>
      <c r="T60" s="460"/>
    </row>
    <row r="61" customFormat="false" ht="13.8" hidden="false" customHeight="false" outlineLevel="0" collapsed="false"/>
    <row r="62" customFormat="false" ht="13.8" hidden="false" customHeight="false" outlineLevel="0" collapsed="false">
      <c r="B62" s="461" t="s">
        <v>297</v>
      </c>
      <c r="C62" s="461"/>
      <c r="D62" s="461"/>
      <c r="E62" s="461"/>
      <c r="F62" s="461"/>
      <c r="G62" s="461"/>
      <c r="H62" s="461"/>
      <c r="I62" s="461"/>
      <c r="J62" s="461"/>
      <c r="K62" s="461"/>
      <c r="L62" s="461"/>
      <c r="N62" s="411"/>
      <c r="O62" s="280"/>
    </row>
    <row r="63" customFormat="false" ht="13.8" hidden="false" customHeight="false" outlineLevel="0" collapsed="false">
      <c r="N63" s="411"/>
      <c r="O63" s="280"/>
    </row>
    <row r="64" s="280" customFormat="true" ht="13.8" hidden="false" customHeight="true" outlineLevel="0" collapsed="false">
      <c r="A64" s="410" t="n">
        <v>6</v>
      </c>
      <c r="B64" s="462" t="s">
        <v>56</v>
      </c>
      <c r="C64" s="462"/>
      <c r="D64" s="462"/>
      <c r="E64" s="377" t="s">
        <v>35</v>
      </c>
      <c r="F64" s="377"/>
      <c r="G64" s="377"/>
      <c r="H64" s="377"/>
      <c r="I64" s="377"/>
      <c r="J64" s="377"/>
      <c r="K64" s="377"/>
      <c r="L64" s="377"/>
      <c r="M64" s="463"/>
      <c r="N64" s="411"/>
    </row>
    <row r="65" customFormat="false" ht="28.35" hidden="false" customHeight="false" outlineLevel="0" collapsed="false">
      <c r="B65" s="462"/>
      <c r="C65" s="462"/>
      <c r="D65" s="462"/>
      <c r="E65" s="464" t="s">
        <v>36</v>
      </c>
      <c r="F65" s="465" t="s">
        <v>37</v>
      </c>
      <c r="G65" s="465" t="s">
        <v>38</v>
      </c>
      <c r="H65" s="465" t="s">
        <v>39</v>
      </c>
      <c r="I65" s="466" t="s">
        <v>40</v>
      </c>
      <c r="J65" s="466" t="s">
        <v>41</v>
      </c>
      <c r="K65" s="467" t="s">
        <v>42</v>
      </c>
      <c r="L65" s="468" t="s">
        <v>12</v>
      </c>
      <c r="N65" s="411"/>
      <c r="O65" s="280"/>
    </row>
    <row r="66" customFormat="false" ht="13.8" hidden="false" customHeight="false" outlineLevel="0" collapsed="false">
      <c r="B66" s="469" t="s">
        <v>57</v>
      </c>
      <c r="C66" s="469"/>
      <c r="D66" s="469"/>
      <c r="E66" s="470" t="n">
        <v>0</v>
      </c>
      <c r="F66" s="471" t="n">
        <v>0</v>
      </c>
      <c r="G66" s="471" t="n">
        <v>0</v>
      </c>
      <c r="H66" s="471" t="n">
        <v>0</v>
      </c>
      <c r="I66" s="471" t="n">
        <v>0</v>
      </c>
      <c r="J66" s="471" t="n">
        <v>0</v>
      </c>
      <c r="K66" s="472" t="n">
        <v>0</v>
      </c>
      <c r="L66" s="473" t="n">
        <f aca="false">SUM(E66:K66)</f>
        <v>0</v>
      </c>
      <c r="O66" s="280"/>
    </row>
    <row r="67" customFormat="false" ht="13.8" hidden="false" customHeight="false" outlineLevel="0" collapsed="false">
      <c r="B67" s="474" t="s">
        <v>58</v>
      </c>
      <c r="C67" s="474"/>
      <c r="D67" s="474"/>
      <c r="E67" s="475" t="n">
        <v>0</v>
      </c>
      <c r="F67" s="476" t="n">
        <v>0</v>
      </c>
      <c r="G67" s="476" t="n">
        <v>0</v>
      </c>
      <c r="H67" s="477" t="n">
        <v>0</v>
      </c>
      <c r="I67" s="477" t="n">
        <v>0</v>
      </c>
      <c r="J67" s="477" t="n">
        <v>0</v>
      </c>
      <c r="K67" s="478" t="n">
        <v>0</v>
      </c>
      <c r="L67" s="479" t="n">
        <f aca="false">SUM(E67:K67)</f>
        <v>0</v>
      </c>
      <c r="M67" s="98"/>
      <c r="O67" s="280"/>
    </row>
    <row r="68" customFormat="false" ht="13.8" hidden="false" customHeight="false" outlineLevel="0" collapsed="false">
      <c r="B68" s="474" t="s">
        <v>59</v>
      </c>
      <c r="C68" s="474"/>
      <c r="D68" s="474"/>
      <c r="E68" s="480" t="n">
        <v>0</v>
      </c>
      <c r="F68" s="481" t="n">
        <v>0</v>
      </c>
      <c r="G68" s="481" t="n">
        <v>0</v>
      </c>
      <c r="H68" s="477" t="n">
        <v>0</v>
      </c>
      <c r="I68" s="476" t="n">
        <v>0</v>
      </c>
      <c r="J68" s="477" t="n">
        <v>0</v>
      </c>
      <c r="K68" s="478" t="n">
        <v>0</v>
      </c>
      <c r="L68" s="479" t="n">
        <f aca="false">SUM(E68:K68)</f>
        <v>0</v>
      </c>
      <c r="M68" s="98"/>
      <c r="O68" s="280"/>
    </row>
    <row r="69" customFormat="false" ht="15" hidden="false" customHeight="true" outlineLevel="0" collapsed="false">
      <c r="B69" s="474" t="s">
        <v>60</v>
      </c>
      <c r="C69" s="474"/>
      <c r="D69" s="474"/>
      <c r="E69" s="475" t="n">
        <v>0</v>
      </c>
      <c r="F69" s="477" t="n">
        <v>0</v>
      </c>
      <c r="G69" s="477" t="n">
        <v>0</v>
      </c>
      <c r="H69" s="476" t="n">
        <v>0</v>
      </c>
      <c r="I69" s="481" t="n">
        <v>0</v>
      </c>
      <c r="J69" s="477" t="n">
        <v>0</v>
      </c>
      <c r="K69" s="478" t="n">
        <v>0</v>
      </c>
      <c r="L69" s="479" t="n">
        <f aca="false">SUM(E69:K69)</f>
        <v>0</v>
      </c>
      <c r="M69" s="98"/>
      <c r="O69" s="280"/>
    </row>
    <row r="70" customFormat="false" ht="13.8" hidden="false" customHeight="false" outlineLevel="0" collapsed="false">
      <c r="B70" s="474" t="s">
        <v>61</v>
      </c>
      <c r="C70" s="474"/>
      <c r="D70" s="474"/>
      <c r="E70" s="480" t="n">
        <v>0</v>
      </c>
      <c r="F70" s="477" t="n">
        <v>0</v>
      </c>
      <c r="G70" s="476" t="n">
        <v>0</v>
      </c>
      <c r="H70" s="481" t="n">
        <v>0</v>
      </c>
      <c r="I70" s="477" t="n">
        <v>0</v>
      </c>
      <c r="J70" s="476" t="n">
        <v>0</v>
      </c>
      <c r="K70" s="482" t="n">
        <v>0</v>
      </c>
      <c r="L70" s="479" t="n">
        <f aca="false">SUM(E70:K70)</f>
        <v>0</v>
      </c>
      <c r="O70" s="280"/>
    </row>
    <row r="71" customFormat="false" ht="13.8" hidden="false" customHeight="false" outlineLevel="0" collapsed="false">
      <c r="B71" s="474" t="s">
        <v>63</v>
      </c>
      <c r="C71" s="474"/>
      <c r="D71" s="474"/>
      <c r="E71" s="475" t="n">
        <v>0</v>
      </c>
      <c r="F71" s="477" t="n">
        <v>0</v>
      </c>
      <c r="G71" s="481" t="n">
        <v>0</v>
      </c>
      <c r="H71" s="477" t="n">
        <v>0</v>
      </c>
      <c r="I71" s="476" t="n">
        <v>0</v>
      </c>
      <c r="J71" s="481" t="n">
        <v>0</v>
      </c>
      <c r="K71" s="483" t="n">
        <v>0</v>
      </c>
      <c r="L71" s="479" t="n">
        <f aca="false">SUM(E71:K71)</f>
        <v>0</v>
      </c>
    </row>
    <row r="72" customFormat="false" ht="13.8" hidden="false" customHeight="true" outlineLevel="0" collapsed="false">
      <c r="B72" s="484" t="s">
        <v>64</v>
      </c>
      <c r="C72" s="484"/>
      <c r="D72" s="484"/>
      <c r="E72" s="480" t="n">
        <v>0</v>
      </c>
      <c r="F72" s="485" t="n">
        <v>0</v>
      </c>
      <c r="G72" s="485" t="n">
        <v>0</v>
      </c>
      <c r="H72" s="485" t="n">
        <v>0</v>
      </c>
      <c r="I72" s="481" t="n">
        <v>0</v>
      </c>
      <c r="J72" s="485" t="n">
        <v>0</v>
      </c>
      <c r="K72" s="486" t="n">
        <v>0</v>
      </c>
      <c r="L72" s="487" t="n">
        <f aca="false">SUM(E72:K72)</f>
        <v>0</v>
      </c>
    </row>
    <row r="73" s="411" customFormat="true" ht="13.8" hidden="false" customHeight="false" outlineLevel="0" collapsed="false">
      <c r="A73" s="410"/>
      <c r="B73" s="488" t="s">
        <v>12</v>
      </c>
      <c r="C73" s="488"/>
      <c r="D73" s="488"/>
      <c r="E73" s="489" t="n">
        <f aca="false">SUM(E66:E72)</f>
        <v>0</v>
      </c>
      <c r="F73" s="490" t="n">
        <f aca="false">SUM(F66:F72)</f>
        <v>0</v>
      </c>
      <c r="G73" s="490" t="n">
        <f aca="false">SUM(G66:G72)</f>
        <v>0</v>
      </c>
      <c r="H73" s="490" t="n">
        <f aca="false">SUM(H66:H72)</f>
        <v>0</v>
      </c>
      <c r="I73" s="490" t="n">
        <f aca="false">SUM(I66:I72)</f>
        <v>0</v>
      </c>
      <c r="J73" s="490" t="n">
        <f aca="false">SUM(J66:J72)</f>
        <v>0</v>
      </c>
      <c r="K73" s="491" t="n">
        <f aca="false">SUM(K66:K72)</f>
        <v>0</v>
      </c>
      <c r="L73" s="492" t="n">
        <f aca="false">SUM(L66:L72)</f>
        <v>0</v>
      </c>
      <c r="M73" s="124" t="str">
        <f aca="false">IF(L73&lt;&gt;I20,"Section 3.1 - The Total of the ""Total"" should be equal to ""Closed during reporting period"" of Section 1.1","")</f>
        <v/>
      </c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</row>
    <row r="74" customFormat="false" ht="13.8" hidden="false" customHeight="false" outlineLevel="0" collapsed="false">
      <c r="L74" s="493" t="n">
        <f aca="false">SUM(L66:L69,L71:L72)</f>
        <v>0</v>
      </c>
    </row>
    <row r="75" s="411" customFormat="true" ht="13.8" hidden="false" customHeight="false" outlineLevel="0" collapsed="false">
      <c r="A75" s="494"/>
      <c r="B75" s="280"/>
      <c r="C75" s="280"/>
      <c r="D75" s="280"/>
      <c r="E75" s="280"/>
      <c r="F75" s="280"/>
      <c r="G75" s="280"/>
      <c r="H75" s="280"/>
      <c r="I75" s="280"/>
      <c r="J75" s="280"/>
      <c r="K75" s="280"/>
      <c r="L75" s="280"/>
      <c r="M75" s="280"/>
      <c r="O75" s="280"/>
      <c r="P75" s="280"/>
      <c r="Q75" s="280"/>
      <c r="R75" s="280"/>
      <c r="S75" s="280"/>
      <c r="T75" s="280"/>
    </row>
    <row r="76" s="411" customFormat="true" ht="13.8" hidden="false" customHeight="false" outlineLevel="0" collapsed="false">
      <c r="A76" s="494"/>
      <c r="B76" s="48" t="s">
        <v>298</v>
      </c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O76" s="280"/>
      <c r="P76" s="280"/>
      <c r="Q76" s="280"/>
      <c r="R76" s="280"/>
      <c r="S76" s="280"/>
      <c r="T76" s="280"/>
    </row>
    <row r="77" s="411" customFormat="true" ht="13.8" hidden="false" customHeight="false" outlineLevel="0" collapsed="false">
      <c r="A77" s="494" t="n">
        <v>7</v>
      </c>
      <c r="B77" s="280"/>
      <c r="C77" s="280"/>
      <c r="D77" s="280"/>
      <c r="E77" s="280"/>
      <c r="F77" s="280"/>
      <c r="G77" s="280"/>
      <c r="H77" s="280"/>
      <c r="I77" s="280"/>
      <c r="J77" s="280"/>
      <c r="K77" s="280"/>
      <c r="L77" s="280"/>
      <c r="M77" s="280"/>
      <c r="O77" s="280"/>
      <c r="P77" s="280"/>
      <c r="Q77" s="280"/>
      <c r="R77" s="280"/>
      <c r="S77" s="280"/>
      <c r="T77" s="280"/>
    </row>
    <row r="78" s="411" customFormat="true" ht="26.25" hidden="false" customHeight="true" outlineLevel="0" collapsed="false">
      <c r="A78" s="494"/>
      <c r="B78" s="495" t="s">
        <v>67</v>
      </c>
      <c r="C78" s="495"/>
      <c r="D78" s="496" t="s">
        <v>7</v>
      </c>
      <c r="E78" s="496"/>
      <c r="F78" s="495" t="s">
        <v>67</v>
      </c>
      <c r="G78" s="495"/>
      <c r="H78" s="496" t="s">
        <v>7</v>
      </c>
      <c r="I78" s="496"/>
      <c r="J78" s="497" t="s">
        <v>67</v>
      </c>
      <c r="K78" s="497"/>
      <c r="L78" s="498" t="s">
        <v>7</v>
      </c>
      <c r="M78" s="498"/>
      <c r="O78" s="280"/>
      <c r="P78" s="280"/>
      <c r="Q78" s="280"/>
      <c r="R78" s="280"/>
      <c r="S78" s="280"/>
      <c r="T78" s="280"/>
    </row>
    <row r="79" s="411" customFormat="true" ht="13.8" hidden="false" customHeight="false" outlineLevel="0" collapsed="false">
      <c r="A79" s="494"/>
      <c r="B79" s="499" t="s">
        <v>299</v>
      </c>
      <c r="C79" s="499"/>
      <c r="D79" s="295" t="n">
        <v>0</v>
      </c>
      <c r="E79" s="295"/>
      <c r="F79" s="500" t="s">
        <v>300</v>
      </c>
      <c r="G79" s="500"/>
      <c r="H79" s="501" t="n">
        <v>0</v>
      </c>
      <c r="I79" s="501"/>
      <c r="J79" s="499" t="s">
        <v>301</v>
      </c>
      <c r="K79" s="499"/>
      <c r="L79" s="295" t="n">
        <v>0</v>
      </c>
      <c r="M79" s="295"/>
      <c r="N79" s="280"/>
      <c r="O79" s="280"/>
      <c r="P79" s="280"/>
      <c r="Q79" s="280"/>
      <c r="R79" s="280"/>
      <c r="S79" s="280"/>
      <c r="T79" s="280"/>
    </row>
    <row r="80" s="411" customFormat="true" ht="13.8" hidden="false" customHeight="false" outlineLevel="0" collapsed="false">
      <c r="A80" s="494"/>
      <c r="B80" s="502" t="s">
        <v>302</v>
      </c>
      <c r="C80" s="502"/>
      <c r="D80" s="296" t="n">
        <v>0</v>
      </c>
      <c r="E80" s="296"/>
      <c r="F80" s="502" t="s">
        <v>303</v>
      </c>
      <c r="G80" s="502"/>
      <c r="H80" s="296" t="n">
        <v>0</v>
      </c>
      <c r="I80" s="296"/>
      <c r="J80" s="502" t="s">
        <v>304</v>
      </c>
      <c r="K80" s="502"/>
      <c r="L80" s="296" t="n">
        <v>0</v>
      </c>
      <c r="M80" s="296"/>
      <c r="N80" s="280"/>
      <c r="O80" s="280"/>
      <c r="P80" s="280"/>
      <c r="Q80" s="280"/>
      <c r="R80" s="280"/>
      <c r="S80" s="280"/>
      <c r="T80" s="280"/>
    </row>
    <row r="81" s="411" customFormat="true" ht="13.8" hidden="false" customHeight="false" outlineLevel="0" collapsed="false">
      <c r="A81" s="494"/>
      <c r="B81" s="502" t="s">
        <v>305</v>
      </c>
      <c r="C81" s="502"/>
      <c r="D81" s="296" t="n">
        <v>0</v>
      </c>
      <c r="E81" s="296"/>
      <c r="F81" s="502" t="s">
        <v>306</v>
      </c>
      <c r="G81" s="502"/>
      <c r="H81" s="296" t="n">
        <v>0</v>
      </c>
      <c r="I81" s="296"/>
      <c r="J81" s="502" t="s">
        <v>307</v>
      </c>
      <c r="K81" s="502"/>
      <c r="L81" s="296" t="n">
        <v>0</v>
      </c>
      <c r="M81" s="296"/>
      <c r="N81" s="280"/>
      <c r="O81" s="280"/>
      <c r="P81" s="280"/>
      <c r="Q81" s="280"/>
      <c r="R81" s="280"/>
      <c r="S81" s="280"/>
      <c r="T81" s="280"/>
    </row>
    <row r="82" s="411" customFormat="true" ht="13.8" hidden="false" customHeight="false" outlineLevel="0" collapsed="false">
      <c r="A82" s="494"/>
      <c r="B82" s="502" t="s">
        <v>308</v>
      </c>
      <c r="C82" s="502"/>
      <c r="D82" s="296" t="n">
        <v>0</v>
      </c>
      <c r="E82" s="296"/>
      <c r="F82" s="502" t="s">
        <v>309</v>
      </c>
      <c r="G82" s="502"/>
      <c r="H82" s="296" t="n">
        <v>0</v>
      </c>
      <c r="I82" s="296"/>
      <c r="J82" s="502" t="s">
        <v>310</v>
      </c>
      <c r="K82" s="502"/>
      <c r="L82" s="296" t="n">
        <v>0</v>
      </c>
      <c r="M82" s="296"/>
      <c r="N82" s="280"/>
      <c r="O82" s="280"/>
      <c r="P82" s="280"/>
      <c r="Q82" s="280"/>
      <c r="R82" s="280"/>
      <c r="S82" s="280"/>
      <c r="T82" s="280"/>
    </row>
    <row r="83" s="411" customFormat="true" ht="13.8" hidden="false" customHeight="false" outlineLevel="0" collapsed="false">
      <c r="A83" s="494"/>
      <c r="B83" s="502" t="s">
        <v>311</v>
      </c>
      <c r="C83" s="502"/>
      <c r="D83" s="296" t="n">
        <v>0</v>
      </c>
      <c r="E83" s="296"/>
      <c r="F83" s="502" t="s">
        <v>312</v>
      </c>
      <c r="G83" s="502"/>
      <c r="H83" s="296" t="n">
        <v>0</v>
      </c>
      <c r="I83" s="296"/>
      <c r="J83" s="502" t="n">
        <v>25</v>
      </c>
      <c r="K83" s="502"/>
      <c r="L83" s="296" t="n">
        <v>0</v>
      </c>
      <c r="M83" s="296"/>
      <c r="N83" s="280"/>
      <c r="O83" s="280"/>
      <c r="P83" s="280"/>
      <c r="Q83" s="280"/>
      <c r="R83" s="280"/>
      <c r="S83" s="280"/>
      <c r="T83" s="280"/>
    </row>
    <row r="84" s="411" customFormat="true" ht="13.8" hidden="false" customHeight="false" outlineLevel="0" collapsed="false">
      <c r="A84" s="494"/>
      <c r="B84" s="502" t="s">
        <v>313</v>
      </c>
      <c r="C84" s="502"/>
      <c r="D84" s="296" t="n">
        <v>0</v>
      </c>
      <c r="E84" s="296"/>
      <c r="F84" s="502" t="s">
        <v>314</v>
      </c>
      <c r="G84" s="502"/>
      <c r="H84" s="296" t="n">
        <v>0</v>
      </c>
      <c r="I84" s="296"/>
      <c r="J84" s="502" t="n">
        <v>26</v>
      </c>
      <c r="K84" s="502"/>
      <c r="L84" s="296" t="n">
        <v>0</v>
      </c>
      <c r="M84" s="296"/>
      <c r="N84" s="280"/>
      <c r="O84" s="280"/>
      <c r="P84" s="280"/>
      <c r="Q84" s="280"/>
      <c r="R84" s="280"/>
      <c r="S84" s="280"/>
      <c r="T84" s="280"/>
    </row>
    <row r="85" s="411" customFormat="true" ht="13.8" hidden="false" customHeight="false" outlineLevel="0" collapsed="false">
      <c r="A85" s="494"/>
      <c r="B85" s="502" t="s">
        <v>315</v>
      </c>
      <c r="C85" s="502"/>
      <c r="D85" s="296" t="n">
        <v>0</v>
      </c>
      <c r="E85" s="296"/>
      <c r="F85" s="502" t="n">
        <v>22.1</v>
      </c>
      <c r="G85" s="502"/>
      <c r="H85" s="296" t="n">
        <v>0</v>
      </c>
      <c r="I85" s="296"/>
      <c r="J85" s="502" t="n">
        <v>27</v>
      </c>
      <c r="K85" s="502"/>
      <c r="L85" s="296" t="n">
        <v>0</v>
      </c>
      <c r="M85" s="296"/>
      <c r="N85" s="280"/>
      <c r="O85" s="280"/>
      <c r="P85" s="280"/>
      <c r="Q85" s="280"/>
      <c r="R85" s="280"/>
      <c r="S85" s="280"/>
      <c r="T85" s="280"/>
    </row>
    <row r="86" s="411" customFormat="true" ht="13.8" hidden="false" customHeight="false" outlineLevel="0" collapsed="false">
      <c r="A86" s="494"/>
      <c r="B86" s="502" t="n">
        <v>20</v>
      </c>
      <c r="C86" s="502"/>
      <c r="D86" s="296" t="n">
        <v>0</v>
      </c>
      <c r="E86" s="296"/>
      <c r="F86" s="502" t="n">
        <v>22.2</v>
      </c>
      <c r="G86" s="502"/>
      <c r="H86" s="296" t="n">
        <v>0</v>
      </c>
      <c r="I86" s="296"/>
      <c r="J86" s="502" t="n">
        <v>27.1</v>
      </c>
      <c r="K86" s="502"/>
      <c r="L86" s="296" t="n">
        <v>0</v>
      </c>
      <c r="M86" s="296"/>
      <c r="N86" s="280"/>
      <c r="P86" s="280"/>
      <c r="Q86" s="280"/>
      <c r="R86" s="280"/>
      <c r="S86" s="280"/>
      <c r="T86" s="280"/>
      <c r="U86" s="280"/>
    </row>
    <row r="87" s="411" customFormat="true" ht="13.8" hidden="false" customHeight="false" outlineLevel="0" collapsed="false">
      <c r="A87" s="494"/>
      <c r="B87" s="503" t="n">
        <v>21</v>
      </c>
      <c r="C87" s="503"/>
      <c r="D87" s="299" t="n">
        <v>0</v>
      </c>
      <c r="E87" s="299"/>
      <c r="F87" s="502" t="n">
        <v>22.3</v>
      </c>
      <c r="G87" s="502"/>
      <c r="H87" s="296" t="n">
        <v>0</v>
      </c>
      <c r="I87" s="296"/>
      <c r="J87" s="503" t="n">
        <v>28</v>
      </c>
      <c r="K87" s="503"/>
      <c r="L87" s="299" t="n">
        <v>0</v>
      </c>
      <c r="M87" s="299"/>
      <c r="N87" s="98"/>
      <c r="P87" s="280"/>
      <c r="Q87" s="280"/>
      <c r="R87" s="280"/>
      <c r="S87" s="280"/>
      <c r="T87" s="280"/>
      <c r="U87" s="280"/>
    </row>
    <row r="88" customFormat="false" ht="13.8" hidden="false" customHeight="false" outlineLevel="0" collapsed="false">
      <c r="B88" s="504"/>
      <c r="F88" s="503" t="n">
        <v>22.4</v>
      </c>
      <c r="G88" s="503"/>
      <c r="H88" s="505" t="n">
        <v>0</v>
      </c>
      <c r="I88" s="505"/>
    </row>
    <row r="89" s="411" customFormat="true" ht="13.8" hidden="false" customHeight="false" outlineLevel="0" collapsed="false">
      <c r="A89" s="494"/>
      <c r="B89" s="504"/>
      <c r="C89" s="280"/>
      <c r="D89" s="280"/>
      <c r="E89" s="280"/>
      <c r="F89" s="280"/>
      <c r="G89" s="280"/>
      <c r="H89" s="280"/>
      <c r="I89" s="280"/>
      <c r="J89" s="280"/>
      <c r="K89" s="280"/>
      <c r="L89" s="280"/>
      <c r="M89" s="280"/>
      <c r="O89" s="280"/>
      <c r="P89" s="280"/>
      <c r="Q89" s="280"/>
      <c r="R89" s="280"/>
      <c r="S89" s="280"/>
      <c r="T89" s="280"/>
    </row>
    <row r="90" s="411" customFormat="true" ht="13.8" hidden="false" customHeight="false" outlineLevel="0" collapsed="false">
      <c r="A90" s="494"/>
      <c r="B90" s="61" t="s">
        <v>316</v>
      </c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O90" s="280"/>
      <c r="P90" s="280"/>
      <c r="Q90" s="280"/>
      <c r="R90" s="280"/>
      <c r="S90" s="280"/>
      <c r="T90" s="280"/>
    </row>
    <row r="91" s="411" customFormat="true" ht="13.8" hidden="false" customHeight="false" outlineLevel="0" collapsed="false">
      <c r="A91" s="494"/>
      <c r="B91" s="280"/>
      <c r="C91" s="280"/>
      <c r="D91" s="280"/>
      <c r="E91" s="280"/>
      <c r="F91" s="280"/>
      <c r="G91" s="280"/>
      <c r="H91" s="280"/>
      <c r="I91" s="280"/>
      <c r="J91" s="280"/>
      <c r="K91" s="280"/>
      <c r="L91" s="280"/>
      <c r="M91" s="280"/>
      <c r="O91" s="280"/>
      <c r="P91" s="280"/>
      <c r="Q91" s="280"/>
      <c r="R91" s="280"/>
      <c r="S91" s="280"/>
      <c r="T91" s="280"/>
    </row>
    <row r="92" s="411" customFormat="true" ht="27.75" hidden="false" customHeight="true" outlineLevel="0" collapsed="false">
      <c r="A92" s="494" t="n">
        <v>8</v>
      </c>
      <c r="B92" s="495" t="s">
        <v>67</v>
      </c>
      <c r="C92" s="495"/>
      <c r="D92" s="498" t="s">
        <v>7</v>
      </c>
      <c r="E92" s="498"/>
      <c r="F92" s="495" t="s">
        <v>67</v>
      </c>
      <c r="G92" s="495"/>
      <c r="H92" s="498" t="s">
        <v>7</v>
      </c>
      <c r="I92" s="498"/>
      <c r="J92" s="495" t="s">
        <v>67</v>
      </c>
      <c r="K92" s="495"/>
      <c r="L92" s="498" t="s">
        <v>7</v>
      </c>
      <c r="M92" s="498"/>
      <c r="O92" s="280"/>
      <c r="P92" s="280"/>
      <c r="Q92" s="280"/>
      <c r="R92" s="280"/>
      <c r="S92" s="280"/>
      <c r="T92" s="280"/>
    </row>
    <row r="93" s="411" customFormat="true" ht="13.8" hidden="false" customHeight="false" outlineLevel="0" collapsed="false">
      <c r="A93" s="494"/>
      <c r="B93" s="500" t="s">
        <v>123</v>
      </c>
      <c r="C93" s="500"/>
      <c r="D93" s="501" t="n">
        <v>0</v>
      </c>
      <c r="E93" s="501"/>
      <c r="F93" s="506" t="s">
        <v>317</v>
      </c>
      <c r="G93" s="506"/>
      <c r="H93" s="507" t="n">
        <v>0</v>
      </c>
      <c r="I93" s="507"/>
      <c r="J93" s="500" t="s">
        <v>318</v>
      </c>
      <c r="K93" s="500"/>
      <c r="L93" s="501" t="n">
        <v>0</v>
      </c>
      <c r="M93" s="501"/>
      <c r="O93" s="280"/>
      <c r="P93" s="280"/>
      <c r="Q93" s="280"/>
      <c r="R93" s="280"/>
      <c r="S93" s="280"/>
      <c r="T93" s="280"/>
    </row>
    <row r="94" customFormat="false" ht="13.8" hidden="false" customHeight="false" outlineLevel="0" collapsed="false">
      <c r="A94" s="494"/>
      <c r="B94" s="502" t="s">
        <v>126</v>
      </c>
      <c r="C94" s="502"/>
      <c r="D94" s="296" t="n">
        <v>0</v>
      </c>
      <c r="E94" s="296"/>
      <c r="F94" s="500" t="s">
        <v>319</v>
      </c>
      <c r="G94" s="500"/>
      <c r="H94" s="508" t="n">
        <v>0</v>
      </c>
      <c r="I94" s="508"/>
      <c r="J94" s="502" t="s">
        <v>320</v>
      </c>
      <c r="K94" s="502"/>
      <c r="L94" s="296" t="n">
        <v>0</v>
      </c>
      <c r="M94" s="296"/>
    </row>
    <row r="95" s="411" customFormat="true" ht="13.8" hidden="false" customHeight="false" outlineLevel="0" collapsed="false">
      <c r="A95" s="494"/>
      <c r="B95" s="503" t="n">
        <v>69.1</v>
      </c>
      <c r="C95" s="503"/>
      <c r="D95" s="299" t="n">
        <v>0</v>
      </c>
      <c r="E95" s="299"/>
      <c r="F95" s="502" t="s">
        <v>321</v>
      </c>
      <c r="G95" s="502"/>
      <c r="H95" s="153" t="n">
        <v>0</v>
      </c>
      <c r="I95" s="153"/>
      <c r="J95" s="502" t="s">
        <v>322</v>
      </c>
      <c r="K95" s="502"/>
      <c r="L95" s="296" t="n">
        <v>0</v>
      </c>
      <c r="M95" s="296"/>
      <c r="N95" s="280"/>
      <c r="P95" s="280"/>
      <c r="Q95" s="280"/>
      <c r="R95" s="280"/>
      <c r="S95" s="280"/>
      <c r="T95" s="280"/>
      <c r="U95" s="280"/>
    </row>
    <row r="96" s="411" customFormat="true" ht="13.8" hidden="false" customHeight="false" outlineLevel="0" collapsed="false">
      <c r="A96" s="494"/>
      <c r="B96" s="509"/>
      <c r="C96" s="509"/>
      <c r="D96" s="509"/>
      <c r="E96" s="509"/>
      <c r="F96" s="503" t="s">
        <v>323</v>
      </c>
      <c r="G96" s="503"/>
      <c r="H96" s="170" t="n">
        <v>0</v>
      </c>
      <c r="I96" s="170"/>
      <c r="J96" s="503" t="n">
        <v>70.1</v>
      </c>
      <c r="K96" s="503"/>
      <c r="L96" s="299" t="n">
        <v>0</v>
      </c>
      <c r="M96" s="299"/>
      <c r="N96" s="98"/>
      <c r="P96" s="280"/>
      <c r="Q96" s="280"/>
      <c r="R96" s="280"/>
      <c r="S96" s="280"/>
      <c r="T96" s="280"/>
      <c r="U96" s="280"/>
    </row>
    <row r="97" s="411" customFormat="true" ht="14.25" hidden="false" customHeight="true" outlineLevel="0" collapsed="false">
      <c r="A97" s="494"/>
      <c r="B97" s="280"/>
      <c r="C97" s="280"/>
      <c r="D97" s="280"/>
      <c r="E97" s="280"/>
      <c r="F97" s="280"/>
      <c r="G97" s="280"/>
      <c r="H97" s="280"/>
      <c r="I97" s="280"/>
      <c r="J97" s="280"/>
      <c r="K97" s="280"/>
      <c r="L97" s="280"/>
      <c r="M97" s="28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</row>
    <row r="98" s="411" customFormat="true" ht="13.5" hidden="false" customHeight="true" outlineLevel="0" collapsed="false">
      <c r="A98" s="494"/>
      <c r="B98" s="510" t="s">
        <v>324</v>
      </c>
      <c r="C98" s="510"/>
      <c r="D98" s="510"/>
      <c r="E98" s="510"/>
      <c r="F98" s="510"/>
      <c r="G98" s="510"/>
      <c r="H98" s="510"/>
      <c r="I98" s="510"/>
      <c r="J98" s="510"/>
      <c r="K98" s="280"/>
      <c r="L98" s="280"/>
      <c r="M98" s="28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</row>
    <row r="99" s="411" customFormat="true" ht="13.8" hidden="false" customHeight="false" outlineLevel="0" collapsed="false">
      <c r="A99" s="494"/>
      <c r="B99" s="511"/>
      <c r="C99" s="280"/>
      <c r="D99" s="280"/>
      <c r="E99" s="280"/>
      <c r="F99" s="280"/>
      <c r="G99" s="280"/>
      <c r="H99" s="280"/>
      <c r="I99" s="280"/>
      <c r="J99" s="280"/>
      <c r="K99" s="280"/>
      <c r="L99" s="280"/>
      <c r="M99" s="280"/>
      <c r="N99" s="512"/>
      <c r="O99" s="512"/>
      <c r="P99" s="512"/>
      <c r="Q99" s="512"/>
      <c r="R99" s="512"/>
      <c r="S99" s="512"/>
      <c r="T99" s="512"/>
      <c r="U99" s="512"/>
      <c r="V99" s="512"/>
      <c r="W99" s="512"/>
      <c r="X99" s="512"/>
      <c r="Y99" s="512"/>
      <c r="Z99" s="512"/>
      <c r="AA99" s="512"/>
      <c r="AB99" s="512"/>
      <c r="AC99" s="512"/>
      <c r="AD99" s="512"/>
    </row>
    <row r="100" s="411" customFormat="true" ht="13.8" hidden="false" customHeight="true" outlineLevel="0" collapsed="false">
      <c r="A100" s="494" t="n">
        <v>9</v>
      </c>
      <c r="B100" s="183" t="s">
        <v>140</v>
      </c>
      <c r="C100" s="183"/>
      <c r="D100" s="184" t="s">
        <v>141</v>
      </c>
      <c r="E100" s="184"/>
      <c r="F100" s="184"/>
      <c r="G100" s="184"/>
      <c r="H100" s="184"/>
      <c r="I100" s="177" t="s">
        <v>142</v>
      </c>
      <c r="J100" s="177"/>
      <c r="K100" s="280"/>
      <c r="L100" s="280"/>
      <c r="M100" s="280"/>
      <c r="N100" s="513"/>
      <c r="O100" s="513"/>
      <c r="P100" s="513"/>
      <c r="Q100" s="513"/>
      <c r="R100" s="513"/>
      <c r="S100" s="513"/>
      <c r="T100" s="513"/>
      <c r="U100" s="513"/>
      <c r="V100" s="513"/>
      <c r="W100" s="513"/>
      <c r="X100" s="513"/>
      <c r="Y100" s="513"/>
      <c r="Z100" s="513"/>
      <c r="AA100" s="513"/>
      <c r="AB100" s="513"/>
      <c r="AC100" s="513"/>
      <c r="AD100" s="513"/>
    </row>
    <row r="101" s="411" customFormat="true" ht="13.8" hidden="false" customHeight="false" outlineLevel="0" collapsed="false">
      <c r="A101" s="494"/>
      <c r="B101" s="183"/>
      <c r="C101" s="183"/>
      <c r="D101" s="187" t="s">
        <v>143</v>
      </c>
      <c r="E101" s="187"/>
      <c r="F101" s="188" t="s">
        <v>144</v>
      </c>
      <c r="G101" s="189" t="s">
        <v>145</v>
      </c>
      <c r="H101" s="190" t="s">
        <v>146</v>
      </c>
      <c r="I101" s="177"/>
      <c r="J101" s="177"/>
      <c r="K101" s="280"/>
      <c r="L101" s="280"/>
      <c r="M101" s="280"/>
      <c r="N101" s="513"/>
      <c r="O101" s="513"/>
      <c r="P101" s="513"/>
      <c r="Q101" s="513"/>
      <c r="R101" s="513"/>
      <c r="S101" s="513"/>
      <c r="T101" s="513"/>
      <c r="U101" s="513"/>
      <c r="V101" s="513"/>
      <c r="W101" s="513"/>
      <c r="X101" s="513"/>
      <c r="Y101" s="513"/>
      <c r="Z101" s="513"/>
      <c r="AA101" s="513"/>
      <c r="AB101" s="513"/>
      <c r="AC101" s="513"/>
      <c r="AD101" s="513"/>
    </row>
    <row r="102" s="411" customFormat="true" ht="25.5" hidden="false" customHeight="true" outlineLevel="0" collapsed="false">
      <c r="A102" s="494"/>
      <c r="B102" s="191" t="n">
        <v>0</v>
      </c>
      <c r="C102" s="191"/>
      <c r="D102" s="514" t="n">
        <v>0</v>
      </c>
      <c r="E102" s="514"/>
      <c r="F102" s="515" t="n">
        <v>0</v>
      </c>
      <c r="G102" s="193" t="n">
        <v>0</v>
      </c>
      <c r="H102" s="516" t="n">
        <v>0</v>
      </c>
      <c r="I102" s="191" t="n">
        <v>0</v>
      </c>
      <c r="J102" s="191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  <c r="AA102" s="89"/>
      <c r="AB102" s="89"/>
      <c r="AC102" s="89"/>
      <c r="AD102" s="89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</row>
    <row r="103" s="411" customFormat="true" ht="13.8" hidden="false" customHeight="false" outlineLevel="0" collapsed="false">
      <c r="A103" s="494"/>
      <c r="B103" s="511"/>
      <c r="C103" s="280"/>
      <c r="D103" s="280"/>
      <c r="E103" s="280"/>
      <c r="F103" s="280"/>
      <c r="G103" s="280"/>
      <c r="H103" s="280"/>
      <c r="I103" s="280"/>
      <c r="J103" s="280"/>
      <c r="K103" s="280"/>
      <c r="L103" s="280"/>
      <c r="M103" s="280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  <c r="AA103" s="89"/>
      <c r="AB103" s="89"/>
      <c r="AC103" s="89"/>
      <c r="AD103" s="89"/>
    </row>
    <row r="104" customFormat="false" ht="13.8" hidden="false" customHeight="false" outlineLevel="0" collapsed="false">
      <c r="B104" s="48" t="s">
        <v>325</v>
      </c>
      <c r="C104" s="48"/>
      <c r="D104" s="48"/>
      <c r="E104" s="48"/>
      <c r="F104" s="48"/>
      <c r="G104" s="48"/>
      <c r="H104" s="48"/>
      <c r="I104" s="48"/>
      <c r="J104" s="48"/>
      <c r="N104" s="513"/>
      <c r="O104" s="513"/>
      <c r="P104" s="513"/>
      <c r="Q104" s="513"/>
      <c r="R104" s="513"/>
      <c r="S104" s="513"/>
      <c r="T104" s="513"/>
      <c r="U104" s="513"/>
      <c r="V104" s="513"/>
      <c r="W104" s="513"/>
      <c r="X104" s="513"/>
      <c r="Y104" s="513"/>
      <c r="Z104" s="513"/>
      <c r="AA104" s="513"/>
      <c r="AB104" s="513"/>
      <c r="AC104" s="513"/>
      <c r="AD104" s="513"/>
    </row>
    <row r="105" customFormat="false" ht="13.8" hidden="false" customHeight="false" outlineLevel="0" collapsed="false">
      <c r="B105" s="517"/>
      <c r="N105" s="98"/>
      <c r="O105" s="280"/>
    </row>
    <row r="106" customFormat="false" ht="17.25" hidden="false" customHeight="true" outlineLevel="0" collapsed="false">
      <c r="B106" s="196" t="s">
        <v>326</v>
      </c>
      <c r="C106" s="196"/>
      <c r="D106" s="196"/>
      <c r="E106" s="196"/>
      <c r="F106" s="196"/>
      <c r="G106" s="196"/>
      <c r="H106" s="196"/>
      <c r="I106" s="196"/>
      <c r="J106" s="196"/>
      <c r="K106" s="196"/>
      <c r="N106" s="98"/>
      <c r="O106" s="280"/>
    </row>
    <row r="107" customFormat="false" ht="13.8" hidden="false" customHeight="false" outlineLevel="0" collapsed="false">
      <c r="N107" s="92"/>
    </row>
    <row r="108" customFormat="false" ht="30" hidden="false" customHeight="true" outlineLevel="0" collapsed="false">
      <c r="A108" s="410" t="n">
        <v>10</v>
      </c>
      <c r="B108" s="237" t="s">
        <v>327</v>
      </c>
      <c r="C108" s="237"/>
      <c r="D108" s="237"/>
      <c r="E108" s="238" t="s">
        <v>150</v>
      </c>
      <c r="F108" s="238"/>
      <c r="G108" s="238"/>
      <c r="H108" s="498" t="s">
        <v>7</v>
      </c>
      <c r="I108" s="498"/>
      <c r="J108" s="498"/>
      <c r="K108" s="518"/>
      <c r="L108" s="518"/>
      <c r="M108" s="518"/>
    </row>
    <row r="109" customFormat="false" ht="15" hidden="false" customHeight="true" outlineLevel="0" collapsed="false">
      <c r="B109" s="519" t="n">
        <v>0</v>
      </c>
      <c r="C109" s="519"/>
      <c r="D109" s="519"/>
      <c r="E109" s="453" t="n">
        <v>0</v>
      </c>
      <c r="F109" s="453"/>
      <c r="G109" s="453"/>
      <c r="H109" s="520" t="n">
        <v>0</v>
      </c>
      <c r="I109" s="520"/>
      <c r="J109" s="520"/>
      <c r="K109" s="430"/>
      <c r="L109" s="430"/>
      <c r="M109" s="430"/>
      <c r="N109" s="430"/>
      <c r="O109" s="430"/>
      <c r="P109" s="430"/>
      <c r="Q109" s="430"/>
      <c r="R109" s="430"/>
      <c r="S109" s="430"/>
      <c r="T109" s="430"/>
      <c r="U109" s="430"/>
      <c r="V109" s="430"/>
      <c r="W109" s="430"/>
      <c r="X109" s="430"/>
      <c r="Y109" s="430"/>
      <c r="Z109" s="430"/>
      <c r="AA109" s="430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</row>
    <row r="110" customFormat="false" ht="13.8" hidden="false" customHeight="false" outlineLevel="0" collapsed="false">
      <c r="B110" s="433"/>
      <c r="C110" s="433"/>
      <c r="D110" s="433"/>
      <c r="E110" s="391"/>
      <c r="F110" s="391"/>
      <c r="G110" s="391"/>
      <c r="H110" s="391"/>
      <c r="I110" s="391"/>
      <c r="J110" s="391"/>
      <c r="K110" s="186"/>
      <c r="L110" s="186"/>
      <c r="M110" s="186"/>
      <c r="N110" s="186"/>
      <c r="O110" s="186"/>
      <c r="P110" s="186"/>
      <c r="Q110" s="186"/>
      <c r="R110" s="186"/>
      <c r="S110" s="186"/>
      <c r="T110" s="186"/>
      <c r="U110" s="186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</row>
    <row r="111" s="91" customFormat="true" ht="13.8" hidden="false" customHeight="true" outlineLevel="0" collapsed="false">
      <c r="A111" s="87"/>
      <c r="B111" s="202" t="s">
        <v>328</v>
      </c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</row>
    <row r="112" s="91" customFormat="true" ht="13.8" hidden="false" customHeight="false" outlineLevel="0" collapsed="false">
      <c r="A112" s="87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</row>
    <row r="113" customFormat="false" ht="14.25" hidden="false" customHeight="true" outlineLevel="0" collapsed="false">
      <c r="N113" s="98"/>
      <c r="O113" s="280"/>
    </row>
    <row r="114" s="280" customFormat="true" ht="25.5" hidden="false" customHeight="true" outlineLevel="0" collapsed="false">
      <c r="A114" s="410" t="n">
        <v>11</v>
      </c>
      <c r="B114" s="204" t="s">
        <v>152</v>
      </c>
      <c r="C114" s="204"/>
      <c r="D114" s="521" t="s">
        <v>153</v>
      </c>
      <c r="E114" s="521"/>
      <c r="F114" s="521" t="s">
        <v>236</v>
      </c>
      <c r="G114" s="521"/>
      <c r="H114" s="521" t="s">
        <v>237</v>
      </c>
      <c r="I114" s="521"/>
      <c r="J114" s="98"/>
    </row>
    <row r="115" s="411" customFormat="true" ht="30.75" hidden="false" customHeight="true" outlineLevel="0" collapsed="false">
      <c r="A115" s="410"/>
      <c r="B115" s="204"/>
      <c r="C115" s="204"/>
      <c r="D115" s="522" t="s">
        <v>7</v>
      </c>
      <c r="E115" s="523" t="s">
        <v>156</v>
      </c>
      <c r="F115" s="522" t="s">
        <v>7</v>
      </c>
      <c r="G115" s="523" t="s">
        <v>156</v>
      </c>
      <c r="H115" s="522" t="s">
        <v>7</v>
      </c>
      <c r="I115" s="523" t="s">
        <v>156</v>
      </c>
      <c r="J115" s="98"/>
      <c r="K115" s="280"/>
      <c r="L115" s="280"/>
      <c r="M115" s="280"/>
      <c r="N115" s="280"/>
      <c r="O115" s="280"/>
      <c r="P115" s="280"/>
      <c r="Y115" s="524" t="s">
        <v>329</v>
      </c>
      <c r="Z115" s="524" t="s">
        <v>330</v>
      </c>
    </row>
    <row r="116" s="411" customFormat="true" ht="20.25" hidden="false" customHeight="true" outlineLevel="0" collapsed="false">
      <c r="A116" s="410"/>
      <c r="B116" s="525" t="s">
        <v>57</v>
      </c>
      <c r="C116" s="525"/>
      <c r="D116" s="211" t="n">
        <v>0</v>
      </c>
      <c r="E116" s="212" t="n">
        <v>0</v>
      </c>
      <c r="F116" s="211" t="n">
        <v>0</v>
      </c>
      <c r="G116" s="212" t="n">
        <v>0</v>
      </c>
      <c r="H116" s="211" t="n">
        <v>0</v>
      </c>
      <c r="I116" s="212" t="n">
        <v>0</v>
      </c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40" t="e">
        <f aca="false">SUM(D116,#REF!,F116,#REF!,H116)</f>
        <v>#REF!</v>
      </c>
      <c r="Z116" s="140" t="e">
        <f aca="false">SUM(Y116,Z133,#REF!)</f>
        <v>#REF!</v>
      </c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</row>
    <row r="117" s="411" customFormat="true" ht="19.5" hidden="false" customHeight="true" outlineLevel="0" collapsed="false">
      <c r="A117" s="410"/>
      <c r="B117" s="214" t="s">
        <v>58</v>
      </c>
      <c r="C117" s="214"/>
      <c r="D117" s="211" t="n">
        <v>0</v>
      </c>
      <c r="E117" s="153" t="n">
        <v>0</v>
      </c>
      <c r="F117" s="211" t="n">
        <v>0</v>
      </c>
      <c r="G117" s="153" t="n">
        <v>0</v>
      </c>
      <c r="H117" s="211" t="n">
        <v>0</v>
      </c>
      <c r="I117" s="153" t="n">
        <v>0</v>
      </c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40" t="e">
        <f aca="false">SUM(D117,#REF!,F117,#REF!,H117)</f>
        <v>#REF!</v>
      </c>
      <c r="Z117" s="140" t="e">
        <f aca="false">SUM(Y117,Z134,#REF!)</f>
        <v>#REF!</v>
      </c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</row>
    <row r="118" s="411" customFormat="true" ht="20.25" hidden="false" customHeight="true" outlineLevel="0" collapsed="false">
      <c r="A118" s="410"/>
      <c r="B118" s="253" t="s">
        <v>59</v>
      </c>
      <c r="C118" s="253"/>
      <c r="D118" s="211" t="n">
        <v>0</v>
      </c>
      <c r="E118" s="153" t="n">
        <v>0</v>
      </c>
      <c r="F118" s="211" t="n">
        <v>0</v>
      </c>
      <c r="G118" s="153" t="n">
        <v>0</v>
      </c>
      <c r="H118" s="211" t="n">
        <v>0</v>
      </c>
      <c r="I118" s="153" t="n">
        <v>0</v>
      </c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40" t="e">
        <f aca="false">SUM(D118,#REF!,F118,#REF!,H118)</f>
        <v>#REF!</v>
      </c>
      <c r="Z118" s="140" t="e">
        <f aca="false">SUM(Y118,Z135,#REF!)</f>
        <v>#REF!</v>
      </c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</row>
    <row r="119" s="411" customFormat="true" ht="19.5" hidden="false" customHeight="true" outlineLevel="0" collapsed="false">
      <c r="A119" s="410"/>
      <c r="B119" s="253" t="s">
        <v>60</v>
      </c>
      <c r="C119" s="253"/>
      <c r="D119" s="211" t="n">
        <v>0</v>
      </c>
      <c r="E119" s="526" t="n">
        <v>0</v>
      </c>
      <c r="F119" s="211" t="n">
        <v>0</v>
      </c>
      <c r="G119" s="153" t="n">
        <v>0</v>
      </c>
      <c r="H119" s="211" t="n">
        <v>0</v>
      </c>
      <c r="I119" s="153" t="n">
        <v>0</v>
      </c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3"/>
      <c r="Y119" s="140" t="e">
        <f aca="false">SUM(D119,#REF!,F119,#REF!,H119)</f>
        <v>#REF!</v>
      </c>
      <c r="Z119" s="140" t="e">
        <f aca="false">SUM(Y119,Z136,#REF!)</f>
        <v>#REF!</v>
      </c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</row>
    <row r="120" s="411" customFormat="true" ht="27.75" hidden="false" customHeight="true" outlineLevel="0" collapsed="false">
      <c r="A120" s="410"/>
      <c r="B120" s="214" t="s">
        <v>157</v>
      </c>
      <c r="C120" s="214"/>
      <c r="D120" s="211" t="n">
        <v>0</v>
      </c>
      <c r="E120" s="153" t="n">
        <v>0</v>
      </c>
      <c r="F120" s="211" t="n">
        <v>0</v>
      </c>
      <c r="G120" s="153" t="n">
        <v>0</v>
      </c>
      <c r="H120" s="211" t="n">
        <v>0</v>
      </c>
      <c r="I120" s="153" t="n">
        <v>0</v>
      </c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40" t="e">
        <f aca="false">SUM(D120,#REF!,F120,#REF!,H120)</f>
        <v>#REF!</v>
      </c>
      <c r="Z120" s="140" t="e">
        <f aca="false">SUM(Y120,Z137,#REF!)</f>
        <v>#REF!</v>
      </c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</row>
    <row r="121" s="411" customFormat="true" ht="27.75" hidden="false" customHeight="true" outlineLevel="0" collapsed="false">
      <c r="A121" s="410"/>
      <c r="B121" s="223" t="s">
        <v>64</v>
      </c>
      <c r="C121" s="223"/>
      <c r="D121" s="224" t="n">
        <v>0</v>
      </c>
      <c r="E121" s="527" t="n">
        <v>0</v>
      </c>
      <c r="F121" s="528" t="n">
        <v>0</v>
      </c>
      <c r="G121" s="527" t="n">
        <v>0</v>
      </c>
      <c r="H121" s="528" t="n">
        <v>0</v>
      </c>
      <c r="I121" s="529" t="n">
        <v>0</v>
      </c>
      <c r="J121" s="231"/>
      <c r="K121" s="231"/>
      <c r="L121" s="231"/>
      <c r="M121" s="231"/>
      <c r="N121" s="231"/>
      <c r="O121" s="231"/>
      <c r="P121" s="231"/>
      <c r="Q121" s="231"/>
      <c r="R121" s="231"/>
      <c r="S121" s="231"/>
      <c r="T121" s="231"/>
      <c r="U121" s="231"/>
      <c r="V121" s="231"/>
      <c r="W121" s="138"/>
      <c r="X121" s="3"/>
      <c r="Y121" s="140" t="e">
        <f aca="false">SUM(D121,#REF!,F121,#REF!,H121)</f>
        <v>#REF!</v>
      </c>
      <c r="Z121" s="140" t="e">
        <f aca="false">SUM(Y121,Z138,#REF!)</f>
        <v>#REF!</v>
      </c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</row>
    <row r="122" s="411" customFormat="true" ht="13.8" hidden="false" customHeight="false" outlineLevel="0" collapsed="false">
      <c r="A122" s="410"/>
      <c r="B122" s="530" t="s">
        <v>12</v>
      </c>
      <c r="C122" s="530"/>
      <c r="D122" s="367" t="n">
        <f aca="false">SUM(D116:D121)</f>
        <v>0</v>
      </c>
      <c r="E122" s="368" t="n">
        <f aca="false">SUM(E116:E121)</f>
        <v>0</v>
      </c>
      <c r="F122" s="229" t="n">
        <f aca="false">SUM(F116:F121)</f>
        <v>0</v>
      </c>
      <c r="G122" s="368" t="n">
        <f aca="false">SUM(G116:G121)</f>
        <v>0</v>
      </c>
      <c r="H122" s="229" t="n">
        <f aca="false">SUM(H116:H121)</f>
        <v>0</v>
      </c>
      <c r="I122" s="368" t="n">
        <f aca="false">SUM(I116:I121)</f>
        <v>0</v>
      </c>
      <c r="J122" s="231" t="str">
        <f aca="false">IF(H109&lt;&gt;SUM(D122,F122,H122),"Section 3.5.2 - The ""Total"" of ""Number of Requests"" should be equal to the ""Number of Requests"" of Section 3.5.1.","")</f>
        <v/>
      </c>
      <c r="K122" s="231"/>
      <c r="L122" s="231"/>
      <c r="M122" s="231"/>
      <c r="N122" s="231"/>
      <c r="O122" s="231"/>
      <c r="P122" s="231"/>
      <c r="Q122" s="231"/>
      <c r="R122" s="231"/>
      <c r="S122" s="231"/>
      <c r="T122" s="231"/>
      <c r="U122" s="231"/>
      <c r="V122" s="231"/>
      <c r="W122" s="231"/>
      <c r="X122" s="3"/>
      <c r="Y122" s="140" t="e">
        <f aca="false">SUM(D122,#REF!,F122,#REF!,H122)</f>
        <v>#REF!</v>
      </c>
      <c r="Z122" s="140" t="e">
        <f aca="false">SUM(Y122,Z139,#REF!)</f>
        <v>#REF!</v>
      </c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</row>
    <row r="123" s="411" customFormat="true" ht="13.8" hidden="false" customHeight="false" outlineLevel="0" collapsed="false">
      <c r="A123" s="494"/>
      <c r="B123" s="531"/>
      <c r="C123" s="531"/>
      <c r="D123" s="303"/>
      <c r="E123" s="303"/>
      <c r="F123" s="303"/>
      <c r="G123" s="303"/>
      <c r="H123" s="303"/>
      <c r="I123" s="303"/>
      <c r="J123" s="235" t="str">
        <f aca="false">IF(B109&lt;&gt;SUM(E122,G122,I122),"Section 3.5.2 - The total of Columns of ""Pages Processed"" should be equal to the ""Number of Pages Processed"" of Section 3.5.1.","")</f>
        <v/>
      </c>
      <c r="K123" s="303"/>
      <c r="L123" s="303"/>
      <c r="M123" s="303"/>
      <c r="N123" s="263"/>
      <c r="O123" s="263"/>
      <c r="P123" s="263"/>
      <c r="Q123" s="263"/>
      <c r="R123" s="263"/>
      <c r="S123" s="263"/>
      <c r="T123" s="263"/>
      <c r="U123" s="263"/>
      <c r="V123" s="263"/>
      <c r="W123" s="263"/>
      <c r="X123" s="263"/>
      <c r="Y123" s="263"/>
      <c r="Z123" s="263"/>
      <c r="AA123" s="263"/>
      <c r="AB123" s="3"/>
      <c r="AC123" s="91"/>
      <c r="AD123" s="91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</row>
    <row r="124" s="533" customFormat="true" ht="13.5" hidden="false" customHeight="false" outlineLevel="0" collapsed="false">
      <c r="A124" s="532"/>
      <c r="B124" s="236" t="s">
        <v>331</v>
      </c>
      <c r="C124" s="236"/>
      <c r="D124" s="236"/>
      <c r="E124" s="236"/>
      <c r="F124" s="236"/>
      <c r="G124" s="236"/>
      <c r="H124" s="236"/>
      <c r="I124" s="236"/>
      <c r="J124" s="236"/>
      <c r="K124" s="165"/>
      <c r="L124" s="165"/>
      <c r="M124" s="165"/>
      <c r="N124" s="165"/>
      <c r="P124" s="91"/>
      <c r="Q124" s="91"/>
      <c r="R124" s="91"/>
      <c r="S124" s="91"/>
      <c r="T124" s="91"/>
      <c r="U124" s="91"/>
    </row>
    <row r="125" s="411" customFormat="true" ht="13.8" hidden="false" customHeight="false" outlineLevel="0" collapsed="false">
      <c r="A125" s="494"/>
      <c r="B125" s="280"/>
      <c r="C125" s="280"/>
      <c r="D125" s="280"/>
      <c r="E125" s="280"/>
      <c r="F125" s="280"/>
      <c r="G125" s="280"/>
      <c r="H125" s="280"/>
      <c r="I125" s="280"/>
      <c r="J125" s="280"/>
      <c r="K125" s="280"/>
      <c r="L125" s="280"/>
      <c r="M125" s="280"/>
      <c r="N125" s="303"/>
      <c r="P125" s="280"/>
      <c r="Q125" s="280"/>
      <c r="R125" s="280"/>
      <c r="S125" s="280"/>
      <c r="T125" s="280"/>
      <c r="U125" s="280"/>
    </row>
    <row r="126" s="411" customFormat="true" ht="33" hidden="false" customHeight="true" outlineLevel="0" collapsed="false">
      <c r="A126" s="494" t="n">
        <v>12</v>
      </c>
      <c r="B126" s="237" t="s">
        <v>159</v>
      </c>
      <c r="C126" s="237"/>
      <c r="D126" s="237"/>
      <c r="E126" s="238" t="s">
        <v>160</v>
      </c>
      <c r="F126" s="238"/>
      <c r="G126" s="238"/>
      <c r="H126" s="239" t="s">
        <v>7</v>
      </c>
      <c r="I126" s="239"/>
      <c r="J126" s="239"/>
      <c r="K126" s="280"/>
      <c r="L126" s="280"/>
      <c r="M126" s="280"/>
      <c r="N126" s="303"/>
      <c r="P126" s="280"/>
      <c r="Q126" s="280"/>
      <c r="R126" s="280"/>
      <c r="S126" s="280"/>
      <c r="T126" s="280"/>
      <c r="U126" s="280"/>
    </row>
    <row r="127" s="411" customFormat="true" ht="13.5" hidden="false" customHeight="false" outlineLevel="0" collapsed="false">
      <c r="A127" s="494"/>
      <c r="B127" s="452" t="n">
        <v>0</v>
      </c>
      <c r="C127" s="452"/>
      <c r="D127" s="452"/>
      <c r="E127" s="453" t="n">
        <v>0</v>
      </c>
      <c r="F127" s="453"/>
      <c r="G127" s="453"/>
      <c r="H127" s="534" t="n">
        <v>0</v>
      </c>
      <c r="I127" s="534"/>
      <c r="J127" s="534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</row>
    <row r="128" s="411" customFormat="true" ht="13.8" hidden="false" customHeight="false" outlineLevel="0" collapsed="false">
      <c r="A128" s="494"/>
      <c r="B128" s="280"/>
      <c r="C128" s="280"/>
      <c r="D128" s="280"/>
      <c r="E128" s="280"/>
      <c r="F128" s="280"/>
      <c r="G128" s="280"/>
      <c r="H128" s="280"/>
      <c r="I128" s="280"/>
      <c r="J128" s="280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</row>
    <row r="129" s="533" customFormat="true" ht="14.25" hidden="false" customHeight="true" outlineLevel="0" collapsed="false">
      <c r="A129" s="532"/>
      <c r="B129" s="535" t="s">
        <v>332</v>
      </c>
      <c r="C129" s="535"/>
      <c r="D129" s="535"/>
      <c r="E129" s="535"/>
      <c r="F129" s="535"/>
      <c r="G129" s="535"/>
      <c r="H129" s="535"/>
      <c r="I129" s="535"/>
      <c r="J129" s="535"/>
      <c r="K129" s="535"/>
      <c r="L129" s="535"/>
      <c r="M129" s="535"/>
      <c r="N129" s="535"/>
      <c r="O129" s="535"/>
      <c r="P129" s="535"/>
      <c r="Q129" s="535"/>
      <c r="R129" s="535"/>
      <c r="S129" s="535"/>
      <c r="T129" s="91"/>
      <c r="U129" s="91"/>
    </row>
    <row r="130" s="533" customFormat="true" ht="13.8" hidden="false" customHeight="false" outlineLevel="0" collapsed="false">
      <c r="A130" s="532"/>
      <c r="B130" s="536"/>
      <c r="C130" s="536"/>
      <c r="D130" s="536"/>
      <c r="E130" s="536"/>
      <c r="F130" s="536"/>
      <c r="G130" s="536"/>
      <c r="H130" s="536"/>
      <c r="I130" s="536"/>
      <c r="J130" s="536"/>
      <c r="K130" s="536"/>
      <c r="L130" s="536"/>
      <c r="M130" s="536"/>
      <c r="N130" s="165"/>
      <c r="P130" s="91"/>
      <c r="Q130" s="91"/>
      <c r="R130" s="91"/>
      <c r="S130" s="91"/>
      <c r="T130" s="91"/>
      <c r="U130" s="91"/>
    </row>
    <row r="131" s="533" customFormat="true" ht="15" hidden="false" customHeight="true" outlineLevel="0" collapsed="false">
      <c r="A131" s="532" t="n">
        <v>13</v>
      </c>
      <c r="B131" s="537" t="s">
        <v>152</v>
      </c>
      <c r="C131" s="537"/>
      <c r="D131" s="537"/>
      <c r="E131" s="538" t="s">
        <v>333</v>
      </c>
      <c r="F131" s="538"/>
      <c r="G131" s="538"/>
      <c r="H131" s="539" t="s">
        <v>162</v>
      </c>
      <c r="I131" s="539"/>
      <c r="J131" s="91"/>
    </row>
    <row r="132" s="533" customFormat="true" ht="15.75" hidden="false" customHeight="true" outlineLevel="0" collapsed="false">
      <c r="A132" s="532"/>
      <c r="B132" s="537"/>
      <c r="C132" s="537"/>
      <c r="D132" s="537"/>
      <c r="E132" s="538"/>
      <c r="F132" s="538"/>
      <c r="G132" s="538"/>
      <c r="H132" s="539"/>
      <c r="I132" s="539"/>
      <c r="J132" s="91"/>
    </row>
    <row r="133" s="533" customFormat="true" ht="13.5" hidden="false" customHeight="false" outlineLevel="0" collapsed="false">
      <c r="A133" s="532"/>
      <c r="B133" s="121" t="s">
        <v>57</v>
      </c>
      <c r="C133" s="121"/>
      <c r="D133" s="121"/>
      <c r="E133" s="540" t="n">
        <v>0</v>
      </c>
      <c r="F133" s="540"/>
      <c r="G133" s="540"/>
      <c r="H133" s="541" t="n">
        <v>0</v>
      </c>
      <c r="I133" s="541"/>
      <c r="J133" s="459"/>
      <c r="K133" s="459"/>
      <c r="L133" s="459"/>
      <c r="M133" s="459"/>
      <c r="N133" s="459"/>
      <c r="O133" s="459"/>
      <c r="P133" s="459"/>
      <c r="Q133" s="459"/>
      <c r="R133" s="459"/>
      <c r="S133" s="459"/>
      <c r="T133" s="459"/>
      <c r="U133" s="459"/>
      <c r="V133" s="459"/>
      <c r="W133" s="459"/>
    </row>
    <row r="134" s="533" customFormat="true" ht="13.5" hidden="false" customHeight="true" outlineLevel="0" collapsed="false">
      <c r="A134" s="532"/>
      <c r="B134" s="129" t="s">
        <v>58</v>
      </c>
      <c r="C134" s="129"/>
      <c r="D134" s="129"/>
      <c r="E134" s="542" t="n">
        <v>0</v>
      </c>
      <c r="F134" s="542"/>
      <c r="G134" s="542"/>
      <c r="H134" s="543" t="n">
        <v>0</v>
      </c>
      <c r="I134" s="543"/>
      <c r="J134" s="459"/>
      <c r="K134" s="459"/>
      <c r="L134" s="459"/>
      <c r="M134" s="459"/>
      <c r="N134" s="459"/>
      <c r="O134" s="459"/>
      <c r="P134" s="459"/>
      <c r="Q134" s="459"/>
      <c r="R134" s="459"/>
      <c r="S134" s="459"/>
      <c r="T134" s="459"/>
      <c r="U134" s="459"/>
      <c r="V134" s="459"/>
      <c r="W134" s="459"/>
    </row>
    <row r="135" s="533" customFormat="true" ht="13.5" hidden="false" customHeight="false" outlineLevel="0" collapsed="false">
      <c r="A135" s="532"/>
      <c r="B135" s="125" t="s">
        <v>59</v>
      </c>
      <c r="C135" s="125"/>
      <c r="D135" s="125"/>
      <c r="E135" s="542" t="n">
        <v>0</v>
      </c>
      <c r="F135" s="542"/>
      <c r="G135" s="542"/>
      <c r="H135" s="543" t="n">
        <v>0</v>
      </c>
      <c r="I135" s="543"/>
      <c r="J135" s="459"/>
      <c r="K135" s="459"/>
      <c r="L135" s="459"/>
      <c r="M135" s="459"/>
      <c r="N135" s="459"/>
      <c r="O135" s="459"/>
      <c r="P135" s="459"/>
      <c r="Q135" s="459"/>
      <c r="R135" s="459"/>
      <c r="S135" s="459"/>
      <c r="T135" s="459"/>
      <c r="U135" s="459"/>
      <c r="V135" s="459"/>
      <c r="W135" s="459"/>
    </row>
    <row r="136" s="533" customFormat="true" ht="13.5" hidden="false" customHeight="false" outlineLevel="0" collapsed="false">
      <c r="A136" s="532"/>
      <c r="B136" s="125" t="s">
        <v>60</v>
      </c>
      <c r="C136" s="125"/>
      <c r="D136" s="125"/>
      <c r="E136" s="542" t="n">
        <v>0</v>
      </c>
      <c r="F136" s="542"/>
      <c r="G136" s="542"/>
      <c r="H136" s="543" t="n">
        <v>0</v>
      </c>
      <c r="I136" s="543"/>
      <c r="J136" s="459"/>
      <c r="K136" s="459"/>
      <c r="L136" s="459"/>
      <c r="M136" s="459"/>
      <c r="N136" s="459"/>
      <c r="O136" s="459"/>
      <c r="P136" s="459"/>
      <c r="Q136" s="459"/>
      <c r="R136" s="459"/>
      <c r="S136" s="459"/>
      <c r="T136" s="459"/>
      <c r="U136" s="459"/>
      <c r="V136" s="459"/>
      <c r="W136" s="459"/>
    </row>
    <row r="137" s="533" customFormat="true" ht="13.5" hidden="false" customHeight="true" outlineLevel="0" collapsed="false">
      <c r="A137" s="532"/>
      <c r="B137" s="129" t="s">
        <v>157</v>
      </c>
      <c r="C137" s="129"/>
      <c r="D137" s="129"/>
      <c r="E137" s="542" t="n">
        <v>0</v>
      </c>
      <c r="F137" s="542"/>
      <c r="G137" s="542"/>
      <c r="H137" s="543" t="n">
        <v>0</v>
      </c>
      <c r="I137" s="543"/>
      <c r="J137" s="459"/>
      <c r="K137" s="459"/>
      <c r="L137" s="459"/>
      <c r="M137" s="459"/>
      <c r="N137" s="459"/>
      <c r="O137" s="459"/>
      <c r="P137" s="459"/>
      <c r="Q137" s="459"/>
      <c r="R137" s="459"/>
      <c r="S137" s="459"/>
      <c r="T137" s="459"/>
      <c r="U137" s="459"/>
      <c r="V137" s="459"/>
      <c r="W137" s="459"/>
    </row>
    <row r="138" s="533" customFormat="true" ht="13.5" hidden="false" customHeight="true" outlineLevel="0" collapsed="false">
      <c r="A138" s="532"/>
      <c r="B138" s="544" t="s">
        <v>64</v>
      </c>
      <c r="C138" s="544"/>
      <c r="D138" s="544"/>
      <c r="E138" s="545" t="n">
        <v>0</v>
      </c>
      <c r="F138" s="545"/>
      <c r="G138" s="545"/>
      <c r="H138" s="546" t="n">
        <v>0</v>
      </c>
      <c r="I138" s="546"/>
      <c r="J138" s="459"/>
      <c r="K138" s="459"/>
      <c r="L138" s="459"/>
      <c r="M138" s="459"/>
      <c r="N138" s="459"/>
      <c r="O138" s="459"/>
      <c r="P138" s="459"/>
      <c r="Q138" s="459"/>
      <c r="R138" s="459"/>
      <c r="S138" s="459"/>
      <c r="T138" s="459"/>
      <c r="U138" s="459"/>
      <c r="V138" s="459"/>
      <c r="W138" s="459"/>
      <c r="X138" s="459"/>
      <c r="Y138" s="459"/>
    </row>
    <row r="139" s="533" customFormat="true" ht="16.5" hidden="false" customHeight="true" outlineLevel="0" collapsed="false">
      <c r="A139" s="532"/>
      <c r="B139" s="547" t="s">
        <v>12</v>
      </c>
      <c r="C139" s="547"/>
      <c r="D139" s="547"/>
      <c r="E139" s="548" t="n">
        <f aca="false">SUM(E133:G138)</f>
        <v>0</v>
      </c>
      <c r="F139" s="548"/>
      <c r="G139" s="548"/>
      <c r="H139" s="549" t="n">
        <f aca="false">SUM(H133:I138)</f>
        <v>0</v>
      </c>
      <c r="I139" s="549"/>
      <c r="J139" s="550" t="str">
        <f aca="false">IF(H127&lt;&gt;E139,"Section 3.5.4 - The ""Total"" of ""Number of Requests"" should be equal to the ""Number of Requests"" of Section 3.5.3.","")</f>
        <v/>
      </c>
      <c r="K139" s="551"/>
      <c r="L139" s="551"/>
      <c r="M139" s="551"/>
      <c r="N139" s="551"/>
      <c r="O139" s="551"/>
      <c r="P139" s="551"/>
      <c r="Q139" s="551"/>
      <c r="R139" s="551"/>
      <c r="S139" s="551"/>
      <c r="T139" s="551"/>
      <c r="U139" s="551"/>
      <c r="V139" s="551"/>
      <c r="W139" s="551"/>
    </row>
    <row r="140" s="411" customFormat="true" ht="13.8" hidden="false" customHeight="false" outlineLevel="0" collapsed="false">
      <c r="A140" s="494"/>
      <c r="B140" s="531"/>
      <c r="C140" s="531"/>
      <c r="D140" s="303"/>
      <c r="E140" s="303"/>
      <c r="F140" s="303"/>
      <c r="G140" s="303"/>
      <c r="H140" s="303"/>
      <c r="I140" s="303"/>
      <c r="J140" s="552" t="str">
        <f aca="false">IF(H139&lt;&gt;B127,"Section 3.5.4 - The total of Columns of ""Minutes Processed"" should be equal to the ""Number of Minutes Processed"" of Section 3.5.3.","")</f>
        <v/>
      </c>
      <c r="K140" s="553"/>
      <c r="L140" s="553"/>
      <c r="M140" s="553"/>
      <c r="N140" s="303"/>
      <c r="P140" s="280"/>
      <c r="Q140" s="280"/>
      <c r="R140" s="280"/>
      <c r="S140" s="280"/>
      <c r="T140" s="263"/>
      <c r="U140" s="263"/>
      <c r="V140" s="263"/>
      <c r="W140" s="263"/>
      <c r="X140" s="263"/>
      <c r="Y140" s="263"/>
      <c r="Z140" s="263"/>
      <c r="AA140" s="263"/>
      <c r="AB140" s="263"/>
      <c r="AC140" s="263"/>
      <c r="AD140" s="263"/>
      <c r="AE140" s="263"/>
      <c r="AF140" s="263"/>
      <c r="AG140" s="263"/>
      <c r="AJ140" s="554"/>
    </row>
    <row r="141" s="411" customFormat="true" ht="13.8" hidden="false" customHeight="false" outlineLevel="0" collapsed="false">
      <c r="A141" s="494"/>
      <c r="B141" s="236" t="s">
        <v>334</v>
      </c>
      <c r="C141" s="236"/>
      <c r="D141" s="236"/>
      <c r="E141" s="236"/>
      <c r="F141" s="236"/>
      <c r="G141" s="236"/>
      <c r="H141" s="236"/>
      <c r="I141" s="236"/>
      <c r="J141" s="236"/>
      <c r="K141" s="236"/>
      <c r="L141" s="236"/>
      <c r="M141" s="236"/>
      <c r="O141" s="280"/>
      <c r="P141" s="280"/>
      <c r="Q141" s="280"/>
      <c r="R141" s="280"/>
      <c r="S141" s="280"/>
      <c r="T141" s="555"/>
      <c r="U141" s="555"/>
      <c r="V141" s="555"/>
      <c r="W141" s="555"/>
      <c r="X141" s="555"/>
      <c r="Y141" s="555"/>
      <c r="Z141" s="555"/>
      <c r="AA141" s="555"/>
    </row>
    <row r="142" s="411" customFormat="true" ht="13.8" hidden="false" customHeight="false" outlineLevel="0" collapsed="false">
      <c r="A142" s="494"/>
      <c r="B142" s="280"/>
      <c r="C142" s="280"/>
      <c r="D142" s="280"/>
      <c r="E142" s="280"/>
      <c r="F142" s="280"/>
      <c r="G142" s="280"/>
      <c r="H142" s="280"/>
      <c r="I142" s="280"/>
      <c r="J142" s="280"/>
      <c r="K142" s="280"/>
      <c r="L142" s="280"/>
      <c r="M142" s="280"/>
      <c r="O142" s="280"/>
      <c r="P142" s="280"/>
      <c r="Q142" s="280"/>
      <c r="R142" s="280"/>
      <c r="S142" s="280"/>
      <c r="T142" s="280"/>
    </row>
    <row r="143" s="411" customFormat="true" ht="30" hidden="false" customHeight="true" outlineLevel="0" collapsed="false">
      <c r="A143" s="494" t="n">
        <v>14</v>
      </c>
      <c r="B143" s="556" t="s">
        <v>152</v>
      </c>
      <c r="C143" s="556"/>
      <c r="D143" s="237" t="s">
        <v>165</v>
      </c>
      <c r="E143" s="237"/>
      <c r="F143" s="238" t="s">
        <v>166</v>
      </c>
      <c r="G143" s="238"/>
      <c r="H143" s="238" t="s">
        <v>335</v>
      </c>
      <c r="I143" s="238"/>
      <c r="J143" s="496" t="s">
        <v>142</v>
      </c>
      <c r="K143" s="496"/>
      <c r="L143" s="392" t="s">
        <v>12</v>
      </c>
      <c r="M143" s="392"/>
      <c r="O143" s="280"/>
      <c r="P143" s="280"/>
      <c r="Q143" s="280"/>
      <c r="R143" s="280"/>
      <c r="S143" s="280"/>
      <c r="T143" s="280"/>
    </row>
    <row r="144" s="411" customFormat="true" ht="13.8" hidden="false" customHeight="true" outlineLevel="0" collapsed="false">
      <c r="A144" s="494"/>
      <c r="B144" s="557" t="s">
        <v>57</v>
      </c>
      <c r="C144" s="557"/>
      <c r="D144" s="344" t="n">
        <v>0</v>
      </c>
      <c r="E144" s="344"/>
      <c r="F144" s="345" t="n">
        <v>0</v>
      </c>
      <c r="G144" s="345"/>
      <c r="H144" s="345" t="n">
        <v>0</v>
      </c>
      <c r="I144" s="345"/>
      <c r="J144" s="346" t="n">
        <v>0</v>
      </c>
      <c r="K144" s="346"/>
      <c r="L144" s="347" t="n">
        <f aca="false">SUM(D144:K144)</f>
        <v>0</v>
      </c>
      <c r="M144" s="347"/>
      <c r="O144" s="280"/>
      <c r="P144" s="280"/>
      <c r="Q144" s="280"/>
      <c r="R144" s="280"/>
      <c r="S144" s="280"/>
      <c r="T144" s="280"/>
    </row>
    <row r="145" s="411" customFormat="true" ht="13.8" hidden="false" customHeight="true" outlineLevel="0" collapsed="false">
      <c r="A145" s="494"/>
      <c r="B145" s="558" t="s">
        <v>58</v>
      </c>
      <c r="C145" s="558"/>
      <c r="D145" s="271" t="n">
        <v>0</v>
      </c>
      <c r="E145" s="271"/>
      <c r="F145" s="272" t="n">
        <v>0</v>
      </c>
      <c r="G145" s="272"/>
      <c r="H145" s="272" t="n">
        <v>0</v>
      </c>
      <c r="I145" s="272"/>
      <c r="J145" s="348" t="n">
        <v>0</v>
      </c>
      <c r="K145" s="348"/>
      <c r="L145" s="273" t="n">
        <f aca="false">SUM(D145:K145)</f>
        <v>0</v>
      </c>
      <c r="M145" s="273"/>
      <c r="O145" s="280"/>
      <c r="P145" s="280"/>
      <c r="Q145" s="280"/>
      <c r="R145" s="280"/>
      <c r="S145" s="280"/>
      <c r="T145" s="280"/>
      <c r="V145" s="280"/>
      <c r="W145" s="280"/>
      <c r="X145" s="280"/>
      <c r="Y145" s="280"/>
      <c r="Z145" s="280"/>
      <c r="AA145" s="280"/>
      <c r="AB145" s="280"/>
      <c r="AC145" s="280"/>
      <c r="AD145" s="280"/>
      <c r="AE145" s="280"/>
    </row>
    <row r="146" s="411" customFormat="true" ht="13.8" hidden="false" customHeight="true" outlineLevel="0" collapsed="false">
      <c r="A146" s="494"/>
      <c r="B146" s="558" t="s">
        <v>59</v>
      </c>
      <c r="C146" s="558"/>
      <c r="D146" s="271" t="n">
        <v>0</v>
      </c>
      <c r="E146" s="271"/>
      <c r="F146" s="272" t="n">
        <v>0</v>
      </c>
      <c r="G146" s="272"/>
      <c r="H146" s="272" t="n">
        <v>0</v>
      </c>
      <c r="I146" s="272"/>
      <c r="J146" s="348" t="n">
        <v>0</v>
      </c>
      <c r="K146" s="348"/>
      <c r="L146" s="273" t="n">
        <f aca="false">SUM(D146:K146)</f>
        <v>0</v>
      </c>
      <c r="M146" s="273"/>
      <c r="O146" s="280"/>
      <c r="P146" s="280"/>
      <c r="Q146" s="280"/>
      <c r="R146" s="280"/>
      <c r="S146" s="280"/>
      <c r="T146" s="280"/>
      <c r="V146" s="280"/>
      <c r="W146" s="280"/>
      <c r="X146" s="280"/>
      <c r="Y146" s="280"/>
      <c r="Z146" s="280"/>
      <c r="AA146" s="280"/>
      <c r="AB146" s="280"/>
      <c r="AC146" s="280"/>
      <c r="AD146" s="280"/>
      <c r="AE146" s="280"/>
    </row>
    <row r="147" s="411" customFormat="true" ht="13.8" hidden="false" customHeight="true" outlineLevel="0" collapsed="false">
      <c r="A147" s="494"/>
      <c r="B147" s="559" t="s">
        <v>60</v>
      </c>
      <c r="C147" s="559"/>
      <c r="D147" s="271" t="n">
        <v>0</v>
      </c>
      <c r="E147" s="271"/>
      <c r="F147" s="272" t="n">
        <v>0</v>
      </c>
      <c r="G147" s="272"/>
      <c r="H147" s="272" t="n">
        <v>0</v>
      </c>
      <c r="I147" s="272"/>
      <c r="J147" s="296" t="n">
        <v>0</v>
      </c>
      <c r="K147" s="296"/>
      <c r="L147" s="273" t="n">
        <f aca="false">SUM(D147:K147)</f>
        <v>0</v>
      </c>
      <c r="M147" s="273"/>
      <c r="O147" s="280"/>
      <c r="P147" s="280"/>
      <c r="Q147" s="280"/>
      <c r="R147" s="280"/>
      <c r="S147" s="280"/>
      <c r="T147" s="280"/>
      <c r="V147" s="280"/>
      <c r="W147" s="280"/>
      <c r="X147" s="280"/>
      <c r="Y147" s="280"/>
      <c r="Z147" s="280"/>
      <c r="AA147" s="280"/>
      <c r="AB147" s="280"/>
      <c r="AC147" s="280"/>
      <c r="AD147" s="280"/>
      <c r="AE147" s="280"/>
    </row>
    <row r="148" customFormat="false" ht="27" hidden="false" customHeight="true" outlineLevel="0" collapsed="false">
      <c r="A148" s="494"/>
      <c r="B148" s="558" t="s">
        <v>63</v>
      </c>
      <c r="C148" s="558"/>
      <c r="D148" s="271" t="n">
        <v>0</v>
      </c>
      <c r="E148" s="271"/>
      <c r="F148" s="272" t="n">
        <v>0</v>
      </c>
      <c r="G148" s="272"/>
      <c r="H148" s="272" t="n">
        <v>0</v>
      </c>
      <c r="I148" s="272"/>
      <c r="J148" s="348" t="n">
        <v>0</v>
      </c>
      <c r="K148" s="348"/>
      <c r="L148" s="273" t="n">
        <f aca="false">SUM(D148:K148)</f>
        <v>0</v>
      </c>
      <c r="M148" s="273"/>
    </row>
    <row r="149" customFormat="false" ht="27" hidden="false" customHeight="true" outlineLevel="0" collapsed="false">
      <c r="A149" s="494"/>
      <c r="B149" s="560" t="s">
        <v>64</v>
      </c>
      <c r="C149" s="560"/>
      <c r="D149" s="298" t="n">
        <v>0</v>
      </c>
      <c r="E149" s="298"/>
      <c r="F149" s="349" t="n">
        <v>0</v>
      </c>
      <c r="G149" s="349"/>
      <c r="H149" s="349" t="n">
        <v>0</v>
      </c>
      <c r="I149" s="349"/>
      <c r="J149" s="350" t="n">
        <v>0</v>
      </c>
      <c r="K149" s="350"/>
      <c r="L149" s="300" t="n">
        <f aca="false">SUM(D149:K149)</f>
        <v>0</v>
      </c>
      <c r="M149" s="300"/>
    </row>
    <row r="150" customFormat="false" ht="15.75" hidden="false" customHeight="true" outlineLevel="0" collapsed="false">
      <c r="A150" s="494"/>
      <c r="B150" s="561" t="s">
        <v>12</v>
      </c>
      <c r="C150" s="561"/>
      <c r="D150" s="352" t="n">
        <f aca="false">SUM(D144:E149)</f>
        <v>0</v>
      </c>
      <c r="E150" s="352"/>
      <c r="F150" s="353" t="n">
        <f aca="false">SUM(F144:G149)</f>
        <v>0</v>
      </c>
      <c r="G150" s="353"/>
      <c r="H150" s="353" t="n">
        <f aca="false">SUM(H144:I149)</f>
        <v>0</v>
      </c>
      <c r="I150" s="353"/>
      <c r="J150" s="354" t="n">
        <f aca="false">SUM(J144:K149)</f>
        <v>0</v>
      </c>
      <c r="K150" s="354"/>
      <c r="L150" s="355" t="n">
        <f aca="false">SUM(L144:M149)</f>
        <v>0</v>
      </c>
      <c r="M150" s="355"/>
    </row>
    <row r="151" customFormat="false" ht="13.8" hidden="false" customHeight="false" outlineLevel="0" collapsed="false"/>
    <row r="152" customFormat="false" ht="13.8" hidden="false" customHeight="false" outlineLevel="0" collapsed="false">
      <c r="B152" s="61" t="s">
        <v>336</v>
      </c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</row>
    <row r="153" customFormat="false" ht="13.8" hidden="false" customHeight="false" outlineLevel="0" collapsed="false">
      <c r="B153" s="511"/>
    </row>
    <row r="154" customFormat="false" ht="14.25" hidden="false" customHeight="true" outlineLevel="0" collapsed="false">
      <c r="B154" s="196" t="s">
        <v>337</v>
      </c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</row>
    <row r="155" customFormat="false" ht="13.5" hidden="false" customHeight="true" outlineLevel="0" collapsed="false">
      <c r="B155" s="511"/>
    </row>
    <row r="156" customFormat="false" ht="13.8" hidden="false" customHeight="true" outlineLevel="0" collapsed="false">
      <c r="A156" s="410" t="n">
        <v>15</v>
      </c>
      <c r="B156" s="562" t="s">
        <v>338</v>
      </c>
      <c r="C156" s="562"/>
      <c r="D156" s="562"/>
      <c r="E156" s="562"/>
      <c r="F156" s="563" t="n">
        <f aca="false">I20-B167</f>
        <v>0</v>
      </c>
      <c r="G156" s="563"/>
      <c r="H156" s="564"/>
    </row>
    <row r="157" customFormat="false" ht="15" hidden="false" customHeight="true" outlineLevel="0" collapsed="false">
      <c r="B157" s="562"/>
      <c r="C157" s="562"/>
      <c r="D157" s="562"/>
      <c r="E157" s="562"/>
      <c r="F157" s="563"/>
      <c r="G157" s="563"/>
      <c r="H157" s="564"/>
      <c r="O157" s="431"/>
    </row>
    <row r="158" customFormat="false" ht="18" hidden="false" customHeight="true" outlineLevel="0" collapsed="false">
      <c r="B158" s="565" t="s">
        <v>170</v>
      </c>
      <c r="C158" s="565"/>
      <c r="D158" s="565"/>
      <c r="E158" s="565"/>
      <c r="F158" s="566" t="str">
        <f aca="false">IF(I20=0,"0",(F156/I20)*100)</f>
        <v>0</v>
      </c>
      <c r="G158" s="566"/>
      <c r="H158" s="567"/>
      <c r="O158" s="431"/>
    </row>
    <row r="159" customFormat="false" ht="12.75" hidden="false" customHeight="true" outlineLevel="0" collapsed="false">
      <c r="B159" s="565"/>
      <c r="C159" s="565"/>
      <c r="D159" s="565"/>
      <c r="E159" s="565"/>
      <c r="F159" s="566"/>
      <c r="G159" s="566"/>
      <c r="H159" s="567"/>
      <c r="O159" s="431"/>
    </row>
    <row r="160" customFormat="false" ht="15.75" hidden="false" customHeight="true" outlineLevel="0" collapsed="false">
      <c r="B160" s="511"/>
      <c r="F160" s="568"/>
      <c r="G160" s="568"/>
      <c r="H160" s="568"/>
      <c r="O160" s="431"/>
    </row>
    <row r="161" customFormat="false" ht="13.5" hidden="false" customHeight="false" outlineLevel="0" collapsed="false">
      <c r="B161" s="569" t="s">
        <v>339</v>
      </c>
      <c r="C161" s="569"/>
      <c r="D161" s="569"/>
      <c r="E161" s="569"/>
      <c r="F161" s="569"/>
      <c r="G161" s="569"/>
      <c r="H161" s="569"/>
      <c r="I161" s="569"/>
      <c r="J161" s="569"/>
      <c r="K161" s="569"/>
      <c r="L161" s="569"/>
      <c r="M161" s="569"/>
      <c r="N161" s="570"/>
      <c r="O161" s="431"/>
    </row>
    <row r="162" customFormat="false" ht="13.5" hidden="false" customHeight="false" outlineLevel="0" collapsed="false">
      <c r="B162" s="571"/>
      <c r="C162" s="370"/>
      <c r="D162" s="370"/>
      <c r="E162" s="370"/>
      <c r="F162" s="370"/>
      <c r="G162" s="391"/>
      <c r="H162" s="391"/>
      <c r="I162" s="391"/>
      <c r="J162" s="370"/>
      <c r="K162" s="370"/>
      <c r="L162" s="370"/>
      <c r="M162" s="370"/>
      <c r="N162" s="570"/>
      <c r="O162" s="431"/>
    </row>
    <row r="163" customFormat="false" ht="13.5" hidden="false" customHeight="false" outlineLevel="0" collapsed="false">
      <c r="B163" s="572" t="s">
        <v>340</v>
      </c>
      <c r="C163" s="572"/>
      <c r="D163" s="572"/>
      <c r="E163" s="572"/>
      <c r="F163" s="572"/>
      <c r="G163" s="572"/>
      <c r="H163" s="572"/>
      <c r="I163" s="572"/>
      <c r="J163" s="572"/>
      <c r="K163" s="572"/>
      <c r="L163" s="572"/>
      <c r="M163" s="572"/>
      <c r="N163" s="431"/>
      <c r="O163" s="280"/>
    </row>
    <row r="164" customFormat="false" ht="14.25" hidden="false" customHeight="true" outlineLevel="0" collapsed="false">
      <c r="N164" s="431"/>
      <c r="O164" s="280"/>
    </row>
    <row r="165" customFormat="false" ht="14.25" hidden="false" customHeight="true" outlineLevel="0" collapsed="false">
      <c r="A165" s="410" t="n">
        <v>16</v>
      </c>
      <c r="B165" s="573" t="s">
        <v>341</v>
      </c>
      <c r="C165" s="573"/>
      <c r="D165" s="573"/>
      <c r="E165" s="573"/>
      <c r="F165" s="574" t="s">
        <v>174</v>
      </c>
      <c r="G165" s="574"/>
      <c r="H165" s="574"/>
      <c r="I165" s="574"/>
      <c r="J165" s="574"/>
      <c r="K165" s="574"/>
      <c r="L165" s="574"/>
      <c r="M165" s="574"/>
      <c r="N165" s="303"/>
      <c r="O165" s="431"/>
      <c r="V165" s="416"/>
      <c r="W165" s="416"/>
      <c r="X165" s="416"/>
      <c r="Y165" s="416"/>
      <c r="Z165" s="416"/>
      <c r="AA165" s="416"/>
      <c r="AB165" s="416"/>
      <c r="AC165" s="416"/>
      <c r="AD165" s="416"/>
      <c r="AE165" s="416"/>
    </row>
    <row r="166" customFormat="false" ht="38.25" hidden="false" customHeight="true" outlineLevel="0" collapsed="false">
      <c r="B166" s="573"/>
      <c r="C166" s="573"/>
      <c r="D166" s="573"/>
      <c r="E166" s="573"/>
      <c r="F166" s="575" t="s">
        <v>342</v>
      </c>
      <c r="G166" s="575"/>
      <c r="H166" s="576" t="s">
        <v>176</v>
      </c>
      <c r="I166" s="576"/>
      <c r="J166" s="576" t="s">
        <v>177</v>
      </c>
      <c r="K166" s="576"/>
      <c r="L166" s="577" t="s">
        <v>142</v>
      </c>
      <c r="M166" s="577"/>
      <c r="O166" s="431"/>
    </row>
    <row r="167" customFormat="false" ht="13.5" hidden="false" customHeight="true" outlineLevel="0" collapsed="false">
      <c r="B167" s="292" t="n">
        <f aca="false">SUM(F167:M167)</f>
        <v>0</v>
      </c>
      <c r="C167" s="292"/>
      <c r="D167" s="292"/>
      <c r="E167" s="292"/>
      <c r="F167" s="578" t="n">
        <v>0</v>
      </c>
      <c r="G167" s="578"/>
      <c r="H167" s="579" t="n">
        <v>0</v>
      </c>
      <c r="I167" s="579"/>
      <c r="J167" s="579" t="n">
        <v>0</v>
      </c>
      <c r="K167" s="579"/>
      <c r="L167" s="580" t="n">
        <v>0</v>
      </c>
      <c r="M167" s="580"/>
      <c r="O167" s="431"/>
    </row>
    <row r="168" s="416" customFormat="true" ht="13.8" hidden="false" customHeight="false" outlineLevel="0" collapsed="false">
      <c r="A168" s="410"/>
      <c r="B168" s="303"/>
      <c r="C168" s="303"/>
      <c r="D168" s="303"/>
      <c r="E168" s="303"/>
      <c r="F168" s="303"/>
      <c r="G168" s="303"/>
      <c r="H168" s="303"/>
      <c r="I168" s="303"/>
      <c r="J168" s="303"/>
      <c r="K168" s="303"/>
      <c r="L168" s="303"/>
      <c r="M168" s="303"/>
      <c r="N168" s="581"/>
      <c r="V168" s="280"/>
      <c r="W168" s="280"/>
      <c r="X168" s="280"/>
      <c r="Y168" s="280"/>
      <c r="Z168" s="280"/>
      <c r="AA168" s="280"/>
      <c r="AB168" s="280"/>
      <c r="AC168" s="280"/>
      <c r="AD168" s="280"/>
      <c r="AE168" s="280"/>
    </row>
    <row r="169" customFormat="false" ht="15.75" hidden="false" customHeight="true" outlineLevel="0" collapsed="false">
      <c r="B169" s="572" t="s">
        <v>343</v>
      </c>
      <c r="C169" s="572"/>
      <c r="D169" s="572"/>
      <c r="E169" s="572"/>
      <c r="F169" s="572"/>
      <c r="G169" s="572"/>
      <c r="H169" s="572"/>
      <c r="I169" s="572"/>
      <c r="J169" s="572"/>
      <c r="K169" s="572"/>
      <c r="L169" s="572"/>
      <c r="M169" s="572"/>
      <c r="N169" s="431"/>
      <c r="O169" s="280"/>
    </row>
    <row r="170" customFormat="false" ht="16.5" hidden="false" customHeight="true" outlineLevel="0" collapsed="false">
      <c r="N170" s="431"/>
      <c r="O170" s="280"/>
    </row>
    <row r="171" s="280" customFormat="true" ht="41.25" hidden="false" customHeight="true" outlineLevel="0" collapsed="false">
      <c r="A171" s="410" t="n">
        <v>17</v>
      </c>
      <c r="B171" s="392" t="s">
        <v>179</v>
      </c>
      <c r="C171" s="392"/>
      <c r="D171" s="392"/>
      <c r="E171" s="237" t="s">
        <v>180</v>
      </c>
      <c r="F171" s="237"/>
      <c r="G171" s="237"/>
      <c r="H171" s="498" t="s">
        <v>344</v>
      </c>
      <c r="I171" s="498"/>
      <c r="J171" s="498"/>
      <c r="K171" s="392" t="s">
        <v>12</v>
      </c>
      <c r="L171" s="392"/>
      <c r="M171" s="392"/>
      <c r="N171" s="431"/>
    </row>
    <row r="172" customFormat="false" ht="14.25" hidden="false" customHeight="true" outlineLevel="0" collapsed="false">
      <c r="B172" s="469" t="s">
        <v>182</v>
      </c>
      <c r="C172" s="469"/>
      <c r="D172" s="469"/>
      <c r="E172" s="582" t="n">
        <v>0</v>
      </c>
      <c r="F172" s="582"/>
      <c r="G172" s="582"/>
      <c r="H172" s="295" t="n">
        <v>0</v>
      </c>
      <c r="I172" s="295"/>
      <c r="J172" s="295"/>
      <c r="K172" s="270" t="n">
        <f aca="false">SUM(E172:J172)</f>
        <v>0</v>
      </c>
      <c r="L172" s="270"/>
      <c r="M172" s="270"/>
      <c r="N172" s="431"/>
      <c r="O172" s="280"/>
    </row>
    <row r="173" customFormat="false" ht="15.75" hidden="false" customHeight="true" outlineLevel="0" collapsed="false">
      <c r="B173" s="474" t="s">
        <v>183</v>
      </c>
      <c r="C173" s="474"/>
      <c r="D173" s="474"/>
      <c r="E173" s="583" t="n">
        <v>0</v>
      </c>
      <c r="F173" s="583"/>
      <c r="G173" s="583"/>
      <c r="H173" s="296" t="n">
        <v>0</v>
      </c>
      <c r="I173" s="296"/>
      <c r="J173" s="296"/>
      <c r="K173" s="273" t="n">
        <f aca="false">SUM(E173:J173)</f>
        <v>0</v>
      </c>
      <c r="L173" s="273"/>
      <c r="M173" s="273"/>
      <c r="N173" s="431"/>
      <c r="O173" s="280"/>
    </row>
    <row r="174" customFormat="false" ht="15.75" hidden="false" customHeight="true" outlineLevel="0" collapsed="false">
      <c r="B174" s="474" t="s">
        <v>184</v>
      </c>
      <c r="C174" s="474"/>
      <c r="D174" s="474"/>
      <c r="E174" s="583" t="n">
        <v>0</v>
      </c>
      <c r="F174" s="583"/>
      <c r="G174" s="583"/>
      <c r="H174" s="296" t="n">
        <v>0</v>
      </c>
      <c r="I174" s="296"/>
      <c r="J174" s="296"/>
      <c r="K174" s="273" t="n">
        <f aca="false">SUM(E174:J174)</f>
        <v>0</v>
      </c>
      <c r="L174" s="273"/>
      <c r="M174" s="273"/>
      <c r="N174" s="411"/>
      <c r="O174" s="280"/>
    </row>
    <row r="175" customFormat="false" ht="18" hidden="false" customHeight="true" outlineLevel="0" collapsed="false">
      <c r="B175" s="474" t="s">
        <v>185</v>
      </c>
      <c r="C175" s="474"/>
      <c r="D175" s="474"/>
      <c r="E175" s="583" t="n">
        <v>0</v>
      </c>
      <c r="F175" s="583"/>
      <c r="G175" s="583"/>
      <c r="H175" s="348" t="n">
        <v>0</v>
      </c>
      <c r="I175" s="348"/>
      <c r="J175" s="348"/>
      <c r="K175" s="273" t="n">
        <f aca="false">SUM(E175:J175)</f>
        <v>0</v>
      </c>
      <c r="L175" s="273"/>
      <c r="M175" s="273"/>
      <c r="N175" s="411"/>
      <c r="O175" s="280"/>
    </row>
    <row r="176" customFormat="false" ht="18.75" hidden="false" customHeight="true" outlineLevel="0" collapsed="false">
      <c r="B176" s="474" t="s">
        <v>186</v>
      </c>
      <c r="C176" s="474"/>
      <c r="D176" s="474"/>
      <c r="E176" s="583" t="n">
        <v>0</v>
      </c>
      <c r="F176" s="583"/>
      <c r="G176" s="583"/>
      <c r="H176" s="348" t="n">
        <v>0</v>
      </c>
      <c r="I176" s="348"/>
      <c r="J176" s="348"/>
      <c r="K176" s="273" t="n">
        <f aca="false">SUM(E176:J176)</f>
        <v>0</v>
      </c>
      <c r="L176" s="273"/>
      <c r="M176" s="273"/>
      <c r="N176" s="411"/>
      <c r="O176" s="280"/>
    </row>
    <row r="177" customFormat="false" ht="18.75" hidden="false" customHeight="true" outlineLevel="0" collapsed="false">
      <c r="B177" s="474" t="s">
        <v>187</v>
      </c>
      <c r="C177" s="474"/>
      <c r="D177" s="474"/>
      <c r="E177" s="583" t="n">
        <v>0</v>
      </c>
      <c r="F177" s="583"/>
      <c r="G177" s="583"/>
      <c r="H177" s="348" t="n">
        <v>0</v>
      </c>
      <c r="I177" s="348"/>
      <c r="J177" s="348"/>
      <c r="K177" s="273" t="n">
        <f aca="false">SUM(E177:J177)</f>
        <v>0</v>
      </c>
      <c r="L177" s="273"/>
      <c r="M177" s="273"/>
      <c r="N177" s="411"/>
      <c r="O177" s="280"/>
    </row>
    <row r="178" customFormat="false" ht="18.75" hidden="false" customHeight="true" outlineLevel="0" collapsed="false">
      <c r="B178" s="584" t="s">
        <v>188</v>
      </c>
      <c r="C178" s="584"/>
      <c r="D178" s="584"/>
      <c r="E178" s="357" t="n">
        <v>0</v>
      </c>
      <c r="F178" s="357"/>
      <c r="G178" s="357"/>
      <c r="H178" s="350" t="n">
        <v>0</v>
      </c>
      <c r="I178" s="350"/>
      <c r="J178" s="350"/>
      <c r="K178" s="300" t="n">
        <f aca="false">SUM(E178:J178)</f>
        <v>0</v>
      </c>
      <c r="L178" s="300"/>
      <c r="M178" s="300"/>
      <c r="N178" s="411"/>
      <c r="O178" s="280"/>
    </row>
    <row r="179" customFormat="false" ht="18.75" hidden="false" customHeight="true" outlineLevel="0" collapsed="false">
      <c r="B179" s="561" t="s">
        <v>12</v>
      </c>
      <c r="C179" s="561"/>
      <c r="D179" s="561"/>
      <c r="E179" s="352" t="n">
        <f aca="false">SUM(E172:G178)</f>
        <v>0</v>
      </c>
      <c r="F179" s="352"/>
      <c r="G179" s="352"/>
      <c r="H179" s="354" t="n">
        <f aca="false">SUM(H172:J178)</f>
        <v>0</v>
      </c>
      <c r="I179" s="354"/>
      <c r="J179" s="354"/>
      <c r="K179" s="355" t="n">
        <f aca="false">SUM(K172:M178)</f>
        <v>0</v>
      </c>
      <c r="L179" s="355"/>
      <c r="M179" s="355"/>
      <c r="N179" s="231" t="str">
        <f aca="false">IF(K179&lt;&gt;B167,"Section 3.7.2 - Total should equal ""Number of requests closed past the legislated timelines"" of Section 3.7.1","")</f>
        <v/>
      </c>
      <c r="O179" s="231"/>
      <c r="P179" s="231"/>
      <c r="Q179" s="231"/>
      <c r="R179" s="231"/>
      <c r="S179" s="231"/>
      <c r="T179" s="231"/>
      <c r="U179" s="231"/>
      <c r="V179" s="231"/>
      <c r="W179" s="231"/>
      <c r="X179" s="231"/>
      <c r="Y179" s="231"/>
      <c r="Z179" s="231"/>
      <c r="AA179" s="231"/>
    </row>
    <row r="180" customFormat="false" ht="18.75" hidden="false" customHeight="true" outlineLevel="0" collapsed="false">
      <c r="B180" s="531"/>
      <c r="C180" s="531"/>
      <c r="D180" s="531"/>
      <c r="E180" s="303"/>
      <c r="F180" s="303"/>
      <c r="G180" s="303"/>
      <c r="H180" s="303"/>
      <c r="I180" s="303"/>
      <c r="J180" s="303"/>
      <c r="K180" s="303"/>
      <c r="L180" s="303"/>
      <c r="M180" s="303"/>
      <c r="N180" s="411"/>
      <c r="O180" s="280"/>
    </row>
    <row r="181" s="411" customFormat="true" ht="13.5" hidden="false" customHeight="false" outlineLevel="0" collapsed="false">
      <c r="A181" s="494"/>
      <c r="B181" s="585"/>
      <c r="C181" s="370"/>
      <c r="D181" s="370"/>
      <c r="E181" s="370"/>
      <c r="F181" s="370"/>
      <c r="G181" s="370"/>
      <c r="H181" s="370"/>
      <c r="I181" s="370"/>
      <c r="J181" s="370"/>
      <c r="K181" s="370"/>
      <c r="L181" s="370"/>
      <c r="M181" s="370"/>
      <c r="N181" s="280"/>
      <c r="P181" s="280"/>
      <c r="Q181" s="280"/>
      <c r="R181" s="280"/>
      <c r="S181" s="280"/>
      <c r="T181" s="280"/>
      <c r="U181" s="280"/>
    </row>
    <row r="182" s="411" customFormat="true" ht="13.5" hidden="false" customHeight="false" outlineLevel="0" collapsed="false">
      <c r="A182" s="494"/>
      <c r="B182" s="280"/>
      <c r="C182" s="280"/>
      <c r="D182" s="280"/>
      <c r="E182" s="280"/>
      <c r="F182" s="280"/>
      <c r="G182" s="280"/>
      <c r="H182" s="280"/>
      <c r="I182" s="280"/>
      <c r="J182" s="280"/>
      <c r="K182" s="280"/>
      <c r="L182" s="280"/>
      <c r="M182" s="280"/>
      <c r="O182" s="280"/>
      <c r="P182" s="280"/>
      <c r="Q182" s="280"/>
      <c r="R182" s="280"/>
      <c r="S182" s="280"/>
      <c r="T182" s="280"/>
    </row>
    <row r="183" s="411" customFormat="true" ht="18" hidden="false" customHeight="true" outlineLevel="0" collapsed="false">
      <c r="A183" s="494"/>
      <c r="B183" s="586" t="s">
        <v>345</v>
      </c>
      <c r="C183" s="586"/>
      <c r="D183" s="586"/>
      <c r="E183" s="586"/>
      <c r="F183" s="586"/>
      <c r="G183" s="586"/>
      <c r="H183" s="586"/>
      <c r="I183" s="586"/>
      <c r="J183" s="586"/>
      <c r="K183" s="586"/>
      <c r="L183" s="586"/>
      <c r="M183" s="586"/>
      <c r="N183" s="586"/>
      <c r="O183" s="586"/>
      <c r="P183" s="586"/>
      <c r="Q183" s="586"/>
      <c r="R183" s="586"/>
      <c r="S183" s="586"/>
      <c r="T183" s="586"/>
    </row>
    <row r="184" s="411" customFormat="true" ht="13.8" hidden="false" customHeight="false" outlineLevel="0" collapsed="false">
      <c r="A184" s="494"/>
      <c r="B184" s="280"/>
      <c r="C184" s="280"/>
      <c r="D184" s="280"/>
      <c r="E184" s="280"/>
      <c r="F184" s="280"/>
      <c r="G184" s="280"/>
      <c r="H184" s="280"/>
      <c r="I184" s="280"/>
      <c r="J184" s="280"/>
      <c r="K184" s="280"/>
      <c r="L184" s="280"/>
      <c r="M184" s="280"/>
      <c r="N184" s="280"/>
      <c r="P184" s="280"/>
      <c r="Q184" s="280"/>
      <c r="R184" s="280"/>
      <c r="S184" s="280"/>
      <c r="T184" s="280"/>
      <c r="U184" s="280"/>
    </row>
    <row r="185" s="411" customFormat="true" ht="15" hidden="false" customHeight="true" outlineLevel="0" collapsed="false">
      <c r="A185" s="494" t="n">
        <v>18</v>
      </c>
      <c r="B185" s="237" t="s">
        <v>346</v>
      </c>
      <c r="C185" s="237"/>
      <c r="D185" s="237"/>
      <c r="E185" s="496" t="s">
        <v>347</v>
      </c>
      <c r="F185" s="496"/>
      <c r="G185" s="496"/>
      <c r="H185" s="498" t="s">
        <v>348</v>
      </c>
      <c r="I185" s="498"/>
      <c r="J185" s="498"/>
      <c r="K185" s="392" t="s">
        <v>12</v>
      </c>
      <c r="L185" s="392"/>
      <c r="M185" s="392"/>
      <c r="N185" s="587"/>
      <c r="P185" s="280"/>
      <c r="Q185" s="280"/>
      <c r="R185" s="280"/>
      <c r="S185" s="280"/>
      <c r="T185" s="280"/>
      <c r="U185" s="280"/>
    </row>
    <row r="186" s="411" customFormat="true" ht="18.75" hidden="false" customHeight="true" outlineLevel="0" collapsed="false">
      <c r="A186" s="494"/>
      <c r="B186" s="578" t="n">
        <v>0</v>
      </c>
      <c r="C186" s="578"/>
      <c r="D186" s="578"/>
      <c r="E186" s="588" t="n">
        <v>0</v>
      </c>
      <c r="F186" s="588"/>
      <c r="G186" s="588"/>
      <c r="H186" s="580" t="n">
        <v>0</v>
      </c>
      <c r="I186" s="580"/>
      <c r="J186" s="580"/>
      <c r="K186" s="279" t="n">
        <f aca="false">SUM(B186:J186)</f>
        <v>0</v>
      </c>
      <c r="L186" s="279"/>
      <c r="M186" s="279"/>
      <c r="N186" s="280"/>
      <c r="P186" s="280"/>
      <c r="Q186" s="280"/>
      <c r="R186" s="280"/>
      <c r="S186" s="280"/>
      <c r="T186" s="280"/>
      <c r="U186" s="280"/>
    </row>
    <row r="187" s="411" customFormat="true" ht="13.8" hidden="false" customHeight="false" outlineLevel="0" collapsed="false">
      <c r="A187" s="494"/>
      <c r="B187" s="280"/>
      <c r="C187" s="280"/>
      <c r="D187" s="280"/>
      <c r="E187" s="280"/>
      <c r="F187" s="280"/>
      <c r="G187" s="280"/>
      <c r="H187" s="280"/>
      <c r="I187" s="280"/>
      <c r="J187" s="280"/>
      <c r="K187" s="280"/>
      <c r="L187" s="280"/>
      <c r="M187" s="280"/>
      <c r="N187" s="280"/>
      <c r="P187" s="280"/>
      <c r="Q187" s="280"/>
      <c r="R187" s="280"/>
      <c r="S187" s="280"/>
      <c r="T187" s="280"/>
      <c r="U187" s="280"/>
    </row>
    <row r="188" s="411" customFormat="true" ht="15" hidden="false" customHeight="false" outlineLevel="0" collapsed="false">
      <c r="A188" s="494"/>
      <c r="B188" s="586" t="s">
        <v>349</v>
      </c>
      <c r="C188" s="586"/>
      <c r="D188" s="586"/>
      <c r="E188" s="586"/>
      <c r="F188" s="586"/>
      <c r="G188" s="586"/>
      <c r="H188" s="586"/>
      <c r="I188" s="586"/>
      <c r="J188" s="586"/>
      <c r="K188" s="586"/>
      <c r="L188" s="586"/>
      <c r="M188" s="586"/>
      <c r="N188" s="586"/>
      <c r="O188" s="586"/>
      <c r="P188" s="586"/>
      <c r="Q188" s="586"/>
      <c r="R188" s="586"/>
      <c r="S188" s="586"/>
      <c r="T188" s="586"/>
      <c r="U188" s="280"/>
    </row>
    <row r="189" s="411" customFormat="true" ht="13.8" hidden="false" customHeight="false" outlineLevel="0" collapsed="false">
      <c r="A189" s="494"/>
      <c r="B189" s="280"/>
      <c r="C189" s="280"/>
      <c r="D189" s="280"/>
      <c r="E189" s="280"/>
      <c r="F189" s="280"/>
      <c r="G189" s="280"/>
      <c r="H189" s="280"/>
      <c r="I189" s="280"/>
      <c r="J189" s="280"/>
      <c r="K189" s="280"/>
      <c r="L189" s="280"/>
      <c r="M189" s="280"/>
      <c r="N189" s="280"/>
      <c r="P189" s="280"/>
      <c r="Q189" s="280"/>
      <c r="R189" s="280"/>
      <c r="S189" s="280"/>
      <c r="T189" s="280"/>
      <c r="U189" s="280"/>
      <c r="V189" s="280"/>
      <c r="W189" s="280"/>
      <c r="X189" s="280"/>
      <c r="Y189" s="280"/>
      <c r="Z189" s="280"/>
      <c r="AA189" s="280"/>
      <c r="AB189" s="280"/>
      <c r="AC189" s="280"/>
      <c r="AD189" s="280"/>
      <c r="AE189" s="280"/>
    </row>
    <row r="190" s="411" customFormat="true" ht="13.8" hidden="false" customHeight="false" outlineLevel="0" collapsed="false">
      <c r="A190" s="494" t="n">
        <v>19</v>
      </c>
      <c r="B190" s="589" t="s">
        <v>350</v>
      </c>
      <c r="C190" s="590"/>
      <c r="D190" s="590"/>
      <c r="E190" s="590"/>
      <c r="F190" s="590"/>
      <c r="G190" s="590"/>
      <c r="H190" s="590"/>
      <c r="I190" s="591"/>
      <c r="J190" s="434" t="s">
        <v>351</v>
      </c>
      <c r="K190" s="434"/>
      <c r="L190" s="280"/>
      <c r="M190" s="280"/>
      <c r="N190" s="280"/>
      <c r="P190" s="280"/>
      <c r="Q190" s="280"/>
      <c r="R190" s="280"/>
      <c r="S190" s="280"/>
      <c r="T190" s="280"/>
      <c r="U190" s="280"/>
      <c r="V190" s="280"/>
      <c r="W190" s="280"/>
      <c r="X190" s="280"/>
      <c r="Y190" s="280"/>
      <c r="Z190" s="280"/>
      <c r="AA190" s="280"/>
      <c r="AB190" s="280"/>
      <c r="AC190" s="280"/>
      <c r="AD190" s="280"/>
      <c r="AE190" s="280"/>
    </row>
    <row r="191" s="411" customFormat="true" ht="12.75" hidden="false" customHeight="true" outlineLevel="0" collapsed="false">
      <c r="A191" s="494"/>
      <c r="B191" s="592" t="s">
        <v>352</v>
      </c>
      <c r="C191" s="593"/>
      <c r="D191" s="593"/>
      <c r="E191" s="593"/>
      <c r="F191" s="593"/>
      <c r="G191" s="593"/>
      <c r="H191" s="593"/>
      <c r="I191" s="594"/>
      <c r="J191" s="595" t="n">
        <v>0</v>
      </c>
      <c r="K191" s="595"/>
      <c r="L191" s="280"/>
      <c r="M191" s="280"/>
      <c r="N191" s="280"/>
      <c r="P191" s="280"/>
      <c r="Q191" s="280"/>
      <c r="R191" s="280"/>
      <c r="S191" s="280"/>
      <c r="T191" s="280"/>
      <c r="U191" s="280"/>
      <c r="V191" s="280"/>
      <c r="W191" s="280"/>
      <c r="X191" s="280"/>
      <c r="Y191" s="280"/>
      <c r="Z191" s="280"/>
      <c r="AA191" s="280"/>
      <c r="AB191" s="280"/>
      <c r="AC191" s="280"/>
      <c r="AD191" s="280"/>
      <c r="AE191" s="280"/>
    </row>
    <row r="192" customFormat="false" ht="15" hidden="false" customHeight="false" outlineLevel="0" collapsed="false">
      <c r="A192" s="494"/>
      <c r="B192" s="444" t="s">
        <v>353</v>
      </c>
      <c r="C192" s="596"/>
      <c r="D192" s="596"/>
      <c r="E192" s="596"/>
      <c r="F192" s="596"/>
      <c r="G192" s="596"/>
      <c r="H192" s="596"/>
      <c r="I192" s="597"/>
      <c r="J192" s="598" t="n">
        <v>0</v>
      </c>
      <c r="K192" s="598"/>
      <c r="N192" s="587"/>
    </row>
    <row r="193" customFormat="false" ht="15" hidden="false" customHeight="false" outlineLevel="0" collapsed="false">
      <c r="A193" s="494"/>
      <c r="B193" s="427" t="s">
        <v>12</v>
      </c>
      <c r="C193" s="599"/>
      <c r="D193" s="599"/>
      <c r="E193" s="599"/>
      <c r="F193" s="599"/>
      <c r="G193" s="599"/>
      <c r="H193" s="599"/>
      <c r="I193" s="600"/>
      <c r="J193" s="601" t="n">
        <f aca="false">SUM(J191:K192)</f>
        <v>0</v>
      </c>
      <c r="K193" s="601"/>
      <c r="N193" s="587"/>
    </row>
    <row r="194" customFormat="false" ht="13.8" hidden="false" customHeight="false" outlineLevel="0" collapsed="false"/>
    <row r="195" customFormat="false" ht="15" hidden="false" customHeight="false" outlineLevel="0" collapsed="false">
      <c r="B195" s="586" t="s">
        <v>354</v>
      </c>
      <c r="C195" s="586"/>
      <c r="D195" s="586"/>
      <c r="E195" s="586"/>
      <c r="F195" s="586"/>
      <c r="G195" s="586"/>
      <c r="H195" s="586"/>
      <c r="I195" s="586"/>
      <c r="J195" s="586"/>
      <c r="K195" s="586"/>
      <c r="L195" s="586"/>
      <c r="M195" s="586"/>
      <c r="N195" s="586"/>
      <c r="O195" s="586"/>
      <c r="P195" s="586"/>
      <c r="Q195" s="586"/>
      <c r="R195" s="586"/>
      <c r="S195" s="586"/>
      <c r="T195" s="586"/>
    </row>
    <row r="196" customFormat="false" ht="13.5" hidden="false" customHeight="true" outlineLevel="0" collapsed="false">
      <c r="B196" s="587"/>
      <c r="C196" s="587"/>
      <c r="D196" s="587"/>
      <c r="E196" s="587"/>
      <c r="F196" s="587"/>
      <c r="G196" s="587"/>
      <c r="H196" s="587"/>
      <c r="I196" s="587"/>
      <c r="J196" s="587"/>
      <c r="K196" s="587"/>
      <c r="L196" s="587"/>
      <c r="M196" s="587"/>
      <c r="U196" s="602"/>
    </row>
    <row r="197" customFormat="false" ht="13.5" hidden="false" customHeight="false" outlineLevel="0" collapsed="false">
      <c r="B197" s="421" t="s">
        <v>355</v>
      </c>
      <c r="C197" s="421"/>
      <c r="D197" s="421"/>
      <c r="E197" s="421"/>
      <c r="F197" s="421"/>
      <c r="G197" s="421"/>
      <c r="H197" s="421"/>
      <c r="I197" s="421"/>
      <c r="J197" s="421"/>
      <c r="K197" s="421"/>
      <c r="L197" s="421"/>
      <c r="M197" s="421"/>
      <c r="N197" s="421"/>
      <c r="O197" s="421"/>
      <c r="P197" s="421"/>
      <c r="Q197" s="421"/>
      <c r="R197" s="421"/>
      <c r="S197" s="421"/>
      <c r="T197" s="421"/>
    </row>
    <row r="198" customFormat="false" ht="15" hidden="false" customHeight="true" outlineLevel="0" collapsed="false"/>
    <row r="199" customFormat="false" ht="15.75" hidden="false" customHeight="true" outlineLevel="0" collapsed="false">
      <c r="A199" s="410" t="n">
        <v>20</v>
      </c>
      <c r="B199" s="553"/>
      <c r="C199" s="553"/>
      <c r="D199" s="553"/>
      <c r="E199" s="553"/>
      <c r="F199" s="603" t="s">
        <v>356</v>
      </c>
      <c r="G199" s="603"/>
      <c r="H199" s="603"/>
      <c r="I199" s="603"/>
      <c r="J199" s="603"/>
      <c r="K199" s="603"/>
      <c r="L199" s="603"/>
      <c r="M199" s="603"/>
      <c r="N199" s="604" t="s">
        <v>357</v>
      </c>
      <c r="O199" s="604"/>
      <c r="P199" s="604"/>
      <c r="Q199" s="604"/>
      <c r="R199" s="604"/>
      <c r="S199" s="605" t="s">
        <v>358</v>
      </c>
      <c r="T199" s="605"/>
    </row>
    <row r="200" customFormat="false" ht="15.75" hidden="false" customHeight="true" outlineLevel="0" collapsed="false">
      <c r="F200" s="575" t="s">
        <v>359</v>
      </c>
      <c r="G200" s="575"/>
      <c r="H200" s="576" t="s">
        <v>360</v>
      </c>
      <c r="I200" s="576"/>
      <c r="J200" s="576" t="s">
        <v>361</v>
      </c>
      <c r="K200" s="576"/>
      <c r="L200" s="576" t="s">
        <v>362</v>
      </c>
      <c r="M200" s="576"/>
      <c r="N200" s="576" t="s">
        <v>363</v>
      </c>
      <c r="O200" s="576"/>
      <c r="P200" s="606" t="s">
        <v>364</v>
      </c>
      <c r="Q200" s="606" t="s">
        <v>365</v>
      </c>
      <c r="R200" s="606"/>
      <c r="S200" s="605"/>
      <c r="T200" s="605"/>
    </row>
    <row r="201" customFormat="false" ht="12.75" hidden="false" customHeight="true" outlineLevel="0" collapsed="false">
      <c r="B201" s="556" t="s">
        <v>366</v>
      </c>
      <c r="C201" s="556"/>
      <c r="D201" s="556"/>
      <c r="E201" s="556"/>
      <c r="F201" s="575"/>
      <c r="G201" s="575"/>
      <c r="H201" s="576"/>
      <c r="I201" s="576"/>
      <c r="J201" s="576"/>
      <c r="K201" s="576"/>
      <c r="L201" s="576"/>
      <c r="M201" s="576"/>
      <c r="N201" s="576"/>
      <c r="O201" s="576"/>
      <c r="P201" s="606"/>
      <c r="Q201" s="606"/>
      <c r="R201" s="606"/>
      <c r="S201" s="605"/>
      <c r="T201" s="605"/>
    </row>
    <row r="202" customFormat="false" ht="26.25" hidden="false" customHeight="true" outlineLevel="0" collapsed="false">
      <c r="B202" s="556"/>
      <c r="C202" s="556"/>
      <c r="D202" s="556"/>
      <c r="E202" s="556"/>
      <c r="F202" s="575"/>
      <c r="G202" s="575"/>
      <c r="H202" s="576"/>
      <c r="I202" s="576"/>
      <c r="J202" s="576"/>
      <c r="K202" s="576"/>
      <c r="L202" s="576"/>
      <c r="M202" s="576"/>
      <c r="N202" s="576"/>
      <c r="O202" s="576"/>
      <c r="P202" s="606"/>
      <c r="Q202" s="606"/>
      <c r="R202" s="606"/>
      <c r="S202" s="605"/>
      <c r="T202" s="605"/>
      <c r="U202" s="553"/>
    </row>
    <row r="203" customFormat="false" ht="13.8" hidden="false" customHeight="false" outlineLevel="0" collapsed="false">
      <c r="B203" s="497" t="n">
        <f aca="false">SUM(F203:T203)</f>
        <v>0</v>
      </c>
      <c r="C203" s="497"/>
      <c r="D203" s="497"/>
      <c r="E203" s="497"/>
      <c r="F203" s="607" t="n">
        <v>0</v>
      </c>
      <c r="G203" s="607"/>
      <c r="H203" s="608" t="n">
        <v>0</v>
      </c>
      <c r="I203" s="608"/>
      <c r="J203" s="608" t="n">
        <v>0</v>
      </c>
      <c r="K203" s="608"/>
      <c r="L203" s="608" t="n">
        <v>0</v>
      </c>
      <c r="M203" s="608"/>
      <c r="N203" s="609" t="n">
        <v>0</v>
      </c>
      <c r="O203" s="609"/>
      <c r="P203" s="608" t="n">
        <v>0</v>
      </c>
      <c r="Q203" s="608" t="n">
        <v>0</v>
      </c>
      <c r="R203" s="608"/>
      <c r="S203" s="610" t="n">
        <v>0</v>
      </c>
      <c r="T203" s="610"/>
      <c r="U203" s="553"/>
    </row>
    <row r="204" customFormat="false" ht="16.5" hidden="false" customHeight="true" outlineLevel="0" collapsed="false">
      <c r="B204" s="531"/>
      <c r="C204" s="531"/>
      <c r="D204" s="531"/>
      <c r="E204" s="531"/>
      <c r="F204" s="416"/>
      <c r="G204" s="416"/>
      <c r="H204" s="416"/>
      <c r="I204" s="416"/>
      <c r="J204" s="416"/>
      <c r="K204" s="416"/>
      <c r="L204" s="416"/>
      <c r="M204" s="416"/>
      <c r="O204" s="280"/>
      <c r="U204" s="602"/>
    </row>
    <row r="205" customFormat="false" ht="13.8" hidden="false" customHeight="false" outlineLevel="0" collapsed="false">
      <c r="B205" s="421" t="s">
        <v>367</v>
      </c>
      <c r="C205" s="421"/>
      <c r="D205" s="421"/>
      <c r="E205" s="421"/>
      <c r="F205" s="421"/>
      <c r="G205" s="421"/>
      <c r="H205" s="421"/>
      <c r="I205" s="421"/>
      <c r="J205" s="421"/>
      <c r="K205" s="421"/>
      <c r="L205" s="421"/>
      <c r="M205" s="421"/>
      <c r="N205" s="421"/>
      <c r="O205" s="421"/>
      <c r="P205" s="421"/>
      <c r="Q205" s="421"/>
      <c r="R205" s="421"/>
      <c r="S205" s="421"/>
      <c r="T205" s="421"/>
    </row>
    <row r="206" customFormat="false" ht="13.8" hidden="false" customHeight="false" outlineLevel="0" collapsed="false">
      <c r="B206" s="611"/>
      <c r="F206" s="553"/>
      <c r="G206" s="553"/>
      <c r="H206" s="553"/>
      <c r="I206" s="553"/>
      <c r="J206" s="553"/>
      <c r="K206" s="553"/>
      <c r="L206" s="553"/>
      <c r="M206" s="553"/>
      <c r="O206" s="280"/>
    </row>
    <row r="207" customFormat="false" ht="13.8" hidden="false" customHeight="true" outlineLevel="0" collapsed="false">
      <c r="A207" s="410" t="n">
        <v>21</v>
      </c>
      <c r="B207" s="553"/>
      <c r="C207" s="553"/>
      <c r="D207" s="553"/>
      <c r="E207" s="553"/>
      <c r="F207" s="612" t="s">
        <v>356</v>
      </c>
      <c r="G207" s="612"/>
      <c r="H207" s="612"/>
      <c r="I207" s="612"/>
      <c r="J207" s="612"/>
      <c r="K207" s="612"/>
      <c r="L207" s="612"/>
      <c r="M207" s="612"/>
      <c r="N207" s="604" t="s">
        <v>357</v>
      </c>
      <c r="O207" s="604"/>
      <c r="P207" s="604"/>
      <c r="Q207" s="604"/>
      <c r="R207" s="604"/>
      <c r="S207" s="605" t="s">
        <v>358</v>
      </c>
      <c r="T207" s="605"/>
    </row>
    <row r="208" customFormat="false" ht="22.5" hidden="false" customHeight="true" outlineLevel="0" collapsed="false">
      <c r="B208" s="392" t="s">
        <v>197</v>
      </c>
      <c r="C208" s="392"/>
      <c r="D208" s="392"/>
      <c r="E208" s="392"/>
      <c r="F208" s="575" t="s">
        <v>359</v>
      </c>
      <c r="G208" s="575"/>
      <c r="H208" s="576" t="s">
        <v>360</v>
      </c>
      <c r="I208" s="576"/>
      <c r="J208" s="576" t="s">
        <v>361</v>
      </c>
      <c r="K208" s="576"/>
      <c r="L208" s="613" t="s">
        <v>362</v>
      </c>
      <c r="M208" s="613"/>
      <c r="N208" s="576" t="s">
        <v>363</v>
      </c>
      <c r="O208" s="576"/>
      <c r="P208" s="606" t="s">
        <v>364</v>
      </c>
      <c r="Q208" s="606" t="s">
        <v>365</v>
      </c>
      <c r="R208" s="606"/>
      <c r="S208" s="605"/>
      <c r="T208" s="605"/>
    </row>
    <row r="209" customFormat="false" ht="14.25" hidden="false" customHeight="true" outlineLevel="0" collapsed="false">
      <c r="B209" s="392"/>
      <c r="C209" s="392"/>
      <c r="D209" s="392"/>
      <c r="E209" s="392"/>
      <c r="F209" s="575"/>
      <c r="G209" s="575"/>
      <c r="H209" s="576"/>
      <c r="I209" s="576"/>
      <c r="J209" s="576"/>
      <c r="K209" s="576"/>
      <c r="L209" s="613"/>
      <c r="M209" s="613"/>
      <c r="N209" s="576"/>
      <c r="O209" s="576"/>
      <c r="P209" s="606"/>
      <c r="Q209" s="606"/>
      <c r="R209" s="606"/>
      <c r="S209" s="605"/>
      <c r="T209" s="605"/>
    </row>
    <row r="210" customFormat="false" ht="13.8" hidden="false" customHeight="false" outlineLevel="0" collapsed="false">
      <c r="B210" s="392"/>
      <c r="C210" s="392"/>
      <c r="D210" s="392"/>
      <c r="E210" s="392"/>
      <c r="F210" s="575"/>
      <c r="G210" s="575"/>
      <c r="H210" s="576"/>
      <c r="I210" s="576"/>
      <c r="J210" s="576"/>
      <c r="K210" s="576"/>
      <c r="L210" s="613"/>
      <c r="M210" s="613"/>
      <c r="N210" s="576"/>
      <c r="O210" s="576"/>
      <c r="P210" s="606"/>
      <c r="Q210" s="606"/>
      <c r="R210" s="606"/>
      <c r="S210" s="605"/>
      <c r="T210" s="605"/>
    </row>
    <row r="211" customFormat="false" ht="15.75" hidden="false" customHeight="true" outlineLevel="0" collapsed="false">
      <c r="B211" s="614" t="s">
        <v>182</v>
      </c>
      <c r="C211" s="614"/>
      <c r="D211" s="614"/>
      <c r="E211" s="614"/>
      <c r="F211" s="268" t="n">
        <v>0</v>
      </c>
      <c r="G211" s="268"/>
      <c r="H211" s="615" t="n">
        <v>0</v>
      </c>
      <c r="I211" s="615"/>
      <c r="J211" s="345" t="n">
        <v>0</v>
      </c>
      <c r="K211" s="345"/>
      <c r="L211" s="269" t="n">
        <v>0</v>
      </c>
      <c r="M211" s="269"/>
      <c r="N211" s="345" t="n">
        <v>0</v>
      </c>
      <c r="O211" s="345"/>
      <c r="P211" s="345" t="n">
        <v>0</v>
      </c>
      <c r="Q211" s="345" t="n">
        <v>0</v>
      </c>
      <c r="R211" s="345"/>
      <c r="S211" s="616" t="n">
        <v>0</v>
      </c>
      <c r="T211" s="616"/>
    </row>
    <row r="212" customFormat="false" ht="13.8" hidden="false" customHeight="false" outlineLevel="0" collapsed="false">
      <c r="B212" s="617" t="s">
        <v>183</v>
      </c>
      <c r="C212" s="617"/>
      <c r="D212" s="617"/>
      <c r="E212" s="617"/>
      <c r="F212" s="271" t="n">
        <v>0</v>
      </c>
      <c r="G212" s="271"/>
      <c r="H212" s="272" t="n">
        <v>0</v>
      </c>
      <c r="I212" s="272"/>
      <c r="J212" s="618" t="n">
        <v>0</v>
      </c>
      <c r="K212" s="618"/>
      <c r="L212" s="618" t="n">
        <v>0</v>
      </c>
      <c r="M212" s="618"/>
      <c r="N212" s="618" t="n">
        <v>0</v>
      </c>
      <c r="O212" s="618"/>
      <c r="P212" s="618" t="n">
        <v>0</v>
      </c>
      <c r="Q212" s="618" t="n">
        <v>0</v>
      </c>
      <c r="R212" s="618"/>
      <c r="S212" s="619" t="n">
        <v>0</v>
      </c>
      <c r="T212" s="619"/>
      <c r="U212" s="303"/>
      <c r="V212" s="411"/>
      <c r="W212" s="411"/>
      <c r="X212" s="411"/>
    </row>
    <row r="213" customFormat="false" ht="13.8" hidden="false" customHeight="false" outlineLevel="0" collapsed="false">
      <c r="B213" s="584" t="s">
        <v>368</v>
      </c>
      <c r="C213" s="584"/>
      <c r="D213" s="584"/>
      <c r="E213" s="584"/>
      <c r="F213" s="620" t="n">
        <v>0</v>
      </c>
      <c r="G213" s="620"/>
      <c r="H213" s="621" t="n">
        <v>0</v>
      </c>
      <c r="I213" s="621"/>
      <c r="J213" s="621" t="n">
        <v>0</v>
      </c>
      <c r="K213" s="621"/>
      <c r="L213" s="621" t="n">
        <v>0</v>
      </c>
      <c r="M213" s="621"/>
      <c r="N213" s="621" t="n">
        <v>0</v>
      </c>
      <c r="O213" s="621"/>
      <c r="P213" s="621" t="n">
        <v>0</v>
      </c>
      <c r="Q213" s="621" t="n">
        <v>0</v>
      </c>
      <c r="R213" s="621"/>
      <c r="S213" s="622" t="n">
        <v>0</v>
      </c>
      <c r="T213" s="622"/>
      <c r="V213" s="411"/>
      <c r="W213" s="411"/>
      <c r="X213" s="411"/>
      <c r="Y213" s="411"/>
      <c r="Z213" s="411"/>
      <c r="AA213" s="411"/>
      <c r="AB213" s="411"/>
      <c r="AC213" s="411"/>
      <c r="AD213" s="411"/>
      <c r="AE213" s="411"/>
    </row>
    <row r="214" customFormat="false" ht="13.8" hidden="false" customHeight="false" outlineLevel="0" collapsed="false">
      <c r="B214" s="351" t="s">
        <v>12</v>
      </c>
      <c r="C214" s="351"/>
      <c r="D214" s="351"/>
      <c r="E214" s="351"/>
      <c r="F214" s="277" t="n">
        <f aca="false">SUM(F211:G212)</f>
        <v>0</v>
      </c>
      <c r="G214" s="277"/>
      <c r="H214" s="278" t="n">
        <f aca="false">SUM(H211:I212)</f>
        <v>0</v>
      </c>
      <c r="I214" s="278"/>
      <c r="J214" s="278" t="n">
        <f aca="false">SUM(J211:K212)</f>
        <v>0</v>
      </c>
      <c r="K214" s="278"/>
      <c r="L214" s="278" t="n">
        <f aca="false">SUM(L211:M212)</f>
        <v>0</v>
      </c>
      <c r="M214" s="278"/>
      <c r="N214" s="278" t="n">
        <f aca="false">SUM(N211:O212)</f>
        <v>0</v>
      </c>
      <c r="O214" s="278"/>
      <c r="P214" s="623" t="n">
        <f aca="false">SUM(P211:P212)</f>
        <v>0</v>
      </c>
      <c r="Q214" s="278" t="n">
        <f aca="false">SUM(Q211:R212)</f>
        <v>0</v>
      </c>
      <c r="R214" s="278"/>
      <c r="S214" s="624" t="n">
        <f aca="false">SUM(S211:T213)</f>
        <v>0</v>
      </c>
      <c r="T214" s="624"/>
      <c r="U214" s="356" t="str">
        <f aca="false">IF(B203&lt;&gt;SUM(F214,H214,J214,L214,N214,P214,Q214,S214),"Section 6.2 - The sum of the totals should be equal to the ""Number of extensions taken"" of Section 6.1","")</f>
        <v/>
      </c>
      <c r="V214" s="356"/>
      <c r="W214" s="356"/>
      <c r="X214" s="356"/>
      <c r="Y214" s="356"/>
      <c r="Z214" s="356"/>
      <c r="AA214" s="356"/>
      <c r="AB214" s="411"/>
      <c r="AC214" s="411"/>
      <c r="AD214" s="411"/>
      <c r="AE214" s="411"/>
    </row>
    <row r="215" s="411" customFormat="true" ht="13.8" hidden="false" customHeight="false" outlineLevel="0" collapsed="false">
      <c r="A215" s="494"/>
      <c r="B215" s="531"/>
      <c r="C215" s="531"/>
      <c r="D215" s="531"/>
      <c r="E215" s="531"/>
      <c r="F215" s="303"/>
      <c r="G215" s="303"/>
      <c r="H215" s="303"/>
      <c r="I215" s="303"/>
      <c r="J215" s="303"/>
      <c r="K215" s="303"/>
      <c r="L215" s="303"/>
      <c r="M215" s="303"/>
      <c r="N215" s="625"/>
      <c r="P215" s="280"/>
      <c r="Q215" s="280"/>
      <c r="R215" s="280"/>
      <c r="S215" s="280"/>
      <c r="T215" s="493" t="n">
        <f aca="false">SUM(F214:T214)</f>
        <v>0</v>
      </c>
      <c r="U215" s="356"/>
      <c r="V215" s="356"/>
      <c r="W215" s="356"/>
      <c r="X215" s="356"/>
      <c r="Y215" s="356"/>
      <c r="Z215" s="356"/>
      <c r="AA215" s="356"/>
    </row>
    <row r="216" s="411" customFormat="true" ht="15" hidden="false" customHeight="false" outlineLevel="0" collapsed="false">
      <c r="A216" s="494"/>
      <c r="B216" s="586" t="s">
        <v>210</v>
      </c>
      <c r="C216" s="586"/>
      <c r="D216" s="586"/>
      <c r="E216" s="586"/>
      <c r="F216" s="586"/>
      <c r="G216" s="586"/>
      <c r="H216" s="586"/>
      <c r="I216" s="586"/>
      <c r="J216" s="586"/>
      <c r="K216" s="586"/>
      <c r="L216" s="586"/>
      <c r="M216" s="586"/>
      <c r="N216" s="586"/>
      <c r="O216" s="586"/>
      <c r="P216" s="586"/>
      <c r="Q216" s="586"/>
      <c r="R216" s="586"/>
      <c r="S216" s="586"/>
      <c r="T216" s="586"/>
      <c r="U216" s="280"/>
    </row>
    <row r="217" s="411" customFormat="true" ht="13.5" hidden="false" customHeight="false" outlineLevel="0" collapsed="false">
      <c r="A217" s="494"/>
      <c r="B217" s="280"/>
      <c r="C217" s="280"/>
      <c r="D217" s="280"/>
      <c r="E217" s="280"/>
      <c r="F217" s="280"/>
      <c r="G217" s="280"/>
      <c r="H217" s="280"/>
      <c r="I217" s="280"/>
      <c r="J217" s="280"/>
      <c r="K217" s="280"/>
      <c r="L217" s="280"/>
      <c r="M217" s="280"/>
      <c r="O217" s="280"/>
      <c r="P217" s="280"/>
      <c r="Q217" s="280"/>
      <c r="R217" s="280"/>
      <c r="S217" s="280"/>
      <c r="T217" s="280"/>
    </row>
    <row r="218" s="411" customFormat="true" ht="13.5" hidden="false" customHeight="true" outlineLevel="0" collapsed="false">
      <c r="A218" s="494"/>
      <c r="B218" s="626" t="s">
        <v>369</v>
      </c>
      <c r="C218" s="626"/>
      <c r="D218" s="626"/>
      <c r="E218" s="626"/>
      <c r="F218" s="626"/>
      <c r="G218" s="626"/>
      <c r="H218" s="626"/>
      <c r="I218" s="626"/>
      <c r="J218" s="626"/>
      <c r="K218" s="626"/>
      <c r="L218" s="626"/>
      <c r="M218" s="626"/>
      <c r="N218" s="626"/>
      <c r="O218" s="626"/>
      <c r="P218" s="626"/>
      <c r="Q218" s="626"/>
      <c r="R218" s="626"/>
      <c r="S218" s="626"/>
      <c r="T218" s="626"/>
    </row>
    <row r="219" s="411" customFormat="true" ht="13.8" hidden="false" customHeight="false" outlineLevel="0" collapsed="false">
      <c r="A219" s="494"/>
      <c r="B219" s="280"/>
      <c r="C219" s="280"/>
      <c r="D219" s="280"/>
      <c r="E219" s="280"/>
      <c r="F219" s="280"/>
      <c r="G219" s="280"/>
      <c r="H219" s="280"/>
      <c r="I219" s="280"/>
      <c r="J219" s="280"/>
      <c r="K219" s="280"/>
      <c r="L219" s="280"/>
      <c r="M219" s="280"/>
      <c r="O219" s="280"/>
      <c r="P219" s="280"/>
      <c r="Q219" s="280"/>
      <c r="R219" s="280"/>
      <c r="S219" s="280"/>
      <c r="T219" s="280"/>
    </row>
    <row r="220" s="411" customFormat="true" ht="39" hidden="false" customHeight="true" outlineLevel="0" collapsed="false">
      <c r="A220" s="494" t="n">
        <v>22</v>
      </c>
      <c r="B220" s="627" t="s">
        <v>212</v>
      </c>
      <c r="C220" s="627"/>
      <c r="D220" s="627"/>
      <c r="E220" s="627"/>
      <c r="F220" s="141" t="s">
        <v>213</v>
      </c>
      <c r="G220" s="141"/>
      <c r="H220" s="294" t="s">
        <v>214</v>
      </c>
      <c r="I220" s="294"/>
      <c r="J220" s="141" t="s">
        <v>215</v>
      </c>
      <c r="K220" s="141"/>
      <c r="L220" s="294" t="s">
        <v>214</v>
      </c>
      <c r="M220" s="294"/>
      <c r="O220" s="280"/>
      <c r="P220" s="280"/>
      <c r="Q220" s="280"/>
      <c r="R220" s="280"/>
      <c r="S220" s="280"/>
      <c r="T220" s="280"/>
    </row>
    <row r="221" s="411" customFormat="true" ht="15.75" hidden="false" customHeight="true" outlineLevel="0" collapsed="false">
      <c r="A221" s="494"/>
      <c r="B221" s="628" t="s">
        <v>216</v>
      </c>
      <c r="C221" s="628"/>
      <c r="D221" s="628"/>
      <c r="E221" s="628"/>
      <c r="F221" s="307" t="n">
        <v>0</v>
      </c>
      <c r="G221" s="307"/>
      <c r="H221" s="212" t="n">
        <v>0</v>
      </c>
      <c r="I221" s="212"/>
      <c r="J221" s="211" t="n">
        <v>0</v>
      </c>
      <c r="K221" s="211"/>
      <c r="L221" s="212" t="n">
        <v>0</v>
      </c>
      <c r="M221" s="212"/>
      <c r="N221" s="280"/>
      <c r="O221" s="280"/>
      <c r="P221" s="280"/>
      <c r="Q221" s="280"/>
      <c r="R221" s="280"/>
      <c r="S221" s="280"/>
      <c r="T221" s="280"/>
    </row>
    <row r="222" s="411" customFormat="true" ht="27" hidden="false" customHeight="true" outlineLevel="0" collapsed="false">
      <c r="A222" s="494"/>
      <c r="B222" s="629" t="s">
        <v>217</v>
      </c>
      <c r="C222" s="629"/>
      <c r="D222" s="629"/>
      <c r="E222" s="629"/>
      <c r="F222" s="227" t="n">
        <v>0</v>
      </c>
      <c r="G222" s="227"/>
      <c r="H222" s="526" t="n">
        <v>0</v>
      </c>
      <c r="I222" s="526"/>
      <c r="J222" s="331" t="n">
        <v>0</v>
      </c>
      <c r="K222" s="331"/>
      <c r="L222" s="526" t="n">
        <v>0</v>
      </c>
      <c r="M222" s="526"/>
      <c r="N222" s="280"/>
      <c r="O222" s="280"/>
      <c r="P222" s="280"/>
      <c r="Q222" s="280"/>
      <c r="R222" s="280"/>
      <c r="S222" s="280"/>
      <c r="T222" s="280"/>
    </row>
    <row r="223" s="411" customFormat="true" ht="25.5" hidden="false" customHeight="true" outlineLevel="0" collapsed="false">
      <c r="A223" s="494"/>
      <c r="B223" s="630" t="s">
        <v>12</v>
      </c>
      <c r="C223" s="630"/>
      <c r="D223" s="630"/>
      <c r="E223" s="630"/>
      <c r="F223" s="229" t="n">
        <f aca="false">SUM(F221:G222)</f>
        <v>0</v>
      </c>
      <c r="G223" s="229"/>
      <c r="H223" s="230" t="n">
        <f aca="false">SUM(H221:I222)</f>
        <v>0</v>
      </c>
      <c r="I223" s="230"/>
      <c r="J223" s="631" t="n">
        <f aca="false">SUM(J221:K222)</f>
        <v>0</v>
      </c>
      <c r="K223" s="631"/>
      <c r="L223" s="230" t="n">
        <f aca="false">SUM(L221:M222)</f>
        <v>0</v>
      </c>
      <c r="M223" s="230"/>
      <c r="N223" s="124"/>
      <c r="O223" s="124"/>
      <c r="P223" s="124"/>
      <c r="Q223" s="124"/>
      <c r="R223" s="124"/>
      <c r="S223" s="124"/>
      <c r="T223" s="124"/>
      <c r="U223" s="124"/>
      <c r="V223" s="124"/>
      <c r="W223" s="280"/>
      <c r="X223" s="280"/>
      <c r="Y223" s="280"/>
      <c r="Z223" s="280"/>
      <c r="AA223" s="280"/>
      <c r="AB223" s="280"/>
      <c r="AC223" s="280"/>
      <c r="AD223" s="280"/>
      <c r="AE223" s="280"/>
    </row>
    <row r="224" s="411" customFormat="true" ht="13.5" hidden="false" customHeight="true" outlineLevel="0" collapsed="false">
      <c r="A224" s="494"/>
      <c r="B224" s="628" t="s">
        <v>218</v>
      </c>
      <c r="C224" s="628"/>
      <c r="D224" s="628"/>
      <c r="E224" s="628"/>
      <c r="F224" s="215" t="n">
        <v>0</v>
      </c>
      <c r="G224" s="215"/>
      <c r="H224" s="212" t="n">
        <v>0</v>
      </c>
      <c r="I224" s="212"/>
      <c r="J224" s="211" t="n">
        <v>0</v>
      </c>
      <c r="K224" s="211"/>
      <c r="L224" s="212" t="n">
        <v>0</v>
      </c>
      <c r="M224" s="212"/>
      <c r="N224" s="124"/>
      <c r="O224" s="124"/>
      <c r="P224" s="124"/>
      <c r="Q224" s="124"/>
      <c r="R224" s="124"/>
      <c r="S224" s="124"/>
      <c r="T224" s="124"/>
      <c r="U224" s="124"/>
      <c r="V224" s="124"/>
    </row>
    <row r="225" s="411" customFormat="true" ht="13.5" hidden="false" customHeight="true" outlineLevel="0" collapsed="false">
      <c r="A225" s="494"/>
      <c r="B225" s="214" t="s">
        <v>219</v>
      </c>
      <c r="C225" s="214"/>
      <c r="D225" s="214"/>
      <c r="E225" s="214"/>
      <c r="F225" s="215" t="n">
        <v>0</v>
      </c>
      <c r="G225" s="215"/>
      <c r="H225" s="153" t="n">
        <v>0</v>
      </c>
      <c r="I225" s="153"/>
      <c r="J225" s="215" t="n">
        <v>0</v>
      </c>
      <c r="K225" s="215"/>
      <c r="L225" s="317" t="n">
        <v>0</v>
      </c>
      <c r="M225" s="317"/>
      <c r="N225" s="124"/>
      <c r="O225" s="124"/>
      <c r="P225" s="124"/>
      <c r="Q225" s="124"/>
      <c r="R225" s="124"/>
      <c r="S225" s="124"/>
      <c r="T225" s="124"/>
      <c r="U225" s="124"/>
      <c r="V225" s="124"/>
    </row>
    <row r="226" customFormat="false" ht="26.25" hidden="false" customHeight="true" outlineLevel="0" collapsed="false">
      <c r="A226" s="494"/>
      <c r="B226" s="310" t="s">
        <v>220</v>
      </c>
      <c r="C226" s="310"/>
      <c r="D226" s="310"/>
      <c r="E226" s="310"/>
      <c r="F226" s="227" t="n">
        <v>0</v>
      </c>
      <c r="G226" s="227"/>
      <c r="H226" s="170" t="n">
        <v>0</v>
      </c>
      <c r="I226" s="170"/>
      <c r="J226" s="227" t="n">
        <v>0</v>
      </c>
      <c r="K226" s="227"/>
      <c r="L226" s="632" t="n">
        <v>0</v>
      </c>
      <c r="M226" s="632"/>
      <c r="N226" s="124"/>
      <c r="O226" s="124"/>
      <c r="P226" s="124"/>
      <c r="Q226" s="124"/>
      <c r="R226" s="124"/>
      <c r="S226" s="124"/>
      <c r="T226" s="124"/>
      <c r="U226" s="124"/>
      <c r="V226" s="124"/>
      <c r="W226" s="411"/>
      <c r="X226" s="411"/>
      <c r="Y226" s="411"/>
      <c r="Z226" s="411"/>
      <c r="AA226" s="411"/>
      <c r="AB226" s="411"/>
      <c r="AC226" s="411"/>
      <c r="AD226" s="411"/>
      <c r="AE226" s="411"/>
    </row>
    <row r="227" s="411" customFormat="true" ht="14.25" hidden="false" customHeight="true" outlineLevel="0" collapsed="false">
      <c r="A227" s="494"/>
      <c r="B227" s="280"/>
      <c r="C227" s="280"/>
      <c r="D227" s="280"/>
      <c r="E227" s="280"/>
      <c r="F227" s="280"/>
      <c r="G227" s="633"/>
      <c r="H227" s="633"/>
      <c r="I227" s="633"/>
      <c r="J227" s="280"/>
      <c r="K227" s="280"/>
      <c r="L227" s="280"/>
      <c r="M227" s="280"/>
      <c r="N227" s="634"/>
      <c r="P227" s="280"/>
      <c r="Q227" s="280"/>
      <c r="R227" s="280"/>
      <c r="S227" s="280"/>
      <c r="T227" s="280"/>
      <c r="V227" s="280"/>
      <c r="W227" s="280"/>
      <c r="X227" s="280"/>
      <c r="Y227" s="280"/>
      <c r="Z227" s="280"/>
      <c r="AA227" s="280"/>
      <c r="AB227" s="280"/>
      <c r="AC227" s="280"/>
      <c r="AD227" s="280"/>
      <c r="AE227" s="280"/>
    </row>
    <row r="228" s="411" customFormat="true" ht="13.5" hidden="false" customHeight="true" outlineLevel="0" collapsed="false">
      <c r="A228" s="494"/>
      <c r="B228" s="635" t="s">
        <v>221</v>
      </c>
      <c r="C228" s="635"/>
      <c r="D228" s="635"/>
      <c r="E228" s="635"/>
      <c r="F228" s="635"/>
      <c r="G228" s="635"/>
      <c r="H228" s="635"/>
      <c r="I228" s="635"/>
      <c r="J228" s="635"/>
      <c r="K228" s="635"/>
      <c r="L228" s="635"/>
      <c r="M228" s="635"/>
      <c r="N228" s="635"/>
      <c r="O228" s="635"/>
      <c r="P228" s="635"/>
      <c r="Q228" s="635"/>
      <c r="R228" s="635"/>
      <c r="S228" s="635"/>
      <c r="T228" s="635"/>
      <c r="V228" s="280"/>
      <c r="W228" s="280"/>
      <c r="X228" s="280"/>
      <c r="Y228" s="280"/>
      <c r="Z228" s="280"/>
      <c r="AA228" s="280"/>
      <c r="AB228" s="280"/>
      <c r="AC228" s="280"/>
      <c r="AD228" s="280"/>
      <c r="AE228" s="280"/>
    </row>
    <row r="229" s="411" customFormat="true" ht="13.8" hidden="false" customHeight="false" outlineLevel="0" collapsed="false">
      <c r="A229" s="494"/>
      <c r="B229" s="280"/>
      <c r="C229" s="280"/>
      <c r="D229" s="280"/>
      <c r="E229" s="280"/>
      <c r="F229" s="280"/>
      <c r="G229" s="280"/>
      <c r="H229" s="280"/>
      <c r="I229" s="280"/>
      <c r="J229" s="280"/>
      <c r="K229" s="280"/>
      <c r="L229" s="280"/>
      <c r="M229" s="280"/>
      <c r="O229" s="280"/>
      <c r="P229" s="280"/>
      <c r="Q229" s="280"/>
      <c r="R229" s="280"/>
      <c r="S229" s="280"/>
      <c r="T229" s="280"/>
      <c r="V229" s="280"/>
      <c r="W229" s="280"/>
      <c r="X229" s="280"/>
      <c r="Y229" s="280"/>
      <c r="Z229" s="280"/>
      <c r="AA229" s="280"/>
      <c r="AB229" s="280"/>
      <c r="AC229" s="280"/>
      <c r="AD229" s="280"/>
      <c r="AE229" s="280"/>
    </row>
    <row r="230" s="280" customFormat="true" ht="13.8" hidden="false" customHeight="true" outlineLevel="0" collapsed="false">
      <c r="A230" s="410" t="n">
        <v>23</v>
      </c>
      <c r="B230" s="497" t="s">
        <v>222</v>
      </c>
      <c r="C230" s="497"/>
      <c r="D230" s="497"/>
      <c r="E230" s="497"/>
      <c r="F230" s="636" t="s">
        <v>223</v>
      </c>
      <c r="G230" s="636"/>
      <c r="H230" s="636"/>
      <c r="I230" s="636"/>
      <c r="J230" s="636"/>
      <c r="K230" s="636"/>
      <c r="L230" s="636"/>
      <c r="M230" s="636"/>
      <c r="N230" s="411"/>
    </row>
    <row r="231" customFormat="false" ht="46.25" hidden="false" customHeight="false" outlineLevel="0" collapsed="false">
      <c r="B231" s="497"/>
      <c r="C231" s="497"/>
      <c r="D231" s="497"/>
      <c r="E231" s="497"/>
      <c r="F231" s="637" t="s">
        <v>36</v>
      </c>
      <c r="G231" s="638" t="s">
        <v>37</v>
      </c>
      <c r="H231" s="638" t="s">
        <v>38</v>
      </c>
      <c r="I231" s="638" t="s">
        <v>39</v>
      </c>
      <c r="J231" s="638" t="s">
        <v>224</v>
      </c>
      <c r="K231" s="638" t="s">
        <v>41</v>
      </c>
      <c r="L231" s="639" t="s">
        <v>42</v>
      </c>
      <c r="M231" s="343" t="s">
        <v>12</v>
      </c>
      <c r="N231" s="411"/>
      <c r="O231" s="280"/>
    </row>
    <row r="232" customFormat="false" ht="14.25" hidden="false" customHeight="true" outlineLevel="0" collapsed="false">
      <c r="B232" s="640" t="s">
        <v>225</v>
      </c>
      <c r="C232" s="640"/>
      <c r="D232" s="640"/>
      <c r="E232" s="640"/>
      <c r="F232" s="344" t="n">
        <v>0</v>
      </c>
      <c r="G232" s="345" t="n">
        <v>0</v>
      </c>
      <c r="H232" s="345" t="n">
        <v>0</v>
      </c>
      <c r="I232" s="345" t="n">
        <v>0</v>
      </c>
      <c r="J232" s="345" t="n">
        <v>0</v>
      </c>
      <c r="K232" s="345" t="n">
        <v>0</v>
      </c>
      <c r="L232" s="346" t="n">
        <v>0</v>
      </c>
      <c r="M232" s="347" t="n">
        <f aca="false">SUM(F232:L232)</f>
        <v>0</v>
      </c>
      <c r="N232" s="411"/>
      <c r="O232" s="280"/>
    </row>
    <row r="233" customFormat="false" ht="13.8" hidden="false" customHeight="false" outlineLevel="0" collapsed="false">
      <c r="B233" s="641" t="s">
        <v>226</v>
      </c>
      <c r="C233" s="641"/>
      <c r="D233" s="641"/>
      <c r="E233" s="641"/>
      <c r="F233" s="271" t="n">
        <v>0</v>
      </c>
      <c r="G233" s="272" t="n">
        <v>0</v>
      </c>
      <c r="H233" s="272" t="n">
        <v>0</v>
      </c>
      <c r="I233" s="272" t="n">
        <v>0</v>
      </c>
      <c r="J233" s="272" t="n">
        <v>0</v>
      </c>
      <c r="K233" s="272" t="n">
        <v>0</v>
      </c>
      <c r="L233" s="348" t="n">
        <v>0</v>
      </c>
      <c r="M233" s="273" t="n">
        <f aca="false">SUM(F233:L233)</f>
        <v>0</v>
      </c>
      <c r="N233" s="411"/>
      <c r="O233" s="280"/>
      <c r="V233" s="553"/>
      <c r="W233" s="553"/>
      <c r="X233" s="553"/>
      <c r="Y233" s="553"/>
      <c r="Z233" s="553"/>
      <c r="AA233" s="553"/>
      <c r="AB233" s="553"/>
      <c r="AC233" s="553"/>
      <c r="AD233" s="553"/>
      <c r="AE233" s="553"/>
    </row>
    <row r="234" customFormat="false" ht="14.25" hidden="false" customHeight="true" outlineLevel="0" collapsed="false">
      <c r="B234" s="641" t="s">
        <v>227</v>
      </c>
      <c r="C234" s="641"/>
      <c r="D234" s="641"/>
      <c r="E234" s="641"/>
      <c r="F234" s="271" t="n">
        <v>0</v>
      </c>
      <c r="G234" s="272" t="n">
        <v>0</v>
      </c>
      <c r="H234" s="272" t="n">
        <v>0</v>
      </c>
      <c r="I234" s="272" t="n">
        <v>0</v>
      </c>
      <c r="J234" s="272" t="n">
        <v>0</v>
      </c>
      <c r="K234" s="272" t="n">
        <v>0</v>
      </c>
      <c r="L234" s="348" t="n">
        <v>0</v>
      </c>
      <c r="M234" s="273" t="n">
        <f aca="false">SUM(F234:L234)</f>
        <v>0</v>
      </c>
      <c r="N234" s="411"/>
      <c r="O234" s="280"/>
    </row>
    <row r="235" customFormat="false" ht="13.8" hidden="false" customHeight="false" outlineLevel="0" collapsed="false">
      <c r="B235" s="641" t="s">
        <v>228</v>
      </c>
      <c r="C235" s="641"/>
      <c r="D235" s="641"/>
      <c r="E235" s="641"/>
      <c r="F235" s="271" t="n">
        <v>0</v>
      </c>
      <c r="G235" s="272" t="n">
        <v>0</v>
      </c>
      <c r="H235" s="272" t="n">
        <v>0</v>
      </c>
      <c r="I235" s="272" t="n">
        <v>0</v>
      </c>
      <c r="J235" s="272" t="n">
        <v>0</v>
      </c>
      <c r="K235" s="272" t="n">
        <v>0</v>
      </c>
      <c r="L235" s="348" t="n">
        <v>0</v>
      </c>
      <c r="M235" s="273" t="n">
        <f aca="false">SUM(F235:L235)</f>
        <v>0</v>
      </c>
      <c r="N235" s="411"/>
      <c r="O235" s="280"/>
    </row>
    <row r="236" s="553" customFormat="true" ht="13.8" hidden="false" customHeight="false" outlineLevel="0" collapsed="false">
      <c r="A236" s="410"/>
      <c r="B236" s="641" t="s">
        <v>229</v>
      </c>
      <c r="C236" s="641"/>
      <c r="D236" s="641"/>
      <c r="E236" s="641"/>
      <c r="F236" s="271" t="n">
        <v>0</v>
      </c>
      <c r="G236" s="272" t="n">
        <v>0</v>
      </c>
      <c r="H236" s="272" t="n">
        <v>0</v>
      </c>
      <c r="I236" s="272" t="n">
        <v>0</v>
      </c>
      <c r="J236" s="272" t="n">
        <v>0</v>
      </c>
      <c r="K236" s="272" t="n">
        <v>0</v>
      </c>
      <c r="L236" s="348" t="n">
        <v>0</v>
      </c>
      <c r="M236" s="273" t="n">
        <f aca="false">SUM(F236:L236)</f>
        <v>0</v>
      </c>
      <c r="P236" s="280"/>
      <c r="Q236" s="280"/>
      <c r="R236" s="280"/>
      <c r="S236" s="280"/>
      <c r="T236" s="280"/>
      <c r="U236" s="280"/>
      <c r="V236" s="280"/>
      <c r="W236" s="280"/>
      <c r="X236" s="280"/>
      <c r="Y236" s="280"/>
      <c r="Z236" s="280"/>
      <c r="AA236" s="280"/>
      <c r="AB236" s="280"/>
      <c r="AC236" s="280"/>
      <c r="AD236" s="280"/>
      <c r="AE236" s="280"/>
    </row>
    <row r="237" customFormat="false" ht="13.8" hidden="false" customHeight="false" outlineLevel="0" collapsed="false">
      <c r="B237" s="642" t="s">
        <v>142</v>
      </c>
      <c r="C237" s="642"/>
      <c r="D237" s="642"/>
      <c r="E237" s="642"/>
      <c r="F237" s="298" t="n">
        <v>0</v>
      </c>
      <c r="G237" s="349" t="n">
        <v>0</v>
      </c>
      <c r="H237" s="349" t="n">
        <v>0</v>
      </c>
      <c r="I237" s="349" t="n">
        <v>0</v>
      </c>
      <c r="J237" s="349" t="n">
        <v>0</v>
      </c>
      <c r="K237" s="349" t="n">
        <v>0</v>
      </c>
      <c r="L237" s="350" t="n">
        <v>0</v>
      </c>
      <c r="M237" s="300" t="n">
        <f aca="false">SUM(F237:L237)</f>
        <v>0</v>
      </c>
    </row>
    <row r="238" customFormat="false" ht="13.8" hidden="false" customHeight="false" outlineLevel="0" collapsed="false">
      <c r="B238" s="561" t="s">
        <v>12</v>
      </c>
      <c r="C238" s="561"/>
      <c r="D238" s="561"/>
      <c r="E238" s="561"/>
      <c r="F238" s="352" t="n">
        <f aca="false">SUM(F232:F237)</f>
        <v>0</v>
      </c>
      <c r="G238" s="353" t="n">
        <f aca="false">SUM(G232:G237)</f>
        <v>0</v>
      </c>
      <c r="H238" s="353" t="n">
        <f aca="false">SUM(H232:H237)</f>
        <v>0</v>
      </c>
      <c r="I238" s="353" t="n">
        <f aca="false">SUM(I232:I237)</f>
        <v>0</v>
      </c>
      <c r="J238" s="353" t="n">
        <f aca="false">SUM(J232:J237)</f>
        <v>0</v>
      </c>
      <c r="K238" s="353" t="n">
        <f aca="false">SUM(K232:K237)</f>
        <v>0</v>
      </c>
      <c r="L238" s="354" t="n">
        <f aca="false">SUM(L232:L237)</f>
        <v>0</v>
      </c>
      <c r="M238" s="355" t="n">
        <f aca="false">SUM(M232:M237)</f>
        <v>0</v>
      </c>
      <c r="N238" s="643"/>
      <c r="O238" s="643"/>
      <c r="P238" s="643"/>
      <c r="Q238" s="643"/>
      <c r="R238" s="643"/>
      <c r="S238" s="643"/>
      <c r="T238" s="643"/>
      <c r="U238" s="643"/>
      <c r="V238" s="643"/>
      <c r="W238" s="643"/>
      <c r="X238" s="643"/>
      <c r="Y238" s="643"/>
      <c r="Z238" s="643"/>
    </row>
    <row r="239" customFormat="false" ht="13.8" hidden="false" customHeight="false" outlineLevel="0" collapsed="false">
      <c r="B239" s="553"/>
      <c r="C239" s="553"/>
      <c r="D239" s="553"/>
      <c r="E239" s="553"/>
      <c r="F239" s="553"/>
      <c r="G239" s="553"/>
      <c r="H239" s="553"/>
      <c r="I239" s="553"/>
      <c r="J239" s="553"/>
      <c r="K239" s="553"/>
      <c r="L239" s="553"/>
      <c r="M239" s="553"/>
    </row>
    <row r="240" customFormat="false" ht="13.8" hidden="false" customHeight="false" outlineLevel="0" collapsed="false">
      <c r="B240" s="644" t="s">
        <v>230</v>
      </c>
      <c r="C240" s="644"/>
      <c r="D240" s="644"/>
      <c r="E240" s="644"/>
      <c r="F240" s="644"/>
      <c r="G240" s="644"/>
      <c r="H240" s="644"/>
      <c r="I240" s="644"/>
      <c r="J240" s="644"/>
      <c r="K240" s="644"/>
      <c r="L240" s="644"/>
      <c r="M240" s="644"/>
      <c r="N240" s="644"/>
      <c r="O240" s="644"/>
      <c r="P240" s="644"/>
    </row>
    <row r="241" customFormat="false" ht="13.8" hidden="false" customHeight="false" outlineLevel="0" collapsed="false">
      <c r="N241" s="411"/>
      <c r="O241" s="280"/>
    </row>
    <row r="242" s="280" customFormat="true" ht="13.8" hidden="false" customHeight="true" outlineLevel="0" collapsed="false">
      <c r="A242" s="410" t="n">
        <v>24</v>
      </c>
      <c r="B242" s="497" t="s">
        <v>222</v>
      </c>
      <c r="C242" s="497"/>
      <c r="D242" s="497"/>
      <c r="E242" s="497"/>
      <c r="F242" s="636" t="s">
        <v>370</v>
      </c>
      <c r="G242" s="636"/>
      <c r="H242" s="636"/>
      <c r="I242" s="636"/>
      <c r="J242" s="636"/>
      <c r="K242" s="636"/>
      <c r="L242" s="636"/>
      <c r="M242" s="636"/>
      <c r="N242" s="411"/>
    </row>
    <row r="243" customFormat="false" ht="46.25" hidden="false" customHeight="false" outlineLevel="0" collapsed="false">
      <c r="B243" s="497"/>
      <c r="C243" s="497"/>
      <c r="D243" s="497"/>
      <c r="E243" s="497"/>
      <c r="F243" s="637" t="s">
        <v>36</v>
      </c>
      <c r="G243" s="638" t="s">
        <v>37</v>
      </c>
      <c r="H243" s="638" t="s">
        <v>38</v>
      </c>
      <c r="I243" s="638" t="s">
        <v>39</v>
      </c>
      <c r="J243" s="638" t="s">
        <v>224</v>
      </c>
      <c r="K243" s="638" t="s">
        <v>41</v>
      </c>
      <c r="L243" s="639" t="s">
        <v>42</v>
      </c>
      <c r="M243" s="343" t="s">
        <v>12</v>
      </c>
      <c r="N243" s="411"/>
      <c r="O243" s="280"/>
    </row>
    <row r="244" customFormat="false" ht="14.25" hidden="false" customHeight="true" outlineLevel="0" collapsed="false">
      <c r="B244" s="640" t="s">
        <v>225</v>
      </c>
      <c r="C244" s="640"/>
      <c r="D244" s="640"/>
      <c r="E244" s="640"/>
      <c r="F244" s="344" t="n">
        <v>0</v>
      </c>
      <c r="G244" s="345" t="n">
        <v>0</v>
      </c>
      <c r="H244" s="345" t="n">
        <v>0</v>
      </c>
      <c r="I244" s="345" t="n">
        <v>0</v>
      </c>
      <c r="J244" s="345" t="n">
        <v>0</v>
      </c>
      <c r="K244" s="345" t="n">
        <v>0</v>
      </c>
      <c r="L244" s="346" t="n">
        <v>0</v>
      </c>
      <c r="M244" s="347" t="n">
        <f aca="false">SUM(F244:L244)</f>
        <v>0</v>
      </c>
      <c r="N244" s="411"/>
      <c r="O244" s="280"/>
    </row>
    <row r="245" customFormat="false" ht="14.25" hidden="false" customHeight="true" outlineLevel="0" collapsed="false">
      <c r="B245" s="641" t="s">
        <v>226</v>
      </c>
      <c r="C245" s="641"/>
      <c r="D245" s="641"/>
      <c r="E245" s="641"/>
      <c r="F245" s="271" t="n">
        <v>0</v>
      </c>
      <c r="G245" s="272" t="n">
        <v>0</v>
      </c>
      <c r="H245" s="272" t="n">
        <v>0</v>
      </c>
      <c r="I245" s="272" t="n">
        <v>0</v>
      </c>
      <c r="J245" s="272" t="n">
        <v>0</v>
      </c>
      <c r="K245" s="272" t="n">
        <v>0</v>
      </c>
      <c r="L245" s="348" t="n">
        <v>0</v>
      </c>
      <c r="M245" s="273" t="n">
        <f aca="false">SUM(F245:L245)</f>
        <v>0</v>
      </c>
      <c r="N245" s="411"/>
      <c r="O245" s="280"/>
    </row>
    <row r="246" customFormat="false" ht="14.25" hidden="false" customHeight="true" outlineLevel="0" collapsed="false">
      <c r="B246" s="641" t="s">
        <v>227</v>
      </c>
      <c r="C246" s="641"/>
      <c r="D246" s="641"/>
      <c r="E246" s="641"/>
      <c r="F246" s="271" t="n">
        <v>0</v>
      </c>
      <c r="G246" s="272" t="n">
        <v>0</v>
      </c>
      <c r="H246" s="272" t="n">
        <v>0</v>
      </c>
      <c r="I246" s="272" t="n">
        <v>0</v>
      </c>
      <c r="J246" s="272" t="n">
        <v>0</v>
      </c>
      <c r="K246" s="272" t="n">
        <v>0</v>
      </c>
      <c r="L246" s="348" t="n">
        <v>0</v>
      </c>
      <c r="M246" s="273" t="n">
        <f aca="false">SUM(F246:L246)</f>
        <v>0</v>
      </c>
      <c r="N246" s="411"/>
      <c r="O246" s="280"/>
    </row>
    <row r="247" customFormat="false" ht="13.5" hidden="false" customHeight="false" outlineLevel="0" collapsed="false">
      <c r="B247" s="641" t="s">
        <v>228</v>
      </c>
      <c r="C247" s="641"/>
      <c r="D247" s="641"/>
      <c r="E247" s="641"/>
      <c r="F247" s="271" t="n">
        <v>0</v>
      </c>
      <c r="G247" s="272" t="n">
        <v>0</v>
      </c>
      <c r="H247" s="272" t="n">
        <v>0</v>
      </c>
      <c r="I247" s="272" t="n">
        <v>0</v>
      </c>
      <c r="J247" s="272" t="n">
        <v>0</v>
      </c>
      <c r="K247" s="272" t="n">
        <v>0</v>
      </c>
      <c r="L247" s="348" t="n">
        <v>0</v>
      </c>
      <c r="M247" s="273" t="n">
        <f aca="false">SUM(F247:L247)</f>
        <v>0</v>
      </c>
      <c r="N247" s="411"/>
      <c r="O247" s="280"/>
    </row>
    <row r="248" customFormat="false" ht="13.5" hidden="false" customHeight="false" outlineLevel="0" collapsed="false">
      <c r="B248" s="641" t="s">
        <v>229</v>
      </c>
      <c r="C248" s="641"/>
      <c r="D248" s="641"/>
      <c r="E248" s="641"/>
      <c r="F248" s="271" t="n">
        <v>0</v>
      </c>
      <c r="G248" s="272" t="n">
        <v>0</v>
      </c>
      <c r="H248" s="272" t="n">
        <v>0</v>
      </c>
      <c r="I248" s="272" t="n">
        <v>0</v>
      </c>
      <c r="J248" s="272" t="n">
        <v>0</v>
      </c>
      <c r="K248" s="272" t="n">
        <v>0</v>
      </c>
      <c r="L248" s="348" t="n">
        <v>0</v>
      </c>
      <c r="M248" s="273" t="n">
        <f aca="false">SUM(F248:L248)</f>
        <v>0</v>
      </c>
      <c r="N248" s="416"/>
    </row>
    <row r="249" customFormat="false" ht="15" hidden="false" customHeight="false" outlineLevel="0" collapsed="false">
      <c r="B249" s="642" t="s">
        <v>142</v>
      </c>
      <c r="C249" s="642"/>
      <c r="D249" s="642"/>
      <c r="E249" s="642"/>
      <c r="F249" s="298" t="n">
        <v>0</v>
      </c>
      <c r="G249" s="349" t="n">
        <v>0</v>
      </c>
      <c r="H249" s="349" t="n">
        <v>0</v>
      </c>
      <c r="I249" s="349" t="n">
        <v>0</v>
      </c>
      <c r="J249" s="349" t="n">
        <v>0</v>
      </c>
      <c r="K249" s="349" t="n">
        <v>0</v>
      </c>
      <c r="L249" s="350" t="n">
        <v>0</v>
      </c>
      <c r="M249" s="300" t="n">
        <f aca="false">SUM(F249:L249)</f>
        <v>0</v>
      </c>
      <c r="N249" s="645"/>
    </row>
    <row r="250" customFormat="false" ht="13.8" hidden="false" customHeight="false" outlineLevel="0" collapsed="false">
      <c r="B250" s="646" t="s">
        <v>12</v>
      </c>
      <c r="C250" s="646"/>
      <c r="D250" s="646"/>
      <c r="E250" s="646"/>
      <c r="F250" s="277" t="n">
        <f aca="false">SUM(F244:F249)</f>
        <v>0</v>
      </c>
      <c r="G250" s="278" t="n">
        <f aca="false">SUM(G244:G249)</f>
        <v>0</v>
      </c>
      <c r="H250" s="278" t="n">
        <f aca="false">SUM(H244:H249)</f>
        <v>0</v>
      </c>
      <c r="I250" s="278" t="n">
        <f aca="false">SUM(I244:I249)</f>
        <v>0</v>
      </c>
      <c r="J250" s="278" t="n">
        <f aca="false">SUM(J244:J249)</f>
        <v>0</v>
      </c>
      <c r="K250" s="278" t="n">
        <f aca="false">SUM(K244:K249)</f>
        <v>0</v>
      </c>
      <c r="L250" s="647" t="n">
        <f aca="false">SUM(L244:L249)</f>
        <v>0</v>
      </c>
      <c r="M250" s="279" t="n">
        <f aca="false">SUM(F250:L250)</f>
        <v>0</v>
      </c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</row>
    <row r="251" customFormat="false" ht="13.8" hidden="false" customHeight="false" outlineLevel="0" collapsed="false">
      <c r="B251" s="416"/>
      <c r="C251" s="416"/>
      <c r="D251" s="416"/>
      <c r="E251" s="416"/>
      <c r="F251" s="416"/>
      <c r="G251" s="416"/>
      <c r="H251" s="416"/>
      <c r="I251" s="416"/>
      <c r="J251" s="416"/>
      <c r="K251" s="416"/>
      <c r="L251" s="416"/>
      <c r="M251" s="416"/>
    </row>
    <row r="252" customFormat="false" ht="15" hidden="false" customHeight="false" outlineLevel="0" collapsed="false">
      <c r="B252" s="417" t="s">
        <v>232</v>
      </c>
      <c r="C252" s="417"/>
      <c r="D252" s="417"/>
      <c r="E252" s="417"/>
      <c r="F252" s="417"/>
      <c r="G252" s="417"/>
      <c r="H252" s="417"/>
      <c r="I252" s="417"/>
      <c r="J252" s="417"/>
      <c r="K252" s="417"/>
      <c r="L252" s="417"/>
      <c r="M252" s="417"/>
      <c r="N252" s="417"/>
      <c r="O252" s="417"/>
      <c r="P252" s="417"/>
      <c r="Q252" s="417"/>
      <c r="R252" s="417"/>
      <c r="S252" s="417"/>
      <c r="T252" s="417"/>
    </row>
    <row r="253" customFormat="false" ht="13.8" hidden="false" customHeight="false" outlineLevel="0" collapsed="false">
      <c r="N253" s="411"/>
      <c r="O253" s="280"/>
    </row>
    <row r="254" customFormat="false" ht="13.8" hidden="false" customHeight="false" outlineLevel="0" collapsed="false">
      <c r="B254" s="61" t="s">
        <v>233</v>
      </c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411"/>
      <c r="O254" s="280"/>
    </row>
    <row r="255" customFormat="false" ht="13.8" hidden="false" customHeight="false" outlineLevel="0" collapsed="false">
      <c r="N255" s="411"/>
      <c r="O255" s="280"/>
    </row>
    <row r="256" s="280" customFormat="true" ht="31.5" hidden="false" customHeight="true" outlineLevel="0" collapsed="false">
      <c r="A256" s="410" t="n">
        <v>25</v>
      </c>
      <c r="B256" s="648" t="s">
        <v>234</v>
      </c>
      <c r="C256" s="648"/>
      <c r="D256" s="521" t="s">
        <v>235</v>
      </c>
      <c r="E256" s="521"/>
      <c r="F256" s="521" t="s">
        <v>236</v>
      </c>
      <c r="G256" s="521"/>
      <c r="H256" s="521" t="s">
        <v>371</v>
      </c>
      <c r="I256" s="521"/>
      <c r="J256" s="411"/>
      <c r="R256" s="411"/>
      <c r="S256" s="411"/>
      <c r="T256" s="411"/>
      <c r="U256" s="411"/>
      <c r="V256" s="411"/>
      <c r="W256" s="411"/>
      <c r="X256" s="411"/>
      <c r="Y256" s="411"/>
      <c r="Z256" s="411"/>
      <c r="AA256" s="411"/>
    </row>
    <row r="257" customFormat="false" ht="30.75" hidden="false" customHeight="true" outlineLevel="0" collapsed="false">
      <c r="B257" s="648"/>
      <c r="C257" s="648"/>
      <c r="D257" s="522" t="s">
        <v>238</v>
      </c>
      <c r="E257" s="523" t="s">
        <v>239</v>
      </c>
      <c r="F257" s="522" t="s">
        <v>238</v>
      </c>
      <c r="G257" s="523" t="s">
        <v>239</v>
      </c>
      <c r="H257" s="522" t="s">
        <v>238</v>
      </c>
      <c r="I257" s="523" t="s">
        <v>239</v>
      </c>
      <c r="J257" s="411"/>
      <c r="O257" s="280"/>
      <c r="R257" s="411"/>
      <c r="S257" s="411"/>
      <c r="T257" s="411"/>
      <c r="U257" s="411"/>
      <c r="V257" s="411"/>
      <c r="W257" s="411"/>
      <c r="X257" s="411"/>
      <c r="Y257" s="411"/>
      <c r="Z257" s="411"/>
      <c r="AA257" s="411"/>
    </row>
    <row r="258" customFormat="false" ht="13.8" hidden="false" customHeight="false" outlineLevel="0" collapsed="false">
      <c r="B258" s="525" t="s">
        <v>240</v>
      </c>
      <c r="C258" s="525"/>
      <c r="D258" s="211" t="n">
        <v>0</v>
      </c>
      <c r="E258" s="212" t="n">
        <v>0</v>
      </c>
      <c r="F258" s="211" t="n">
        <v>0</v>
      </c>
      <c r="G258" s="212" t="n">
        <v>0</v>
      </c>
      <c r="H258" s="211" t="n">
        <v>0</v>
      </c>
      <c r="I258" s="212" t="n">
        <v>0</v>
      </c>
      <c r="J258" s="98"/>
      <c r="O258" s="280"/>
      <c r="R258" s="411"/>
      <c r="S258" s="411"/>
      <c r="T258" s="411"/>
      <c r="U258" s="411"/>
      <c r="V258" s="411"/>
      <c r="W258" s="411"/>
      <c r="X258" s="411"/>
      <c r="Y258" s="411"/>
      <c r="Z258" s="411"/>
      <c r="AA258" s="411"/>
    </row>
    <row r="259" s="411" customFormat="true" ht="13.8" hidden="false" customHeight="true" outlineLevel="0" collapsed="false">
      <c r="A259" s="410"/>
      <c r="B259" s="214" t="s">
        <v>241</v>
      </c>
      <c r="C259" s="214"/>
      <c r="D259" s="215" t="n">
        <v>0</v>
      </c>
      <c r="E259" s="153" t="n">
        <v>0</v>
      </c>
      <c r="F259" s="215" t="n">
        <v>0</v>
      </c>
      <c r="G259" s="153" t="n">
        <v>0</v>
      </c>
      <c r="H259" s="215" t="n">
        <v>0</v>
      </c>
      <c r="I259" s="153" t="n">
        <v>0</v>
      </c>
      <c r="J259" s="98"/>
      <c r="K259" s="280"/>
      <c r="L259" s="280"/>
      <c r="M259" s="280"/>
      <c r="N259" s="280"/>
      <c r="O259" s="280"/>
      <c r="P259" s="280"/>
    </row>
    <row r="260" s="411" customFormat="true" ht="13.8" hidden="false" customHeight="false" outlineLevel="0" collapsed="false">
      <c r="A260" s="410"/>
      <c r="B260" s="253" t="s">
        <v>242</v>
      </c>
      <c r="C260" s="253"/>
      <c r="D260" s="215" t="n">
        <v>0</v>
      </c>
      <c r="E260" s="153" t="n">
        <v>0</v>
      </c>
      <c r="F260" s="215" t="n">
        <v>0</v>
      </c>
      <c r="G260" s="153" t="n">
        <v>0</v>
      </c>
      <c r="H260" s="215" t="n">
        <v>0</v>
      </c>
      <c r="I260" s="153" t="n">
        <v>0</v>
      </c>
      <c r="J260" s="98"/>
      <c r="K260" s="280"/>
      <c r="L260" s="280"/>
      <c r="M260" s="280"/>
      <c r="N260" s="280"/>
      <c r="O260" s="280"/>
      <c r="P260" s="280"/>
    </row>
    <row r="261" s="411" customFormat="true" ht="13.8" hidden="false" customHeight="false" outlineLevel="0" collapsed="false">
      <c r="A261" s="410"/>
      <c r="B261" s="253" t="s">
        <v>243</v>
      </c>
      <c r="C261" s="253"/>
      <c r="D261" s="215" t="n">
        <v>0</v>
      </c>
      <c r="E261" s="153" t="n">
        <v>0</v>
      </c>
      <c r="F261" s="215" t="n">
        <v>0</v>
      </c>
      <c r="G261" s="153" t="n">
        <v>0</v>
      </c>
      <c r="H261" s="215" t="n">
        <v>0</v>
      </c>
      <c r="I261" s="153" t="n">
        <v>0</v>
      </c>
      <c r="J261" s="98"/>
      <c r="K261" s="280"/>
      <c r="L261" s="280"/>
      <c r="M261" s="280"/>
      <c r="N261" s="280"/>
      <c r="O261" s="280"/>
      <c r="P261" s="280"/>
    </row>
    <row r="262" s="411" customFormat="true" ht="13.8" hidden="false" customHeight="false" outlineLevel="0" collapsed="false">
      <c r="A262" s="410"/>
      <c r="B262" s="216" t="s">
        <v>244</v>
      </c>
      <c r="C262" s="216"/>
      <c r="D262" s="215" t="n">
        <v>0</v>
      </c>
      <c r="E262" s="217" t="n">
        <v>0</v>
      </c>
      <c r="F262" s="215" t="n">
        <v>0</v>
      </c>
      <c r="G262" s="217" t="n">
        <v>0</v>
      </c>
      <c r="H262" s="215" t="n">
        <v>0</v>
      </c>
      <c r="I262" s="153" t="n">
        <v>0</v>
      </c>
      <c r="K262" s="280"/>
      <c r="L262" s="280"/>
      <c r="M262" s="280"/>
      <c r="N262" s="280"/>
      <c r="O262" s="280"/>
      <c r="P262" s="280"/>
    </row>
    <row r="263" s="411" customFormat="true" ht="13.8" hidden="false" customHeight="false" outlineLevel="0" collapsed="false">
      <c r="A263" s="410"/>
      <c r="B263" s="253" t="s">
        <v>245</v>
      </c>
      <c r="C263" s="253"/>
      <c r="D263" s="215" t="n">
        <v>0</v>
      </c>
      <c r="E263" s="217" t="n">
        <v>0</v>
      </c>
      <c r="F263" s="215" t="n">
        <v>0</v>
      </c>
      <c r="G263" s="217" t="n">
        <v>0</v>
      </c>
      <c r="H263" s="215" t="n">
        <v>0</v>
      </c>
      <c r="I263" s="153" t="n">
        <v>0</v>
      </c>
      <c r="J263" s="303"/>
      <c r="L263" s="280"/>
      <c r="M263" s="280"/>
      <c r="N263" s="280"/>
      <c r="O263" s="280"/>
      <c r="P263" s="280"/>
      <c r="Q263" s="280"/>
    </row>
    <row r="264" s="411" customFormat="true" ht="13.8" hidden="false" customHeight="true" outlineLevel="0" collapsed="false">
      <c r="A264" s="410"/>
      <c r="B264" s="223" t="s">
        <v>246</v>
      </c>
      <c r="C264" s="223"/>
      <c r="D264" s="364" t="n">
        <v>0</v>
      </c>
      <c r="E264" s="365" t="n">
        <v>0</v>
      </c>
      <c r="F264" s="364" t="n">
        <v>0</v>
      </c>
      <c r="G264" s="365" t="n">
        <v>0</v>
      </c>
      <c r="H264" s="364" t="n">
        <v>0</v>
      </c>
      <c r="I264" s="366" t="n">
        <v>0</v>
      </c>
      <c r="J264" s="303"/>
      <c r="L264" s="280"/>
      <c r="M264" s="280"/>
      <c r="N264" s="280"/>
      <c r="O264" s="280"/>
      <c r="P264" s="280"/>
      <c r="Q264" s="280"/>
    </row>
    <row r="265" s="411" customFormat="true" ht="13.8" hidden="false" customHeight="false" outlineLevel="0" collapsed="false">
      <c r="A265" s="410"/>
      <c r="B265" s="530" t="s">
        <v>12</v>
      </c>
      <c r="C265" s="530"/>
      <c r="D265" s="367" t="n">
        <f aca="false">SUM(D258:D264)</f>
        <v>0</v>
      </c>
      <c r="E265" s="368" t="n">
        <f aca="false">SUM(E258:E264)</f>
        <v>0</v>
      </c>
      <c r="F265" s="367" t="n">
        <f aca="false">SUM(F258:F264)</f>
        <v>0</v>
      </c>
      <c r="G265" s="368" t="n">
        <f aca="false">SUM(G258:G264)</f>
        <v>0</v>
      </c>
      <c r="H265" s="367" t="n">
        <f aca="false">SUM(H258:H264)</f>
        <v>0</v>
      </c>
      <c r="I265" s="368" t="n">
        <f aca="false">SUM(I258:I264)</f>
        <v>0</v>
      </c>
      <c r="J265" s="303"/>
      <c r="L265" s="280"/>
      <c r="M265" s="280"/>
      <c r="N265" s="280"/>
      <c r="O265" s="280"/>
      <c r="P265" s="280"/>
      <c r="Q265" s="3"/>
    </row>
    <row r="266" s="411" customFormat="true" ht="13.8" hidden="false" customHeight="false" outlineLevel="0" collapsed="false">
      <c r="A266" s="494"/>
      <c r="B266" s="531"/>
      <c r="C266" s="531"/>
      <c r="D266" s="303"/>
      <c r="E266" s="303"/>
      <c r="F266" s="303"/>
      <c r="G266" s="303"/>
      <c r="H266" s="303"/>
      <c r="I266" s="303"/>
      <c r="J266" s="303"/>
      <c r="K266" s="303"/>
      <c r="L266" s="303"/>
      <c r="M266" s="303"/>
      <c r="N266" s="280"/>
      <c r="P266" s="280"/>
      <c r="Q266" s="280"/>
      <c r="R266" s="280"/>
      <c r="S266" s="280"/>
      <c r="T266" s="280"/>
      <c r="U266" s="280"/>
    </row>
    <row r="267" s="411" customFormat="true" ht="13.8" hidden="false" customHeight="false" outlineLevel="0" collapsed="false">
      <c r="A267" s="494"/>
      <c r="B267" s="61" t="s">
        <v>247</v>
      </c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O267" s="280"/>
      <c r="P267" s="280"/>
      <c r="Q267" s="280"/>
      <c r="R267" s="280"/>
      <c r="S267" s="280"/>
      <c r="T267" s="280"/>
    </row>
    <row r="268" s="411" customFormat="true" ht="13.8" hidden="false" customHeight="false" outlineLevel="0" collapsed="false">
      <c r="A268" s="494"/>
      <c r="B268" s="280"/>
      <c r="C268" s="280"/>
      <c r="D268" s="280"/>
      <c r="E268" s="280"/>
      <c r="F268" s="280"/>
      <c r="G268" s="280"/>
      <c r="H268" s="280"/>
      <c r="I268" s="280"/>
      <c r="J268" s="280"/>
      <c r="K268" s="280"/>
      <c r="L268" s="280"/>
      <c r="M268" s="280"/>
      <c r="O268" s="280"/>
      <c r="P268" s="280"/>
      <c r="Q268" s="280"/>
      <c r="R268" s="280"/>
      <c r="S268" s="280"/>
      <c r="T268" s="280"/>
    </row>
    <row r="269" s="411" customFormat="true" ht="36" hidden="false" customHeight="true" outlineLevel="0" collapsed="false">
      <c r="A269" s="494" t="n">
        <v>26</v>
      </c>
      <c r="B269" s="648" t="s">
        <v>234</v>
      </c>
      <c r="C269" s="648"/>
      <c r="D269" s="521" t="s">
        <v>235</v>
      </c>
      <c r="E269" s="521"/>
      <c r="F269" s="521" t="s">
        <v>236</v>
      </c>
      <c r="G269" s="521"/>
      <c r="H269" s="521" t="s">
        <v>371</v>
      </c>
      <c r="I269" s="521"/>
      <c r="K269" s="280"/>
      <c r="L269" s="280"/>
      <c r="M269" s="280"/>
      <c r="N269" s="280"/>
      <c r="O269" s="280"/>
      <c r="P269" s="280"/>
    </row>
    <row r="270" s="411" customFormat="true" ht="14.9" hidden="false" customHeight="false" outlineLevel="0" collapsed="false">
      <c r="A270" s="494"/>
      <c r="B270" s="648"/>
      <c r="C270" s="648"/>
      <c r="D270" s="649" t="s">
        <v>238</v>
      </c>
      <c r="E270" s="650" t="s">
        <v>239</v>
      </c>
      <c r="F270" s="649" t="s">
        <v>238</v>
      </c>
      <c r="G270" s="650" t="s">
        <v>239</v>
      </c>
      <c r="H270" s="649" t="s">
        <v>238</v>
      </c>
      <c r="I270" s="650" t="s">
        <v>239</v>
      </c>
      <c r="K270" s="280"/>
      <c r="L270" s="280"/>
      <c r="M270" s="280"/>
      <c r="N270" s="280"/>
      <c r="O270" s="280"/>
      <c r="P270" s="280"/>
      <c r="R270" s="280"/>
      <c r="S270" s="280"/>
      <c r="T270" s="280"/>
      <c r="U270" s="280"/>
      <c r="V270" s="280"/>
      <c r="W270" s="280"/>
      <c r="X270" s="280"/>
      <c r="Y270" s="280"/>
      <c r="Z270" s="280"/>
      <c r="AA270" s="280"/>
    </row>
    <row r="271" s="411" customFormat="true" ht="13.8" hidden="false" customHeight="false" outlineLevel="0" collapsed="false">
      <c r="A271" s="494"/>
      <c r="B271" s="525" t="s">
        <v>240</v>
      </c>
      <c r="C271" s="525"/>
      <c r="D271" s="211" t="n">
        <v>0</v>
      </c>
      <c r="E271" s="212" t="n">
        <v>0</v>
      </c>
      <c r="F271" s="211" t="n">
        <v>0</v>
      </c>
      <c r="G271" s="212" t="n">
        <v>0</v>
      </c>
      <c r="H271" s="211" t="n">
        <v>0</v>
      </c>
      <c r="I271" s="212" t="n">
        <v>0</v>
      </c>
      <c r="J271" s="98"/>
      <c r="K271" s="280"/>
      <c r="L271" s="280"/>
      <c r="M271" s="280"/>
      <c r="N271" s="280"/>
      <c r="O271" s="280"/>
      <c r="P271" s="280"/>
      <c r="R271" s="280"/>
      <c r="S271" s="280"/>
      <c r="T271" s="280"/>
      <c r="U271" s="280"/>
      <c r="V271" s="280"/>
      <c r="W271" s="280"/>
      <c r="X271" s="280"/>
      <c r="Y271" s="280"/>
      <c r="Z271" s="280"/>
      <c r="AA271" s="280"/>
    </row>
    <row r="272" s="411" customFormat="true" ht="13.8" hidden="false" customHeight="true" outlineLevel="0" collapsed="false">
      <c r="A272" s="494"/>
      <c r="B272" s="214" t="s">
        <v>241</v>
      </c>
      <c r="C272" s="214"/>
      <c r="D272" s="215" t="n">
        <v>0</v>
      </c>
      <c r="E272" s="153" t="n">
        <v>0</v>
      </c>
      <c r="F272" s="215" t="n">
        <v>0</v>
      </c>
      <c r="G272" s="153" t="n">
        <v>0</v>
      </c>
      <c r="H272" s="215" t="n">
        <v>0</v>
      </c>
      <c r="I272" s="153" t="n">
        <v>0</v>
      </c>
      <c r="J272" s="98"/>
      <c r="K272" s="280"/>
      <c r="L272" s="280"/>
      <c r="M272" s="280"/>
      <c r="N272" s="280"/>
      <c r="O272" s="280"/>
      <c r="P272" s="280"/>
      <c r="R272" s="280"/>
      <c r="S272" s="280"/>
      <c r="T272" s="280"/>
      <c r="U272" s="280"/>
      <c r="V272" s="280"/>
      <c r="W272" s="280"/>
      <c r="X272" s="280"/>
      <c r="Y272" s="280"/>
      <c r="Z272" s="280"/>
      <c r="AA272" s="280"/>
    </row>
    <row r="273" s="280" customFormat="true" ht="13.8" hidden="false" customHeight="false" outlineLevel="0" collapsed="false">
      <c r="A273" s="494"/>
      <c r="B273" s="253" t="s">
        <v>242</v>
      </c>
      <c r="C273" s="253"/>
      <c r="D273" s="215" t="n">
        <v>0</v>
      </c>
      <c r="E273" s="153" t="n">
        <v>0</v>
      </c>
      <c r="F273" s="215" t="n">
        <v>0</v>
      </c>
      <c r="G273" s="153" t="n">
        <v>0</v>
      </c>
      <c r="H273" s="215" t="n">
        <v>0</v>
      </c>
      <c r="I273" s="153" t="n">
        <v>0</v>
      </c>
      <c r="J273" s="98"/>
    </row>
    <row r="274" s="280" customFormat="true" ht="13.8" hidden="false" customHeight="false" outlineLevel="0" collapsed="false">
      <c r="A274" s="494"/>
      <c r="B274" s="253" t="s">
        <v>243</v>
      </c>
      <c r="C274" s="253"/>
      <c r="D274" s="215" t="n">
        <v>0</v>
      </c>
      <c r="E274" s="153" t="n">
        <v>0</v>
      </c>
      <c r="F274" s="215" t="n">
        <v>0</v>
      </c>
      <c r="G274" s="153" t="n">
        <v>0</v>
      </c>
      <c r="H274" s="215" t="n">
        <v>0</v>
      </c>
      <c r="I274" s="153" t="n">
        <v>0</v>
      </c>
      <c r="J274" s="98"/>
    </row>
    <row r="275" s="280" customFormat="true" ht="13.8" hidden="false" customHeight="false" outlineLevel="0" collapsed="false">
      <c r="A275" s="494"/>
      <c r="B275" s="216" t="s">
        <v>244</v>
      </c>
      <c r="C275" s="216"/>
      <c r="D275" s="215" t="n">
        <v>0</v>
      </c>
      <c r="E275" s="217" t="n">
        <v>0</v>
      </c>
      <c r="F275" s="215" t="n">
        <v>0</v>
      </c>
      <c r="G275" s="217" t="n">
        <v>0</v>
      </c>
      <c r="H275" s="215" t="n">
        <v>0</v>
      </c>
      <c r="I275" s="153" t="n">
        <v>0</v>
      </c>
      <c r="J275" s="411"/>
    </row>
    <row r="276" s="280" customFormat="true" ht="13.8" hidden="false" customHeight="false" outlineLevel="0" collapsed="false">
      <c r="A276" s="494"/>
      <c r="B276" s="253" t="s">
        <v>245</v>
      </c>
      <c r="C276" s="253"/>
      <c r="D276" s="215" t="n">
        <v>0</v>
      </c>
      <c r="E276" s="217" t="n">
        <v>0</v>
      </c>
      <c r="F276" s="215" t="n">
        <v>0</v>
      </c>
      <c r="G276" s="217" t="n">
        <v>0</v>
      </c>
      <c r="H276" s="215" t="n">
        <v>0</v>
      </c>
      <c r="I276" s="153" t="n">
        <v>0</v>
      </c>
      <c r="J276" s="416"/>
      <c r="K276" s="411"/>
    </row>
    <row r="277" s="280" customFormat="true" ht="15" hidden="false" customHeight="true" outlineLevel="0" collapsed="false">
      <c r="A277" s="494"/>
      <c r="B277" s="651" t="s">
        <v>246</v>
      </c>
      <c r="C277" s="651"/>
      <c r="D277" s="652" t="n">
        <v>0</v>
      </c>
      <c r="E277" s="653" t="n">
        <v>0</v>
      </c>
      <c r="F277" s="652" t="n">
        <v>0</v>
      </c>
      <c r="G277" s="653" t="n">
        <v>0</v>
      </c>
      <c r="H277" s="652" t="n">
        <v>0</v>
      </c>
      <c r="I277" s="654" t="n">
        <v>0</v>
      </c>
      <c r="J277" s="645"/>
      <c r="K277" s="411"/>
    </row>
    <row r="278" s="280" customFormat="true" ht="13.8" hidden="false" customHeight="false" outlineLevel="0" collapsed="false">
      <c r="A278" s="494"/>
      <c r="B278" s="530" t="s">
        <v>12</v>
      </c>
      <c r="C278" s="530"/>
      <c r="D278" s="367" t="n">
        <f aca="false">SUM(D271:D277)</f>
        <v>0</v>
      </c>
      <c r="E278" s="368" t="n">
        <f aca="false">SUM(E271:E277)</f>
        <v>0</v>
      </c>
      <c r="F278" s="367" t="n">
        <f aca="false">SUM(F271:F277)</f>
        <v>0</v>
      </c>
      <c r="G278" s="368" t="n">
        <f aca="false">SUM(G271:G277)</f>
        <v>0</v>
      </c>
      <c r="H278" s="367" t="n">
        <f aca="false">SUM(H271:H277)</f>
        <v>0</v>
      </c>
      <c r="I278" s="368" t="n">
        <f aca="false">SUM(I271:I277)</f>
        <v>0</v>
      </c>
      <c r="K278" s="411"/>
    </row>
    <row r="279" customFormat="false" ht="13.8" hidden="false" customHeight="false" outlineLevel="0" collapsed="false">
      <c r="B279" s="416"/>
      <c r="C279" s="416"/>
      <c r="D279" s="416"/>
      <c r="E279" s="416"/>
      <c r="F279" s="416"/>
      <c r="G279" s="416"/>
      <c r="H279" s="416"/>
      <c r="I279" s="416"/>
      <c r="J279" s="416"/>
      <c r="K279" s="416"/>
      <c r="L279" s="416"/>
      <c r="M279" s="416"/>
    </row>
    <row r="280" customFormat="false" ht="15" hidden="false" customHeight="false" outlineLevel="0" collapsed="false">
      <c r="B280" s="417" t="s">
        <v>372</v>
      </c>
      <c r="C280" s="417"/>
      <c r="D280" s="417"/>
      <c r="E280" s="417"/>
      <c r="F280" s="417"/>
      <c r="G280" s="417"/>
      <c r="H280" s="417"/>
      <c r="I280" s="417"/>
      <c r="J280" s="417"/>
      <c r="K280" s="417"/>
      <c r="L280" s="417"/>
      <c r="M280" s="417"/>
      <c r="N280" s="417"/>
      <c r="O280" s="417"/>
      <c r="P280" s="417"/>
      <c r="Q280" s="417"/>
      <c r="R280" s="417"/>
      <c r="S280" s="417"/>
      <c r="T280" s="417"/>
      <c r="V280" s="493"/>
      <c r="W280" s="493"/>
      <c r="X280" s="493"/>
      <c r="Y280" s="493"/>
      <c r="Z280" s="493"/>
      <c r="AA280" s="493"/>
      <c r="AB280" s="493"/>
      <c r="AC280" s="493"/>
      <c r="AD280" s="493"/>
      <c r="AE280" s="493"/>
    </row>
    <row r="281" customFormat="false" ht="13.8" hidden="false" customHeight="false" outlineLevel="0" collapsed="false"/>
    <row r="282" customFormat="false" ht="17.25" hidden="false" customHeight="true" outlineLevel="0" collapsed="false">
      <c r="A282" s="410" t="n">
        <v>27</v>
      </c>
      <c r="B282" s="655" t="s">
        <v>373</v>
      </c>
      <c r="C282" s="655"/>
      <c r="D282" s="238" t="s">
        <v>374</v>
      </c>
      <c r="E282" s="238"/>
      <c r="F282" s="496" t="s">
        <v>375</v>
      </c>
      <c r="G282" s="496"/>
      <c r="H282" s="498" t="s">
        <v>376</v>
      </c>
      <c r="I282" s="498"/>
      <c r="J282" s="392" t="s">
        <v>12</v>
      </c>
      <c r="K282" s="392"/>
      <c r="L282" s="602"/>
      <c r="N282" s="645"/>
      <c r="O282" s="645"/>
    </row>
    <row r="283" s="493" customFormat="true" ht="17.25" hidden="false" customHeight="true" outlineLevel="0" collapsed="false">
      <c r="A283" s="410"/>
      <c r="B283" s="656" t="n">
        <v>0</v>
      </c>
      <c r="C283" s="656"/>
      <c r="D283" s="657" t="n">
        <v>0</v>
      </c>
      <c r="E283" s="657"/>
      <c r="F283" s="657" t="n">
        <v>0</v>
      </c>
      <c r="G283" s="657"/>
      <c r="H283" s="658" t="n">
        <v>0</v>
      </c>
      <c r="I283" s="658"/>
      <c r="J283" s="659" t="n">
        <f aca="false">SUM(B283:I283)</f>
        <v>0</v>
      </c>
      <c r="K283" s="659"/>
      <c r="L283" s="303"/>
      <c r="M283" s="280"/>
      <c r="N283" s="645"/>
      <c r="O283" s="645"/>
      <c r="V283" s="280"/>
      <c r="W283" s="280"/>
      <c r="X283" s="280"/>
      <c r="Y283" s="280"/>
      <c r="Z283" s="280"/>
      <c r="AA283" s="280"/>
      <c r="AB283" s="280"/>
      <c r="AC283" s="280"/>
      <c r="AD283" s="280"/>
      <c r="AE283" s="280"/>
    </row>
    <row r="284" customFormat="false" ht="13.8" hidden="false" customHeight="false" outlineLevel="0" collapsed="false"/>
    <row r="285" customFormat="false" ht="15" hidden="false" customHeight="false" outlineLevel="0" collapsed="false">
      <c r="B285" s="660" t="s">
        <v>377</v>
      </c>
      <c r="C285" s="660"/>
      <c r="D285" s="660"/>
      <c r="E285" s="660"/>
      <c r="F285" s="660"/>
      <c r="G285" s="660"/>
      <c r="H285" s="660"/>
      <c r="I285" s="660"/>
      <c r="J285" s="660"/>
      <c r="K285" s="660"/>
      <c r="L285" s="660"/>
      <c r="M285" s="660"/>
      <c r="N285" s="660"/>
      <c r="O285" s="660"/>
      <c r="P285" s="660"/>
      <c r="Q285" s="660"/>
      <c r="R285" s="660"/>
      <c r="S285" s="660"/>
      <c r="T285" s="660"/>
    </row>
    <row r="286" customFormat="false" ht="15" hidden="false" customHeight="false" outlineLevel="0" collapsed="false">
      <c r="B286" s="661"/>
      <c r="C286" s="661"/>
      <c r="D286" s="661"/>
      <c r="E286" s="661"/>
      <c r="F286" s="661"/>
      <c r="G286" s="661"/>
      <c r="H286" s="661"/>
      <c r="I286" s="661"/>
      <c r="J286" s="661"/>
      <c r="K286" s="661"/>
      <c r="L286" s="661"/>
      <c r="M286" s="661"/>
      <c r="N286" s="661"/>
      <c r="O286" s="661"/>
      <c r="P286" s="661"/>
      <c r="Q286" s="661"/>
      <c r="R286" s="661"/>
      <c r="S286" s="661"/>
      <c r="T286" s="661"/>
    </row>
    <row r="287" customFormat="false" ht="15" hidden="false" customHeight="false" outlineLevel="0" collapsed="false">
      <c r="B287" s="662" t="s">
        <v>378</v>
      </c>
      <c r="C287" s="663"/>
      <c r="D287" s="663"/>
      <c r="E287" s="663"/>
      <c r="F287" s="663"/>
      <c r="G287" s="663"/>
      <c r="H287" s="663"/>
      <c r="I287" s="663"/>
      <c r="J287" s="663"/>
      <c r="K287" s="663"/>
      <c r="L287" s="661"/>
      <c r="M287" s="661"/>
      <c r="N287" s="661"/>
      <c r="O287" s="661"/>
      <c r="P287" s="661"/>
      <c r="Q287" s="661"/>
      <c r="R287" s="661"/>
      <c r="S287" s="661"/>
      <c r="T287" s="661"/>
    </row>
    <row r="288" customFormat="false" ht="31.5" hidden="false" customHeight="true" outlineLevel="0" collapsed="false">
      <c r="A288" s="410" t="n">
        <v>28</v>
      </c>
      <c r="B288" s="664" t="s">
        <v>379</v>
      </c>
      <c r="C288" s="664"/>
      <c r="D288" s="664"/>
      <c r="E288" s="664"/>
      <c r="F288" s="664"/>
      <c r="G288" s="664"/>
      <c r="H288" s="664"/>
      <c r="I288" s="664"/>
      <c r="J288" s="664"/>
      <c r="K288" s="665" t="n">
        <v>0</v>
      </c>
      <c r="L288" s="661"/>
      <c r="M288" s="661"/>
      <c r="N288" s="661"/>
      <c r="O288" s="661"/>
      <c r="P288" s="661"/>
      <c r="Q288" s="661"/>
      <c r="R288" s="661"/>
      <c r="S288" s="661"/>
      <c r="T288" s="661"/>
    </row>
    <row r="289" customFormat="false" ht="31.5" hidden="false" customHeight="true" outlineLevel="0" collapsed="false">
      <c r="B289" s="666" t="s">
        <v>380</v>
      </c>
      <c r="C289" s="666"/>
      <c r="D289" s="666"/>
      <c r="E289" s="666"/>
      <c r="F289" s="666"/>
      <c r="G289" s="666"/>
      <c r="H289" s="666"/>
      <c r="I289" s="666"/>
      <c r="J289" s="666"/>
      <c r="K289" s="667" t="n">
        <v>0</v>
      </c>
      <c r="L289" s="661"/>
      <c r="M289" s="661"/>
      <c r="N289" s="661"/>
      <c r="O289" s="661"/>
      <c r="P289" s="661"/>
      <c r="Q289" s="661"/>
      <c r="R289" s="661"/>
      <c r="S289" s="661"/>
      <c r="T289" s="661"/>
    </row>
    <row r="290" customFormat="false" ht="15" hidden="false" customHeight="false" outlineLevel="0" collapsed="false">
      <c r="B290" s="668"/>
      <c r="C290" s="668"/>
      <c r="D290" s="668"/>
      <c r="E290" s="668"/>
      <c r="F290" s="668"/>
      <c r="G290" s="668"/>
      <c r="H290" s="668"/>
      <c r="I290" s="668"/>
      <c r="J290" s="668"/>
      <c r="K290" s="668"/>
      <c r="L290" s="668"/>
      <c r="M290" s="668"/>
    </row>
    <row r="291" customFormat="false" ht="13.8" hidden="false" customHeight="false" outlineLevel="0" collapsed="false">
      <c r="B291" s="662" t="s">
        <v>381</v>
      </c>
      <c r="C291" s="662"/>
      <c r="D291" s="662"/>
      <c r="E291" s="662"/>
      <c r="F291" s="662"/>
      <c r="G291" s="669"/>
      <c r="H291" s="669"/>
      <c r="I291" s="669"/>
      <c r="J291" s="669"/>
    </row>
    <row r="292" customFormat="false" ht="15" hidden="false" customHeight="false" outlineLevel="0" collapsed="false">
      <c r="A292" s="410" t="n">
        <v>29</v>
      </c>
      <c r="B292" s="670" t="s">
        <v>382</v>
      </c>
      <c r="C292" s="670"/>
      <c r="D292" s="670"/>
      <c r="E292" s="670"/>
      <c r="F292" s="670"/>
      <c r="G292" s="671" t="n">
        <v>0</v>
      </c>
      <c r="H292" s="671"/>
      <c r="I292" s="671"/>
      <c r="J292" s="671"/>
      <c r="N292" s="672"/>
    </row>
    <row r="293" customFormat="false" ht="13.5" hidden="false" customHeight="false" outlineLevel="0" collapsed="false">
      <c r="B293" s="673" t="s">
        <v>383</v>
      </c>
      <c r="C293" s="673"/>
      <c r="D293" s="673"/>
      <c r="E293" s="673"/>
      <c r="F293" s="673"/>
      <c r="G293" s="674" t="n">
        <v>0</v>
      </c>
      <c r="H293" s="674"/>
      <c r="I293" s="674"/>
      <c r="J293" s="674"/>
      <c r="N293" s="411"/>
      <c r="O293" s="280"/>
    </row>
    <row r="294" customFormat="false" ht="31.5" hidden="false" customHeight="true" outlineLevel="0" collapsed="false">
      <c r="B294" s="675" t="s">
        <v>384</v>
      </c>
      <c r="C294" s="675"/>
      <c r="D294" s="675"/>
      <c r="E294" s="675"/>
      <c r="F294" s="675"/>
      <c r="G294" s="676" t="n">
        <v>0</v>
      </c>
      <c r="H294" s="676"/>
      <c r="I294" s="676"/>
      <c r="J294" s="676"/>
      <c r="N294" s="411"/>
      <c r="O294" s="280"/>
    </row>
    <row r="295" customFormat="false" ht="47.25" hidden="false" customHeight="true" outlineLevel="0" collapsed="false">
      <c r="B295" s="677" t="s">
        <v>385</v>
      </c>
      <c r="C295" s="677"/>
      <c r="D295" s="677"/>
      <c r="E295" s="677"/>
      <c r="F295" s="677"/>
      <c r="G295" s="678" t="n">
        <v>0</v>
      </c>
      <c r="H295" s="678"/>
      <c r="I295" s="678"/>
      <c r="J295" s="678"/>
      <c r="N295" s="411"/>
      <c r="O295" s="280"/>
    </row>
    <row r="296" customFormat="false" ht="15.75" hidden="false" customHeight="true" outlineLevel="0" collapsed="false">
      <c r="B296" s="679"/>
      <c r="C296" s="679"/>
      <c r="D296" s="679"/>
      <c r="E296" s="679"/>
      <c r="F296" s="679"/>
      <c r="G296" s="680"/>
      <c r="H296" s="680"/>
      <c r="I296" s="680"/>
      <c r="J296" s="680"/>
      <c r="N296" s="411"/>
      <c r="O296" s="280"/>
    </row>
    <row r="297" customFormat="false" ht="15.75" hidden="false" customHeight="true" outlineLevel="0" collapsed="false">
      <c r="B297" s="681" t="s">
        <v>386</v>
      </c>
      <c r="C297" s="682"/>
      <c r="D297" s="682"/>
      <c r="E297" s="682"/>
      <c r="F297" s="682"/>
      <c r="G297" s="683"/>
      <c r="H297" s="683"/>
      <c r="I297" s="683"/>
      <c r="J297" s="683"/>
      <c r="K297" s="91"/>
      <c r="N297" s="411"/>
      <c r="O297" s="280"/>
    </row>
    <row r="298" s="280" customFormat="true" ht="31.5" hidden="false" customHeight="true" outlineLevel="0" collapsed="false">
      <c r="A298" s="410" t="n">
        <v>30</v>
      </c>
      <c r="B298" s="684" t="s">
        <v>387</v>
      </c>
      <c r="C298" s="684"/>
      <c r="D298" s="684"/>
      <c r="E298" s="684"/>
      <c r="F298" s="684"/>
      <c r="G298" s="684"/>
      <c r="H298" s="684"/>
      <c r="I298" s="684"/>
      <c r="J298" s="684"/>
      <c r="K298" s="685" t="n">
        <v>0</v>
      </c>
      <c r="N298" s="411"/>
    </row>
    <row r="299" customFormat="false" ht="15.75" hidden="false" customHeight="true" outlineLevel="0" collapsed="false">
      <c r="B299" s="517"/>
      <c r="C299" s="517"/>
      <c r="D299" s="517"/>
      <c r="E299" s="517"/>
      <c r="F299" s="517"/>
      <c r="G299" s="391"/>
      <c r="H299" s="391"/>
      <c r="I299" s="391"/>
      <c r="J299" s="391"/>
      <c r="N299" s="411"/>
      <c r="O299" s="280"/>
    </row>
    <row r="300" customFormat="false" ht="13.8" hidden="false" customHeight="false" outlineLevel="0" collapsed="false">
      <c r="B300" s="70" t="s">
        <v>388</v>
      </c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553"/>
      <c r="N300" s="411"/>
      <c r="O300" s="280"/>
    </row>
    <row r="301" s="280" customFormat="true" ht="13.8" hidden="false" customHeight="false" outlineLevel="0" collapsed="false">
      <c r="A301" s="410" t="n">
        <v>31</v>
      </c>
      <c r="B301" s="686" t="s">
        <v>389</v>
      </c>
      <c r="C301" s="686"/>
      <c r="D301" s="686"/>
      <c r="E301" s="686"/>
      <c r="F301" s="686"/>
      <c r="G301" s="687" t="s">
        <v>390</v>
      </c>
      <c r="H301" s="688" t="s">
        <v>391</v>
      </c>
      <c r="I301" s="688" t="s">
        <v>392</v>
      </c>
      <c r="J301" s="688"/>
      <c r="K301" s="689" t="s">
        <v>393</v>
      </c>
      <c r="L301" s="689"/>
      <c r="N301" s="411"/>
    </row>
    <row r="302" customFormat="false" ht="13.8" hidden="false" customHeight="false" outlineLevel="0" collapsed="false">
      <c r="B302" s="690" t="s">
        <v>394</v>
      </c>
      <c r="C302" s="690"/>
      <c r="D302" s="690"/>
      <c r="E302" s="690"/>
      <c r="F302" s="690"/>
      <c r="G302" s="691" t="n">
        <v>0</v>
      </c>
      <c r="H302" s="692" t="n">
        <v>0</v>
      </c>
      <c r="I302" s="692" t="n">
        <v>0</v>
      </c>
      <c r="J302" s="692"/>
      <c r="K302" s="693" t="n">
        <v>0</v>
      </c>
      <c r="L302" s="693"/>
    </row>
    <row r="303" customFormat="false" ht="15" hidden="false" customHeight="false" outlineLevel="0" collapsed="false">
      <c r="B303" s="694" t="s">
        <v>395</v>
      </c>
      <c r="C303" s="694"/>
      <c r="D303" s="694"/>
      <c r="E303" s="694"/>
      <c r="F303" s="694"/>
      <c r="G303" s="695" t="n">
        <v>0</v>
      </c>
      <c r="H303" s="696" t="n">
        <v>0</v>
      </c>
      <c r="I303" s="696" t="n">
        <v>0</v>
      </c>
      <c r="J303" s="696"/>
      <c r="K303" s="697" t="n">
        <v>0</v>
      </c>
      <c r="L303" s="697"/>
      <c r="N303" s="698"/>
      <c r="O303" s="698"/>
    </row>
    <row r="304" customFormat="false" ht="15" hidden="false" customHeight="false" outlineLevel="0" collapsed="false">
      <c r="B304" s="530" t="s">
        <v>12</v>
      </c>
      <c r="C304" s="530"/>
      <c r="D304" s="530"/>
      <c r="E304" s="530"/>
      <c r="F304" s="530"/>
      <c r="G304" s="699" t="n">
        <f aca="false">SUM(G302:G303)</f>
        <v>0</v>
      </c>
      <c r="H304" s="700" t="n">
        <f aca="false">SUM(H302:H303)</f>
        <v>0</v>
      </c>
      <c r="I304" s="700" t="n">
        <f aca="false">SUM(I302:J303)</f>
        <v>0</v>
      </c>
      <c r="J304" s="700"/>
      <c r="K304" s="701" t="n">
        <f aca="false">SUM(K302:L303)</f>
        <v>0</v>
      </c>
      <c r="L304" s="701"/>
      <c r="M304" s="672"/>
      <c r="N304" s="698"/>
      <c r="O304" s="698"/>
    </row>
    <row r="305" customFormat="false" ht="15.75" hidden="false" customHeight="true" outlineLevel="0" collapsed="false">
      <c r="B305" s="233"/>
      <c r="C305" s="233"/>
      <c r="D305" s="233"/>
      <c r="E305" s="233"/>
      <c r="F305" s="233"/>
      <c r="G305" s="702"/>
      <c r="H305" s="702"/>
      <c r="I305" s="702"/>
      <c r="J305" s="703"/>
      <c r="K305" s="702"/>
      <c r="L305" s="703"/>
      <c r="M305" s="672"/>
      <c r="N305" s="698"/>
      <c r="O305" s="698"/>
    </row>
    <row r="306" customFormat="false" ht="15.75" hidden="false" customHeight="true" outlineLevel="0" collapsed="false">
      <c r="B306" s="681" t="s">
        <v>396</v>
      </c>
      <c r="C306" s="682"/>
      <c r="D306" s="682"/>
      <c r="E306" s="682"/>
      <c r="F306" s="682"/>
      <c r="G306" s="683"/>
      <c r="H306" s="683"/>
      <c r="I306" s="683"/>
      <c r="J306" s="683"/>
      <c r="K306" s="91"/>
      <c r="L306" s="91"/>
      <c r="N306" s="411"/>
      <c r="O306" s="280"/>
    </row>
    <row r="307" s="280" customFormat="true" ht="31.5" hidden="false" customHeight="true" outlineLevel="0" collapsed="false">
      <c r="A307" s="410" t="n">
        <v>32</v>
      </c>
      <c r="B307" s="704" t="s">
        <v>397</v>
      </c>
      <c r="C307" s="704"/>
      <c r="D307" s="704"/>
      <c r="E307" s="704"/>
      <c r="F307" s="704"/>
      <c r="G307" s="704"/>
      <c r="H307" s="704"/>
      <c r="I307" s="704"/>
      <c r="J307" s="704"/>
      <c r="K307" s="705"/>
      <c r="L307" s="705"/>
      <c r="N307" s="411"/>
    </row>
    <row r="308" customFormat="false" ht="15.75" hidden="false" customHeight="true" outlineLevel="0" collapsed="false">
      <c r="B308" s="679"/>
      <c r="C308" s="679"/>
      <c r="D308" s="679"/>
      <c r="E308" s="679"/>
      <c r="F308" s="679"/>
      <c r="G308" s="679"/>
      <c r="H308" s="679"/>
      <c r="I308" s="679"/>
      <c r="J308" s="679"/>
      <c r="K308" s="706"/>
      <c r="L308" s="706"/>
      <c r="N308" s="411"/>
      <c r="O308" s="280"/>
    </row>
    <row r="309" s="493" customFormat="true" ht="15.75" hidden="false" customHeight="true" outlineLevel="0" collapsed="false">
      <c r="A309" s="707"/>
      <c r="B309" s="417" t="s">
        <v>398</v>
      </c>
      <c r="C309" s="417"/>
      <c r="D309" s="417"/>
      <c r="E309" s="417"/>
      <c r="F309" s="417"/>
      <c r="G309" s="417"/>
      <c r="H309" s="417"/>
      <c r="I309" s="417"/>
      <c r="J309" s="417"/>
      <c r="K309" s="417"/>
      <c r="L309" s="417"/>
      <c r="M309" s="417"/>
      <c r="N309" s="417"/>
      <c r="O309" s="417"/>
      <c r="P309" s="417"/>
      <c r="Q309" s="417"/>
      <c r="R309" s="417"/>
      <c r="S309" s="417"/>
      <c r="T309" s="417"/>
    </row>
    <row r="310" customFormat="false" ht="15.75" hidden="false" customHeight="true" outlineLevel="0" collapsed="false">
      <c r="B310" s="679"/>
      <c r="C310" s="679"/>
      <c r="D310" s="679"/>
      <c r="E310" s="679"/>
      <c r="F310" s="679"/>
      <c r="G310" s="679"/>
      <c r="H310" s="679"/>
      <c r="I310" s="679"/>
      <c r="J310" s="679"/>
      <c r="K310" s="706"/>
      <c r="L310" s="706"/>
      <c r="N310" s="411"/>
      <c r="O310" s="280"/>
    </row>
    <row r="311" s="91" customFormat="true" ht="15.75" hidden="false" customHeight="true" outlineLevel="0" collapsed="false">
      <c r="A311" s="87" t="n">
        <v>33</v>
      </c>
      <c r="B311" s="684" t="s">
        <v>399</v>
      </c>
      <c r="C311" s="684"/>
      <c r="D311" s="684"/>
      <c r="E311" s="684"/>
      <c r="F311" s="684"/>
      <c r="G311" s="684"/>
      <c r="H311" s="684"/>
      <c r="I311" s="684"/>
      <c r="J311" s="684"/>
      <c r="K311" s="685" t="n">
        <v>0</v>
      </c>
      <c r="L311" s="708"/>
      <c r="N311" s="533"/>
    </row>
    <row r="312" customFormat="false" ht="15.75" hidden="false" customHeight="true" outlineLevel="0" collapsed="false">
      <c r="B312" s="517"/>
      <c r="C312" s="517"/>
      <c r="D312" s="517"/>
      <c r="E312" s="517"/>
      <c r="F312" s="517"/>
      <c r="G312" s="416"/>
      <c r="H312" s="416"/>
      <c r="I312" s="416"/>
      <c r="J312" s="416"/>
    </row>
    <row r="313" s="493" customFormat="true" ht="15" hidden="false" customHeight="true" outlineLevel="0" collapsed="false">
      <c r="A313" s="707"/>
      <c r="B313" s="417" t="s">
        <v>400</v>
      </c>
      <c r="C313" s="417"/>
      <c r="D313" s="417"/>
      <c r="E313" s="417"/>
      <c r="F313" s="417"/>
      <c r="G313" s="417"/>
      <c r="H313" s="417"/>
      <c r="I313" s="417"/>
      <c r="J313" s="417"/>
      <c r="K313" s="417"/>
      <c r="L313" s="417"/>
      <c r="M313" s="417"/>
      <c r="N313" s="417"/>
      <c r="O313" s="417"/>
      <c r="P313" s="417"/>
      <c r="Q313" s="417"/>
      <c r="R313" s="417"/>
      <c r="S313" s="417"/>
      <c r="T313" s="417"/>
    </row>
    <row r="314" customFormat="false" ht="15" hidden="false" customHeight="true" outlineLevel="0" collapsed="false">
      <c r="B314" s="645"/>
      <c r="C314" s="698"/>
      <c r="D314" s="698"/>
      <c r="E314" s="698"/>
      <c r="F314" s="698"/>
      <c r="G314" s="698"/>
      <c r="H314" s="698"/>
      <c r="I314" s="698"/>
      <c r="J314" s="698"/>
      <c r="K314" s="698"/>
      <c r="L314" s="698"/>
      <c r="M314" s="698"/>
    </row>
    <row r="315" customFormat="false" ht="15" hidden="false" customHeight="true" outlineLevel="0" collapsed="false">
      <c r="B315" s="70" t="s">
        <v>401</v>
      </c>
      <c r="C315" s="70"/>
      <c r="D315" s="70"/>
      <c r="E315" s="70"/>
      <c r="F315" s="70"/>
      <c r="G315" s="70"/>
      <c r="H315" s="70"/>
      <c r="I315" s="70"/>
      <c r="J315" s="70"/>
      <c r="K315" s="70"/>
    </row>
    <row r="316" customFormat="false" ht="15" hidden="false" customHeight="true" outlineLevel="0" collapsed="false">
      <c r="A316" s="410" t="n">
        <v>34</v>
      </c>
      <c r="B316" s="709" t="s">
        <v>402</v>
      </c>
      <c r="C316" s="709"/>
      <c r="D316" s="709"/>
      <c r="E316" s="709"/>
      <c r="F316" s="709"/>
      <c r="G316" s="709"/>
      <c r="H316" s="709"/>
      <c r="I316" s="709"/>
      <c r="J316" s="709"/>
      <c r="K316" s="710" t="n">
        <v>0</v>
      </c>
      <c r="M316" s="672"/>
      <c r="U316" s="124"/>
      <c r="V316" s="124"/>
      <c r="W316" s="124"/>
      <c r="X316" s="124"/>
      <c r="Y316" s="124"/>
      <c r="Z316" s="124"/>
      <c r="AA316" s="124"/>
      <c r="AB316" s="124"/>
      <c r="AC316" s="124"/>
      <c r="AD316" s="124"/>
      <c r="AE316" s="124"/>
      <c r="AF316" s="124"/>
      <c r="AG316" s="124"/>
      <c r="AH316" s="124"/>
    </row>
    <row r="317" customFormat="false" ht="15" hidden="false" customHeight="true" outlineLevel="0" collapsed="false">
      <c r="B317" s="711" t="s">
        <v>403</v>
      </c>
      <c r="C317" s="711"/>
      <c r="D317" s="711"/>
      <c r="E317" s="711"/>
      <c r="F317" s="711"/>
      <c r="G317" s="711"/>
      <c r="H317" s="711"/>
      <c r="I317" s="711"/>
      <c r="J317" s="711"/>
      <c r="K317" s="712" t="n">
        <v>0</v>
      </c>
    </row>
    <row r="318" customFormat="false" ht="15" hidden="false" customHeight="true" outlineLevel="0" collapsed="false">
      <c r="B318" s="713"/>
      <c r="C318" s="713"/>
      <c r="D318" s="713"/>
      <c r="E318" s="713"/>
      <c r="F318" s="713"/>
      <c r="G318" s="713"/>
      <c r="H318" s="713"/>
      <c r="I318" s="713"/>
      <c r="J318" s="714"/>
      <c r="K318" s="715"/>
    </row>
    <row r="319" customFormat="false" ht="13.8" hidden="false" customHeight="false" outlineLevel="0" collapsed="false">
      <c r="B319" s="70" t="s">
        <v>404</v>
      </c>
      <c r="C319" s="70"/>
      <c r="D319" s="70"/>
      <c r="E319" s="70"/>
      <c r="F319" s="70"/>
      <c r="G319" s="70"/>
      <c r="H319" s="70"/>
      <c r="I319" s="70"/>
      <c r="J319" s="70"/>
      <c r="K319" s="70"/>
    </row>
    <row r="320" customFormat="false" ht="15" hidden="false" customHeight="false" outlineLevel="0" collapsed="false">
      <c r="A320" s="410" t="n">
        <v>35</v>
      </c>
      <c r="B320" s="716" t="s">
        <v>405</v>
      </c>
      <c r="C320" s="716"/>
      <c r="D320" s="716"/>
      <c r="E320" s="716"/>
      <c r="F320" s="716"/>
      <c r="G320" s="716"/>
      <c r="H320" s="716"/>
      <c r="I320" s="716"/>
      <c r="J320" s="716"/>
      <c r="K320" s="685" t="n">
        <v>0</v>
      </c>
      <c r="M320" s="672"/>
      <c r="N320" s="587"/>
    </row>
    <row r="321" customFormat="false" ht="15.75" hidden="false" customHeight="true" outlineLevel="0" collapsed="false">
      <c r="B321" s="717"/>
      <c r="C321" s="717"/>
      <c r="D321" s="717"/>
      <c r="E321" s="717"/>
      <c r="F321" s="717"/>
      <c r="G321" s="717"/>
      <c r="H321" s="717"/>
      <c r="I321" s="717"/>
      <c r="J321" s="718"/>
      <c r="K321" s="719"/>
      <c r="M321" s="672"/>
      <c r="N321" s="587"/>
    </row>
    <row r="322" s="493" customFormat="true" ht="15.75" hidden="false" customHeight="true" outlineLevel="0" collapsed="false">
      <c r="A322" s="707"/>
      <c r="B322" s="417" t="s">
        <v>406</v>
      </c>
      <c r="C322" s="417"/>
      <c r="D322" s="417"/>
      <c r="E322" s="417"/>
      <c r="F322" s="417"/>
      <c r="G322" s="417"/>
      <c r="H322" s="417"/>
      <c r="I322" s="417"/>
      <c r="J322" s="417"/>
      <c r="K322" s="417"/>
      <c r="L322" s="417"/>
      <c r="M322" s="417"/>
      <c r="N322" s="417"/>
      <c r="O322" s="417"/>
      <c r="P322" s="417"/>
      <c r="Q322" s="417"/>
      <c r="R322" s="417"/>
      <c r="S322" s="417"/>
      <c r="T322" s="417"/>
    </row>
    <row r="323" customFormat="false" ht="15.75" hidden="false" customHeight="true" outlineLevel="0" collapsed="false">
      <c r="B323" s="720"/>
      <c r="C323" s="720"/>
      <c r="D323" s="720"/>
      <c r="E323" s="720"/>
      <c r="F323" s="720"/>
      <c r="G323" s="720"/>
      <c r="H323" s="720"/>
      <c r="I323" s="720"/>
      <c r="J323" s="721"/>
      <c r="K323" s="722"/>
      <c r="M323" s="672"/>
      <c r="N323" s="587"/>
    </row>
    <row r="324" customFormat="false" ht="15.75" hidden="false" customHeight="true" outlineLevel="0" collapsed="false">
      <c r="A324" s="410" t="n">
        <v>36</v>
      </c>
      <c r="B324" s="716" t="s">
        <v>407</v>
      </c>
      <c r="C324" s="716"/>
      <c r="D324" s="716"/>
      <c r="E324" s="716"/>
      <c r="F324" s="716"/>
      <c r="G324" s="716"/>
      <c r="H324" s="716"/>
      <c r="I324" s="716"/>
      <c r="J324" s="716"/>
      <c r="K324" s="685" t="n">
        <v>0</v>
      </c>
      <c r="M324" s="672"/>
      <c r="N324" s="587"/>
    </row>
    <row r="325" customFormat="false" ht="15" hidden="false" customHeight="false" outlineLevel="0" collapsed="false">
      <c r="B325" s="723"/>
      <c r="C325" s="723"/>
      <c r="D325" s="723"/>
      <c r="E325" s="723"/>
      <c r="F325" s="723"/>
      <c r="G325" s="723"/>
      <c r="H325" s="723"/>
      <c r="I325" s="723"/>
      <c r="J325" s="553"/>
      <c r="K325" s="724"/>
      <c r="N325" s="587"/>
    </row>
    <row r="326" s="493" customFormat="true" ht="15" hidden="false" customHeight="false" outlineLevel="0" collapsed="false">
      <c r="A326" s="707"/>
      <c r="B326" s="417" t="s">
        <v>408</v>
      </c>
      <c r="C326" s="417"/>
      <c r="D326" s="417"/>
      <c r="E326" s="417"/>
      <c r="F326" s="417"/>
      <c r="G326" s="417"/>
      <c r="H326" s="417"/>
      <c r="I326" s="417"/>
      <c r="J326" s="417"/>
      <c r="K326" s="417"/>
      <c r="L326" s="417"/>
      <c r="M326" s="417"/>
      <c r="N326" s="417"/>
      <c r="O326" s="417"/>
      <c r="P326" s="417"/>
      <c r="Q326" s="417"/>
      <c r="R326" s="417"/>
      <c r="S326" s="417"/>
      <c r="T326" s="417"/>
    </row>
    <row r="327" customFormat="false" ht="15" hidden="false" customHeight="false" outlineLevel="0" collapsed="false">
      <c r="B327" s="587"/>
      <c r="C327" s="587"/>
      <c r="D327" s="587"/>
      <c r="E327" s="587"/>
      <c r="F327" s="587"/>
      <c r="G327" s="587"/>
      <c r="H327" s="587"/>
      <c r="I327" s="587"/>
      <c r="J327" s="587"/>
      <c r="K327" s="587"/>
      <c r="L327" s="587"/>
      <c r="M327" s="587"/>
      <c r="O327" s="431"/>
    </row>
    <row r="328" s="91" customFormat="true" ht="15.75" hidden="false" customHeight="true" outlineLevel="0" collapsed="false">
      <c r="A328" s="87"/>
      <c r="B328" s="287" t="s">
        <v>409</v>
      </c>
      <c r="C328" s="287"/>
      <c r="D328" s="287"/>
      <c r="E328" s="287"/>
      <c r="F328" s="287"/>
      <c r="G328" s="287"/>
      <c r="H328" s="287"/>
      <c r="I328" s="287"/>
      <c r="J328" s="287"/>
      <c r="K328" s="287"/>
      <c r="L328" s="287"/>
      <c r="M328" s="287"/>
      <c r="O328" s="725"/>
    </row>
    <row r="329" customFormat="false" ht="13.8" hidden="false" customHeight="false" outlineLevel="0" collapsed="false">
      <c r="O329" s="431"/>
    </row>
    <row r="330" customFormat="false" ht="13.8" hidden="false" customHeight="false" outlineLevel="0" collapsed="false">
      <c r="A330" s="410" t="n">
        <v>37</v>
      </c>
      <c r="B330" s="279" t="s">
        <v>271</v>
      </c>
      <c r="C330" s="279"/>
      <c r="D330" s="279"/>
      <c r="E330" s="279"/>
      <c r="F330" s="279"/>
      <c r="G330" s="279"/>
      <c r="H330" s="279"/>
      <c r="I330" s="279"/>
      <c r="J330" s="624" t="s">
        <v>207</v>
      </c>
      <c r="K330" s="624"/>
      <c r="L330" s="624"/>
      <c r="M330" s="624"/>
      <c r="O330" s="431"/>
    </row>
    <row r="331" customFormat="false" ht="13.8" hidden="false" customHeight="false" outlineLevel="0" collapsed="false">
      <c r="B331" s="614" t="s">
        <v>272</v>
      </c>
      <c r="C331" s="614"/>
      <c r="D331" s="614"/>
      <c r="E331" s="614"/>
      <c r="F331" s="614"/>
      <c r="G331" s="614"/>
      <c r="H331" s="614"/>
      <c r="I331" s="614"/>
      <c r="J331" s="726" t="n">
        <v>0</v>
      </c>
      <c r="K331" s="726"/>
      <c r="L331" s="726"/>
      <c r="M331" s="726"/>
      <c r="N331" s="98"/>
      <c r="O331" s="431"/>
    </row>
    <row r="332" customFormat="false" ht="13.8" hidden="false" customHeight="false" outlineLevel="0" collapsed="false">
      <c r="B332" s="474" t="s">
        <v>273</v>
      </c>
      <c r="C332" s="474"/>
      <c r="D332" s="474"/>
      <c r="E332" s="474"/>
      <c r="F332" s="474"/>
      <c r="G332" s="474"/>
      <c r="H332" s="474"/>
      <c r="I332" s="474"/>
      <c r="J332" s="727" t="n">
        <v>0</v>
      </c>
      <c r="K332" s="727"/>
      <c r="L332" s="727"/>
      <c r="M332" s="727"/>
      <c r="O332" s="431"/>
    </row>
    <row r="333" customFormat="false" ht="13.8" hidden="false" customHeight="false" outlineLevel="0" collapsed="false">
      <c r="B333" s="474" t="s">
        <v>274</v>
      </c>
      <c r="C333" s="474"/>
      <c r="D333" s="474"/>
      <c r="E333" s="474"/>
      <c r="F333" s="474"/>
      <c r="G333" s="474"/>
      <c r="H333" s="474"/>
      <c r="I333" s="474"/>
      <c r="J333" s="398" t="n">
        <f aca="false">SUM(G334:I335)</f>
        <v>0</v>
      </c>
      <c r="K333" s="398"/>
      <c r="L333" s="398"/>
      <c r="M333" s="398"/>
      <c r="O333" s="431"/>
    </row>
    <row r="334" customFormat="false" ht="13.8" hidden="false" customHeight="true" outlineLevel="0" collapsed="false">
      <c r="B334" s="23" t="s">
        <v>275</v>
      </c>
      <c r="C334" s="23"/>
      <c r="D334" s="23"/>
      <c r="E334" s="23"/>
      <c r="F334" s="23"/>
      <c r="G334" s="728" t="n">
        <v>0</v>
      </c>
      <c r="H334" s="728"/>
      <c r="I334" s="728"/>
      <c r="J334" s="729"/>
      <c r="K334" s="729"/>
      <c r="L334" s="729"/>
      <c r="M334" s="729"/>
      <c r="O334" s="431"/>
    </row>
    <row r="335" customFormat="false" ht="13.8" hidden="false" customHeight="false" outlineLevel="0" collapsed="false">
      <c r="B335" s="27" t="s">
        <v>276</v>
      </c>
      <c r="C335" s="27"/>
      <c r="D335" s="27"/>
      <c r="E335" s="27"/>
      <c r="F335" s="27"/>
      <c r="G335" s="730" t="n">
        <v>0</v>
      </c>
      <c r="H335" s="730"/>
      <c r="I335" s="730"/>
      <c r="J335" s="729"/>
      <c r="K335" s="729"/>
      <c r="L335" s="729"/>
      <c r="M335" s="729"/>
      <c r="O335" s="431"/>
    </row>
    <row r="336" customFormat="false" ht="13.8" hidden="false" customHeight="false" outlineLevel="0" collapsed="false">
      <c r="B336" s="561" t="s">
        <v>12</v>
      </c>
      <c r="C336" s="561"/>
      <c r="D336" s="561"/>
      <c r="E336" s="561"/>
      <c r="F336" s="561"/>
      <c r="G336" s="561"/>
      <c r="H336" s="561"/>
      <c r="I336" s="561"/>
      <c r="J336" s="403" t="n">
        <f aca="false">SUM(J331:M333)</f>
        <v>0</v>
      </c>
      <c r="K336" s="403"/>
      <c r="L336" s="403"/>
      <c r="M336" s="403"/>
      <c r="O336" s="431"/>
    </row>
    <row r="337" customFormat="false" ht="13.8" hidden="false" customHeight="false" outlineLevel="0" collapsed="false">
      <c r="G337" s="633"/>
      <c r="H337" s="633"/>
      <c r="I337" s="633"/>
      <c r="O337" s="431"/>
    </row>
    <row r="338" s="91" customFormat="true" ht="13.8" hidden="false" customHeight="false" outlineLevel="0" collapsed="false">
      <c r="A338" s="87"/>
      <c r="B338" s="287" t="s">
        <v>410</v>
      </c>
      <c r="C338" s="287"/>
      <c r="D338" s="287"/>
      <c r="E338" s="287"/>
      <c r="F338" s="287"/>
      <c r="G338" s="287"/>
      <c r="H338" s="287"/>
      <c r="I338" s="287"/>
      <c r="O338" s="725"/>
    </row>
    <row r="339" customFormat="false" ht="29.25" hidden="false" customHeight="true" outlineLevel="0" collapsed="false">
      <c r="A339" s="410" t="n">
        <v>38</v>
      </c>
      <c r="B339" s="392" t="s">
        <v>278</v>
      </c>
      <c r="C339" s="392"/>
      <c r="D339" s="392"/>
      <c r="E339" s="392"/>
      <c r="F339" s="392"/>
      <c r="G339" s="392" t="s">
        <v>411</v>
      </c>
      <c r="H339" s="392"/>
      <c r="I339" s="392"/>
      <c r="O339" s="431"/>
    </row>
    <row r="340" customFormat="false" ht="13.8" hidden="false" customHeight="false" outlineLevel="0" collapsed="false">
      <c r="B340" s="469" t="s">
        <v>280</v>
      </c>
      <c r="C340" s="469"/>
      <c r="D340" s="469"/>
      <c r="E340" s="469"/>
      <c r="F340" s="469"/>
      <c r="G340" s="405" t="n">
        <v>0</v>
      </c>
      <c r="H340" s="405"/>
      <c r="I340" s="405"/>
      <c r="O340" s="431"/>
    </row>
    <row r="341" customFormat="false" ht="13.8" hidden="false" customHeight="false" outlineLevel="0" collapsed="false">
      <c r="B341" s="474" t="s">
        <v>281</v>
      </c>
      <c r="C341" s="474"/>
      <c r="D341" s="474"/>
      <c r="E341" s="474"/>
      <c r="F341" s="474"/>
      <c r="G341" s="406" t="n">
        <v>0</v>
      </c>
      <c r="H341" s="406"/>
      <c r="I341" s="406"/>
      <c r="O341" s="431"/>
    </row>
    <row r="342" customFormat="false" ht="13.8" hidden="false" customHeight="false" outlineLevel="0" collapsed="false">
      <c r="B342" s="474" t="s">
        <v>282</v>
      </c>
      <c r="C342" s="474"/>
      <c r="D342" s="474"/>
      <c r="E342" s="474"/>
      <c r="F342" s="474"/>
      <c r="G342" s="406" t="n">
        <v>0</v>
      </c>
      <c r="H342" s="406"/>
      <c r="I342" s="406"/>
      <c r="O342" s="431"/>
    </row>
    <row r="343" customFormat="false" ht="15.75" hidden="false" customHeight="true" outlineLevel="0" collapsed="false">
      <c r="B343" s="474" t="s">
        <v>283</v>
      </c>
      <c r="C343" s="474"/>
      <c r="D343" s="474"/>
      <c r="E343" s="474"/>
      <c r="F343" s="474"/>
      <c r="G343" s="406" t="n">
        <v>0</v>
      </c>
      <c r="H343" s="406"/>
      <c r="I343" s="406"/>
      <c r="O343" s="431"/>
    </row>
    <row r="344" customFormat="false" ht="13.8" hidden="false" customHeight="false" outlineLevel="0" collapsed="false">
      <c r="B344" s="584" t="s">
        <v>284</v>
      </c>
      <c r="C344" s="584"/>
      <c r="D344" s="584"/>
      <c r="E344" s="584"/>
      <c r="F344" s="584"/>
      <c r="G344" s="407" t="n">
        <v>0</v>
      </c>
      <c r="H344" s="407"/>
      <c r="I344" s="407"/>
    </row>
    <row r="345" customFormat="false" ht="13.8" hidden="false" customHeight="false" outlineLevel="0" collapsed="false">
      <c r="B345" s="351" t="s">
        <v>12</v>
      </c>
      <c r="C345" s="351"/>
      <c r="D345" s="351"/>
      <c r="E345" s="351"/>
      <c r="F345" s="351"/>
      <c r="G345" s="408" t="n">
        <f aca="false">SUM(G340:I344)</f>
        <v>0</v>
      </c>
      <c r="H345" s="408"/>
      <c r="I345" s="408"/>
    </row>
    <row r="346" customFormat="false" ht="13.8" hidden="false" customHeight="false" outlineLevel="0" collapsed="false">
      <c r="B346" s="731" t="s">
        <v>285</v>
      </c>
      <c r="C346" s="732"/>
      <c r="D346" s="732"/>
      <c r="E346" s="732"/>
      <c r="F346" s="732"/>
    </row>
    <row r="347" customFormat="false" ht="41.25" hidden="false" customHeight="true" outlineLevel="0" collapsed="false"/>
    <row r="350" customFormat="false" ht="13.5" hidden="false" customHeight="false" outlineLevel="0" collapsed="false">
      <c r="G350" s="416"/>
      <c r="H350" s="416"/>
      <c r="I350" s="416"/>
    </row>
  </sheetData>
  <mergeCells count="648">
    <mergeCell ref="B4:T4"/>
    <mergeCell ref="F6:H6"/>
    <mergeCell ref="I6:N6"/>
    <mergeCell ref="I8:K8"/>
    <mergeCell ref="M8:O8"/>
    <mergeCell ref="B10:T10"/>
    <mergeCell ref="A12:A23"/>
    <mergeCell ref="B12:K12"/>
    <mergeCell ref="I14:K14"/>
    <mergeCell ref="B15:H15"/>
    <mergeCell ref="I15:K15"/>
    <mergeCell ref="B16:H16"/>
    <mergeCell ref="I16:K16"/>
    <mergeCell ref="B17:G17"/>
    <mergeCell ref="I17:K18"/>
    <mergeCell ref="B18:G18"/>
    <mergeCell ref="B19:H19"/>
    <mergeCell ref="I19:K19"/>
    <mergeCell ref="B20:H20"/>
    <mergeCell ref="I20:K20"/>
    <mergeCell ref="B21:H21"/>
    <mergeCell ref="I21:K21"/>
    <mergeCell ref="L21:AA21"/>
    <mergeCell ref="B22:G22"/>
    <mergeCell ref="I22:K23"/>
    <mergeCell ref="L22:S23"/>
    <mergeCell ref="B23:G23"/>
    <mergeCell ref="A25:A34"/>
    <mergeCell ref="B25:K25"/>
    <mergeCell ref="B27:G27"/>
    <mergeCell ref="H27:K27"/>
    <mergeCell ref="B28:G28"/>
    <mergeCell ref="H28:K28"/>
    <mergeCell ref="B29:G29"/>
    <mergeCell ref="H29:K29"/>
    <mergeCell ref="B30:G30"/>
    <mergeCell ref="H30:K30"/>
    <mergeCell ref="B31:G31"/>
    <mergeCell ref="H31:K31"/>
    <mergeCell ref="B32:G32"/>
    <mergeCell ref="H32:K32"/>
    <mergeCell ref="B33:G33"/>
    <mergeCell ref="H33:K33"/>
    <mergeCell ref="B34:G34"/>
    <mergeCell ref="H34:K34"/>
    <mergeCell ref="L34:AA34"/>
    <mergeCell ref="B36:T36"/>
    <mergeCell ref="B37:T37"/>
    <mergeCell ref="B38:K38"/>
    <mergeCell ref="A39:A46"/>
    <mergeCell ref="I39:K39"/>
    <mergeCell ref="B40:H40"/>
    <mergeCell ref="I40:K40"/>
    <mergeCell ref="B41:H41"/>
    <mergeCell ref="I41:K41"/>
    <mergeCell ref="B42:G42"/>
    <mergeCell ref="I42:K43"/>
    <mergeCell ref="B43:G43"/>
    <mergeCell ref="B44:H44"/>
    <mergeCell ref="I44:K44"/>
    <mergeCell ref="B45:H45"/>
    <mergeCell ref="I45:K45"/>
    <mergeCell ref="B46:H46"/>
    <mergeCell ref="I46:K46"/>
    <mergeCell ref="B48:I48"/>
    <mergeCell ref="A50:A52"/>
    <mergeCell ref="B50:I50"/>
    <mergeCell ref="J52:AA52"/>
    <mergeCell ref="B54:K54"/>
    <mergeCell ref="A55:A58"/>
    <mergeCell ref="B56:C56"/>
    <mergeCell ref="D56:E56"/>
    <mergeCell ref="F56:G56"/>
    <mergeCell ref="H58:W58"/>
    <mergeCell ref="B60:T60"/>
    <mergeCell ref="B62:L62"/>
    <mergeCell ref="A64:A73"/>
    <mergeCell ref="B64:D65"/>
    <mergeCell ref="E64:L64"/>
    <mergeCell ref="B66:D66"/>
    <mergeCell ref="B67:D67"/>
    <mergeCell ref="B68:D68"/>
    <mergeCell ref="B69:D69"/>
    <mergeCell ref="B70:D70"/>
    <mergeCell ref="B71:D71"/>
    <mergeCell ref="B72:D72"/>
    <mergeCell ref="B73:D73"/>
    <mergeCell ref="M73:AA73"/>
    <mergeCell ref="B76:M76"/>
    <mergeCell ref="A77:A87"/>
    <mergeCell ref="B78:C78"/>
    <mergeCell ref="D78:E78"/>
    <mergeCell ref="F78:G78"/>
    <mergeCell ref="H78:I78"/>
    <mergeCell ref="J78:K78"/>
    <mergeCell ref="L78:M78"/>
    <mergeCell ref="B79:C79"/>
    <mergeCell ref="D79:E79"/>
    <mergeCell ref="F79:G79"/>
    <mergeCell ref="H79:I79"/>
    <mergeCell ref="J79:K79"/>
    <mergeCell ref="L79:M79"/>
    <mergeCell ref="B80:C80"/>
    <mergeCell ref="D80:E80"/>
    <mergeCell ref="F80:G80"/>
    <mergeCell ref="H80:I80"/>
    <mergeCell ref="J80:K80"/>
    <mergeCell ref="L80:M80"/>
    <mergeCell ref="B81:C81"/>
    <mergeCell ref="D81:E81"/>
    <mergeCell ref="F81:G81"/>
    <mergeCell ref="H81:I81"/>
    <mergeCell ref="J81:K81"/>
    <mergeCell ref="L81:M81"/>
    <mergeCell ref="B82:C82"/>
    <mergeCell ref="D82:E82"/>
    <mergeCell ref="F82:G82"/>
    <mergeCell ref="H82:I82"/>
    <mergeCell ref="J82:K82"/>
    <mergeCell ref="L82:M82"/>
    <mergeCell ref="B83:C83"/>
    <mergeCell ref="D83:E83"/>
    <mergeCell ref="F83:G83"/>
    <mergeCell ref="H83:I83"/>
    <mergeCell ref="J83:K83"/>
    <mergeCell ref="L83:M83"/>
    <mergeCell ref="B84:C84"/>
    <mergeCell ref="D84:E84"/>
    <mergeCell ref="F84:G84"/>
    <mergeCell ref="H84:I84"/>
    <mergeCell ref="J84:K84"/>
    <mergeCell ref="L84:M84"/>
    <mergeCell ref="B85:C85"/>
    <mergeCell ref="D85:E85"/>
    <mergeCell ref="F85:G85"/>
    <mergeCell ref="H85:I85"/>
    <mergeCell ref="J85:K85"/>
    <mergeCell ref="L85:M85"/>
    <mergeCell ref="B86:C86"/>
    <mergeCell ref="D86:E86"/>
    <mergeCell ref="F86:G86"/>
    <mergeCell ref="H86:I86"/>
    <mergeCell ref="J86:K86"/>
    <mergeCell ref="L86:M86"/>
    <mergeCell ref="B87:C87"/>
    <mergeCell ref="D87:E87"/>
    <mergeCell ref="F87:G87"/>
    <mergeCell ref="H87:I87"/>
    <mergeCell ref="J87:K87"/>
    <mergeCell ref="L87:M87"/>
    <mergeCell ref="F88:G88"/>
    <mergeCell ref="H88:I88"/>
    <mergeCell ref="B90:M90"/>
    <mergeCell ref="A92:A95"/>
    <mergeCell ref="B92:C92"/>
    <mergeCell ref="D92:E92"/>
    <mergeCell ref="F92:G92"/>
    <mergeCell ref="H92:I92"/>
    <mergeCell ref="J92:K92"/>
    <mergeCell ref="L92:M92"/>
    <mergeCell ref="B93:C93"/>
    <mergeCell ref="D93:E93"/>
    <mergeCell ref="F93:G93"/>
    <mergeCell ref="H93:I93"/>
    <mergeCell ref="J93:K93"/>
    <mergeCell ref="L93:M93"/>
    <mergeCell ref="B94:C94"/>
    <mergeCell ref="D94:E94"/>
    <mergeCell ref="F94:G94"/>
    <mergeCell ref="H94:I94"/>
    <mergeCell ref="J94:K94"/>
    <mergeCell ref="L94:M94"/>
    <mergeCell ref="B95:C95"/>
    <mergeCell ref="D95:E95"/>
    <mergeCell ref="F95:G95"/>
    <mergeCell ref="H95:I95"/>
    <mergeCell ref="J95:K95"/>
    <mergeCell ref="L95:M95"/>
    <mergeCell ref="F96:G96"/>
    <mergeCell ref="H96:I96"/>
    <mergeCell ref="J96:K96"/>
    <mergeCell ref="L96:M96"/>
    <mergeCell ref="N97:AD98"/>
    <mergeCell ref="B98:J98"/>
    <mergeCell ref="N99:AD99"/>
    <mergeCell ref="A100:A102"/>
    <mergeCell ref="B100:C101"/>
    <mergeCell ref="D100:H100"/>
    <mergeCell ref="I100:J101"/>
    <mergeCell ref="N100:AD100"/>
    <mergeCell ref="D101:E101"/>
    <mergeCell ref="N101:AD101"/>
    <mergeCell ref="B102:C102"/>
    <mergeCell ref="D102:E102"/>
    <mergeCell ref="I102:J102"/>
    <mergeCell ref="N102:AD102"/>
    <mergeCell ref="N103:AD103"/>
    <mergeCell ref="B104:J104"/>
    <mergeCell ref="N104:AD104"/>
    <mergeCell ref="B106:K106"/>
    <mergeCell ref="A108:A109"/>
    <mergeCell ref="B108:D108"/>
    <mergeCell ref="E108:G108"/>
    <mergeCell ref="H108:J108"/>
    <mergeCell ref="K108:M108"/>
    <mergeCell ref="B109:D109"/>
    <mergeCell ref="E109:G109"/>
    <mergeCell ref="H109:J109"/>
    <mergeCell ref="K109:AA109"/>
    <mergeCell ref="K110:U110"/>
    <mergeCell ref="B111:M112"/>
    <mergeCell ref="A114:A122"/>
    <mergeCell ref="B114:C115"/>
    <mergeCell ref="D114:E114"/>
    <mergeCell ref="F114:G114"/>
    <mergeCell ref="H114:I114"/>
    <mergeCell ref="B116:C116"/>
    <mergeCell ref="J116:X116"/>
    <mergeCell ref="B117:C117"/>
    <mergeCell ref="J117:X117"/>
    <mergeCell ref="B118:C118"/>
    <mergeCell ref="J118:X118"/>
    <mergeCell ref="B119:C119"/>
    <mergeCell ref="J119:W119"/>
    <mergeCell ref="B120:C120"/>
    <mergeCell ref="J120:X120"/>
    <mergeCell ref="B121:C121"/>
    <mergeCell ref="B122:C122"/>
    <mergeCell ref="B124:J124"/>
    <mergeCell ref="A126:A127"/>
    <mergeCell ref="B126:D126"/>
    <mergeCell ref="E126:G126"/>
    <mergeCell ref="H126:J126"/>
    <mergeCell ref="B127:D127"/>
    <mergeCell ref="E127:G127"/>
    <mergeCell ref="H127:J127"/>
    <mergeCell ref="K127:U127"/>
    <mergeCell ref="K128:V128"/>
    <mergeCell ref="B129:S129"/>
    <mergeCell ref="A131:A139"/>
    <mergeCell ref="B131:D132"/>
    <mergeCell ref="E131:G132"/>
    <mergeCell ref="H131:I132"/>
    <mergeCell ref="B133:D133"/>
    <mergeCell ref="E133:G133"/>
    <mergeCell ref="H133:I133"/>
    <mergeCell ref="J133:W133"/>
    <mergeCell ref="B134:D134"/>
    <mergeCell ref="E134:G134"/>
    <mergeCell ref="H134:I134"/>
    <mergeCell ref="J134:W134"/>
    <mergeCell ref="B135:D135"/>
    <mergeCell ref="E135:G135"/>
    <mergeCell ref="H135:I135"/>
    <mergeCell ref="J135:W135"/>
    <mergeCell ref="B136:D136"/>
    <mergeCell ref="E136:G136"/>
    <mergeCell ref="H136:I136"/>
    <mergeCell ref="J136:W136"/>
    <mergeCell ref="B137:D137"/>
    <mergeCell ref="E137:G137"/>
    <mergeCell ref="H137:I137"/>
    <mergeCell ref="J137:W137"/>
    <mergeCell ref="B138:D138"/>
    <mergeCell ref="E138:G138"/>
    <mergeCell ref="H138:I138"/>
    <mergeCell ref="J138:Y138"/>
    <mergeCell ref="B139:D139"/>
    <mergeCell ref="E139:G139"/>
    <mergeCell ref="H139:I139"/>
    <mergeCell ref="B141:M141"/>
    <mergeCell ref="T141:AA141"/>
    <mergeCell ref="A143:A150"/>
    <mergeCell ref="B143:C143"/>
    <mergeCell ref="D143:E143"/>
    <mergeCell ref="F143:G143"/>
    <mergeCell ref="H143:I143"/>
    <mergeCell ref="J143:K143"/>
    <mergeCell ref="L143:M143"/>
    <mergeCell ref="B144:C144"/>
    <mergeCell ref="D144:E144"/>
    <mergeCell ref="F144:G144"/>
    <mergeCell ref="H144:I144"/>
    <mergeCell ref="J144:K144"/>
    <mergeCell ref="L144:M144"/>
    <mergeCell ref="B145:C145"/>
    <mergeCell ref="D145:E145"/>
    <mergeCell ref="F145:G145"/>
    <mergeCell ref="H145:I145"/>
    <mergeCell ref="J145:K145"/>
    <mergeCell ref="L145:M145"/>
    <mergeCell ref="B146:C146"/>
    <mergeCell ref="D146:E146"/>
    <mergeCell ref="F146:G146"/>
    <mergeCell ref="H146:I146"/>
    <mergeCell ref="J146:K146"/>
    <mergeCell ref="L146:M146"/>
    <mergeCell ref="B147:C147"/>
    <mergeCell ref="D147:E147"/>
    <mergeCell ref="F147:G147"/>
    <mergeCell ref="H147:I147"/>
    <mergeCell ref="J147:K147"/>
    <mergeCell ref="L147:M147"/>
    <mergeCell ref="B148:C148"/>
    <mergeCell ref="D148:E148"/>
    <mergeCell ref="F148:G148"/>
    <mergeCell ref="H148:I148"/>
    <mergeCell ref="J148:K148"/>
    <mergeCell ref="L148:M148"/>
    <mergeCell ref="B149:C149"/>
    <mergeCell ref="D149:E149"/>
    <mergeCell ref="F149:G149"/>
    <mergeCell ref="H149:I149"/>
    <mergeCell ref="J149:K149"/>
    <mergeCell ref="L149:M149"/>
    <mergeCell ref="B150:C150"/>
    <mergeCell ref="D150:E150"/>
    <mergeCell ref="F150:G150"/>
    <mergeCell ref="H150:I150"/>
    <mergeCell ref="J150:K150"/>
    <mergeCell ref="L150:M150"/>
    <mergeCell ref="B152:M152"/>
    <mergeCell ref="B154:M154"/>
    <mergeCell ref="A156:A159"/>
    <mergeCell ref="B156:E157"/>
    <mergeCell ref="F156:G157"/>
    <mergeCell ref="B158:E159"/>
    <mergeCell ref="F158:G159"/>
    <mergeCell ref="B161:M161"/>
    <mergeCell ref="B163:M163"/>
    <mergeCell ref="A165:A167"/>
    <mergeCell ref="B165:E166"/>
    <mergeCell ref="F165:M165"/>
    <mergeCell ref="F166:G166"/>
    <mergeCell ref="H166:I166"/>
    <mergeCell ref="J166:K166"/>
    <mergeCell ref="L166:M166"/>
    <mergeCell ref="B167:E167"/>
    <mergeCell ref="F167:G167"/>
    <mergeCell ref="H167:I167"/>
    <mergeCell ref="J167:K167"/>
    <mergeCell ref="L167:M167"/>
    <mergeCell ref="B169:M169"/>
    <mergeCell ref="A171:A179"/>
    <mergeCell ref="B171:D171"/>
    <mergeCell ref="E171:G171"/>
    <mergeCell ref="H171:J171"/>
    <mergeCell ref="K171:M171"/>
    <mergeCell ref="B172:D172"/>
    <mergeCell ref="E172:G172"/>
    <mergeCell ref="H172:J172"/>
    <mergeCell ref="K172:M172"/>
    <mergeCell ref="B173:D173"/>
    <mergeCell ref="E173:G173"/>
    <mergeCell ref="H173:J173"/>
    <mergeCell ref="K173:M173"/>
    <mergeCell ref="B174:D174"/>
    <mergeCell ref="E174:G174"/>
    <mergeCell ref="H174:J174"/>
    <mergeCell ref="K174:M174"/>
    <mergeCell ref="B175:D175"/>
    <mergeCell ref="E175:G175"/>
    <mergeCell ref="H175:J175"/>
    <mergeCell ref="K175:M175"/>
    <mergeCell ref="B176:D176"/>
    <mergeCell ref="E176:G176"/>
    <mergeCell ref="H176:J176"/>
    <mergeCell ref="K176:M176"/>
    <mergeCell ref="B177:D177"/>
    <mergeCell ref="E177:G177"/>
    <mergeCell ref="H177:J177"/>
    <mergeCell ref="K177:M177"/>
    <mergeCell ref="B178:D178"/>
    <mergeCell ref="E178:G178"/>
    <mergeCell ref="H178:J178"/>
    <mergeCell ref="K178:M178"/>
    <mergeCell ref="B179:D179"/>
    <mergeCell ref="E179:G179"/>
    <mergeCell ref="H179:J179"/>
    <mergeCell ref="K179:M179"/>
    <mergeCell ref="B183:T183"/>
    <mergeCell ref="A185:A186"/>
    <mergeCell ref="B185:D185"/>
    <mergeCell ref="E185:G185"/>
    <mergeCell ref="H185:J185"/>
    <mergeCell ref="K185:M185"/>
    <mergeCell ref="B186:D186"/>
    <mergeCell ref="E186:G186"/>
    <mergeCell ref="H186:J186"/>
    <mergeCell ref="K186:M186"/>
    <mergeCell ref="B188:T188"/>
    <mergeCell ref="A190:A193"/>
    <mergeCell ref="J190:K190"/>
    <mergeCell ref="J191:K191"/>
    <mergeCell ref="J192:K192"/>
    <mergeCell ref="J193:K193"/>
    <mergeCell ref="B195:T195"/>
    <mergeCell ref="B197:T197"/>
    <mergeCell ref="A199:A203"/>
    <mergeCell ref="F199:M199"/>
    <mergeCell ref="N199:R199"/>
    <mergeCell ref="S199:T202"/>
    <mergeCell ref="F200:G202"/>
    <mergeCell ref="H200:I202"/>
    <mergeCell ref="J200:K202"/>
    <mergeCell ref="L200:M202"/>
    <mergeCell ref="N200:O202"/>
    <mergeCell ref="P200:P202"/>
    <mergeCell ref="Q200:R202"/>
    <mergeCell ref="B201:E202"/>
    <mergeCell ref="B203:E203"/>
    <mergeCell ref="F203:G203"/>
    <mergeCell ref="H203:I203"/>
    <mergeCell ref="J203:K203"/>
    <mergeCell ref="L203:M203"/>
    <mergeCell ref="N203:O203"/>
    <mergeCell ref="Q203:R203"/>
    <mergeCell ref="S203:T203"/>
    <mergeCell ref="B205:T205"/>
    <mergeCell ref="A207:A214"/>
    <mergeCell ref="F207:M207"/>
    <mergeCell ref="N207:R207"/>
    <mergeCell ref="S207:T210"/>
    <mergeCell ref="B208:E210"/>
    <mergeCell ref="F208:G210"/>
    <mergeCell ref="H208:I210"/>
    <mergeCell ref="J208:K210"/>
    <mergeCell ref="L208:M210"/>
    <mergeCell ref="N208:O210"/>
    <mergeCell ref="P208:P210"/>
    <mergeCell ref="Q208:R210"/>
    <mergeCell ref="B211:E211"/>
    <mergeCell ref="F211:G211"/>
    <mergeCell ref="H211:I211"/>
    <mergeCell ref="J211:K211"/>
    <mergeCell ref="L211:M211"/>
    <mergeCell ref="N211:O211"/>
    <mergeCell ref="Q211:R211"/>
    <mergeCell ref="S211:T211"/>
    <mergeCell ref="B212:E212"/>
    <mergeCell ref="F212:G212"/>
    <mergeCell ref="H212:I212"/>
    <mergeCell ref="J212:K212"/>
    <mergeCell ref="L212:M212"/>
    <mergeCell ref="N212:O212"/>
    <mergeCell ref="Q212:R212"/>
    <mergeCell ref="S212:T212"/>
    <mergeCell ref="B213:E213"/>
    <mergeCell ref="F213:G213"/>
    <mergeCell ref="H213:I213"/>
    <mergeCell ref="J213:K213"/>
    <mergeCell ref="L213:M213"/>
    <mergeCell ref="N213:O213"/>
    <mergeCell ref="Q213:R213"/>
    <mergeCell ref="S213:T213"/>
    <mergeCell ref="B214:E214"/>
    <mergeCell ref="F214:G214"/>
    <mergeCell ref="H214:I214"/>
    <mergeCell ref="J214:K214"/>
    <mergeCell ref="L214:M214"/>
    <mergeCell ref="N214:O214"/>
    <mergeCell ref="Q214:R214"/>
    <mergeCell ref="S214:T214"/>
    <mergeCell ref="U214:AA215"/>
    <mergeCell ref="B216:T216"/>
    <mergeCell ref="B218:T218"/>
    <mergeCell ref="A220:A226"/>
    <mergeCell ref="B220:E220"/>
    <mergeCell ref="F220:G220"/>
    <mergeCell ref="H220:I220"/>
    <mergeCell ref="J220:K220"/>
    <mergeCell ref="L220:M220"/>
    <mergeCell ref="B221:E221"/>
    <mergeCell ref="F221:G221"/>
    <mergeCell ref="H221:I221"/>
    <mergeCell ref="J221:K221"/>
    <mergeCell ref="L221:M221"/>
    <mergeCell ref="B222:E222"/>
    <mergeCell ref="F222:G222"/>
    <mergeCell ref="H222:I222"/>
    <mergeCell ref="J222:K222"/>
    <mergeCell ref="L222:M222"/>
    <mergeCell ref="B223:E223"/>
    <mergeCell ref="F223:G223"/>
    <mergeCell ref="H223:I223"/>
    <mergeCell ref="J223:K223"/>
    <mergeCell ref="L223:M223"/>
    <mergeCell ref="N223:V223"/>
    <mergeCell ref="B224:E224"/>
    <mergeCell ref="F224:G224"/>
    <mergeCell ref="H224:I224"/>
    <mergeCell ref="J224:K224"/>
    <mergeCell ref="L224:M224"/>
    <mergeCell ref="N224:V224"/>
    <mergeCell ref="B225:E225"/>
    <mergeCell ref="F225:G225"/>
    <mergeCell ref="H225:I225"/>
    <mergeCell ref="J225:K225"/>
    <mergeCell ref="L225:M225"/>
    <mergeCell ref="N225:V225"/>
    <mergeCell ref="B226:E226"/>
    <mergeCell ref="F226:G226"/>
    <mergeCell ref="H226:I226"/>
    <mergeCell ref="J226:K226"/>
    <mergeCell ref="L226:M226"/>
    <mergeCell ref="N226:V226"/>
    <mergeCell ref="G227:I227"/>
    <mergeCell ref="B228:T228"/>
    <mergeCell ref="A230:A238"/>
    <mergeCell ref="B230:E231"/>
    <mergeCell ref="F230:M230"/>
    <mergeCell ref="B232:E232"/>
    <mergeCell ref="B233:E233"/>
    <mergeCell ref="B234:E234"/>
    <mergeCell ref="B235:E235"/>
    <mergeCell ref="B236:E236"/>
    <mergeCell ref="B237:E237"/>
    <mergeCell ref="B238:E238"/>
    <mergeCell ref="N238:Z238"/>
    <mergeCell ref="A242:A250"/>
    <mergeCell ref="B242:E243"/>
    <mergeCell ref="F242:M242"/>
    <mergeCell ref="B244:E244"/>
    <mergeCell ref="B245:E245"/>
    <mergeCell ref="B246:E246"/>
    <mergeCell ref="B247:E247"/>
    <mergeCell ref="B248:E248"/>
    <mergeCell ref="B249:E249"/>
    <mergeCell ref="B250:E250"/>
    <mergeCell ref="N250:AA250"/>
    <mergeCell ref="B252:T252"/>
    <mergeCell ref="B254:M254"/>
    <mergeCell ref="A256:A265"/>
    <mergeCell ref="B256:C257"/>
    <mergeCell ref="D256:E256"/>
    <mergeCell ref="F256:G256"/>
    <mergeCell ref="H256:I256"/>
    <mergeCell ref="B258:C258"/>
    <mergeCell ref="B259:C259"/>
    <mergeCell ref="B260:C260"/>
    <mergeCell ref="B261:C261"/>
    <mergeCell ref="B262:C262"/>
    <mergeCell ref="B263:C263"/>
    <mergeCell ref="B264:C264"/>
    <mergeCell ref="B265:C265"/>
    <mergeCell ref="B267:M267"/>
    <mergeCell ref="A269:A278"/>
    <mergeCell ref="B269:C270"/>
    <mergeCell ref="D269:E269"/>
    <mergeCell ref="F269:G269"/>
    <mergeCell ref="H269:I269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80:T280"/>
    <mergeCell ref="A282:A283"/>
    <mergeCell ref="B282:C282"/>
    <mergeCell ref="D282:E282"/>
    <mergeCell ref="F282:G282"/>
    <mergeCell ref="H282:I282"/>
    <mergeCell ref="J282:K282"/>
    <mergeCell ref="B283:C283"/>
    <mergeCell ref="D283:E283"/>
    <mergeCell ref="F283:G283"/>
    <mergeCell ref="H283:I283"/>
    <mergeCell ref="J283:K283"/>
    <mergeCell ref="B285:T285"/>
    <mergeCell ref="A288:A289"/>
    <mergeCell ref="B288:J288"/>
    <mergeCell ref="B289:J289"/>
    <mergeCell ref="A292:A295"/>
    <mergeCell ref="B292:F292"/>
    <mergeCell ref="G292:J292"/>
    <mergeCell ref="B293:F293"/>
    <mergeCell ref="G293:J293"/>
    <mergeCell ref="B294:F294"/>
    <mergeCell ref="G294:J294"/>
    <mergeCell ref="B295:F295"/>
    <mergeCell ref="G295:J295"/>
    <mergeCell ref="B298:J298"/>
    <mergeCell ref="B300:L300"/>
    <mergeCell ref="A301:A304"/>
    <mergeCell ref="B301:F301"/>
    <mergeCell ref="I301:J301"/>
    <mergeCell ref="K301:L301"/>
    <mergeCell ref="B302:F302"/>
    <mergeCell ref="I302:J302"/>
    <mergeCell ref="K302:L302"/>
    <mergeCell ref="B303:F303"/>
    <mergeCell ref="I303:J303"/>
    <mergeCell ref="K303:L303"/>
    <mergeCell ref="B304:F304"/>
    <mergeCell ref="I304:J304"/>
    <mergeCell ref="K304:L304"/>
    <mergeCell ref="B307:J307"/>
    <mergeCell ref="K307:L307"/>
    <mergeCell ref="B309:T309"/>
    <mergeCell ref="B311:J311"/>
    <mergeCell ref="B313:T313"/>
    <mergeCell ref="B315:K315"/>
    <mergeCell ref="A316:A317"/>
    <mergeCell ref="B316:J316"/>
    <mergeCell ref="U316:AH316"/>
    <mergeCell ref="B317:J317"/>
    <mergeCell ref="B319:K319"/>
    <mergeCell ref="B320:J320"/>
    <mergeCell ref="B322:T322"/>
    <mergeCell ref="B324:J324"/>
    <mergeCell ref="B326:T326"/>
    <mergeCell ref="B328:M328"/>
    <mergeCell ref="A330:A336"/>
    <mergeCell ref="B330:I330"/>
    <mergeCell ref="J330:M330"/>
    <mergeCell ref="B331:I331"/>
    <mergeCell ref="J331:M331"/>
    <mergeCell ref="B332:I332"/>
    <mergeCell ref="J332:M332"/>
    <mergeCell ref="B333:I333"/>
    <mergeCell ref="J333:M333"/>
    <mergeCell ref="B334:F334"/>
    <mergeCell ref="G334:I334"/>
    <mergeCell ref="J334:M335"/>
    <mergeCell ref="B335:F335"/>
    <mergeCell ref="G335:I335"/>
    <mergeCell ref="B336:I336"/>
    <mergeCell ref="J336:M336"/>
    <mergeCell ref="G337:I337"/>
    <mergeCell ref="B338:I338"/>
    <mergeCell ref="A339:A345"/>
    <mergeCell ref="B339:F339"/>
    <mergeCell ref="G339:I339"/>
    <mergeCell ref="B340:F340"/>
    <mergeCell ref="G340:I340"/>
    <mergeCell ref="B341:F341"/>
    <mergeCell ref="G341:I341"/>
    <mergeCell ref="B342:F342"/>
    <mergeCell ref="G342:I342"/>
    <mergeCell ref="B343:F343"/>
    <mergeCell ref="G343:I343"/>
    <mergeCell ref="B344:F344"/>
    <mergeCell ref="G344:I344"/>
    <mergeCell ref="B345:F345"/>
    <mergeCell ref="G345:I345"/>
  </mergeCells>
  <dataValidations count="3">
    <dataValidation allowBlank="true" errorStyle="stop" operator="greaterThan" showDropDown="false" showErrorMessage="true" showInputMessage="true" sqref="I15:L16 H17:H18 L17:L20 I19:K21 H22:H23 L24:L25 H26:L26 L27:L33 H28:K34 L35 I40:K41 H42:H43 I44:K46 I47 B52:I52 B58:G58 E66:L73 D79:E87 H79:I88 L79:M87 D93:E95 H93:I96 L93:M96 B102:J102 B109:J109 D116:I122 B127:J127 E133:I139 D144:M150 F156:G157 B167:M167 E172:M179 B186:M186 J191:K193 B203:T203 F211:T212 U212 F213:F214 N213:N214 Q213:Q214 S213:T213 G214:M214 O214:P214 R214:T214 F215:M215 F221:M226 F232:M238 F244:M250 D258:I265 J263 D266:M266 D271:I278 B283:L283 K288:K289 G292:J295 G296:G297 K298 G299:J299 G302:L305 G306 K311 K316:K317 K320:K321 K323:K324" type="whole">
      <formula1>-1</formula1>
      <formula2>0</formula2>
    </dataValidation>
    <dataValidation allowBlank="true" errorStyle="stop" operator="greaterThanOrEqual" showDropDown="false" showErrorMessage="true" showInputMessage="true" sqref="H24 H35 B53:G53 I53 K53 D140:I140 N165 B168:M168 E180 H180:M180 G312:J312 J331:M333 G334:I335 J336:M336" type="whole">
      <formula1>0</formula1>
      <formula2>0</formula2>
    </dataValidation>
    <dataValidation allowBlank="true" errorStyle="stop" operator="greaterThanOrEqual" showDropDown="false" showErrorMessage="true" showInputMessage="true" sqref="G340:I345" type="decimal">
      <formula1>0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9" manualBreakCount="9">
    <brk id="75" man="true" max="16383" min="0"/>
    <brk id="127" man="true" max="16383" min="0"/>
    <brk id="140" man="true" max="16383" min="0"/>
    <brk id="167" man="true" max="16383" min="0"/>
    <brk id="186" man="true" max="16383" min="0"/>
    <brk id="214" man="true" max="16383" min="0"/>
    <brk id="238" man="true" max="16383" min="0"/>
    <brk id="265" man="true" max="16383" min="0"/>
    <brk id="311" man="true" max="16383" min="0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6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3" activeCellId="0" sqref="B3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3" min="3" style="733" width="9.18"/>
    <col collapsed="false" customWidth="true" hidden="false" outlineLevel="0" max="4" min="4" style="0" width="18.82"/>
  </cols>
  <sheetData>
    <row r="1" customFormat="false" ht="14.25" hidden="false" customHeight="false" outlineLevel="0" collapsed="false">
      <c r="A1" s="734" t="s">
        <v>412</v>
      </c>
      <c r="B1" s="734" t="str">
        <f aca="false">ATI!E6</f>
        <v>payt</v>
      </c>
      <c r="C1" s="735"/>
    </row>
    <row r="2" customFormat="false" ht="14.25" hidden="false" customHeight="false" outlineLevel="0" collapsed="false">
      <c r="A2" s="734" t="s">
        <v>413</v>
      </c>
      <c r="B2" s="734" t="s">
        <v>414</v>
      </c>
      <c r="C2" s="735"/>
    </row>
    <row r="3" customFormat="false" ht="14.25" hidden="false" customHeight="false" outlineLevel="0" collapsed="false">
      <c r="A3" s="734" t="s">
        <v>415</v>
      </c>
      <c r="B3" s="734" t="n">
        <f aca="false">ATI!I14</f>
        <v>0</v>
      </c>
      <c r="C3" s="735" t="s">
        <v>416</v>
      </c>
    </row>
    <row r="4" customFormat="false" ht="14.25" hidden="false" customHeight="false" outlineLevel="0" collapsed="false">
      <c r="A4" s="734" t="s">
        <v>417</v>
      </c>
      <c r="B4" s="734" t="n">
        <f aca="false">ATI!I15</f>
        <v>0</v>
      </c>
      <c r="C4" s="735" t="s">
        <v>416</v>
      </c>
    </row>
    <row r="5" customFormat="false" ht="14.25" hidden="false" customHeight="false" outlineLevel="0" collapsed="false">
      <c r="A5" s="736" t="s">
        <v>418</v>
      </c>
      <c r="B5" s="736" t="n">
        <f aca="false">ATI!H16</f>
        <v>0</v>
      </c>
      <c r="C5" s="737" t="s">
        <v>416</v>
      </c>
    </row>
    <row r="6" customFormat="false" ht="14.25" hidden="false" customHeight="false" outlineLevel="0" collapsed="false">
      <c r="A6" s="736" t="s">
        <v>419</v>
      </c>
      <c r="B6" s="736" t="n">
        <f aca="false">ATI!H17</f>
        <v>0</v>
      </c>
      <c r="C6" s="737" t="s">
        <v>416</v>
      </c>
    </row>
    <row r="7" customFormat="false" ht="14.25" hidden="false" customHeight="false" outlineLevel="0" collapsed="false">
      <c r="A7" s="734" t="s">
        <v>420</v>
      </c>
      <c r="B7" s="734" t="n">
        <f aca="false">ATI!I18</f>
        <v>0</v>
      </c>
      <c r="C7" s="735" t="s">
        <v>416</v>
      </c>
    </row>
    <row r="8" customFormat="false" ht="14.25" hidden="false" customHeight="false" outlineLevel="0" collapsed="false">
      <c r="A8" s="734" t="s">
        <v>421</v>
      </c>
      <c r="B8" s="734" t="n">
        <f aca="false">ATI!I19</f>
        <v>0</v>
      </c>
      <c r="C8" s="735" t="s">
        <v>416</v>
      </c>
    </row>
    <row r="9" customFormat="false" ht="14.25" hidden="false" customHeight="false" outlineLevel="0" collapsed="false">
      <c r="A9" s="734" t="s">
        <v>422</v>
      </c>
      <c r="B9" s="734" t="n">
        <f aca="false">ATI!I20</f>
        <v>0</v>
      </c>
      <c r="C9" s="735" t="s">
        <v>416</v>
      </c>
    </row>
    <row r="10" customFormat="false" ht="14.25" hidden="false" customHeight="false" outlineLevel="0" collapsed="false">
      <c r="A10" s="736" t="s">
        <v>423</v>
      </c>
      <c r="B10" s="736" t="n">
        <f aca="false">ATI!H21</f>
        <v>0</v>
      </c>
      <c r="C10" s="737" t="s">
        <v>416</v>
      </c>
    </row>
    <row r="11" customFormat="false" ht="14.25" hidden="false" customHeight="false" outlineLevel="0" collapsed="false">
      <c r="A11" s="736" t="s">
        <v>424</v>
      </c>
      <c r="B11" s="736" t="n">
        <f aca="false">ATI!H22</f>
        <v>0</v>
      </c>
      <c r="C11" s="737" t="s">
        <v>416</v>
      </c>
    </row>
    <row r="12" customFormat="false" ht="14.25" hidden="false" customHeight="false" outlineLevel="0" collapsed="false">
      <c r="A12" s="738" t="s">
        <v>425</v>
      </c>
      <c r="B12" s="738" t="n">
        <f aca="false">ATI!H27</f>
        <v>0</v>
      </c>
      <c r="C12" s="739" t="s">
        <v>426</v>
      </c>
    </row>
    <row r="13" customFormat="false" ht="14.25" hidden="false" customHeight="false" outlineLevel="0" collapsed="false">
      <c r="A13" s="738" t="s">
        <v>427</v>
      </c>
      <c r="B13" s="738" t="n">
        <f aca="false">ATI!H28</f>
        <v>0</v>
      </c>
      <c r="C13" s="739" t="s">
        <v>426</v>
      </c>
    </row>
    <row r="14" customFormat="false" ht="14.25" hidden="false" customHeight="false" outlineLevel="0" collapsed="false">
      <c r="A14" s="738" t="s">
        <v>428</v>
      </c>
      <c r="B14" s="738" t="n">
        <f aca="false">ATI!H29</f>
        <v>0</v>
      </c>
      <c r="C14" s="739" t="s">
        <v>426</v>
      </c>
    </row>
    <row r="15" customFormat="false" ht="14.25" hidden="false" customHeight="false" outlineLevel="0" collapsed="false">
      <c r="A15" s="738" t="s">
        <v>429</v>
      </c>
      <c r="B15" s="738" t="n">
        <f aca="false">ATI!H30</f>
        <v>0</v>
      </c>
      <c r="C15" s="739" t="s">
        <v>426</v>
      </c>
    </row>
    <row r="16" customFormat="false" ht="14.25" hidden="false" customHeight="false" outlineLevel="0" collapsed="false">
      <c r="A16" s="738" t="s">
        <v>430</v>
      </c>
      <c r="B16" s="738" t="n">
        <f aca="false">ATI!H31</f>
        <v>0</v>
      </c>
      <c r="C16" s="739" t="s">
        <v>426</v>
      </c>
    </row>
    <row r="17" customFormat="false" ht="14.25" hidden="false" customHeight="false" outlineLevel="0" collapsed="false">
      <c r="A17" s="738" t="s">
        <v>431</v>
      </c>
      <c r="B17" s="738" t="n">
        <f aca="false">ATI!H32</f>
        <v>0</v>
      </c>
      <c r="C17" s="739" t="s">
        <v>426</v>
      </c>
    </row>
    <row r="18" customFormat="false" ht="14.25" hidden="false" customHeight="false" outlineLevel="0" collapsed="false">
      <c r="A18" s="738" t="s">
        <v>432</v>
      </c>
      <c r="B18" s="738" t="n">
        <f aca="false">ATI!H33</f>
        <v>0</v>
      </c>
      <c r="C18" s="739" t="s">
        <v>426</v>
      </c>
    </row>
    <row r="19" customFormat="false" ht="14.25" hidden="false" customHeight="false" outlineLevel="0" collapsed="false">
      <c r="A19" s="736" t="s">
        <v>433</v>
      </c>
      <c r="B19" s="736" t="n">
        <f aca="false">ATI!H38</f>
        <v>0</v>
      </c>
      <c r="C19" s="737" t="s">
        <v>434</v>
      </c>
    </row>
    <row r="20" customFormat="false" ht="14.25" hidden="false" customHeight="false" outlineLevel="0" collapsed="false">
      <c r="A20" s="736" t="s">
        <v>435</v>
      </c>
      <c r="B20" s="736" t="n">
        <f aca="false">ATI!H39</f>
        <v>0</v>
      </c>
      <c r="C20" s="737" t="s">
        <v>434</v>
      </c>
    </row>
    <row r="21" customFormat="false" ht="14.25" hidden="false" customHeight="false" outlineLevel="0" collapsed="false">
      <c r="A21" s="736" t="s">
        <v>436</v>
      </c>
      <c r="B21" s="736" t="n">
        <f aca="false">ATI!H40</f>
        <v>0</v>
      </c>
      <c r="C21" s="737" t="s">
        <v>434</v>
      </c>
    </row>
    <row r="22" customFormat="false" ht="14.25" hidden="false" customHeight="false" outlineLevel="0" collapsed="false">
      <c r="A22" s="736" t="s">
        <v>437</v>
      </c>
      <c r="B22" s="736" t="n">
        <f aca="false">ATI!H41</f>
        <v>0</v>
      </c>
      <c r="C22" s="737" t="s">
        <v>434</v>
      </c>
    </row>
    <row r="23" customFormat="false" ht="14.25" hidden="false" customHeight="false" outlineLevel="0" collapsed="false">
      <c r="A23" s="736" t="s">
        <v>438</v>
      </c>
      <c r="B23" s="736" t="n">
        <f aca="false">ATI!H42</f>
        <v>0</v>
      </c>
      <c r="C23" s="737" t="s">
        <v>434</v>
      </c>
    </row>
    <row r="24" customFormat="false" ht="14.25" hidden="false" customHeight="false" outlineLevel="0" collapsed="false">
      <c r="A24" s="736" t="s">
        <v>439</v>
      </c>
      <c r="B24" s="736" t="n">
        <f aca="false">ATI!H43</f>
        <v>0</v>
      </c>
      <c r="C24" s="737" t="s">
        <v>434</v>
      </c>
    </row>
    <row r="25" customFormat="false" ht="14.25" hidden="false" customHeight="false" outlineLevel="0" collapsed="false">
      <c r="A25" s="736" t="s">
        <v>440</v>
      </c>
      <c r="B25" s="736" t="n">
        <f aca="false">ATI!H44</f>
        <v>0</v>
      </c>
      <c r="C25" s="737" t="s">
        <v>434</v>
      </c>
    </row>
    <row r="26" customFormat="false" ht="14.25" hidden="false" customHeight="false" outlineLevel="0" collapsed="false">
      <c r="A26" s="736" t="s">
        <v>441</v>
      </c>
      <c r="B26" s="736" t="n">
        <f aca="false">ATI!I50</f>
        <v>0</v>
      </c>
      <c r="C26" s="737" t="s">
        <v>442</v>
      </c>
    </row>
    <row r="27" customFormat="false" ht="14.25" hidden="false" customHeight="false" outlineLevel="0" collapsed="false">
      <c r="A27" s="736" t="s">
        <v>443</v>
      </c>
      <c r="B27" s="736" t="n">
        <f aca="false">ATI!I51</f>
        <v>0</v>
      </c>
      <c r="C27" s="737" t="s">
        <v>442</v>
      </c>
    </row>
    <row r="28" customFormat="false" ht="14.25" hidden="false" customHeight="false" outlineLevel="0" collapsed="false">
      <c r="A28" s="736" t="s">
        <v>444</v>
      </c>
      <c r="B28" s="736" t="n">
        <f aca="false">ATI!H52</f>
        <v>0</v>
      </c>
      <c r="C28" s="737" t="s">
        <v>442</v>
      </c>
    </row>
    <row r="29" customFormat="false" ht="14.25" hidden="false" customHeight="false" outlineLevel="0" collapsed="false">
      <c r="A29" s="736" t="s">
        <v>445</v>
      </c>
      <c r="B29" s="736" t="n">
        <f aca="false">ATI!H53</f>
        <v>0</v>
      </c>
      <c r="C29" s="737" t="s">
        <v>442</v>
      </c>
    </row>
    <row r="30" customFormat="false" ht="14.25" hidden="false" customHeight="false" outlineLevel="0" collapsed="false">
      <c r="A30" s="736" t="s">
        <v>446</v>
      </c>
      <c r="B30" s="736" t="n">
        <f aca="false">ATI!I54</f>
        <v>0</v>
      </c>
      <c r="C30" s="737" t="s">
        <v>442</v>
      </c>
    </row>
    <row r="31" customFormat="false" ht="14.25" hidden="false" customHeight="false" outlineLevel="0" collapsed="false">
      <c r="A31" s="736" t="s">
        <v>447</v>
      </c>
      <c r="B31" s="736" t="n">
        <f aca="false">ATI!I55</f>
        <v>0</v>
      </c>
      <c r="C31" s="737" t="s">
        <v>442</v>
      </c>
    </row>
    <row r="32" customFormat="false" ht="14.25" hidden="false" customHeight="false" outlineLevel="0" collapsed="false">
      <c r="A32" s="736" t="s">
        <v>448</v>
      </c>
      <c r="B32" s="736" t="n">
        <f aca="false">ATI!I56</f>
        <v>0</v>
      </c>
      <c r="C32" s="737" t="s">
        <v>442</v>
      </c>
    </row>
    <row r="33" customFormat="false" ht="14.25" hidden="false" customHeight="false" outlineLevel="0" collapsed="false">
      <c r="A33" s="736" t="s">
        <v>449</v>
      </c>
      <c r="B33" s="736" t="e">
        <f aca="false">ati!#ref!</f>
        <v>#NAME?</v>
      </c>
      <c r="C33" s="737" t="s">
        <v>450</v>
      </c>
    </row>
    <row r="34" customFormat="false" ht="14.25" hidden="false" customHeight="false" outlineLevel="0" collapsed="false">
      <c r="A34" s="736" t="s">
        <v>451</v>
      </c>
      <c r="B34" s="736" t="e">
        <f aca="false">ati!#ref!</f>
        <v>#NAME?</v>
      </c>
      <c r="C34" s="737" t="s">
        <v>450</v>
      </c>
    </row>
    <row r="35" customFormat="false" ht="14.25" hidden="false" customHeight="false" outlineLevel="0" collapsed="false">
      <c r="A35" s="736" t="s">
        <v>452</v>
      </c>
      <c r="B35" s="736" t="e">
        <f aca="false">ati!#ref!</f>
        <v>#NAME?</v>
      </c>
      <c r="C35" s="737" t="s">
        <v>450</v>
      </c>
    </row>
    <row r="36" customFormat="false" ht="14.25" hidden="false" customHeight="false" outlineLevel="0" collapsed="false">
      <c r="A36" s="736" t="s">
        <v>453</v>
      </c>
      <c r="B36" s="736" t="e">
        <f aca="false">ati!#ref!</f>
        <v>#NAME?</v>
      </c>
      <c r="C36" s="737" t="s">
        <v>450</v>
      </c>
    </row>
    <row r="37" customFormat="false" ht="14.25" hidden="false" customHeight="false" outlineLevel="0" collapsed="false">
      <c r="A37" s="736" t="s">
        <v>454</v>
      </c>
      <c r="B37" s="736" t="e">
        <f aca="false">ati!#ref!</f>
        <v>#NAME?</v>
      </c>
      <c r="C37" s="737" t="s">
        <v>450</v>
      </c>
    </row>
    <row r="38" customFormat="false" ht="14.25" hidden="false" customHeight="false" outlineLevel="0" collapsed="false">
      <c r="A38" s="736" t="s">
        <v>455</v>
      </c>
      <c r="B38" s="736" t="e">
        <f aca="false">ati!#ref!</f>
        <v>#NAME?</v>
      </c>
      <c r="C38" s="737" t="s">
        <v>450</v>
      </c>
    </row>
    <row r="39" customFormat="false" ht="14.25" hidden="false" customHeight="false" outlineLevel="0" collapsed="false">
      <c r="A39" s="736" t="s">
        <v>456</v>
      </c>
      <c r="B39" s="736" t="e">
        <f aca="false">ati!#ref!</f>
        <v>#NAME?</v>
      </c>
      <c r="C39" s="737" t="s">
        <v>450</v>
      </c>
    </row>
    <row r="40" customFormat="false" ht="14.25" hidden="false" customHeight="false" outlineLevel="0" collapsed="false">
      <c r="A40" s="738" t="s">
        <v>457</v>
      </c>
      <c r="B40" s="738" t="n">
        <f aca="false">ATI!B63</f>
        <v>0</v>
      </c>
      <c r="C40" s="739" t="s">
        <v>458</v>
      </c>
    </row>
    <row r="41" customFormat="false" ht="14.25" hidden="false" customHeight="false" outlineLevel="0" collapsed="false">
      <c r="A41" s="738" t="s">
        <v>459</v>
      </c>
      <c r="B41" s="738" t="n">
        <f aca="false">ATI!C63</f>
        <v>0</v>
      </c>
      <c r="C41" s="739" t="s">
        <v>458</v>
      </c>
    </row>
    <row r="42" customFormat="false" ht="14.25" hidden="false" customHeight="false" outlineLevel="0" collapsed="false">
      <c r="A42" s="738" t="s">
        <v>460</v>
      </c>
      <c r="B42" s="738" t="n">
        <f aca="false">ATI!D63</f>
        <v>0</v>
      </c>
      <c r="C42" s="739" t="s">
        <v>458</v>
      </c>
    </row>
    <row r="43" customFormat="false" ht="14.25" hidden="false" customHeight="false" outlineLevel="0" collapsed="false">
      <c r="A43" s="738" t="s">
        <v>461</v>
      </c>
      <c r="B43" s="738" t="n">
        <f aca="false">ATI!E63</f>
        <v>0</v>
      </c>
      <c r="C43" s="739" t="s">
        <v>458</v>
      </c>
    </row>
    <row r="44" customFormat="false" ht="14.25" hidden="false" customHeight="false" outlineLevel="0" collapsed="false">
      <c r="A44" s="738" t="s">
        <v>462</v>
      </c>
      <c r="B44" s="738" t="n">
        <f aca="false">ATI!F63</f>
        <v>0</v>
      </c>
      <c r="C44" s="739" t="s">
        <v>458</v>
      </c>
    </row>
    <row r="45" customFormat="false" ht="14.25" hidden="false" customHeight="false" outlineLevel="0" collapsed="false">
      <c r="A45" s="738" t="s">
        <v>463</v>
      </c>
      <c r="B45" s="738" t="n">
        <f aca="false">ATI!G63</f>
        <v>0</v>
      </c>
      <c r="C45" s="739" t="s">
        <v>458</v>
      </c>
    </row>
    <row r="46" customFormat="false" ht="14.25" hidden="false" customHeight="false" outlineLevel="0" collapsed="false">
      <c r="A46" s="738" t="s">
        <v>464</v>
      </c>
      <c r="B46" s="738" t="n">
        <f aca="false">ATI!H63</f>
        <v>0</v>
      </c>
      <c r="C46" s="739" t="s">
        <v>458</v>
      </c>
    </row>
    <row r="47" customFormat="false" ht="14.25" hidden="false" customHeight="false" outlineLevel="0" collapsed="false">
      <c r="A47" s="736" t="s">
        <v>465</v>
      </c>
      <c r="B47" s="736" t="e">
        <f aca="false">ati!#ref!</f>
        <v>#NAME?</v>
      </c>
      <c r="C47" s="737" t="s">
        <v>466</v>
      </c>
    </row>
    <row r="48" customFormat="false" ht="14.25" hidden="false" customHeight="false" outlineLevel="0" collapsed="false">
      <c r="A48" s="736" t="s">
        <v>467</v>
      </c>
      <c r="B48" s="736" t="e">
        <f aca="false">ati!#ref!</f>
        <v>#NAME?</v>
      </c>
      <c r="C48" s="737" t="s">
        <v>466</v>
      </c>
    </row>
    <row r="49" customFormat="false" ht="14.25" hidden="false" customHeight="false" outlineLevel="0" collapsed="false">
      <c r="A49" s="736" t="s">
        <v>468</v>
      </c>
      <c r="B49" s="736" t="e">
        <f aca="false">ati!#ref!</f>
        <v>#NAME?</v>
      </c>
      <c r="C49" s="737" t="s">
        <v>466</v>
      </c>
    </row>
    <row r="50" customFormat="false" ht="14.25" hidden="false" customHeight="false" outlineLevel="0" collapsed="false">
      <c r="A50" s="736" t="s">
        <v>469</v>
      </c>
      <c r="B50" s="736" t="e">
        <f aca="false">ati!#ref!</f>
        <v>#NAME?</v>
      </c>
      <c r="C50" s="737" t="s">
        <v>466</v>
      </c>
    </row>
    <row r="51" customFormat="false" ht="14.25" hidden="false" customHeight="false" outlineLevel="0" collapsed="false">
      <c r="A51" s="736" t="s">
        <v>470</v>
      </c>
      <c r="B51" s="736" t="e">
        <f aca="false">ati!#ref!</f>
        <v>#NAME?</v>
      </c>
      <c r="C51" s="737" t="s">
        <v>466</v>
      </c>
    </row>
    <row r="52" customFormat="false" ht="14.25" hidden="false" customHeight="false" outlineLevel="0" collapsed="false">
      <c r="A52" s="736" t="s">
        <v>471</v>
      </c>
      <c r="B52" s="736" t="e">
        <f aca="false">ati!#ref!</f>
        <v>#NAME?</v>
      </c>
      <c r="C52" s="737" t="s">
        <v>466</v>
      </c>
    </row>
    <row r="53" customFormat="false" ht="14.25" hidden="false" customHeight="false" outlineLevel="0" collapsed="false">
      <c r="A53" s="736" t="s">
        <v>472</v>
      </c>
      <c r="B53" s="736" t="e">
        <f aca="false">ati!#ref!</f>
        <v>#NAME?</v>
      </c>
      <c r="C53" s="737" t="s">
        <v>466</v>
      </c>
    </row>
    <row r="54" customFormat="false" ht="14.25" hidden="false" customHeight="false" outlineLevel="0" collapsed="false">
      <c r="A54" s="736" t="s">
        <v>473</v>
      </c>
      <c r="B54" s="736" t="e">
        <f aca="false">ati!#ref!</f>
        <v>#NAME?</v>
      </c>
      <c r="C54" s="737" t="s">
        <v>466</v>
      </c>
    </row>
    <row r="55" customFormat="false" ht="14.25" hidden="false" customHeight="false" outlineLevel="0" collapsed="false">
      <c r="A55" s="736" t="s">
        <v>474</v>
      </c>
      <c r="B55" s="736" t="e">
        <f aca="false">ati!#ref!</f>
        <v>#NAME?</v>
      </c>
      <c r="C55" s="737" t="s">
        <v>466</v>
      </c>
    </row>
    <row r="56" customFormat="false" ht="14.25" hidden="false" customHeight="false" outlineLevel="0" collapsed="false">
      <c r="A56" s="736" t="s">
        <v>475</v>
      </c>
      <c r="B56" s="736" t="e">
        <f aca="false">ati!#ref!</f>
        <v>#NAME?</v>
      </c>
      <c r="C56" s="737" t="s">
        <v>466</v>
      </c>
    </row>
    <row r="57" customFormat="false" ht="14.25" hidden="false" customHeight="false" outlineLevel="0" collapsed="false">
      <c r="A57" s="736" t="s">
        <v>476</v>
      </c>
      <c r="B57" s="736" t="n">
        <f aca="false">ATI!B70</f>
        <v>0</v>
      </c>
      <c r="C57" s="737" t="s">
        <v>477</v>
      </c>
    </row>
    <row r="58" customFormat="false" ht="14.25" hidden="false" customHeight="false" outlineLevel="0" collapsed="false">
      <c r="A58" s="736" t="s">
        <v>478</v>
      </c>
      <c r="B58" s="736" t="n">
        <f aca="false">ATI!C70</f>
        <v>0</v>
      </c>
      <c r="C58" s="737" t="s">
        <v>477</v>
      </c>
    </row>
    <row r="59" customFormat="false" ht="14.25" hidden="false" customHeight="false" outlineLevel="0" collapsed="false">
      <c r="A59" s="736" t="s">
        <v>479</v>
      </c>
      <c r="B59" s="736" t="e">
        <f aca="false">ati!#ref!</f>
        <v>#NAME?</v>
      </c>
      <c r="C59" s="737" t="s">
        <v>477</v>
      </c>
    </row>
    <row r="60" customFormat="false" ht="14.25" hidden="false" customHeight="false" outlineLevel="0" collapsed="false">
      <c r="A60" s="736" t="s">
        <v>480</v>
      </c>
      <c r="B60" s="736" t="e">
        <f aca="false">ati!#ref!</f>
        <v>#NAME?</v>
      </c>
      <c r="C60" s="737" t="s">
        <v>477</v>
      </c>
    </row>
    <row r="61" customFormat="false" ht="14.25" hidden="false" customHeight="false" outlineLevel="0" collapsed="false">
      <c r="A61" s="736" t="s">
        <v>481</v>
      </c>
      <c r="B61" s="736" t="n">
        <f aca="false">ATI!D70</f>
        <v>0</v>
      </c>
      <c r="C61" s="737" t="s">
        <v>477</v>
      </c>
    </row>
    <row r="62" customFormat="false" ht="14.25" hidden="false" customHeight="false" outlineLevel="0" collapsed="false">
      <c r="A62" s="736" t="s">
        <v>482</v>
      </c>
      <c r="B62" s="736" t="n">
        <f aca="false">ATI!E70</f>
        <v>0</v>
      </c>
      <c r="C62" s="737" t="s">
        <v>477</v>
      </c>
    </row>
    <row r="63" customFormat="false" ht="14.25" hidden="false" customHeight="false" outlineLevel="0" collapsed="false">
      <c r="A63" s="736" t="s">
        <v>483</v>
      </c>
      <c r="B63" s="736" t="e">
        <f aca="false">ati!#ref!</f>
        <v>#NAME?</v>
      </c>
      <c r="C63" s="737" t="s">
        <v>477</v>
      </c>
    </row>
    <row r="64" customFormat="false" ht="14.25" hidden="false" customHeight="false" outlineLevel="0" collapsed="false">
      <c r="A64" s="736" t="s">
        <v>484</v>
      </c>
      <c r="B64" s="736" t="e">
        <f aca="false">ati!#ref!</f>
        <v>#NAME?</v>
      </c>
      <c r="C64" s="737" t="s">
        <v>477</v>
      </c>
    </row>
    <row r="65" customFormat="false" ht="14.25" hidden="false" customHeight="false" outlineLevel="0" collapsed="false">
      <c r="A65" s="736" t="s">
        <v>485</v>
      </c>
      <c r="B65" s="736" t="n">
        <f aca="false">ATI!F70</f>
        <v>0</v>
      </c>
      <c r="C65" s="737" t="s">
        <v>477</v>
      </c>
    </row>
    <row r="66" customFormat="false" ht="14.25" hidden="false" customHeight="false" outlineLevel="0" collapsed="false">
      <c r="A66" s="736" t="s">
        <v>486</v>
      </c>
      <c r="B66" s="736" t="n">
        <f aca="false">ATI!G70</f>
        <v>0</v>
      </c>
      <c r="C66" s="737" t="s">
        <v>477</v>
      </c>
    </row>
    <row r="67" customFormat="false" ht="14.25" hidden="false" customHeight="false" outlineLevel="0" collapsed="false">
      <c r="A67" s="734" t="s">
        <v>487</v>
      </c>
      <c r="B67" s="734" t="n">
        <f aca="false">ATI!I75</f>
        <v>0</v>
      </c>
      <c r="C67" s="735" t="n">
        <v>3</v>
      </c>
    </row>
    <row r="68" customFormat="false" ht="14.25" hidden="false" customHeight="false" outlineLevel="0" collapsed="false">
      <c r="A68" s="734" t="s">
        <v>488</v>
      </c>
      <c r="B68" s="734" t="n">
        <f aca="false">ATI!I76</f>
        <v>0</v>
      </c>
      <c r="C68" s="735" t="n">
        <v>3</v>
      </c>
    </row>
    <row r="69" customFormat="false" ht="14.25" hidden="false" customHeight="false" outlineLevel="0" collapsed="false">
      <c r="A69" s="734" t="s">
        <v>489</v>
      </c>
      <c r="B69" s="734" t="n">
        <f aca="false">ATI!I77</f>
        <v>0</v>
      </c>
      <c r="C69" s="735" t="n">
        <v>3</v>
      </c>
    </row>
    <row r="70" customFormat="false" ht="14.25" hidden="false" customHeight="false" outlineLevel="0" collapsed="false">
      <c r="A70" s="734" t="s">
        <v>490</v>
      </c>
      <c r="B70" s="734" t="n">
        <f aca="false">ATI!I78</f>
        <v>0</v>
      </c>
      <c r="C70" s="735" t="n">
        <v>3</v>
      </c>
    </row>
    <row r="71" customFormat="false" ht="14.25" hidden="false" customHeight="false" outlineLevel="0" collapsed="false">
      <c r="A71" s="734" t="s">
        <v>491</v>
      </c>
      <c r="B71" s="734" t="n">
        <f aca="false">ATI!I79</f>
        <v>0</v>
      </c>
      <c r="C71" s="735" t="n">
        <v>3</v>
      </c>
    </row>
    <row r="72" customFormat="false" ht="14.25" hidden="false" customHeight="false" outlineLevel="0" collapsed="false">
      <c r="A72" s="736" t="s">
        <v>492</v>
      </c>
      <c r="B72" s="736" t="n">
        <f aca="false">ATI!I80</f>
        <v>0</v>
      </c>
      <c r="C72" s="737" t="n">
        <v>3</v>
      </c>
    </row>
    <row r="73" customFormat="false" ht="14.25" hidden="false" customHeight="false" outlineLevel="0" collapsed="false">
      <c r="A73" s="734" t="s">
        <v>493</v>
      </c>
      <c r="B73" s="734" t="n">
        <f aca="false">ATI!I81</f>
        <v>0</v>
      </c>
      <c r="C73" s="735" t="n">
        <v>3</v>
      </c>
    </row>
    <row r="74" customFormat="false" ht="14.25" hidden="false" customHeight="false" outlineLevel="0" collapsed="false">
      <c r="A74" s="734" t="s">
        <v>494</v>
      </c>
      <c r="B74" s="734" t="n">
        <f aca="false">ATI!F89</f>
        <v>0</v>
      </c>
      <c r="C74" s="735" t="s">
        <v>495</v>
      </c>
    </row>
    <row r="75" customFormat="false" ht="14.25" hidden="false" customHeight="false" outlineLevel="0" collapsed="false">
      <c r="A75" s="734" t="s">
        <v>496</v>
      </c>
      <c r="B75" s="734" t="n">
        <f aca="false">ATI!G89</f>
        <v>0</v>
      </c>
      <c r="C75" s="735" t="s">
        <v>495</v>
      </c>
    </row>
    <row r="76" customFormat="false" ht="14.25" hidden="false" customHeight="false" outlineLevel="0" collapsed="false">
      <c r="A76" s="734" t="s">
        <v>497</v>
      </c>
      <c r="B76" s="734" t="n">
        <f aca="false">ATI!H89</f>
        <v>0</v>
      </c>
      <c r="C76" s="735" t="s">
        <v>495</v>
      </c>
    </row>
    <row r="77" customFormat="false" ht="14.25" hidden="false" customHeight="false" outlineLevel="0" collapsed="false">
      <c r="A77" s="734" t="s">
        <v>498</v>
      </c>
      <c r="B77" s="734" t="n">
        <f aca="false">ATI!I89</f>
        <v>0</v>
      </c>
      <c r="C77" s="735" t="s">
        <v>495</v>
      </c>
    </row>
    <row r="78" customFormat="false" ht="14.25" hidden="false" customHeight="false" outlineLevel="0" collapsed="false">
      <c r="A78" s="734" t="s">
        <v>499</v>
      </c>
      <c r="B78" s="734" t="n">
        <f aca="false">ATI!J89</f>
        <v>0</v>
      </c>
      <c r="C78" s="735" t="s">
        <v>495</v>
      </c>
    </row>
    <row r="79" customFormat="false" ht="14.25" hidden="false" customHeight="false" outlineLevel="0" collapsed="false">
      <c r="A79" s="734" t="s">
        <v>500</v>
      </c>
      <c r="B79" s="734" t="n">
        <f aca="false">ATI!K89</f>
        <v>0</v>
      </c>
      <c r="C79" s="735" t="s">
        <v>495</v>
      </c>
    </row>
    <row r="80" customFormat="false" ht="14.25" hidden="false" customHeight="false" outlineLevel="0" collapsed="false">
      <c r="A80" s="734" t="s">
        <v>501</v>
      </c>
      <c r="B80" s="734" t="n">
        <f aca="false">ATI!L89</f>
        <v>0</v>
      </c>
      <c r="C80" s="735" t="s">
        <v>495</v>
      </c>
    </row>
    <row r="81" customFormat="false" ht="14.25" hidden="false" customHeight="false" outlineLevel="0" collapsed="false">
      <c r="A81" s="734" t="s">
        <v>502</v>
      </c>
      <c r="B81" s="734" t="n">
        <f aca="false">ATI!F90</f>
        <v>0</v>
      </c>
      <c r="C81" s="735" t="s">
        <v>495</v>
      </c>
    </row>
    <row r="82" customFormat="false" ht="14.25" hidden="false" customHeight="false" outlineLevel="0" collapsed="false">
      <c r="A82" s="734" t="s">
        <v>503</v>
      </c>
      <c r="B82" s="734" t="n">
        <f aca="false">ATI!G90</f>
        <v>0</v>
      </c>
      <c r="C82" s="735" t="s">
        <v>495</v>
      </c>
    </row>
    <row r="83" customFormat="false" ht="14.25" hidden="false" customHeight="false" outlineLevel="0" collapsed="false">
      <c r="A83" s="734" t="s">
        <v>504</v>
      </c>
      <c r="B83" s="734" t="n">
        <f aca="false">ATI!H90</f>
        <v>0</v>
      </c>
      <c r="C83" s="735" t="s">
        <v>495</v>
      </c>
    </row>
    <row r="84" customFormat="false" ht="14.25" hidden="false" customHeight="false" outlineLevel="0" collapsed="false">
      <c r="A84" s="734" t="s">
        <v>505</v>
      </c>
      <c r="B84" s="734" t="n">
        <f aca="false">ATI!I90</f>
        <v>0</v>
      </c>
      <c r="C84" s="735" t="s">
        <v>495</v>
      </c>
    </row>
    <row r="85" customFormat="false" ht="14.25" hidden="false" customHeight="false" outlineLevel="0" collapsed="false">
      <c r="A85" s="734" t="s">
        <v>506</v>
      </c>
      <c r="B85" s="734" t="n">
        <f aca="false">ATI!J90</f>
        <v>0</v>
      </c>
      <c r="C85" s="735" t="s">
        <v>495</v>
      </c>
    </row>
    <row r="86" customFormat="false" ht="14.25" hidden="false" customHeight="false" outlineLevel="0" collapsed="false">
      <c r="A86" s="734" t="s">
        <v>507</v>
      </c>
      <c r="B86" s="734" t="n">
        <f aca="false">ATI!K90</f>
        <v>0</v>
      </c>
      <c r="C86" s="735" t="s">
        <v>495</v>
      </c>
    </row>
    <row r="87" customFormat="false" ht="14.25" hidden="false" customHeight="false" outlineLevel="0" collapsed="false">
      <c r="A87" s="734" t="s">
        <v>508</v>
      </c>
      <c r="B87" s="734" t="n">
        <f aca="false">ATI!L90</f>
        <v>0</v>
      </c>
      <c r="C87" s="735" t="s">
        <v>495</v>
      </c>
    </row>
    <row r="88" customFormat="false" ht="14.25" hidden="false" customHeight="false" outlineLevel="0" collapsed="false">
      <c r="A88" s="734" t="s">
        <v>509</v>
      </c>
      <c r="B88" s="734" t="n">
        <f aca="false">ATI!F91</f>
        <v>0</v>
      </c>
      <c r="C88" s="735" t="s">
        <v>495</v>
      </c>
    </row>
    <row r="89" customFormat="false" ht="14.25" hidden="false" customHeight="false" outlineLevel="0" collapsed="false">
      <c r="A89" s="734" t="s">
        <v>510</v>
      </c>
      <c r="B89" s="734" t="n">
        <f aca="false">ATI!G91</f>
        <v>0</v>
      </c>
      <c r="C89" s="735" t="s">
        <v>495</v>
      </c>
    </row>
    <row r="90" customFormat="false" ht="14.25" hidden="false" customHeight="false" outlineLevel="0" collapsed="false">
      <c r="A90" s="734" t="s">
        <v>511</v>
      </c>
      <c r="B90" s="734" t="n">
        <f aca="false">ATI!H91</f>
        <v>0</v>
      </c>
      <c r="C90" s="735" t="s">
        <v>495</v>
      </c>
    </row>
    <row r="91" customFormat="false" ht="14.25" hidden="false" customHeight="false" outlineLevel="0" collapsed="false">
      <c r="A91" s="734" t="s">
        <v>512</v>
      </c>
      <c r="B91" s="734" t="n">
        <f aca="false">ATI!I91</f>
        <v>0</v>
      </c>
      <c r="C91" s="735" t="s">
        <v>495</v>
      </c>
    </row>
    <row r="92" customFormat="false" ht="14.25" hidden="false" customHeight="false" outlineLevel="0" collapsed="false">
      <c r="A92" s="734" t="s">
        <v>513</v>
      </c>
      <c r="B92" s="734" t="n">
        <f aca="false">ATI!J91</f>
        <v>0</v>
      </c>
      <c r="C92" s="735" t="s">
        <v>495</v>
      </c>
    </row>
    <row r="93" customFormat="false" ht="14.25" hidden="false" customHeight="false" outlineLevel="0" collapsed="false">
      <c r="A93" s="734" t="s">
        <v>514</v>
      </c>
      <c r="B93" s="734" t="n">
        <f aca="false">ATI!K91</f>
        <v>0</v>
      </c>
      <c r="C93" s="735" t="s">
        <v>495</v>
      </c>
    </row>
    <row r="94" customFormat="false" ht="14.25" hidden="false" customHeight="false" outlineLevel="0" collapsed="false">
      <c r="A94" s="734" t="s">
        <v>515</v>
      </c>
      <c r="B94" s="734" t="n">
        <f aca="false">ATI!L91</f>
        <v>0</v>
      </c>
      <c r="C94" s="735" t="s">
        <v>495</v>
      </c>
    </row>
    <row r="95" customFormat="false" ht="14.25" hidden="false" customHeight="false" outlineLevel="0" collapsed="false">
      <c r="A95" s="734" t="s">
        <v>516</v>
      </c>
      <c r="B95" s="734" t="n">
        <f aca="false">ATI!F92</f>
        <v>0</v>
      </c>
      <c r="C95" s="735" t="s">
        <v>495</v>
      </c>
    </row>
    <row r="96" customFormat="false" ht="14.25" hidden="false" customHeight="false" outlineLevel="0" collapsed="false">
      <c r="A96" s="734" t="s">
        <v>517</v>
      </c>
      <c r="B96" s="734" t="n">
        <f aca="false">ATI!G92</f>
        <v>0</v>
      </c>
      <c r="C96" s="735" t="s">
        <v>495</v>
      </c>
    </row>
    <row r="97" customFormat="false" ht="14.25" hidden="false" customHeight="false" outlineLevel="0" collapsed="false">
      <c r="A97" s="734" t="s">
        <v>518</v>
      </c>
      <c r="B97" s="734" t="n">
        <f aca="false">ATI!H92</f>
        <v>0</v>
      </c>
      <c r="C97" s="735" t="s">
        <v>495</v>
      </c>
    </row>
    <row r="98" customFormat="false" ht="14.25" hidden="false" customHeight="false" outlineLevel="0" collapsed="false">
      <c r="A98" s="734" t="s">
        <v>519</v>
      </c>
      <c r="B98" s="734" t="n">
        <f aca="false">ATI!I92</f>
        <v>0</v>
      </c>
      <c r="C98" s="735" t="s">
        <v>495</v>
      </c>
    </row>
    <row r="99" customFormat="false" ht="14.25" hidden="false" customHeight="false" outlineLevel="0" collapsed="false">
      <c r="A99" s="734" t="s">
        <v>520</v>
      </c>
      <c r="B99" s="734" t="n">
        <f aca="false">ATI!J92</f>
        <v>0</v>
      </c>
      <c r="C99" s="735" t="s">
        <v>495</v>
      </c>
    </row>
    <row r="100" customFormat="false" ht="14.25" hidden="false" customHeight="false" outlineLevel="0" collapsed="false">
      <c r="A100" s="734" t="s">
        <v>521</v>
      </c>
      <c r="B100" s="734" t="n">
        <f aca="false">ATI!K92</f>
        <v>0</v>
      </c>
      <c r="C100" s="735" t="s">
        <v>495</v>
      </c>
    </row>
    <row r="101" customFormat="false" ht="14.25" hidden="false" customHeight="false" outlineLevel="0" collapsed="false">
      <c r="A101" s="734" t="s">
        <v>522</v>
      </c>
      <c r="B101" s="734" t="n">
        <f aca="false">ATI!L92</f>
        <v>0</v>
      </c>
      <c r="C101" s="735" t="s">
        <v>495</v>
      </c>
    </row>
    <row r="102" customFormat="false" ht="14.25" hidden="false" customHeight="false" outlineLevel="0" collapsed="false">
      <c r="A102" s="734" t="s">
        <v>523</v>
      </c>
      <c r="B102" s="734" t="n">
        <f aca="false">ATI!F93</f>
        <v>0</v>
      </c>
      <c r="C102" s="735" t="s">
        <v>495</v>
      </c>
    </row>
    <row r="103" customFormat="false" ht="14.25" hidden="false" customHeight="false" outlineLevel="0" collapsed="false">
      <c r="A103" s="734" t="s">
        <v>524</v>
      </c>
      <c r="B103" s="734" t="n">
        <f aca="false">ATI!G93</f>
        <v>0</v>
      </c>
      <c r="C103" s="735" t="s">
        <v>495</v>
      </c>
    </row>
    <row r="104" customFormat="false" ht="14.25" hidden="false" customHeight="false" outlineLevel="0" collapsed="false">
      <c r="A104" s="734" t="s">
        <v>525</v>
      </c>
      <c r="B104" s="734" t="n">
        <f aca="false">ATI!H93</f>
        <v>0</v>
      </c>
      <c r="C104" s="735" t="s">
        <v>495</v>
      </c>
    </row>
    <row r="105" customFormat="false" ht="14.25" hidden="false" customHeight="false" outlineLevel="0" collapsed="false">
      <c r="A105" s="734" t="s">
        <v>526</v>
      </c>
      <c r="B105" s="734" t="n">
        <f aca="false">ATI!I93</f>
        <v>0</v>
      </c>
      <c r="C105" s="735" t="s">
        <v>495</v>
      </c>
    </row>
    <row r="106" customFormat="false" ht="14.25" hidden="false" customHeight="false" outlineLevel="0" collapsed="false">
      <c r="A106" s="734" t="s">
        <v>527</v>
      </c>
      <c r="B106" s="734" t="n">
        <f aca="false">ATI!J93</f>
        <v>0</v>
      </c>
      <c r="C106" s="735" t="s">
        <v>495</v>
      </c>
    </row>
    <row r="107" customFormat="false" ht="14.25" hidden="false" customHeight="false" outlineLevel="0" collapsed="false">
      <c r="A107" s="734" t="s">
        <v>528</v>
      </c>
      <c r="B107" s="734" t="n">
        <f aca="false">ATI!K93</f>
        <v>0</v>
      </c>
      <c r="C107" s="735" t="s">
        <v>495</v>
      </c>
    </row>
    <row r="108" customFormat="false" ht="14.25" hidden="false" customHeight="false" outlineLevel="0" collapsed="false">
      <c r="A108" s="734" t="s">
        <v>529</v>
      </c>
      <c r="B108" s="734" t="n">
        <f aca="false">ATI!L93</f>
        <v>0</v>
      </c>
      <c r="C108" s="735" t="s">
        <v>495</v>
      </c>
    </row>
    <row r="109" customFormat="false" ht="14.25" hidden="false" customHeight="false" outlineLevel="0" collapsed="false">
      <c r="A109" s="734" t="s">
        <v>530</v>
      </c>
      <c r="B109" s="734" t="n">
        <f aca="false">ATI!F94</f>
        <v>0</v>
      </c>
      <c r="C109" s="735" t="s">
        <v>495</v>
      </c>
    </row>
    <row r="110" customFormat="false" ht="14.25" hidden="false" customHeight="false" outlineLevel="0" collapsed="false">
      <c r="A110" s="734" t="s">
        <v>531</v>
      </c>
      <c r="B110" s="734" t="n">
        <f aca="false">ATI!G94</f>
        <v>0</v>
      </c>
      <c r="C110" s="735" t="s">
        <v>495</v>
      </c>
    </row>
    <row r="111" customFormat="false" ht="14.25" hidden="false" customHeight="false" outlineLevel="0" collapsed="false">
      <c r="A111" s="734" t="s">
        <v>532</v>
      </c>
      <c r="B111" s="734" t="n">
        <f aca="false">ATI!H94</f>
        <v>0</v>
      </c>
      <c r="C111" s="735" t="s">
        <v>495</v>
      </c>
    </row>
    <row r="112" customFormat="false" ht="14.25" hidden="false" customHeight="false" outlineLevel="0" collapsed="false">
      <c r="A112" s="734" t="s">
        <v>533</v>
      </c>
      <c r="B112" s="734" t="n">
        <f aca="false">ATI!I94</f>
        <v>0</v>
      </c>
      <c r="C112" s="735" t="s">
        <v>495</v>
      </c>
    </row>
    <row r="113" customFormat="false" ht="14.25" hidden="false" customHeight="false" outlineLevel="0" collapsed="false">
      <c r="A113" s="734" t="s">
        <v>534</v>
      </c>
      <c r="B113" s="734" t="n">
        <f aca="false">ATI!J94</f>
        <v>0</v>
      </c>
      <c r="C113" s="735" t="s">
        <v>495</v>
      </c>
    </row>
    <row r="114" customFormat="false" ht="14.25" hidden="false" customHeight="false" outlineLevel="0" collapsed="false">
      <c r="A114" s="734" t="s">
        <v>535</v>
      </c>
      <c r="B114" s="734" t="n">
        <f aca="false">ATI!K94</f>
        <v>0</v>
      </c>
      <c r="C114" s="735" t="s">
        <v>495</v>
      </c>
    </row>
    <row r="115" customFormat="false" ht="14.25" hidden="false" customHeight="false" outlineLevel="0" collapsed="false">
      <c r="A115" s="734" t="s">
        <v>536</v>
      </c>
      <c r="B115" s="734" t="n">
        <f aca="false">ATI!L94</f>
        <v>0</v>
      </c>
      <c r="C115" s="735" t="s">
        <v>495</v>
      </c>
    </row>
    <row r="116" customFormat="false" ht="14.25" hidden="false" customHeight="false" outlineLevel="0" collapsed="false">
      <c r="A116" s="734" t="s">
        <v>537</v>
      </c>
      <c r="B116" s="734" t="n">
        <f aca="false">ATI!F95</f>
        <v>0</v>
      </c>
      <c r="C116" s="735" t="s">
        <v>495</v>
      </c>
    </row>
    <row r="117" customFormat="false" ht="14.25" hidden="false" customHeight="false" outlineLevel="0" collapsed="false">
      <c r="A117" s="734" t="s">
        <v>538</v>
      </c>
      <c r="B117" s="734" t="n">
        <f aca="false">ATI!G95</f>
        <v>0</v>
      </c>
      <c r="C117" s="735" t="s">
        <v>495</v>
      </c>
    </row>
    <row r="118" customFormat="false" ht="14.25" hidden="false" customHeight="false" outlineLevel="0" collapsed="false">
      <c r="A118" s="734" t="s">
        <v>539</v>
      </c>
      <c r="B118" s="734" t="n">
        <f aca="false">ATI!H95</f>
        <v>0</v>
      </c>
      <c r="C118" s="735" t="s">
        <v>495</v>
      </c>
    </row>
    <row r="119" customFormat="false" ht="14.25" hidden="false" customHeight="false" outlineLevel="0" collapsed="false">
      <c r="A119" s="734" t="s">
        <v>540</v>
      </c>
      <c r="B119" s="734" t="n">
        <f aca="false">ATI!I95</f>
        <v>0</v>
      </c>
      <c r="C119" s="735" t="s">
        <v>495</v>
      </c>
    </row>
    <row r="120" customFormat="false" ht="14.25" hidden="false" customHeight="false" outlineLevel="0" collapsed="false">
      <c r="A120" s="734" t="s">
        <v>541</v>
      </c>
      <c r="B120" s="734" t="n">
        <f aca="false">ATI!J95</f>
        <v>0</v>
      </c>
      <c r="C120" s="735" t="s">
        <v>495</v>
      </c>
    </row>
    <row r="121" customFormat="false" ht="14.25" hidden="false" customHeight="false" outlineLevel="0" collapsed="false">
      <c r="A121" s="734" t="s">
        <v>542</v>
      </c>
      <c r="B121" s="734" t="n">
        <f aca="false">ATI!K95</f>
        <v>0</v>
      </c>
      <c r="C121" s="735" t="s">
        <v>495</v>
      </c>
    </row>
    <row r="122" customFormat="false" ht="14.25" hidden="false" customHeight="false" outlineLevel="0" collapsed="false">
      <c r="A122" s="734" t="s">
        <v>543</v>
      </c>
      <c r="B122" s="734" t="n">
        <f aca="false">ATI!L95</f>
        <v>0</v>
      </c>
      <c r="C122" s="735" t="s">
        <v>495</v>
      </c>
    </row>
    <row r="123" customFormat="false" ht="14.25" hidden="false" customHeight="false" outlineLevel="0" collapsed="false">
      <c r="A123" s="734" t="s">
        <v>544</v>
      </c>
      <c r="B123" s="734" t="n">
        <f aca="false">ATI!F96</f>
        <v>0</v>
      </c>
      <c r="C123" s="735" t="s">
        <v>495</v>
      </c>
    </row>
    <row r="124" customFormat="false" ht="14.25" hidden="false" customHeight="false" outlineLevel="0" collapsed="false">
      <c r="A124" s="734" t="s">
        <v>545</v>
      </c>
      <c r="B124" s="734" t="n">
        <f aca="false">ATI!G96</f>
        <v>0</v>
      </c>
      <c r="C124" s="735" t="s">
        <v>495</v>
      </c>
    </row>
    <row r="125" customFormat="false" ht="14.25" hidden="false" customHeight="false" outlineLevel="0" collapsed="false">
      <c r="A125" s="734" t="s">
        <v>546</v>
      </c>
      <c r="B125" s="734" t="n">
        <f aca="false">ATI!H96</f>
        <v>0</v>
      </c>
      <c r="C125" s="735" t="s">
        <v>495</v>
      </c>
    </row>
    <row r="126" customFormat="false" ht="14.25" hidden="false" customHeight="false" outlineLevel="0" collapsed="false">
      <c r="A126" s="734" t="s">
        <v>547</v>
      </c>
      <c r="B126" s="734" t="n">
        <f aca="false">ATI!I96</f>
        <v>0</v>
      </c>
      <c r="C126" s="735" t="s">
        <v>495</v>
      </c>
    </row>
    <row r="127" customFormat="false" ht="14.25" hidden="false" customHeight="false" outlineLevel="0" collapsed="false">
      <c r="A127" s="734" t="s">
        <v>548</v>
      </c>
      <c r="B127" s="734" t="n">
        <f aca="false">ATI!J96</f>
        <v>0</v>
      </c>
      <c r="C127" s="735" t="s">
        <v>495</v>
      </c>
    </row>
    <row r="128" customFormat="false" ht="14.25" hidden="false" customHeight="false" outlineLevel="0" collapsed="false">
      <c r="A128" s="734" t="s">
        <v>549</v>
      </c>
      <c r="B128" s="734" t="n">
        <f aca="false">ATI!K96</f>
        <v>0</v>
      </c>
      <c r="C128" s="735" t="s">
        <v>495</v>
      </c>
    </row>
    <row r="129" customFormat="false" ht="14.25" hidden="false" customHeight="false" outlineLevel="0" collapsed="false">
      <c r="A129" s="734" t="s">
        <v>550</v>
      </c>
      <c r="B129" s="734" t="n">
        <f aca="false">ATI!L96</f>
        <v>0</v>
      </c>
      <c r="C129" s="735" t="s">
        <v>495</v>
      </c>
    </row>
    <row r="130" customFormat="false" ht="14.25" hidden="false" customHeight="false" outlineLevel="0" collapsed="false">
      <c r="A130" s="734" t="s">
        <v>551</v>
      </c>
      <c r="B130" s="734" t="n">
        <f aca="false">ATI!F97</f>
        <v>0</v>
      </c>
      <c r="C130" s="735" t="s">
        <v>495</v>
      </c>
    </row>
    <row r="131" customFormat="false" ht="14.25" hidden="false" customHeight="false" outlineLevel="0" collapsed="false">
      <c r="A131" s="734" t="s">
        <v>552</v>
      </c>
      <c r="B131" s="734" t="n">
        <f aca="false">ATI!G97</f>
        <v>0</v>
      </c>
      <c r="C131" s="735" t="s">
        <v>495</v>
      </c>
    </row>
    <row r="132" customFormat="false" ht="14.25" hidden="false" customHeight="false" outlineLevel="0" collapsed="false">
      <c r="A132" s="734" t="s">
        <v>553</v>
      </c>
      <c r="B132" s="734" t="n">
        <f aca="false">ATI!H97</f>
        <v>0</v>
      </c>
      <c r="C132" s="735" t="s">
        <v>495</v>
      </c>
    </row>
    <row r="133" customFormat="false" ht="14.25" hidden="false" customHeight="false" outlineLevel="0" collapsed="false">
      <c r="A133" s="734" t="s">
        <v>554</v>
      </c>
      <c r="B133" s="734" t="n">
        <f aca="false">ATI!I97</f>
        <v>0</v>
      </c>
      <c r="C133" s="735" t="s">
        <v>495</v>
      </c>
    </row>
    <row r="134" customFormat="false" ht="14.25" hidden="false" customHeight="false" outlineLevel="0" collapsed="false">
      <c r="A134" s="734" t="s">
        <v>555</v>
      </c>
      <c r="B134" s="734" t="n">
        <f aca="false">ATI!J97</f>
        <v>0</v>
      </c>
      <c r="C134" s="735" t="s">
        <v>495</v>
      </c>
    </row>
    <row r="135" customFormat="false" ht="14.25" hidden="false" customHeight="false" outlineLevel="0" collapsed="false">
      <c r="A135" s="734" t="s">
        <v>556</v>
      </c>
      <c r="B135" s="734" t="n">
        <f aca="false">ATI!K97</f>
        <v>0</v>
      </c>
      <c r="C135" s="735" t="s">
        <v>495</v>
      </c>
    </row>
    <row r="136" customFormat="false" ht="14.25" hidden="false" customHeight="false" outlineLevel="0" collapsed="false">
      <c r="A136" s="734" t="s">
        <v>557</v>
      </c>
      <c r="B136" s="734" t="n">
        <f aca="false">ATI!L97</f>
        <v>0</v>
      </c>
      <c r="C136" s="735" t="s">
        <v>495</v>
      </c>
    </row>
    <row r="137" customFormat="false" ht="14.25" hidden="false" customHeight="false" outlineLevel="0" collapsed="false">
      <c r="A137" s="738" t="s">
        <v>558</v>
      </c>
      <c r="B137" s="738" t="n">
        <f aca="false">ATI!D103</f>
        <v>0</v>
      </c>
      <c r="C137" s="739" t="s">
        <v>559</v>
      </c>
    </row>
    <row r="138" customFormat="false" ht="14.25" hidden="false" customHeight="false" outlineLevel="0" collapsed="false">
      <c r="A138" s="738" t="s">
        <v>560</v>
      </c>
      <c r="B138" s="738" t="n">
        <f aca="false">ATI!D104</f>
        <v>0</v>
      </c>
      <c r="C138" s="739" t="s">
        <v>559</v>
      </c>
    </row>
    <row r="139" customFormat="false" ht="14.25" hidden="false" customHeight="false" outlineLevel="0" collapsed="false">
      <c r="A139" s="738" t="s">
        <v>561</v>
      </c>
      <c r="B139" s="738" t="n">
        <f aca="false">ATI!D105</f>
        <v>0</v>
      </c>
      <c r="C139" s="739" t="s">
        <v>559</v>
      </c>
    </row>
    <row r="140" customFormat="false" ht="14.25" hidden="false" customHeight="false" outlineLevel="0" collapsed="false">
      <c r="A140" s="738" t="s">
        <v>562</v>
      </c>
      <c r="B140" s="738" t="n">
        <f aca="false">ATI!D106</f>
        <v>0</v>
      </c>
      <c r="C140" s="739" t="s">
        <v>559</v>
      </c>
    </row>
    <row r="141" customFormat="false" ht="14.25" hidden="false" customHeight="false" outlineLevel="0" collapsed="false">
      <c r="A141" s="738" t="s">
        <v>563</v>
      </c>
      <c r="B141" s="738" t="n">
        <f aca="false">ATI!D107</f>
        <v>0</v>
      </c>
      <c r="C141" s="739" t="s">
        <v>559</v>
      </c>
    </row>
    <row r="142" customFormat="false" ht="14.25" hidden="false" customHeight="false" outlineLevel="0" collapsed="false">
      <c r="A142" s="738" t="s">
        <v>564</v>
      </c>
      <c r="B142" s="738" t="n">
        <f aca="false">ATI!D108</f>
        <v>0</v>
      </c>
      <c r="C142" s="739" t="s">
        <v>559</v>
      </c>
    </row>
    <row r="143" customFormat="false" ht="14.25" hidden="false" customHeight="false" outlineLevel="0" collapsed="false">
      <c r="A143" s="738" t="s">
        <v>565</v>
      </c>
      <c r="B143" s="738" t="n">
        <f aca="false">ATI!D109</f>
        <v>0</v>
      </c>
      <c r="C143" s="739" t="s">
        <v>559</v>
      </c>
    </row>
    <row r="144" customFormat="false" ht="14.25" hidden="false" customHeight="false" outlineLevel="0" collapsed="false">
      <c r="A144" s="738" t="s">
        <v>566</v>
      </c>
      <c r="B144" s="738" t="n">
        <f aca="false">ATI!D110</f>
        <v>0</v>
      </c>
      <c r="C144" s="739" t="s">
        <v>559</v>
      </c>
    </row>
    <row r="145" customFormat="false" ht="14.25" hidden="false" customHeight="false" outlineLevel="0" collapsed="false">
      <c r="A145" s="738" t="s">
        <v>567</v>
      </c>
      <c r="B145" s="738" t="n">
        <f aca="false">ATI!D111</f>
        <v>0</v>
      </c>
      <c r="C145" s="739" t="s">
        <v>559</v>
      </c>
    </row>
    <row r="146" customFormat="false" ht="14.25" hidden="false" customHeight="false" outlineLevel="0" collapsed="false">
      <c r="A146" s="738" t="s">
        <v>568</v>
      </c>
      <c r="B146" s="738" t="n">
        <f aca="false">ATI!D112</f>
        <v>0</v>
      </c>
      <c r="C146" s="739" t="s">
        <v>559</v>
      </c>
    </row>
    <row r="147" customFormat="false" ht="14.25" hidden="false" customHeight="false" outlineLevel="0" collapsed="false">
      <c r="A147" s="738" t="s">
        <v>569</v>
      </c>
      <c r="B147" s="738" t="n">
        <f aca="false">ATI!D113</f>
        <v>0</v>
      </c>
      <c r="C147" s="739" t="s">
        <v>559</v>
      </c>
    </row>
    <row r="148" customFormat="false" ht="14.25" hidden="false" customHeight="false" outlineLevel="0" collapsed="false">
      <c r="A148" s="738" t="s">
        <v>570</v>
      </c>
      <c r="B148" s="738" t="n">
        <f aca="false">ATI!D114</f>
        <v>0</v>
      </c>
      <c r="C148" s="739" t="s">
        <v>559</v>
      </c>
    </row>
    <row r="149" customFormat="false" ht="14.25" hidden="false" customHeight="false" outlineLevel="0" collapsed="false">
      <c r="A149" s="738" t="s">
        <v>571</v>
      </c>
      <c r="B149" s="738" t="n">
        <f aca="false">ATI!D115</f>
        <v>0</v>
      </c>
      <c r="C149" s="739" t="s">
        <v>559</v>
      </c>
    </row>
    <row r="150" customFormat="false" ht="14.25" hidden="false" customHeight="false" outlineLevel="0" collapsed="false">
      <c r="A150" s="738" t="s">
        <v>572</v>
      </c>
      <c r="B150" s="738" t="n">
        <f aca="false">ATI!D116</f>
        <v>0</v>
      </c>
      <c r="C150" s="739" t="s">
        <v>559</v>
      </c>
    </row>
    <row r="151" customFormat="false" ht="14.25" hidden="false" customHeight="false" outlineLevel="0" collapsed="false">
      <c r="A151" s="738" t="s">
        <v>573</v>
      </c>
      <c r="B151" s="738" t="n">
        <f aca="false">ATI!D117</f>
        <v>0</v>
      </c>
      <c r="C151" s="739" t="s">
        <v>559</v>
      </c>
    </row>
    <row r="152" customFormat="false" ht="14.25" hidden="false" customHeight="false" outlineLevel="0" collapsed="false">
      <c r="A152" s="738" t="s">
        <v>574</v>
      </c>
      <c r="B152" s="738" t="n">
        <f aca="false">ATI!D118</f>
        <v>0</v>
      </c>
      <c r="C152" s="739" t="s">
        <v>559</v>
      </c>
    </row>
    <row r="153" customFormat="false" ht="14.25" hidden="false" customHeight="false" outlineLevel="0" collapsed="false">
      <c r="A153" s="738" t="s">
        <v>575</v>
      </c>
      <c r="B153" s="738" t="n">
        <f aca="false">ATI!D119</f>
        <v>0</v>
      </c>
      <c r="C153" s="739" t="s">
        <v>559</v>
      </c>
    </row>
    <row r="154" customFormat="false" ht="14.25" hidden="false" customHeight="false" outlineLevel="0" collapsed="false">
      <c r="A154" s="738" t="s">
        <v>576</v>
      </c>
      <c r="B154" s="738" t="n">
        <f aca="false">ATI!D120</f>
        <v>0</v>
      </c>
      <c r="C154" s="739" t="s">
        <v>559</v>
      </c>
    </row>
    <row r="155" customFormat="false" ht="14.25" hidden="false" customHeight="false" outlineLevel="0" collapsed="false">
      <c r="A155" s="738" t="s">
        <v>577</v>
      </c>
      <c r="B155" s="738" t="n">
        <f aca="false">ATI!G103</f>
        <v>0</v>
      </c>
      <c r="C155" s="739" t="s">
        <v>559</v>
      </c>
    </row>
    <row r="156" customFormat="false" ht="14.25" hidden="false" customHeight="false" outlineLevel="0" collapsed="false">
      <c r="A156" s="738" t="s">
        <v>578</v>
      </c>
      <c r="B156" s="738" t="n">
        <f aca="false">ATI!G104</f>
        <v>0</v>
      </c>
      <c r="C156" s="739" t="s">
        <v>559</v>
      </c>
    </row>
    <row r="157" customFormat="false" ht="14.25" hidden="false" customHeight="false" outlineLevel="0" collapsed="false">
      <c r="A157" s="738" t="s">
        <v>579</v>
      </c>
      <c r="B157" s="738" t="n">
        <f aca="false">ATI!G105</f>
        <v>0</v>
      </c>
      <c r="C157" s="739" t="s">
        <v>559</v>
      </c>
    </row>
    <row r="158" customFormat="false" ht="14.25" hidden="false" customHeight="false" outlineLevel="0" collapsed="false">
      <c r="A158" s="738" t="s">
        <v>580</v>
      </c>
      <c r="B158" s="738" t="n">
        <f aca="false">ATI!G106</f>
        <v>0</v>
      </c>
      <c r="C158" s="739" t="s">
        <v>559</v>
      </c>
    </row>
    <row r="159" customFormat="false" ht="14.25" hidden="false" customHeight="false" outlineLevel="0" collapsed="false">
      <c r="A159" s="738" t="s">
        <v>581</v>
      </c>
      <c r="B159" s="738" t="n">
        <f aca="false">ATI!G107</f>
        <v>0</v>
      </c>
      <c r="C159" s="739" t="s">
        <v>559</v>
      </c>
    </row>
    <row r="160" customFormat="false" ht="14.25" hidden="false" customHeight="false" outlineLevel="0" collapsed="false">
      <c r="A160" s="738" t="s">
        <v>582</v>
      </c>
      <c r="B160" s="738" t="n">
        <f aca="false">ATI!G108</f>
        <v>0</v>
      </c>
      <c r="C160" s="739" t="s">
        <v>559</v>
      </c>
    </row>
    <row r="161" customFormat="false" ht="14.25" hidden="false" customHeight="false" outlineLevel="0" collapsed="false">
      <c r="A161" s="738" t="s">
        <v>583</v>
      </c>
      <c r="B161" s="738" t="n">
        <f aca="false">ATI!G109</f>
        <v>0</v>
      </c>
      <c r="C161" s="739" t="s">
        <v>559</v>
      </c>
    </row>
    <row r="162" customFormat="false" ht="14.25" hidden="false" customHeight="false" outlineLevel="0" collapsed="false">
      <c r="A162" s="738" t="s">
        <v>584</v>
      </c>
      <c r="B162" s="738" t="n">
        <f aca="false">ATI!G110</f>
        <v>0</v>
      </c>
      <c r="C162" s="739" t="s">
        <v>559</v>
      </c>
    </row>
    <row r="163" customFormat="false" ht="14.25" hidden="false" customHeight="false" outlineLevel="0" collapsed="false">
      <c r="A163" s="738" t="s">
        <v>585</v>
      </c>
      <c r="B163" s="738" t="n">
        <f aca="false">ATI!G111</f>
        <v>0</v>
      </c>
      <c r="C163" s="739" t="s">
        <v>559</v>
      </c>
    </row>
    <row r="164" customFormat="false" ht="14.25" hidden="false" customHeight="false" outlineLevel="0" collapsed="false">
      <c r="A164" s="738" t="s">
        <v>586</v>
      </c>
      <c r="B164" s="738" t="n">
        <f aca="false">ATI!G112</f>
        <v>0</v>
      </c>
      <c r="C164" s="739" t="s">
        <v>559</v>
      </c>
    </row>
    <row r="165" customFormat="false" ht="14.25" hidden="false" customHeight="false" outlineLevel="0" collapsed="false">
      <c r="A165" s="738" t="s">
        <v>587</v>
      </c>
      <c r="B165" s="738" t="n">
        <f aca="false">ATI!G113</f>
        <v>0</v>
      </c>
      <c r="C165" s="739" t="s">
        <v>559</v>
      </c>
    </row>
    <row r="166" customFormat="false" ht="14.25" hidden="false" customHeight="false" outlineLevel="0" collapsed="false">
      <c r="A166" s="738" t="s">
        <v>588</v>
      </c>
      <c r="B166" s="738" t="n">
        <f aca="false">ATI!G114</f>
        <v>0</v>
      </c>
      <c r="C166" s="739" t="s">
        <v>559</v>
      </c>
    </row>
    <row r="167" customFormat="false" ht="14.25" hidden="false" customHeight="false" outlineLevel="0" collapsed="false">
      <c r="A167" s="738" t="s">
        <v>589</v>
      </c>
      <c r="B167" s="738" t="n">
        <f aca="false">ATI!G115</f>
        <v>0</v>
      </c>
      <c r="C167" s="739" t="s">
        <v>559</v>
      </c>
    </row>
    <row r="168" customFormat="false" ht="14.25" hidden="false" customHeight="false" outlineLevel="0" collapsed="false">
      <c r="A168" s="738" t="s">
        <v>590</v>
      </c>
      <c r="B168" s="738" t="n">
        <f aca="false">ATI!G116</f>
        <v>0</v>
      </c>
      <c r="C168" s="739" t="s">
        <v>559</v>
      </c>
    </row>
    <row r="169" customFormat="false" ht="14.25" hidden="false" customHeight="false" outlineLevel="0" collapsed="false">
      <c r="A169" s="738" t="s">
        <v>591</v>
      </c>
      <c r="B169" s="738" t="n">
        <f aca="false">ATI!G117</f>
        <v>0</v>
      </c>
      <c r="C169" s="739" t="s">
        <v>559</v>
      </c>
    </row>
    <row r="170" customFormat="false" ht="14.25" hidden="false" customHeight="false" outlineLevel="0" collapsed="false">
      <c r="A170" s="738" t="s">
        <v>592</v>
      </c>
      <c r="B170" s="738" t="n">
        <f aca="false">ATI!G118</f>
        <v>0</v>
      </c>
      <c r="C170" s="739" t="s">
        <v>559</v>
      </c>
    </row>
    <row r="171" customFormat="false" ht="14.25" hidden="false" customHeight="false" outlineLevel="0" collapsed="false">
      <c r="A171" s="738" t="s">
        <v>593</v>
      </c>
      <c r="B171" s="738" t="n">
        <f aca="false">ATI!J103</f>
        <v>0</v>
      </c>
      <c r="C171" s="739" t="s">
        <v>559</v>
      </c>
    </row>
    <row r="172" customFormat="false" ht="14.25" hidden="false" customHeight="false" outlineLevel="0" collapsed="false">
      <c r="A172" s="738" t="s">
        <v>594</v>
      </c>
      <c r="B172" s="738" t="n">
        <f aca="false">ATI!J104</f>
        <v>0</v>
      </c>
      <c r="C172" s="739" t="s">
        <v>559</v>
      </c>
    </row>
    <row r="173" customFormat="false" ht="14.25" hidden="false" customHeight="false" outlineLevel="0" collapsed="false">
      <c r="A173" s="738" t="s">
        <v>595</v>
      </c>
      <c r="B173" s="738" t="n">
        <f aca="false">ATI!J105</f>
        <v>0</v>
      </c>
      <c r="C173" s="739" t="s">
        <v>559</v>
      </c>
    </row>
    <row r="174" customFormat="false" ht="14.25" hidden="false" customHeight="false" outlineLevel="0" collapsed="false">
      <c r="A174" s="738" t="s">
        <v>596</v>
      </c>
      <c r="B174" s="738" t="n">
        <f aca="false">ATI!J106</f>
        <v>0</v>
      </c>
      <c r="C174" s="739" t="s">
        <v>559</v>
      </c>
    </row>
    <row r="175" customFormat="false" ht="14.25" hidden="false" customHeight="false" outlineLevel="0" collapsed="false">
      <c r="A175" s="738" t="s">
        <v>597</v>
      </c>
      <c r="B175" s="738" t="n">
        <f aca="false">ATI!J107</f>
        <v>0</v>
      </c>
      <c r="C175" s="739" t="s">
        <v>559</v>
      </c>
    </row>
    <row r="176" customFormat="false" ht="14.25" hidden="false" customHeight="false" outlineLevel="0" collapsed="false">
      <c r="A176" s="738" t="s">
        <v>598</v>
      </c>
      <c r="B176" s="738" t="n">
        <f aca="false">ATI!J108</f>
        <v>0</v>
      </c>
      <c r="C176" s="739" t="s">
        <v>559</v>
      </c>
    </row>
    <row r="177" customFormat="false" ht="14.25" hidden="false" customHeight="false" outlineLevel="0" collapsed="false">
      <c r="A177" s="738" t="s">
        <v>599</v>
      </c>
      <c r="B177" s="738" t="n">
        <f aca="false">ATI!J109</f>
        <v>0</v>
      </c>
      <c r="C177" s="739" t="s">
        <v>559</v>
      </c>
    </row>
    <row r="178" customFormat="false" ht="14.25" hidden="false" customHeight="false" outlineLevel="0" collapsed="false">
      <c r="A178" s="738" t="s">
        <v>600</v>
      </c>
      <c r="B178" s="738" t="n">
        <f aca="false">ATI!J110</f>
        <v>0</v>
      </c>
      <c r="C178" s="739" t="s">
        <v>559</v>
      </c>
    </row>
    <row r="179" customFormat="false" ht="14.25" hidden="false" customHeight="false" outlineLevel="0" collapsed="false">
      <c r="A179" s="738" t="s">
        <v>601</v>
      </c>
      <c r="B179" s="738" t="n">
        <f aca="false">ATI!J111</f>
        <v>0</v>
      </c>
      <c r="C179" s="739" t="s">
        <v>559</v>
      </c>
    </row>
    <row r="180" customFormat="false" ht="14.25" hidden="false" customHeight="false" outlineLevel="0" collapsed="false">
      <c r="A180" s="738" t="s">
        <v>602</v>
      </c>
      <c r="B180" s="738" t="n">
        <f aca="false">ATI!J112</f>
        <v>0</v>
      </c>
      <c r="C180" s="739" t="s">
        <v>559</v>
      </c>
    </row>
    <row r="181" customFormat="false" ht="14.25" hidden="false" customHeight="false" outlineLevel="0" collapsed="false">
      <c r="A181" s="738" t="s">
        <v>603</v>
      </c>
      <c r="B181" s="738" t="n">
        <f aca="false">ATI!J113</f>
        <v>0</v>
      </c>
      <c r="C181" s="739" t="s">
        <v>559</v>
      </c>
    </row>
    <row r="182" customFormat="false" ht="14.25" hidden="false" customHeight="false" outlineLevel="0" collapsed="false">
      <c r="A182" s="738" t="s">
        <v>604</v>
      </c>
      <c r="B182" s="738" t="n">
        <f aca="false">ATI!J114</f>
        <v>0</v>
      </c>
      <c r="C182" s="739" t="s">
        <v>559</v>
      </c>
    </row>
    <row r="183" customFormat="false" ht="14.25" hidden="false" customHeight="false" outlineLevel="0" collapsed="false">
      <c r="A183" s="738" t="s">
        <v>605</v>
      </c>
      <c r="B183" s="738" t="n">
        <f aca="false">ATI!J115</f>
        <v>0</v>
      </c>
      <c r="C183" s="739" t="s">
        <v>559</v>
      </c>
    </row>
    <row r="184" customFormat="false" ht="14.25" hidden="false" customHeight="false" outlineLevel="0" collapsed="false">
      <c r="A184" s="738" t="s">
        <v>606</v>
      </c>
      <c r="B184" s="738" t="n">
        <f aca="false">ATI!J116</f>
        <v>0</v>
      </c>
      <c r="C184" s="739" t="s">
        <v>559</v>
      </c>
    </row>
    <row r="185" customFormat="false" ht="14.25" hidden="false" customHeight="false" outlineLevel="0" collapsed="false">
      <c r="A185" s="738" t="s">
        <v>607</v>
      </c>
      <c r="B185" s="738" t="n">
        <f aca="false">ATI!M103</f>
        <v>0</v>
      </c>
      <c r="C185" s="739" t="s">
        <v>559</v>
      </c>
    </row>
    <row r="186" customFormat="false" ht="14.25" hidden="false" customHeight="false" outlineLevel="0" collapsed="false">
      <c r="A186" s="738" t="s">
        <v>608</v>
      </c>
      <c r="B186" s="738" t="n">
        <f aca="false">ATI!M104</f>
        <v>0</v>
      </c>
      <c r="C186" s="739" t="s">
        <v>559</v>
      </c>
    </row>
    <row r="187" customFormat="false" ht="14.25" hidden="false" customHeight="false" outlineLevel="0" collapsed="false">
      <c r="A187" s="738" t="s">
        <v>609</v>
      </c>
      <c r="B187" s="738" t="n">
        <f aca="false">ATI!M105</f>
        <v>0</v>
      </c>
      <c r="C187" s="739" t="s">
        <v>559</v>
      </c>
    </row>
    <row r="188" customFormat="false" ht="14.25" hidden="false" customHeight="false" outlineLevel="0" collapsed="false">
      <c r="A188" s="738" t="s">
        <v>610</v>
      </c>
      <c r="B188" s="738" t="n">
        <f aca="false">ATI!M106</f>
        <v>0</v>
      </c>
      <c r="C188" s="739" t="s">
        <v>559</v>
      </c>
    </row>
    <row r="189" customFormat="false" ht="14.25" hidden="false" customHeight="false" outlineLevel="0" collapsed="false">
      <c r="A189" s="738" t="s">
        <v>611</v>
      </c>
      <c r="B189" s="738" t="n">
        <f aca="false">ATI!M107</f>
        <v>0</v>
      </c>
      <c r="C189" s="739" t="s">
        <v>559</v>
      </c>
    </row>
    <row r="190" customFormat="false" ht="14.25" hidden="false" customHeight="false" outlineLevel="0" collapsed="false">
      <c r="A190" s="738" t="s">
        <v>612</v>
      </c>
      <c r="B190" s="738" t="n">
        <f aca="false">ATI!M108</f>
        <v>0</v>
      </c>
      <c r="C190" s="739" t="s">
        <v>559</v>
      </c>
    </row>
    <row r="191" customFormat="false" ht="14.25" hidden="false" customHeight="false" outlineLevel="0" collapsed="false">
      <c r="A191" s="738" t="s">
        <v>613</v>
      </c>
      <c r="B191" s="738" t="n">
        <f aca="false">ATI!M109</f>
        <v>0</v>
      </c>
      <c r="C191" s="739" t="s">
        <v>559</v>
      </c>
    </row>
    <row r="192" customFormat="false" ht="14.25" hidden="false" customHeight="false" outlineLevel="0" collapsed="false">
      <c r="A192" s="738" t="s">
        <v>614</v>
      </c>
      <c r="B192" s="738" t="n">
        <f aca="false">ATI!M110</f>
        <v>0</v>
      </c>
      <c r="C192" s="739" t="s">
        <v>559</v>
      </c>
    </row>
    <row r="193" customFormat="false" ht="14.25" hidden="false" customHeight="false" outlineLevel="0" collapsed="false">
      <c r="A193" s="738" t="s">
        <v>615</v>
      </c>
      <c r="B193" s="738" t="n">
        <f aca="false">ATI!M111</f>
        <v>0</v>
      </c>
      <c r="C193" s="739" t="s">
        <v>559</v>
      </c>
    </row>
    <row r="194" customFormat="false" ht="14.25" hidden="false" customHeight="false" outlineLevel="0" collapsed="false">
      <c r="A194" s="738" t="s">
        <v>616</v>
      </c>
      <c r="B194" s="738" t="n">
        <f aca="false">ATI!M112</f>
        <v>0</v>
      </c>
      <c r="C194" s="739" t="s">
        <v>559</v>
      </c>
    </row>
    <row r="195" customFormat="false" ht="14.25" hidden="false" customHeight="false" outlineLevel="0" collapsed="false">
      <c r="A195" s="738" t="s">
        <v>617</v>
      </c>
      <c r="B195" s="738" t="n">
        <f aca="false">ATI!M113</f>
        <v>0</v>
      </c>
      <c r="C195" s="739" t="s">
        <v>559</v>
      </c>
    </row>
    <row r="196" customFormat="false" ht="14.25" hidden="false" customHeight="false" outlineLevel="0" collapsed="false">
      <c r="A196" s="738" t="s">
        <v>618</v>
      </c>
      <c r="B196" s="738" t="n">
        <f aca="false">ATI!M114</f>
        <v>0</v>
      </c>
      <c r="C196" s="739" t="s">
        <v>559</v>
      </c>
    </row>
    <row r="197" customFormat="false" ht="14.25" hidden="false" customHeight="false" outlineLevel="0" collapsed="false">
      <c r="A197" s="738" t="s">
        <v>619</v>
      </c>
      <c r="B197" s="738" t="n">
        <f aca="false">ATI!M115</f>
        <v>0</v>
      </c>
      <c r="C197" s="739" t="s">
        <v>559</v>
      </c>
    </row>
    <row r="198" customFormat="false" ht="14.25" hidden="false" customHeight="false" outlineLevel="0" collapsed="false">
      <c r="A198" s="738" t="s">
        <v>620</v>
      </c>
      <c r="B198" s="738" t="n">
        <f aca="false">ATI!D125</f>
        <v>0</v>
      </c>
      <c r="C198" s="739" t="s">
        <v>621</v>
      </c>
    </row>
    <row r="199" customFormat="false" ht="14.25" hidden="false" customHeight="false" outlineLevel="0" collapsed="false">
      <c r="A199" s="738" t="s">
        <v>622</v>
      </c>
      <c r="B199" s="738" t="n">
        <f aca="false">ATI!D126</f>
        <v>0</v>
      </c>
      <c r="C199" s="739" t="s">
        <v>621</v>
      </c>
    </row>
    <row r="200" customFormat="false" ht="14.25" hidden="false" customHeight="false" outlineLevel="0" collapsed="false">
      <c r="A200" s="738" t="s">
        <v>623</v>
      </c>
      <c r="B200" s="738" t="n">
        <f aca="false">ATI!D127</f>
        <v>0</v>
      </c>
      <c r="C200" s="739" t="s">
        <v>621</v>
      </c>
    </row>
    <row r="201" customFormat="false" ht="14.25" hidden="false" customHeight="false" outlineLevel="0" collapsed="false">
      <c r="A201" s="738" t="s">
        <v>624</v>
      </c>
      <c r="B201" s="738" t="n">
        <f aca="false">ATI!D128</f>
        <v>0</v>
      </c>
      <c r="C201" s="739" t="s">
        <v>621</v>
      </c>
    </row>
    <row r="202" customFormat="false" ht="14.25" hidden="false" customHeight="false" outlineLevel="0" collapsed="false">
      <c r="A202" s="738" t="s">
        <v>625</v>
      </c>
      <c r="B202" s="738" t="n">
        <f aca="false">ATI!D129</f>
        <v>0</v>
      </c>
      <c r="C202" s="739" t="s">
        <v>621</v>
      </c>
    </row>
    <row r="203" customFormat="false" ht="14.25" hidden="false" customHeight="false" outlineLevel="0" collapsed="false">
      <c r="A203" s="738" t="s">
        <v>626</v>
      </c>
      <c r="B203" s="738" t="n">
        <f aca="false">ATI!D130</f>
        <v>0</v>
      </c>
      <c r="C203" s="739" t="s">
        <v>621</v>
      </c>
    </row>
    <row r="204" customFormat="false" ht="14.25" hidden="false" customHeight="false" outlineLevel="0" collapsed="false">
      <c r="A204" s="738" t="s">
        <v>627</v>
      </c>
      <c r="B204" s="738" t="n">
        <f aca="false">ATI!H125</f>
        <v>0</v>
      </c>
      <c r="C204" s="739" t="s">
        <v>621</v>
      </c>
    </row>
    <row r="205" customFormat="false" ht="14.25" hidden="false" customHeight="false" outlineLevel="0" collapsed="false">
      <c r="A205" s="738" t="s">
        <v>628</v>
      </c>
      <c r="B205" s="738" t="n">
        <f aca="false">ATI!H126</f>
        <v>0</v>
      </c>
      <c r="C205" s="739" t="s">
        <v>621</v>
      </c>
    </row>
    <row r="206" customFormat="false" ht="14.25" hidden="false" customHeight="false" outlineLevel="0" collapsed="false">
      <c r="A206" s="738" t="s">
        <v>629</v>
      </c>
      <c r="B206" s="738" t="n">
        <f aca="false">ATI!H127</f>
        <v>0</v>
      </c>
      <c r="C206" s="739" t="s">
        <v>621</v>
      </c>
    </row>
    <row r="207" customFormat="false" ht="14.25" hidden="false" customHeight="false" outlineLevel="0" collapsed="false">
      <c r="A207" s="738" t="s">
        <v>630</v>
      </c>
      <c r="B207" s="738" t="n">
        <f aca="false">ATI!H128</f>
        <v>0</v>
      </c>
      <c r="C207" s="739" t="s">
        <v>621</v>
      </c>
    </row>
    <row r="208" customFormat="false" ht="14.25" hidden="false" customHeight="false" outlineLevel="0" collapsed="false">
      <c r="A208" s="738" t="s">
        <v>631</v>
      </c>
      <c r="B208" s="738" t="n">
        <f aca="false">ATI!H129</f>
        <v>0</v>
      </c>
      <c r="C208" s="739" t="s">
        <v>621</v>
      </c>
    </row>
    <row r="209" customFormat="false" ht="14.25" hidden="false" customHeight="false" outlineLevel="0" collapsed="false">
      <c r="A209" s="738" t="s">
        <v>632</v>
      </c>
      <c r="B209" s="738" t="n">
        <f aca="false">ATI!H130</f>
        <v>0</v>
      </c>
      <c r="C209" s="739" t="s">
        <v>621</v>
      </c>
    </row>
    <row r="210" customFormat="false" ht="14.25" hidden="false" customHeight="false" outlineLevel="0" collapsed="false">
      <c r="A210" s="738" t="s">
        <v>633</v>
      </c>
      <c r="B210" s="738" t="n">
        <f aca="false">ATI!H131</f>
        <v>0</v>
      </c>
      <c r="C210" s="739" t="s">
        <v>621</v>
      </c>
    </row>
    <row r="211" customFormat="false" ht="14.25" hidden="false" customHeight="false" outlineLevel="0" collapsed="false">
      <c r="A211" s="738" t="s">
        <v>634</v>
      </c>
      <c r="B211" s="738" t="n">
        <f aca="false">ATI!L125</f>
        <v>0</v>
      </c>
      <c r="C211" s="739" t="s">
        <v>621</v>
      </c>
    </row>
    <row r="212" customFormat="false" ht="14.25" hidden="false" customHeight="false" outlineLevel="0" collapsed="false">
      <c r="A212" s="738" t="s">
        <v>635</v>
      </c>
      <c r="B212" s="738" t="n">
        <f aca="false">ATI!L126</f>
        <v>0</v>
      </c>
      <c r="C212" s="739" t="s">
        <v>621</v>
      </c>
    </row>
    <row r="213" customFormat="false" ht="14.25" hidden="false" customHeight="false" outlineLevel="0" collapsed="false">
      <c r="A213" s="738" t="s">
        <v>636</v>
      </c>
      <c r="B213" s="738" t="n">
        <f aca="false">ATI!L127</f>
        <v>0</v>
      </c>
      <c r="C213" s="739" t="s">
        <v>621</v>
      </c>
    </row>
    <row r="214" customFormat="false" ht="14.25" hidden="false" customHeight="false" outlineLevel="0" collapsed="false">
      <c r="A214" s="738" t="s">
        <v>637</v>
      </c>
      <c r="B214" s="738" t="n">
        <f aca="false">ATI!L128</f>
        <v>0</v>
      </c>
      <c r="C214" s="739" t="s">
        <v>621</v>
      </c>
    </row>
    <row r="215" customFormat="false" ht="14.25" hidden="false" customHeight="false" outlineLevel="0" collapsed="false">
      <c r="A215" s="738" t="s">
        <v>638</v>
      </c>
      <c r="B215" s="738" t="n">
        <f aca="false">ATI!L129</f>
        <v>0</v>
      </c>
      <c r="C215" s="739" t="s">
        <v>621</v>
      </c>
    </row>
    <row r="216" customFormat="false" ht="14.25" hidden="false" customHeight="false" outlineLevel="0" collapsed="false">
      <c r="A216" s="738" t="s">
        <v>639</v>
      </c>
      <c r="B216" s="738" t="n">
        <f aca="false">ATI!L130</f>
        <v>0</v>
      </c>
      <c r="C216" s="739" t="s">
        <v>621</v>
      </c>
    </row>
    <row r="217" customFormat="false" ht="14.25" hidden="false" customHeight="false" outlineLevel="0" collapsed="false">
      <c r="A217" s="738" t="s">
        <v>640</v>
      </c>
      <c r="B217" s="738" t="n">
        <f aca="false">ATI!L131</f>
        <v>0</v>
      </c>
      <c r="C217" s="739" t="s">
        <v>621</v>
      </c>
    </row>
    <row r="218" customFormat="false" ht="14.25" hidden="false" customHeight="false" outlineLevel="0" collapsed="false">
      <c r="A218" s="734" t="s">
        <v>641</v>
      </c>
      <c r="B218" s="734" t="n">
        <f aca="false">ATI!B137</f>
        <v>0</v>
      </c>
      <c r="C218" s="735" t="s">
        <v>642</v>
      </c>
    </row>
    <row r="219" customFormat="false" ht="14.25" hidden="false" customHeight="false" outlineLevel="0" collapsed="false">
      <c r="A219" s="736" t="s">
        <v>643</v>
      </c>
      <c r="B219" s="736" t="n">
        <f aca="false">ATI!D137</f>
        <v>0</v>
      </c>
      <c r="C219" s="737" t="s">
        <v>642</v>
      </c>
    </row>
    <row r="220" customFormat="false" ht="14.25" hidden="false" customHeight="false" outlineLevel="0" collapsed="false">
      <c r="A220" s="736" t="s">
        <v>644</v>
      </c>
      <c r="B220" s="736" t="n">
        <f aca="false">ATI!F137</f>
        <v>0</v>
      </c>
      <c r="C220" s="737" t="s">
        <v>642</v>
      </c>
    </row>
    <row r="221" customFormat="false" ht="14.25" hidden="false" customHeight="false" outlineLevel="0" collapsed="false">
      <c r="A221" s="736" t="s">
        <v>645</v>
      </c>
      <c r="B221" s="736" t="n">
        <f aca="false">ATI!G137</f>
        <v>0</v>
      </c>
      <c r="C221" s="737" t="s">
        <v>642</v>
      </c>
    </row>
    <row r="222" customFormat="false" ht="14.25" hidden="false" customHeight="false" outlineLevel="0" collapsed="false">
      <c r="A222" s="736" t="s">
        <v>646</v>
      </c>
      <c r="B222" s="736" t="n">
        <f aca="false">ATI!H137</f>
        <v>0</v>
      </c>
      <c r="C222" s="737" t="s">
        <v>642</v>
      </c>
    </row>
    <row r="223" customFormat="false" ht="14.25" hidden="false" customHeight="false" outlineLevel="0" collapsed="false">
      <c r="A223" s="734" t="s">
        <v>647</v>
      </c>
      <c r="B223" s="734" t="n">
        <f aca="false">ATI!I137</f>
        <v>0</v>
      </c>
      <c r="C223" s="735" t="s">
        <v>642</v>
      </c>
    </row>
    <row r="224" customFormat="false" ht="14.25" hidden="false" customHeight="false" outlineLevel="0" collapsed="false">
      <c r="A224" s="736" t="s">
        <v>648</v>
      </c>
      <c r="B224" s="736" t="n">
        <f aca="false">ATI!B144</f>
        <v>0</v>
      </c>
      <c r="C224" s="737" t="s">
        <v>649</v>
      </c>
    </row>
    <row r="225" customFormat="false" ht="14.25" hidden="false" customHeight="false" outlineLevel="0" collapsed="false">
      <c r="A225" s="736" t="s">
        <v>650</v>
      </c>
      <c r="B225" s="736" t="n">
        <f aca="false">ATI!E144</f>
        <v>0</v>
      </c>
      <c r="C225" s="737" t="s">
        <v>649</v>
      </c>
    </row>
    <row r="226" customFormat="false" ht="14.25" hidden="false" customHeight="false" outlineLevel="0" collapsed="false">
      <c r="A226" s="736" t="s">
        <v>651</v>
      </c>
      <c r="B226" s="736" t="n">
        <f aca="false">ATI!H144</f>
        <v>0</v>
      </c>
      <c r="C226" s="737" t="s">
        <v>649</v>
      </c>
    </row>
    <row r="227" customFormat="false" ht="14.25" hidden="false" customHeight="false" outlineLevel="0" collapsed="false">
      <c r="A227" s="736" t="s">
        <v>652</v>
      </c>
      <c r="B227" s="736" t="n">
        <f aca="false" t="array" ref="B227:B232">TRANSPOSE(ATI!D151:I151)</f>
        <v>0</v>
      </c>
      <c r="C227" s="737" t="s">
        <v>653</v>
      </c>
    </row>
    <row r="228" customFormat="false" ht="14.25" hidden="false" customHeight="false" outlineLevel="0" collapsed="false">
      <c r="A228" s="736" t="s">
        <v>654</v>
      </c>
      <c r="B228" s="736" t="n">
        <v>0</v>
      </c>
      <c r="C228" s="737" t="s">
        <v>653</v>
      </c>
    </row>
    <row r="229" customFormat="false" ht="14.25" hidden="false" customHeight="false" outlineLevel="0" collapsed="false">
      <c r="A229" s="736" t="s">
        <v>655</v>
      </c>
      <c r="B229" s="736" t="n">
        <v>0</v>
      </c>
      <c r="C229" s="737" t="s">
        <v>653</v>
      </c>
    </row>
    <row r="230" customFormat="false" ht="14.25" hidden="false" customHeight="false" outlineLevel="0" collapsed="false">
      <c r="A230" s="736" t="s">
        <v>656</v>
      </c>
      <c r="B230" s="736" t="n">
        <v>0</v>
      </c>
      <c r="C230" s="737" t="s">
        <v>653</v>
      </c>
    </row>
    <row r="231" customFormat="false" ht="14.25" hidden="false" customHeight="false" outlineLevel="0" collapsed="false">
      <c r="A231" s="736" t="s">
        <v>657</v>
      </c>
      <c r="B231" s="736" t="n">
        <v>0</v>
      </c>
      <c r="C231" s="737" t="s">
        <v>653</v>
      </c>
    </row>
    <row r="232" customFormat="false" ht="14.25" hidden="false" customHeight="false" outlineLevel="0" collapsed="false">
      <c r="A232" s="736" t="s">
        <v>658</v>
      </c>
      <c r="B232" s="736" t="n">
        <v>0</v>
      </c>
      <c r="C232" s="737" t="s">
        <v>653</v>
      </c>
    </row>
    <row r="233" customFormat="false" ht="14.25" hidden="false" customHeight="false" outlineLevel="0" collapsed="false">
      <c r="A233" s="736" t="s">
        <v>659</v>
      </c>
      <c r="B233" s="736"/>
      <c r="C233" s="737" t="s">
        <v>653</v>
      </c>
    </row>
    <row r="234" customFormat="false" ht="14.25" hidden="false" customHeight="false" outlineLevel="0" collapsed="false">
      <c r="A234" s="736" t="s">
        <v>660</v>
      </c>
      <c r="B234" s="736"/>
      <c r="C234" s="737" t="s">
        <v>653</v>
      </c>
    </row>
    <row r="235" customFormat="false" ht="14.25" hidden="false" customHeight="false" outlineLevel="0" collapsed="false">
      <c r="A235" s="736" t="s">
        <v>661</v>
      </c>
      <c r="B235" s="736"/>
      <c r="C235" s="737" t="s">
        <v>653</v>
      </c>
    </row>
    <row r="236" customFormat="false" ht="14.25" hidden="false" customHeight="false" outlineLevel="0" collapsed="false">
      <c r="A236" s="736" t="s">
        <v>662</v>
      </c>
      <c r="B236" s="736"/>
      <c r="C236" s="737" t="s">
        <v>653</v>
      </c>
    </row>
    <row r="237" customFormat="false" ht="14.25" hidden="false" customHeight="false" outlineLevel="0" collapsed="false">
      <c r="A237" s="736" t="s">
        <v>663</v>
      </c>
      <c r="B237" s="736" t="n">
        <f aca="false" t="array" ref="B237:B242">TRANSPOSE(ATI!D152:I152)</f>
        <v>0</v>
      </c>
      <c r="C237" s="737" t="s">
        <v>653</v>
      </c>
    </row>
    <row r="238" customFormat="false" ht="14.25" hidden="false" customHeight="false" outlineLevel="0" collapsed="false">
      <c r="A238" s="736" t="s">
        <v>664</v>
      </c>
      <c r="B238" s="736" t="n">
        <v>0</v>
      </c>
      <c r="C238" s="737" t="s">
        <v>653</v>
      </c>
    </row>
    <row r="239" customFormat="false" ht="14.25" hidden="false" customHeight="false" outlineLevel="0" collapsed="false">
      <c r="A239" s="736" t="s">
        <v>665</v>
      </c>
      <c r="B239" s="736" t="n">
        <v>0</v>
      </c>
      <c r="C239" s="737" t="s">
        <v>653</v>
      </c>
    </row>
    <row r="240" customFormat="false" ht="14.25" hidden="false" customHeight="false" outlineLevel="0" collapsed="false">
      <c r="A240" s="736" t="s">
        <v>666</v>
      </c>
      <c r="B240" s="736" t="n">
        <v>0</v>
      </c>
      <c r="C240" s="737" t="s">
        <v>653</v>
      </c>
    </row>
    <row r="241" customFormat="false" ht="14.25" hidden="false" customHeight="false" outlineLevel="0" collapsed="false">
      <c r="A241" s="736" t="s">
        <v>667</v>
      </c>
      <c r="B241" s="736" t="n">
        <v>0</v>
      </c>
      <c r="C241" s="737" t="s">
        <v>653</v>
      </c>
    </row>
    <row r="242" customFormat="false" ht="14.25" hidden="false" customHeight="false" outlineLevel="0" collapsed="false">
      <c r="A242" s="736" t="s">
        <v>668</v>
      </c>
      <c r="B242" s="736" t="n">
        <v>0</v>
      </c>
      <c r="C242" s="737" t="s">
        <v>653</v>
      </c>
    </row>
    <row r="243" customFormat="false" ht="14.25" hidden="false" customHeight="false" outlineLevel="0" collapsed="false">
      <c r="A243" s="736" t="s">
        <v>669</v>
      </c>
      <c r="B243" s="736"/>
      <c r="C243" s="737" t="s">
        <v>653</v>
      </c>
    </row>
    <row r="244" customFormat="false" ht="14.25" hidden="false" customHeight="false" outlineLevel="0" collapsed="false">
      <c r="A244" s="736" t="s">
        <v>670</v>
      </c>
      <c r="B244" s="736"/>
      <c r="C244" s="737" t="s">
        <v>653</v>
      </c>
    </row>
    <row r="245" customFormat="false" ht="14.25" hidden="false" customHeight="false" outlineLevel="0" collapsed="false">
      <c r="A245" s="736" t="s">
        <v>671</v>
      </c>
      <c r="B245" s="736"/>
      <c r="C245" s="737" t="s">
        <v>653</v>
      </c>
    </row>
    <row r="246" customFormat="false" ht="14.25" hidden="false" customHeight="false" outlineLevel="0" collapsed="false">
      <c r="A246" s="736" t="s">
        <v>672</v>
      </c>
      <c r="B246" s="736"/>
      <c r="C246" s="737" t="s">
        <v>653</v>
      </c>
    </row>
    <row r="247" customFormat="false" ht="14.25" hidden="false" customHeight="false" outlineLevel="0" collapsed="false">
      <c r="A247" s="736" t="s">
        <v>673</v>
      </c>
      <c r="B247" s="736" t="n">
        <f aca="false" t="array" ref="B247:B252">TRANSPOSE(ATI!D153:I153)</f>
        <v>0</v>
      </c>
      <c r="C247" s="737" t="s">
        <v>653</v>
      </c>
    </row>
    <row r="248" customFormat="false" ht="14.25" hidden="false" customHeight="false" outlineLevel="0" collapsed="false">
      <c r="A248" s="736" t="s">
        <v>674</v>
      </c>
      <c r="B248" s="736" t="n">
        <v>0</v>
      </c>
      <c r="C248" s="737" t="s">
        <v>653</v>
      </c>
    </row>
    <row r="249" customFormat="false" ht="14.25" hidden="false" customHeight="false" outlineLevel="0" collapsed="false">
      <c r="A249" s="736" t="s">
        <v>675</v>
      </c>
      <c r="B249" s="736" t="n">
        <v>0</v>
      </c>
      <c r="C249" s="737" t="s">
        <v>653</v>
      </c>
    </row>
    <row r="250" customFormat="false" ht="14.25" hidden="false" customHeight="false" outlineLevel="0" collapsed="false">
      <c r="A250" s="736" t="s">
        <v>676</v>
      </c>
      <c r="B250" s="736" t="n">
        <v>0</v>
      </c>
      <c r="C250" s="737" t="s">
        <v>653</v>
      </c>
    </row>
    <row r="251" customFormat="false" ht="14.25" hidden="false" customHeight="false" outlineLevel="0" collapsed="false">
      <c r="A251" s="736" t="s">
        <v>677</v>
      </c>
      <c r="B251" s="736" t="n">
        <v>0</v>
      </c>
      <c r="C251" s="737" t="s">
        <v>653</v>
      </c>
    </row>
    <row r="252" customFormat="false" ht="14.25" hidden="false" customHeight="false" outlineLevel="0" collapsed="false">
      <c r="A252" s="736" t="s">
        <v>678</v>
      </c>
      <c r="B252" s="736" t="n">
        <v>0</v>
      </c>
      <c r="C252" s="737" t="s">
        <v>653</v>
      </c>
    </row>
    <row r="253" customFormat="false" ht="14.25" hidden="false" customHeight="false" outlineLevel="0" collapsed="false">
      <c r="A253" s="736" t="s">
        <v>679</v>
      </c>
      <c r="B253" s="736"/>
      <c r="C253" s="737" t="s">
        <v>653</v>
      </c>
    </row>
    <row r="254" customFormat="false" ht="14.25" hidden="false" customHeight="false" outlineLevel="0" collapsed="false">
      <c r="A254" s="736" t="s">
        <v>680</v>
      </c>
      <c r="B254" s="736"/>
      <c r="C254" s="737" t="s">
        <v>653</v>
      </c>
    </row>
    <row r="255" customFormat="false" ht="14.25" hidden="false" customHeight="false" outlineLevel="0" collapsed="false">
      <c r="A255" s="736" t="s">
        <v>681</v>
      </c>
      <c r="B255" s="736"/>
      <c r="C255" s="737" t="s">
        <v>653</v>
      </c>
    </row>
    <row r="256" customFormat="false" ht="14.25" hidden="false" customHeight="false" outlineLevel="0" collapsed="false">
      <c r="A256" s="736" t="s">
        <v>682</v>
      </c>
      <c r="B256" s="736"/>
      <c r="C256" s="737" t="s">
        <v>653</v>
      </c>
    </row>
    <row r="257" customFormat="false" ht="14.25" hidden="false" customHeight="false" outlineLevel="0" collapsed="false">
      <c r="A257" s="736" t="s">
        <v>683</v>
      </c>
      <c r="B257" s="736" t="n">
        <f aca="false" t="array" ref="B257:B262">TRANSPOSE(ATI!D154:I154)</f>
        <v>0</v>
      </c>
      <c r="C257" s="737" t="s">
        <v>653</v>
      </c>
    </row>
    <row r="258" customFormat="false" ht="14.25" hidden="false" customHeight="false" outlineLevel="0" collapsed="false">
      <c r="A258" s="736" t="s">
        <v>684</v>
      </c>
      <c r="B258" s="736" t="n">
        <v>0</v>
      </c>
      <c r="C258" s="737" t="s">
        <v>653</v>
      </c>
    </row>
    <row r="259" customFormat="false" ht="14.25" hidden="false" customHeight="false" outlineLevel="0" collapsed="false">
      <c r="A259" s="736" t="s">
        <v>685</v>
      </c>
      <c r="B259" s="736" t="n">
        <v>0</v>
      </c>
      <c r="C259" s="737" t="s">
        <v>653</v>
      </c>
    </row>
    <row r="260" customFormat="false" ht="14.25" hidden="false" customHeight="false" outlineLevel="0" collapsed="false">
      <c r="A260" s="736" t="s">
        <v>686</v>
      </c>
      <c r="B260" s="736" t="n">
        <v>0</v>
      </c>
      <c r="C260" s="737" t="s">
        <v>653</v>
      </c>
    </row>
    <row r="261" customFormat="false" ht="14.25" hidden="false" customHeight="false" outlineLevel="0" collapsed="false">
      <c r="A261" s="736" t="s">
        <v>687</v>
      </c>
      <c r="B261" s="736" t="n">
        <v>0</v>
      </c>
      <c r="C261" s="737" t="s">
        <v>653</v>
      </c>
    </row>
    <row r="262" customFormat="false" ht="14.25" hidden="false" customHeight="false" outlineLevel="0" collapsed="false">
      <c r="A262" s="736" t="s">
        <v>688</v>
      </c>
      <c r="B262" s="736" t="n">
        <v>0</v>
      </c>
      <c r="C262" s="737" t="s">
        <v>653</v>
      </c>
    </row>
    <row r="263" customFormat="false" ht="14.25" hidden="false" customHeight="false" outlineLevel="0" collapsed="false">
      <c r="A263" s="736" t="s">
        <v>689</v>
      </c>
      <c r="B263" s="736"/>
      <c r="C263" s="737" t="s">
        <v>653</v>
      </c>
    </row>
    <row r="264" customFormat="false" ht="14.25" hidden="false" customHeight="false" outlineLevel="0" collapsed="false">
      <c r="A264" s="736" t="s">
        <v>690</v>
      </c>
      <c r="B264" s="736"/>
      <c r="C264" s="737" t="s">
        <v>653</v>
      </c>
    </row>
    <row r="265" customFormat="false" ht="14.25" hidden="false" customHeight="false" outlineLevel="0" collapsed="false">
      <c r="A265" s="736" t="s">
        <v>691</v>
      </c>
      <c r="B265" s="736"/>
      <c r="C265" s="737" t="s">
        <v>653</v>
      </c>
    </row>
    <row r="266" customFormat="false" ht="14.25" hidden="false" customHeight="false" outlineLevel="0" collapsed="false">
      <c r="A266" s="736" t="s">
        <v>692</v>
      </c>
      <c r="B266" s="736"/>
      <c r="C266" s="737" t="s">
        <v>653</v>
      </c>
    </row>
    <row r="267" customFormat="false" ht="14.25" hidden="false" customHeight="false" outlineLevel="0" collapsed="false">
      <c r="A267" s="736" t="s">
        <v>693</v>
      </c>
      <c r="B267" s="736" t="n">
        <f aca="false" t="array" ref="B267:B272">TRANSPOSE(ATI!D155:I155)</f>
        <v>0</v>
      </c>
      <c r="C267" s="737" t="s">
        <v>653</v>
      </c>
    </row>
    <row r="268" customFormat="false" ht="14.25" hidden="false" customHeight="false" outlineLevel="0" collapsed="false">
      <c r="A268" s="736" t="s">
        <v>694</v>
      </c>
      <c r="B268" s="736" t="n">
        <v>0</v>
      </c>
      <c r="C268" s="737" t="s">
        <v>653</v>
      </c>
    </row>
    <row r="269" customFormat="false" ht="14.25" hidden="false" customHeight="false" outlineLevel="0" collapsed="false">
      <c r="A269" s="736" t="s">
        <v>695</v>
      </c>
      <c r="B269" s="736" t="n">
        <v>0</v>
      </c>
      <c r="C269" s="737" t="s">
        <v>653</v>
      </c>
    </row>
    <row r="270" customFormat="false" ht="14.25" hidden="false" customHeight="false" outlineLevel="0" collapsed="false">
      <c r="A270" s="736" t="s">
        <v>696</v>
      </c>
      <c r="B270" s="736" t="n">
        <v>0</v>
      </c>
      <c r="C270" s="737" t="s">
        <v>653</v>
      </c>
    </row>
    <row r="271" customFormat="false" ht="14.25" hidden="false" customHeight="false" outlineLevel="0" collapsed="false">
      <c r="A271" s="736" t="s">
        <v>697</v>
      </c>
      <c r="B271" s="736" t="n">
        <v>0</v>
      </c>
      <c r="C271" s="737" t="s">
        <v>653</v>
      </c>
    </row>
    <row r="272" customFormat="false" ht="14.25" hidden="false" customHeight="false" outlineLevel="0" collapsed="false">
      <c r="A272" s="736" t="s">
        <v>698</v>
      </c>
      <c r="B272" s="736" t="n">
        <v>0</v>
      </c>
      <c r="C272" s="737" t="s">
        <v>653</v>
      </c>
    </row>
    <row r="273" customFormat="false" ht="14.25" hidden="false" customHeight="false" outlineLevel="0" collapsed="false">
      <c r="A273" s="736" t="s">
        <v>699</v>
      </c>
      <c r="B273" s="736"/>
      <c r="C273" s="737" t="s">
        <v>653</v>
      </c>
    </row>
    <row r="274" customFormat="false" ht="14.25" hidden="false" customHeight="false" outlineLevel="0" collapsed="false">
      <c r="A274" s="736" t="s">
        <v>700</v>
      </c>
      <c r="B274" s="736"/>
      <c r="C274" s="737" t="s">
        <v>653</v>
      </c>
    </row>
    <row r="275" customFormat="false" ht="14.25" hidden="false" customHeight="false" outlineLevel="0" collapsed="false">
      <c r="A275" s="736" t="s">
        <v>701</v>
      </c>
      <c r="B275" s="736"/>
      <c r="C275" s="737" t="s">
        <v>653</v>
      </c>
    </row>
    <row r="276" customFormat="false" ht="14.25" hidden="false" customHeight="false" outlineLevel="0" collapsed="false">
      <c r="A276" s="736" t="s">
        <v>702</v>
      </c>
      <c r="B276" s="736"/>
      <c r="C276" s="737" t="s">
        <v>653</v>
      </c>
    </row>
    <row r="277" customFormat="false" ht="14.25" hidden="false" customHeight="false" outlineLevel="0" collapsed="false">
      <c r="A277" s="736" t="s">
        <v>703</v>
      </c>
      <c r="B277" s="736" t="n">
        <f aca="false" t="array" ref="B277:B282">TRANSPOSE(ATI!D156:I156)</f>
        <v>0</v>
      </c>
      <c r="C277" s="737" t="s">
        <v>653</v>
      </c>
    </row>
    <row r="278" customFormat="false" ht="14.25" hidden="false" customHeight="false" outlineLevel="0" collapsed="false">
      <c r="A278" s="736" t="s">
        <v>704</v>
      </c>
      <c r="B278" s="736" t="n">
        <v>0</v>
      </c>
      <c r="C278" s="737" t="s">
        <v>653</v>
      </c>
    </row>
    <row r="279" customFormat="false" ht="14.25" hidden="false" customHeight="false" outlineLevel="0" collapsed="false">
      <c r="A279" s="736" t="s">
        <v>705</v>
      </c>
      <c r="B279" s="736" t="n">
        <v>0</v>
      </c>
      <c r="C279" s="737" t="s">
        <v>653</v>
      </c>
    </row>
    <row r="280" customFormat="false" ht="14.25" hidden="false" customHeight="false" outlineLevel="0" collapsed="false">
      <c r="A280" s="736" t="s">
        <v>706</v>
      </c>
      <c r="B280" s="736" t="n">
        <v>0</v>
      </c>
      <c r="C280" s="737" t="s">
        <v>653</v>
      </c>
    </row>
    <row r="281" customFormat="false" ht="14.25" hidden="false" customHeight="false" outlineLevel="0" collapsed="false">
      <c r="A281" s="736" t="s">
        <v>707</v>
      </c>
      <c r="B281" s="736" t="n">
        <v>0</v>
      </c>
      <c r="C281" s="737" t="s">
        <v>653</v>
      </c>
    </row>
    <row r="282" customFormat="false" ht="14.25" hidden="false" customHeight="false" outlineLevel="0" collapsed="false">
      <c r="A282" s="736" t="s">
        <v>708</v>
      </c>
      <c r="B282" s="736" t="n">
        <v>0</v>
      </c>
      <c r="C282" s="737" t="s">
        <v>653</v>
      </c>
    </row>
    <row r="283" customFormat="false" ht="14.25" hidden="false" customHeight="false" outlineLevel="0" collapsed="false">
      <c r="A283" s="736" t="s">
        <v>709</v>
      </c>
      <c r="B283" s="736"/>
      <c r="C283" s="737" t="s">
        <v>653</v>
      </c>
    </row>
    <row r="284" customFormat="false" ht="14.25" hidden="false" customHeight="false" outlineLevel="0" collapsed="false">
      <c r="A284" s="736" t="s">
        <v>710</v>
      </c>
      <c r="B284" s="736"/>
      <c r="C284" s="737" t="s">
        <v>653</v>
      </c>
    </row>
    <row r="285" customFormat="false" ht="14.25" hidden="false" customHeight="false" outlineLevel="0" collapsed="false">
      <c r="A285" s="736" t="s">
        <v>711</v>
      </c>
      <c r="B285" s="736"/>
      <c r="C285" s="737" t="s">
        <v>653</v>
      </c>
    </row>
    <row r="286" customFormat="false" ht="14.25" hidden="false" customHeight="false" outlineLevel="0" collapsed="false">
      <c r="A286" s="736" t="s">
        <v>712</v>
      </c>
      <c r="B286" s="736"/>
      <c r="C286" s="737" t="s">
        <v>653</v>
      </c>
    </row>
    <row r="287" customFormat="false" ht="14.25" hidden="false" customHeight="false" outlineLevel="0" collapsed="false">
      <c r="A287" s="736" t="s">
        <v>713</v>
      </c>
      <c r="B287" s="736" t="n">
        <f aca="false" t="array" ref="B287:B292">TRANSPOSE(ATI!D157:I157)</f>
        <v>0</v>
      </c>
      <c r="C287" s="737" t="s">
        <v>653</v>
      </c>
    </row>
    <row r="288" customFormat="false" ht="14.25" hidden="false" customHeight="false" outlineLevel="0" collapsed="false">
      <c r="A288" s="736" t="s">
        <v>714</v>
      </c>
      <c r="B288" s="736" t="n">
        <v>0</v>
      </c>
      <c r="C288" s="737" t="s">
        <v>653</v>
      </c>
    </row>
    <row r="289" customFormat="false" ht="14.25" hidden="false" customHeight="false" outlineLevel="0" collapsed="false">
      <c r="A289" s="736" t="s">
        <v>715</v>
      </c>
      <c r="B289" s="736" t="n">
        <v>0</v>
      </c>
      <c r="C289" s="737" t="s">
        <v>653</v>
      </c>
    </row>
    <row r="290" customFormat="false" ht="14.25" hidden="false" customHeight="false" outlineLevel="0" collapsed="false">
      <c r="A290" s="736" t="s">
        <v>716</v>
      </c>
      <c r="B290" s="736" t="n">
        <v>0</v>
      </c>
      <c r="C290" s="737" t="s">
        <v>653</v>
      </c>
    </row>
    <row r="291" customFormat="false" ht="14.25" hidden="false" customHeight="false" outlineLevel="0" collapsed="false">
      <c r="A291" s="736" t="s">
        <v>717</v>
      </c>
      <c r="B291" s="736" t="n">
        <v>0</v>
      </c>
      <c r="C291" s="737" t="s">
        <v>653</v>
      </c>
    </row>
    <row r="292" customFormat="false" ht="14.25" hidden="false" customHeight="false" outlineLevel="0" collapsed="false">
      <c r="A292" s="736" t="s">
        <v>718</v>
      </c>
      <c r="B292" s="736" t="n">
        <v>0</v>
      </c>
      <c r="C292" s="737" t="s">
        <v>653</v>
      </c>
    </row>
    <row r="293" customFormat="false" ht="14.25" hidden="false" customHeight="false" outlineLevel="0" collapsed="false">
      <c r="A293" s="736" t="s">
        <v>719</v>
      </c>
      <c r="B293" s="736"/>
      <c r="C293" s="737" t="s">
        <v>653</v>
      </c>
    </row>
    <row r="294" customFormat="false" ht="14.25" hidden="false" customHeight="false" outlineLevel="0" collapsed="false">
      <c r="A294" s="736" t="s">
        <v>720</v>
      </c>
      <c r="B294" s="736"/>
      <c r="C294" s="737" t="s">
        <v>653</v>
      </c>
    </row>
    <row r="295" customFormat="false" ht="14.25" hidden="false" customHeight="false" outlineLevel="0" collapsed="false">
      <c r="A295" s="736" t="s">
        <v>721</v>
      </c>
      <c r="B295" s="736"/>
      <c r="C295" s="737" t="s">
        <v>653</v>
      </c>
    </row>
    <row r="296" customFormat="false" ht="14.25" hidden="false" customHeight="false" outlineLevel="0" collapsed="false">
      <c r="A296" s="736" t="s">
        <v>722</v>
      </c>
      <c r="B296" s="736"/>
      <c r="C296" s="737" t="s">
        <v>653</v>
      </c>
    </row>
    <row r="297" customFormat="false" ht="14.25" hidden="false" customHeight="false" outlineLevel="0" collapsed="false">
      <c r="A297" s="736" t="s">
        <v>723</v>
      </c>
      <c r="B297" s="736" t="n">
        <f aca="false">ATI!B163</f>
        <v>0</v>
      </c>
      <c r="C297" s="737" t="s">
        <v>724</v>
      </c>
    </row>
    <row r="298" customFormat="false" ht="14.25" hidden="false" customHeight="false" outlineLevel="0" collapsed="false">
      <c r="A298" s="736" t="s">
        <v>725</v>
      </c>
      <c r="B298" s="736" t="n">
        <f aca="false">ATI!E163</f>
        <v>0</v>
      </c>
      <c r="C298" s="737" t="s">
        <v>724</v>
      </c>
    </row>
    <row r="299" customFormat="false" ht="14.25" hidden="false" customHeight="false" outlineLevel="0" collapsed="false">
      <c r="A299" s="736" t="s">
        <v>726</v>
      </c>
      <c r="B299" s="736" t="n">
        <f aca="false">ATI!H163</f>
        <v>0</v>
      </c>
      <c r="C299" s="737" t="s">
        <v>724</v>
      </c>
    </row>
    <row r="300" customFormat="false" ht="14.25" hidden="false" customHeight="false" outlineLevel="0" collapsed="false">
      <c r="A300" s="736" t="s">
        <v>727</v>
      </c>
      <c r="B300" s="736" t="n">
        <f aca="false">ATI!D168</f>
        <v>0</v>
      </c>
      <c r="C300" s="737" t="s">
        <v>728</v>
      </c>
    </row>
    <row r="301" customFormat="false" ht="14.25" hidden="false" customHeight="false" outlineLevel="0" collapsed="false">
      <c r="A301" s="736" t="s">
        <v>729</v>
      </c>
      <c r="B301" s="736" t="n">
        <f aca="false">ATI!E168</f>
        <v>0</v>
      </c>
      <c r="C301" s="737" t="s">
        <v>728</v>
      </c>
    </row>
    <row r="302" customFormat="false" ht="14.25" hidden="false" customHeight="false" outlineLevel="0" collapsed="false">
      <c r="A302" s="736" t="s">
        <v>730</v>
      </c>
      <c r="B302" s="736" t="e">
        <f aca="false">ati!#ref!</f>
        <v>#NAME?</v>
      </c>
      <c r="C302" s="737" t="s">
        <v>728</v>
      </c>
    </row>
    <row r="303" customFormat="false" ht="14.25" hidden="false" customHeight="false" outlineLevel="0" collapsed="false">
      <c r="A303" s="736" t="s">
        <v>731</v>
      </c>
      <c r="B303" s="736" t="e">
        <f aca="false">ati!#ref!</f>
        <v>#NAME?</v>
      </c>
      <c r="C303" s="737" t="s">
        <v>728</v>
      </c>
    </row>
    <row r="304" customFormat="false" ht="14.25" hidden="false" customHeight="false" outlineLevel="0" collapsed="false">
      <c r="A304" s="736" t="s">
        <v>732</v>
      </c>
      <c r="B304" s="736" t="e">
        <f aca="false">ati!#ref!</f>
        <v>#NAME?</v>
      </c>
      <c r="C304" s="737" t="s">
        <v>728</v>
      </c>
    </row>
    <row r="305" customFormat="false" ht="14.25" hidden="false" customHeight="false" outlineLevel="0" collapsed="false">
      <c r="A305" s="736" t="s">
        <v>733</v>
      </c>
      <c r="B305" s="736" t="e">
        <f aca="false">ati!#ref!</f>
        <v>#NAME?</v>
      </c>
      <c r="C305" s="737" t="s">
        <v>728</v>
      </c>
    </row>
    <row r="306" customFormat="false" ht="14.25" hidden="false" customHeight="false" outlineLevel="0" collapsed="false">
      <c r="A306" s="736" t="s">
        <v>734</v>
      </c>
      <c r="B306" s="736" t="n">
        <f aca="false">ATI!D169</f>
        <v>0</v>
      </c>
      <c r="C306" s="737" t="s">
        <v>728</v>
      </c>
    </row>
    <row r="307" customFormat="false" ht="14.25" hidden="false" customHeight="false" outlineLevel="0" collapsed="false">
      <c r="A307" s="736" t="s">
        <v>735</v>
      </c>
      <c r="B307" s="740" t="n">
        <f aca="false">ATI!E169</f>
        <v>0</v>
      </c>
      <c r="C307" s="737" t="s">
        <v>728</v>
      </c>
    </row>
    <row r="308" customFormat="false" ht="14.25" hidden="false" customHeight="false" outlineLevel="0" collapsed="false">
      <c r="A308" s="736" t="s">
        <v>736</v>
      </c>
      <c r="B308" s="736" t="e">
        <f aca="false">ati!#ref!</f>
        <v>#NAME?</v>
      </c>
      <c r="C308" s="737" t="s">
        <v>728</v>
      </c>
    </row>
    <row r="309" customFormat="false" ht="14.25" hidden="false" customHeight="false" outlineLevel="0" collapsed="false">
      <c r="A309" s="736" t="s">
        <v>737</v>
      </c>
      <c r="B309" s="736" t="e">
        <f aca="false">ati!#ref!</f>
        <v>#NAME?</v>
      </c>
      <c r="C309" s="737" t="s">
        <v>728</v>
      </c>
    </row>
    <row r="310" customFormat="false" ht="14.25" hidden="false" customHeight="false" outlineLevel="0" collapsed="false">
      <c r="A310" s="736" t="s">
        <v>738</v>
      </c>
      <c r="B310" s="736" t="e">
        <f aca="false">ati!#ref!</f>
        <v>#NAME?</v>
      </c>
      <c r="C310" s="737" t="s">
        <v>728</v>
      </c>
    </row>
    <row r="311" customFormat="false" ht="14.25" hidden="false" customHeight="false" outlineLevel="0" collapsed="false">
      <c r="A311" s="736" t="s">
        <v>739</v>
      </c>
      <c r="B311" s="736" t="e">
        <f aca="false">ati!#ref!</f>
        <v>#NAME?</v>
      </c>
      <c r="C311" s="737" t="s">
        <v>728</v>
      </c>
    </row>
    <row r="312" customFormat="false" ht="14.25" hidden="false" customHeight="false" outlineLevel="0" collapsed="false">
      <c r="A312" s="736" t="s">
        <v>740</v>
      </c>
      <c r="B312" s="736" t="n">
        <f aca="false">ATI!D170</f>
        <v>0</v>
      </c>
      <c r="C312" s="737" t="s">
        <v>728</v>
      </c>
    </row>
    <row r="313" customFormat="false" ht="14.25" hidden="false" customHeight="false" outlineLevel="0" collapsed="false">
      <c r="A313" s="736" t="s">
        <v>741</v>
      </c>
      <c r="B313" s="736" t="n">
        <f aca="false">ATI!E170</f>
        <v>0</v>
      </c>
      <c r="C313" s="737" t="s">
        <v>728</v>
      </c>
    </row>
    <row r="314" customFormat="false" ht="14.25" hidden="false" customHeight="false" outlineLevel="0" collapsed="false">
      <c r="A314" s="736" t="s">
        <v>742</v>
      </c>
      <c r="B314" s="736" t="e">
        <f aca="false">ati!#ref!</f>
        <v>#NAME?</v>
      </c>
      <c r="C314" s="737" t="s">
        <v>728</v>
      </c>
    </row>
    <row r="315" customFormat="false" ht="14.25" hidden="false" customHeight="false" outlineLevel="0" collapsed="false">
      <c r="A315" s="736" t="s">
        <v>743</v>
      </c>
      <c r="B315" s="736" t="e">
        <f aca="false">ati!#ref!</f>
        <v>#NAME?</v>
      </c>
      <c r="C315" s="737" t="s">
        <v>728</v>
      </c>
    </row>
    <row r="316" customFormat="false" ht="14.25" hidden="false" customHeight="false" outlineLevel="0" collapsed="false">
      <c r="A316" s="736" t="s">
        <v>744</v>
      </c>
      <c r="B316" s="736" t="e">
        <f aca="false">ati!#ref!</f>
        <v>#NAME?</v>
      </c>
      <c r="C316" s="737" t="s">
        <v>728</v>
      </c>
    </row>
    <row r="317" customFormat="false" ht="14.25" hidden="false" customHeight="false" outlineLevel="0" collapsed="false">
      <c r="A317" s="736" t="s">
        <v>745</v>
      </c>
      <c r="B317" s="736" t="e">
        <f aca="false">ati!#ref!</f>
        <v>#NAME?</v>
      </c>
      <c r="C317" s="737" t="s">
        <v>728</v>
      </c>
    </row>
    <row r="318" customFormat="false" ht="14.25" hidden="false" customHeight="false" outlineLevel="0" collapsed="false">
      <c r="A318" s="736" t="s">
        <v>746</v>
      </c>
      <c r="B318" s="736" t="n">
        <f aca="false">ATI!D171</f>
        <v>0</v>
      </c>
      <c r="C318" s="737" t="s">
        <v>728</v>
      </c>
    </row>
    <row r="319" customFormat="false" ht="14.25" hidden="false" customHeight="false" outlineLevel="0" collapsed="false">
      <c r="A319" s="736" t="s">
        <v>747</v>
      </c>
      <c r="B319" s="736" t="n">
        <f aca="false">ATI!E171</f>
        <v>0</v>
      </c>
      <c r="C319" s="737" t="s">
        <v>728</v>
      </c>
    </row>
    <row r="320" customFormat="false" ht="14.25" hidden="false" customHeight="false" outlineLevel="0" collapsed="false">
      <c r="A320" s="736" t="s">
        <v>748</v>
      </c>
      <c r="B320" s="736" t="e">
        <f aca="false">ati!#ref!</f>
        <v>#NAME?</v>
      </c>
      <c r="C320" s="737" t="s">
        <v>728</v>
      </c>
    </row>
    <row r="321" customFormat="false" ht="14.25" hidden="false" customHeight="false" outlineLevel="0" collapsed="false">
      <c r="A321" s="736" t="s">
        <v>749</v>
      </c>
      <c r="B321" s="736" t="e">
        <f aca="false">ati!#ref!</f>
        <v>#NAME?</v>
      </c>
      <c r="C321" s="737" t="s">
        <v>728</v>
      </c>
    </row>
    <row r="322" customFormat="false" ht="14.25" hidden="false" customHeight="false" outlineLevel="0" collapsed="false">
      <c r="A322" s="736" t="s">
        <v>750</v>
      </c>
      <c r="B322" s="736" t="e">
        <f aca="false">ati!#ref!</f>
        <v>#NAME?</v>
      </c>
      <c r="C322" s="737" t="s">
        <v>728</v>
      </c>
    </row>
    <row r="323" customFormat="false" ht="14.25" hidden="false" customHeight="false" outlineLevel="0" collapsed="false">
      <c r="A323" s="736" t="s">
        <v>751</v>
      </c>
      <c r="B323" s="736" t="e">
        <f aca="false">ati!#ref!</f>
        <v>#NAME?</v>
      </c>
      <c r="C323" s="737" t="s">
        <v>728</v>
      </c>
    </row>
    <row r="324" customFormat="false" ht="14.25" hidden="false" customHeight="false" outlineLevel="0" collapsed="false">
      <c r="A324" s="736" t="s">
        <v>752</v>
      </c>
      <c r="B324" s="736" t="n">
        <f aca="false">ATI!D172</f>
        <v>0</v>
      </c>
      <c r="C324" s="737" t="s">
        <v>728</v>
      </c>
    </row>
    <row r="325" customFormat="false" ht="14.25" hidden="false" customHeight="false" outlineLevel="0" collapsed="false">
      <c r="A325" s="736" t="s">
        <v>753</v>
      </c>
      <c r="B325" s="736" t="n">
        <f aca="false">ATI!E172</f>
        <v>0</v>
      </c>
      <c r="C325" s="737" t="s">
        <v>728</v>
      </c>
    </row>
    <row r="326" customFormat="false" ht="14.25" hidden="false" customHeight="false" outlineLevel="0" collapsed="false">
      <c r="A326" s="736" t="s">
        <v>754</v>
      </c>
      <c r="B326" s="736" t="e">
        <f aca="false">ati!#ref!</f>
        <v>#NAME?</v>
      </c>
      <c r="C326" s="737" t="s">
        <v>728</v>
      </c>
    </row>
    <row r="327" customFormat="false" ht="14.25" hidden="false" customHeight="false" outlineLevel="0" collapsed="false">
      <c r="A327" s="736" t="s">
        <v>755</v>
      </c>
      <c r="B327" s="736" t="e">
        <f aca="false">ati!#ref!</f>
        <v>#NAME?</v>
      </c>
      <c r="C327" s="737" t="s">
        <v>728</v>
      </c>
    </row>
    <row r="328" customFormat="false" ht="14.25" hidden="false" customHeight="false" outlineLevel="0" collapsed="false">
      <c r="A328" s="736" t="s">
        <v>756</v>
      </c>
      <c r="B328" s="736" t="e">
        <f aca="false">ati!#ref!</f>
        <v>#NAME?</v>
      </c>
      <c r="C328" s="737" t="s">
        <v>728</v>
      </c>
    </row>
    <row r="329" customFormat="false" ht="14.25" hidden="false" customHeight="false" outlineLevel="0" collapsed="false">
      <c r="A329" s="736" t="s">
        <v>757</v>
      </c>
      <c r="B329" s="736" t="e">
        <f aca="false">ati!#ref!</f>
        <v>#NAME?</v>
      </c>
      <c r="C329" s="737" t="s">
        <v>728</v>
      </c>
    </row>
    <row r="330" customFormat="false" ht="14.25" hidden="false" customHeight="false" outlineLevel="0" collapsed="false">
      <c r="A330" s="736" t="s">
        <v>758</v>
      </c>
      <c r="B330" s="736" t="n">
        <f aca="false">ATI!D173</f>
        <v>0</v>
      </c>
      <c r="C330" s="737" t="s">
        <v>728</v>
      </c>
    </row>
    <row r="331" customFormat="false" ht="14.25" hidden="false" customHeight="false" outlineLevel="0" collapsed="false">
      <c r="A331" s="736" t="s">
        <v>759</v>
      </c>
      <c r="B331" s="736" t="n">
        <f aca="false">ATI!E173</f>
        <v>0</v>
      </c>
      <c r="C331" s="737" t="s">
        <v>728</v>
      </c>
    </row>
    <row r="332" customFormat="false" ht="14.25" hidden="false" customHeight="false" outlineLevel="0" collapsed="false">
      <c r="A332" s="736" t="s">
        <v>760</v>
      </c>
      <c r="B332" s="736" t="e">
        <f aca="false">ati!#ref!</f>
        <v>#NAME?</v>
      </c>
      <c r="C332" s="737" t="s">
        <v>728</v>
      </c>
    </row>
    <row r="333" customFormat="false" ht="14.25" hidden="false" customHeight="false" outlineLevel="0" collapsed="false">
      <c r="A333" s="736" t="s">
        <v>761</v>
      </c>
      <c r="B333" s="736" t="e">
        <f aca="false">ati!#ref!</f>
        <v>#NAME?</v>
      </c>
      <c r="C333" s="737" t="s">
        <v>728</v>
      </c>
    </row>
    <row r="334" customFormat="false" ht="14.25" hidden="false" customHeight="false" outlineLevel="0" collapsed="false">
      <c r="A334" s="736" t="s">
        <v>762</v>
      </c>
      <c r="B334" s="736" t="e">
        <f aca="false">ati!#ref!</f>
        <v>#NAME?</v>
      </c>
      <c r="C334" s="737" t="s">
        <v>728</v>
      </c>
    </row>
    <row r="335" customFormat="false" ht="14.25" hidden="false" customHeight="false" outlineLevel="0" collapsed="false">
      <c r="A335" s="736" t="s">
        <v>763</v>
      </c>
      <c r="B335" s="736" t="e">
        <f aca="false">ati!#ref!</f>
        <v>#NAME?</v>
      </c>
      <c r="C335" s="737" t="s">
        <v>728</v>
      </c>
    </row>
    <row r="336" customFormat="false" ht="14.25" hidden="false" customHeight="false" outlineLevel="0" collapsed="false">
      <c r="A336" s="736" t="s">
        <v>764</v>
      </c>
      <c r="B336" s="736" t="n">
        <f aca="false">ATI!D174</f>
        <v>0</v>
      </c>
      <c r="C336" s="737" t="s">
        <v>728</v>
      </c>
    </row>
    <row r="337" customFormat="false" ht="14.25" hidden="false" customHeight="false" outlineLevel="0" collapsed="false">
      <c r="A337" s="736" t="s">
        <v>765</v>
      </c>
      <c r="B337" s="736" t="n">
        <f aca="false">ATI!E174</f>
        <v>0</v>
      </c>
      <c r="C337" s="737" t="s">
        <v>728</v>
      </c>
    </row>
    <row r="338" customFormat="false" ht="14.25" hidden="false" customHeight="false" outlineLevel="0" collapsed="false">
      <c r="A338" s="736" t="s">
        <v>766</v>
      </c>
      <c r="B338" s="736" t="e">
        <f aca="false">ati!#ref!</f>
        <v>#NAME?</v>
      </c>
      <c r="C338" s="737" t="s">
        <v>728</v>
      </c>
    </row>
    <row r="339" customFormat="false" ht="14.25" hidden="false" customHeight="false" outlineLevel="0" collapsed="false">
      <c r="A339" s="736" t="s">
        <v>767</v>
      </c>
      <c r="B339" s="736" t="e">
        <f aca="false">ati!#ref!</f>
        <v>#NAME?</v>
      </c>
      <c r="C339" s="737" t="s">
        <v>728</v>
      </c>
    </row>
    <row r="340" customFormat="false" ht="14.25" hidden="false" customHeight="false" outlineLevel="0" collapsed="false">
      <c r="A340" s="736" t="s">
        <v>768</v>
      </c>
      <c r="B340" s="736" t="e">
        <f aca="false">ati!#ref!</f>
        <v>#NAME?</v>
      </c>
      <c r="C340" s="737" t="s">
        <v>728</v>
      </c>
    </row>
    <row r="341" customFormat="false" ht="14.25" hidden="false" customHeight="false" outlineLevel="0" collapsed="false">
      <c r="A341" s="736" t="s">
        <v>769</v>
      </c>
      <c r="B341" s="736" t="e">
        <f aca="false">ati!#ref!</f>
        <v>#NAME?</v>
      </c>
      <c r="C341" s="737" t="s">
        <v>728</v>
      </c>
    </row>
    <row r="342" customFormat="false" ht="14.25" hidden="false" customHeight="false" outlineLevel="0" collapsed="false">
      <c r="A342" s="736" t="s">
        <v>770</v>
      </c>
      <c r="B342" s="736" t="e">
        <f aca="false">ati!#ref!</f>
        <v>#NAME?</v>
      </c>
      <c r="C342" s="737" t="s">
        <v>771</v>
      </c>
    </row>
    <row r="343" customFormat="false" ht="14.25" hidden="false" customHeight="false" outlineLevel="0" collapsed="false">
      <c r="A343" s="736" t="s">
        <v>772</v>
      </c>
      <c r="B343" s="736" t="e">
        <f aca="false">ati!#ref!</f>
        <v>#NAME?</v>
      </c>
      <c r="C343" s="737" t="s">
        <v>771</v>
      </c>
    </row>
    <row r="344" customFormat="false" ht="14.25" hidden="false" customHeight="false" outlineLevel="0" collapsed="false">
      <c r="A344" s="736" t="s">
        <v>773</v>
      </c>
      <c r="B344" s="736" t="e">
        <f aca="false">ati!#ref!</f>
        <v>#NAME?</v>
      </c>
      <c r="C344" s="737" t="s">
        <v>771</v>
      </c>
    </row>
    <row r="345" customFormat="false" ht="14.25" hidden="false" customHeight="false" outlineLevel="0" collapsed="false">
      <c r="A345" s="736" t="s">
        <v>774</v>
      </c>
      <c r="B345" s="736" t="e">
        <f aca="false">ati!#ref!</f>
        <v>#NAME?</v>
      </c>
      <c r="C345" s="737" t="s">
        <v>775</v>
      </c>
    </row>
    <row r="346" customFormat="false" ht="14.25" hidden="false" customHeight="false" outlineLevel="0" collapsed="false">
      <c r="A346" s="736" t="s">
        <v>776</v>
      </c>
      <c r="B346" s="736" t="e">
        <f aca="false">ati!#ref!</f>
        <v>#NAME?</v>
      </c>
      <c r="C346" s="737" t="s">
        <v>775</v>
      </c>
    </row>
    <row r="347" customFormat="false" ht="14.25" hidden="false" customHeight="false" outlineLevel="0" collapsed="false">
      <c r="A347" s="736" t="s">
        <v>777</v>
      </c>
      <c r="B347" s="736" t="e">
        <f aca="false">ati!#ref!</f>
        <v>#NAME?</v>
      </c>
      <c r="C347" s="737" t="s">
        <v>775</v>
      </c>
    </row>
    <row r="348" customFormat="false" ht="14.25" hidden="false" customHeight="false" outlineLevel="0" collapsed="false">
      <c r="A348" s="736" t="s">
        <v>778</v>
      </c>
      <c r="B348" s="736" t="e">
        <f aca="false">ati!#ref!</f>
        <v>#NAME?</v>
      </c>
      <c r="C348" s="737" t="s">
        <v>775</v>
      </c>
    </row>
    <row r="349" customFormat="false" ht="14.25" hidden="false" customHeight="false" outlineLevel="0" collapsed="false">
      <c r="A349" s="736" t="s">
        <v>779</v>
      </c>
      <c r="B349" s="736" t="e">
        <f aca="false">ati!#ref!</f>
        <v>#NAME?</v>
      </c>
      <c r="C349" s="737" t="s">
        <v>775</v>
      </c>
    </row>
    <row r="350" customFormat="false" ht="14.25" hidden="false" customHeight="false" outlineLevel="0" collapsed="false">
      <c r="A350" s="736" t="s">
        <v>780</v>
      </c>
      <c r="B350" s="736" t="e">
        <f aca="false">ati!#ref!</f>
        <v>#NAME?</v>
      </c>
      <c r="C350" s="737" t="s">
        <v>775</v>
      </c>
    </row>
    <row r="351" customFormat="false" ht="14.25" hidden="false" customHeight="false" outlineLevel="0" collapsed="false">
      <c r="A351" s="736" t="s">
        <v>781</v>
      </c>
      <c r="B351" s="736" t="e">
        <f aca="false">ati!#ref!</f>
        <v>#NAME?</v>
      </c>
      <c r="C351" s="737" t="s">
        <v>775</v>
      </c>
    </row>
    <row r="352" customFormat="false" ht="14.25" hidden="false" customHeight="false" outlineLevel="0" collapsed="false">
      <c r="A352" s="736" t="s">
        <v>782</v>
      </c>
      <c r="B352" s="736" t="e">
        <f aca="false">ati!#ref!</f>
        <v>#NAME?</v>
      </c>
      <c r="C352" s="737" t="s">
        <v>775</v>
      </c>
    </row>
    <row r="353" customFormat="false" ht="14.25" hidden="false" customHeight="false" outlineLevel="0" collapsed="false">
      <c r="A353" s="736" t="s">
        <v>783</v>
      </c>
      <c r="B353" s="736" t="e">
        <f aca="false">ati!#ref!</f>
        <v>#NAME?</v>
      </c>
      <c r="C353" s="737" t="s">
        <v>775</v>
      </c>
    </row>
    <row r="354" customFormat="false" ht="14.25" hidden="false" customHeight="false" outlineLevel="0" collapsed="false">
      <c r="A354" s="736" t="s">
        <v>784</v>
      </c>
      <c r="B354" s="736" t="e">
        <f aca="false">ati!#ref!</f>
        <v>#NAME?</v>
      </c>
      <c r="C354" s="737" t="s">
        <v>775</v>
      </c>
    </row>
    <row r="355" customFormat="false" ht="14.25" hidden="false" customHeight="false" outlineLevel="0" collapsed="false">
      <c r="A355" s="736" t="s">
        <v>785</v>
      </c>
      <c r="B355" s="736" t="e">
        <f aca="false">ati!#ref!</f>
        <v>#NAME?</v>
      </c>
      <c r="C355" s="737" t="s">
        <v>775</v>
      </c>
    </row>
    <row r="356" customFormat="false" ht="14.25" hidden="false" customHeight="false" outlineLevel="0" collapsed="false">
      <c r="A356" s="736" t="s">
        <v>786</v>
      </c>
      <c r="B356" s="736" t="e">
        <f aca="false">ati!#ref!</f>
        <v>#NAME?</v>
      </c>
      <c r="C356" s="737" t="s">
        <v>775</v>
      </c>
    </row>
    <row r="357" customFormat="false" ht="14.25" hidden="false" customHeight="false" outlineLevel="0" collapsed="false">
      <c r="A357" s="736" t="s">
        <v>787</v>
      </c>
      <c r="B357" s="736" t="e">
        <f aca="false">ati!#ref!</f>
        <v>#NAME?</v>
      </c>
      <c r="C357" s="737" t="s">
        <v>775</v>
      </c>
    </row>
    <row r="358" customFormat="false" ht="14.25" hidden="false" customHeight="false" outlineLevel="0" collapsed="false">
      <c r="A358" s="736" t="s">
        <v>788</v>
      </c>
      <c r="B358" s="736" t="e">
        <f aca="false">ati!#ref!</f>
        <v>#NAME?</v>
      </c>
      <c r="C358" s="737" t="s">
        <v>775</v>
      </c>
    </row>
    <row r="359" customFormat="false" ht="14.25" hidden="false" customHeight="false" outlineLevel="0" collapsed="false">
      <c r="A359" s="736" t="s">
        <v>789</v>
      </c>
      <c r="B359" s="736" t="e">
        <f aca="false">ati!#ref!</f>
        <v>#NAME?</v>
      </c>
      <c r="C359" s="737" t="s">
        <v>775</v>
      </c>
    </row>
    <row r="360" customFormat="false" ht="14.25" hidden="false" customHeight="false" outlineLevel="0" collapsed="false">
      <c r="A360" s="736" t="s">
        <v>790</v>
      </c>
      <c r="B360" s="736" t="e">
        <f aca="false">ati!#ref!</f>
        <v>#NAME?</v>
      </c>
      <c r="C360" s="737" t="s">
        <v>775</v>
      </c>
    </row>
    <row r="361" customFormat="false" ht="14.25" hidden="false" customHeight="false" outlineLevel="0" collapsed="false">
      <c r="A361" s="736" t="s">
        <v>791</v>
      </c>
      <c r="B361" s="736" t="e">
        <f aca="false">ati!#ref!</f>
        <v>#NAME?</v>
      </c>
      <c r="C361" s="737" t="s">
        <v>775</v>
      </c>
    </row>
    <row r="362" customFormat="false" ht="14.25" hidden="false" customHeight="false" outlineLevel="0" collapsed="false">
      <c r="A362" s="736" t="s">
        <v>792</v>
      </c>
      <c r="B362" s="736" t="e">
        <f aca="false">ati!#ref!</f>
        <v>#NAME?</v>
      </c>
      <c r="C362" s="737" t="s">
        <v>775</v>
      </c>
    </row>
    <row r="363" customFormat="false" ht="14.25" hidden="false" customHeight="false" outlineLevel="0" collapsed="false">
      <c r="A363" s="736" t="s">
        <v>793</v>
      </c>
      <c r="B363" s="736" t="e">
        <f aca="false">ati!#ref!</f>
        <v>#NAME?</v>
      </c>
      <c r="C363" s="737" t="s">
        <v>775</v>
      </c>
    </row>
    <row r="364" customFormat="false" ht="14.25" hidden="false" customHeight="false" outlineLevel="0" collapsed="false">
      <c r="A364" s="736" t="s">
        <v>794</v>
      </c>
      <c r="B364" s="736" t="e">
        <f aca="false">ati!#ref!</f>
        <v>#NAME?</v>
      </c>
      <c r="C364" s="737" t="s">
        <v>775</v>
      </c>
    </row>
    <row r="365" customFormat="false" ht="14.25" hidden="false" customHeight="false" outlineLevel="0" collapsed="false">
      <c r="A365" s="736" t="s">
        <v>795</v>
      </c>
      <c r="B365" s="736" t="e">
        <f aca="false">ati!#ref!</f>
        <v>#NAME?</v>
      </c>
      <c r="C365" s="737" t="s">
        <v>775</v>
      </c>
    </row>
    <row r="366" customFormat="false" ht="14.25" hidden="false" customHeight="false" outlineLevel="0" collapsed="false">
      <c r="A366" s="736" t="s">
        <v>796</v>
      </c>
      <c r="B366" s="736" t="e">
        <f aca="false">ati!#ref!</f>
        <v>#NAME?</v>
      </c>
      <c r="C366" s="737" t="s">
        <v>775</v>
      </c>
    </row>
    <row r="367" customFormat="false" ht="14.25" hidden="false" customHeight="false" outlineLevel="0" collapsed="false">
      <c r="A367" s="736" t="s">
        <v>797</v>
      </c>
      <c r="B367" s="736" t="e">
        <f aca="false">ati!#ref!</f>
        <v>#NAME?</v>
      </c>
      <c r="C367" s="737" t="s">
        <v>775</v>
      </c>
    </row>
    <row r="368" customFormat="false" ht="14.25" hidden="false" customHeight="false" outlineLevel="0" collapsed="false">
      <c r="A368" s="736" t="s">
        <v>798</v>
      </c>
      <c r="B368" s="736" t="e">
        <f aca="false">ati!#ref!</f>
        <v>#NAME?</v>
      </c>
      <c r="C368" s="737" t="s">
        <v>775</v>
      </c>
    </row>
    <row r="369" customFormat="false" ht="14.25" hidden="false" customHeight="false" outlineLevel="0" collapsed="false">
      <c r="A369" s="736" t="s">
        <v>799</v>
      </c>
      <c r="B369" s="736" t="e">
        <f aca="false">ati!#ref!</f>
        <v>#NAME?</v>
      </c>
      <c r="C369" s="737" t="s">
        <v>775</v>
      </c>
    </row>
    <row r="370" customFormat="false" ht="14.25" hidden="false" customHeight="false" outlineLevel="0" collapsed="false">
      <c r="A370" s="736" t="s">
        <v>800</v>
      </c>
      <c r="B370" s="736" t="e">
        <f aca="false">ati!#ref!</f>
        <v>#NAME?</v>
      </c>
      <c r="C370" s="737" t="s">
        <v>775</v>
      </c>
    </row>
    <row r="371" customFormat="false" ht="14.25" hidden="false" customHeight="false" outlineLevel="0" collapsed="false">
      <c r="A371" s="736" t="s">
        <v>801</v>
      </c>
      <c r="B371" s="736" t="e">
        <f aca="false">ati!#ref!</f>
        <v>#NAME?</v>
      </c>
      <c r="C371" s="737" t="s">
        <v>775</v>
      </c>
    </row>
    <row r="372" customFormat="false" ht="14.25" hidden="false" customHeight="false" outlineLevel="0" collapsed="false">
      <c r="A372" s="736" t="s">
        <v>802</v>
      </c>
      <c r="B372" s="736" t="e">
        <f aca="false">ati!#ref!</f>
        <v>#NAME?</v>
      </c>
      <c r="C372" s="737" t="s">
        <v>775</v>
      </c>
    </row>
    <row r="373" customFormat="false" ht="14.25" hidden="false" customHeight="false" outlineLevel="0" collapsed="false">
      <c r="A373" s="736" t="s">
        <v>803</v>
      </c>
      <c r="B373" s="736" t="e">
        <f aca="false">ati!#ref!</f>
        <v>#NAME?</v>
      </c>
      <c r="C373" s="737" t="s">
        <v>775</v>
      </c>
    </row>
    <row r="374" customFormat="false" ht="14.25" hidden="false" customHeight="false" outlineLevel="0" collapsed="false">
      <c r="A374" s="736" t="s">
        <v>804</v>
      </c>
      <c r="B374" s="736" t="e">
        <f aca="false">ati!#ref!</f>
        <v>#NAME?</v>
      </c>
      <c r="C374" s="737" t="s">
        <v>775</v>
      </c>
    </row>
    <row r="375" customFormat="false" ht="14.25" hidden="false" customHeight="false" outlineLevel="0" collapsed="false">
      <c r="A375" s="736" t="s">
        <v>805</v>
      </c>
      <c r="B375" s="736" t="e">
        <f aca="false">ati!#ref!</f>
        <v>#NAME?</v>
      </c>
      <c r="C375" s="737" t="s">
        <v>775</v>
      </c>
    </row>
    <row r="376" customFormat="false" ht="14.25" hidden="false" customHeight="false" outlineLevel="0" collapsed="false">
      <c r="A376" s="736" t="s">
        <v>806</v>
      </c>
      <c r="B376" s="736" t="e">
        <f aca="false">ati!#ref!</f>
        <v>#NAME?</v>
      </c>
      <c r="C376" s="737" t="s">
        <v>775</v>
      </c>
    </row>
    <row r="377" customFormat="false" ht="14.25" hidden="false" customHeight="false" outlineLevel="0" collapsed="false">
      <c r="A377" s="736" t="s">
        <v>807</v>
      </c>
      <c r="B377" s="736" t="e">
        <f aca="false">ati!#ref!</f>
        <v>#NAME?</v>
      </c>
      <c r="C377" s="737" t="s">
        <v>775</v>
      </c>
    </row>
    <row r="378" customFormat="false" ht="14.25" hidden="false" customHeight="false" outlineLevel="0" collapsed="false">
      <c r="A378" s="736" t="s">
        <v>808</v>
      </c>
      <c r="B378" s="736" t="e">
        <f aca="false">ati!#ref!</f>
        <v>#NAME?</v>
      </c>
      <c r="C378" s="737" t="s">
        <v>775</v>
      </c>
    </row>
    <row r="379" customFormat="false" ht="14.25" hidden="false" customHeight="false" outlineLevel="0" collapsed="false">
      <c r="A379" s="736" t="s">
        <v>809</v>
      </c>
      <c r="B379" s="736" t="e">
        <f aca="false">ati!#ref!</f>
        <v>#NAME?</v>
      </c>
      <c r="C379" s="737" t="s">
        <v>775</v>
      </c>
    </row>
    <row r="380" customFormat="false" ht="14.25" hidden="false" customHeight="false" outlineLevel="0" collapsed="false">
      <c r="A380" s="736" t="s">
        <v>810</v>
      </c>
      <c r="B380" s="736" t="e">
        <f aca="false">ati!#ref!</f>
        <v>#NAME?</v>
      </c>
      <c r="C380" s="737" t="s">
        <v>775</v>
      </c>
    </row>
    <row r="381" customFormat="false" ht="14.25" hidden="false" customHeight="false" outlineLevel="0" collapsed="false">
      <c r="A381" s="736" t="s">
        <v>811</v>
      </c>
      <c r="B381" s="736" t="e">
        <f aca="false">ati!#ref!</f>
        <v>#NAME?</v>
      </c>
      <c r="C381" s="737" t="s">
        <v>775</v>
      </c>
    </row>
    <row r="382" customFormat="false" ht="14.25" hidden="false" customHeight="false" outlineLevel="0" collapsed="false">
      <c r="A382" s="736" t="s">
        <v>812</v>
      </c>
      <c r="B382" s="736" t="e">
        <f aca="false">ati!#ref!</f>
        <v>#NAME?</v>
      </c>
      <c r="C382" s="737" t="s">
        <v>775</v>
      </c>
    </row>
    <row r="383" customFormat="false" ht="14.25" hidden="false" customHeight="false" outlineLevel="0" collapsed="false">
      <c r="A383" s="736" t="s">
        <v>813</v>
      </c>
      <c r="B383" s="736" t="e">
        <f aca="false">ati!#ref!</f>
        <v>#NAME?</v>
      </c>
      <c r="C383" s="737" t="s">
        <v>775</v>
      </c>
    </row>
    <row r="384" customFormat="false" ht="14.25" hidden="false" customHeight="false" outlineLevel="0" collapsed="false">
      <c r="A384" s="736" t="s">
        <v>814</v>
      </c>
      <c r="B384" s="736" t="e">
        <f aca="false">ati!#ref!</f>
        <v>#NAME?</v>
      </c>
      <c r="C384" s="737" t="s">
        <v>775</v>
      </c>
    </row>
    <row r="385" customFormat="false" ht="14.25" hidden="false" customHeight="false" outlineLevel="0" collapsed="false">
      <c r="A385" s="736" t="s">
        <v>815</v>
      </c>
      <c r="B385" s="736" t="e">
        <f aca="false">ati!#ref!</f>
        <v>#NAME?</v>
      </c>
      <c r="C385" s="737" t="s">
        <v>775</v>
      </c>
    </row>
    <row r="386" customFormat="false" ht="14.25" hidden="false" customHeight="false" outlineLevel="0" collapsed="false">
      <c r="A386" s="736" t="s">
        <v>816</v>
      </c>
      <c r="B386" s="736" t="e">
        <f aca="false">ati!#ref!</f>
        <v>#NAME?</v>
      </c>
      <c r="C386" s="737" t="s">
        <v>775</v>
      </c>
    </row>
    <row r="387" customFormat="false" ht="14.25" hidden="false" customHeight="false" outlineLevel="0" collapsed="false">
      <c r="A387" s="734" t="s">
        <v>817</v>
      </c>
      <c r="B387" s="734" t="n">
        <f aca="false">ATI!D180</f>
        <v>0</v>
      </c>
      <c r="C387" s="735" t="s">
        <v>818</v>
      </c>
    </row>
    <row r="388" customFormat="false" ht="14.25" hidden="false" customHeight="false" outlineLevel="0" collapsed="false">
      <c r="A388" s="734" t="s">
        <v>819</v>
      </c>
      <c r="B388" s="734" t="n">
        <f aca="false">ATI!F180</f>
        <v>0</v>
      </c>
      <c r="C388" s="735" t="s">
        <v>818</v>
      </c>
    </row>
    <row r="389" customFormat="false" ht="14.25" hidden="false" customHeight="false" outlineLevel="0" collapsed="false">
      <c r="A389" s="734" t="s">
        <v>820</v>
      </c>
      <c r="B389" s="734" t="n">
        <f aca="false">ATI!H180</f>
        <v>0</v>
      </c>
      <c r="C389" s="735" t="s">
        <v>818</v>
      </c>
    </row>
    <row r="390" customFormat="false" ht="14.25" hidden="false" customHeight="false" outlineLevel="0" collapsed="false">
      <c r="A390" s="734" t="s">
        <v>821</v>
      </c>
      <c r="B390" s="734" t="n">
        <f aca="false">ATI!D181</f>
        <v>0</v>
      </c>
      <c r="C390" s="735" t="s">
        <v>818</v>
      </c>
    </row>
    <row r="391" customFormat="false" ht="14.25" hidden="false" customHeight="false" outlineLevel="0" collapsed="false">
      <c r="A391" s="734" t="s">
        <v>822</v>
      </c>
      <c r="B391" s="734" t="n">
        <f aca="false">ATI!F181</f>
        <v>0</v>
      </c>
      <c r="C391" s="735" t="s">
        <v>818</v>
      </c>
    </row>
    <row r="392" customFormat="false" ht="14.25" hidden="false" customHeight="false" outlineLevel="0" collapsed="false">
      <c r="A392" s="734" t="s">
        <v>823</v>
      </c>
      <c r="B392" s="734" t="n">
        <f aca="false">ATI!H181</f>
        <v>0</v>
      </c>
      <c r="C392" s="735" t="s">
        <v>818</v>
      </c>
    </row>
    <row r="393" customFormat="false" ht="14.25" hidden="false" customHeight="false" outlineLevel="0" collapsed="false">
      <c r="A393" s="734" t="s">
        <v>824</v>
      </c>
      <c r="B393" s="734" t="n">
        <f aca="false">ATI!D182</f>
        <v>0</v>
      </c>
      <c r="C393" s="735" t="s">
        <v>818</v>
      </c>
    </row>
    <row r="394" customFormat="false" ht="14.25" hidden="false" customHeight="false" outlineLevel="0" collapsed="false">
      <c r="A394" s="734" t="s">
        <v>825</v>
      </c>
      <c r="B394" s="734" t="n">
        <f aca="false">ATI!F182</f>
        <v>0</v>
      </c>
      <c r="C394" s="735" t="s">
        <v>818</v>
      </c>
    </row>
    <row r="395" customFormat="false" ht="14.25" hidden="false" customHeight="false" outlineLevel="0" collapsed="false">
      <c r="A395" s="734" t="s">
        <v>826</v>
      </c>
      <c r="B395" s="734" t="n">
        <f aca="false">ATI!H182</f>
        <v>0</v>
      </c>
      <c r="C395" s="735" t="s">
        <v>818</v>
      </c>
    </row>
    <row r="396" customFormat="false" ht="14.25" hidden="false" customHeight="false" outlineLevel="0" collapsed="false">
      <c r="A396" s="734" t="s">
        <v>827</v>
      </c>
      <c r="B396" s="734" t="n">
        <f aca="false">ATI!D183</f>
        <v>0</v>
      </c>
      <c r="C396" s="735" t="s">
        <v>818</v>
      </c>
    </row>
    <row r="397" customFormat="false" ht="14.25" hidden="false" customHeight="false" outlineLevel="0" collapsed="false">
      <c r="A397" s="734" t="s">
        <v>828</v>
      </c>
      <c r="B397" s="734" t="n">
        <f aca="false">ATI!F183</f>
        <v>0</v>
      </c>
      <c r="C397" s="735" t="s">
        <v>818</v>
      </c>
    </row>
    <row r="398" customFormat="false" ht="14.25" hidden="false" customHeight="false" outlineLevel="0" collapsed="false">
      <c r="A398" s="734" t="s">
        <v>829</v>
      </c>
      <c r="B398" s="734" t="n">
        <f aca="false">ATI!H183</f>
        <v>0</v>
      </c>
      <c r="C398" s="735" t="s">
        <v>818</v>
      </c>
    </row>
    <row r="399" customFormat="false" ht="14.25" hidden="false" customHeight="false" outlineLevel="0" collapsed="false">
      <c r="A399" s="734" t="s">
        <v>830</v>
      </c>
      <c r="B399" s="734" t="n">
        <f aca="false">ATI!D184</f>
        <v>0</v>
      </c>
      <c r="C399" s="735" t="s">
        <v>818</v>
      </c>
    </row>
    <row r="400" customFormat="false" ht="14.25" hidden="false" customHeight="false" outlineLevel="0" collapsed="false">
      <c r="A400" s="734" t="s">
        <v>831</v>
      </c>
      <c r="B400" s="734" t="n">
        <f aca="false">ATI!F184</f>
        <v>0</v>
      </c>
      <c r="C400" s="735" t="s">
        <v>818</v>
      </c>
    </row>
    <row r="401" customFormat="false" ht="14.25" hidden="false" customHeight="false" outlineLevel="0" collapsed="false">
      <c r="A401" s="734" t="s">
        <v>832</v>
      </c>
      <c r="B401" s="734" t="n">
        <f aca="false">ATI!H184</f>
        <v>0</v>
      </c>
      <c r="C401" s="735" t="s">
        <v>818</v>
      </c>
    </row>
    <row r="402" customFormat="false" ht="14.25" hidden="false" customHeight="false" outlineLevel="0" collapsed="false">
      <c r="A402" s="734" t="s">
        <v>833</v>
      </c>
      <c r="B402" s="734" t="n">
        <f aca="false">ATI!D185</f>
        <v>0</v>
      </c>
      <c r="C402" s="735" t="s">
        <v>818</v>
      </c>
    </row>
    <row r="403" customFormat="false" ht="14.25" hidden="false" customHeight="false" outlineLevel="0" collapsed="false">
      <c r="A403" s="734" t="s">
        <v>834</v>
      </c>
      <c r="B403" s="734" t="n">
        <f aca="false">ATI!F185</f>
        <v>0</v>
      </c>
      <c r="C403" s="735" t="s">
        <v>818</v>
      </c>
    </row>
    <row r="404" customFormat="false" ht="14.25" hidden="false" customHeight="false" outlineLevel="0" collapsed="false">
      <c r="A404" s="734" t="s">
        <v>835</v>
      </c>
      <c r="B404" s="734" t="n">
        <f aca="false">ATI!H185</f>
        <v>0</v>
      </c>
      <c r="C404" s="735" t="s">
        <v>818</v>
      </c>
    </row>
    <row r="405" customFormat="false" ht="14.25" hidden="false" customHeight="false" outlineLevel="0" collapsed="false">
      <c r="A405" s="734" t="s">
        <v>836</v>
      </c>
      <c r="B405" s="734" t="n">
        <f aca="false">ATI!D186</f>
        <v>0</v>
      </c>
      <c r="C405" s="735" t="s">
        <v>818</v>
      </c>
    </row>
    <row r="406" customFormat="false" ht="14.25" hidden="false" customHeight="false" outlineLevel="0" collapsed="false">
      <c r="A406" s="734" t="s">
        <v>837</v>
      </c>
      <c r="B406" s="734" t="n">
        <f aca="false">ATI!F186</f>
        <v>0</v>
      </c>
      <c r="C406" s="735" t="s">
        <v>818</v>
      </c>
    </row>
    <row r="407" customFormat="false" ht="14.25" hidden="false" customHeight="false" outlineLevel="0" collapsed="false">
      <c r="A407" s="734" t="s">
        <v>838</v>
      </c>
      <c r="B407" s="734" t="n">
        <f aca="false">ATI!H186</f>
        <v>0</v>
      </c>
      <c r="C407" s="735" t="s">
        <v>818</v>
      </c>
    </row>
    <row r="408" customFormat="false" ht="14.25" hidden="false" customHeight="false" outlineLevel="0" collapsed="false">
      <c r="A408" s="734" t="s">
        <v>839</v>
      </c>
      <c r="B408" s="734" t="n">
        <f aca="false">ATI!F193</f>
        <v>0</v>
      </c>
      <c r="C408" s="735" t="s">
        <v>840</v>
      </c>
    </row>
    <row r="409" customFormat="false" ht="14.25" hidden="false" customHeight="false" outlineLevel="0" collapsed="false">
      <c r="A409" s="734" t="s">
        <v>841</v>
      </c>
      <c r="B409" s="734" t="str">
        <f aca="false">ATI!F195</f>
        <v>0</v>
      </c>
      <c r="C409" s="735" t="s">
        <v>840</v>
      </c>
    </row>
    <row r="410" customFormat="false" ht="14.25" hidden="false" customHeight="false" outlineLevel="0" collapsed="false">
      <c r="A410" s="734" t="s">
        <v>842</v>
      </c>
      <c r="B410" s="734" t="n">
        <f aca="false">ATI!B203</f>
        <v>0</v>
      </c>
      <c r="C410" s="735" t="s">
        <v>843</v>
      </c>
    </row>
    <row r="411" customFormat="false" ht="14.25" hidden="false" customHeight="false" outlineLevel="0" collapsed="false">
      <c r="A411" s="734" t="s">
        <v>844</v>
      </c>
      <c r="B411" s="734" t="n">
        <f aca="false">ATI!F203</f>
        <v>0</v>
      </c>
      <c r="C411" s="735" t="s">
        <v>843</v>
      </c>
    </row>
    <row r="412" customFormat="false" ht="14.25" hidden="false" customHeight="false" outlineLevel="0" collapsed="false">
      <c r="A412" s="734" t="s">
        <v>845</v>
      </c>
      <c r="B412" s="734" t="n">
        <f aca="false">ATI!H203</f>
        <v>0</v>
      </c>
      <c r="C412" s="735" t="s">
        <v>843</v>
      </c>
    </row>
    <row r="413" customFormat="false" ht="14.25" hidden="false" customHeight="false" outlineLevel="0" collapsed="false">
      <c r="A413" s="734" t="s">
        <v>846</v>
      </c>
      <c r="B413" s="734" t="n">
        <f aca="false">ATI!J203</f>
        <v>0</v>
      </c>
      <c r="C413" s="735" t="s">
        <v>843</v>
      </c>
    </row>
    <row r="414" customFormat="false" ht="14.25" hidden="false" customHeight="false" outlineLevel="0" collapsed="false">
      <c r="A414" s="734" t="s">
        <v>847</v>
      </c>
      <c r="B414" s="734" t="n">
        <f aca="false">ATI!L203</f>
        <v>0</v>
      </c>
      <c r="C414" s="735" t="s">
        <v>843</v>
      </c>
    </row>
    <row r="415" customFormat="false" ht="14.25" hidden="false" customHeight="false" outlineLevel="0" collapsed="false">
      <c r="A415" s="734" t="s">
        <v>848</v>
      </c>
      <c r="B415" s="734" t="n">
        <f aca="false">ATI!E208</f>
        <v>0</v>
      </c>
      <c r="C415" s="735" t="s">
        <v>849</v>
      </c>
    </row>
    <row r="416" customFormat="false" ht="14.25" hidden="false" customHeight="false" outlineLevel="0" collapsed="false">
      <c r="A416" s="734" t="s">
        <v>850</v>
      </c>
      <c r="B416" s="734" t="n">
        <f aca="false">ATI!H208</f>
        <v>0</v>
      </c>
      <c r="C416" s="735" t="s">
        <v>849</v>
      </c>
    </row>
    <row r="417" customFormat="false" ht="14.25" hidden="false" customHeight="false" outlineLevel="0" collapsed="false">
      <c r="A417" s="734" t="s">
        <v>851</v>
      </c>
      <c r="B417" s="734" t="n">
        <f aca="false">ATI!E209</f>
        <v>0</v>
      </c>
      <c r="C417" s="735" t="s">
        <v>849</v>
      </c>
    </row>
    <row r="418" customFormat="false" ht="14.25" hidden="false" customHeight="false" outlineLevel="0" collapsed="false">
      <c r="A418" s="734" t="s">
        <v>852</v>
      </c>
      <c r="B418" s="734" t="n">
        <f aca="false">ATI!H209</f>
        <v>0</v>
      </c>
      <c r="C418" s="735" t="s">
        <v>849</v>
      </c>
    </row>
    <row r="419" customFormat="false" ht="14.25" hidden="false" customHeight="false" outlineLevel="0" collapsed="false">
      <c r="A419" s="734" t="s">
        <v>853</v>
      </c>
      <c r="B419" s="734" t="n">
        <f aca="false">ATI!E210</f>
        <v>0</v>
      </c>
      <c r="C419" s="735" t="s">
        <v>849</v>
      </c>
    </row>
    <row r="420" customFormat="false" ht="14.25" hidden="false" customHeight="false" outlineLevel="0" collapsed="false">
      <c r="A420" s="734" t="s">
        <v>854</v>
      </c>
      <c r="B420" s="734" t="n">
        <f aca="false">ATI!H210</f>
        <v>0</v>
      </c>
      <c r="C420" s="735" t="s">
        <v>849</v>
      </c>
    </row>
    <row r="421" customFormat="false" ht="14.25" hidden="false" customHeight="false" outlineLevel="0" collapsed="false">
      <c r="A421" s="734" t="s">
        <v>855</v>
      </c>
      <c r="B421" s="734" t="n">
        <f aca="false">ATI!E211</f>
        <v>0</v>
      </c>
      <c r="C421" s="735" t="s">
        <v>849</v>
      </c>
    </row>
    <row r="422" customFormat="false" ht="14.25" hidden="false" customHeight="false" outlineLevel="0" collapsed="false">
      <c r="A422" s="734" t="s">
        <v>856</v>
      </c>
      <c r="B422" s="734" t="n">
        <f aca="false">ATI!H211</f>
        <v>0</v>
      </c>
      <c r="C422" s="735" t="s">
        <v>849</v>
      </c>
    </row>
    <row r="423" customFormat="false" ht="14.25" hidden="false" customHeight="false" outlineLevel="0" collapsed="false">
      <c r="A423" s="734" t="s">
        <v>857</v>
      </c>
      <c r="B423" s="734" t="n">
        <f aca="false">ATI!E212</f>
        <v>0</v>
      </c>
      <c r="C423" s="735" t="s">
        <v>849</v>
      </c>
    </row>
    <row r="424" customFormat="false" ht="14.25" hidden="false" customHeight="false" outlineLevel="0" collapsed="false">
      <c r="A424" s="734" t="s">
        <v>858</v>
      </c>
      <c r="B424" s="734" t="n">
        <f aca="false">ATI!H212</f>
        <v>0</v>
      </c>
      <c r="C424" s="735" t="s">
        <v>849</v>
      </c>
    </row>
    <row r="425" customFormat="false" ht="14.25" hidden="false" customHeight="false" outlineLevel="0" collapsed="false">
      <c r="A425" s="734" t="s">
        <v>859</v>
      </c>
      <c r="B425" s="734" t="n">
        <f aca="false">ATI!E213</f>
        <v>0</v>
      </c>
      <c r="C425" s="735" t="s">
        <v>849</v>
      </c>
    </row>
    <row r="426" customFormat="false" ht="14.25" hidden="false" customHeight="false" outlineLevel="0" collapsed="false">
      <c r="A426" s="734" t="s">
        <v>860</v>
      </c>
      <c r="B426" s="734" t="n">
        <f aca="false">ATI!H213</f>
        <v>0</v>
      </c>
      <c r="C426" s="735" t="s">
        <v>849</v>
      </c>
    </row>
    <row r="427" customFormat="false" ht="14.25" hidden="false" customHeight="false" outlineLevel="0" collapsed="false">
      <c r="A427" s="734" t="s">
        <v>861</v>
      </c>
      <c r="B427" s="734" t="n">
        <f aca="false">ATI!E214</f>
        <v>0</v>
      </c>
      <c r="C427" s="735" t="s">
        <v>849</v>
      </c>
    </row>
    <row r="428" customFormat="false" ht="14.25" hidden="false" customHeight="false" outlineLevel="0" collapsed="false">
      <c r="A428" s="734" t="s">
        <v>862</v>
      </c>
      <c r="B428" s="734" t="n">
        <f aca="false">ATI!H214</f>
        <v>0</v>
      </c>
      <c r="C428" s="735" t="s">
        <v>849</v>
      </c>
    </row>
    <row r="429" customFormat="false" ht="14.25" hidden="false" customHeight="false" outlineLevel="0" collapsed="false">
      <c r="A429" s="734" t="s">
        <v>863</v>
      </c>
      <c r="B429" s="734" t="e">
        <f aca="false">ati!#ref!</f>
        <v>#NAME?</v>
      </c>
      <c r="C429" s="735" t="s">
        <v>864</v>
      </c>
    </row>
    <row r="430" customFormat="false" ht="14.25" hidden="false" customHeight="false" outlineLevel="0" collapsed="false">
      <c r="A430" s="734" t="s">
        <v>865</v>
      </c>
      <c r="B430" s="734" t="e">
        <f aca="false">ati!#ref!</f>
        <v>#NAME?</v>
      </c>
      <c r="C430" s="735" t="s">
        <v>864</v>
      </c>
    </row>
    <row r="431" customFormat="false" ht="14.25" hidden="false" customHeight="false" outlineLevel="0" collapsed="false">
      <c r="A431" s="734" t="s">
        <v>866</v>
      </c>
      <c r="B431" s="734" t="e">
        <f aca="false">ati!#ref!</f>
        <v>#NAME?</v>
      </c>
      <c r="C431" s="735" t="s">
        <v>864</v>
      </c>
    </row>
    <row r="432" customFormat="false" ht="14.25" hidden="false" customHeight="false" outlineLevel="0" collapsed="false">
      <c r="A432" s="734" t="s">
        <v>867</v>
      </c>
      <c r="B432" s="734" t="e">
        <f aca="false">ati!#ref!</f>
        <v>#NAME?</v>
      </c>
      <c r="C432" s="735" t="s">
        <v>864</v>
      </c>
    </row>
    <row r="433" customFormat="false" ht="14.25" hidden="false" customHeight="false" outlineLevel="0" collapsed="false">
      <c r="A433" s="734" t="s">
        <v>868</v>
      </c>
      <c r="B433" s="734" t="n">
        <f aca="false">ATI!F223</f>
        <v>0</v>
      </c>
      <c r="C433" s="735" t="s">
        <v>869</v>
      </c>
    </row>
    <row r="434" customFormat="false" ht="14.25" hidden="false" customHeight="false" outlineLevel="0" collapsed="false">
      <c r="A434" s="734" t="s">
        <v>870</v>
      </c>
      <c r="B434" s="734" t="n">
        <f aca="false">ATI!H223</f>
        <v>0</v>
      </c>
      <c r="C434" s="735" t="s">
        <v>869</v>
      </c>
    </row>
    <row r="435" customFormat="false" ht="14.25" hidden="false" customHeight="false" outlineLevel="0" collapsed="false">
      <c r="A435" s="734" t="s">
        <v>871</v>
      </c>
      <c r="B435" s="734" t="n">
        <f aca="false">ATI!J223</f>
        <v>0</v>
      </c>
      <c r="C435" s="735" t="s">
        <v>869</v>
      </c>
    </row>
    <row r="436" customFormat="false" ht="14.25" hidden="false" customHeight="false" outlineLevel="0" collapsed="false">
      <c r="A436" s="734" t="s">
        <v>872</v>
      </c>
      <c r="B436" s="734" t="n">
        <f aca="false">ATI!L223</f>
        <v>0</v>
      </c>
      <c r="C436" s="735" t="s">
        <v>869</v>
      </c>
    </row>
    <row r="437" customFormat="false" ht="14.25" hidden="false" customHeight="false" outlineLevel="0" collapsed="false">
      <c r="A437" s="734" t="s">
        <v>873</v>
      </c>
      <c r="B437" s="734" t="n">
        <f aca="false">ATI!F224</f>
        <v>0</v>
      </c>
      <c r="C437" s="735" t="s">
        <v>869</v>
      </c>
    </row>
    <row r="438" customFormat="false" ht="14.25" hidden="false" customHeight="false" outlineLevel="0" collapsed="false">
      <c r="A438" s="734" t="s">
        <v>874</v>
      </c>
      <c r="B438" s="734" t="n">
        <f aca="false">ATI!H224</f>
        <v>0</v>
      </c>
      <c r="C438" s="735" t="s">
        <v>869</v>
      </c>
    </row>
    <row r="439" customFormat="false" ht="14.25" hidden="false" customHeight="false" outlineLevel="0" collapsed="false">
      <c r="A439" s="734" t="s">
        <v>875</v>
      </c>
      <c r="B439" s="734" t="n">
        <f aca="false">ATI!J224</f>
        <v>0</v>
      </c>
      <c r="C439" s="735" t="s">
        <v>869</v>
      </c>
    </row>
    <row r="440" customFormat="false" ht="14.25" hidden="false" customHeight="false" outlineLevel="0" collapsed="false">
      <c r="A440" s="734" t="s">
        <v>876</v>
      </c>
      <c r="B440" s="734" t="n">
        <f aca="false">ATI!L224</f>
        <v>0</v>
      </c>
      <c r="C440" s="735" t="s">
        <v>869</v>
      </c>
    </row>
    <row r="441" customFormat="false" ht="14.25" hidden="false" customHeight="false" outlineLevel="0" collapsed="false">
      <c r="A441" s="734" t="s">
        <v>877</v>
      </c>
      <c r="B441" s="734" t="n">
        <f aca="false">ATI!F225</f>
        <v>0</v>
      </c>
      <c r="C441" s="735" t="s">
        <v>869</v>
      </c>
    </row>
    <row r="442" customFormat="false" ht="14.25" hidden="false" customHeight="false" outlineLevel="0" collapsed="false">
      <c r="A442" s="734" t="s">
        <v>878</v>
      </c>
      <c r="B442" s="734" t="n">
        <f aca="false">ATI!H225</f>
        <v>0</v>
      </c>
      <c r="C442" s="735" t="s">
        <v>869</v>
      </c>
    </row>
    <row r="443" customFormat="false" ht="14.25" hidden="false" customHeight="false" outlineLevel="0" collapsed="false">
      <c r="A443" s="734" t="s">
        <v>879</v>
      </c>
      <c r="B443" s="734" t="n">
        <f aca="false">ATI!J225</f>
        <v>0</v>
      </c>
      <c r="C443" s="735" t="s">
        <v>869</v>
      </c>
    </row>
    <row r="444" customFormat="false" ht="14.25" hidden="false" customHeight="false" outlineLevel="0" collapsed="false">
      <c r="A444" s="734" t="s">
        <v>880</v>
      </c>
      <c r="B444" s="734" t="n">
        <f aca="false">ATI!L225</f>
        <v>0</v>
      </c>
      <c r="C444" s="735" t="s">
        <v>869</v>
      </c>
    </row>
    <row r="445" customFormat="false" ht="14.25" hidden="false" customHeight="false" outlineLevel="0" collapsed="false">
      <c r="A445" s="734" t="s">
        <v>881</v>
      </c>
      <c r="B445" s="734" t="n">
        <f aca="false">ATI!F226</f>
        <v>0</v>
      </c>
      <c r="C445" s="735" t="s">
        <v>869</v>
      </c>
    </row>
    <row r="446" customFormat="false" ht="14.25" hidden="false" customHeight="false" outlineLevel="0" collapsed="false">
      <c r="A446" s="734" t="s">
        <v>882</v>
      </c>
      <c r="B446" s="734" t="n">
        <f aca="false">ATI!H226</f>
        <v>0</v>
      </c>
      <c r="C446" s="735" t="s">
        <v>869</v>
      </c>
    </row>
    <row r="447" customFormat="false" ht="14.25" hidden="false" customHeight="false" outlineLevel="0" collapsed="false">
      <c r="A447" s="734" t="s">
        <v>883</v>
      </c>
      <c r="B447" s="734" t="n">
        <f aca="false">ATI!J226</f>
        <v>0</v>
      </c>
      <c r="C447" s="735" t="s">
        <v>869</v>
      </c>
    </row>
    <row r="448" customFormat="false" ht="14.25" hidden="false" customHeight="false" outlineLevel="0" collapsed="false">
      <c r="A448" s="734" t="s">
        <v>884</v>
      </c>
      <c r="B448" s="734" t="n">
        <f aca="false">ATI!L226</f>
        <v>0</v>
      </c>
      <c r="C448" s="735" t="s">
        <v>869</v>
      </c>
    </row>
    <row r="449" customFormat="false" ht="14.25" hidden="false" customHeight="false" outlineLevel="0" collapsed="false">
      <c r="A449" s="734" t="s">
        <v>885</v>
      </c>
      <c r="B449" s="734" t="n">
        <f aca="false">ATI!F227</f>
        <v>0</v>
      </c>
      <c r="C449" s="735" t="s">
        <v>869</v>
      </c>
    </row>
    <row r="450" customFormat="false" ht="14.25" hidden="false" customHeight="false" outlineLevel="0" collapsed="false">
      <c r="A450" s="734" t="s">
        <v>886</v>
      </c>
      <c r="B450" s="734" t="n">
        <f aca="false">ATI!H227</f>
        <v>0</v>
      </c>
      <c r="C450" s="735" t="s">
        <v>869</v>
      </c>
    </row>
    <row r="451" customFormat="false" ht="14.25" hidden="false" customHeight="false" outlineLevel="0" collapsed="false">
      <c r="A451" s="734" t="s">
        <v>887</v>
      </c>
      <c r="B451" s="734" t="n">
        <f aca="false">ATI!J227</f>
        <v>0</v>
      </c>
      <c r="C451" s="735" t="s">
        <v>869</v>
      </c>
    </row>
    <row r="452" customFormat="false" ht="14.25" hidden="false" customHeight="false" outlineLevel="0" collapsed="false">
      <c r="A452" s="734" t="s">
        <v>888</v>
      </c>
      <c r="B452" s="734" t="n">
        <f aca="false">ATI!L227</f>
        <v>0</v>
      </c>
      <c r="C452" s="735" t="s">
        <v>869</v>
      </c>
    </row>
    <row r="453" customFormat="false" ht="14.25" hidden="false" customHeight="false" outlineLevel="0" collapsed="false">
      <c r="A453" s="734" t="s">
        <v>889</v>
      </c>
      <c r="B453" s="734" t="n">
        <f aca="false">ATI!F228</f>
        <v>0</v>
      </c>
      <c r="C453" s="735" t="s">
        <v>869</v>
      </c>
    </row>
    <row r="454" customFormat="false" ht="14.25" hidden="false" customHeight="false" outlineLevel="0" collapsed="false">
      <c r="A454" s="734" t="s">
        <v>890</v>
      </c>
      <c r="B454" s="734" t="n">
        <f aca="false">ATI!H228</f>
        <v>0</v>
      </c>
      <c r="C454" s="735" t="s">
        <v>869</v>
      </c>
    </row>
    <row r="455" customFormat="false" ht="14.25" hidden="false" customHeight="false" outlineLevel="0" collapsed="false">
      <c r="A455" s="734" t="s">
        <v>891</v>
      </c>
      <c r="B455" s="734" t="n">
        <f aca="false">ATI!J228</f>
        <v>0</v>
      </c>
      <c r="C455" s="735" t="s">
        <v>869</v>
      </c>
    </row>
    <row r="456" customFormat="false" ht="14.25" hidden="false" customHeight="false" outlineLevel="0" collapsed="false">
      <c r="A456" s="734" t="s">
        <v>892</v>
      </c>
      <c r="B456" s="734" t="n">
        <f aca="false">ATI!L228</f>
        <v>0</v>
      </c>
      <c r="C456" s="735" t="s">
        <v>869</v>
      </c>
    </row>
    <row r="457" customFormat="false" ht="14.25" hidden="false" customHeight="false" outlineLevel="0" collapsed="false">
      <c r="A457" s="734" t="s">
        <v>893</v>
      </c>
      <c r="B457" s="734" t="n">
        <f aca="false">ATI!F229</f>
        <v>0</v>
      </c>
      <c r="C457" s="735" t="s">
        <v>869</v>
      </c>
    </row>
    <row r="458" customFormat="false" ht="14.25" hidden="false" customHeight="false" outlineLevel="0" collapsed="false">
      <c r="A458" s="734" t="s">
        <v>894</v>
      </c>
      <c r="B458" s="734" t="n">
        <f aca="false">ATI!H229</f>
        <v>0</v>
      </c>
      <c r="C458" s="735" t="s">
        <v>869</v>
      </c>
    </row>
    <row r="459" customFormat="false" ht="14.25" hidden="false" customHeight="false" outlineLevel="0" collapsed="false">
      <c r="A459" s="734" t="s">
        <v>895</v>
      </c>
      <c r="B459" s="734" t="n">
        <f aca="false">ATI!J229</f>
        <v>0</v>
      </c>
      <c r="C459" s="735" t="s">
        <v>869</v>
      </c>
    </row>
    <row r="460" customFormat="false" ht="14.25" hidden="false" customHeight="false" outlineLevel="0" collapsed="false">
      <c r="A460" s="734" t="s">
        <v>896</v>
      </c>
      <c r="B460" s="734" t="n">
        <f aca="false">ATI!L229</f>
        <v>0</v>
      </c>
      <c r="C460" s="735" t="s">
        <v>869</v>
      </c>
    </row>
    <row r="461" customFormat="false" ht="14.25" hidden="false" customHeight="false" outlineLevel="0" collapsed="false">
      <c r="A461" s="734" t="s">
        <v>897</v>
      </c>
      <c r="B461" s="734" t="n">
        <f aca="false">ATI!F236</f>
        <v>0</v>
      </c>
      <c r="C461" s="735" t="s">
        <v>898</v>
      </c>
    </row>
    <row r="462" customFormat="false" ht="14.25" hidden="false" customHeight="false" outlineLevel="0" collapsed="false">
      <c r="A462" s="734" t="s">
        <v>899</v>
      </c>
      <c r="B462" s="734" t="n">
        <f aca="false">ATI!H236</f>
        <v>0</v>
      </c>
      <c r="C462" s="735" t="s">
        <v>898</v>
      </c>
    </row>
    <row r="463" customFormat="false" ht="14.25" hidden="false" customHeight="false" outlineLevel="0" collapsed="false">
      <c r="A463" s="734" t="s">
        <v>900</v>
      </c>
      <c r="B463" s="734" t="n">
        <f aca="false">ATI!J236</f>
        <v>0</v>
      </c>
      <c r="C463" s="735" t="s">
        <v>898</v>
      </c>
    </row>
    <row r="464" customFormat="false" ht="14.25" hidden="false" customHeight="false" outlineLevel="0" collapsed="false">
      <c r="A464" s="734" t="s">
        <v>901</v>
      </c>
      <c r="B464" s="734" t="n">
        <f aca="false">ATI!L236</f>
        <v>0</v>
      </c>
      <c r="C464" s="735" t="s">
        <v>898</v>
      </c>
    </row>
    <row r="465" customFormat="false" ht="14.25" hidden="false" customHeight="false" outlineLevel="0" collapsed="false">
      <c r="A465" s="734" t="s">
        <v>902</v>
      </c>
      <c r="B465" s="734" t="n">
        <f aca="false">ATI!F237</f>
        <v>0</v>
      </c>
      <c r="C465" s="735" t="s">
        <v>898</v>
      </c>
    </row>
    <row r="466" customFormat="false" ht="14.25" hidden="false" customHeight="false" outlineLevel="0" collapsed="false">
      <c r="A466" s="734" t="s">
        <v>903</v>
      </c>
      <c r="B466" s="734" t="n">
        <f aca="false">ATI!H237</f>
        <v>0</v>
      </c>
      <c r="C466" s="735" t="s">
        <v>898</v>
      </c>
    </row>
    <row r="467" customFormat="false" ht="14.25" hidden="false" customHeight="false" outlineLevel="0" collapsed="false">
      <c r="A467" s="734" t="s">
        <v>904</v>
      </c>
      <c r="B467" s="734" t="n">
        <f aca="false">ATI!J237</f>
        <v>0</v>
      </c>
      <c r="C467" s="735" t="s">
        <v>898</v>
      </c>
    </row>
    <row r="468" customFormat="false" ht="14.25" hidden="false" customHeight="false" outlineLevel="0" collapsed="false">
      <c r="A468" s="734" t="s">
        <v>905</v>
      </c>
      <c r="B468" s="734" t="n">
        <f aca="false">ATI!L237</f>
        <v>0</v>
      </c>
      <c r="C468" s="735" t="s">
        <v>898</v>
      </c>
    </row>
    <row r="469" customFormat="false" ht="14.25" hidden="false" customHeight="false" outlineLevel="0" collapsed="false">
      <c r="A469" s="734" t="s">
        <v>906</v>
      </c>
      <c r="B469" s="734" t="n">
        <f aca="false">ATI!F238</f>
        <v>0</v>
      </c>
      <c r="C469" s="735" t="s">
        <v>898</v>
      </c>
    </row>
    <row r="470" customFormat="false" ht="14.25" hidden="false" customHeight="false" outlineLevel="0" collapsed="false">
      <c r="A470" s="734" t="s">
        <v>907</v>
      </c>
      <c r="B470" s="734" t="n">
        <f aca="false">ATI!H238</f>
        <v>0</v>
      </c>
      <c r="C470" s="735" t="s">
        <v>898</v>
      </c>
    </row>
    <row r="471" customFormat="false" ht="14.25" hidden="false" customHeight="false" outlineLevel="0" collapsed="false">
      <c r="A471" s="734" t="s">
        <v>908</v>
      </c>
      <c r="B471" s="734" t="n">
        <f aca="false">ATI!J238</f>
        <v>0</v>
      </c>
      <c r="C471" s="735" t="s">
        <v>898</v>
      </c>
    </row>
    <row r="472" customFormat="false" ht="14.25" hidden="false" customHeight="false" outlineLevel="0" collapsed="false">
      <c r="A472" s="734" t="s">
        <v>909</v>
      </c>
      <c r="B472" s="734" t="n">
        <f aca="false">ATI!L238</f>
        <v>0</v>
      </c>
      <c r="C472" s="735" t="s">
        <v>898</v>
      </c>
    </row>
    <row r="473" customFormat="false" ht="14.25" hidden="false" customHeight="false" outlineLevel="0" collapsed="false">
      <c r="A473" s="734" t="s">
        <v>910</v>
      </c>
      <c r="B473" s="734" t="n">
        <f aca="false">ATI!F239</f>
        <v>0</v>
      </c>
      <c r="C473" s="735" t="s">
        <v>898</v>
      </c>
    </row>
    <row r="474" customFormat="false" ht="14.25" hidden="false" customHeight="false" outlineLevel="0" collapsed="false">
      <c r="A474" s="734" t="s">
        <v>911</v>
      </c>
      <c r="B474" s="734" t="n">
        <f aca="false">ATI!H239</f>
        <v>0</v>
      </c>
      <c r="C474" s="735" t="s">
        <v>898</v>
      </c>
    </row>
    <row r="475" customFormat="false" ht="14.25" hidden="false" customHeight="false" outlineLevel="0" collapsed="false">
      <c r="A475" s="734" t="s">
        <v>912</v>
      </c>
      <c r="B475" s="734" t="n">
        <f aca="false">ATI!J239</f>
        <v>0</v>
      </c>
      <c r="C475" s="735" t="s">
        <v>898</v>
      </c>
    </row>
    <row r="476" customFormat="false" ht="14.25" hidden="false" customHeight="false" outlineLevel="0" collapsed="false">
      <c r="A476" s="734" t="s">
        <v>913</v>
      </c>
      <c r="B476" s="734" t="n">
        <f aca="false">ATI!L239</f>
        <v>0</v>
      </c>
      <c r="C476" s="735" t="s">
        <v>898</v>
      </c>
    </row>
    <row r="477" customFormat="false" ht="14.25" hidden="false" customHeight="false" outlineLevel="0" collapsed="false">
      <c r="A477" s="734" t="s">
        <v>914</v>
      </c>
      <c r="B477" s="734" t="n">
        <f aca="false">ATI!F240</f>
        <v>0</v>
      </c>
      <c r="C477" s="735" t="s">
        <v>898</v>
      </c>
    </row>
    <row r="478" customFormat="false" ht="14.25" hidden="false" customHeight="false" outlineLevel="0" collapsed="false">
      <c r="A478" s="734" t="s">
        <v>915</v>
      </c>
      <c r="B478" s="734" t="n">
        <f aca="false">ATI!H240</f>
        <v>0</v>
      </c>
      <c r="C478" s="735" t="s">
        <v>898</v>
      </c>
    </row>
    <row r="479" customFormat="false" ht="14.25" hidden="false" customHeight="false" outlineLevel="0" collapsed="false">
      <c r="A479" s="734" t="s">
        <v>916</v>
      </c>
      <c r="B479" s="734" t="n">
        <f aca="false">ATI!J240</f>
        <v>0</v>
      </c>
      <c r="C479" s="735" t="s">
        <v>898</v>
      </c>
    </row>
    <row r="480" customFormat="false" ht="14.25" hidden="false" customHeight="false" outlineLevel="0" collapsed="false">
      <c r="A480" s="734" t="s">
        <v>917</v>
      </c>
      <c r="B480" s="734" t="n">
        <f aca="false">ATI!L240</f>
        <v>0</v>
      </c>
      <c r="C480" s="735" t="s">
        <v>898</v>
      </c>
    </row>
    <row r="481" customFormat="false" ht="14.25" hidden="false" customHeight="false" outlineLevel="0" collapsed="false">
      <c r="A481" s="734" t="s">
        <v>918</v>
      </c>
      <c r="B481" s="734" t="n">
        <f aca="false">ATI!F241</f>
        <v>0</v>
      </c>
      <c r="C481" s="735" t="s">
        <v>898</v>
      </c>
    </row>
    <row r="482" customFormat="false" ht="14.25" hidden="false" customHeight="false" outlineLevel="0" collapsed="false">
      <c r="A482" s="734" t="s">
        <v>919</v>
      </c>
      <c r="B482" s="734" t="n">
        <f aca="false">ATI!H241</f>
        <v>0</v>
      </c>
      <c r="C482" s="735" t="s">
        <v>898</v>
      </c>
    </row>
    <row r="483" customFormat="false" ht="14.25" hidden="false" customHeight="false" outlineLevel="0" collapsed="false">
      <c r="A483" s="734" t="s">
        <v>920</v>
      </c>
      <c r="B483" s="734" t="n">
        <f aca="false">ATI!J241</f>
        <v>0</v>
      </c>
      <c r="C483" s="735" t="s">
        <v>898</v>
      </c>
    </row>
    <row r="484" customFormat="false" ht="14.25" hidden="false" customHeight="false" outlineLevel="0" collapsed="false">
      <c r="A484" s="734" t="s">
        <v>921</v>
      </c>
      <c r="B484" s="734" t="n">
        <f aca="false">ATI!L241</f>
        <v>0</v>
      </c>
      <c r="C484" s="735" t="s">
        <v>898</v>
      </c>
    </row>
    <row r="485" customFormat="false" ht="14.25" hidden="false" customHeight="false" outlineLevel="0" collapsed="false">
      <c r="A485" s="734" t="s">
        <v>922</v>
      </c>
      <c r="B485" s="734" t="n">
        <f aca="false">ATI!D248</f>
        <v>0</v>
      </c>
      <c r="C485" s="735" t="n">
        <v>6</v>
      </c>
    </row>
    <row r="486" customFormat="false" ht="14.25" hidden="false" customHeight="false" outlineLevel="0" collapsed="false">
      <c r="A486" s="734" t="s">
        <v>923</v>
      </c>
      <c r="B486" s="734" t="n">
        <f aca="false">ATI!E248</f>
        <v>0</v>
      </c>
      <c r="C486" s="735" t="n">
        <v>6</v>
      </c>
    </row>
    <row r="487" customFormat="false" ht="14.25" hidden="false" customHeight="false" outlineLevel="0" collapsed="false">
      <c r="A487" s="736" t="s">
        <v>924</v>
      </c>
      <c r="B487" s="736" t="n">
        <f aca="false">ATI!G248</f>
        <v>0</v>
      </c>
      <c r="C487" s="737" t="n">
        <v>6</v>
      </c>
    </row>
    <row r="488" customFormat="false" ht="14.25" hidden="false" customHeight="false" outlineLevel="0" collapsed="false">
      <c r="A488" s="736" t="s">
        <v>925</v>
      </c>
      <c r="B488" s="736" t="n">
        <f aca="false">ATI!H248</f>
        <v>0</v>
      </c>
      <c r="C488" s="737" t="n">
        <v>6</v>
      </c>
    </row>
    <row r="489" customFormat="false" ht="14.25" hidden="false" customHeight="false" outlineLevel="0" collapsed="false">
      <c r="A489" s="736" t="s">
        <v>926</v>
      </c>
      <c r="B489" s="736" t="n">
        <f aca="false">ATI!J248</f>
        <v>0</v>
      </c>
      <c r="C489" s="737" t="n">
        <v>6</v>
      </c>
    </row>
    <row r="490" customFormat="false" ht="14.25" hidden="false" customHeight="false" outlineLevel="0" collapsed="false">
      <c r="A490" s="736" t="s">
        <v>927</v>
      </c>
      <c r="B490" s="736" t="n">
        <f aca="false">ATI!K248</f>
        <v>0</v>
      </c>
      <c r="C490" s="737" t="n">
        <v>6</v>
      </c>
    </row>
    <row r="491" customFormat="false" ht="14.25" hidden="false" customHeight="false" outlineLevel="0" collapsed="false">
      <c r="A491" s="734" t="s">
        <v>928</v>
      </c>
      <c r="B491" s="734" t="n">
        <f aca="false">ATI!D249</f>
        <v>0</v>
      </c>
      <c r="C491" s="735" t="n">
        <v>6</v>
      </c>
    </row>
    <row r="492" customFormat="false" ht="14.25" hidden="false" customHeight="false" outlineLevel="0" collapsed="false">
      <c r="A492" s="734" t="s">
        <v>929</v>
      </c>
      <c r="B492" s="734" t="n">
        <f aca="false">ATI!E249</f>
        <v>0</v>
      </c>
      <c r="C492" s="735" t="n">
        <v>6</v>
      </c>
    </row>
    <row r="493" customFormat="false" ht="14.25" hidden="false" customHeight="false" outlineLevel="0" collapsed="false">
      <c r="A493" s="736" t="s">
        <v>930</v>
      </c>
      <c r="B493" s="736" t="n">
        <f aca="false">ATI!G249</f>
        <v>0</v>
      </c>
      <c r="C493" s="737" t="n">
        <v>6</v>
      </c>
    </row>
    <row r="494" customFormat="false" ht="14.25" hidden="false" customHeight="false" outlineLevel="0" collapsed="false">
      <c r="A494" s="736" t="s">
        <v>931</v>
      </c>
      <c r="B494" s="736" t="n">
        <f aca="false">ATI!H249</f>
        <v>0</v>
      </c>
      <c r="C494" s="737" t="n">
        <v>6</v>
      </c>
    </row>
    <row r="495" customFormat="false" ht="14.25" hidden="false" customHeight="false" outlineLevel="0" collapsed="false">
      <c r="A495" s="736" t="s">
        <v>932</v>
      </c>
      <c r="B495" s="736" t="n">
        <f aca="false">ATI!J249</f>
        <v>0</v>
      </c>
      <c r="C495" s="737" t="n">
        <v>6</v>
      </c>
    </row>
    <row r="496" customFormat="false" ht="14.25" hidden="false" customHeight="false" outlineLevel="0" collapsed="false">
      <c r="A496" s="736" t="s">
        <v>933</v>
      </c>
      <c r="B496" s="736" t="n">
        <f aca="false">ATI!K249</f>
        <v>0</v>
      </c>
      <c r="C496" s="737" t="n">
        <v>6</v>
      </c>
    </row>
    <row r="497" customFormat="false" ht="14.25" hidden="false" customHeight="false" outlineLevel="0" collapsed="false">
      <c r="A497" s="734" t="s">
        <v>934</v>
      </c>
      <c r="B497" s="734" t="n">
        <f aca="false">ATI!F257</f>
        <v>0</v>
      </c>
      <c r="C497" s="735" t="s">
        <v>935</v>
      </c>
    </row>
    <row r="498" customFormat="false" ht="14.25" hidden="false" customHeight="false" outlineLevel="0" collapsed="false">
      <c r="A498" s="734" t="s">
        <v>936</v>
      </c>
      <c r="B498" s="734" t="n">
        <f aca="false">ATI!H257</f>
        <v>0</v>
      </c>
      <c r="C498" s="735" t="s">
        <v>935</v>
      </c>
    </row>
    <row r="499" customFormat="false" ht="14.25" hidden="false" customHeight="false" outlineLevel="0" collapsed="false">
      <c r="A499" s="734" t="s">
        <v>937</v>
      </c>
      <c r="B499" s="734" t="n">
        <f aca="false">ATI!J257</f>
        <v>0</v>
      </c>
      <c r="C499" s="735" t="s">
        <v>935</v>
      </c>
    </row>
    <row r="500" customFormat="false" ht="14.25" hidden="false" customHeight="false" outlineLevel="0" collapsed="false">
      <c r="A500" s="734" t="s">
        <v>938</v>
      </c>
      <c r="B500" s="734" t="n">
        <f aca="false">ATI!L257</f>
        <v>0</v>
      </c>
      <c r="C500" s="735" t="s">
        <v>935</v>
      </c>
    </row>
    <row r="501" customFormat="false" ht="14.25" hidden="false" customHeight="false" outlineLevel="0" collapsed="false">
      <c r="A501" s="734" t="s">
        <v>939</v>
      </c>
      <c r="B501" s="734" t="n">
        <f aca="false">ATI!F258</f>
        <v>0</v>
      </c>
      <c r="C501" s="735" t="s">
        <v>935</v>
      </c>
    </row>
    <row r="502" customFormat="false" ht="14.25" hidden="false" customHeight="false" outlineLevel="0" collapsed="false">
      <c r="A502" s="734" t="s">
        <v>940</v>
      </c>
      <c r="B502" s="734" t="n">
        <f aca="false">ATI!H258</f>
        <v>0</v>
      </c>
      <c r="C502" s="735" t="s">
        <v>935</v>
      </c>
    </row>
    <row r="503" customFormat="false" ht="14.25" hidden="false" customHeight="false" outlineLevel="0" collapsed="false">
      <c r="A503" s="734" t="s">
        <v>941</v>
      </c>
      <c r="B503" s="734" t="n">
        <f aca="false">ATI!J258</f>
        <v>0</v>
      </c>
      <c r="C503" s="735" t="s">
        <v>935</v>
      </c>
    </row>
    <row r="504" customFormat="false" ht="14.25" hidden="false" customHeight="false" outlineLevel="0" collapsed="false">
      <c r="A504" s="734" t="s">
        <v>942</v>
      </c>
      <c r="B504" s="734" t="n">
        <f aca="false">ATI!L258</f>
        <v>0</v>
      </c>
      <c r="C504" s="735" t="s">
        <v>935</v>
      </c>
    </row>
    <row r="505" customFormat="false" ht="14.25" hidden="false" customHeight="false" outlineLevel="0" collapsed="false">
      <c r="A505" s="734" t="s">
        <v>943</v>
      </c>
      <c r="B505" s="734" t="n">
        <f aca="false">ATI!F260</f>
        <v>0</v>
      </c>
      <c r="C505" s="735" t="s">
        <v>935</v>
      </c>
    </row>
    <row r="506" customFormat="false" ht="14.25" hidden="false" customHeight="false" outlineLevel="0" collapsed="false">
      <c r="A506" s="734" t="s">
        <v>944</v>
      </c>
      <c r="B506" s="734" t="n">
        <f aca="false">ATI!H260</f>
        <v>0</v>
      </c>
      <c r="C506" s="735" t="s">
        <v>935</v>
      </c>
    </row>
    <row r="507" customFormat="false" ht="14.25" hidden="false" customHeight="false" outlineLevel="0" collapsed="false">
      <c r="A507" s="734" t="s">
        <v>945</v>
      </c>
      <c r="B507" s="734" t="n">
        <f aca="false">ATI!J260</f>
        <v>0</v>
      </c>
      <c r="C507" s="735" t="s">
        <v>935</v>
      </c>
    </row>
    <row r="508" customFormat="false" ht="14.25" hidden="false" customHeight="false" outlineLevel="0" collapsed="false">
      <c r="A508" s="734" t="s">
        <v>946</v>
      </c>
      <c r="B508" s="734" t="n">
        <f aca="false">ATI!L260</f>
        <v>0</v>
      </c>
      <c r="C508" s="735" t="s">
        <v>935</v>
      </c>
    </row>
    <row r="509" customFormat="false" ht="14.25" hidden="false" customHeight="false" outlineLevel="0" collapsed="false">
      <c r="A509" s="736" t="s">
        <v>947</v>
      </c>
      <c r="B509" s="736" t="n">
        <f aca="false">ATI!F261</f>
        <v>0</v>
      </c>
      <c r="C509" s="737" t="s">
        <v>935</v>
      </c>
    </row>
    <row r="510" customFormat="false" ht="14.25" hidden="false" customHeight="false" outlineLevel="0" collapsed="false">
      <c r="A510" s="736" t="s">
        <v>948</v>
      </c>
      <c r="B510" s="736" t="n">
        <f aca="false">ATI!H261</f>
        <v>0</v>
      </c>
      <c r="C510" s="737" t="s">
        <v>935</v>
      </c>
    </row>
    <row r="511" customFormat="false" ht="14.25" hidden="false" customHeight="false" outlineLevel="0" collapsed="false">
      <c r="A511" s="736" t="s">
        <v>949</v>
      </c>
      <c r="B511" s="736" t="n">
        <f aca="false">ATI!J261</f>
        <v>0</v>
      </c>
      <c r="C511" s="737" t="s">
        <v>935</v>
      </c>
    </row>
    <row r="512" customFormat="false" ht="14.25" hidden="false" customHeight="false" outlineLevel="0" collapsed="false">
      <c r="A512" s="736" t="s">
        <v>950</v>
      </c>
      <c r="B512" s="736" t="n">
        <f aca="false">ATI!L261</f>
        <v>0</v>
      </c>
      <c r="C512" s="737" t="s">
        <v>935</v>
      </c>
    </row>
    <row r="513" customFormat="false" ht="14.25" hidden="false" customHeight="false" outlineLevel="0" collapsed="false">
      <c r="A513" s="736" t="s">
        <v>951</v>
      </c>
      <c r="B513" s="736" t="n">
        <f aca="false">ATI!F262</f>
        <v>0</v>
      </c>
      <c r="C513" s="737" t="s">
        <v>935</v>
      </c>
    </row>
    <row r="514" customFormat="false" ht="14.25" hidden="false" customHeight="false" outlineLevel="0" collapsed="false">
      <c r="A514" s="736" t="s">
        <v>952</v>
      </c>
      <c r="B514" s="736" t="n">
        <f aca="false">ATI!H262</f>
        <v>0</v>
      </c>
      <c r="C514" s="737" t="s">
        <v>935</v>
      </c>
    </row>
    <row r="515" customFormat="false" ht="14.25" hidden="false" customHeight="false" outlineLevel="0" collapsed="false">
      <c r="A515" s="736" t="s">
        <v>953</v>
      </c>
      <c r="B515" s="736" t="n">
        <f aca="false">ATI!J262</f>
        <v>0</v>
      </c>
      <c r="C515" s="737" t="s">
        <v>935</v>
      </c>
    </row>
    <row r="516" customFormat="false" ht="14.25" hidden="false" customHeight="false" outlineLevel="0" collapsed="false">
      <c r="A516" s="736" t="s">
        <v>954</v>
      </c>
      <c r="B516" s="736" t="n">
        <f aca="false">ATI!L262</f>
        <v>0</v>
      </c>
      <c r="C516" s="737" t="s">
        <v>935</v>
      </c>
    </row>
    <row r="517" customFormat="false" ht="14.25" hidden="false" customHeight="false" outlineLevel="0" collapsed="false">
      <c r="A517" s="734" t="s">
        <v>955</v>
      </c>
      <c r="B517" s="734" t="n">
        <f aca="false">ATI!F268</f>
        <v>0</v>
      </c>
      <c r="C517" s="735" t="s">
        <v>956</v>
      </c>
    </row>
    <row r="518" customFormat="false" ht="14.25" hidden="false" customHeight="false" outlineLevel="0" collapsed="false">
      <c r="A518" s="734" t="s">
        <v>957</v>
      </c>
      <c r="B518" s="734" t="n">
        <f aca="false">ATI!G268</f>
        <v>0</v>
      </c>
      <c r="C518" s="735" t="s">
        <v>956</v>
      </c>
    </row>
    <row r="519" customFormat="false" ht="14.25" hidden="false" customHeight="false" outlineLevel="0" collapsed="false">
      <c r="A519" s="734" t="s">
        <v>958</v>
      </c>
      <c r="B519" s="734" t="n">
        <f aca="false">ATI!H268</f>
        <v>0</v>
      </c>
      <c r="C519" s="735" t="s">
        <v>956</v>
      </c>
    </row>
    <row r="520" customFormat="false" ht="14.25" hidden="false" customHeight="false" outlineLevel="0" collapsed="false">
      <c r="A520" s="734" t="s">
        <v>959</v>
      </c>
      <c r="B520" s="734" t="n">
        <f aca="false">ATI!I268</f>
        <v>0</v>
      </c>
      <c r="C520" s="735" t="s">
        <v>956</v>
      </c>
    </row>
    <row r="521" customFormat="false" ht="14.25" hidden="false" customHeight="false" outlineLevel="0" collapsed="false">
      <c r="A521" s="734" t="s">
        <v>960</v>
      </c>
      <c r="B521" s="734" t="n">
        <f aca="false">ATI!J268</f>
        <v>0</v>
      </c>
      <c r="C521" s="735" t="s">
        <v>956</v>
      </c>
    </row>
    <row r="522" customFormat="false" ht="14.25" hidden="false" customHeight="false" outlineLevel="0" collapsed="false">
      <c r="A522" s="734" t="s">
        <v>961</v>
      </c>
      <c r="B522" s="734" t="n">
        <f aca="false">ATI!K268</f>
        <v>0</v>
      </c>
      <c r="C522" s="735" t="s">
        <v>956</v>
      </c>
    </row>
    <row r="523" customFormat="false" ht="14.25" hidden="false" customHeight="false" outlineLevel="0" collapsed="false">
      <c r="A523" s="734" t="s">
        <v>962</v>
      </c>
      <c r="B523" s="734" t="n">
        <f aca="false">ATI!L268</f>
        <v>0</v>
      </c>
      <c r="C523" s="735" t="s">
        <v>956</v>
      </c>
    </row>
    <row r="524" customFormat="false" ht="14.25" hidden="false" customHeight="false" outlineLevel="0" collapsed="false">
      <c r="A524" s="734" t="s">
        <v>963</v>
      </c>
      <c r="B524" s="734" t="n">
        <f aca="false">ATI!F269</f>
        <v>0</v>
      </c>
      <c r="C524" s="735" t="s">
        <v>956</v>
      </c>
    </row>
    <row r="525" customFormat="false" ht="14.25" hidden="false" customHeight="false" outlineLevel="0" collapsed="false">
      <c r="A525" s="734" t="s">
        <v>964</v>
      </c>
      <c r="B525" s="734" t="n">
        <f aca="false">ATI!G269</f>
        <v>0</v>
      </c>
      <c r="C525" s="735" t="s">
        <v>956</v>
      </c>
    </row>
    <row r="526" customFormat="false" ht="14.25" hidden="false" customHeight="false" outlineLevel="0" collapsed="false">
      <c r="A526" s="734" t="s">
        <v>965</v>
      </c>
      <c r="B526" s="734" t="n">
        <f aca="false">ATI!H269</f>
        <v>0</v>
      </c>
      <c r="C526" s="735" t="s">
        <v>956</v>
      </c>
    </row>
    <row r="527" customFormat="false" ht="14.25" hidden="false" customHeight="false" outlineLevel="0" collapsed="false">
      <c r="A527" s="734" t="s">
        <v>966</v>
      </c>
      <c r="B527" s="734" t="n">
        <f aca="false">ATI!I269</f>
        <v>0</v>
      </c>
      <c r="C527" s="735" t="s">
        <v>956</v>
      </c>
    </row>
    <row r="528" customFormat="false" ht="14.25" hidden="false" customHeight="false" outlineLevel="0" collapsed="false">
      <c r="A528" s="734" t="s">
        <v>967</v>
      </c>
      <c r="B528" s="734" t="n">
        <f aca="false">ATI!J269</f>
        <v>0</v>
      </c>
      <c r="C528" s="735" t="s">
        <v>956</v>
      </c>
    </row>
    <row r="529" customFormat="false" ht="14.25" hidden="false" customHeight="false" outlineLevel="0" collapsed="false">
      <c r="A529" s="734" t="s">
        <v>968</v>
      </c>
      <c r="B529" s="734" t="n">
        <f aca="false">ATI!K269</f>
        <v>0</v>
      </c>
      <c r="C529" s="735" t="s">
        <v>956</v>
      </c>
    </row>
    <row r="530" customFormat="false" ht="14.25" hidden="false" customHeight="false" outlineLevel="0" collapsed="false">
      <c r="A530" s="734" t="s">
        <v>969</v>
      </c>
      <c r="B530" s="734" t="n">
        <f aca="false">ATI!L269</f>
        <v>0</v>
      </c>
      <c r="C530" s="735" t="s">
        <v>956</v>
      </c>
    </row>
    <row r="531" customFormat="false" ht="14.25" hidden="false" customHeight="false" outlineLevel="0" collapsed="false">
      <c r="A531" s="734" t="s">
        <v>970</v>
      </c>
      <c r="B531" s="734" t="n">
        <f aca="false">ATI!F270</f>
        <v>0</v>
      </c>
      <c r="C531" s="735" t="s">
        <v>956</v>
      </c>
    </row>
    <row r="532" customFormat="false" ht="14.25" hidden="false" customHeight="false" outlineLevel="0" collapsed="false">
      <c r="A532" s="734" t="s">
        <v>971</v>
      </c>
      <c r="B532" s="734" t="n">
        <f aca="false">ATI!G270</f>
        <v>0</v>
      </c>
      <c r="C532" s="735" t="s">
        <v>956</v>
      </c>
    </row>
    <row r="533" customFormat="false" ht="14.25" hidden="false" customHeight="false" outlineLevel="0" collapsed="false">
      <c r="A533" s="734" t="s">
        <v>972</v>
      </c>
      <c r="B533" s="734" t="n">
        <f aca="false">ATI!H270</f>
        <v>0</v>
      </c>
      <c r="C533" s="735" t="s">
        <v>956</v>
      </c>
    </row>
    <row r="534" customFormat="false" ht="14.25" hidden="false" customHeight="false" outlineLevel="0" collapsed="false">
      <c r="A534" s="734" t="s">
        <v>973</v>
      </c>
      <c r="B534" s="734" t="n">
        <f aca="false">ATI!I270</f>
        <v>0</v>
      </c>
      <c r="C534" s="735" t="s">
        <v>956</v>
      </c>
    </row>
    <row r="535" customFormat="false" ht="14.25" hidden="false" customHeight="false" outlineLevel="0" collapsed="false">
      <c r="A535" s="734" t="s">
        <v>974</v>
      </c>
      <c r="B535" s="734" t="n">
        <f aca="false">ATI!J270</f>
        <v>0</v>
      </c>
      <c r="C535" s="735" t="s">
        <v>956</v>
      </c>
    </row>
    <row r="536" customFormat="false" ht="14.25" hidden="false" customHeight="false" outlineLevel="0" collapsed="false">
      <c r="A536" s="734" t="s">
        <v>975</v>
      </c>
      <c r="B536" s="734" t="n">
        <f aca="false">ATI!K270</f>
        <v>0</v>
      </c>
      <c r="C536" s="735" t="s">
        <v>956</v>
      </c>
    </row>
    <row r="537" customFormat="false" ht="14.25" hidden="false" customHeight="false" outlineLevel="0" collapsed="false">
      <c r="A537" s="734" t="s">
        <v>976</v>
      </c>
      <c r="B537" s="734" t="n">
        <f aca="false">ATI!L270</f>
        <v>0</v>
      </c>
      <c r="C537" s="735" t="s">
        <v>956</v>
      </c>
    </row>
    <row r="538" customFormat="false" ht="14.25" hidden="false" customHeight="false" outlineLevel="0" collapsed="false">
      <c r="A538" s="734" t="s">
        <v>977</v>
      </c>
      <c r="B538" s="734" t="n">
        <f aca="false">ATI!F271</f>
        <v>0</v>
      </c>
      <c r="C538" s="735" t="s">
        <v>956</v>
      </c>
    </row>
    <row r="539" customFormat="false" ht="14.25" hidden="false" customHeight="false" outlineLevel="0" collapsed="false">
      <c r="A539" s="734" t="s">
        <v>978</v>
      </c>
      <c r="B539" s="734" t="n">
        <f aca="false">ATI!G271</f>
        <v>0</v>
      </c>
      <c r="C539" s="735" t="s">
        <v>956</v>
      </c>
    </row>
    <row r="540" customFormat="false" ht="14.25" hidden="false" customHeight="false" outlineLevel="0" collapsed="false">
      <c r="A540" s="734" t="s">
        <v>979</v>
      </c>
      <c r="B540" s="734" t="n">
        <f aca="false">ATI!H271</f>
        <v>0</v>
      </c>
      <c r="C540" s="735" t="s">
        <v>956</v>
      </c>
    </row>
    <row r="541" customFormat="false" ht="14.25" hidden="false" customHeight="false" outlineLevel="0" collapsed="false">
      <c r="A541" s="734" t="s">
        <v>980</v>
      </c>
      <c r="B541" s="734" t="n">
        <f aca="false">ATI!I271</f>
        <v>0</v>
      </c>
      <c r="C541" s="735" t="s">
        <v>956</v>
      </c>
    </row>
    <row r="542" customFormat="false" ht="14.25" hidden="false" customHeight="false" outlineLevel="0" collapsed="false">
      <c r="A542" s="734" t="s">
        <v>981</v>
      </c>
      <c r="B542" s="734" t="n">
        <f aca="false">ATI!J271</f>
        <v>0</v>
      </c>
      <c r="C542" s="735" t="s">
        <v>956</v>
      </c>
    </row>
    <row r="543" customFormat="false" ht="14.25" hidden="false" customHeight="false" outlineLevel="0" collapsed="false">
      <c r="A543" s="734" t="s">
        <v>982</v>
      </c>
      <c r="B543" s="734" t="n">
        <f aca="false">ATI!K271</f>
        <v>0</v>
      </c>
      <c r="C543" s="735" t="s">
        <v>956</v>
      </c>
    </row>
    <row r="544" customFormat="false" ht="14.25" hidden="false" customHeight="false" outlineLevel="0" collapsed="false">
      <c r="A544" s="734" t="s">
        <v>983</v>
      </c>
      <c r="B544" s="734" t="n">
        <f aca="false">ATI!L271</f>
        <v>0</v>
      </c>
      <c r="C544" s="735" t="s">
        <v>956</v>
      </c>
    </row>
    <row r="545" customFormat="false" ht="14.25" hidden="false" customHeight="false" outlineLevel="0" collapsed="false">
      <c r="A545" s="734" t="s">
        <v>984</v>
      </c>
      <c r="B545" s="734" t="n">
        <f aca="false">ATI!F272</f>
        <v>0</v>
      </c>
      <c r="C545" s="735" t="s">
        <v>956</v>
      </c>
    </row>
    <row r="546" customFormat="false" ht="14.25" hidden="false" customHeight="false" outlineLevel="0" collapsed="false">
      <c r="A546" s="734" t="s">
        <v>985</v>
      </c>
      <c r="B546" s="734" t="n">
        <f aca="false">ATI!G272</f>
        <v>0</v>
      </c>
      <c r="C546" s="735" t="s">
        <v>956</v>
      </c>
    </row>
    <row r="547" customFormat="false" ht="14.25" hidden="false" customHeight="false" outlineLevel="0" collapsed="false">
      <c r="A547" s="734" t="s">
        <v>986</v>
      </c>
      <c r="B547" s="734" t="n">
        <f aca="false">ATI!H272</f>
        <v>0</v>
      </c>
      <c r="C547" s="735" t="s">
        <v>956</v>
      </c>
    </row>
    <row r="548" customFormat="false" ht="14.25" hidden="false" customHeight="false" outlineLevel="0" collapsed="false">
      <c r="A548" s="734" t="s">
        <v>987</v>
      </c>
      <c r="B548" s="734" t="n">
        <f aca="false">ATI!I272</f>
        <v>0</v>
      </c>
      <c r="C548" s="735" t="s">
        <v>956</v>
      </c>
    </row>
    <row r="549" customFormat="false" ht="14.25" hidden="false" customHeight="false" outlineLevel="0" collapsed="false">
      <c r="A549" s="734" t="s">
        <v>988</v>
      </c>
      <c r="B549" s="734" t="n">
        <f aca="false">ATI!J272</f>
        <v>0</v>
      </c>
      <c r="C549" s="735" t="s">
        <v>956</v>
      </c>
    </row>
    <row r="550" customFormat="false" ht="14.25" hidden="false" customHeight="false" outlineLevel="0" collapsed="false">
      <c r="A550" s="734" t="s">
        <v>989</v>
      </c>
      <c r="B550" s="734" t="n">
        <f aca="false">ATI!K272</f>
        <v>0</v>
      </c>
      <c r="C550" s="735" t="s">
        <v>956</v>
      </c>
    </row>
    <row r="551" customFormat="false" ht="14.25" hidden="false" customHeight="false" outlineLevel="0" collapsed="false">
      <c r="A551" s="734" t="s">
        <v>990</v>
      </c>
      <c r="B551" s="734" t="n">
        <f aca="false">ATI!L272</f>
        <v>0</v>
      </c>
      <c r="C551" s="735" t="s">
        <v>956</v>
      </c>
    </row>
    <row r="552" customFormat="false" ht="14.25" hidden="false" customHeight="false" outlineLevel="0" collapsed="false">
      <c r="A552" s="734" t="s">
        <v>991</v>
      </c>
      <c r="B552" s="734" t="n">
        <f aca="false">ATI!F273</f>
        <v>0</v>
      </c>
      <c r="C552" s="735" t="s">
        <v>956</v>
      </c>
    </row>
    <row r="553" customFormat="false" ht="14.25" hidden="false" customHeight="false" outlineLevel="0" collapsed="false">
      <c r="A553" s="734" t="s">
        <v>992</v>
      </c>
      <c r="B553" s="734" t="n">
        <f aca="false">ATI!G273</f>
        <v>0</v>
      </c>
      <c r="C553" s="735" t="s">
        <v>956</v>
      </c>
    </row>
    <row r="554" customFormat="false" ht="14.25" hidden="false" customHeight="false" outlineLevel="0" collapsed="false">
      <c r="A554" s="734" t="s">
        <v>993</v>
      </c>
      <c r="B554" s="734" t="n">
        <f aca="false">ATI!H273</f>
        <v>0</v>
      </c>
      <c r="C554" s="735" t="s">
        <v>956</v>
      </c>
    </row>
    <row r="555" customFormat="false" ht="14.25" hidden="false" customHeight="false" outlineLevel="0" collapsed="false">
      <c r="A555" s="734" t="s">
        <v>994</v>
      </c>
      <c r="B555" s="734" t="n">
        <f aca="false">ATI!I273</f>
        <v>0</v>
      </c>
      <c r="C555" s="735" t="s">
        <v>956</v>
      </c>
    </row>
    <row r="556" customFormat="false" ht="14.25" hidden="false" customHeight="false" outlineLevel="0" collapsed="false">
      <c r="A556" s="734" t="s">
        <v>995</v>
      </c>
      <c r="B556" s="734" t="n">
        <f aca="false">ATI!J273</f>
        <v>0</v>
      </c>
      <c r="C556" s="735" t="s">
        <v>956</v>
      </c>
    </row>
    <row r="557" customFormat="false" ht="14.25" hidden="false" customHeight="false" outlineLevel="0" collapsed="false">
      <c r="A557" s="734" t="s">
        <v>996</v>
      </c>
      <c r="B557" s="734" t="n">
        <f aca="false">ATI!K273</f>
        <v>0</v>
      </c>
      <c r="C557" s="735" t="s">
        <v>956</v>
      </c>
    </row>
    <row r="558" customFormat="false" ht="14.25" hidden="false" customHeight="false" outlineLevel="0" collapsed="false">
      <c r="A558" s="734" t="s">
        <v>997</v>
      </c>
      <c r="B558" s="734" t="n">
        <f aca="false">ATI!L273</f>
        <v>0</v>
      </c>
      <c r="C558" s="735" t="s">
        <v>956</v>
      </c>
    </row>
    <row r="559" customFormat="false" ht="14.25" hidden="false" customHeight="false" outlineLevel="0" collapsed="false">
      <c r="A559" s="734" t="s">
        <v>998</v>
      </c>
      <c r="B559" s="734" t="n">
        <f aca="false">ATI!F280</f>
        <v>0</v>
      </c>
      <c r="C559" s="735" t="s">
        <v>999</v>
      </c>
    </row>
    <row r="560" customFormat="false" ht="14.25" hidden="false" customHeight="false" outlineLevel="0" collapsed="false">
      <c r="A560" s="734" t="s">
        <v>1000</v>
      </c>
      <c r="B560" s="734" t="n">
        <f aca="false">ATI!G280</f>
        <v>0</v>
      </c>
      <c r="C560" s="735" t="s">
        <v>999</v>
      </c>
    </row>
    <row r="561" customFormat="false" ht="14.25" hidden="false" customHeight="false" outlineLevel="0" collapsed="false">
      <c r="A561" s="734" t="s">
        <v>1001</v>
      </c>
      <c r="B561" s="734" t="n">
        <f aca="false">ATI!H280</f>
        <v>0</v>
      </c>
      <c r="C561" s="735" t="s">
        <v>999</v>
      </c>
    </row>
    <row r="562" customFormat="false" ht="14.25" hidden="false" customHeight="false" outlineLevel="0" collapsed="false">
      <c r="A562" s="734" t="s">
        <v>1002</v>
      </c>
      <c r="B562" s="734" t="n">
        <f aca="false">ATI!I280</f>
        <v>0</v>
      </c>
      <c r="C562" s="735" t="s">
        <v>999</v>
      </c>
    </row>
    <row r="563" customFormat="false" ht="14.25" hidden="false" customHeight="false" outlineLevel="0" collapsed="false">
      <c r="A563" s="734" t="s">
        <v>1003</v>
      </c>
      <c r="B563" s="734" t="n">
        <f aca="false">ATI!J280</f>
        <v>0</v>
      </c>
      <c r="C563" s="735" t="s">
        <v>999</v>
      </c>
    </row>
    <row r="564" customFormat="false" ht="14.25" hidden="false" customHeight="false" outlineLevel="0" collapsed="false">
      <c r="A564" s="734" t="s">
        <v>1004</v>
      </c>
      <c r="B564" s="734" t="n">
        <f aca="false">ATI!K280</f>
        <v>0</v>
      </c>
      <c r="C564" s="735" t="s">
        <v>999</v>
      </c>
    </row>
    <row r="565" customFormat="false" ht="14.25" hidden="false" customHeight="false" outlineLevel="0" collapsed="false">
      <c r="A565" s="734" t="s">
        <v>1005</v>
      </c>
      <c r="B565" s="734" t="n">
        <f aca="false">ATI!L280</f>
        <v>0</v>
      </c>
      <c r="C565" s="735" t="s">
        <v>999</v>
      </c>
    </row>
    <row r="566" customFormat="false" ht="14.25" hidden="false" customHeight="false" outlineLevel="0" collapsed="false">
      <c r="A566" s="734" t="s">
        <v>1006</v>
      </c>
      <c r="B566" s="734" t="n">
        <f aca="false">ATI!F281</f>
        <v>0</v>
      </c>
      <c r="C566" s="735" t="s">
        <v>999</v>
      </c>
    </row>
    <row r="567" customFormat="false" ht="14.25" hidden="false" customHeight="false" outlineLevel="0" collapsed="false">
      <c r="A567" s="734" t="s">
        <v>1007</v>
      </c>
      <c r="B567" s="734" t="n">
        <f aca="false">ATI!G281</f>
        <v>0</v>
      </c>
      <c r="C567" s="735" t="s">
        <v>999</v>
      </c>
    </row>
    <row r="568" customFormat="false" ht="14.25" hidden="false" customHeight="false" outlineLevel="0" collapsed="false">
      <c r="A568" s="734" t="s">
        <v>1008</v>
      </c>
      <c r="B568" s="734" t="n">
        <f aca="false">ATI!H281</f>
        <v>0</v>
      </c>
      <c r="C568" s="735" t="s">
        <v>999</v>
      </c>
    </row>
    <row r="569" customFormat="false" ht="14.25" hidden="false" customHeight="false" outlineLevel="0" collapsed="false">
      <c r="A569" s="734" t="s">
        <v>1009</v>
      </c>
      <c r="B569" s="734" t="n">
        <f aca="false">ATI!I281</f>
        <v>0</v>
      </c>
      <c r="C569" s="735" t="s">
        <v>999</v>
      </c>
    </row>
    <row r="570" customFormat="false" ht="14.25" hidden="false" customHeight="false" outlineLevel="0" collapsed="false">
      <c r="A570" s="734" t="s">
        <v>1010</v>
      </c>
      <c r="B570" s="734" t="n">
        <f aca="false">ATI!J281</f>
        <v>0</v>
      </c>
      <c r="C570" s="735" t="s">
        <v>999</v>
      </c>
    </row>
    <row r="571" customFormat="false" ht="14.25" hidden="false" customHeight="false" outlineLevel="0" collapsed="false">
      <c r="A571" s="734" t="s">
        <v>1011</v>
      </c>
      <c r="B571" s="734" t="n">
        <f aca="false">ATI!K281</f>
        <v>0</v>
      </c>
      <c r="C571" s="735" t="s">
        <v>999</v>
      </c>
    </row>
    <row r="572" customFormat="false" ht="14.25" hidden="false" customHeight="false" outlineLevel="0" collapsed="false">
      <c r="A572" s="734" t="s">
        <v>1012</v>
      </c>
      <c r="B572" s="734" t="n">
        <f aca="false">ATI!L281</f>
        <v>0</v>
      </c>
      <c r="C572" s="735" t="s">
        <v>999</v>
      </c>
    </row>
    <row r="573" customFormat="false" ht="14.25" hidden="false" customHeight="false" outlineLevel="0" collapsed="false">
      <c r="A573" s="734" t="s">
        <v>1013</v>
      </c>
      <c r="B573" s="734" t="n">
        <f aca="false">ATI!F282</f>
        <v>0</v>
      </c>
      <c r="C573" s="735" t="s">
        <v>999</v>
      </c>
    </row>
    <row r="574" customFormat="false" ht="14.25" hidden="false" customHeight="false" outlineLevel="0" collapsed="false">
      <c r="A574" s="734" t="s">
        <v>1014</v>
      </c>
      <c r="B574" s="734" t="n">
        <f aca="false">ATI!G282</f>
        <v>0</v>
      </c>
      <c r="C574" s="735" t="s">
        <v>999</v>
      </c>
    </row>
    <row r="575" customFormat="false" ht="14.25" hidden="false" customHeight="false" outlineLevel="0" collapsed="false">
      <c r="A575" s="734" t="s">
        <v>1015</v>
      </c>
      <c r="B575" s="734" t="n">
        <f aca="false">ATI!H282</f>
        <v>0</v>
      </c>
      <c r="C575" s="735" t="s">
        <v>999</v>
      </c>
    </row>
    <row r="576" customFormat="false" ht="14.25" hidden="false" customHeight="false" outlineLevel="0" collapsed="false">
      <c r="A576" s="734" t="s">
        <v>1016</v>
      </c>
      <c r="B576" s="734" t="n">
        <f aca="false">ATI!I282</f>
        <v>0</v>
      </c>
      <c r="C576" s="735" t="s">
        <v>999</v>
      </c>
    </row>
    <row r="577" customFormat="false" ht="14.25" hidden="false" customHeight="false" outlineLevel="0" collapsed="false">
      <c r="A577" s="734" t="s">
        <v>1017</v>
      </c>
      <c r="B577" s="734" t="n">
        <f aca="false">ATI!J282</f>
        <v>0</v>
      </c>
      <c r="C577" s="735" t="s">
        <v>999</v>
      </c>
    </row>
    <row r="578" customFormat="false" ht="14.25" hidden="false" customHeight="false" outlineLevel="0" collapsed="false">
      <c r="A578" s="734" t="s">
        <v>1018</v>
      </c>
      <c r="B578" s="734" t="n">
        <f aca="false">ATI!K282</f>
        <v>0</v>
      </c>
      <c r="C578" s="735" t="s">
        <v>999</v>
      </c>
    </row>
    <row r="579" customFormat="false" ht="14.25" hidden="false" customHeight="false" outlineLevel="0" collapsed="false">
      <c r="A579" s="734" t="s">
        <v>1019</v>
      </c>
      <c r="B579" s="734" t="n">
        <f aca="false">ATI!L282</f>
        <v>0</v>
      </c>
      <c r="C579" s="735" t="s">
        <v>999</v>
      </c>
    </row>
    <row r="580" customFormat="false" ht="14.25" hidden="false" customHeight="false" outlineLevel="0" collapsed="false">
      <c r="A580" s="734" t="s">
        <v>1020</v>
      </c>
      <c r="B580" s="734" t="n">
        <f aca="false">ATI!F283</f>
        <v>0</v>
      </c>
      <c r="C580" s="735" t="s">
        <v>999</v>
      </c>
    </row>
    <row r="581" customFormat="false" ht="14.25" hidden="false" customHeight="false" outlineLevel="0" collapsed="false">
      <c r="A581" s="734" t="s">
        <v>1021</v>
      </c>
      <c r="B581" s="734" t="n">
        <f aca="false">ATI!G283</f>
        <v>0</v>
      </c>
      <c r="C581" s="735" t="s">
        <v>999</v>
      </c>
    </row>
    <row r="582" customFormat="false" ht="14.25" hidden="false" customHeight="false" outlineLevel="0" collapsed="false">
      <c r="A582" s="734" t="s">
        <v>1022</v>
      </c>
      <c r="B582" s="734" t="n">
        <f aca="false">ATI!H283</f>
        <v>0</v>
      </c>
      <c r="C582" s="735" t="s">
        <v>999</v>
      </c>
    </row>
    <row r="583" customFormat="false" ht="14.25" hidden="false" customHeight="false" outlineLevel="0" collapsed="false">
      <c r="A583" s="734" t="s">
        <v>1023</v>
      </c>
      <c r="B583" s="734" t="n">
        <f aca="false">ATI!I283</f>
        <v>0</v>
      </c>
      <c r="C583" s="735" t="s">
        <v>999</v>
      </c>
    </row>
    <row r="584" customFormat="false" ht="14.25" hidden="false" customHeight="false" outlineLevel="0" collapsed="false">
      <c r="A584" s="734" t="s">
        <v>1024</v>
      </c>
      <c r="B584" s="734" t="n">
        <f aca="false">ATI!J283</f>
        <v>0</v>
      </c>
      <c r="C584" s="735" t="s">
        <v>999</v>
      </c>
    </row>
    <row r="585" customFormat="false" ht="14.25" hidden="false" customHeight="false" outlineLevel="0" collapsed="false">
      <c r="A585" s="734" t="s">
        <v>1025</v>
      </c>
      <c r="B585" s="734" t="n">
        <f aca="false">ATI!K283</f>
        <v>0</v>
      </c>
      <c r="C585" s="735" t="s">
        <v>999</v>
      </c>
    </row>
    <row r="586" customFormat="false" ht="14.25" hidden="false" customHeight="false" outlineLevel="0" collapsed="false">
      <c r="A586" s="734" t="s">
        <v>1026</v>
      </c>
      <c r="B586" s="734" t="n">
        <f aca="false">ATI!L283</f>
        <v>0</v>
      </c>
      <c r="C586" s="735" t="s">
        <v>999</v>
      </c>
    </row>
    <row r="587" customFormat="false" ht="14.25" hidden="false" customHeight="false" outlineLevel="0" collapsed="false">
      <c r="A587" s="734" t="s">
        <v>1027</v>
      </c>
      <c r="B587" s="734" t="n">
        <f aca="false">ATI!F284</f>
        <v>0</v>
      </c>
      <c r="C587" s="735" t="s">
        <v>999</v>
      </c>
    </row>
    <row r="588" customFormat="false" ht="14.25" hidden="false" customHeight="false" outlineLevel="0" collapsed="false">
      <c r="A588" s="734" t="s">
        <v>1028</v>
      </c>
      <c r="B588" s="734" t="n">
        <f aca="false">ATI!G284</f>
        <v>0</v>
      </c>
      <c r="C588" s="735" t="s">
        <v>999</v>
      </c>
    </row>
    <row r="589" customFormat="false" ht="14.25" hidden="false" customHeight="false" outlineLevel="0" collapsed="false">
      <c r="A589" s="734" t="s">
        <v>1029</v>
      </c>
      <c r="B589" s="734" t="n">
        <f aca="false">ATI!H284</f>
        <v>0</v>
      </c>
      <c r="C589" s="735" t="s">
        <v>999</v>
      </c>
    </row>
    <row r="590" customFormat="false" ht="14.25" hidden="false" customHeight="false" outlineLevel="0" collapsed="false">
      <c r="A590" s="734" t="s">
        <v>1030</v>
      </c>
      <c r="B590" s="734" t="n">
        <f aca="false">ATI!I284</f>
        <v>0</v>
      </c>
      <c r="C590" s="735" t="s">
        <v>999</v>
      </c>
    </row>
    <row r="591" customFormat="false" ht="14.25" hidden="false" customHeight="false" outlineLevel="0" collapsed="false">
      <c r="A591" s="734" t="s">
        <v>1031</v>
      </c>
      <c r="B591" s="734" t="n">
        <f aca="false">ATI!J284</f>
        <v>0</v>
      </c>
      <c r="C591" s="735" t="s">
        <v>999</v>
      </c>
    </row>
    <row r="592" customFormat="false" ht="14.25" hidden="false" customHeight="false" outlineLevel="0" collapsed="false">
      <c r="A592" s="734" t="s">
        <v>1032</v>
      </c>
      <c r="B592" s="734" t="n">
        <f aca="false">ATI!K284</f>
        <v>0</v>
      </c>
      <c r="C592" s="735" t="s">
        <v>999</v>
      </c>
    </row>
    <row r="593" customFormat="false" ht="14.25" hidden="false" customHeight="false" outlineLevel="0" collapsed="false">
      <c r="A593" s="734" t="s">
        <v>1033</v>
      </c>
      <c r="B593" s="734" t="n">
        <f aca="false">ATI!L284</f>
        <v>0</v>
      </c>
      <c r="C593" s="735" t="s">
        <v>999</v>
      </c>
    </row>
    <row r="594" customFormat="false" ht="14.25" hidden="false" customHeight="false" outlineLevel="0" collapsed="false">
      <c r="A594" s="734" t="s">
        <v>1034</v>
      </c>
      <c r="B594" s="734" t="n">
        <f aca="false">ATI!F285</f>
        <v>0</v>
      </c>
      <c r="C594" s="735" t="s">
        <v>999</v>
      </c>
    </row>
    <row r="595" customFormat="false" ht="14.25" hidden="false" customHeight="false" outlineLevel="0" collapsed="false">
      <c r="A595" s="734" t="s">
        <v>1035</v>
      </c>
      <c r="B595" s="734" t="n">
        <f aca="false">ATI!G285</f>
        <v>0</v>
      </c>
      <c r="C595" s="735" t="s">
        <v>999</v>
      </c>
    </row>
    <row r="596" customFormat="false" ht="14.25" hidden="false" customHeight="false" outlineLevel="0" collapsed="false">
      <c r="A596" s="734" t="s">
        <v>1036</v>
      </c>
      <c r="B596" s="734" t="n">
        <f aca="false">ATI!H285</f>
        <v>0</v>
      </c>
      <c r="C596" s="735" t="s">
        <v>999</v>
      </c>
    </row>
    <row r="597" customFormat="false" ht="14.25" hidden="false" customHeight="false" outlineLevel="0" collapsed="false">
      <c r="A597" s="734" t="s">
        <v>1037</v>
      </c>
      <c r="B597" s="734" t="n">
        <f aca="false">ATI!I285</f>
        <v>0</v>
      </c>
      <c r="C597" s="735" t="s">
        <v>999</v>
      </c>
    </row>
    <row r="598" customFormat="false" ht="14.25" hidden="false" customHeight="false" outlineLevel="0" collapsed="false">
      <c r="A598" s="734" t="s">
        <v>1038</v>
      </c>
      <c r="B598" s="734" t="n">
        <f aca="false">ATI!J285</f>
        <v>0</v>
      </c>
      <c r="C598" s="735" t="s">
        <v>999</v>
      </c>
    </row>
    <row r="599" customFormat="false" ht="14.25" hidden="false" customHeight="false" outlineLevel="0" collapsed="false">
      <c r="A599" s="734" t="s">
        <v>1039</v>
      </c>
      <c r="B599" s="734" t="n">
        <f aca="false">ATI!K285</f>
        <v>0</v>
      </c>
      <c r="C599" s="735" t="s">
        <v>999</v>
      </c>
    </row>
    <row r="600" customFormat="false" ht="14.25" hidden="false" customHeight="false" outlineLevel="0" collapsed="false">
      <c r="A600" s="734" t="s">
        <v>1040</v>
      </c>
      <c r="B600" s="734" t="n">
        <f aca="false">ATI!L285</f>
        <v>0</v>
      </c>
      <c r="C600" s="735" t="s">
        <v>999</v>
      </c>
    </row>
    <row r="601" customFormat="false" ht="14.25" hidden="false" customHeight="false" outlineLevel="0" collapsed="false">
      <c r="A601" s="734" t="s">
        <v>1041</v>
      </c>
      <c r="B601" s="734" t="n">
        <f aca="false">ATI!D294</f>
        <v>0</v>
      </c>
      <c r="C601" s="735" t="s">
        <v>1042</v>
      </c>
    </row>
    <row r="602" customFormat="false" ht="14.25" hidden="false" customHeight="false" outlineLevel="0" collapsed="false">
      <c r="A602" s="734" t="s">
        <v>1043</v>
      </c>
      <c r="B602" s="734" t="n">
        <f aca="false">ATI!E294</f>
        <v>0</v>
      </c>
      <c r="C602" s="735" t="s">
        <v>1042</v>
      </c>
    </row>
    <row r="603" customFormat="false" ht="14.25" hidden="false" customHeight="false" outlineLevel="0" collapsed="false">
      <c r="A603" s="734" t="s">
        <v>1044</v>
      </c>
      <c r="B603" s="734" t="e">
        <f aca="false">ati!#ref!</f>
        <v>#NAME?</v>
      </c>
      <c r="C603" s="735" t="s">
        <v>1042</v>
      </c>
    </row>
    <row r="604" customFormat="false" ht="14.25" hidden="false" customHeight="false" outlineLevel="0" collapsed="false">
      <c r="A604" s="734" t="s">
        <v>1045</v>
      </c>
      <c r="B604" s="734" t="e">
        <f aca="false">ati!#ref!</f>
        <v>#NAME?</v>
      </c>
      <c r="C604" s="735" t="s">
        <v>1042</v>
      </c>
    </row>
    <row r="605" customFormat="false" ht="14.25" hidden="false" customHeight="false" outlineLevel="0" collapsed="false">
      <c r="A605" s="734" t="s">
        <v>1046</v>
      </c>
      <c r="B605" s="734" t="n">
        <f aca="false">ATI!F294</f>
        <v>0</v>
      </c>
      <c r="C605" s="735" t="s">
        <v>1042</v>
      </c>
    </row>
    <row r="606" customFormat="false" ht="14.25" hidden="false" customHeight="false" outlineLevel="0" collapsed="false">
      <c r="A606" s="734" t="s">
        <v>1047</v>
      </c>
      <c r="B606" s="734" t="n">
        <f aca="false">ATI!G294</f>
        <v>0</v>
      </c>
      <c r="C606" s="735" t="s">
        <v>1042</v>
      </c>
    </row>
    <row r="607" customFormat="false" ht="14.25" hidden="false" customHeight="false" outlineLevel="0" collapsed="false">
      <c r="A607" s="734" t="s">
        <v>1048</v>
      </c>
      <c r="B607" s="734" t="e">
        <f aca="false">ati!#ref!</f>
        <v>#NAME?</v>
      </c>
      <c r="C607" s="735" t="s">
        <v>1042</v>
      </c>
    </row>
    <row r="608" customFormat="false" ht="14.25" hidden="false" customHeight="false" outlineLevel="0" collapsed="false">
      <c r="A608" s="734" t="s">
        <v>1049</v>
      </c>
      <c r="B608" s="734" t="e">
        <f aca="false">ati!#ref!</f>
        <v>#NAME?</v>
      </c>
      <c r="C608" s="735" t="s">
        <v>1042</v>
      </c>
    </row>
    <row r="609" customFormat="false" ht="14.25" hidden="false" customHeight="false" outlineLevel="0" collapsed="false">
      <c r="A609" s="734" t="s">
        <v>1050</v>
      </c>
      <c r="B609" s="734" t="n">
        <f aca="false">ATI!H294</f>
        <v>0</v>
      </c>
      <c r="C609" s="735" t="s">
        <v>1042</v>
      </c>
    </row>
    <row r="610" customFormat="false" ht="14.25" hidden="false" customHeight="false" outlineLevel="0" collapsed="false">
      <c r="A610" s="734" t="s">
        <v>1051</v>
      </c>
      <c r="B610" s="734" t="n">
        <f aca="false">ATI!I294</f>
        <v>0</v>
      </c>
      <c r="C610" s="735" t="s">
        <v>1042</v>
      </c>
    </row>
    <row r="611" customFormat="false" ht="14.25" hidden="false" customHeight="false" outlineLevel="0" collapsed="false">
      <c r="A611" s="734" t="s">
        <v>1052</v>
      </c>
      <c r="B611" s="734" t="n">
        <f aca="false">ATI!D295</f>
        <v>0</v>
      </c>
      <c r="C611" s="735" t="s">
        <v>1042</v>
      </c>
    </row>
    <row r="612" customFormat="false" ht="14.25" hidden="false" customHeight="false" outlineLevel="0" collapsed="false">
      <c r="A612" s="734" t="s">
        <v>1053</v>
      </c>
      <c r="B612" s="734" t="n">
        <f aca="false">ATI!E295</f>
        <v>0</v>
      </c>
      <c r="C612" s="735" t="s">
        <v>1042</v>
      </c>
    </row>
    <row r="613" customFormat="false" ht="14.25" hidden="false" customHeight="false" outlineLevel="0" collapsed="false">
      <c r="A613" s="734" t="s">
        <v>1054</v>
      </c>
      <c r="B613" s="734" t="e">
        <f aca="false">ati!#ref!</f>
        <v>#NAME?</v>
      </c>
      <c r="C613" s="735" t="s">
        <v>1042</v>
      </c>
    </row>
    <row r="614" customFormat="false" ht="14.25" hidden="false" customHeight="false" outlineLevel="0" collapsed="false">
      <c r="A614" s="734" t="s">
        <v>1055</v>
      </c>
      <c r="B614" s="734" t="e">
        <f aca="false">ati!#ref!</f>
        <v>#NAME?</v>
      </c>
      <c r="C614" s="735" t="s">
        <v>1042</v>
      </c>
    </row>
    <row r="615" customFormat="false" ht="14.25" hidden="false" customHeight="false" outlineLevel="0" collapsed="false">
      <c r="A615" s="734" t="s">
        <v>1056</v>
      </c>
      <c r="B615" s="734" t="n">
        <f aca="false">ATI!F295</f>
        <v>0</v>
      </c>
      <c r="C615" s="735" t="s">
        <v>1042</v>
      </c>
    </row>
    <row r="616" customFormat="false" ht="14.25" hidden="false" customHeight="false" outlineLevel="0" collapsed="false">
      <c r="A616" s="734" t="s">
        <v>1057</v>
      </c>
      <c r="B616" s="734" t="n">
        <f aca="false">ATI!G295</f>
        <v>0</v>
      </c>
      <c r="C616" s="735" t="s">
        <v>1042</v>
      </c>
    </row>
    <row r="617" customFormat="false" ht="14.25" hidden="false" customHeight="false" outlineLevel="0" collapsed="false">
      <c r="A617" s="734" t="s">
        <v>1058</v>
      </c>
      <c r="B617" s="734" t="e">
        <f aca="false">ati!#ref!</f>
        <v>#NAME?</v>
      </c>
      <c r="C617" s="735" t="s">
        <v>1042</v>
      </c>
    </row>
    <row r="618" customFormat="false" ht="14.25" hidden="false" customHeight="false" outlineLevel="0" collapsed="false">
      <c r="A618" s="734" t="s">
        <v>1059</v>
      </c>
      <c r="B618" s="734" t="e">
        <f aca="false">ati!#ref!</f>
        <v>#NAME?</v>
      </c>
      <c r="C618" s="735" t="s">
        <v>1042</v>
      </c>
    </row>
    <row r="619" customFormat="false" ht="14.25" hidden="false" customHeight="false" outlineLevel="0" collapsed="false">
      <c r="A619" s="734" t="s">
        <v>1060</v>
      </c>
      <c r="B619" s="734" t="n">
        <f aca="false">ATI!H295</f>
        <v>0</v>
      </c>
      <c r="C619" s="735" t="s">
        <v>1042</v>
      </c>
    </row>
    <row r="620" customFormat="false" ht="14.25" hidden="false" customHeight="false" outlineLevel="0" collapsed="false">
      <c r="A620" s="734" t="s">
        <v>1061</v>
      </c>
      <c r="B620" s="734" t="n">
        <f aca="false">ATI!I295</f>
        <v>0</v>
      </c>
      <c r="C620" s="735" t="s">
        <v>1042</v>
      </c>
    </row>
    <row r="621" customFormat="false" ht="14.25" hidden="false" customHeight="false" outlineLevel="0" collapsed="false">
      <c r="A621" s="734" t="s">
        <v>1062</v>
      </c>
      <c r="B621" s="734" t="n">
        <f aca="false">ATI!D296</f>
        <v>0</v>
      </c>
      <c r="C621" s="735" t="s">
        <v>1042</v>
      </c>
    </row>
    <row r="622" customFormat="false" ht="14.25" hidden="false" customHeight="false" outlineLevel="0" collapsed="false">
      <c r="A622" s="734" t="s">
        <v>1063</v>
      </c>
      <c r="B622" s="734" t="n">
        <f aca="false">ATI!E296</f>
        <v>0</v>
      </c>
      <c r="C622" s="735" t="s">
        <v>1042</v>
      </c>
    </row>
    <row r="623" customFormat="false" ht="14.25" hidden="false" customHeight="false" outlineLevel="0" collapsed="false">
      <c r="A623" s="734" t="s">
        <v>1064</v>
      </c>
      <c r="B623" s="734" t="e">
        <f aca="false">ati!#ref!</f>
        <v>#NAME?</v>
      </c>
      <c r="C623" s="735" t="s">
        <v>1042</v>
      </c>
    </row>
    <row r="624" customFormat="false" ht="14.25" hidden="false" customHeight="false" outlineLevel="0" collapsed="false">
      <c r="A624" s="734" t="s">
        <v>1065</v>
      </c>
      <c r="B624" s="734" t="e">
        <f aca="false">ati!#ref!</f>
        <v>#NAME?</v>
      </c>
      <c r="C624" s="735" t="s">
        <v>1042</v>
      </c>
    </row>
    <row r="625" customFormat="false" ht="14.25" hidden="false" customHeight="false" outlineLevel="0" collapsed="false">
      <c r="A625" s="734" t="s">
        <v>1066</v>
      </c>
      <c r="B625" s="734" t="n">
        <f aca="false">ATI!F296</f>
        <v>0</v>
      </c>
      <c r="C625" s="735" t="s">
        <v>1042</v>
      </c>
    </row>
    <row r="626" customFormat="false" ht="14.25" hidden="false" customHeight="false" outlineLevel="0" collapsed="false">
      <c r="A626" s="734" t="s">
        <v>1067</v>
      </c>
      <c r="B626" s="734" t="n">
        <f aca="false">ATI!G296</f>
        <v>0</v>
      </c>
      <c r="C626" s="735" t="s">
        <v>1042</v>
      </c>
    </row>
    <row r="627" customFormat="false" ht="14.25" hidden="false" customHeight="false" outlineLevel="0" collapsed="false">
      <c r="A627" s="734" t="s">
        <v>1068</v>
      </c>
      <c r="B627" s="734" t="e">
        <f aca="false">ati!#ref!</f>
        <v>#NAME?</v>
      </c>
      <c r="C627" s="735" t="s">
        <v>1042</v>
      </c>
    </row>
    <row r="628" customFormat="false" ht="14.25" hidden="false" customHeight="false" outlineLevel="0" collapsed="false">
      <c r="A628" s="734" t="s">
        <v>1069</v>
      </c>
      <c r="B628" s="734" t="e">
        <f aca="false">ati!#ref!</f>
        <v>#NAME?</v>
      </c>
      <c r="C628" s="735" t="s">
        <v>1042</v>
      </c>
    </row>
    <row r="629" customFormat="false" ht="14.25" hidden="false" customHeight="false" outlineLevel="0" collapsed="false">
      <c r="A629" s="734" t="s">
        <v>1070</v>
      </c>
      <c r="B629" s="734" t="n">
        <f aca="false">ATI!H296</f>
        <v>0</v>
      </c>
      <c r="C629" s="735" t="s">
        <v>1042</v>
      </c>
    </row>
    <row r="630" customFormat="false" ht="14.25" hidden="false" customHeight="false" outlineLevel="0" collapsed="false">
      <c r="A630" s="734" t="s">
        <v>1071</v>
      </c>
      <c r="B630" s="734" t="n">
        <f aca="false">ATI!I296</f>
        <v>0</v>
      </c>
      <c r="C630" s="735" t="s">
        <v>1042</v>
      </c>
    </row>
    <row r="631" customFormat="false" ht="14.25" hidden="false" customHeight="false" outlineLevel="0" collapsed="false">
      <c r="A631" s="734" t="s">
        <v>1072</v>
      </c>
      <c r="B631" s="734" t="n">
        <f aca="false">ATI!D297</f>
        <v>0</v>
      </c>
      <c r="C631" s="735" t="s">
        <v>1042</v>
      </c>
    </row>
    <row r="632" customFormat="false" ht="14.25" hidden="false" customHeight="false" outlineLevel="0" collapsed="false">
      <c r="A632" s="734" t="s">
        <v>1073</v>
      </c>
      <c r="B632" s="734" t="n">
        <f aca="false">ATI!E297</f>
        <v>0</v>
      </c>
      <c r="C632" s="735" t="s">
        <v>1042</v>
      </c>
    </row>
    <row r="633" customFormat="false" ht="14.25" hidden="false" customHeight="false" outlineLevel="0" collapsed="false">
      <c r="A633" s="734" t="s">
        <v>1074</v>
      </c>
      <c r="B633" s="734" t="e">
        <f aca="false">ati!#ref!</f>
        <v>#NAME?</v>
      </c>
      <c r="C633" s="735" t="s">
        <v>1042</v>
      </c>
    </row>
    <row r="634" customFormat="false" ht="14.25" hidden="false" customHeight="false" outlineLevel="0" collapsed="false">
      <c r="A634" s="734" t="s">
        <v>1075</v>
      </c>
      <c r="B634" s="734" t="e">
        <f aca="false">ati!#ref!</f>
        <v>#NAME?</v>
      </c>
      <c r="C634" s="735" t="s">
        <v>1042</v>
      </c>
    </row>
    <row r="635" customFormat="false" ht="14.25" hidden="false" customHeight="false" outlineLevel="0" collapsed="false">
      <c r="A635" s="734" t="s">
        <v>1076</v>
      </c>
      <c r="B635" s="734" t="n">
        <f aca="false">ATI!F297</f>
        <v>0</v>
      </c>
      <c r="C635" s="735" t="s">
        <v>1042</v>
      </c>
    </row>
    <row r="636" customFormat="false" ht="14.25" hidden="false" customHeight="false" outlineLevel="0" collapsed="false">
      <c r="A636" s="734" t="s">
        <v>1077</v>
      </c>
      <c r="B636" s="734" t="n">
        <f aca="false">ATI!G297</f>
        <v>0</v>
      </c>
      <c r="C636" s="735" t="s">
        <v>1042</v>
      </c>
    </row>
    <row r="637" customFormat="false" ht="14.25" hidden="false" customHeight="false" outlineLevel="0" collapsed="false">
      <c r="A637" s="734" t="s">
        <v>1078</v>
      </c>
      <c r="B637" s="734" t="e">
        <f aca="false">ati!#ref!</f>
        <v>#NAME?</v>
      </c>
      <c r="C637" s="735" t="s">
        <v>1042</v>
      </c>
    </row>
    <row r="638" customFormat="false" ht="14.25" hidden="false" customHeight="false" outlineLevel="0" collapsed="false">
      <c r="A638" s="734" t="s">
        <v>1079</v>
      </c>
      <c r="B638" s="734" t="e">
        <f aca="false">ati!#ref!</f>
        <v>#NAME?</v>
      </c>
      <c r="C638" s="735" t="s">
        <v>1042</v>
      </c>
    </row>
    <row r="639" customFormat="false" ht="14.25" hidden="false" customHeight="false" outlineLevel="0" collapsed="false">
      <c r="A639" s="734" t="s">
        <v>1080</v>
      </c>
      <c r="B639" s="734" t="n">
        <f aca="false">ATI!H297</f>
        <v>0</v>
      </c>
      <c r="C639" s="735" t="s">
        <v>1042</v>
      </c>
    </row>
    <row r="640" customFormat="false" ht="14.25" hidden="false" customHeight="false" outlineLevel="0" collapsed="false">
      <c r="A640" s="734" t="s">
        <v>1081</v>
      </c>
      <c r="B640" s="734" t="n">
        <f aca="false">ATI!I297</f>
        <v>0</v>
      </c>
      <c r="C640" s="735" t="s">
        <v>1042</v>
      </c>
    </row>
    <row r="641" customFormat="false" ht="14.25" hidden="false" customHeight="false" outlineLevel="0" collapsed="false">
      <c r="A641" s="734" t="s">
        <v>1082</v>
      </c>
      <c r="B641" s="734" t="n">
        <f aca="false">ATI!D298</f>
        <v>0</v>
      </c>
      <c r="C641" s="735" t="s">
        <v>1042</v>
      </c>
    </row>
    <row r="642" customFormat="false" ht="14.25" hidden="false" customHeight="false" outlineLevel="0" collapsed="false">
      <c r="A642" s="734" t="s">
        <v>1083</v>
      </c>
      <c r="B642" s="734" t="n">
        <f aca="false">ATI!E298</f>
        <v>0</v>
      </c>
      <c r="C642" s="735" t="s">
        <v>1042</v>
      </c>
    </row>
    <row r="643" customFormat="false" ht="14.25" hidden="false" customHeight="false" outlineLevel="0" collapsed="false">
      <c r="A643" s="734" t="s">
        <v>1084</v>
      </c>
      <c r="B643" s="734" t="e">
        <f aca="false">ati!#ref!</f>
        <v>#NAME?</v>
      </c>
      <c r="C643" s="735" t="s">
        <v>1042</v>
      </c>
    </row>
    <row r="644" customFormat="false" ht="14.25" hidden="false" customHeight="false" outlineLevel="0" collapsed="false">
      <c r="A644" s="734" t="s">
        <v>1085</v>
      </c>
      <c r="B644" s="734" t="e">
        <f aca="false">ati!#ref!</f>
        <v>#NAME?</v>
      </c>
      <c r="C644" s="735" t="s">
        <v>1042</v>
      </c>
    </row>
    <row r="645" customFormat="false" ht="14.25" hidden="false" customHeight="false" outlineLevel="0" collapsed="false">
      <c r="A645" s="734" t="s">
        <v>1086</v>
      </c>
      <c r="B645" s="734" t="n">
        <f aca="false">ATI!F298</f>
        <v>0</v>
      </c>
      <c r="C645" s="735" t="s">
        <v>1042</v>
      </c>
    </row>
    <row r="646" customFormat="false" ht="14.25" hidden="false" customHeight="false" outlineLevel="0" collapsed="false">
      <c r="A646" s="734" t="s">
        <v>1087</v>
      </c>
      <c r="B646" s="734" t="n">
        <f aca="false">ATI!G298</f>
        <v>0</v>
      </c>
      <c r="C646" s="735" t="s">
        <v>1042</v>
      </c>
    </row>
    <row r="647" customFormat="false" ht="14.25" hidden="false" customHeight="false" outlineLevel="0" collapsed="false">
      <c r="A647" s="734" t="s">
        <v>1088</v>
      </c>
      <c r="B647" s="734" t="e">
        <f aca="false">ati!#ref!</f>
        <v>#NAME?</v>
      </c>
      <c r="C647" s="735" t="s">
        <v>1042</v>
      </c>
    </row>
    <row r="648" customFormat="false" ht="14.25" hidden="false" customHeight="false" outlineLevel="0" collapsed="false">
      <c r="A648" s="734" t="s">
        <v>1089</v>
      </c>
      <c r="B648" s="734" t="e">
        <f aca="false">ati!#ref!</f>
        <v>#NAME?</v>
      </c>
      <c r="C648" s="735" t="s">
        <v>1042</v>
      </c>
    </row>
    <row r="649" customFormat="false" ht="14.25" hidden="false" customHeight="false" outlineLevel="0" collapsed="false">
      <c r="A649" s="734" t="s">
        <v>1090</v>
      </c>
      <c r="B649" s="734" t="n">
        <f aca="false">ATI!H298</f>
        <v>0</v>
      </c>
      <c r="C649" s="735" t="s">
        <v>1042</v>
      </c>
    </row>
    <row r="650" customFormat="false" ht="14.25" hidden="false" customHeight="false" outlineLevel="0" collapsed="false">
      <c r="A650" s="734" t="s">
        <v>1091</v>
      </c>
      <c r="B650" s="734" t="n">
        <f aca="false">ATI!I298</f>
        <v>0</v>
      </c>
      <c r="C650" s="735" t="s">
        <v>1042</v>
      </c>
    </row>
    <row r="651" customFormat="false" ht="14.25" hidden="false" customHeight="false" outlineLevel="0" collapsed="false">
      <c r="A651" s="734" t="s">
        <v>1092</v>
      </c>
      <c r="B651" s="734" t="n">
        <f aca="false">ATI!D299</f>
        <v>0</v>
      </c>
      <c r="C651" s="735" t="s">
        <v>1042</v>
      </c>
    </row>
    <row r="652" customFormat="false" ht="14.25" hidden="false" customHeight="false" outlineLevel="0" collapsed="false">
      <c r="A652" s="734" t="s">
        <v>1093</v>
      </c>
      <c r="B652" s="734" t="n">
        <f aca="false">ATI!E299</f>
        <v>0</v>
      </c>
      <c r="C652" s="735" t="s">
        <v>1042</v>
      </c>
    </row>
    <row r="653" customFormat="false" ht="14.25" hidden="false" customHeight="false" outlineLevel="0" collapsed="false">
      <c r="A653" s="734" t="s">
        <v>1094</v>
      </c>
      <c r="B653" s="734" t="e">
        <f aca="false">ati!#ref!</f>
        <v>#NAME?</v>
      </c>
      <c r="C653" s="735" t="s">
        <v>1042</v>
      </c>
    </row>
    <row r="654" customFormat="false" ht="14.25" hidden="false" customHeight="false" outlineLevel="0" collapsed="false">
      <c r="A654" s="734" t="s">
        <v>1095</v>
      </c>
      <c r="B654" s="734" t="e">
        <f aca="false">ati!#ref!</f>
        <v>#NAME?</v>
      </c>
      <c r="C654" s="735" t="s">
        <v>1042</v>
      </c>
    </row>
    <row r="655" customFormat="false" ht="14.25" hidden="false" customHeight="false" outlineLevel="0" collapsed="false">
      <c r="A655" s="734" t="s">
        <v>1096</v>
      </c>
      <c r="B655" s="734" t="n">
        <f aca="false">ATI!F299</f>
        <v>0</v>
      </c>
      <c r="C655" s="735" t="s">
        <v>1042</v>
      </c>
    </row>
    <row r="656" customFormat="false" ht="14.25" hidden="false" customHeight="false" outlineLevel="0" collapsed="false">
      <c r="A656" s="734" t="s">
        <v>1097</v>
      </c>
      <c r="B656" s="734" t="n">
        <f aca="false">ATI!G299</f>
        <v>0</v>
      </c>
      <c r="C656" s="735" t="s">
        <v>1042</v>
      </c>
    </row>
    <row r="657" customFormat="false" ht="14.25" hidden="false" customHeight="false" outlineLevel="0" collapsed="false">
      <c r="A657" s="734" t="s">
        <v>1098</v>
      </c>
      <c r="B657" s="734" t="e">
        <f aca="false">ati!#ref!</f>
        <v>#NAME?</v>
      </c>
      <c r="C657" s="735" t="s">
        <v>1042</v>
      </c>
    </row>
    <row r="658" customFormat="false" ht="14.25" hidden="false" customHeight="false" outlineLevel="0" collapsed="false">
      <c r="A658" s="734" t="s">
        <v>1099</v>
      </c>
      <c r="B658" s="734" t="e">
        <f aca="false">ati!#ref!</f>
        <v>#NAME?</v>
      </c>
      <c r="C658" s="735" t="s">
        <v>1042</v>
      </c>
    </row>
    <row r="659" customFormat="false" ht="14.25" hidden="false" customHeight="false" outlineLevel="0" collapsed="false">
      <c r="A659" s="734" t="s">
        <v>1100</v>
      </c>
      <c r="B659" s="734" t="n">
        <f aca="false">ATI!H299</f>
        <v>0</v>
      </c>
      <c r="C659" s="735" t="s">
        <v>1042</v>
      </c>
    </row>
    <row r="660" customFormat="false" ht="14.25" hidden="false" customHeight="false" outlineLevel="0" collapsed="false">
      <c r="A660" s="734" t="s">
        <v>1101</v>
      </c>
      <c r="B660" s="734" t="n">
        <f aca="false">ATI!I299</f>
        <v>0</v>
      </c>
      <c r="C660" s="735" t="s">
        <v>1042</v>
      </c>
    </row>
    <row r="661" customFormat="false" ht="14.25" hidden="false" customHeight="false" outlineLevel="0" collapsed="false">
      <c r="A661" s="734" t="s">
        <v>1102</v>
      </c>
      <c r="B661" s="734" t="n">
        <f aca="false">ATI!D300</f>
        <v>0</v>
      </c>
      <c r="C661" s="735" t="s">
        <v>1042</v>
      </c>
    </row>
    <row r="662" customFormat="false" ht="14.25" hidden="false" customHeight="false" outlineLevel="0" collapsed="false">
      <c r="A662" s="734" t="s">
        <v>1103</v>
      </c>
      <c r="B662" s="734" t="n">
        <f aca="false">ATI!E300</f>
        <v>0</v>
      </c>
      <c r="C662" s="735" t="s">
        <v>1042</v>
      </c>
    </row>
    <row r="663" customFormat="false" ht="14.25" hidden="false" customHeight="false" outlineLevel="0" collapsed="false">
      <c r="A663" s="734" t="s">
        <v>1104</v>
      </c>
      <c r="B663" s="734" t="e">
        <f aca="false">ati!#ref!</f>
        <v>#NAME?</v>
      </c>
      <c r="C663" s="735" t="s">
        <v>1042</v>
      </c>
    </row>
    <row r="664" customFormat="false" ht="14.25" hidden="false" customHeight="false" outlineLevel="0" collapsed="false">
      <c r="A664" s="734" t="s">
        <v>1105</v>
      </c>
      <c r="B664" s="734" t="e">
        <f aca="false">ati!#ref!</f>
        <v>#NAME?</v>
      </c>
      <c r="C664" s="735" t="s">
        <v>1042</v>
      </c>
    </row>
    <row r="665" customFormat="false" ht="14.25" hidden="false" customHeight="false" outlineLevel="0" collapsed="false">
      <c r="A665" s="734" t="s">
        <v>1106</v>
      </c>
      <c r="B665" s="734" t="n">
        <f aca="false">ATI!F300</f>
        <v>0</v>
      </c>
      <c r="C665" s="735" t="s">
        <v>1042</v>
      </c>
    </row>
    <row r="666" customFormat="false" ht="14.25" hidden="false" customHeight="false" outlineLevel="0" collapsed="false">
      <c r="A666" s="734" t="s">
        <v>1107</v>
      </c>
      <c r="B666" s="734" t="n">
        <f aca="false">ATI!G300</f>
        <v>0</v>
      </c>
      <c r="C666" s="735" t="s">
        <v>1042</v>
      </c>
    </row>
    <row r="667" customFormat="false" ht="14.25" hidden="false" customHeight="false" outlineLevel="0" collapsed="false">
      <c r="A667" s="734" t="s">
        <v>1108</v>
      </c>
      <c r="B667" s="734" t="e">
        <f aca="false">ati!#ref!</f>
        <v>#NAME?</v>
      </c>
      <c r="C667" s="735" t="s">
        <v>1042</v>
      </c>
    </row>
    <row r="668" customFormat="false" ht="14.25" hidden="false" customHeight="false" outlineLevel="0" collapsed="false">
      <c r="A668" s="734" t="s">
        <v>1109</v>
      </c>
      <c r="B668" s="734" t="e">
        <f aca="false">ati!#ref!</f>
        <v>#NAME?</v>
      </c>
      <c r="C668" s="735" t="s">
        <v>1042</v>
      </c>
    </row>
    <row r="669" customFormat="false" ht="14.25" hidden="false" customHeight="false" outlineLevel="0" collapsed="false">
      <c r="A669" s="734" t="s">
        <v>1110</v>
      </c>
      <c r="B669" s="734" t="n">
        <f aca="false">ATI!H300</f>
        <v>0</v>
      </c>
      <c r="C669" s="735" t="s">
        <v>1042</v>
      </c>
    </row>
    <row r="670" customFormat="false" ht="14.25" hidden="false" customHeight="false" outlineLevel="0" collapsed="false">
      <c r="A670" s="734" t="s">
        <v>1111</v>
      </c>
      <c r="B670" s="734" t="n">
        <f aca="false">ATI!I300</f>
        <v>0</v>
      </c>
      <c r="C670" s="735" t="s">
        <v>1042</v>
      </c>
    </row>
    <row r="671" customFormat="false" ht="14.25" hidden="false" customHeight="false" outlineLevel="0" collapsed="false">
      <c r="A671" s="734" t="s">
        <v>1112</v>
      </c>
      <c r="B671" s="734" t="n">
        <f aca="false">ATI!D307</f>
        <v>0</v>
      </c>
      <c r="C671" s="735" t="s">
        <v>1113</v>
      </c>
    </row>
    <row r="672" customFormat="false" ht="14.25" hidden="false" customHeight="false" outlineLevel="0" collapsed="false">
      <c r="A672" s="734" t="s">
        <v>1114</v>
      </c>
      <c r="B672" s="734" t="n">
        <f aca="false">ATI!E307</f>
        <v>0</v>
      </c>
      <c r="C672" s="735" t="s">
        <v>1113</v>
      </c>
    </row>
    <row r="673" customFormat="false" ht="14.25" hidden="false" customHeight="false" outlineLevel="0" collapsed="false">
      <c r="A673" s="734" t="s">
        <v>1115</v>
      </c>
      <c r="B673" s="734" t="e">
        <f aca="false">ati!#ref!</f>
        <v>#NAME?</v>
      </c>
      <c r="C673" s="735" t="s">
        <v>1113</v>
      </c>
    </row>
    <row r="674" customFormat="false" ht="14.25" hidden="false" customHeight="false" outlineLevel="0" collapsed="false">
      <c r="A674" s="734" t="s">
        <v>1116</v>
      </c>
      <c r="B674" s="734" t="e">
        <f aca="false">ati!#ref!</f>
        <v>#NAME?</v>
      </c>
      <c r="C674" s="735" t="s">
        <v>1113</v>
      </c>
    </row>
    <row r="675" customFormat="false" ht="14.25" hidden="false" customHeight="false" outlineLevel="0" collapsed="false">
      <c r="A675" s="734" t="s">
        <v>1117</v>
      </c>
      <c r="B675" s="734" t="n">
        <f aca="false">ATI!F307</f>
        <v>0</v>
      </c>
      <c r="C675" s="735" t="s">
        <v>1113</v>
      </c>
    </row>
    <row r="676" customFormat="false" ht="14.25" hidden="false" customHeight="false" outlineLevel="0" collapsed="false">
      <c r="A676" s="734" t="s">
        <v>1118</v>
      </c>
      <c r="B676" s="734" t="n">
        <f aca="false">ATI!G307</f>
        <v>0</v>
      </c>
      <c r="C676" s="735" t="s">
        <v>1113</v>
      </c>
    </row>
    <row r="677" customFormat="false" ht="14.25" hidden="false" customHeight="false" outlineLevel="0" collapsed="false">
      <c r="A677" s="734" t="s">
        <v>1119</v>
      </c>
      <c r="B677" s="734" t="e">
        <f aca="false">ati!#ref!</f>
        <v>#NAME?</v>
      </c>
      <c r="C677" s="735" t="s">
        <v>1113</v>
      </c>
    </row>
    <row r="678" customFormat="false" ht="14.25" hidden="false" customHeight="false" outlineLevel="0" collapsed="false">
      <c r="A678" s="734" t="s">
        <v>1120</v>
      </c>
      <c r="B678" s="734" t="e">
        <f aca="false">ati!#ref!</f>
        <v>#NAME?</v>
      </c>
      <c r="C678" s="735" t="s">
        <v>1113</v>
      </c>
    </row>
    <row r="679" customFormat="false" ht="14.25" hidden="false" customHeight="false" outlineLevel="0" collapsed="false">
      <c r="A679" s="734" t="s">
        <v>1121</v>
      </c>
      <c r="B679" s="734" t="n">
        <f aca="false">ATI!H307</f>
        <v>0</v>
      </c>
      <c r="C679" s="735" t="s">
        <v>1113</v>
      </c>
    </row>
    <row r="680" customFormat="false" ht="14.25" hidden="false" customHeight="false" outlineLevel="0" collapsed="false">
      <c r="A680" s="734" t="s">
        <v>1122</v>
      </c>
      <c r="B680" s="734" t="n">
        <f aca="false">ATI!I307</f>
        <v>0</v>
      </c>
      <c r="C680" s="735" t="s">
        <v>1113</v>
      </c>
    </row>
    <row r="681" customFormat="false" ht="14.25" hidden="false" customHeight="false" outlineLevel="0" collapsed="false">
      <c r="A681" s="734" t="s">
        <v>1123</v>
      </c>
      <c r="B681" s="734" t="n">
        <f aca="false">ATI!D308</f>
        <v>0</v>
      </c>
      <c r="C681" s="735" t="s">
        <v>1113</v>
      </c>
    </row>
    <row r="682" customFormat="false" ht="14.25" hidden="false" customHeight="false" outlineLevel="0" collapsed="false">
      <c r="A682" s="734" t="s">
        <v>1124</v>
      </c>
      <c r="B682" s="734" t="n">
        <f aca="false">ATI!E308</f>
        <v>0</v>
      </c>
      <c r="C682" s="735" t="s">
        <v>1113</v>
      </c>
    </row>
    <row r="683" customFormat="false" ht="14.25" hidden="false" customHeight="false" outlineLevel="0" collapsed="false">
      <c r="A683" s="734" t="s">
        <v>1125</v>
      </c>
      <c r="B683" s="734" t="e">
        <f aca="false">ati!#ref!</f>
        <v>#NAME?</v>
      </c>
      <c r="C683" s="735" t="s">
        <v>1113</v>
      </c>
    </row>
    <row r="684" customFormat="false" ht="14.25" hidden="false" customHeight="false" outlineLevel="0" collapsed="false">
      <c r="A684" s="734" t="s">
        <v>1126</v>
      </c>
      <c r="B684" s="734" t="e">
        <f aca="false">ati!#ref!</f>
        <v>#NAME?</v>
      </c>
      <c r="C684" s="735" t="s">
        <v>1113</v>
      </c>
    </row>
    <row r="685" customFormat="false" ht="14.25" hidden="false" customHeight="false" outlineLevel="0" collapsed="false">
      <c r="A685" s="734" t="s">
        <v>1127</v>
      </c>
      <c r="B685" s="734" t="n">
        <f aca="false">ATI!F308</f>
        <v>0</v>
      </c>
      <c r="C685" s="735" t="s">
        <v>1113</v>
      </c>
    </row>
    <row r="686" customFormat="false" ht="14.25" hidden="false" customHeight="false" outlineLevel="0" collapsed="false">
      <c r="A686" s="734" t="s">
        <v>1128</v>
      </c>
      <c r="B686" s="734" t="n">
        <f aca="false">ATI!G308</f>
        <v>0</v>
      </c>
      <c r="C686" s="735" t="s">
        <v>1113</v>
      </c>
    </row>
    <row r="687" customFormat="false" ht="14.25" hidden="false" customHeight="false" outlineLevel="0" collapsed="false">
      <c r="A687" s="734" t="s">
        <v>1129</v>
      </c>
      <c r="B687" s="734" t="e">
        <f aca="false">ati!#ref!</f>
        <v>#NAME?</v>
      </c>
      <c r="C687" s="735" t="s">
        <v>1113</v>
      </c>
    </row>
    <row r="688" customFormat="false" ht="14.25" hidden="false" customHeight="false" outlineLevel="0" collapsed="false">
      <c r="A688" s="734" t="s">
        <v>1130</v>
      </c>
      <c r="B688" s="734" t="e">
        <f aca="false">ati!#ref!</f>
        <v>#NAME?</v>
      </c>
      <c r="C688" s="735" t="s">
        <v>1113</v>
      </c>
    </row>
    <row r="689" customFormat="false" ht="14.25" hidden="false" customHeight="false" outlineLevel="0" collapsed="false">
      <c r="A689" s="734" t="s">
        <v>1131</v>
      </c>
      <c r="B689" s="734" t="n">
        <f aca="false">ATI!H308</f>
        <v>0</v>
      </c>
      <c r="C689" s="735" t="s">
        <v>1113</v>
      </c>
    </row>
    <row r="690" customFormat="false" ht="14.25" hidden="false" customHeight="false" outlineLevel="0" collapsed="false">
      <c r="A690" s="734" t="s">
        <v>1132</v>
      </c>
      <c r="B690" s="734" t="n">
        <f aca="false">ATI!I308</f>
        <v>0</v>
      </c>
      <c r="C690" s="735" t="s">
        <v>1113</v>
      </c>
    </row>
    <row r="691" customFormat="false" ht="14.25" hidden="false" customHeight="false" outlineLevel="0" collapsed="false">
      <c r="A691" s="734" t="s">
        <v>1133</v>
      </c>
      <c r="B691" s="734" t="n">
        <f aca="false">ATI!D309</f>
        <v>0</v>
      </c>
      <c r="C691" s="735" t="s">
        <v>1113</v>
      </c>
    </row>
    <row r="692" customFormat="false" ht="14.25" hidden="false" customHeight="false" outlineLevel="0" collapsed="false">
      <c r="A692" s="734" t="s">
        <v>1134</v>
      </c>
      <c r="B692" s="734" t="n">
        <f aca="false">ATI!E309</f>
        <v>0</v>
      </c>
      <c r="C692" s="735" t="s">
        <v>1113</v>
      </c>
    </row>
    <row r="693" customFormat="false" ht="14.25" hidden="false" customHeight="false" outlineLevel="0" collapsed="false">
      <c r="A693" s="734" t="s">
        <v>1135</v>
      </c>
      <c r="B693" s="734" t="e">
        <f aca="false">ati!#ref!</f>
        <v>#NAME?</v>
      </c>
      <c r="C693" s="735" t="s">
        <v>1113</v>
      </c>
    </row>
    <row r="694" customFormat="false" ht="14.25" hidden="false" customHeight="false" outlineLevel="0" collapsed="false">
      <c r="A694" s="734" t="s">
        <v>1136</v>
      </c>
      <c r="B694" s="734" t="e">
        <f aca="false">ati!#ref!</f>
        <v>#NAME?</v>
      </c>
      <c r="C694" s="735" t="s">
        <v>1113</v>
      </c>
    </row>
    <row r="695" customFormat="false" ht="14.25" hidden="false" customHeight="false" outlineLevel="0" collapsed="false">
      <c r="A695" s="734" t="s">
        <v>1137</v>
      </c>
      <c r="B695" s="734" t="n">
        <f aca="false">ATI!F309</f>
        <v>0</v>
      </c>
      <c r="C695" s="735" t="s">
        <v>1113</v>
      </c>
    </row>
    <row r="696" customFormat="false" ht="14.25" hidden="false" customHeight="false" outlineLevel="0" collapsed="false">
      <c r="A696" s="734" t="s">
        <v>1138</v>
      </c>
      <c r="B696" s="734" t="n">
        <f aca="false">ATI!G309</f>
        <v>0</v>
      </c>
      <c r="C696" s="735" t="s">
        <v>1113</v>
      </c>
    </row>
    <row r="697" customFormat="false" ht="14.25" hidden="false" customHeight="false" outlineLevel="0" collapsed="false">
      <c r="A697" s="734" t="s">
        <v>1139</v>
      </c>
      <c r="B697" s="734" t="e">
        <f aca="false">ati!#ref!</f>
        <v>#NAME?</v>
      </c>
      <c r="C697" s="735" t="s">
        <v>1113</v>
      </c>
    </row>
    <row r="698" customFormat="false" ht="14.25" hidden="false" customHeight="false" outlineLevel="0" collapsed="false">
      <c r="A698" s="734" t="s">
        <v>1140</v>
      </c>
      <c r="B698" s="734" t="e">
        <f aca="false">ati!#ref!</f>
        <v>#NAME?</v>
      </c>
      <c r="C698" s="735" t="s">
        <v>1113</v>
      </c>
    </row>
    <row r="699" customFormat="false" ht="14.25" hidden="false" customHeight="false" outlineLevel="0" collapsed="false">
      <c r="A699" s="734" t="s">
        <v>1141</v>
      </c>
      <c r="B699" s="734" t="n">
        <f aca="false">ATI!H309</f>
        <v>0</v>
      </c>
      <c r="C699" s="735" t="s">
        <v>1113</v>
      </c>
    </row>
    <row r="700" customFormat="false" ht="14.25" hidden="false" customHeight="false" outlineLevel="0" collapsed="false">
      <c r="A700" s="734" t="s">
        <v>1142</v>
      </c>
      <c r="B700" s="734" t="n">
        <f aca="false">ATI!I309</f>
        <v>0</v>
      </c>
      <c r="C700" s="735" t="s">
        <v>1113</v>
      </c>
    </row>
    <row r="701" customFormat="false" ht="14.25" hidden="false" customHeight="false" outlineLevel="0" collapsed="false">
      <c r="A701" s="734" t="s">
        <v>1143</v>
      </c>
      <c r="B701" s="734" t="n">
        <f aca="false">ATI!D310</f>
        <v>0</v>
      </c>
      <c r="C701" s="735" t="s">
        <v>1113</v>
      </c>
    </row>
    <row r="702" customFormat="false" ht="14.25" hidden="false" customHeight="false" outlineLevel="0" collapsed="false">
      <c r="A702" s="734" t="s">
        <v>1144</v>
      </c>
      <c r="B702" s="734" t="n">
        <f aca="false">ATI!E310</f>
        <v>0</v>
      </c>
      <c r="C702" s="735" t="s">
        <v>1113</v>
      </c>
    </row>
    <row r="703" customFormat="false" ht="14.25" hidden="false" customHeight="false" outlineLevel="0" collapsed="false">
      <c r="A703" s="734" t="s">
        <v>1145</v>
      </c>
      <c r="B703" s="734" t="e">
        <f aca="false">ati!#ref!</f>
        <v>#NAME?</v>
      </c>
      <c r="C703" s="735" t="s">
        <v>1113</v>
      </c>
    </row>
    <row r="704" customFormat="false" ht="14.25" hidden="false" customHeight="false" outlineLevel="0" collapsed="false">
      <c r="A704" s="734" t="s">
        <v>1146</v>
      </c>
      <c r="B704" s="734" t="e">
        <f aca="false">ati!#ref!</f>
        <v>#NAME?</v>
      </c>
      <c r="C704" s="735" t="s">
        <v>1113</v>
      </c>
    </row>
    <row r="705" customFormat="false" ht="14.25" hidden="false" customHeight="false" outlineLevel="0" collapsed="false">
      <c r="A705" s="734" t="s">
        <v>1147</v>
      </c>
      <c r="B705" s="734" t="n">
        <f aca="false">ATI!F310</f>
        <v>0</v>
      </c>
      <c r="C705" s="735" t="s">
        <v>1113</v>
      </c>
    </row>
    <row r="706" customFormat="false" ht="14.25" hidden="false" customHeight="false" outlineLevel="0" collapsed="false">
      <c r="A706" s="734" t="s">
        <v>1148</v>
      </c>
      <c r="B706" s="734" t="n">
        <f aca="false">ATI!G310</f>
        <v>0</v>
      </c>
      <c r="C706" s="735" t="s">
        <v>1113</v>
      </c>
    </row>
    <row r="707" customFormat="false" ht="14.25" hidden="false" customHeight="false" outlineLevel="0" collapsed="false">
      <c r="A707" s="734" t="s">
        <v>1149</v>
      </c>
      <c r="B707" s="734" t="e">
        <f aca="false">ati!#ref!</f>
        <v>#NAME?</v>
      </c>
      <c r="C707" s="735" t="s">
        <v>1113</v>
      </c>
    </row>
    <row r="708" customFormat="false" ht="14.25" hidden="false" customHeight="false" outlineLevel="0" collapsed="false">
      <c r="A708" s="734" t="s">
        <v>1150</v>
      </c>
      <c r="B708" s="734" t="e">
        <f aca="false">ati!#ref!</f>
        <v>#NAME?</v>
      </c>
      <c r="C708" s="735" t="s">
        <v>1113</v>
      </c>
    </row>
    <row r="709" customFormat="false" ht="14.25" hidden="false" customHeight="false" outlineLevel="0" collapsed="false">
      <c r="A709" s="734" t="s">
        <v>1151</v>
      </c>
      <c r="B709" s="734" t="n">
        <f aca="false">ATI!H310</f>
        <v>0</v>
      </c>
      <c r="C709" s="735" t="s">
        <v>1113</v>
      </c>
    </row>
    <row r="710" customFormat="false" ht="14.25" hidden="false" customHeight="false" outlineLevel="0" collapsed="false">
      <c r="A710" s="734" t="s">
        <v>1152</v>
      </c>
      <c r="B710" s="734" t="n">
        <f aca="false">ATI!I310</f>
        <v>0</v>
      </c>
      <c r="C710" s="735" t="s">
        <v>1113</v>
      </c>
    </row>
    <row r="711" customFormat="false" ht="14.25" hidden="false" customHeight="false" outlineLevel="0" collapsed="false">
      <c r="A711" s="734" t="s">
        <v>1153</v>
      </c>
      <c r="B711" s="734" t="n">
        <f aca="false">ATI!D311</f>
        <v>0</v>
      </c>
      <c r="C711" s="735" t="s">
        <v>1113</v>
      </c>
    </row>
    <row r="712" customFormat="false" ht="14.25" hidden="false" customHeight="false" outlineLevel="0" collapsed="false">
      <c r="A712" s="734" t="s">
        <v>1154</v>
      </c>
      <c r="B712" s="734" t="n">
        <f aca="false">ATI!E311</f>
        <v>0</v>
      </c>
      <c r="C712" s="735" t="s">
        <v>1113</v>
      </c>
    </row>
    <row r="713" customFormat="false" ht="14.25" hidden="false" customHeight="false" outlineLevel="0" collapsed="false">
      <c r="A713" s="734" t="s">
        <v>1155</v>
      </c>
      <c r="B713" s="734" t="e">
        <f aca="false">ati!#ref!</f>
        <v>#NAME?</v>
      </c>
      <c r="C713" s="735" t="s">
        <v>1113</v>
      </c>
    </row>
    <row r="714" customFormat="false" ht="14.25" hidden="false" customHeight="false" outlineLevel="0" collapsed="false">
      <c r="A714" s="734" t="s">
        <v>1156</v>
      </c>
      <c r="B714" s="734" t="e">
        <f aca="false">ati!#ref!</f>
        <v>#NAME?</v>
      </c>
      <c r="C714" s="735" t="s">
        <v>1113</v>
      </c>
    </row>
    <row r="715" customFormat="false" ht="14.25" hidden="false" customHeight="false" outlineLevel="0" collapsed="false">
      <c r="A715" s="734" t="s">
        <v>1157</v>
      </c>
      <c r="B715" s="734" t="n">
        <f aca="false">ATI!F311</f>
        <v>0</v>
      </c>
      <c r="C715" s="735" t="s">
        <v>1113</v>
      </c>
    </row>
    <row r="716" customFormat="false" ht="14.25" hidden="false" customHeight="false" outlineLevel="0" collapsed="false">
      <c r="A716" s="734" t="s">
        <v>1158</v>
      </c>
      <c r="B716" s="734" t="n">
        <f aca="false">ATI!G311</f>
        <v>0</v>
      </c>
      <c r="C716" s="735" t="s">
        <v>1113</v>
      </c>
    </row>
    <row r="717" customFormat="false" ht="14.25" hidden="false" customHeight="false" outlineLevel="0" collapsed="false">
      <c r="A717" s="734" t="s">
        <v>1159</v>
      </c>
      <c r="B717" s="734" t="e">
        <f aca="false">ati!#ref!</f>
        <v>#NAME?</v>
      </c>
      <c r="C717" s="735" t="s">
        <v>1113</v>
      </c>
    </row>
    <row r="718" customFormat="false" ht="14.25" hidden="false" customHeight="false" outlineLevel="0" collapsed="false">
      <c r="A718" s="734" t="s">
        <v>1160</v>
      </c>
      <c r="B718" s="734" t="e">
        <f aca="false">ati!#ref!</f>
        <v>#NAME?</v>
      </c>
      <c r="C718" s="735" t="s">
        <v>1113</v>
      </c>
    </row>
    <row r="719" customFormat="false" ht="14.25" hidden="false" customHeight="false" outlineLevel="0" collapsed="false">
      <c r="A719" s="734" t="s">
        <v>1161</v>
      </c>
      <c r="B719" s="734" t="n">
        <f aca="false">ATI!H311</f>
        <v>0</v>
      </c>
      <c r="C719" s="735" t="s">
        <v>1113</v>
      </c>
    </row>
    <row r="720" customFormat="false" ht="14.25" hidden="false" customHeight="false" outlineLevel="0" collapsed="false">
      <c r="A720" s="734" t="s">
        <v>1162</v>
      </c>
      <c r="B720" s="734" t="n">
        <f aca="false">ATI!I311</f>
        <v>0</v>
      </c>
      <c r="C720" s="735" t="s">
        <v>1113</v>
      </c>
    </row>
    <row r="721" customFormat="false" ht="14.25" hidden="false" customHeight="false" outlineLevel="0" collapsed="false">
      <c r="A721" s="734" t="s">
        <v>1163</v>
      </c>
      <c r="B721" s="734" t="n">
        <f aca="false">ATI!D312</f>
        <v>0</v>
      </c>
      <c r="C721" s="735" t="s">
        <v>1113</v>
      </c>
    </row>
    <row r="722" customFormat="false" ht="14.25" hidden="false" customHeight="false" outlineLevel="0" collapsed="false">
      <c r="A722" s="734" t="s">
        <v>1164</v>
      </c>
      <c r="B722" s="734" t="n">
        <f aca="false">ATI!E312</f>
        <v>0</v>
      </c>
      <c r="C722" s="735" t="s">
        <v>1113</v>
      </c>
    </row>
    <row r="723" customFormat="false" ht="14.25" hidden="false" customHeight="false" outlineLevel="0" collapsed="false">
      <c r="A723" s="734" t="s">
        <v>1165</v>
      </c>
      <c r="B723" s="734" t="e">
        <f aca="false">ati!#ref!</f>
        <v>#NAME?</v>
      </c>
      <c r="C723" s="735" t="s">
        <v>1113</v>
      </c>
    </row>
    <row r="724" customFormat="false" ht="14.25" hidden="false" customHeight="false" outlineLevel="0" collapsed="false">
      <c r="A724" s="734" t="s">
        <v>1166</v>
      </c>
      <c r="B724" s="734" t="e">
        <f aca="false">ati!#ref!</f>
        <v>#NAME?</v>
      </c>
      <c r="C724" s="735" t="s">
        <v>1113</v>
      </c>
    </row>
    <row r="725" customFormat="false" ht="14.25" hidden="false" customHeight="false" outlineLevel="0" collapsed="false">
      <c r="A725" s="734" t="s">
        <v>1167</v>
      </c>
      <c r="B725" s="734" t="n">
        <f aca="false">ATI!F312</f>
        <v>0</v>
      </c>
      <c r="C725" s="735" t="s">
        <v>1113</v>
      </c>
    </row>
    <row r="726" customFormat="false" ht="14.25" hidden="false" customHeight="false" outlineLevel="0" collapsed="false">
      <c r="A726" s="734" t="s">
        <v>1168</v>
      </c>
      <c r="B726" s="734" t="n">
        <f aca="false">ATI!G312</f>
        <v>0</v>
      </c>
      <c r="C726" s="735" t="s">
        <v>1113</v>
      </c>
    </row>
    <row r="727" customFormat="false" ht="14.25" hidden="false" customHeight="false" outlineLevel="0" collapsed="false">
      <c r="A727" s="734" t="s">
        <v>1169</v>
      </c>
      <c r="B727" s="734" t="e">
        <f aca="false">ati!#ref!</f>
        <v>#NAME?</v>
      </c>
      <c r="C727" s="735" t="s">
        <v>1113</v>
      </c>
    </row>
    <row r="728" customFormat="false" ht="14.25" hidden="false" customHeight="false" outlineLevel="0" collapsed="false">
      <c r="A728" s="734" t="s">
        <v>1170</v>
      </c>
      <c r="B728" s="734" t="e">
        <f aca="false">ati!#ref!</f>
        <v>#NAME?</v>
      </c>
      <c r="C728" s="735" t="s">
        <v>1113</v>
      </c>
    </row>
    <row r="729" customFormat="false" ht="14.25" hidden="false" customHeight="false" outlineLevel="0" collapsed="false">
      <c r="A729" s="734" t="s">
        <v>1171</v>
      </c>
      <c r="B729" s="734" t="n">
        <f aca="false">ATI!H312</f>
        <v>0</v>
      </c>
      <c r="C729" s="735" t="s">
        <v>1113</v>
      </c>
    </row>
    <row r="730" customFormat="false" ht="14.25" hidden="false" customHeight="false" outlineLevel="0" collapsed="false">
      <c r="A730" s="734" t="s">
        <v>1172</v>
      </c>
      <c r="B730" s="734" t="n">
        <f aca="false">ATI!I312</f>
        <v>0</v>
      </c>
      <c r="C730" s="735" t="s">
        <v>1113</v>
      </c>
    </row>
    <row r="731" customFormat="false" ht="14.25" hidden="false" customHeight="false" outlineLevel="0" collapsed="false">
      <c r="A731" s="734" t="s">
        <v>1173</v>
      </c>
      <c r="B731" s="734" t="n">
        <f aca="false">ATI!D313</f>
        <v>0</v>
      </c>
      <c r="C731" s="735" t="s">
        <v>1113</v>
      </c>
    </row>
    <row r="732" customFormat="false" ht="14.25" hidden="false" customHeight="false" outlineLevel="0" collapsed="false">
      <c r="A732" s="734" t="s">
        <v>1174</v>
      </c>
      <c r="B732" s="734" t="n">
        <f aca="false">ATI!E313</f>
        <v>0</v>
      </c>
      <c r="C732" s="735" t="s">
        <v>1113</v>
      </c>
    </row>
    <row r="733" customFormat="false" ht="14.25" hidden="false" customHeight="false" outlineLevel="0" collapsed="false">
      <c r="A733" s="734" t="s">
        <v>1175</v>
      </c>
      <c r="B733" s="734" t="e">
        <f aca="false">ati!#ref!</f>
        <v>#NAME?</v>
      </c>
      <c r="C733" s="735" t="s">
        <v>1113</v>
      </c>
    </row>
    <row r="734" customFormat="false" ht="14.25" hidden="false" customHeight="false" outlineLevel="0" collapsed="false">
      <c r="A734" s="734" t="s">
        <v>1176</v>
      </c>
      <c r="B734" s="734" t="e">
        <f aca="false">ati!#ref!</f>
        <v>#NAME?</v>
      </c>
      <c r="C734" s="735" t="s">
        <v>1113</v>
      </c>
    </row>
    <row r="735" customFormat="false" ht="14.25" hidden="false" customHeight="false" outlineLevel="0" collapsed="false">
      <c r="A735" s="734" t="s">
        <v>1177</v>
      </c>
      <c r="B735" s="734" t="n">
        <f aca="false">ATI!F313</f>
        <v>0</v>
      </c>
      <c r="C735" s="735" t="s">
        <v>1113</v>
      </c>
    </row>
    <row r="736" customFormat="false" ht="14.25" hidden="false" customHeight="false" outlineLevel="0" collapsed="false">
      <c r="A736" s="734" t="s">
        <v>1178</v>
      </c>
      <c r="B736" s="734" t="n">
        <f aca="false">ATI!G313</f>
        <v>0</v>
      </c>
      <c r="C736" s="735" t="s">
        <v>1113</v>
      </c>
    </row>
    <row r="737" customFormat="false" ht="14.25" hidden="false" customHeight="false" outlineLevel="0" collapsed="false">
      <c r="A737" s="734" t="s">
        <v>1179</v>
      </c>
      <c r="B737" s="734" t="e">
        <f aca="false">ati!#ref!</f>
        <v>#NAME?</v>
      </c>
      <c r="C737" s="735" t="s">
        <v>1113</v>
      </c>
    </row>
    <row r="738" customFormat="false" ht="14.25" hidden="false" customHeight="false" outlineLevel="0" collapsed="false">
      <c r="A738" s="734" t="s">
        <v>1180</v>
      </c>
      <c r="B738" s="734" t="e">
        <f aca="false">ati!#ref!</f>
        <v>#NAME?</v>
      </c>
      <c r="C738" s="735" t="s">
        <v>1113</v>
      </c>
    </row>
    <row r="739" customFormat="false" ht="14.25" hidden="false" customHeight="false" outlineLevel="0" collapsed="false">
      <c r="A739" s="734" t="s">
        <v>1181</v>
      </c>
      <c r="B739" s="734" t="n">
        <f aca="false">ATI!H313</f>
        <v>0</v>
      </c>
      <c r="C739" s="735" t="s">
        <v>1113</v>
      </c>
    </row>
    <row r="740" customFormat="false" ht="14.25" hidden="false" customHeight="false" outlineLevel="0" collapsed="false">
      <c r="A740" s="734" t="s">
        <v>1182</v>
      </c>
      <c r="B740" s="734" t="n">
        <f aca="false">ATI!I313</f>
        <v>0</v>
      </c>
      <c r="C740" s="735" t="s">
        <v>1113</v>
      </c>
    </row>
    <row r="741" customFormat="false" ht="14.25" hidden="false" customHeight="false" outlineLevel="0" collapsed="false">
      <c r="A741" s="734" t="s">
        <v>1183</v>
      </c>
      <c r="B741" s="734" t="n">
        <f aca="false">ATI!B321</f>
        <v>0</v>
      </c>
      <c r="C741" s="735" t="s">
        <v>1184</v>
      </c>
    </row>
    <row r="742" customFormat="false" ht="14.25" hidden="false" customHeight="false" outlineLevel="0" collapsed="false">
      <c r="A742" s="734" t="s">
        <v>1185</v>
      </c>
      <c r="B742" s="734" t="n">
        <f aca="false">ATI!D321</f>
        <v>0</v>
      </c>
      <c r="C742" s="735" t="s">
        <v>1184</v>
      </c>
    </row>
    <row r="743" customFormat="false" ht="14.25" hidden="false" customHeight="false" outlineLevel="0" collapsed="false">
      <c r="A743" s="734" t="s">
        <v>1186</v>
      </c>
      <c r="B743" s="734" t="n">
        <f aca="false">ATI!F321</f>
        <v>0</v>
      </c>
      <c r="C743" s="735" t="s">
        <v>1184</v>
      </c>
    </row>
    <row r="744" customFormat="false" ht="14.25" hidden="false" customHeight="false" outlineLevel="0" collapsed="false">
      <c r="A744" s="734" t="s">
        <v>1187</v>
      </c>
      <c r="B744" s="734" t="n">
        <f aca="false">ATI!B327</f>
        <v>0</v>
      </c>
      <c r="C744" s="735" t="s">
        <v>1188</v>
      </c>
    </row>
    <row r="745" customFormat="false" ht="14.25" hidden="false" customHeight="false" outlineLevel="0" collapsed="false">
      <c r="A745" s="734" t="s">
        <v>1189</v>
      </c>
      <c r="B745" s="734" t="n">
        <f aca="false">ATI!D327</f>
        <v>0</v>
      </c>
      <c r="C745" s="735" t="s">
        <v>1188</v>
      </c>
    </row>
    <row r="746" customFormat="false" ht="14.25" hidden="false" customHeight="false" outlineLevel="0" collapsed="false">
      <c r="A746" s="734" t="s">
        <v>1190</v>
      </c>
      <c r="B746" s="734" t="n">
        <f aca="false">ATI!F327</f>
        <v>0</v>
      </c>
      <c r="C746" s="735" t="s">
        <v>1188</v>
      </c>
    </row>
    <row r="747" customFormat="false" ht="14.25" hidden="false" customHeight="false" outlineLevel="0" collapsed="false">
      <c r="A747" s="736" t="s">
        <v>1191</v>
      </c>
      <c r="B747" s="736" t="n">
        <f aca="false">ATI!H327</f>
        <v>0</v>
      </c>
      <c r="C747" s="737" t="s">
        <v>1188</v>
      </c>
    </row>
    <row r="748" customFormat="false" ht="14.25" hidden="false" customHeight="false" outlineLevel="0" collapsed="false">
      <c r="A748" s="736" t="s">
        <v>1192</v>
      </c>
      <c r="B748" s="736" t="n">
        <f aca="false">ATI!J327</f>
        <v>0</v>
      </c>
      <c r="C748" s="737" t="s">
        <v>1188</v>
      </c>
    </row>
    <row r="749" customFormat="false" ht="14.25" hidden="false" customHeight="false" outlineLevel="0" collapsed="false">
      <c r="A749" s="736" t="s">
        <v>1193</v>
      </c>
      <c r="B749" s="736" t="n">
        <f aca="false">ATI!L327</f>
        <v>0</v>
      </c>
      <c r="C749" s="737" t="s">
        <v>1188</v>
      </c>
    </row>
    <row r="750" customFormat="false" ht="14.25" hidden="false" customHeight="false" outlineLevel="0" collapsed="false">
      <c r="A750" s="734" t="s">
        <v>1194</v>
      </c>
      <c r="B750" s="734" t="n">
        <f aca="false">ATI!B335</f>
        <v>0</v>
      </c>
      <c r="C750" s="735" t="s">
        <v>1195</v>
      </c>
    </row>
    <row r="751" customFormat="false" ht="14.25" hidden="false" customHeight="false" outlineLevel="0" collapsed="false">
      <c r="A751" s="734" t="s">
        <v>1196</v>
      </c>
      <c r="B751" s="734" t="n">
        <f aca="false">ATI!D335</f>
        <v>0</v>
      </c>
      <c r="C751" s="735" t="s">
        <v>1195</v>
      </c>
    </row>
    <row r="752" customFormat="false" ht="14.25" hidden="false" customHeight="false" outlineLevel="0" collapsed="false">
      <c r="A752" s="734" t="s">
        <v>1197</v>
      </c>
      <c r="B752" s="734" t="n">
        <f aca="false">ATI!F335</f>
        <v>0</v>
      </c>
      <c r="C752" s="735" t="s">
        <v>1195</v>
      </c>
    </row>
    <row r="753" customFormat="false" ht="14.25" hidden="false" customHeight="false" outlineLevel="0" collapsed="false">
      <c r="A753" s="734" t="s">
        <v>1198</v>
      </c>
      <c r="B753" s="734" t="n">
        <f aca="false">ATI!H335</f>
        <v>0</v>
      </c>
      <c r="C753" s="735" t="s">
        <v>1195</v>
      </c>
    </row>
    <row r="754" customFormat="false" ht="14.25" hidden="false" customHeight="false" outlineLevel="0" collapsed="false">
      <c r="A754" s="736" t="s">
        <v>1199</v>
      </c>
      <c r="B754" s="736" t="n">
        <f aca="false">ATI!B340</f>
        <v>0</v>
      </c>
      <c r="C754" s="737" t="s">
        <v>1200</v>
      </c>
    </row>
    <row r="755" customFormat="false" ht="14.25" hidden="false" customHeight="false" outlineLevel="0" collapsed="false">
      <c r="A755" s="734" t="s">
        <v>1201</v>
      </c>
      <c r="B755" s="734" t="n">
        <f aca="false">ATI!I347</f>
        <v>0</v>
      </c>
      <c r="C755" s="735" t="s">
        <v>1202</v>
      </c>
    </row>
    <row r="756" customFormat="false" ht="14.25" hidden="false" customHeight="false" outlineLevel="0" collapsed="false">
      <c r="A756" s="734" t="s">
        <v>1203</v>
      </c>
      <c r="B756" s="734" t="n">
        <f aca="false">ATI!I348</f>
        <v>0</v>
      </c>
      <c r="C756" s="735" t="s">
        <v>1202</v>
      </c>
    </row>
    <row r="757" customFormat="false" ht="14.25" hidden="false" customHeight="false" outlineLevel="0" collapsed="false">
      <c r="A757" s="734" t="s">
        <v>1204</v>
      </c>
      <c r="B757" s="734" t="n">
        <f aca="false">ATI!I349</f>
        <v>0</v>
      </c>
      <c r="C757" s="735" t="s">
        <v>1202</v>
      </c>
    </row>
    <row r="758" customFormat="false" ht="14.25" hidden="false" customHeight="false" outlineLevel="0" collapsed="false">
      <c r="A758" s="734" t="s">
        <v>1205</v>
      </c>
      <c r="B758" s="734" t="n">
        <f aca="false">ATI!G350</f>
        <v>0</v>
      </c>
      <c r="C758" s="735" t="s">
        <v>1202</v>
      </c>
    </row>
    <row r="759" customFormat="false" ht="14.25" hidden="false" customHeight="false" outlineLevel="0" collapsed="false">
      <c r="A759" s="734" t="s">
        <v>1206</v>
      </c>
      <c r="B759" s="734" t="n">
        <f aca="false">ATI!G351</f>
        <v>0</v>
      </c>
      <c r="C759" s="735" t="s">
        <v>1202</v>
      </c>
    </row>
    <row r="760" customFormat="false" ht="14.25" hidden="false" customHeight="false" outlineLevel="0" collapsed="false">
      <c r="A760" s="736" t="s">
        <v>1207</v>
      </c>
      <c r="B760" s="736" t="n">
        <f aca="false">ATI!G357</f>
        <v>0</v>
      </c>
      <c r="C760" s="737" t="s">
        <v>1208</v>
      </c>
    </row>
    <row r="761" customFormat="false" ht="14.25" hidden="false" customHeight="false" outlineLevel="0" collapsed="false">
      <c r="A761" s="736" t="s">
        <v>1209</v>
      </c>
      <c r="B761" s="736" t="n">
        <f aca="false">ATI!G358</f>
        <v>0</v>
      </c>
      <c r="C761" s="737" t="s">
        <v>1208</v>
      </c>
    </row>
    <row r="762" customFormat="false" ht="14.25" hidden="false" customHeight="false" outlineLevel="0" collapsed="false">
      <c r="A762" s="736" t="s">
        <v>1210</v>
      </c>
      <c r="B762" s="736" t="n">
        <f aca="false">ATI!G359</f>
        <v>0</v>
      </c>
      <c r="C762" s="737" t="s">
        <v>1208</v>
      </c>
    </row>
    <row r="763" customFormat="false" ht="14.25" hidden="false" customHeight="false" outlineLevel="0" collapsed="false">
      <c r="A763" s="736" t="s">
        <v>1211</v>
      </c>
      <c r="B763" s="736" t="n">
        <f aca="false">ATI!G360</f>
        <v>0</v>
      </c>
      <c r="C763" s="737" t="s">
        <v>1208</v>
      </c>
    </row>
    <row r="764" customFormat="false" ht="14.25" hidden="false" customHeight="false" outlineLevel="0" collapsed="false">
      <c r="A764" s="736" t="s">
        <v>1212</v>
      </c>
      <c r="B764" s="736" t="n">
        <f aca="false">ATI!G361</f>
        <v>0</v>
      </c>
      <c r="C764" s="737" t="s">
        <v>1208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3" min="3" style="733" width="9.18"/>
  </cols>
  <sheetData>
    <row r="1" customFormat="false" ht="14.25" hidden="false" customHeight="false" outlineLevel="0" collapsed="false">
      <c r="A1" s="734" t="s">
        <v>412</v>
      </c>
      <c r="B1" s="734" t="n">
        <f aca="false">Priv!I6</f>
        <v>0</v>
      </c>
    </row>
    <row r="2" customFormat="false" ht="14.25" hidden="false" customHeight="false" outlineLevel="0" collapsed="false">
      <c r="A2" s="734" t="s">
        <v>413</v>
      </c>
      <c r="B2" s="734" t="s">
        <v>1213</v>
      </c>
    </row>
    <row r="3" customFormat="false" ht="14.25" hidden="false" customHeight="false" outlineLevel="0" collapsed="false">
      <c r="A3" s="734" t="s">
        <v>415</v>
      </c>
      <c r="B3" s="734" t="n">
        <f aca="false">Priv!I15</f>
        <v>0</v>
      </c>
      <c r="C3" s="735" t="s">
        <v>416</v>
      </c>
    </row>
    <row r="4" customFormat="false" ht="14.25" hidden="false" customHeight="false" outlineLevel="0" collapsed="false">
      <c r="A4" s="734" t="s">
        <v>417</v>
      </c>
      <c r="B4" s="734" t="n">
        <f aca="false">Priv!I16</f>
        <v>0</v>
      </c>
      <c r="C4" s="735" t="s">
        <v>416</v>
      </c>
    </row>
    <row r="5" customFormat="false" ht="14.25" hidden="false" customHeight="false" outlineLevel="0" collapsed="false">
      <c r="A5" s="736" t="s">
        <v>418</v>
      </c>
      <c r="B5" s="736" t="n">
        <f aca="false">Priv!H17</f>
        <v>0</v>
      </c>
      <c r="C5" s="737" t="s">
        <v>416</v>
      </c>
    </row>
    <row r="6" customFormat="false" ht="14.25" hidden="false" customHeight="false" outlineLevel="0" collapsed="false">
      <c r="A6" s="736" t="s">
        <v>419</v>
      </c>
      <c r="B6" s="736" t="n">
        <f aca="false">Priv!H18</f>
        <v>0</v>
      </c>
      <c r="C6" s="737" t="s">
        <v>416</v>
      </c>
    </row>
    <row r="7" customFormat="false" ht="14.25" hidden="false" customHeight="false" outlineLevel="0" collapsed="false">
      <c r="A7" s="734" t="s">
        <v>420</v>
      </c>
      <c r="B7" s="734" t="n">
        <f aca="false">Priv!I19</f>
        <v>0</v>
      </c>
      <c r="C7" s="735" t="s">
        <v>416</v>
      </c>
    </row>
    <row r="8" customFormat="false" ht="14.25" hidden="false" customHeight="false" outlineLevel="0" collapsed="false">
      <c r="A8" s="734" t="s">
        <v>421</v>
      </c>
      <c r="B8" s="734" t="n">
        <f aca="false">Priv!I20</f>
        <v>0</v>
      </c>
      <c r="C8" s="735" t="s">
        <v>416</v>
      </c>
    </row>
    <row r="9" customFormat="false" ht="14.25" hidden="false" customHeight="false" outlineLevel="0" collapsed="false">
      <c r="A9" s="734" t="s">
        <v>422</v>
      </c>
      <c r="B9" s="734" t="n">
        <f aca="false">Priv!I21</f>
        <v>0</v>
      </c>
      <c r="C9" s="735" t="s">
        <v>416</v>
      </c>
    </row>
    <row r="10" customFormat="false" ht="14.25" hidden="false" customHeight="false" outlineLevel="0" collapsed="false">
      <c r="A10" s="736" t="s">
        <v>423</v>
      </c>
      <c r="B10" s="736" t="n">
        <f aca="false">Priv!H22</f>
        <v>0</v>
      </c>
      <c r="C10" s="737" t="s">
        <v>416</v>
      </c>
    </row>
    <row r="11" customFormat="false" ht="14.25" hidden="false" customHeight="false" outlineLevel="0" collapsed="false">
      <c r="A11" s="736" t="s">
        <v>424</v>
      </c>
      <c r="B11" s="736" t="n">
        <f aca="false">Priv!H23</f>
        <v>0</v>
      </c>
      <c r="C11" s="737" t="s">
        <v>416</v>
      </c>
    </row>
    <row r="12" customFormat="false" ht="14.25" hidden="false" customHeight="false" outlineLevel="0" collapsed="false">
      <c r="A12" s="736" t="s">
        <v>425</v>
      </c>
      <c r="B12" s="736" t="n">
        <f aca="false">Priv!H28</f>
        <v>0</v>
      </c>
      <c r="C12" s="737" t="s">
        <v>426</v>
      </c>
    </row>
    <row r="13" customFormat="false" ht="14.25" hidden="false" customHeight="false" outlineLevel="0" collapsed="false">
      <c r="A13" s="741" t="s">
        <v>427</v>
      </c>
      <c r="B13" s="736" t="n">
        <f aca="false">Priv!H29</f>
        <v>0</v>
      </c>
      <c r="C13" s="737" t="s">
        <v>426</v>
      </c>
    </row>
    <row r="14" customFormat="false" ht="14.25" hidden="false" customHeight="false" outlineLevel="0" collapsed="false">
      <c r="A14" s="741" t="s">
        <v>428</v>
      </c>
      <c r="B14" s="736" t="n">
        <f aca="false">Priv!H30</f>
        <v>0</v>
      </c>
      <c r="C14" s="737" t="s">
        <v>426</v>
      </c>
    </row>
    <row r="15" customFormat="false" ht="14.25" hidden="false" customHeight="false" outlineLevel="0" collapsed="false">
      <c r="A15" s="741" t="s">
        <v>429</v>
      </c>
      <c r="B15" s="736" t="n">
        <f aca="false">Priv!H31</f>
        <v>0</v>
      </c>
      <c r="C15" s="737" t="s">
        <v>426</v>
      </c>
    </row>
    <row r="16" customFormat="false" ht="14.25" hidden="false" customHeight="false" outlineLevel="0" collapsed="false">
      <c r="A16" s="741" t="s">
        <v>430</v>
      </c>
      <c r="B16" s="736" t="n">
        <f aca="false">Priv!H32</f>
        <v>0</v>
      </c>
      <c r="C16" s="737" t="s">
        <v>426</v>
      </c>
    </row>
    <row r="17" customFormat="false" ht="14.25" hidden="false" customHeight="false" outlineLevel="0" collapsed="false">
      <c r="A17" s="741" t="s">
        <v>431</v>
      </c>
      <c r="B17" s="736" t="n">
        <f aca="false">Priv!H33</f>
        <v>0</v>
      </c>
      <c r="C17" s="737" t="s">
        <v>426</v>
      </c>
    </row>
    <row r="18" customFormat="false" ht="14.25" hidden="false" customHeight="false" outlineLevel="0" collapsed="false">
      <c r="A18" s="741" t="s">
        <v>432</v>
      </c>
      <c r="B18" s="736" t="n">
        <f aca="false">Priv!H34</f>
        <v>0</v>
      </c>
      <c r="C18" s="737" t="s">
        <v>426</v>
      </c>
    </row>
    <row r="19" customFormat="false" ht="14.25" hidden="false" customHeight="false" outlineLevel="0" collapsed="false">
      <c r="A19" s="736" t="s">
        <v>433</v>
      </c>
      <c r="B19" s="736" t="n">
        <f aca="false">Priv!I40</f>
        <v>0</v>
      </c>
      <c r="C19" s="737" t="s">
        <v>442</v>
      </c>
    </row>
    <row r="20" customFormat="false" ht="14.25" hidden="false" customHeight="false" outlineLevel="0" collapsed="false">
      <c r="A20" s="740" t="s">
        <v>435</v>
      </c>
      <c r="B20" s="736" t="n">
        <f aca="false">Priv!I41</f>
        <v>0</v>
      </c>
      <c r="C20" s="737" t="s">
        <v>442</v>
      </c>
    </row>
    <row r="21" customFormat="false" ht="14.25" hidden="false" customHeight="false" outlineLevel="0" collapsed="false">
      <c r="A21" s="740" t="s">
        <v>436</v>
      </c>
      <c r="B21" s="736" t="n">
        <f aca="false">Priv!H42</f>
        <v>0</v>
      </c>
      <c r="C21" s="737" t="s">
        <v>442</v>
      </c>
    </row>
    <row r="22" customFormat="false" ht="14.25" hidden="false" customHeight="false" outlineLevel="0" collapsed="false">
      <c r="A22" s="740" t="s">
        <v>437</v>
      </c>
      <c r="B22" s="736" t="n">
        <f aca="false">Priv!H43</f>
        <v>0</v>
      </c>
      <c r="C22" s="737" t="s">
        <v>442</v>
      </c>
    </row>
    <row r="23" customFormat="false" ht="14.25" hidden="false" customHeight="false" outlineLevel="0" collapsed="false">
      <c r="A23" s="740" t="s">
        <v>438</v>
      </c>
      <c r="B23" s="736" t="n">
        <f aca="false">Priv!I44</f>
        <v>0</v>
      </c>
      <c r="C23" s="737" t="s">
        <v>442</v>
      </c>
    </row>
    <row r="24" customFormat="false" ht="14.25" hidden="false" customHeight="false" outlineLevel="0" collapsed="false">
      <c r="A24" s="740" t="s">
        <v>439</v>
      </c>
      <c r="B24" s="736" t="n">
        <f aca="false">Priv!I45</f>
        <v>0</v>
      </c>
      <c r="C24" s="737" t="s">
        <v>442</v>
      </c>
    </row>
    <row r="25" customFormat="false" ht="14.25" hidden="false" customHeight="false" outlineLevel="0" collapsed="false">
      <c r="A25" s="740" t="s">
        <v>440</v>
      </c>
      <c r="B25" s="736" t="n">
        <f aca="false">Priv!I46</f>
        <v>0</v>
      </c>
      <c r="C25" s="737" t="s">
        <v>442</v>
      </c>
    </row>
    <row r="26" customFormat="false" ht="14.25" hidden="false" customHeight="false" outlineLevel="0" collapsed="false">
      <c r="A26" s="736" t="s">
        <v>441</v>
      </c>
      <c r="B26" s="736" t="e">
        <f aca="false">priv!#ref!</f>
        <v>#NAME?</v>
      </c>
      <c r="C26" s="737" t="s">
        <v>450</v>
      </c>
    </row>
    <row r="27" customFormat="false" ht="14.25" hidden="false" customHeight="false" outlineLevel="0" collapsed="false">
      <c r="A27" s="740" t="s">
        <v>443</v>
      </c>
      <c r="B27" s="736" t="e">
        <f aca="false">priv!#ref!</f>
        <v>#NAME?</v>
      </c>
      <c r="C27" s="737" t="s">
        <v>450</v>
      </c>
    </row>
    <row r="28" customFormat="false" ht="14.25" hidden="false" customHeight="false" outlineLevel="0" collapsed="false">
      <c r="A28" s="740" t="s">
        <v>444</v>
      </c>
      <c r="B28" s="736" t="e">
        <f aca="false">priv!#ref!</f>
        <v>#NAME?</v>
      </c>
      <c r="C28" s="737" t="s">
        <v>450</v>
      </c>
    </row>
    <row r="29" customFormat="false" ht="14.25" hidden="false" customHeight="false" outlineLevel="0" collapsed="false">
      <c r="A29" s="740" t="s">
        <v>445</v>
      </c>
      <c r="B29" s="736" t="e">
        <f aca="false">priv!#ref!</f>
        <v>#NAME?</v>
      </c>
      <c r="C29" s="737" t="s">
        <v>450</v>
      </c>
    </row>
    <row r="30" customFormat="false" ht="14.25" hidden="false" customHeight="false" outlineLevel="0" collapsed="false">
      <c r="A30" s="740" t="s">
        <v>446</v>
      </c>
      <c r="B30" s="736" t="e">
        <f aca="false">priv!#ref!</f>
        <v>#NAME?</v>
      </c>
      <c r="C30" s="737" t="s">
        <v>450</v>
      </c>
    </row>
    <row r="31" customFormat="false" ht="14.25" hidden="false" customHeight="false" outlineLevel="0" collapsed="false">
      <c r="A31" s="740" t="s">
        <v>447</v>
      </c>
      <c r="B31" s="736" t="e">
        <f aca="false">priv!#ref!</f>
        <v>#NAME?</v>
      </c>
      <c r="C31" s="737" t="s">
        <v>450</v>
      </c>
    </row>
    <row r="32" customFormat="false" ht="14.25" hidden="false" customHeight="false" outlineLevel="0" collapsed="false">
      <c r="A32" s="740" t="s">
        <v>448</v>
      </c>
      <c r="B32" s="736" t="e">
        <f aca="false">priv!#ref!</f>
        <v>#NAME?</v>
      </c>
      <c r="C32" s="737" t="s">
        <v>450</v>
      </c>
    </row>
    <row r="33" customFormat="false" ht="14.25" hidden="false" customHeight="false" outlineLevel="0" collapsed="false">
      <c r="A33" s="736" t="s">
        <v>449</v>
      </c>
      <c r="B33" s="736" t="n">
        <f aca="false">Priv!B52</f>
        <v>0</v>
      </c>
      <c r="C33" s="737" t="s">
        <v>458</v>
      </c>
    </row>
    <row r="34" customFormat="false" ht="14.25" hidden="false" customHeight="false" outlineLevel="0" collapsed="false">
      <c r="A34" s="736" t="s">
        <v>1214</v>
      </c>
      <c r="B34" s="736" t="n">
        <f aca="false">Priv!C52</f>
        <v>0</v>
      </c>
      <c r="C34" s="737" t="s">
        <v>458</v>
      </c>
    </row>
    <row r="35" customFormat="false" ht="14.25" hidden="false" customHeight="false" outlineLevel="0" collapsed="false">
      <c r="A35" s="736" t="s">
        <v>1215</v>
      </c>
      <c r="B35" s="736" t="n">
        <f aca="false">Priv!D52</f>
        <v>0</v>
      </c>
      <c r="C35" s="737" t="s">
        <v>458</v>
      </c>
    </row>
    <row r="36" customFormat="false" ht="14.25" hidden="false" customHeight="false" outlineLevel="0" collapsed="false">
      <c r="A36" s="736" t="s">
        <v>1216</v>
      </c>
      <c r="B36" s="736" t="n">
        <f aca="false">Priv!E52</f>
        <v>0</v>
      </c>
      <c r="C36" s="737" t="s">
        <v>458</v>
      </c>
    </row>
    <row r="37" customFormat="false" ht="14.25" hidden="false" customHeight="false" outlineLevel="0" collapsed="false">
      <c r="A37" s="736" t="s">
        <v>1217</v>
      </c>
      <c r="B37" s="736" t="n">
        <f aca="false">Priv!F52</f>
        <v>0</v>
      </c>
      <c r="C37" s="737" t="s">
        <v>458</v>
      </c>
    </row>
    <row r="38" customFormat="false" ht="14.25" hidden="false" customHeight="false" outlineLevel="0" collapsed="false">
      <c r="A38" s="736" t="s">
        <v>1218</v>
      </c>
      <c r="B38" s="736" t="n">
        <f aca="false">Priv!G52</f>
        <v>0</v>
      </c>
      <c r="C38" s="737" t="s">
        <v>458</v>
      </c>
    </row>
    <row r="39" customFormat="false" ht="14.25" hidden="false" customHeight="false" outlineLevel="0" collapsed="false">
      <c r="A39" s="736" t="s">
        <v>1219</v>
      </c>
      <c r="B39" s="736" t="n">
        <f aca="false">Priv!H52</f>
        <v>0</v>
      </c>
      <c r="C39" s="737" t="s">
        <v>458</v>
      </c>
    </row>
    <row r="40" customFormat="false" ht="14.25" hidden="false" customHeight="false" outlineLevel="0" collapsed="false">
      <c r="A40" s="736" t="s">
        <v>457</v>
      </c>
      <c r="B40" s="736" t="n">
        <f aca="false">Priv!B58</f>
        <v>0</v>
      </c>
      <c r="C40" s="737" t="s">
        <v>466</v>
      </c>
    </row>
    <row r="41" customFormat="false" ht="14.25" hidden="false" customHeight="false" outlineLevel="0" collapsed="false">
      <c r="A41" s="741" t="s">
        <v>459</v>
      </c>
      <c r="B41" s="736" t="n">
        <f aca="false">Priv!C58</f>
        <v>0</v>
      </c>
      <c r="C41" s="737" t="s">
        <v>466</v>
      </c>
    </row>
    <row r="42" customFormat="false" ht="14.25" hidden="false" customHeight="false" outlineLevel="0" collapsed="false">
      <c r="A42" s="741" t="s">
        <v>460</v>
      </c>
      <c r="B42" s="736" t="e">
        <f aca="false">priv!#ref!</f>
        <v>#NAME?</v>
      </c>
      <c r="C42" s="737" t="s">
        <v>466</v>
      </c>
    </row>
    <row r="43" customFormat="false" ht="14.25" hidden="false" customHeight="false" outlineLevel="0" collapsed="false">
      <c r="A43" s="741" t="s">
        <v>461</v>
      </c>
      <c r="B43" s="736" t="e">
        <f aca="false">priv!#ref!</f>
        <v>#NAME?</v>
      </c>
      <c r="C43" s="737" t="s">
        <v>466</v>
      </c>
    </row>
    <row r="44" customFormat="false" ht="14.25" hidden="false" customHeight="false" outlineLevel="0" collapsed="false">
      <c r="A44" s="741" t="s">
        <v>462</v>
      </c>
      <c r="B44" s="736" t="n">
        <f aca="false">Priv!D58</f>
        <v>0</v>
      </c>
      <c r="C44" s="737" t="s">
        <v>466</v>
      </c>
    </row>
    <row r="45" customFormat="false" ht="14.25" hidden="false" customHeight="false" outlineLevel="0" collapsed="false">
      <c r="A45" s="741" t="s">
        <v>463</v>
      </c>
      <c r="B45" s="736" t="n">
        <f aca="false">Priv!E58</f>
        <v>0</v>
      </c>
      <c r="C45" s="737" t="s">
        <v>466</v>
      </c>
    </row>
    <row r="46" customFormat="false" ht="14.25" hidden="false" customHeight="false" outlineLevel="0" collapsed="false">
      <c r="A46" s="741" t="s">
        <v>464</v>
      </c>
      <c r="B46" s="736" t="e">
        <f aca="false">priv!#ref!</f>
        <v>#NAME?</v>
      </c>
      <c r="C46" s="737" t="s">
        <v>466</v>
      </c>
    </row>
    <row r="47" customFormat="false" ht="14.25" hidden="false" customHeight="false" outlineLevel="0" collapsed="false">
      <c r="A47" s="741" t="s">
        <v>1220</v>
      </c>
      <c r="B47" s="736" t="e">
        <f aca="false">priv!#ref!</f>
        <v>#NAME?</v>
      </c>
      <c r="C47" s="737" t="s">
        <v>466</v>
      </c>
    </row>
    <row r="48" customFormat="false" ht="14.25" hidden="false" customHeight="false" outlineLevel="0" collapsed="false">
      <c r="A48" s="741" t="s">
        <v>1221</v>
      </c>
      <c r="B48" s="736" t="n">
        <f aca="false">Priv!F58</f>
        <v>0</v>
      </c>
      <c r="C48" s="737" t="s">
        <v>466</v>
      </c>
    </row>
    <row r="49" customFormat="false" ht="14.25" hidden="false" customHeight="false" outlineLevel="0" collapsed="false">
      <c r="A49" s="741" t="s">
        <v>1222</v>
      </c>
      <c r="B49" s="736" t="n">
        <f aca="false">Priv!G58</f>
        <v>0</v>
      </c>
      <c r="C49" s="737" t="s">
        <v>466</v>
      </c>
    </row>
    <row r="50" customFormat="false" ht="14.25" hidden="false" customHeight="false" outlineLevel="0" collapsed="false">
      <c r="A50" s="734" t="s">
        <v>465</v>
      </c>
      <c r="B50" s="734" t="n">
        <f aca="false">Priv!E66</f>
        <v>0</v>
      </c>
      <c r="C50" s="735" t="s">
        <v>1223</v>
      </c>
    </row>
    <row r="51" customFormat="false" ht="14.25" hidden="false" customHeight="false" outlineLevel="0" collapsed="false">
      <c r="A51" s="742" t="s">
        <v>467</v>
      </c>
      <c r="B51" s="734" t="n">
        <f aca="false">Priv!F66</f>
        <v>0</v>
      </c>
      <c r="C51" s="735" t="s">
        <v>1223</v>
      </c>
    </row>
    <row r="52" customFormat="false" ht="14.25" hidden="false" customHeight="false" outlineLevel="0" collapsed="false">
      <c r="A52" s="742" t="s">
        <v>468</v>
      </c>
      <c r="B52" s="734" t="n">
        <f aca="false">Priv!G66</f>
        <v>0</v>
      </c>
      <c r="C52" s="735" t="s">
        <v>1223</v>
      </c>
    </row>
    <row r="53" customFormat="false" ht="14.25" hidden="false" customHeight="false" outlineLevel="0" collapsed="false">
      <c r="A53" s="742" t="s">
        <v>469</v>
      </c>
      <c r="B53" s="734" t="n">
        <f aca="false">Priv!H66</f>
        <v>0</v>
      </c>
      <c r="C53" s="735" t="s">
        <v>1223</v>
      </c>
    </row>
    <row r="54" customFormat="false" ht="14.25" hidden="false" customHeight="false" outlineLevel="0" collapsed="false">
      <c r="A54" s="742" t="s">
        <v>470</v>
      </c>
      <c r="B54" s="734" t="n">
        <f aca="false">Priv!I66</f>
        <v>0</v>
      </c>
      <c r="C54" s="735" t="s">
        <v>1223</v>
      </c>
    </row>
    <row r="55" customFormat="false" ht="14.25" hidden="false" customHeight="false" outlineLevel="0" collapsed="false">
      <c r="A55" s="742" t="s">
        <v>471</v>
      </c>
      <c r="B55" s="734" t="n">
        <f aca="false">Priv!J66</f>
        <v>0</v>
      </c>
      <c r="C55" s="735" t="s">
        <v>1223</v>
      </c>
    </row>
    <row r="56" customFormat="false" ht="14.25" hidden="false" customHeight="false" outlineLevel="0" collapsed="false">
      <c r="A56" s="742" t="s">
        <v>472</v>
      </c>
      <c r="B56" s="734" t="n">
        <f aca="false">Priv!K66</f>
        <v>0</v>
      </c>
      <c r="C56" s="735" t="s">
        <v>1223</v>
      </c>
    </row>
    <row r="57" customFormat="false" ht="14.25" hidden="false" customHeight="false" outlineLevel="0" collapsed="false">
      <c r="A57" s="734" t="s">
        <v>1224</v>
      </c>
      <c r="B57" s="734" t="n">
        <f aca="false">Priv!E67</f>
        <v>0</v>
      </c>
      <c r="C57" s="735" t="s">
        <v>1223</v>
      </c>
    </row>
    <row r="58" customFormat="false" ht="14.25" hidden="false" customHeight="false" outlineLevel="0" collapsed="false">
      <c r="A58" s="742" t="s">
        <v>1225</v>
      </c>
      <c r="B58" s="734" t="n">
        <f aca="false">Priv!F67</f>
        <v>0</v>
      </c>
      <c r="C58" s="735" t="s">
        <v>1223</v>
      </c>
    </row>
    <row r="59" customFormat="false" ht="14.25" hidden="false" customHeight="false" outlineLevel="0" collapsed="false">
      <c r="A59" s="742" t="s">
        <v>1226</v>
      </c>
      <c r="B59" s="734" t="n">
        <f aca="false">Priv!G67</f>
        <v>0</v>
      </c>
      <c r="C59" s="735" t="s">
        <v>1223</v>
      </c>
    </row>
    <row r="60" customFormat="false" ht="14.25" hidden="false" customHeight="false" outlineLevel="0" collapsed="false">
      <c r="A60" s="742" t="s">
        <v>1227</v>
      </c>
      <c r="B60" s="734" t="n">
        <f aca="false">Priv!H67</f>
        <v>0</v>
      </c>
      <c r="C60" s="735" t="s">
        <v>1223</v>
      </c>
    </row>
    <row r="61" customFormat="false" ht="14.25" hidden="false" customHeight="false" outlineLevel="0" collapsed="false">
      <c r="A61" s="742" t="s">
        <v>1228</v>
      </c>
      <c r="B61" s="734" t="n">
        <f aca="false">Priv!I67</f>
        <v>0</v>
      </c>
      <c r="C61" s="735" t="s">
        <v>1223</v>
      </c>
    </row>
    <row r="62" customFormat="false" ht="14.25" hidden="false" customHeight="false" outlineLevel="0" collapsed="false">
      <c r="A62" s="742" t="s">
        <v>1229</v>
      </c>
      <c r="B62" s="734" t="n">
        <f aca="false">Priv!J67</f>
        <v>0</v>
      </c>
      <c r="C62" s="735" t="s">
        <v>1223</v>
      </c>
    </row>
    <row r="63" customFormat="false" ht="14.25" hidden="false" customHeight="false" outlineLevel="0" collapsed="false">
      <c r="A63" s="742" t="s">
        <v>1230</v>
      </c>
      <c r="B63" s="734" t="n">
        <f aca="false">Priv!K67</f>
        <v>0</v>
      </c>
      <c r="C63" s="735" t="s">
        <v>1223</v>
      </c>
    </row>
    <row r="64" customFormat="false" ht="14.25" hidden="false" customHeight="false" outlineLevel="0" collapsed="false">
      <c r="A64" s="734" t="s">
        <v>1231</v>
      </c>
      <c r="B64" s="734" t="n">
        <f aca="false">Priv!E68</f>
        <v>0</v>
      </c>
      <c r="C64" s="735" t="s">
        <v>1223</v>
      </c>
    </row>
    <row r="65" customFormat="false" ht="14.25" hidden="false" customHeight="false" outlineLevel="0" collapsed="false">
      <c r="A65" s="742" t="s">
        <v>1232</v>
      </c>
      <c r="B65" s="734" t="n">
        <f aca="false">Priv!F68</f>
        <v>0</v>
      </c>
      <c r="C65" s="735" t="s">
        <v>1223</v>
      </c>
    </row>
    <row r="66" customFormat="false" ht="14.25" hidden="false" customHeight="false" outlineLevel="0" collapsed="false">
      <c r="A66" s="742" t="s">
        <v>1233</v>
      </c>
      <c r="B66" s="734" t="n">
        <f aca="false">Priv!G68</f>
        <v>0</v>
      </c>
      <c r="C66" s="735" t="s">
        <v>1223</v>
      </c>
    </row>
    <row r="67" customFormat="false" ht="14.25" hidden="false" customHeight="false" outlineLevel="0" collapsed="false">
      <c r="A67" s="742" t="s">
        <v>1234</v>
      </c>
      <c r="B67" s="734" t="n">
        <f aca="false">Priv!H68</f>
        <v>0</v>
      </c>
      <c r="C67" s="735" t="s">
        <v>1223</v>
      </c>
    </row>
    <row r="68" customFormat="false" ht="14.25" hidden="false" customHeight="false" outlineLevel="0" collapsed="false">
      <c r="A68" s="742" t="s">
        <v>1235</v>
      </c>
      <c r="B68" s="734" t="n">
        <f aca="false">Priv!I68</f>
        <v>0</v>
      </c>
      <c r="C68" s="735" t="s">
        <v>1223</v>
      </c>
    </row>
    <row r="69" customFormat="false" ht="14.25" hidden="false" customHeight="false" outlineLevel="0" collapsed="false">
      <c r="A69" s="742" t="s">
        <v>1236</v>
      </c>
      <c r="B69" s="734" t="n">
        <f aca="false">Priv!J68</f>
        <v>0</v>
      </c>
      <c r="C69" s="735" t="s">
        <v>1223</v>
      </c>
    </row>
    <row r="70" customFormat="false" ht="14.25" hidden="false" customHeight="false" outlineLevel="0" collapsed="false">
      <c r="A70" s="742" t="s">
        <v>1230</v>
      </c>
      <c r="B70" s="734" t="n">
        <f aca="false">Priv!K68</f>
        <v>0</v>
      </c>
      <c r="C70" s="735" t="s">
        <v>1223</v>
      </c>
    </row>
    <row r="71" customFormat="false" ht="14.25" hidden="false" customHeight="false" outlineLevel="0" collapsed="false">
      <c r="A71" s="734" t="s">
        <v>1237</v>
      </c>
      <c r="B71" s="734" t="n">
        <f aca="false">Priv!E69</f>
        <v>0</v>
      </c>
      <c r="C71" s="735" t="s">
        <v>1223</v>
      </c>
    </row>
    <row r="72" customFormat="false" ht="14.25" hidden="false" customHeight="false" outlineLevel="0" collapsed="false">
      <c r="A72" s="742" t="s">
        <v>1238</v>
      </c>
      <c r="B72" s="734" t="n">
        <f aca="false">Priv!F69</f>
        <v>0</v>
      </c>
      <c r="C72" s="735" t="s">
        <v>1223</v>
      </c>
    </row>
    <row r="73" customFormat="false" ht="14.25" hidden="false" customHeight="false" outlineLevel="0" collapsed="false">
      <c r="A73" s="742" t="s">
        <v>1239</v>
      </c>
      <c r="B73" s="734" t="n">
        <f aca="false">Priv!G69</f>
        <v>0</v>
      </c>
      <c r="C73" s="735" t="s">
        <v>1223</v>
      </c>
    </row>
    <row r="74" customFormat="false" ht="14.25" hidden="false" customHeight="false" outlineLevel="0" collapsed="false">
      <c r="A74" s="742" t="s">
        <v>1240</v>
      </c>
      <c r="B74" s="734" t="n">
        <f aca="false">Priv!H69</f>
        <v>0</v>
      </c>
      <c r="C74" s="735" t="s">
        <v>1223</v>
      </c>
    </row>
    <row r="75" customFormat="false" ht="14.25" hidden="false" customHeight="false" outlineLevel="0" collapsed="false">
      <c r="A75" s="742" t="s">
        <v>1241</v>
      </c>
      <c r="B75" s="734" t="n">
        <f aca="false">Priv!I69</f>
        <v>0</v>
      </c>
      <c r="C75" s="735" t="s">
        <v>1223</v>
      </c>
    </row>
    <row r="76" customFormat="false" ht="14.25" hidden="false" customHeight="false" outlineLevel="0" collapsed="false">
      <c r="A76" s="742" t="s">
        <v>1242</v>
      </c>
      <c r="B76" s="734" t="n">
        <f aca="false">Priv!J69</f>
        <v>0</v>
      </c>
      <c r="C76" s="735" t="s">
        <v>1223</v>
      </c>
    </row>
    <row r="77" customFormat="false" ht="14.25" hidden="false" customHeight="false" outlineLevel="0" collapsed="false">
      <c r="A77" s="742" t="s">
        <v>1243</v>
      </c>
      <c r="B77" s="734" t="n">
        <f aca="false">Priv!K69</f>
        <v>0</v>
      </c>
      <c r="C77" s="735" t="s">
        <v>1223</v>
      </c>
    </row>
    <row r="78" customFormat="false" ht="14.25" hidden="false" customHeight="false" outlineLevel="0" collapsed="false">
      <c r="A78" s="734" t="s">
        <v>1244</v>
      </c>
      <c r="B78" s="734" t="n">
        <f aca="false">Priv!E70</f>
        <v>0</v>
      </c>
      <c r="C78" s="735" t="s">
        <v>1223</v>
      </c>
    </row>
    <row r="79" customFormat="false" ht="14.25" hidden="false" customHeight="false" outlineLevel="0" collapsed="false">
      <c r="A79" s="742" t="s">
        <v>1245</v>
      </c>
      <c r="B79" s="734" t="n">
        <f aca="false">Priv!F70</f>
        <v>0</v>
      </c>
      <c r="C79" s="735" t="s">
        <v>1223</v>
      </c>
    </row>
    <row r="80" customFormat="false" ht="14.25" hidden="false" customHeight="false" outlineLevel="0" collapsed="false">
      <c r="A80" s="742" t="s">
        <v>1246</v>
      </c>
      <c r="B80" s="734" t="n">
        <f aca="false">Priv!G70</f>
        <v>0</v>
      </c>
      <c r="C80" s="735" t="s">
        <v>1223</v>
      </c>
    </row>
    <row r="81" customFormat="false" ht="14.25" hidden="false" customHeight="false" outlineLevel="0" collapsed="false">
      <c r="A81" s="742" t="s">
        <v>1247</v>
      </c>
      <c r="B81" s="734" t="n">
        <f aca="false">Priv!H70</f>
        <v>0</v>
      </c>
      <c r="C81" s="735" t="s">
        <v>1223</v>
      </c>
    </row>
    <row r="82" customFormat="false" ht="14.25" hidden="false" customHeight="false" outlineLevel="0" collapsed="false">
      <c r="A82" s="742" t="s">
        <v>1248</v>
      </c>
      <c r="B82" s="734" t="n">
        <f aca="false">Priv!I70</f>
        <v>0</v>
      </c>
      <c r="C82" s="735" t="s">
        <v>1223</v>
      </c>
    </row>
    <row r="83" customFormat="false" ht="14.25" hidden="false" customHeight="false" outlineLevel="0" collapsed="false">
      <c r="A83" s="742" t="s">
        <v>1249</v>
      </c>
      <c r="B83" s="734" t="n">
        <f aca="false">Priv!J70</f>
        <v>0</v>
      </c>
      <c r="C83" s="735" t="s">
        <v>1223</v>
      </c>
    </row>
    <row r="84" customFormat="false" ht="14.25" hidden="false" customHeight="false" outlineLevel="0" collapsed="false">
      <c r="A84" s="742" t="s">
        <v>1250</v>
      </c>
      <c r="B84" s="734" t="n">
        <f aca="false">Priv!K70</f>
        <v>0</v>
      </c>
      <c r="C84" s="735" t="s">
        <v>1223</v>
      </c>
    </row>
    <row r="85" customFormat="false" ht="14.25" hidden="false" customHeight="false" outlineLevel="0" collapsed="false">
      <c r="A85" s="734" t="s">
        <v>1251</v>
      </c>
      <c r="B85" s="734" t="n">
        <f aca="false">Priv!E71</f>
        <v>0</v>
      </c>
      <c r="C85" s="735" t="s">
        <v>1223</v>
      </c>
    </row>
    <row r="86" customFormat="false" ht="14.25" hidden="false" customHeight="false" outlineLevel="0" collapsed="false">
      <c r="A86" s="742" t="s">
        <v>1252</v>
      </c>
      <c r="B86" s="734" t="n">
        <f aca="false">Priv!F71</f>
        <v>0</v>
      </c>
      <c r="C86" s="735" t="s">
        <v>1223</v>
      </c>
    </row>
    <row r="87" customFormat="false" ht="14.25" hidden="false" customHeight="false" outlineLevel="0" collapsed="false">
      <c r="A87" s="742" t="s">
        <v>1253</v>
      </c>
      <c r="B87" s="734" t="n">
        <f aca="false">Priv!G71</f>
        <v>0</v>
      </c>
      <c r="C87" s="735" t="s">
        <v>1223</v>
      </c>
    </row>
    <row r="88" customFormat="false" ht="14.25" hidden="false" customHeight="false" outlineLevel="0" collapsed="false">
      <c r="A88" s="742" t="s">
        <v>1254</v>
      </c>
      <c r="B88" s="734" t="n">
        <f aca="false">Priv!H71</f>
        <v>0</v>
      </c>
      <c r="C88" s="735" t="s">
        <v>1223</v>
      </c>
    </row>
    <row r="89" customFormat="false" ht="14.25" hidden="false" customHeight="false" outlineLevel="0" collapsed="false">
      <c r="A89" s="742" t="s">
        <v>1255</v>
      </c>
      <c r="B89" s="734" t="n">
        <f aca="false">Priv!I71</f>
        <v>0</v>
      </c>
      <c r="C89" s="735" t="s">
        <v>1223</v>
      </c>
    </row>
    <row r="90" customFormat="false" ht="14.25" hidden="false" customHeight="false" outlineLevel="0" collapsed="false">
      <c r="A90" s="742" t="s">
        <v>1256</v>
      </c>
      <c r="B90" s="734" t="n">
        <f aca="false">Priv!J71</f>
        <v>0</v>
      </c>
      <c r="C90" s="735" t="s">
        <v>1223</v>
      </c>
    </row>
    <row r="91" customFormat="false" ht="14.25" hidden="false" customHeight="false" outlineLevel="0" collapsed="false">
      <c r="A91" s="742" t="s">
        <v>1257</v>
      </c>
      <c r="B91" s="734" t="n">
        <f aca="false">Priv!K71</f>
        <v>0</v>
      </c>
      <c r="C91" s="735" t="s">
        <v>1223</v>
      </c>
    </row>
    <row r="92" customFormat="false" ht="14.25" hidden="false" customHeight="false" outlineLevel="0" collapsed="false">
      <c r="A92" s="734" t="s">
        <v>1258</v>
      </c>
      <c r="B92" s="734" t="n">
        <f aca="false">Priv!E72</f>
        <v>0</v>
      </c>
      <c r="C92" s="735" t="s">
        <v>1223</v>
      </c>
    </row>
    <row r="93" customFormat="false" ht="14.25" hidden="false" customHeight="false" outlineLevel="0" collapsed="false">
      <c r="A93" s="742" t="s">
        <v>1259</v>
      </c>
      <c r="B93" s="734" t="n">
        <f aca="false">Priv!F72</f>
        <v>0</v>
      </c>
      <c r="C93" s="735" t="s">
        <v>1223</v>
      </c>
    </row>
    <row r="94" customFormat="false" ht="14.25" hidden="false" customHeight="false" outlineLevel="0" collapsed="false">
      <c r="A94" s="742" t="s">
        <v>1260</v>
      </c>
      <c r="B94" s="734" t="n">
        <f aca="false">Priv!G72</f>
        <v>0</v>
      </c>
      <c r="C94" s="735" t="s">
        <v>1223</v>
      </c>
    </row>
    <row r="95" customFormat="false" ht="14.25" hidden="false" customHeight="false" outlineLevel="0" collapsed="false">
      <c r="A95" s="742" t="s">
        <v>1261</v>
      </c>
      <c r="B95" s="734" t="n">
        <f aca="false">Priv!H72</f>
        <v>0</v>
      </c>
      <c r="C95" s="735" t="s">
        <v>1223</v>
      </c>
    </row>
    <row r="96" customFormat="false" ht="14.25" hidden="false" customHeight="false" outlineLevel="0" collapsed="false">
      <c r="A96" s="742" t="s">
        <v>1262</v>
      </c>
      <c r="B96" s="734" t="n">
        <f aca="false">Priv!I72</f>
        <v>0</v>
      </c>
      <c r="C96" s="735" t="s">
        <v>1223</v>
      </c>
    </row>
    <row r="97" customFormat="false" ht="14.25" hidden="false" customHeight="false" outlineLevel="0" collapsed="false">
      <c r="A97" s="742" t="s">
        <v>1263</v>
      </c>
      <c r="B97" s="734" t="n">
        <f aca="false">Priv!J72</f>
        <v>0</v>
      </c>
      <c r="C97" s="735" t="s">
        <v>1223</v>
      </c>
    </row>
    <row r="98" customFormat="false" ht="14.25" hidden="false" customHeight="false" outlineLevel="0" collapsed="false">
      <c r="A98" s="742" t="s">
        <v>1264</v>
      </c>
      <c r="B98" s="734" t="n">
        <f aca="false">Priv!K72</f>
        <v>0</v>
      </c>
      <c r="C98" s="735" t="s">
        <v>1223</v>
      </c>
    </row>
    <row r="99" customFormat="false" ht="14.25" hidden="false" customHeight="false" outlineLevel="0" collapsed="false">
      <c r="A99" s="734" t="s">
        <v>476</v>
      </c>
      <c r="B99" s="734" t="n">
        <f aca="false">Priv!D79</f>
        <v>0</v>
      </c>
      <c r="C99" s="735" t="s">
        <v>1265</v>
      </c>
    </row>
    <row r="100" customFormat="false" ht="14.25" hidden="false" customHeight="false" outlineLevel="0" collapsed="false">
      <c r="A100" s="734" t="s">
        <v>1266</v>
      </c>
      <c r="B100" s="734" t="n">
        <f aca="false">Priv!D80</f>
        <v>0</v>
      </c>
      <c r="C100" s="735" t="s">
        <v>1265</v>
      </c>
    </row>
    <row r="101" customFormat="false" ht="14.25" hidden="false" customHeight="false" outlineLevel="0" collapsed="false">
      <c r="A101" s="734" t="s">
        <v>1267</v>
      </c>
      <c r="B101" s="734" t="n">
        <f aca="false">Priv!D81</f>
        <v>0</v>
      </c>
      <c r="C101" s="735" t="s">
        <v>1265</v>
      </c>
    </row>
    <row r="102" customFormat="false" ht="14.25" hidden="false" customHeight="false" outlineLevel="0" collapsed="false">
      <c r="A102" s="734" t="s">
        <v>1268</v>
      </c>
      <c r="B102" s="734" t="n">
        <f aca="false">Priv!D82</f>
        <v>0</v>
      </c>
      <c r="C102" s="735" t="s">
        <v>1265</v>
      </c>
    </row>
    <row r="103" customFormat="false" ht="14.25" hidden="false" customHeight="false" outlineLevel="0" collapsed="false">
      <c r="A103" s="734" t="s">
        <v>1269</v>
      </c>
      <c r="B103" s="734" t="n">
        <f aca="false">Priv!D83</f>
        <v>0</v>
      </c>
      <c r="C103" s="735" t="s">
        <v>1265</v>
      </c>
    </row>
    <row r="104" customFormat="false" ht="14.25" hidden="false" customHeight="false" outlineLevel="0" collapsed="false">
      <c r="A104" s="734" t="s">
        <v>1270</v>
      </c>
      <c r="B104" s="734" t="n">
        <f aca="false">Priv!D84</f>
        <v>0</v>
      </c>
      <c r="C104" s="735" t="s">
        <v>1265</v>
      </c>
    </row>
    <row r="105" customFormat="false" ht="14.25" hidden="false" customHeight="false" outlineLevel="0" collapsed="false">
      <c r="A105" s="734" t="s">
        <v>1271</v>
      </c>
      <c r="B105" s="734" t="n">
        <f aca="false">Priv!D85</f>
        <v>0</v>
      </c>
      <c r="C105" s="735" t="s">
        <v>1265</v>
      </c>
    </row>
    <row r="106" customFormat="false" ht="14.25" hidden="false" customHeight="false" outlineLevel="0" collapsed="false">
      <c r="A106" s="734" t="s">
        <v>1272</v>
      </c>
      <c r="B106" s="734" t="n">
        <f aca="false">Priv!D86</f>
        <v>0</v>
      </c>
      <c r="C106" s="735" t="s">
        <v>1265</v>
      </c>
    </row>
    <row r="107" customFormat="false" ht="14.25" hidden="false" customHeight="false" outlineLevel="0" collapsed="false">
      <c r="A107" s="734" t="s">
        <v>1273</v>
      </c>
      <c r="B107" s="734" t="n">
        <f aca="false">Priv!D87</f>
        <v>0</v>
      </c>
      <c r="C107" s="735" t="s">
        <v>1265</v>
      </c>
    </row>
    <row r="108" customFormat="false" ht="14.25" hidden="false" customHeight="false" outlineLevel="0" collapsed="false">
      <c r="A108" s="734" t="s">
        <v>1274</v>
      </c>
      <c r="B108" s="734" t="n">
        <f aca="false">Priv!H79</f>
        <v>0</v>
      </c>
      <c r="C108" s="735" t="s">
        <v>1265</v>
      </c>
    </row>
    <row r="109" customFormat="false" ht="14.25" hidden="false" customHeight="false" outlineLevel="0" collapsed="false">
      <c r="A109" s="734" t="s">
        <v>1275</v>
      </c>
      <c r="B109" s="734" t="n">
        <f aca="false">Priv!H80</f>
        <v>0</v>
      </c>
      <c r="C109" s="735" t="s">
        <v>1265</v>
      </c>
    </row>
    <row r="110" customFormat="false" ht="14.25" hidden="false" customHeight="false" outlineLevel="0" collapsed="false">
      <c r="A110" s="734" t="s">
        <v>1276</v>
      </c>
      <c r="B110" s="734" t="n">
        <f aca="false">Priv!H81</f>
        <v>0</v>
      </c>
      <c r="C110" s="735" t="s">
        <v>1265</v>
      </c>
    </row>
    <row r="111" customFormat="false" ht="14.25" hidden="false" customHeight="false" outlineLevel="0" collapsed="false">
      <c r="A111" s="734" t="s">
        <v>1277</v>
      </c>
      <c r="B111" s="734" t="n">
        <f aca="false">Priv!H82</f>
        <v>0</v>
      </c>
      <c r="C111" s="735" t="s">
        <v>1265</v>
      </c>
    </row>
    <row r="112" customFormat="false" ht="14.25" hidden="false" customHeight="false" outlineLevel="0" collapsed="false">
      <c r="A112" s="734" t="s">
        <v>1278</v>
      </c>
      <c r="B112" s="734" t="n">
        <f aca="false">Priv!H83</f>
        <v>0</v>
      </c>
      <c r="C112" s="735" t="s">
        <v>1265</v>
      </c>
    </row>
    <row r="113" customFormat="false" ht="14.25" hidden="false" customHeight="false" outlineLevel="0" collapsed="false">
      <c r="A113" s="734" t="s">
        <v>1279</v>
      </c>
      <c r="B113" s="734" t="n">
        <f aca="false">Priv!H84</f>
        <v>0</v>
      </c>
      <c r="C113" s="735" t="s">
        <v>1265</v>
      </c>
    </row>
    <row r="114" customFormat="false" ht="14.25" hidden="false" customHeight="false" outlineLevel="0" collapsed="false">
      <c r="A114" s="734" t="s">
        <v>1280</v>
      </c>
      <c r="B114" s="734" t="n">
        <f aca="false">Priv!H85</f>
        <v>0</v>
      </c>
      <c r="C114" s="735" t="s">
        <v>1265</v>
      </c>
    </row>
    <row r="115" customFormat="false" ht="14.25" hidden="false" customHeight="false" outlineLevel="0" collapsed="false">
      <c r="A115" s="734" t="s">
        <v>1281</v>
      </c>
      <c r="B115" s="734" t="n">
        <f aca="false">Priv!H86</f>
        <v>0</v>
      </c>
      <c r="C115" s="735" t="s">
        <v>1265</v>
      </c>
    </row>
    <row r="116" customFormat="false" ht="14.25" hidden="false" customHeight="false" outlineLevel="0" collapsed="false">
      <c r="A116" s="734" t="s">
        <v>1282</v>
      </c>
      <c r="B116" s="734" t="n">
        <f aca="false">Priv!H87</f>
        <v>0</v>
      </c>
      <c r="C116" s="735" t="s">
        <v>1265</v>
      </c>
    </row>
    <row r="117" customFormat="false" ht="14.25" hidden="false" customHeight="false" outlineLevel="0" collapsed="false">
      <c r="A117" s="734" t="s">
        <v>1283</v>
      </c>
      <c r="B117" s="734" t="n">
        <f aca="false">Priv!H88</f>
        <v>0</v>
      </c>
      <c r="C117" s="735" t="s">
        <v>1265</v>
      </c>
    </row>
    <row r="118" customFormat="false" ht="14.25" hidden="false" customHeight="false" outlineLevel="0" collapsed="false">
      <c r="A118" s="734" t="s">
        <v>1284</v>
      </c>
      <c r="B118" s="734" t="n">
        <f aca="false">Priv!L79</f>
        <v>0</v>
      </c>
      <c r="C118" s="735" t="s">
        <v>1265</v>
      </c>
    </row>
    <row r="119" customFormat="false" ht="14.25" hidden="false" customHeight="false" outlineLevel="0" collapsed="false">
      <c r="A119" s="734" t="s">
        <v>1285</v>
      </c>
      <c r="B119" s="734" t="n">
        <f aca="false">Priv!L80</f>
        <v>0</v>
      </c>
      <c r="C119" s="735" t="s">
        <v>1265</v>
      </c>
    </row>
    <row r="120" customFormat="false" ht="14.25" hidden="false" customHeight="false" outlineLevel="0" collapsed="false">
      <c r="A120" s="734" t="s">
        <v>1286</v>
      </c>
      <c r="B120" s="734" t="n">
        <f aca="false">Priv!L81</f>
        <v>0</v>
      </c>
      <c r="C120" s="735" t="s">
        <v>1265</v>
      </c>
    </row>
    <row r="121" customFormat="false" ht="14.25" hidden="false" customHeight="false" outlineLevel="0" collapsed="false">
      <c r="A121" s="734" t="s">
        <v>1287</v>
      </c>
      <c r="B121" s="734" t="n">
        <f aca="false">Priv!L82</f>
        <v>0</v>
      </c>
      <c r="C121" s="735" t="s">
        <v>1265</v>
      </c>
    </row>
    <row r="122" customFormat="false" ht="14.25" hidden="false" customHeight="false" outlineLevel="0" collapsed="false">
      <c r="A122" s="734" t="s">
        <v>1288</v>
      </c>
      <c r="B122" s="734" t="n">
        <f aca="false">Priv!L83</f>
        <v>0</v>
      </c>
      <c r="C122" s="735" t="s">
        <v>1265</v>
      </c>
    </row>
    <row r="123" customFormat="false" ht="14.25" hidden="false" customHeight="false" outlineLevel="0" collapsed="false">
      <c r="A123" s="734" t="s">
        <v>1289</v>
      </c>
      <c r="B123" s="734" t="n">
        <f aca="false">Priv!L84</f>
        <v>0</v>
      </c>
      <c r="C123" s="735" t="s">
        <v>1265</v>
      </c>
    </row>
    <row r="124" customFormat="false" ht="14.25" hidden="false" customHeight="false" outlineLevel="0" collapsed="false">
      <c r="A124" s="734" t="s">
        <v>1290</v>
      </c>
      <c r="B124" s="734" t="n">
        <f aca="false">Priv!L85</f>
        <v>0</v>
      </c>
      <c r="C124" s="735" t="s">
        <v>1265</v>
      </c>
    </row>
    <row r="125" customFormat="false" ht="14.25" hidden="false" customHeight="false" outlineLevel="0" collapsed="false">
      <c r="A125" s="734" t="s">
        <v>1291</v>
      </c>
      <c r="B125" s="734" t="n">
        <f aca="false">Priv!L86</f>
        <v>0</v>
      </c>
      <c r="C125" s="735" t="s">
        <v>1265</v>
      </c>
    </row>
    <row r="126" customFormat="false" ht="14.25" hidden="false" customHeight="false" outlineLevel="0" collapsed="false">
      <c r="A126" s="734" t="s">
        <v>1292</v>
      </c>
      <c r="B126" s="734" t="n">
        <f aca="false">Priv!L87</f>
        <v>0</v>
      </c>
      <c r="C126" s="735" t="s">
        <v>1265</v>
      </c>
    </row>
    <row r="127" customFormat="false" ht="14.25" hidden="false" customHeight="false" outlineLevel="0" collapsed="false">
      <c r="A127" s="734" t="s">
        <v>487</v>
      </c>
      <c r="B127" s="734" t="n">
        <f aca="false">Priv!D93</f>
        <v>0</v>
      </c>
      <c r="C127" s="735" t="s">
        <v>1293</v>
      </c>
    </row>
    <row r="128" customFormat="false" ht="14.25" hidden="false" customHeight="false" outlineLevel="0" collapsed="false">
      <c r="A128" s="742" t="s">
        <v>488</v>
      </c>
      <c r="B128" s="734" t="n">
        <f aca="false">Priv!D94</f>
        <v>0</v>
      </c>
      <c r="C128" s="735" t="s">
        <v>1293</v>
      </c>
    </row>
    <row r="129" customFormat="false" ht="14.25" hidden="false" customHeight="false" outlineLevel="0" collapsed="false">
      <c r="A129" s="742" t="s">
        <v>489</v>
      </c>
      <c r="B129" s="734" t="n">
        <f aca="false">Priv!D95</f>
        <v>0</v>
      </c>
      <c r="C129" s="735" t="s">
        <v>1293</v>
      </c>
    </row>
    <row r="130" customFormat="false" ht="14.25" hidden="false" customHeight="false" outlineLevel="0" collapsed="false">
      <c r="A130" s="742" t="s">
        <v>490</v>
      </c>
      <c r="B130" s="734" t="n">
        <f aca="false">Priv!H93</f>
        <v>0</v>
      </c>
      <c r="C130" s="735" t="s">
        <v>1293</v>
      </c>
    </row>
    <row r="131" customFormat="false" ht="14.25" hidden="false" customHeight="false" outlineLevel="0" collapsed="false">
      <c r="A131" s="742" t="s">
        <v>491</v>
      </c>
      <c r="B131" s="734" t="n">
        <f aca="false">Priv!H94</f>
        <v>0</v>
      </c>
      <c r="C131" s="735" t="s">
        <v>1293</v>
      </c>
    </row>
    <row r="132" customFormat="false" ht="14.25" hidden="false" customHeight="false" outlineLevel="0" collapsed="false">
      <c r="A132" s="742" t="s">
        <v>492</v>
      </c>
      <c r="B132" s="734" t="n">
        <f aca="false">Priv!H95</f>
        <v>0</v>
      </c>
      <c r="C132" s="735" t="s">
        <v>1293</v>
      </c>
    </row>
    <row r="133" customFormat="false" ht="14.25" hidden="false" customHeight="false" outlineLevel="0" collapsed="false">
      <c r="A133" s="742" t="s">
        <v>493</v>
      </c>
      <c r="B133" s="734" t="n">
        <f aca="false">Priv!H96</f>
        <v>0</v>
      </c>
      <c r="C133" s="735" t="s">
        <v>1293</v>
      </c>
    </row>
    <row r="134" customFormat="false" ht="14.25" hidden="false" customHeight="false" outlineLevel="0" collapsed="false">
      <c r="A134" s="742" t="s">
        <v>1294</v>
      </c>
      <c r="B134" s="734" t="n">
        <f aca="false">Priv!L93</f>
        <v>0</v>
      </c>
      <c r="C134" s="735" t="s">
        <v>1293</v>
      </c>
    </row>
    <row r="135" customFormat="false" ht="14.25" hidden="false" customHeight="false" outlineLevel="0" collapsed="false">
      <c r="A135" s="742" t="s">
        <v>1295</v>
      </c>
      <c r="B135" s="734" t="n">
        <f aca="false">Priv!L94</f>
        <v>0</v>
      </c>
      <c r="C135" s="735" t="s">
        <v>1293</v>
      </c>
    </row>
    <row r="136" customFormat="false" ht="14.25" hidden="false" customHeight="false" outlineLevel="0" collapsed="false">
      <c r="A136" s="742" t="s">
        <v>1296</v>
      </c>
      <c r="B136" s="734" t="n">
        <f aca="false">Priv!L95</f>
        <v>0</v>
      </c>
      <c r="C136" s="735" t="s">
        <v>1293</v>
      </c>
    </row>
    <row r="137" customFormat="false" ht="14.25" hidden="false" customHeight="false" outlineLevel="0" collapsed="false">
      <c r="A137" s="742" t="s">
        <v>1297</v>
      </c>
      <c r="B137" s="734" t="n">
        <f aca="false">Priv!L96</f>
        <v>0</v>
      </c>
      <c r="C137" s="735" t="s">
        <v>1293</v>
      </c>
    </row>
    <row r="138" customFormat="false" ht="14.25" hidden="false" customHeight="false" outlineLevel="0" collapsed="false">
      <c r="A138" s="734" t="s">
        <v>494</v>
      </c>
      <c r="B138" s="734" t="n">
        <f aca="false">Priv!B102</f>
        <v>0</v>
      </c>
      <c r="C138" s="735" t="s">
        <v>1298</v>
      </c>
    </row>
    <row r="139" customFormat="false" ht="14.25" hidden="false" customHeight="false" outlineLevel="0" collapsed="false">
      <c r="A139" s="736" t="s">
        <v>496</v>
      </c>
      <c r="B139" s="736" t="n">
        <f aca="false">Priv!D102</f>
        <v>0</v>
      </c>
      <c r="C139" s="737" t="s">
        <v>1298</v>
      </c>
    </row>
    <row r="140" customFormat="false" ht="14.25" hidden="false" customHeight="false" outlineLevel="0" collapsed="false">
      <c r="A140" s="736" t="s">
        <v>497</v>
      </c>
      <c r="B140" s="736" t="n">
        <f aca="false">Priv!F102</f>
        <v>0</v>
      </c>
      <c r="C140" s="737" t="s">
        <v>1298</v>
      </c>
    </row>
    <row r="141" customFormat="false" ht="14.25" hidden="false" customHeight="false" outlineLevel="0" collapsed="false">
      <c r="A141" s="736" t="s">
        <v>498</v>
      </c>
      <c r="B141" s="736" t="n">
        <f aca="false">Priv!G102</f>
        <v>0</v>
      </c>
      <c r="C141" s="737" t="s">
        <v>1298</v>
      </c>
    </row>
    <row r="142" customFormat="false" ht="14.25" hidden="false" customHeight="false" outlineLevel="0" collapsed="false">
      <c r="A142" s="736" t="s">
        <v>499</v>
      </c>
      <c r="B142" s="736" t="n">
        <f aca="false">Priv!H102</f>
        <v>0</v>
      </c>
      <c r="C142" s="737" t="s">
        <v>1298</v>
      </c>
    </row>
    <row r="143" customFormat="false" ht="14.25" hidden="false" customHeight="false" outlineLevel="0" collapsed="false">
      <c r="A143" s="734" t="s">
        <v>500</v>
      </c>
      <c r="B143" s="734" t="n">
        <f aca="false">Priv!I102</f>
        <v>0</v>
      </c>
      <c r="C143" s="735" t="s">
        <v>1298</v>
      </c>
    </row>
    <row r="144" customFormat="false" ht="14.25" hidden="false" customHeight="false" outlineLevel="0" collapsed="false">
      <c r="A144" s="734" t="s">
        <v>558</v>
      </c>
      <c r="B144" s="734" t="n">
        <f aca="false">Priv!B109</f>
        <v>0</v>
      </c>
      <c r="C144" s="735" t="s">
        <v>1299</v>
      </c>
    </row>
    <row r="145" customFormat="false" ht="14.25" hidden="false" customHeight="false" outlineLevel="0" collapsed="false">
      <c r="A145" s="734" t="s">
        <v>1300</v>
      </c>
      <c r="B145" s="734" t="n">
        <f aca="false">Priv!E109</f>
        <v>0</v>
      </c>
      <c r="C145" s="735" t="s">
        <v>1299</v>
      </c>
    </row>
    <row r="146" customFormat="false" ht="14.25" hidden="false" customHeight="false" outlineLevel="0" collapsed="false">
      <c r="A146" s="734" t="s">
        <v>1301</v>
      </c>
      <c r="B146" s="734" t="n">
        <f aca="false">Priv!H109</f>
        <v>0</v>
      </c>
      <c r="C146" s="735" t="s">
        <v>1299</v>
      </c>
    </row>
    <row r="147" customFormat="false" ht="14.25" hidden="false" customHeight="false" outlineLevel="0" collapsed="false">
      <c r="A147" s="736" t="s">
        <v>620</v>
      </c>
      <c r="B147" s="736" t="n">
        <f aca="false">Priv!D116</f>
        <v>0</v>
      </c>
      <c r="C147" s="737" t="s">
        <v>1302</v>
      </c>
    </row>
    <row r="148" customFormat="false" ht="14.25" hidden="false" customHeight="false" outlineLevel="0" collapsed="false">
      <c r="A148" s="736" t="s">
        <v>1303</v>
      </c>
      <c r="B148" s="736" t="n">
        <f aca="false">Priv!E116</f>
        <v>0</v>
      </c>
      <c r="C148" s="737" t="s">
        <v>1302</v>
      </c>
    </row>
    <row r="149" customFormat="false" ht="14.25" hidden="false" customHeight="false" outlineLevel="0" collapsed="false">
      <c r="A149" s="736" t="s">
        <v>1304</v>
      </c>
      <c r="B149" s="736" t="e">
        <f aca="false">priv!#ref!</f>
        <v>#NAME?</v>
      </c>
      <c r="C149" s="737" t="s">
        <v>1302</v>
      </c>
    </row>
    <row r="150" customFormat="false" ht="14.25" hidden="false" customHeight="false" outlineLevel="0" collapsed="false">
      <c r="A150" s="736" t="s">
        <v>1305</v>
      </c>
      <c r="B150" s="736" t="e">
        <f aca="false">priv!#ref!</f>
        <v>#NAME?</v>
      </c>
      <c r="C150" s="737" t="s">
        <v>1302</v>
      </c>
    </row>
    <row r="151" customFormat="false" ht="14.25" hidden="false" customHeight="false" outlineLevel="0" collapsed="false">
      <c r="A151" s="736" t="s">
        <v>1306</v>
      </c>
      <c r="B151" s="736" t="n">
        <f aca="false">Priv!F116</f>
        <v>0</v>
      </c>
      <c r="C151" s="737" t="s">
        <v>1302</v>
      </c>
    </row>
    <row r="152" customFormat="false" ht="14.25" hidden="false" customHeight="false" outlineLevel="0" collapsed="false">
      <c r="A152" s="736" t="s">
        <v>1307</v>
      </c>
      <c r="B152" s="736" t="n">
        <f aca="false">Priv!G116</f>
        <v>0</v>
      </c>
      <c r="C152" s="737" t="s">
        <v>1302</v>
      </c>
    </row>
    <row r="153" customFormat="false" ht="14.25" hidden="false" customHeight="false" outlineLevel="0" collapsed="false">
      <c r="A153" s="736" t="s">
        <v>1308</v>
      </c>
      <c r="B153" s="736" t="e">
        <f aca="false">priv!#ref!</f>
        <v>#NAME?</v>
      </c>
      <c r="C153" s="737" t="s">
        <v>1302</v>
      </c>
    </row>
    <row r="154" customFormat="false" ht="14.25" hidden="false" customHeight="false" outlineLevel="0" collapsed="false">
      <c r="A154" s="736" t="s">
        <v>1309</v>
      </c>
      <c r="B154" s="736" t="e">
        <f aca="false">priv!#ref!</f>
        <v>#NAME?</v>
      </c>
      <c r="C154" s="737" t="s">
        <v>1302</v>
      </c>
    </row>
    <row r="155" customFormat="false" ht="14.25" hidden="false" customHeight="false" outlineLevel="0" collapsed="false">
      <c r="A155" s="736" t="s">
        <v>1310</v>
      </c>
      <c r="B155" s="736" t="n">
        <f aca="false">Priv!H116</f>
        <v>0</v>
      </c>
      <c r="C155" s="737" t="s">
        <v>1302</v>
      </c>
    </row>
    <row r="156" customFormat="false" ht="14.25" hidden="false" customHeight="false" outlineLevel="0" collapsed="false">
      <c r="A156" s="736" t="s">
        <v>1311</v>
      </c>
      <c r="B156" s="736" t="n">
        <f aca="false">Priv!I116</f>
        <v>0</v>
      </c>
      <c r="C156" s="737" t="s">
        <v>1302</v>
      </c>
    </row>
    <row r="157" customFormat="false" ht="14.25" hidden="false" customHeight="false" outlineLevel="0" collapsed="false">
      <c r="A157" s="736" t="s">
        <v>622</v>
      </c>
      <c r="B157" s="736" t="n">
        <f aca="false">Priv!D117</f>
        <v>0</v>
      </c>
      <c r="C157" s="737" t="s">
        <v>1302</v>
      </c>
    </row>
    <row r="158" customFormat="false" ht="14.25" hidden="false" customHeight="false" outlineLevel="0" collapsed="false">
      <c r="A158" s="736" t="s">
        <v>1312</v>
      </c>
      <c r="B158" s="736" t="n">
        <f aca="false">Priv!E117</f>
        <v>0</v>
      </c>
      <c r="C158" s="737" t="s">
        <v>1302</v>
      </c>
    </row>
    <row r="159" customFormat="false" ht="14.25" hidden="false" customHeight="false" outlineLevel="0" collapsed="false">
      <c r="A159" s="736" t="s">
        <v>1313</v>
      </c>
      <c r="B159" s="736" t="e">
        <f aca="false">priv!#ref!</f>
        <v>#NAME?</v>
      </c>
      <c r="C159" s="737" t="s">
        <v>1302</v>
      </c>
    </row>
    <row r="160" customFormat="false" ht="14.25" hidden="false" customHeight="false" outlineLevel="0" collapsed="false">
      <c r="A160" s="736" t="s">
        <v>1314</v>
      </c>
      <c r="B160" s="736" t="e">
        <f aca="false">priv!#ref!</f>
        <v>#NAME?</v>
      </c>
      <c r="C160" s="737" t="s">
        <v>1302</v>
      </c>
    </row>
    <row r="161" customFormat="false" ht="14.25" hidden="false" customHeight="false" outlineLevel="0" collapsed="false">
      <c r="A161" s="736" t="s">
        <v>1315</v>
      </c>
      <c r="B161" s="736" t="n">
        <f aca="false">Priv!F117</f>
        <v>0</v>
      </c>
      <c r="C161" s="737" t="s">
        <v>1302</v>
      </c>
    </row>
    <row r="162" customFormat="false" ht="14.25" hidden="false" customHeight="false" outlineLevel="0" collapsed="false">
      <c r="A162" s="736" t="s">
        <v>1316</v>
      </c>
      <c r="B162" s="736" t="n">
        <f aca="false">Priv!G117</f>
        <v>0</v>
      </c>
      <c r="C162" s="737" t="s">
        <v>1302</v>
      </c>
    </row>
    <row r="163" customFormat="false" ht="14.25" hidden="false" customHeight="false" outlineLevel="0" collapsed="false">
      <c r="A163" s="736" t="s">
        <v>1317</v>
      </c>
      <c r="B163" s="736" t="e">
        <f aca="false">priv!#ref!</f>
        <v>#NAME?</v>
      </c>
      <c r="C163" s="737" t="s">
        <v>1302</v>
      </c>
    </row>
    <row r="164" customFormat="false" ht="14.25" hidden="false" customHeight="false" outlineLevel="0" collapsed="false">
      <c r="A164" s="736" t="s">
        <v>1318</v>
      </c>
      <c r="B164" s="736" t="e">
        <f aca="false">priv!#ref!</f>
        <v>#NAME?</v>
      </c>
      <c r="C164" s="737" t="s">
        <v>1302</v>
      </c>
    </row>
    <row r="165" customFormat="false" ht="14.25" hidden="false" customHeight="false" outlineLevel="0" collapsed="false">
      <c r="A165" s="736" t="s">
        <v>1319</v>
      </c>
      <c r="B165" s="736" t="n">
        <f aca="false">Priv!H117</f>
        <v>0</v>
      </c>
      <c r="C165" s="737" t="s">
        <v>1302</v>
      </c>
    </row>
    <row r="166" customFormat="false" ht="14.25" hidden="false" customHeight="false" outlineLevel="0" collapsed="false">
      <c r="A166" s="736" t="s">
        <v>1320</v>
      </c>
      <c r="B166" s="736" t="n">
        <f aca="false">Priv!I117</f>
        <v>0</v>
      </c>
      <c r="C166" s="737" t="s">
        <v>1302</v>
      </c>
    </row>
    <row r="167" customFormat="false" ht="14.25" hidden="false" customHeight="false" outlineLevel="0" collapsed="false">
      <c r="A167" s="736" t="s">
        <v>623</v>
      </c>
      <c r="B167" s="736" t="n">
        <f aca="false">Priv!D118</f>
        <v>0</v>
      </c>
      <c r="C167" s="737" t="s">
        <v>1302</v>
      </c>
    </row>
    <row r="168" customFormat="false" ht="14.25" hidden="false" customHeight="false" outlineLevel="0" collapsed="false">
      <c r="A168" s="736" t="s">
        <v>1321</v>
      </c>
      <c r="B168" s="736" t="n">
        <f aca="false">Priv!E118</f>
        <v>0</v>
      </c>
      <c r="C168" s="737" t="s">
        <v>1302</v>
      </c>
    </row>
    <row r="169" customFormat="false" ht="14.25" hidden="false" customHeight="false" outlineLevel="0" collapsed="false">
      <c r="A169" s="736" t="s">
        <v>1322</v>
      </c>
      <c r="B169" s="736" t="e">
        <f aca="false">priv!#ref!</f>
        <v>#NAME?</v>
      </c>
      <c r="C169" s="737" t="s">
        <v>1302</v>
      </c>
    </row>
    <row r="170" customFormat="false" ht="14.25" hidden="false" customHeight="false" outlineLevel="0" collapsed="false">
      <c r="A170" s="736" t="s">
        <v>1323</v>
      </c>
      <c r="B170" s="736" t="e">
        <f aca="false">priv!#ref!</f>
        <v>#NAME?</v>
      </c>
      <c r="C170" s="737" t="s">
        <v>1302</v>
      </c>
    </row>
    <row r="171" customFormat="false" ht="14.25" hidden="false" customHeight="false" outlineLevel="0" collapsed="false">
      <c r="A171" s="736" t="s">
        <v>1324</v>
      </c>
      <c r="B171" s="736" t="n">
        <f aca="false">Priv!F118</f>
        <v>0</v>
      </c>
      <c r="C171" s="737" t="s">
        <v>1302</v>
      </c>
    </row>
    <row r="172" customFormat="false" ht="14.25" hidden="false" customHeight="false" outlineLevel="0" collapsed="false">
      <c r="A172" s="736" t="s">
        <v>1325</v>
      </c>
      <c r="B172" s="736" t="n">
        <f aca="false">Priv!G118</f>
        <v>0</v>
      </c>
      <c r="C172" s="737" t="s">
        <v>1302</v>
      </c>
    </row>
    <row r="173" customFormat="false" ht="14.25" hidden="false" customHeight="false" outlineLevel="0" collapsed="false">
      <c r="A173" s="736" t="s">
        <v>1326</v>
      </c>
      <c r="B173" s="736" t="e">
        <f aca="false">priv!#ref!</f>
        <v>#NAME?</v>
      </c>
      <c r="C173" s="737" t="s">
        <v>1302</v>
      </c>
    </row>
    <row r="174" customFormat="false" ht="14.25" hidden="false" customHeight="false" outlineLevel="0" collapsed="false">
      <c r="A174" s="736" t="s">
        <v>1327</v>
      </c>
      <c r="B174" s="736" t="e">
        <f aca="false">priv!#ref!</f>
        <v>#NAME?</v>
      </c>
      <c r="C174" s="737" t="s">
        <v>1302</v>
      </c>
    </row>
    <row r="175" customFormat="false" ht="14.25" hidden="false" customHeight="false" outlineLevel="0" collapsed="false">
      <c r="A175" s="736" t="s">
        <v>1328</v>
      </c>
      <c r="B175" s="736" t="n">
        <f aca="false">Priv!H118</f>
        <v>0</v>
      </c>
      <c r="C175" s="737" t="s">
        <v>1302</v>
      </c>
    </row>
    <row r="176" customFormat="false" ht="14.25" hidden="false" customHeight="false" outlineLevel="0" collapsed="false">
      <c r="A176" s="736" t="s">
        <v>1329</v>
      </c>
      <c r="B176" s="736" t="n">
        <f aca="false">Priv!I118</f>
        <v>0</v>
      </c>
      <c r="C176" s="737" t="s">
        <v>1302</v>
      </c>
    </row>
    <row r="177" customFormat="false" ht="14.25" hidden="false" customHeight="false" outlineLevel="0" collapsed="false">
      <c r="A177" s="736" t="s">
        <v>624</v>
      </c>
      <c r="B177" s="736" t="n">
        <f aca="false">Priv!D119</f>
        <v>0</v>
      </c>
      <c r="C177" s="737" t="s">
        <v>1302</v>
      </c>
    </row>
    <row r="178" customFormat="false" ht="14.25" hidden="false" customHeight="false" outlineLevel="0" collapsed="false">
      <c r="A178" s="736" t="s">
        <v>1330</v>
      </c>
      <c r="B178" s="736" t="n">
        <f aca="false">Priv!E119</f>
        <v>0</v>
      </c>
      <c r="C178" s="737" t="s">
        <v>1302</v>
      </c>
    </row>
    <row r="179" customFormat="false" ht="14.25" hidden="false" customHeight="false" outlineLevel="0" collapsed="false">
      <c r="A179" s="736" t="s">
        <v>1331</v>
      </c>
      <c r="B179" s="736" t="e">
        <f aca="false">priv!#ref!</f>
        <v>#NAME?</v>
      </c>
      <c r="C179" s="737" t="s">
        <v>1302</v>
      </c>
    </row>
    <row r="180" customFormat="false" ht="14.25" hidden="false" customHeight="false" outlineLevel="0" collapsed="false">
      <c r="A180" s="736" t="s">
        <v>1332</v>
      </c>
      <c r="B180" s="736" t="e">
        <f aca="false">priv!#ref!</f>
        <v>#NAME?</v>
      </c>
      <c r="C180" s="737" t="s">
        <v>1302</v>
      </c>
    </row>
    <row r="181" customFormat="false" ht="14.25" hidden="false" customHeight="false" outlineLevel="0" collapsed="false">
      <c r="A181" s="736" t="s">
        <v>1333</v>
      </c>
      <c r="B181" s="736" t="n">
        <f aca="false">Priv!F119</f>
        <v>0</v>
      </c>
      <c r="C181" s="737" t="s">
        <v>1302</v>
      </c>
    </row>
    <row r="182" customFormat="false" ht="14.25" hidden="false" customHeight="false" outlineLevel="0" collapsed="false">
      <c r="A182" s="736" t="s">
        <v>1334</v>
      </c>
      <c r="B182" s="736" t="n">
        <f aca="false">Priv!G119</f>
        <v>0</v>
      </c>
      <c r="C182" s="737" t="s">
        <v>1302</v>
      </c>
    </row>
    <row r="183" customFormat="false" ht="14.25" hidden="false" customHeight="false" outlineLevel="0" collapsed="false">
      <c r="A183" s="736" t="s">
        <v>1335</v>
      </c>
      <c r="B183" s="736" t="e">
        <f aca="false">priv!#ref!</f>
        <v>#NAME?</v>
      </c>
      <c r="C183" s="737" t="s">
        <v>1302</v>
      </c>
    </row>
    <row r="184" customFormat="false" ht="14.25" hidden="false" customHeight="false" outlineLevel="0" collapsed="false">
      <c r="A184" s="736" t="s">
        <v>1336</v>
      </c>
      <c r="B184" s="736" t="e">
        <f aca="false">priv!#ref!</f>
        <v>#NAME?</v>
      </c>
      <c r="C184" s="737" t="s">
        <v>1302</v>
      </c>
    </row>
    <row r="185" customFormat="false" ht="14.25" hidden="false" customHeight="false" outlineLevel="0" collapsed="false">
      <c r="A185" s="736" t="s">
        <v>1337</v>
      </c>
      <c r="B185" s="736" t="n">
        <f aca="false">Priv!H119</f>
        <v>0</v>
      </c>
      <c r="C185" s="737" t="s">
        <v>1302</v>
      </c>
    </row>
    <row r="186" customFormat="false" ht="14.25" hidden="false" customHeight="false" outlineLevel="0" collapsed="false">
      <c r="A186" s="736" t="s">
        <v>1338</v>
      </c>
      <c r="B186" s="736" t="n">
        <f aca="false">Priv!I119</f>
        <v>0</v>
      </c>
      <c r="C186" s="737" t="s">
        <v>1302</v>
      </c>
    </row>
    <row r="187" customFormat="false" ht="14.25" hidden="false" customHeight="false" outlineLevel="0" collapsed="false">
      <c r="A187" s="736" t="s">
        <v>625</v>
      </c>
      <c r="B187" s="736" t="n">
        <f aca="false">Priv!D120</f>
        <v>0</v>
      </c>
      <c r="C187" s="737" t="s">
        <v>1302</v>
      </c>
    </row>
    <row r="188" customFormat="false" ht="14.25" hidden="false" customHeight="false" outlineLevel="0" collapsed="false">
      <c r="A188" s="736" t="s">
        <v>1339</v>
      </c>
      <c r="B188" s="736" t="n">
        <f aca="false">Priv!E120</f>
        <v>0</v>
      </c>
      <c r="C188" s="737" t="s">
        <v>1302</v>
      </c>
    </row>
    <row r="189" customFormat="false" ht="14.25" hidden="false" customHeight="false" outlineLevel="0" collapsed="false">
      <c r="A189" s="736" t="s">
        <v>1340</v>
      </c>
      <c r="B189" s="736" t="e">
        <f aca="false">priv!#ref!</f>
        <v>#NAME?</v>
      </c>
      <c r="C189" s="737" t="s">
        <v>1302</v>
      </c>
    </row>
    <row r="190" customFormat="false" ht="14.25" hidden="false" customHeight="false" outlineLevel="0" collapsed="false">
      <c r="A190" s="736" t="s">
        <v>1341</v>
      </c>
      <c r="B190" s="736" t="e">
        <f aca="false">priv!#ref!</f>
        <v>#NAME?</v>
      </c>
      <c r="C190" s="737" t="s">
        <v>1302</v>
      </c>
    </row>
    <row r="191" customFormat="false" ht="14.25" hidden="false" customHeight="false" outlineLevel="0" collapsed="false">
      <c r="A191" s="736" t="s">
        <v>1342</v>
      </c>
      <c r="B191" s="736" t="n">
        <f aca="false">Priv!F120</f>
        <v>0</v>
      </c>
      <c r="C191" s="737" t="s">
        <v>1302</v>
      </c>
    </row>
    <row r="192" customFormat="false" ht="14.25" hidden="false" customHeight="false" outlineLevel="0" collapsed="false">
      <c r="A192" s="736" t="s">
        <v>1343</v>
      </c>
      <c r="B192" s="736" t="n">
        <f aca="false">Priv!G120</f>
        <v>0</v>
      </c>
      <c r="C192" s="737" t="s">
        <v>1302</v>
      </c>
    </row>
    <row r="193" customFormat="false" ht="14.25" hidden="false" customHeight="false" outlineLevel="0" collapsed="false">
      <c r="A193" s="736" t="s">
        <v>1344</v>
      </c>
      <c r="B193" s="736" t="e">
        <f aca="false">priv!#ref!</f>
        <v>#NAME?</v>
      </c>
      <c r="C193" s="737" t="s">
        <v>1302</v>
      </c>
    </row>
    <row r="194" customFormat="false" ht="14.25" hidden="false" customHeight="false" outlineLevel="0" collapsed="false">
      <c r="A194" s="736" t="s">
        <v>1345</v>
      </c>
      <c r="B194" s="736" t="e">
        <f aca="false">priv!#ref!</f>
        <v>#NAME?</v>
      </c>
      <c r="C194" s="737" t="s">
        <v>1302</v>
      </c>
    </row>
    <row r="195" customFormat="false" ht="14.25" hidden="false" customHeight="false" outlineLevel="0" collapsed="false">
      <c r="A195" s="736" t="s">
        <v>1346</v>
      </c>
      <c r="B195" s="736" t="n">
        <f aca="false">Priv!H120</f>
        <v>0</v>
      </c>
      <c r="C195" s="737" t="s">
        <v>1302</v>
      </c>
    </row>
    <row r="196" customFormat="false" ht="14.25" hidden="false" customHeight="false" outlineLevel="0" collapsed="false">
      <c r="A196" s="736" t="s">
        <v>1347</v>
      </c>
      <c r="B196" s="736" t="n">
        <f aca="false">Priv!I120</f>
        <v>0</v>
      </c>
      <c r="C196" s="737" t="s">
        <v>1302</v>
      </c>
    </row>
    <row r="197" customFormat="false" ht="14.25" hidden="false" customHeight="false" outlineLevel="0" collapsed="false">
      <c r="A197" s="736" t="s">
        <v>626</v>
      </c>
      <c r="B197" s="736" t="n">
        <f aca="false">Priv!D121</f>
        <v>0</v>
      </c>
      <c r="C197" s="737" t="s">
        <v>1302</v>
      </c>
    </row>
    <row r="198" customFormat="false" ht="14.25" hidden="false" customHeight="false" outlineLevel="0" collapsed="false">
      <c r="A198" s="736" t="s">
        <v>1348</v>
      </c>
      <c r="B198" s="736" t="n">
        <f aca="false">Priv!E121</f>
        <v>0</v>
      </c>
      <c r="C198" s="737" t="s">
        <v>1302</v>
      </c>
    </row>
    <row r="199" customFormat="false" ht="14.25" hidden="false" customHeight="false" outlineLevel="0" collapsed="false">
      <c r="A199" s="736" t="s">
        <v>1349</v>
      </c>
      <c r="B199" s="736" t="e">
        <f aca="false">priv!#ref!</f>
        <v>#NAME?</v>
      </c>
      <c r="C199" s="737" t="s">
        <v>1302</v>
      </c>
    </row>
    <row r="200" customFormat="false" ht="14.25" hidden="false" customHeight="false" outlineLevel="0" collapsed="false">
      <c r="A200" s="736" t="s">
        <v>1350</v>
      </c>
      <c r="B200" s="736" t="e">
        <f aca="false">priv!#ref!</f>
        <v>#NAME?</v>
      </c>
      <c r="C200" s="737" t="s">
        <v>1302</v>
      </c>
    </row>
    <row r="201" customFormat="false" ht="14.25" hidden="false" customHeight="false" outlineLevel="0" collapsed="false">
      <c r="A201" s="736" t="s">
        <v>1351</v>
      </c>
      <c r="B201" s="736" t="n">
        <f aca="false">Priv!F121</f>
        <v>0</v>
      </c>
      <c r="C201" s="737" t="s">
        <v>1302</v>
      </c>
    </row>
    <row r="202" customFormat="false" ht="14.25" hidden="false" customHeight="false" outlineLevel="0" collapsed="false">
      <c r="A202" s="736" t="s">
        <v>1352</v>
      </c>
      <c r="B202" s="736" t="n">
        <f aca="false">Priv!G121</f>
        <v>0</v>
      </c>
      <c r="C202" s="737" t="s">
        <v>1302</v>
      </c>
    </row>
    <row r="203" customFormat="false" ht="14.25" hidden="false" customHeight="false" outlineLevel="0" collapsed="false">
      <c r="A203" s="736" t="s">
        <v>1353</v>
      </c>
      <c r="B203" s="736" t="e">
        <f aca="false">priv!#ref!</f>
        <v>#NAME?</v>
      </c>
      <c r="C203" s="737" t="s">
        <v>1302</v>
      </c>
    </row>
    <row r="204" customFormat="false" ht="14.25" hidden="false" customHeight="false" outlineLevel="0" collapsed="false">
      <c r="A204" s="736" t="s">
        <v>1354</v>
      </c>
      <c r="B204" s="736" t="e">
        <f aca="false">priv!#ref!</f>
        <v>#NAME?</v>
      </c>
      <c r="C204" s="737" t="s">
        <v>1302</v>
      </c>
    </row>
    <row r="205" customFormat="false" ht="14.25" hidden="false" customHeight="false" outlineLevel="0" collapsed="false">
      <c r="A205" s="736" t="s">
        <v>1355</v>
      </c>
      <c r="B205" s="736" t="n">
        <f aca="false">Priv!H121</f>
        <v>0</v>
      </c>
      <c r="C205" s="737" t="s">
        <v>1302</v>
      </c>
    </row>
    <row r="206" customFormat="false" ht="14.25" hidden="false" customHeight="false" outlineLevel="0" collapsed="false">
      <c r="A206" s="736" t="s">
        <v>1356</v>
      </c>
      <c r="B206" s="736" t="n">
        <f aca="false">Priv!I121</f>
        <v>0</v>
      </c>
      <c r="C206" s="737" t="s">
        <v>1302</v>
      </c>
    </row>
    <row r="207" customFormat="false" ht="14.25" hidden="false" customHeight="false" outlineLevel="0" collapsed="false">
      <c r="A207" s="736" t="s">
        <v>641</v>
      </c>
      <c r="B207" s="736" t="n">
        <f aca="false">Priv!B127</f>
        <v>0</v>
      </c>
      <c r="C207" s="737" t="s">
        <v>1357</v>
      </c>
    </row>
    <row r="208" customFormat="false" ht="14.25" hidden="false" customHeight="false" outlineLevel="0" collapsed="false">
      <c r="A208" s="736" t="s">
        <v>643</v>
      </c>
      <c r="B208" s="736" t="n">
        <f aca="false">Priv!E127</f>
        <v>0</v>
      </c>
      <c r="C208" s="737" t="s">
        <v>1357</v>
      </c>
    </row>
    <row r="209" customFormat="false" ht="14.25" hidden="false" customHeight="false" outlineLevel="0" collapsed="false">
      <c r="A209" s="736" t="s">
        <v>644</v>
      </c>
      <c r="B209" s="736" t="n">
        <f aca="false">Priv!H127</f>
        <v>0</v>
      </c>
      <c r="C209" s="737" t="s">
        <v>1357</v>
      </c>
    </row>
    <row r="210" customFormat="false" ht="14.25" hidden="false" customHeight="false" outlineLevel="0" collapsed="false">
      <c r="A210" s="736" t="s">
        <v>648</v>
      </c>
      <c r="B210" s="736" t="n">
        <f aca="false">Priv!E133</f>
        <v>0</v>
      </c>
      <c r="C210" s="737" t="s">
        <v>1358</v>
      </c>
    </row>
    <row r="211" customFormat="false" ht="14.25" hidden="false" customHeight="false" outlineLevel="0" collapsed="false">
      <c r="A211" s="736" t="s">
        <v>650</v>
      </c>
      <c r="B211" s="736" t="n">
        <f aca="false">Priv!H133</f>
        <v>0</v>
      </c>
      <c r="C211" s="737" t="s">
        <v>1358</v>
      </c>
    </row>
    <row r="212" customFormat="false" ht="14.25" hidden="false" customHeight="false" outlineLevel="0" collapsed="false">
      <c r="A212" s="736" t="s">
        <v>651</v>
      </c>
      <c r="B212" s="736" t="e">
        <f aca="false">priv!#ref!</f>
        <v>#NAME?</v>
      </c>
      <c r="C212" s="737" t="s">
        <v>1358</v>
      </c>
    </row>
    <row r="213" customFormat="false" ht="14.25" hidden="false" customHeight="false" outlineLevel="0" collapsed="false">
      <c r="A213" s="736" t="s">
        <v>1359</v>
      </c>
      <c r="B213" s="736" t="e">
        <f aca="false">priv!#ref!</f>
        <v>#NAME?</v>
      </c>
      <c r="C213" s="737" t="s">
        <v>1358</v>
      </c>
    </row>
    <row r="214" customFormat="false" ht="14.25" hidden="false" customHeight="false" outlineLevel="0" collapsed="false">
      <c r="A214" s="736" t="s">
        <v>1360</v>
      </c>
      <c r="B214" s="736" t="e">
        <f aca="false">priv!#ref!</f>
        <v>#NAME?</v>
      </c>
      <c r="C214" s="737" t="s">
        <v>1358</v>
      </c>
    </row>
    <row r="215" customFormat="false" ht="14.25" hidden="false" customHeight="false" outlineLevel="0" collapsed="false">
      <c r="A215" s="736" t="s">
        <v>1361</v>
      </c>
      <c r="B215" s="736" t="e">
        <f aca="false">priv!#ref!</f>
        <v>#NAME?</v>
      </c>
      <c r="C215" s="737" t="s">
        <v>1358</v>
      </c>
    </row>
    <row r="216" customFormat="false" ht="14.25" hidden="false" customHeight="false" outlineLevel="0" collapsed="false">
      <c r="A216" s="736" t="s">
        <v>1362</v>
      </c>
      <c r="B216" s="736" t="n">
        <f aca="false">Priv!E134</f>
        <v>0</v>
      </c>
      <c r="C216" s="737" t="s">
        <v>1358</v>
      </c>
    </row>
    <row r="217" customFormat="false" ht="14.25" hidden="false" customHeight="false" outlineLevel="0" collapsed="false">
      <c r="A217" s="736" t="s">
        <v>1363</v>
      </c>
      <c r="B217" s="736" t="n">
        <f aca="false">Priv!H134</f>
        <v>0</v>
      </c>
      <c r="C217" s="737" t="s">
        <v>1358</v>
      </c>
    </row>
    <row r="218" customFormat="false" ht="14.25" hidden="false" customHeight="false" outlineLevel="0" collapsed="false">
      <c r="A218" s="736" t="s">
        <v>1364</v>
      </c>
      <c r="B218" s="736" t="e">
        <f aca="false">priv!#ref!</f>
        <v>#NAME?</v>
      </c>
      <c r="C218" s="737" t="s">
        <v>1358</v>
      </c>
    </row>
    <row r="219" customFormat="false" ht="14.25" hidden="false" customHeight="false" outlineLevel="0" collapsed="false">
      <c r="A219" s="736" t="s">
        <v>1365</v>
      </c>
      <c r="B219" s="736" t="e">
        <f aca="false">priv!#ref!</f>
        <v>#NAME?</v>
      </c>
      <c r="C219" s="737" t="s">
        <v>1358</v>
      </c>
    </row>
    <row r="220" customFormat="false" ht="14.25" hidden="false" customHeight="false" outlineLevel="0" collapsed="false">
      <c r="A220" s="736" t="s">
        <v>1366</v>
      </c>
      <c r="B220" s="736" t="e">
        <f aca="false">priv!#ref!</f>
        <v>#NAME?</v>
      </c>
      <c r="C220" s="737" t="s">
        <v>1358</v>
      </c>
    </row>
    <row r="221" customFormat="false" ht="14.25" hidden="false" customHeight="false" outlineLevel="0" collapsed="false">
      <c r="A221" s="736" t="s">
        <v>1367</v>
      </c>
      <c r="B221" s="736" t="e">
        <f aca="false">priv!#ref!</f>
        <v>#NAME?</v>
      </c>
      <c r="C221" s="737" t="s">
        <v>1358</v>
      </c>
    </row>
    <row r="222" customFormat="false" ht="14.25" hidden="false" customHeight="false" outlineLevel="0" collapsed="false">
      <c r="A222" s="736" t="s">
        <v>1368</v>
      </c>
      <c r="B222" s="736" t="n">
        <f aca="false">Priv!E135</f>
        <v>0</v>
      </c>
      <c r="C222" s="737" t="s">
        <v>1358</v>
      </c>
    </row>
    <row r="223" customFormat="false" ht="14.25" hidden="false" customHeight="false" outlineLevel="0" collapsed="false">
      <c r="A223" s="736" t="s">
        <v>1369</v>
      </c>
      <c r="B223" s="736" t="n">
        <f aca="false">Priv!H135</f>
        <v>0</v>
      </c>
      <c r="C223" s="737" t="s">
        <v>1358</v>
      </c>
    </row>
    <row r="224" customFormat="false" ht="14.25" hidden="false" customHeight="false" outlineLevel="0" collapsed="false">
      <c r="A224" s="736" t="s">
        <v>1370</v>
      </c>
      <c r="B224" s="736" t="e">
        <f aca="false">priv!#ref!</f>
        <v>#NAME?</v>
      </c>
      <c r="C224" s="737" t="s">
        <v>1358</v>
      </c>
    </row>
    <row r="225" customFormat="false" ht="14.25" hidden="false" customHeight="false" outlineLevel="0" collapsed="false">
      <c r="A225" s="736" t="s">
        <v>1371</v>
      </c>
      <c r="B225" s="736" t="e">
        <f aca="false">priv!#ref!</f>
        <v>#NAME?</v>
      </c>
      <c r="C225" s="737" t="s">
        <v>1358</v>
      </c>
    </row>
    <row r="226" customFormat="false" ht="14.25" hidden="false" customHeight="false" outlineLevel="0" collapsed="false">
      <c r="A226" s="736" t="s">
        <v>1372</v>
      </c>
      <c r="B226" s="736" t="e">
        <f aca="false">priv!#ref!</f>
        <v>#NAME?</v>
      </c>
      <c r="C226" s="737" t="s">
        <v>1358</v>
      </c>
    </row>
    <row r="227" customFormat="false" ht="14.25" hidden="false" customHeight="false" outlineLevel="0" collapsed="false">
      <c r="A227" s="736" t="s">
        <v>1373</v>
      </c>
      <c r="B227" s="736" t="e">
        <f aca="false">priv!#ref!</f>
        <v>#NAME?</v>
      </c>
      <c r="C227" s="737" t="s">
        <v>1358</v>
      </c>
    </row>
    <row r="228" customFormat="false" ht="14.25" hidden="false" customHeight="false" outlineLevel="0" collapsed="false">
      <c r="A228" s="736" t="s">
        <v>1374</v>
      </c>
      <c r="B228" s="736" t="n">
        <f aca="false">Priv!E136</f>
        <v>0</v>
      </c>
      <c r="C228" s="737" t="s">
        <v>1358</v>
      </c>
    </row>
    <row r="229" customFormat="false" ht="14.25" hidden="false" customHeight="false" outlineLevel="0" collapsed="false">
      <c r="A229" s="736" t="s">
        <v>1375</v>
      </c>
      <c r="B229" s="736" t="n">
        <f aca="false">Priv!H136</f>
        <v>0</v>
      </c>
      <c r="C229" s="737" t="s">
        <v>1358</v>
      </c>
    </row>
    <row r="230" customFormat="false" ht="14.25" hidden="false" customHeight="false" outlineLevel="0" collapsed="false">
      <c r="A230" s="736" t="s">
        <v>1376</v>
      </c>
      <c r="B230" s="736" t="e">
        <f aca="false">priv!#ref!</f>
        <v>#NAME?</v>
      </c>
      <c r="C230" s="737" t="s">
        <v>1358</v>
      </c>
    </row>
    <row r="231" customFormat="false" ht="14.25" hidden="false" customHeight="false" outlineLevel="0" collapsed="false">
      <c r="A231" s="736" t="s">
        <v>1377</v>
      </c>
      <c r="B231" s="736" t="e">
        <f aca="false">priv!#ref!</f>
        <v>#NAME?</v>
      </c>
      <c r="C231" s="737" t="s">
        <v>1358</v>
      </c>
    </row>
    <row r="232" customFormat="false" ht="14.25" hidden="false" customHeight="false" outlineLevel="0" collapsed="false">
      <c r="A232" s="736" t="s">
        <v>1378</v>
      </c>
      <c r="B232" s="736" t="e">
        <f aca="false">priv!#ref!</f>
        <v>#NAME?</v>
      </c>
      <c r="C232" s="737" t="s">
        <v>1358</v>
      </c>
    </row>
    <row r="233" customFormat="false" ht="14.25" hidden="false" customHeight="false" outlineLevel="0" collapsed="false">
      <c r="A233" s="736" t="s">
        <v>1379</v>
      </c>
      <c r="B233" s="736" t="e">
        <f aca="false">priv!#ref!</f>
        <v>#NAME?</v>
      </c>
      <c r="C233" s="737" t="s">
        <v>1358</v>
      </c>
    </row>
    <row r="234" customFormat="false" ht="14.25" hidden="false" customHeight="false" outlineLevel="0" collapsed="false">
      <c r="A234" s="736" t="s">
        <v>1380</v>
      </c>
      <c r="B234" s="736" t="n">
        <f aca="false">Priv!E137</f>
        <v>0</v>
      </c>
      <c r="C234" s="737" t="s">
        <v>1358</v>
      </c>
    </row>
    <row r="235" customFormat="false" ht="14.25" hidden="false" customHeight="false" outlineLevel="0" collapsed="false">
      <c r="A235" s="736" t="s">
        <v>1381</v>
      </c>
      <c r="B235" s="736" t="n">
        <f aca="false">Priv!H137</f>
        <v>0</v>
      </c>
      <c r="C235" s="737" t="s">
        <v>1358</v>
      </c>
    </row>
    <row r="236" customFormat="false" ht="14.25" hidden="false" customHeight="false" outlineLevel="0" collapsed="false">
      <c r="A236" s="736" t="s">
        <v>1382</v>
      </c>
      <c r="B236" s="736" t="e">
        <f aca="false">priv!#ref!</f>
        <v>#NAME?</v>
      </c>
      <c r="C236" s="737" t="s">
        <v>1358</v>
      </c>
    </row>
    <row r="237" customFormat="false" ht="14.25" hidden="false" customHeight="false" outlineLevel="0" collapsed="false">
      <c r="A237" s="736" t="s">
        <v>1383</v>
      </c>
      <c r="B237" s="736" t="e">
        <f aca="false">priv!#ref!</f>
        <v>#NAME?</v>
      </c>
      <c r="C237" s="737" t="s">
        <v>1358</v>
      </c>
    </row>
    <row r="238" customFormat="false" ht="14.25" hidden="false" customHeight="false" outlineLevel="0" collapsed="false">
      <c r="A238" s="736" t="s">
        <v>1384</v>
      </c>
      <c r="B238" s="736" t="e">
        <f aca="false">priv!#ref!</f>
        <v>#NAME?</v>
      </c>
      <c r="C238" s="737" t="s">
        <v>1358</v>
      </c>
    </row>
    <row r="239" customFormat="false" ht="14.25" hidden="false" customHeight="false" outlineLevel="0" collapsed="false">
      <c r="A239" s="736" t="s">
        <v>1385</v>
      </c>
      <c r="B239" s="736" t="e">
        <f aca="false">priv!#ref!</f>
        <v>#NAME?</v>
      </c>
      <c r="C239" s="737" t="s">
        <v>1358</v>
      </c>
    </row>
    <row r="240" customFormat="false" ht="14.25" hidden="false" customHeight="false" outlineLevel="0" collapsed="false">
      <c r="A240" s="736" t="s">
        <v>1386</v>
      </c>
      <c r="B240" s="736" t="n">
        <f aca="false">Priv!E138</f>
        <v>0</v>
      </c>
      <c r="C240" s="737" t="s">
        <v>1358</v>
      </c>
    </row>
    <row r="241" customFormat="false" ht="14.25" hidden="false" customHeight="false" outlineLevel="0" collapsed="false">
      <c r="A241" s="736" t="s">
        <v>1387</v>
      </c>
      <c r="B241" s="736" t="n">
        <f aca="false">Priv!H138</f>
        <v>0</v>
      </c>
      <c r="C241" s="737" t="s">
        <v>1358</v>
      </c>
    </row>
    <row r="242" customFormat="false" ht="14.25" hidden="false" customHeight="false" outlineLevel="0" collapsed="false">
      <c r="A242" s="736" t="s">
        <v>1388</v>
      </c>
      <c r="B242" s="736" t="e">
        <f aca="false">priv!#ref!</f>
        <v>#NAME?</v>
      </c>
      <c r="C242" s="737" t="s">
        <v>1358</v>
      </c>
    </row>
    <row r="243" customFormat="false" ht="14.25" hidden="false" customHeight="false" outlineLevel="0" collapsed="false">
      <c r="A243" s="736" t="s">
        <v>1389</v>
      </c>
      <c r="B243" s="736" t="e">
        <f aca="false">priv!#ref!</f>
        <v>#NAME?</v>
      </c>
      <c r="C243" s="737" t="s">
        <v>1358</v>
      </c>
    </row>
    <row r="244" customFormat="false" ht="14.25" hidden="false" customHeight="false" outlineLevel="0" collapsed="false">
      <c r="A244" s="736" t="s">
        <v>1390</v>
      </c>
      <c r="B244" s="736" t="e">
        <f aca="false">priv!#ref!</f>
        <v>#NAME?</v>
      </c>
      <c r="C244" s="737" t="s">
        <v>1358</v>
      </c>
    </row>
    <row r="245" customFormat="false" ht="14.25" hidden="false" customHeight="false" outlineLevel="0" collapsed="false">
      <c r="A245" s="736" t="s">
        <v>1391</v>
      </c>
      <c r="B245" s="736" t="e">
        <f aca="false">priv!#ref!</f>
        <v>#NAME?</v>
      </c>
      <c r="C245" s="737" t="s">
        <v>1358</v>
      </c>
    </row>
    <row r="246" customFormat="false" ht="14.25" hidden="false" customHeight="false" outlineLevel="0" collapsed="false">
      <c r="A246" s="736" t="s">
        <v>652</v>
      </c>
      <c r="B246" s="736" t="e">
        <f aca="false">priv!#ref!</f>
        <v>#NAME?</v>
      </c>
      <c r="C246" s="737" t="s">
        <v>1392</v>
      </c>
    </row>
    <row r="247" customFormat="false" ht="14.25" hidden="false" customHeight="false" outlineLevel="0" collapsed="false">
      <c r="A247" s="736" t="s">
        <v>654</v>
      </c>
      <c r="B247" s="736" t="e">
        <f aca="false">priv!#ref!</f>
        <v>#NAME?</v>
      </c>
      <c r="C247" s="737" t="s">
        <v>1392</v>
      </c>
    </row>
    <row r="248" customFormat="false" ht="14.25" hidden="false" customHeight="false" outlineLevel="0" collapsed="false">
      <c r="A248" s="736" t="s">
        <v>655</v>
      </c>
      <c r="B248" s="736" t="e">
        <f aca="false">priv!#ref!</f>
        <v>#NAME?</v>
      </c>
      <c r="C248" s="737" t="s">
        <v>1392</v>
      </c>
    </row>
    <row r="249" customFormat="false" ht="14.25" hidden="false" customHeight="false" outlineLevel="0" collapsed="false">
      <c r="A249" s="736" t="s">
        <v>723</v>
      </c>
      <c r="B249" s="736" t="e">
        <f aca="false">priv!#ref!</f>
        <v>#NAME?</v>
      </c>
      <c r="C249" s="737" t="s">
        <v>1393</v>
      </c>
    </row>
    <row r="250" customFormat="false" ht="14.25" hidden="false" customHeight="false" outlineLevel="0" collapsed="false">
      <c r="A250" s="736" t="s">
        <v>725</v>
      </c>
      <c r="B250" s="736" t="e">
        <f aca="false">priv!#ref!</f>
        <v>#NAME?</v>
      </c>
      <c r="C250" s="737" t="s">
        <v>1393</v>
      </c>
    </row>
    <row r="251" customFormat="false" ht="14.25" hidden="false" customHeight="false" outlineLevel="0" collapsed="false">
      <c r="A251" s="736" t="s">
        <v>726</v>
      </c>
      <c r="B251" s="736" t="e">
        <f aca="false">priv!#ref!</f>
        <v>#NAME?</v>
      </c>
      <c r="C251" s="737" t="s">
        <v>1393</v>
      </c>
    </row>
    <row r="252" customFormat="false" ht="14.25" hidden="false" customHeight="false" outlineLevel="0" collapsed="false">
      <c r="A252" s="736" t="s">
        <v>1394</v>
      </c>
      <c r="B252" s="736" t="e">
        <f aca="false">priv!#ref!</f>
        <v>#NAME?</v>
      </c>
      <c r="C252" s="737" t="s">
        <v>1393</v>
      </c>
    </row>
    <row r="253" customFormat="false" ht="14.25" hidden="false" customHeight="false" outlineLevel="0" collapsed="false">
      <c r="A253" s="736" t="s">
        <v>1395</v>
      </c>
      <c r="B253" s="736" t="e">
        <f aca="false">priv!#ref!</f>
        <v>#NAME?</v>
      </c>
      <c r="C253" s="737" t="s">
        <v>1393</v>
      </c>
    </row>
    <row r="254" customFormat="false" ht="14.25" hidden="false" customHeight="false" outlineLevel="0" collapsed="false">
      <c r="A254" s="736" t="s">
        <v>1396</v>
      </c>
      <c r="B254" s="736" t="e">
        <f aca="false">priv!#ref!</f>
        <v>#NAME?</v>
      </c>
      <c r="C254" s="737" t="s">
        <v>1393</v>
      </c>
    </row>
    <row r="255" customFormat="false" ht="14.25" hidden="false" customHeight="false" outlineLevel="0" collapsed="false">
      <c r="A255" s="736" t="s">
        <v>1397</v>
      </c>
      <c r="B255" s="736" t="e">
        <f aca="false">priv!#ref!</f>
        <v>#NAME?</v>
      </c>
      <c r="C255" s="737" t="s">
        <v>1393</v>
      </c>
    </row>
    <row r="256" customFormat="false" ht="14.25" hidden="false" customHeight="false" outlineLevel="0" collapsed="false">
      <c r="A256" s="736" t="s">
        <v>1398</v>
      </c>
      <c r="B256" s="736" t="e">
        <f aca="false">priv!#ref!</f>
        <v>#NAME?</v>
      </c>
      <c r="C256" s="737" t="s">
        <v>1393</v>
      </c>
    </row>
    <row r="257" customFormat="false" ht="14.25" hidden="false" customHeight="false" outlineLevel="0" collapsed="false">
      <c r="A257" s="736" t="s">
        <v>1399</v>
      </c>
      <c r="B257" s="736" t="e">
        <f aca="false">priv!#ref!</f>
        <v>#NAME?</v>
      </c>
      <c r="C257" s="737" t="s">
        <v>1393</v>
      </c>
    </row>
    <row r="258" customFormat="false" ht="14.25" hidden="false" customHeight="false" outlineLevel="0" collapsed="false">
      <c r="A258" s="736" t="s">
        <v>1400</v>
      </c>
      <c r="B258" s="736" t="e">
        <f aca="false">priv!#ref!</f>
        <v>#NAME?</v>
      </c>
      <c r="C258" s="737" t="s">
        <v>1393</v>
      </c>
    </row>
    <row r="259" customFormat="false" ht="14.25" hidden="false" customHeight="false" outlineLevel="0" collapsed="false">
      <c r="A259" s="736" t="s">
        <v>1401</v>
      </c>
      <c r="B259" s="736" t="e">
        <f aca="false">priv!#ref!</f>
        <v>#NAME?</v>
      </c>
      <c r="C259" s="737" t="s">
        <v>1393</v>
      </c>
    </row>
    <row r="260" customFormat="false" ht="14.25" hidden="false" customHeight="false" outlineLevel="0" collapsed="false">
      <c r="A260" s="736" t="s">
        <v>1402</v>
      </c>
      <c r="B260" s="736" t="e">
        <f aca="false">priv!#ref!</f>
        <v>#NAME?</v>
      </c>
      <c r="C260" s="737" t="s">
        <v>1393</v>
      </c>
    </row>
    <row r="261" customFormat="false" ht="14.25" hidden="false" customHeight="false" outlineLevel="0" collapsed="false">
      <c r="A261" s="736" t="s">
        <v>1403</v>
      </c>
      <c r="B261" s="736" t="e">
        <f aca="false">priv!#ref!</f>
        <v>#NAME?</v>
      </c>
      <c r="C261" s="737" t="s">
        <v>1393</v>
      </c>
    </row>
    <row r="262" customFormat="false" ht="14.25" hidden="false" customHeight="false" outlineLevel="0" collapsed="false">
      <c r="A262" s="736" t="s">
        <v>1404</v>
      </c>
      <c r="B262" s="736" t="e">
        <f aca="false">priv!#ref!</f>
        <v>#NAME?</v>
      </c>
      <c r="C262" s="737" t="s">
        <v>1393</v>
      </c>
    </row>
    <row r="263" customFormat="false" ht="14.25" hidden="false" customHeight="false" outlineLevel="0" collapsed="false">
      <c r="A263" s="736" t="s">
        <v>1405</v>
      </c>
      <c r="B263" s="736" t="e">
        <f aca="false">priv!#ref!</f>
        <v>#NAME?</v>
      </c>
      <c r="C263" s="737" t="s">
        <v>1393</v>
      </c>
    </row>
    <row r="264" customFormat="false" ht="14.25" hidden="false" customHeight="false" outlineLevel="0" collapsed="false">
      <c r="A264" s="736" t="s">
        <v>1406</v>
      </c>
      <c r="B264" s="736" t="e">
        <f aca="false">priv!#ref!</f>
        <v>#NAME?</v>
      </c>
      <c r="C264" s="737" t="s">
        <v>1393</v>
      </c>
    </row>
    <row r="265" customFormat="false" ht="14.25" hidden="false" customHeight="false" outlineLevel="0" collapsed="false">
      <c r="A265" s="736" t="s">
        <v>1407</v>
      </c>
      <c r="B265" s="736" t="e">
        <f aca="false">priv!#ref!</f>
        <v>#NAME?</v>
      </c>
      <c r="C265" s="737" t="s">
        <v>1393</v>
      </c>
    </row>
    <row r="266" customFormat="false" ht="14.25" hidden="false" customHeight="false" outlineLevel="0" collapsed="false">
      <c r="A266" s="736" t="s">
        <v>1408</v>
      </c>
      <c r="B266" s="736" t="e">
        <f aca="false">priv!#ref!</f>
        <v>#NAME?</v>
      </c>
      <c r="C266" s="737" t="s">
        <v>1393</v>
      </c>
    </row>
    <row r="267" customFormat="false" ht="14.25" hidden="false" customHeight="false" outlineLevel="0" collapsed="false">
      <c r="A267" s="736" t="s">
        <v>1409</v>
      </c>
      <c r="B267" s="736" t="e">
        <f aca="false">priv!#ref!</f>
        <v>#NAME?</v>
      </c>
      <c r="C267" s="737" t="s">
        <v>1393</v>
      </c>
    </row>
    <row r="268" customFormat="false" ht="14.25" hidden="false" customHeight="false" outlineLevel="0" collapsed="false">
      <c r="A268" s="736" t="s">
        <v>1410</v>
      </c>
      <c r="B268" s="736" t="e">
        <f aca="false">priv!#ref!</f>
        <v>#NAME?</v>
      </c>
      <c r="C268" s="737" t="s">
        <v>1393</v>
      </c>
    </row>
    <row r="269" customFormat="false" ht="14.25" hidden="false" customHeight="false" outlineLevel="0" collapsed="false">
      <c r="A269" s="736" t="s">
        <v>1411</v>
      </c>
      <c r="B269" s="736" t="e">
        <f aca="false">priv!#ref!</f>
        <v>#NAME?</v>
      </c>
      <c r="C269" s="737" t="s">
        <v>1393</v>
      </c>
    </row>
    <row r="270" customFormat="false" ht="14.25" hidden="false" customHeight="false" outlineLevel="0" collapsed="false">
      <c r="A270" s="736" t="s">
        <v>1412</v>
      </c>
      <c r="B270" s="736" t="e">
        <f aca="false">priv!#ref!</f>
        <v>#NAME?</v>
      </c>
      <c r="C270" s="737" t="s">
        <v>1393</v>
      </c>
    </row>
    <row r="271" customFormat="false" ht="14.25" hidden="false" customHeight="false" outlineLevel="0" collapsed="false">
      <c r="A271" s="736" t="s">
        <v>1413</v>
      </c>
      <c r="B271" s="736" t="e">
        <f aca="false">priv!#ref!</f>
        <v>#NAME?</v>
      </c>
      <c r="C271" s="737" t="s">
        <v>1393</v>
      </c>
    </row>
    <row r="272" customFormat="false" ht="14.25" hidden="false" customHeight="false" outlineLevel="0" collapsed="false">
      <c r="A272" s="736" t="s">
        <v>1414</v>
      </c>
      <c r="B272" s="736" t="e">
        <f aca="false">priv!#ref!</f>
        <v>#NAME?</v>
      </c>
      <c r="C272" s="737" t="s">
        <v>1393</v>
      </c>
    </row>
    <row r="273" customFormat="false" ht="14.25" hidden="false" customHeight="false" outlineLevel="0" collapsed="false">
      <c r="A273" s="736" t="s">
        <v>1415</v>
      </c>
      <c r="B273" s="736" t="e">
        <f aca="false">priv!#ref!</f>
        <v>#NAME?</v>
      </c>
      <c r="C273" s="737" t="s">
        <v>1393</v>
      </c>
    </row>
    <row r="274" customFormat="false" ht="14.25" hidden="false" customHeight="false" outlineLevel="0" collapsed="false">
      <c r="A274" s="736" t="s">
        <v>1416</v>
      </c>
      <c r="B274" s="736" t="e">
        <f aca="false">priv!#ref!</f>
        <v>#NAME?</v>
      </c>
      <c r="C274" s="737" t="s">
        <v>1393</v>
      </c>
    </row>
    <row r="275" customFormat="false" ht="14.25" hidden="false" customHeight="false" outlineLevel="0" collapsed="false">
      <c r="A275" s="736" t="s">
        <v>1417</v>
      </c>
      <c r="B275" s="736" t="e">
        <f aca="false">priv!#ref!</f>
        <v>#NAME?</v>
      </c>
      <c r="C275" s="737" t="s">
        <v>1393</v>
      </c>
    </row>
    <row r="276" customFormat="false" ht="14.25" hidden="false" customHeight="false" outlineLevel="0" collapsed="false">
      <c r="A276" s="736" t="s">
        <v>1418</v>
      </c>
      <c r="B276" s="736" t="e">
        <f aca="false">priv!#ref!</f>
        <v>#NAME?</v>
      </c>
      <c r="C276" s="737" t="s">
        <v>1393</v>
      </c>
    </row>
    <row r="277" customFormat="false" ht="14.25" hidden="false" customHeight="false" outlineLevel="0" collapsed="false">
      <c r="A277" s="736" t="s">
        <v>1419</v>
      </c>
      <c r="B277" s="736" t="e">
        <f aca="false">priv!#ref!</f>
        <v>#NAME?</v>
      </c>
      <c r="C277" s="737" t="s">
        <v>1393</v>
      </c>
    </row>
    <row r="278" customFormat="false" ht="14.25" hidden="false" customHeight="false" outlineLevel="0" collapsed="false">
      <c r="A278" s="736" t="s">
        <v>1420</v>
      </c>
      <c r="B278" s="736" t="e">
        <f aca="false">priv!#ref!</f>
        <v>#NAME?</v>
      </c>
      <c r="C278" s="737" t="s">
        <v>1393</v>
      </c>
    </row>
    <row r="279" customFormat="false" ht="14.25" hidden="false" customHeight="false" outlineLevel="0" collapsed="false">
      <c r="A279" s="736" t="s">
        <v>1421</v>
      </c>
      <c r="B279" s="736" t="e">
        <f aca="false">priv!#ref!</f>
        <v>#NAME?</v>
      </c>
      <c r="C279" s="737" t="s">
        <v>1393</v>
      </c>
    </row>
    <row r="280" customFormat="false" ht="14.25" hidden="false" customHeight="false" outlineLevel="0" collapsed="false">
      <c r="A280" s="736" t="s">
        <v>1422</v>
      </c>
      <c r="B280" s="736" t="e">
        <f aca="false">priv!#ref!</f>
        <v>#NAME?</v>
      </c>
      <c r="C280" s="737" t="s">
        <v>1393</v>
      </c>
    </row>
    <row r="281" customFormat="false" ht="14.25" hidden="false" customHeight="false" outlineLevel="0" collapsed="false">
      <c r="A281" s="736" t="s">
        <v>1423</v>
      </c>
      <c r="B281" s="736" t="e">
        <f aca="false">priv!#ref!</f>
        <v>#NAME?</v>
      </c>
      <c r="C281" s="737" t="s">
        <v>1393</v>
      </c>
    </row>
    <row r="282" customFormat="false" ht="14.25" hidden="false" customHeight="false" outlineLevel="0" collapsed="false">
      <c r="A282" s="736" t="s">
        <v>1424</v>
      </c>
      <c r="B282" s="736" t="e">
        <f aca="false">priv!#ref!</f>
        <v>#NAME?</v>
      </c>
      <c r="C282" s="737" t="s">
        <v>1393</v>
      </c>
    </row>
    <row r="283" customFormat="false" ht="14.25" hidden="false" customHeight="false" outlineLevel="0" collapsed="false">
      <c r="A283" s="736" t="s">
        <v>1425</v>
      </c>
      <c r="B283" s="736" t="e">
        <f aca="false">priv!#ref!</f>
        <v>#NAME?</v>
      </c>
      <c r="C283" s="737" t="s">
        <v>1393</v>
      </c>
    </row>
    <row r="284" customFormat="false" ht="14.25" hidden="false" customHeight="false" outlineLevel="0" collapsed="false">
      <c r="A284" s="736" t="s">
        <v>1426</v>
      </c>
      <c r="B284" s="736" t="e">
        <f aca="false">priv!#ref!</f>
        <v>#NAME?</v>
      </c>
      <c r="C284" s="737" t="s">
        <v>1393</v>
      </c>
    </row>
    <row r="285" customFormat="false" ht="14.25" hidden="false" customHeight="false" outlineLevel="0" collapsed="false">
      <c r="A285" s="734" t="s">
        <v>727</v>
      </c>
      <c r="B285" s="734" t="n">
        <f aca="false">Priv!D144</f>
        <v>0</v>
      </c>
      <c r="C285" s="735" t="s">
        <v>1427</v>
      </c>
    </row>
    <row r="286" customFormat="false" ht="14.25" hidden="false" customHeight="false" outlineLevel="0" collapsed="false">
      <c r="A286" s="734" t="s">
        <v>729</v>
      </c>
      <c r="B286" s="734" t="n">
        <f aca="false">Priv!F144</f>
        <v>0</v>
      </c>
      <c r="C286" s="735" t="s">
        <v>1427</v>
      </c>
    </row>
    <row r="287" customFormat="false" ht="14.25" hidden="false" customHeight="false" outlineLevel="0" collapsed="false">
      <c r="A287" s="734" t="s">
        <v>730</v>
      </c>
      <c r="B287" s="734" t="n">
        <f aca="false">Priv!H144</f>
        <v>0</v>
      </c>
      <c r="C287" s="735" t="s">
        <v>1427</v>
      </c>
    </row>
    <row r="288" customFormat="false" ht="14.25" hidden="false" customHeight="false" outlineLevel="0" collapsed="false">
      <c r="A288" s="734" t="s">
        <v>731</v>
      </c>
      <c r="B288" s="734" t="n">
        <f aca="false">Priv!J144</f>
        <v>0</v>
      </c>
      <c r="C288" s="735" t="s">
        <v>1427</v>
      </c>
    </row>
    <row r="289" customFormat="false" ht="14.25" hidden="false" customHeight="false" outlineLevel="0" collapsed="false">
      <c r="A289" s="734" t="s">
        <v>734</v>
      </c>
      <c r="B289" s="734" t="n">
        <f aca="false">Priv!D145</f>
        <v>0</v>
      </c>
      <c r="C289" s="735" t="s">
        <v>1427</v>
      </c>
    </row>
    <row r="290" customFormat="false" ht="14.25" hidden="false" customHeight="false" outlineLevel="0" collapsed="false">
      <c r="A290" s="734" t="s">
        <v>735</v>
      </c>
      <c r="B290" s="734" t="n">
        <f aca="false">Priv!F145</f>
        <v>0</v>
      </c>
      <c r="C290" s="735" t="s">
        <v>1427</v>
      </c>
    </row>
    <row r="291" customFormat="false" ht="14.25" hidden="false" customHeight="false" outlineLevel="0" collapsed="false">
      <c r="A291" s="734" t="s">
        <v>736</v>
      </c>
      <c r="B291" s="734" t="n">
        <f aca="false">Priv!H145</f>
        <v>0</v>
      </c>
      <c r="C291" s="735" t="s">
        <v>1427</v>
      </c>
    </row>
    <row r="292" customFormat="false" ht="14.25" hidden="false" customHeight="false" outlineLevel="0" collapsed="false">
      <c r="A292" s="734" t="s">
        <v>737</v>
      </c>
      <c r="B292" s="734" t="n">
        <f aca="false">Priv!J145</f>
        <v>0</v>
      </c>
      <c r="C292" s="735" t="s">
        <v>1427</v>
      </c>
    </row>
    <row r="293" customFormat="false" ht="14.25" hidden="false" customHeight="false" outlineLevel="0" collapsed="false">
      <c r="A293" s="734" t="s">
        <v>740</v>
      </c>
      <c r="B293" s="734" t="n">
        <f aca="false">Priv!D146</f>
        <v>0</v>
      </c>
      <c r="C293" s="735" t="s">
        <v>1427</v>
      </c>
    </row>
    <row r="294" customFormat="false" ht="14.25" hidden="false" customHeight="false" outlineLevel="0" collapsed="false">
      <c r="A294" s="734" t="s">
        <v>741</v>
      </c>
      <c r="B294" s="734" t="n">
        <f aca="false">Priv!F146</f>
        <v>0</v>
      </c>
      <c r="C294" s="735" t="s">
        <v>1427</v>
      </c>
    </row>
    <row r="295" customFormat="false" ht="14.25" hidden="false" customHeight="false" outlineLevel="0" collapsed="false">
      <c r="A295" s="734" t="s">
        <v>742</v>
      </c>
      <c r="B295" s="734" t="n">
        <f aca="false">Priv!H146</f>
        <v>0</v>
      </c>
      <c r="C295" s="735" t="s">
        <v>1427</v>
      </c>
    </row>
    <row r="296" customFormat="false" ht="14.25" hidden="false" customHeight="false" outlineLevel="0" collapsed="false">
      <c r="A296" s="734" t="s">
        <v>743</v>
      </c>
      <c r="B296" s="734" t="n">
        <f aca="false">Priv!J146</f>
        <v>0</v>
      </c>
      <c r="C296" s="735" t="s">
        <v>1427</v>
      </c>
    </row>
    <row r="297" customFormat="false" ht="14.25" hidden="false" customHeight="false" outlineLevel="0" collapsed="false">
      <c r="A297" s="734" t="s">
        <v>746</v>
      </c>
      <c r="B297" s="734" t="n">
        <f aca="false">Priv!D147</f>
        <v>0</v>
      </c>
      <c r="C297" s="735" t="s">
        <v>1427</v>
      </c>
    </row>
    <row r="298" customFormat="false" ht="14.25" hidden="false" customHeight="false" outlineLevel="0" collapsed="false">
      <c r="A298" s="734" t="s">
        <v>747</v>
      </c>
      <c r="B298" s="734" t="n">
        <f aca="false">Priv!F147</f>
        <v>0</v>
      </c>
      <c r="C298" s="735" t="s">
        <v>1427</v>
      </c>
    </row>
    <row r="299" customFormat="false" ht="14.25" hidden="false" customHeight="false" outlineLevel="0" collapsed="false">
      <c r="A299" s="734" t="s">
        <v>748</v>
      </c>
      <c r="B299" s="734" t="n">
        <f aca="false">Priv!H147</f>
        <v>0</v>
      </c>
      <c r="C299" s="735" t="s">
        <v>1427</v>
      </c>
    </row>
    <row r="300" customFormat="false" ht="14.25" hidden="false" customHeight="false" outlineLevel="0" collapsed="false">
      <c r="A300" s="734" t="s">
        <v>749</v>
      </c>
      <c r="B300" s="734" t="n">
        <f aca="false">Priv!J147</f>
        <v>0</v>
      </c>
      <c r="C300" s="735" t="s">
        <v>1427</v>
      </c>
    </row>
    <row r="301" customFormat="false" ht="14.25" hidden="false" customHeight="false" outlineLevel="0" collapsed="false">
      <c r="A301" s="734" t="s">
        <v>752</v>
      </c>
      <c r="B301" s="734" t="n">
        <f aca="false">Priv!D148</f>
        <v>0</v>
      </c>
      <c r="C301" s="735" t="s">
        <v>1427</v>
      </c>
    </row>
    <row r="302" customFormat="false" ht="14.25" hidden="false" customHeight="false" outlineLevel="0" collapsed="false">
      <c r="A302" s="734" t="s">
        <v>753</v>
      </c>
      <c r="B302" s="734" t="n">
        <f aca="false">Priv!F148</f>
        <v>0</v>
      </c>
      <c r="C302" s="735" t="s">
        <v>1427</v>
      </c>
    </row>
    <row r="303" customFormat="false" ht="14.25" hidden="false" customHeight="false" outlineLevel="0" collapsed="false">
      <c r="A303" s="734" t="s">
        <v>754</v>
      </c>
      <c r="B303" s="734" t="n">
        <f aca="false">Priv!H148</f>
        <v>0</v>
      </c>
      <c r="C303" s="735" t="s">
        <v>1427</v>
      </c>
    </row>
    <row r="304" customFormat="false" ht="14.25" hidden="false" customHeight="false" outlineLevel="0" collapsed="false">
      <c r="A304" s="734" t="s">
        <v>755</v>
      </c>
      <c r="B304" s="734" t="n">
        <f aca="false">Priv!J148</f>
        <v>0</v>
      </c>
      <c r="C304" s="735" t="s">
        <v>1427</v>
      </c>
    </row>
    <row r="305" customFormat="false" ht="14.25" hidden="false" customHeight="false" outlineLevel="0" collapsed="false">
      <c r="A305" s="734" t="s">
        <v>758</v>
      </c>
      <c r="B305" s="734" t="n">
        <f aca="false">Priv!D149</f>
        <v>0</v>
      </c>
      <c r="C305" s="735" t="s">
        <v>1427</v>
      </c>
    </row>
    <row r="306" customFormat="false" ht="14.25" hidden="false" customHeight="false" outlineLevel="0" collapsed="false">
      <c r="A306" s="734" t="s">
        <v>759</v>
      </c>
      <c r="B306" s="734" t="n">
        <f aca="false">Priv!F149</f>
        <v>0</v>
      </c>
      <c r="C306" s="735" t="s">
        <v>1427</v>
      </c>
    </row>
    <row r="307" customFormat="false" ht="14.25" hidden="false" customHeight="false" outlineLevel="0" collapsed="false">
      <c r="A307" s="734" t="s">
        <v>760</v>
      </c>
      <c r="B307" s="734" t="n">
        <f aca="false">Priv!H149</f>
        <v>0</v>
      </c>
      <c r="C307" s="735" t="s">
        <v>1427</v>
      </c>
    </row>
    <row r="308" customFormat="false" ht="14.25" hidden="false" customHeight="false" outlineLevel="0" collapsed="false">
      <c r="A308" s="734" t="s">
        <v>761</v>
      </c>
      <c r="B308" s="734" t="n">
        <f aca="false">Priv!J149</f>
        <v>0</v>
      </c>
      <c r="C308" s="735" t="s">
        <v>1427</v>
      </c>
    </row>
    <row r="309" customFormat="false" ht="14.25" hidden="false" customHeight="false" outlineLevel="0" collapsed="false">
      <c r="A309" s="734" t="s">
        <v>770</v>
      </c>
      <c r="B309" s="734" t="n">
        <f aca="false">Priv!F156</f>
        <v>0</v>
      </c>
      <c r="C309" s="735" t="s">
        <v>1428</v>
      </c>
    </row>
    <row r="310" customFormat="false" ht="14.25" hidden="false" customHeight="false" outlineLevel="0" collapsed="false">
      <c r="A310" s="734" t="s">
        <v>1429</v>
      </c>
      <c r="B310" s="734" t="str">
        <f aca="false">Priv!F158</f>
        <v>0</v>
      </c>
      <c r="C310" s="735" t="s">
        <v>1428</v>
      </c>
    </row>
    <row r="311" customFormat="false" ht="14.25" hidden="false" customHeight="false" outlineLevel="0" collapsed="false">
      <c r="A311" s="734" t="s">
        <v>774</v>
      </c>
      <c r="B311" s="734" t="n">
        <f aca="false">Priv!B167</f>
        <v>0</v>
      </c>
      <c r="C311" s="735" t="s">
        <v>1430</v>
      </c>
    </row>
    <row r="312" customFormat="false" ht="14.25" hidden="false" customHeight="false" outlineLevel="0" collapsed="false">
      <c r="A312" s="734" t="s">
        <v>776</v>
      </c>
      <c r="B312" s="734" t="n">
        <f aca="false">Priv!F167</f>
        <v>0</v>
      </c>
      <c r="C312" s="735" t="s">
        <v>1430</v>
      </c>
    </row>
    <row r="313" customFormat="false" ht="14.25" hidden="false" customHeight="false" outlineLevel="0" collapsed="false">
      <c r="A313" s="734" t="s">
        <v>777</v>
      </c>
      <c r="B313" s="734" t="n">
        <f aca="false">Priv!H167</f>
        <v>0</v>
      </c>
      <c r="C313" s="735" t="s">
        <v>1430</v>
      </c>
    </row>
    <row r="314" customFormat="false" ht="14.25" hidden="false" customHeight="false" outlineLevel="0" collapsed="false">
      <c r="A314" s="734" t="s">
        <v>778</v>
      </c>
      <c r="B314" s="734" t="n">
        <f aca="false">Priv!J167</f>
        <v>0</v>
      </c>
      <c r="C314" s="735" t="s">
        <v>1430</v>
      </c>
    </row>
    <row r="315" customFormat="false" ht="14.25" hidden="false" customHeight="false" outlineLevel="0" collapsed="false">
      <c r="A315" s="734" t="s">
        <v>779</v>
      </c>
      <c r="B315" s="734" t="n">
        <f aca="false">Priv!L167</f>
        <v>0</v>
      </c>
      <c r="C315" s="735" t="s">
        <v>1430</v>
      </c>
    </row>
    <row r="316" customFormat="false" ht="14.25" hidden="false" customHeight="false" outlineLevel="0" collapsed="false">
      <c r="A316" s="734" t="s">
        <v>817</v>
      </c>
      <c r="B316" s="734" t="n">
        <f aca="false">Priv!E172</f>
        <v>0</v>
      </c>
      <c r="C316" s="735" t="s">
        <v>1431</v>
      </c>
    </row>
    <row r="317" customFormat="false" ht="14.25" hidden="false" customHeight="false" outlineLevel="0" collapsed="false">
      <c r="A317" s="734" t="s">
        <v>819</v>
      </c>
      <c r="B317" s="734" t="n">
        <f aca="false">Priv!H172</f>
        <v>0</v>
      </c>
      <c r="C317" s="735" t="s">
        <v>1431</v>
      </c>
    </row>
    <row r="318" customFormat="false" ht="14.25" hidden="false" customHeight="false" outlineLevel="0" collapsed="false">
      <c r="A318" s="734" t="s">
        <v>821</v>
      </c>
      <c r="B318" s="734" t="n">
        <f aca="false">Priv!E173</f>
        <v>0</v>
      </c>
      <c r="C318" s="735" t="s">
        <v>1431</v>
      </c>
    </row>
    <row r="319" customFormat="false" ht="14.25" hidden="false" customHeight="false" outlineLevel="0" collapsed="false">
      <c r="A319" s="734" t="s">
        <v>822</v>
      </c>
      <c r="B319" s="734" t="n">
        <f aca="false">Priv!H173</f>
        <v>0</v>
      </c>
      <c r="C319" s="735" t="s">
        <v>1431</v>
      </c>
    </row>
    <row r="320" customFormat="false" ht="14.25" hidden="false" customHeight="false" outlineLevel="0" collapsed="false">
      <c r="A320" s="734" t="s">
        <v>824</v>
      </c>
      <c r="B320" s="734" t="n">
        <f aca="false">Priv!E174</f>
        <v>0</v>
      </c>
      <c r="C320" s="735" t="s">
        <v>1431</v>
      </c>
    </row>
    <row r="321" customFormat="false" ht="14.25" hidden="false" customHeight="false" outlineLevel="0" collapsed="false">
      <c r="A321" s="734" t="s">
        <v>825</v>
      </c>
      <c r="B321" s="734" t="n">
        <f aca="false">Priv!H174</f>
        <v>0</v>
      </c>
      <c r="C321" s="735" t="s">
        <v>1431</v>
      </c>
    </row>
    <row r="322" customFormat="false" ht="14.25" hidden="false" customHeight="false" outlineLevel="0" collapsed="false">
      <c r="A322" s="734" t="s">
        <v>827</v>
      </c>
      <c r="B322" s="734" t="n">
        <f aca="false">Priv!E175</f>
        <v>0</v>
      </c>
      <c r="C322" s="735" t="s">
        <v>1431</v>
      </c>
    </row>
    <row r="323" customFormat="false" ht="14.25" hidden="false" customHeight="false" outlineLevel="0" collapsed="false">
      <c r="A323" s="734" t="s">
        <v>828</v>
      </c>
      <c r="B323" s="734" t="n">
        <f aca="false">Priv!H175</f>
        <v>0</v>
      </c>
      <c r="C323" s="735" t="s">
        <v>1431</v>
      </c>
    </row>
    <row r="324" customFormat="false" ht="14.25" hidden="false" customHeight="false" outlineLevel="0" collapsed="false">
      <c r="A324" s="734" t="s">
        <v>830</v>
      </c>
      <c r="B324" s="734" t="n">
        <f aca="false">Priv!E176</f>
        <v>0</v>
      </c>
      <c r="C324" s="735" t="s">
        <v>1431</v>
      </c>
    </row>
    <row r="325" customFormat="false" ht="14.25" hidden="false" customHeight="false" outlineLevel="0" collapsed="false">
      <c r="A325" s="734" t="s">
        <v>831</v>
      </c>
      <c r="B325" s="734" t="n">
        <f aca="false">Priv!H176</f>
        <v>0</v>
      </c>
      <c r="C325" s="735" t="s">
        <v>1431</v>
      </c>
    </row>
    <row r="326" customFormat="false" ht="14.25" hidden="false" customHeight="false" outlineLevel="0" collapsed="false">
      <c r="A326" s="734" t="s">
        <v>833</v>
      </c>
      <c r="B326" s="734" t="n">
        <f aca="false">Priv!E177</f>
        <v>0</v>
      </c>
      <c r="C326" s="735" t="s">
        <v>1431</v>
      </c>
    </row>
    <row r="327" customFormat="false" ht="14.25" hidden="false" customHeight="false" outlineLevel="0" collapsed="false">
      <c r="A327" s="734" t="s">
        <v>834</v>
      </c>
      <c r="B327" s="734" t="n">
        <f aca="false">Priv!H177</f>
        <v>0</v>
      </c>
      <c r="C327" s="735" t="s">
        <v>1431</v>
      </c>
    </row>
    <row r="328" customFormat="false" ht="14.25" hidden="false" customHeight="false" outlineLevel="0" collapsed="false">
      <c r="A328" s="734" t="s">
        <v>836</v>
      </c>
      <c r="B328" s="734" t="n">
        <f aca="false">Priv!E178</f>
        <v>0</v>
      </c>
      <c r="C328" s="735" t="s">
        <v>1431</v>
      </c>
    </row>
    <row r="329" customFormat="false" ht="14.25" hidden="false" customHeight="false" outlineLevel="0" collapsed="false">
      <c r="A329" s="734" t="s">
        <v>837</v>
      </c>
      <c r="B329" s="734" t="n">
        <f aca="false">Priv!H178</f>
        <v>0</v>
      </c>
      <c r="C329" s="735" t="s">
        <v>1431</v>
      </c>
    </row>
    <row r="330" customFormat="false" ht="14.25" hidden="false" customHeight="false" outlineLevel="0" collapsed="false">
      <c r="A330" s="734" t="s">
        <v>839</v>
      </c>
      <c r="B330" s="734" t="e">
        <f aca="false">priv!#ref!</f>
        <v>#NAME?</v>
      </c>
      <c r="C330" s="735" t="s">
        <v>1432</v>
      </c>
    </row>
    <row r="331" customFormat="false" ht="14.25" hidden="false" customHeight="false" outlineLevel="0" collapsed="false">
      <c r="A331" s="734" t="s">
        <v>1433</v>
      </c>
      <c r="B331" s="734" t="e">
        <f aca="false">priv!#ref!</f>
        <v>#NAME?</v>
      </c>
      <c r="C331" s="735" t="s">
        <v>1432</v>
      </c>
    </row>
    <row r="332" customFormat="false" ht="14.25" hidden="false" customHeight="false" outlineLevel="0" collapsed="false">
      <c r="A332" s="734" t="s">
        <v>841</v>
      </c>
      <c r="B332" s="734" t="e">
        <f aca="false">priv!#ref!</f>
        <v>#NAME?</v>
      </c>
      <c r="C332" s="735" t="s">
        <v>1432</v>
      </c>
    </row>
    <row r="333" customFormat="false" ht="14.25" hidden="false" customHeight="false" outlineLevel="0" collapsed="false">
      <c r="A333" s="734" t="s">
        <v>1434</v>
      </c>
      <c r="B333" s="734" t="e">
        <f aca="false">priv!#ref!</f>
        <v>#NAME?</v>
      </c>
      <c r="C333" s="735" t="s">
        <v>1432</v>
      </c>
    </row>
    <row r="334" customFormat="false" ht="14.25" hidden="false" customHeight="false" outlineLevel="0" collapsed="false">
      <c r="A334" s="734" t="s">
        <v>842</v>
      </c>
      <c r="B334" s="734" t="n">
        <f aca="false">Priv!B186</f>
        <v>0</v>
      </c>
      <c r="C334" s="735" t="n">
        <v>4</v>
      </c>
    </row>
    <row r="335" customFormat="false" ht="14.25" hidden="false" customHeight="false" outlineLevel="0" collapsed="false">
      <c r="A335" s="734" t="s">
        <v>844</v>
      </c>
      <c r="B335" s="734" t="n">
        <f aca="false">Priv!E186</f>
        <v>0</v>
      </c>
      <c r="C335" s="735" t="n">
        <v>4</v>
      </c>
    </row>
    <row r="336" customFormat="false" ht="14.25" hidden="false" customHeight="false" outlineLevel="0" collapsed="false">
      <c r="A336" s="734" t="s">
        <v>845</v>
      </c>
      <c r="B336" s="734" t="n">
        <f aca="false">Priv!H186</f>
        <v>0</v>
      </c>
      <c r="C336" s="735" t="n">
        <v>4</v>
      </c>
    </row>
    <row r="337" customFormat="false" ht="14.25" hidden="false" customHeight="false" outlineLevel="0" collapsed="false">
      <c r="A337" s="734" t="s">
        <v>848</v>
      </c>
      <c r="B337" s="734" t="n">
        <f aca="false">Priv!J191</f>
        <v>0</v>
      </c>
      <c r="C337" s="735" t="n">
        <v>5</v>
      </c>
    </row>
    <row r="338" customFormat="false" ht="14.25" hidden="false" customHeight="false" outlineLevel="0" collapsed="false">
      <c r="A338" s="734" t="s">
        <v>851</v>
      </c>
      <c r="B338" s="734" t="n">
        <f aca="false">Priv!J192</f>
        <v>0</v>
      </c>
      <c r="C338" s="735" t="n">
        <v>5</v>
      </c>
    </row>
    <row r="339" customFormat="false" ht="14.25" hidden="false" customHeight="false" outlineLevel="0" collapsed="false">
      <c r="A339" s="734" t="s">
        <v>863</v>
      </c>
      <c r="B339" s="734" t="n">
        <f aca="false">Priv!F203</f>
        <v>0</v>
      </c>
      <c r="C339" s="735" t="s">
        <v>1435</v>
      </c>
    </row>
    <row r="340" customFormat="false" ht="14.25" hidden="false" customHeight="false" outlineLevel="0" collapsed="false">
      <c r="A340" s="734" t="s">
        <v>865</v>
      </c>
      <c r="B340" s="734" t="n">
        <f aca="false">Priv!H203</f>
        <v>0</v>
      </c>
      <c r="C340" s="735" t="s">
        <v>1435</v>
      </c>
    </row>
    <row r="341" customFormat="false" ht="14.25" hidden="false" customHeight="false" outlineLevel="0" collapsed="false">
      <c r="A341" s="734" t="s">
        <v>1436</v>
      </c>
      <c r="B341" s="734" t="n">
        <f aca="false">Priv!J203</f>
        <v>0</v>
      </c>
      <c r="C341" s="735" t="s">
        <v>1435</v>
      </c>
    </row>
    <row r="342" customFormat="false" ht="14.25" hidden="false" customHeight="false" outlineLevel="0" collapsed="false">
      <c r="A342" s="734" t="s">
        <v>1437</v>
      </c>
      <c r="B342" s="734" t="n">
        <f aca="false">Priv!L203</f>
        <v>0</v>
      </c>
      <c r="C342" s="735" t="s">
        <v>1435</v>
      </c>
    </row>
    <row r="343" customFormat="false" ht="14.25" hidden="false" customHeight="false" outlineLevel="0" collapsed="false">
      <c r="A343" s="734" t="s">
        <v>1438</v>
      </c>
      <c r="B343" s="734" t="n">
        <f aca="false">Priv!N203</f>
        <v>0</v>
      </c>
      <c r="C343" s="735" t="s">
        <v>1435</v>
      </c>
    </row>
    <row r="344" customFormat="false" ht="14.25" hidden="false" customHeight="false" outlineLevel="0" collapsed="false">
      <c r="A344" s="734" t="s">
        <v>1439</v>
      </c>
      <c r="B344" s="734" t="n">
        <f aca="false">Priv!P203</f>
        <v>0</v>
      </c>
      <c r="C344" s="735" t="s">
        <v>1435</v>
      </c>
    </row>
    <row r="345" customFormat="false" ht="14.25" hidden="false" customHeight="false" outlineLevel="0" collapsed="false">
      <c r="A345" s="734" t="s">
        <v>1440</v>
      </c>
      <c r="B345" s="734" t="n">
        <f aca="false">Priv!Q203</f>
        <v>0</v>
      </c>
      <c r="C345" s="735" t="s">
        <v>1435</v>
      </c>
    </row>
    <row r="346" customFormat="false" ht="14.25" hidden="false" customHeight="false" outlineLevel="0" collapsed="false">
      <c r="A346" s="734" t="s">
        <v>1441</v>
      </c>
      <c r="B346" s="734" t="n">
        <f aca="false">Priv!S203</f>
        <v>0</v>
      </c>
      <c r="C346" s="735" t="s">
        <v>1435</v>
      </c>
    </row>
    <row r="347" customFormat="false" ht="14.25" hidden="false" customHeight="false" outlineLevel="0" collapsed="false">
      <c r="A347" s="734" t="s">
        <v>868</v>
      </c>
      <c r="B347" s="734" t="n">
        <f aca="false">Priv!F211</f>
        <v>0</v>
      </c>
      <c r="C347" s="735" t="s">
        <v>1442</v>
      </c>
    </row>
    <row r="348" customFormat="false" ht="14.25" hidden="false" customHeight="false" outlineLevel="0" collapsed="false">
      <c r="A348" s="734" t="s">
        <v>870</v>
      </c>
      <c r="B348" s="734" t="n">
        <f aca="false">Priv!H211</f>
        <v>0</v>
      </c>
      <c r="C348" s="735" t="s">
        <v>1442</v>
      </c>
    </row>
    <row r="349" customFormat="false" ht="14.25" hidden="false" customHeight="false" outlineLevel="0" collapsed="false">
      <c r="A349" s="734" t="s">
        <v>871</v>
      </c>
      <c r="B349" s="734" t="n">
        <f aca="false">Priv!J211</f>
        <v>0</v>
      </c>
      <c r="C349" s="735" t="s">
        <v>1442</v>
      </c>
    </row>
    <row r="350" customFormat="false" ht="14.25" hidden="false" customHeight="false" outlineLevel="0" collapsed="false">
      <c r="A350" s="734" t="s">
        <v>872</v>
      </c>
      <c r="B350" s="734" t="n">
        <f aca="false">Priv!L211</f>
        <v>0</v>
      </c>
      <c r="C350" s="735" t="s">
        <v>1442</v>
      </c>
    </row>
    <row r="351" customFormat="false" ht="14.25" hidden="false" customHeight="false" outlineLevel="0" collapsed="false">
      <c r="A351" s="734" t="s">
        <v>1443</v>
      </c>
      <c r="B351" s="734" t="n">
        <f aca="false">Priv!N211</f>
        <v>0</v>
      </c>
      <c r="C351" s="735" t="s">
        <v>1442</v>
      </c>
    </row>
    <row r="352" customFormat="false" ht="14.25" hidden="false" customHeight="false" outlineLevel="0" collapsed="false">
      <c r="A352" s="734" t="s">
        <v>1444</v>
      </c>
      <c r="B352" s="734" t="n">
        <f aca="false">Priv!P211</f>
        <v>0</v>
      </c>
      <c r="C352" s="735" t="s">
        <v>1442</v>
      </c>
    </row>
    <row r="353" customFormat="false" ht="14.25" hidden="false" customHeight="false" outlineLevel="0" collapsed="false">
      <c r="A353" s="734" t="s">
        <v>1445</v>
      </c>
      <c r="B353" s="734" t="n">
        <f aca="false">Priv!Q211</f>
        <v>0</v>
      </c>
      <c r="C353" s="735" t="s">
        <v>1442</v>
      </c>
    </row>
    <row r="354" customFormat="false" ht="14.25" hidden="false" customHeight="false" outlineLevel="0" collapsed="false">
      <c r="A354" s="734" t="s">
        <v>1446</v>
      </c>
      <c r="B354" s="734" t="n">
        <f aca="false">Priv!S211</f>
        <v>0</v>
      </c>
      <c r="C354" s="735" t="s">
        <v>1442</v>
      </c>
    </row>
    <row r="355" customFormat="false" ht="14.25" hidden="false" customHeight="false" outlineLevel="0" collapsed="false">
      <c r="A355" s="734" t="s">
        <v>873</v>
      </c>
      <c r="B355" s="734" t="n">
        <f aca="false">Priv!F212</f>
        <v>0</v>
      </c>
      <c r="C355" s="735" t="s">
        <v>1442</v>
      </c>
    </row>
    <row r="356" customFormat="false" ht="14.25" hidden="false" customHeight="false" outlineLevel="0" collapsed="false">
      <c r="A356" s="734" t="s">
        <v>874</v>
      </c>
      <c r="B356" s="734" t="n">
        <f aca="false">Priv!H212</f>
        <v>0</v>
      </c>
      <c r="C356" s="735" t="s">
        <v>1442</v>
      </c>
    </row>
    <row r="357" customFormat="false" ht="14.25" hidden="false" customHeight="false" outlineLevel="0" collapsed="false">
      <c r="A357" s="734" t="s">
        <v>875</v>
      </c>
      <c r="B357" s="734" t="n">
        <f aca="false">Priv!J212</f>
        <v>0</v>
      </c>
      <c r="C357" s="735" t="s">
        <v>1442</v>
      </c>
    </row>
    <row r="358" customFormat="false" ht="14.25" hidden="false" customHeight="false" outlineLevel="0" collapsed="false">
      <c r="A358" s="734" t="s">
        <v>876</v>
      </c>
      <c r="B358" s="734" t="n">
        <f aca="false">Priv!L212</f>
        <v>0</v>
      </c>
      <c r="C358" s="735" t="s">
        <v>1442</v>
      </c>
    </row>
    <row r="359" customFormat="false" ht="14.25" hidden="false" customHeight="false" outlineLevel="0" collapsed="false">
      <c r="A359" s="734" t="s">
        <v>1447</v>
      </c>
      <c r="B359" s="734" t="n">
        <f aca="false">Priv!N212</f>
        <v>0</v>
      </c>
      <c r="C359" s="735" t="s">
        <v>1442</v>
      </c>
    </row>
    <row r="360" customFormat="false" ht="14.25" hidden="false" customHeight="false" outlineLevel="0" collapsed="false">
      <c r="A360" s="734" t="s">
        <v>1448</v>
      </c>
      <c r="B360" s="734" t="n">
        <f aca="false">Priv!P212</f>
        <v>0</v>
      </c>
      <c r="C360" s="735" t="s">
        <v>1442</v>
      </c>
    </row>
    <row r="361" customFormat="false" ht="14.25" hidden="false" customHeight="false" outlineLevel="0" collapsed="false">
      <c r="A361" s="734" t="s">
        <v>1449</v>
      </c>
      <c r="B361" s="734" t="n">
        <f aca="false">Priv!Q212</f>
        <v>0</v>
      </c>
      <c r="C361" s="735" t="s">
        <v>1442</v>
      </c>
    </row>
    <row r="362" customFormat="false" ht="14.25" hidden="false" customHeight="false" outlineLevel="0" collapsed="false">
      <c r="A362" s="734" t="s">
        <v>1450</v>
      </c>
      <c r="B362" s="734" t="n">
        <f aca="false">Priv!S212</f>
        <v>0</v>
      </c>
      <c r="C362" s="735" t="s">
        <v>1442</v>
      </c>
    </row>
    <row r="363" customFormat="false" ht="14.25" hidden="false" customHeight="false" outlineLevel="0" collapsed="false">
      <c r="A363" s="734" t="s">
        <v>877</v>
      </c>
      <c r="B363" s="734" t="n">
        <v>0</v>
      </c>
      <c r="C363" s="735" t="s">
        <v>1442</v>
      </c>
      <c r="D363" s="743" t="s">
        <v>1451</v>
      </c>
    </row>
    <row r="364" customFormat="false" ht="14.25" hidden="false" customHeight="false" outlineLevel="0" collapsed="false">
      <c r="A364" s="734" t="s">
        <v>878</v>
      </c>
      <c r="B364" s="734" t="n">
        <v>0</v>
      </c>
      <c r="C364" s="735" t="s">
        <v>1442</v>
      </c>
      <c r="D364" s="743" t="s">
        <v>1451</v>
      </c>
    </row>
    <row r="365" customFormat="false" ht="14.25" hidden="false" customHeight="false" outlineLevel="0" collapsed="false">
      <c r="A365" s="734" t="s">
        <v>879</v>
      </c>
      <c r="B365" s="734" t="n">
        <v>0</v>
      </c>
      <c r="C365" s="735" t="s">
        <v>1442</v>
      </c>
      <c r="D365" s="743" t="s">
        <v>1451</v>
      </c>
    </row>
    <row r="366" customFormat="false" ht="14.25" hidden="false" customHeight="false" outlineLevel="0" collapsed="false">
      <c r="A366" s="734" t="s">
        <v>880</v>
      </c>
      <c r="B366" s="734" t="n">
        <v>0</v>
      </c>
      <c r="C366" s="735" t="s">
        <v>1442</v>
      </c>
      <c r="D366" s="743" t="s">
        <v>1451</v>
      </c>
    </row>
    <row r="367" customFormat="false" ht="14.25" hidden="false" customHeight="false" outlineLevel="0" collapsed="false">
      <c r="A367" s="734" t="s">
        <v>1452</v>
      </c>
      <c r="B367" s="734" t="n">
        <v>0</v>
      </c>
      <c r="C367" s="735" t="s">
        <v>1442</v>
      </c>
      <c r="D367" s="743" t="s">
        <v>1451</v>
      </c>
    </row>
    <row r="368" customFormat="false" ht="14.25" hidden="false" customHeight="false" outlineLevel="0" collapsed="false">
      <c r="A368" s="734" t="s">
        <v>1453</v>
      </c>
      <c r="B368" s="734" t="n">
        <v>0</v>
      </c>
      <c r="C368" s="735" t="s">
        <v>1442</v>
      </c>
      <c r="D368" s="743" t="s">
        <v>1451</v>
      </c>
    </row>
    <row r="369" customFormat="false" ht="14.25" hidden="false" customHeight="false" outlineLevel="0" collapsed="false">
      <c r="A369" s="734" t="s">
        <v>1454</v>
      </c>
      <c r="B369" s="734" t="n">
        <v>0</v>
      </c>
      <c r="C369" s="735" t="s">
        <v>1442</v>
      </c>
      <c r="D369" s="743" t="s">
        <v>1451</v>
      </c>
    </row>
    <row r="370" customFormat="false" ht="14.25" hidden="false" customHeight="false" outlineLevel="0" collapsed="false">
      <c r="A370" s="734" t="s">
        <v>1455</v>
      </c>
      <c r="B370" s="734" t="n">
        <f aca="false">Priv!S213</f>
        <v>0</v>
      </c>
      <c r="C370" s="735" t="s">
        <v>1442</v>
      </c>
    </row>
    <row r="371" customFormat="false" ht="14.25" hidden="false" customHeight="false" outlineLevel="0" collapsed="false">
      <c r="A371" s="734" t="s">
        <v>897</v>
      </c>
      <c r="B371" s="734" t="n">
        <f aca="false">Priv!F221</f>
        <v>0</v>
      </c>
      <c r="C371" s="735" t="s">
        <v>935</v>
      </c>
    </row>
    <row r="372" customFormat="false" ht="14.25" hidden="false" customHeight="false" outlineLevel="0" collapsed="false">
      <c r="A372" s="734" t="s">
        <v>899</v>
      </c>
      <c r="B372" s="734" t="n">
        <f aca="false">Priv!H221</f>
        <v>0</v>
      </c>
      <c r="C372" s="735" t="s">
        <v>935</v>
      </c>
    </row>
    <row r="373" customFormat="false" ht="14.25" hidden="false" customHeight="false" outlineLevel="0" collapsed="false">
      <c r="A373" s="734" t="s">
        <v>900</v>
      </c>
      <c r="B373" s="734" t="n">
        <f aca="false">Priv!J221</f>
        <v>0</v>
      </c>
      <c r="C373" s="735" t="s">
        <v>935</v>
      </c>
    </row>
    <row r="374" customFormat="false" ht="14.25" hidden="false" customHeight="false" outlineLevel="0" collapsed="false">
      <c r="A374" s="734" t="s">
        <v>901</v>
      </c>
      <c r="B374" s="734" t="n">
        <f aca="false">Priv!L221</f>
        <v>0</v>
      </c>
      <c r="C374" s="735" t="s">
        <v>935</v>
      </c>
    </row>
    <row r="375" customFormat="false" ht="14.25" hidden="false" customHeight="false" outlineLevel="0" collapsed="false">
      <c r="A375" s="734" t="s">
        <v>902</v>
      </c>
      <c r="B375" s="734" t="n">
        <f aca="false">Priv!F222</f>
        <v>0</v>
      </c>
      <c r="C375" s="735" t="s">
        <v>935</v>
      </c>
    </row>
    <row r="376" customFormat="false" ht="14.25" hidden="false" customHeight="false" outlineLevel="0" collapsed="false">
      <c r="A376" s="734" t="s">
        <v>903</v>
      </c>
      <c r="B376" s="734" t="n">
        <f aca="false">Priv!H222</f>
        <v>0</v>
      </c>
      <c r="C376" s="735" t="s">
        <v>935</v>
      </c>
    </row>
    <row r="377" customFormat="false" ht="14.25" hidden="false" customHeight="false" outlineLevel="0" collapsed="false">
      <c r="A377" s="734" t="s">
        <v>904</v>
      </c>
      <c r="B377" s="734" t="n">
        <f aca="false">Priv!J222</f>
        <v>0</v>
      </c>
      <c r="C377" s="735" t="s">
        <v>935</v>
      </c>
    </row>
    <row r="378" customFormat="false" ht="14.25" hidden="false" customHeight="false" outlineLevel="0" collapsed="false">
      <c r="A378" s="734" t="s">
        <v>905</v>
      </c>
      <c r="B378" s="734" t="n">
        <f aca="false">Priv!L222</f>
        <v>0</v>
      </c>
      <c r="C378" s="735" t="s">
        <v>935</v>
      </c>
    </row>
    <row r="379" customFormat="false" ht="14.25" hidden="false" customHeight="false" outlineLevel="0" collapsed="false">
      <c r="A379" s="734" t="s">
        <v>906</v>
      </c>
      <c r="B379" s="734" t="n">
        <f aca="false">Priv!F223</f>
        <v>0</v>
      </c>
      <c r="C379" s="735" t="s">
        <v>935</v>
      </c>
    </row>
    <row r="380" customFormat="false" ht="14.25" hidden="false" customHeight="false" outlineLevel="0" collapsed="false">
      <c r="A380" s="734" t="s">
        <v>907</v>
      </c>
      <c r="B380" s="734" t="n">
        <f aca="false">Priv!H223</f>
        <v>0</v>
      </c>
      <c r="C380" s="735" t="s">
        <v>935</v>
      </c>
    </row>
    <row r="381" customFormat="false" ht="14.25" hidden="false" customHeight="false" outlineLevel="0" collapsed="false">
      <c r="A381" s="734" t="s">
        <v>908</v>
      </c>
      <c r="B381" s="734" t="n">
        <f aca="false">Priv!J223</f>
        <v>0</v>
      </c>
      <c r="C381" s="735" t="s">
        <v>935</v>
      </c>
    </row>
    <row r="382" customFormat="false" ht="14.25" hidden="false" customHeight="false" outlineLevel="0" collapsed="false">
      <c r="A382" s="734" t="s">
        <v>909</v>
      </c>
      <c r="B382" s="734" t="n">
        <f aca="false">Priv!L223</f>
        <v>0</v>
      </c>
      <c r="C382" s="735" t="s">
        <v>935</v>
      </c>
    </row>
    <row r="383" customFormat="false" ht="14.25" hidden="false" customHeight="false" outlineLevel="0" collapsed="false">
      <c r="A383" s="734" t="s">
        <v>910</v>
      </c>
      <c r="B383" s="734" t="n">
        <f aca="false">Priv!F224</f>
        <v>0</v>
      </c>
      <c r="C383" s="735" t="s">
        <v>935</v>
      </c>
    </row>
    <row r="384" customFormat="false" ht="14.25" hidden="false" customHeight="false" outlineLevel="0" collapsed="false">
      <c r="A384" s="734" t="s">
        <v>911</v>
      </c>
      <c r="B384" s="734" t="n">
        <f aca="false">Priv!H224</f>
        <v>0</v>
      </c>
      <c r="C384" s="735" t="s">
        <v>935</v>
      </c>
    </row>
    <row r="385" customFormat="false" ht="14.25" hidden="false" customHeight="false" outlineLevel="0" collapsed="false">
      <c r="A385" s="734" t="s">
        <v>912</v>
      </c>
      <c r="B385" s="734" t="n">
        <f aca="false">Priv!J224</f>
        <v>0</v>
      </c>
      <c r="C385" s="735" t="s">
        <v>935</v>
      </c>
    </row>
    <row r="386" customFormat="false" ht="14.25" hidden="false" customHeight="false" outlineLevel="0" collapsed="false">
      <c r="A386" s="734" t="s">
        <v>913</v>
      </c>
      <c r="B386" s="734" t="n">
        <f aca="false">Priv!L224</f>
        <v>0</v>
      </c>
      <c r="C386" s="735" t="s">
        <v>935</v>
      </c>
    </row>
    <row r="387" customFormat="false" ht="14.25" hidden="false" customHeight="false" outlineLevel="0" collapsed="false">
      <c r="A387" s="736" t="s">
        <v>914</v>
      </c>
      <c r="B387" s="736" t="n">
        <f aca="false">Priv!F225</f>
        <v>0</v>
      </c>
      <c r="C387" s="737" t="s">
        <v>935</v>
      </c>
    </row>
    <row r="388" customFormat="false" ht="14.25" hidden="false" customHeight="false" outlineLevel="0" collapsed="false">
      <c r="A388" s="736" t="s">
        <v>915</v>
      </c>
      <c r="B388" s="736" t="n">
        <f aca="false">Priv!H225</f>
        <v>0</v>
      </c>
      <c r="C388" s="737" t="s">
        <v>935</v>
      </c>
    </row>
    <row r="389" customFormat="false" ht="14.25" hidden="false" customHeight="false" outlineLevel="0" collapsed="false">
      <c r="A389" s="736" t="s">
        <v>916</v>
      </c>
      <c r="B389" s="736" t="n">
        <f aca="false">Priv!J225</f>
        <v>0</v>
      </c>
      <c r="C389" s="737" t="s">
        <v>935</v>
      </c>
    </row>
    <row r="390" customFormat="false" ht="14.25" hidden="false" customHeight="false" outlineLevel="0" collapsed="false">
      <c r="A390" s="736" t="s">
        <v>917</v>
      </c>
      <c r="B390" s="736" t="n">
        <f aca="false">Priv!L225</f>
        <v>0</v>
      </c>
      <c r="C390" s="737" t="s">
        <v>935</v>
      </c>
    </row>
    <row r="391" customFormat="false" ht="14.25" hidden="false" customHeight="false" outlineLevel="0" collapsed="false">
      <c r="A391" s="736" t="s">
        <v>918</v>
      </c>
      <c r="B391" s="736" t="n">
        <f aca="false">Priv!F226</f>
        <v>0</v>
      </c>
      <c r="C391" s="737" t="s">
        <v>935</v>
      </c>
    </row>
    <row r="392" customFormat="false" ht="14.25" hidden="false" customHeight="false" outlineLevel="0" collapsed="false">
      <c r="A392" s="736" t="s">
        <v>919</v>
      </c>
      <c r="B392" s="736" t="n">
        <f aca="false">Priv!H226</f>
        <v>0</v>
      </c>
      <c r="C392" s="737" t="s">
        <v>935</v>
      </c>
    </row>
    <row r="393" customFormat="false" ht="14.25" hidden="false" customHeight="false" outlineLevel="0" collapsed="false">
      <c r="A393" s="736" t="s">
        <v>920</v>
      </c>
      <c r="B393" s="736" t="n">
        <f aca="false">Priv!J226</f>
        <v>0</v>
      </c>
      <c r="C393" s="737" t="s">
        <v>935</v>
      </c>
    </row>
    <row r="394" customFormat="false" ht="14.25" hidden="false" customHeight="false" outlineLevel="0" collapsed="false">
      <c r="A394" s="736" t="s">
        <v>921</v>
      </c>
      <c r="B394" s="736" t="n">
        <f aca="false">Priv!L226</f>
        <v>0</v>
      </c>
      <c r="C394" s="737" t="s">
        <v>935</v>
      </c>
    </row>
    <row r="395" customFormat="false" ht="14.25" hidden="false" customHeight="false" outlineLevel="0" collapsed="false">
      <c r="A395" s="734" t="s">
        <v>922</v>
      </c>
      <c r="B395" s="734" t="n">
        <f aca="false">Priv!F232</f>
        <v>0</v>
      </c>
      <c r="C395" s="735" t="s">
        <v>956</v>
      </c>
    </row>
    <row r="396" customFormat="false" ht="14.25" hidden="false" customHeight="false" outlineLevel="0" collapsed="false">
      <c r="A396" s="734" t="s">
        <v>923</v>
      </c>
      <c r="B396" s="734" t="n">
        <f aca="false">Priv!G232</f>
        <v>0</v>
      </c>
      <c r="C396" s="735" t="s">
        <v>956</v>
      </c>
    </row>
    <row r="397" customFormat="false" ht="14.25" hidden="false" customHeight="false" outlineLevel="0" collapsed="false">
      <c r="A397" s="734" t="s">
        <v>924</v>
      </c>
      <c r="B397" s="734" t="n">
        <f aca="false">Priv!H232</f>
        <v>0</v>
      </c>
      <c r="C397" s="735" t="s">
        <v>956</v>
      </c>
    </row>
    <row r="398" customFormat="false" ht="14.25" hidden="false" customHeight="false" outlineLevel="0" collapsed="false">
      <c r="A398" s="734" t="s">
        <v>925</v>
      </c>
      <c r="B398" s="734" t="n">
        <f aca="false">Priv!I232</f>
        <v>0</v>
      </c>
      <c r="C398" s="735" t="s">
        <v>956</v>
      </c>
    </row>
    <row r="399" customFormat="false" ht="14.25" hidden="false" customHeight="false" outlineLevel="0" collapsed="false">
      <c r="A399" s="734" t="s">
        <v>926</v>
      </c>
      <c r="B399" s="734" t="n">
        <f aca="false">Priv!J232</f>
        <v>0</v>
      </c>
      <c r="C399" s="735" t="s">
        <v>956</v>
      </c>
    </row>
    <row r="400" customFormat="false" ht="14.25" hidden="false" customHeight="false" outlineLevel="0" collapsed="false">
      <c r="A400" s="734" t="s">
        <v>927</v>
      </c>
      <c r="B400" s="734" t="n">
        <f aca="false">Priv!K232</f>
        <v>0</v>
      </c>
      <c r="C400" s="735" t="s">
        <v>956</v>
      </c>
    </row>
    <row r="401" customFormat="false" ht="14.25" hidden="false" customHeight="false" outlineLevel="0" collapsed="false">
      <c r="A401" s="734" t="s">
        <v>1456</v>
      </c>
      <c r="B401" s="734" t="n">
        <f aca="false">Priv!L232</f>
        <v>0</v>
      </c>
      <c r="C401" s="735" t="s">
        <v>956</v>
      </c>
    </row>
    <row r="402" customFormat="false" ht="14.25" hidden="false" customHeight="false" outlineLevel="0" collapsed="false">
      <c r="A402" s="734" t="s">
        <v>1457</v>
      </c>
      <c r="B402" s="734" t="n">
        <f aca="false">Priv!M232</f>
        <v>0</v>
      </c>
      <c r="C402" s="735" t="s">
        <v>956</v>
      </c>
    </row>
    <row r="403" customFormat="false" ht="14.25" hidden="false" customHeight="false" outlineLevel="0" collapsed="false">
      <c r="A403" s="734" t="s">
        <v>928</v>
      </c>
      <c r="B403" s="734" t="n">
        <f aca="false">Priv!F233</f>
        <v>0</v>
      </c>
      <c r="C403" s="735" t="s">
        <v>956</v>
      </c>
    </row>
    <row r="404" customFormat="false" ht="14.25" hidden="false" customHeight="false" outlineLevel="0" collapsed="false">
      <c r="A404" s="734" t="s">
        <v>929</v>
      </c>
      <c r="B404" s="734" t="n">
        <f aca="false">Priv!G233</f>
        <v>0</v>
      </c>
      <c r="C404" s="735" t="s">
        <v>956</v>
      </c>
    </row>
    <row r="405" customFormat="false" ht="14.25" hidden="false" customHeight="false" outlineLevel="0" collapsed="false">
      <c r="A405" s="734" t="s">
        <v>930</v>
      </c>
      <c r="B405" s="734" t="n">
        <f aca="false">Priv!H233</f>
        <v>0</v>
      </c>
      <c r="C405" s="735" t="s">
        <v>956</v>
      </c>
    </row>
    <row r="406" customFormat="false" ht="14.25" hidden="false" customHeight="false" outlineLevel="0" collapsed="false">
      <c r="A406" s="734" t="s">
        <v>931</v>
      </c>
      <c r="B406" s="734" t="n">
        <f aca="false">Priv!I233</f>
        <v>0</v>
      </c>
      <c r="C406" s="735" t="s">
        <v>956</v>
      </c>
    </row>
    <row r="407" customFormat="false" ht="14.25" hidden="false" customHeight="false" outlineLevel="0" collapsed="false">
      <c r="A407" s="734" t="s">
        <v>932</v>
      </c>
      <c r="B407" s="734" t="n">
        <f aca="false">Priv!J233</f>
        <v>0</v>
      </c>
      <c r="C407" s="735" t="s">
        <v>956</v>
      </c>
    </row>
    <row r="408" customFormat="false" ht="14.25" hidden="false" customHeight="false" outlineLevel="0" collapsed="false">
      <c r="A408" s="734" t="s">
        <v>933</v>
      </c>
      <c r="B408" s="734" t="n">
        <f aca="false">Priv!K233</f>
        <v>0</v>
      </c>
      <c r="C408" s="735" t="s">
        <v>956</v>
      </c>
    </row>
    <row r="409" customFormat="false" ht="14.25" hidden="false" customHeight="false" outlineLevel="0" collapsed="false">
      <c r="A409" s="734" t="s">
        <v>1458</v>
      </c>
      <c r="B409" s="734" t="n">
        <f aca="false">Priv!L233</f>
        <v>0</v>
      </c>
      <c r="C409" s="735" t="s">
        <v>956</v>
      </c>
    </row>
    <row r="410" customFormat="false" ht="14.25" hidden="false" customHeight="false" outlineLevel="0" collapsed="false">
      <c r="A410" s="734" t="s">
        <v>1459</v>
      </c>
      <c r="B410" s="734" t="n">
        <f aca="false">Priv!M233</f>
        <v>0</v>
      </c>
      <c r="C410" s="735" t="s">
        <v>956</v>
      </c>
    </row>
    <row r="411" customFormat="false" ht="14.25" hidden="false" customHeight="false" outlineLevel="0" collapsed="false">
      <c r="A411" s="734" t="s">
        <v>1460</v>
      </c>
      <c r="B411" s="734" t="n">
        <f aca="false">Priv!F234</f>
        <v>0</v>
      </c>
      <c r="C411" s="735" t="s">
        <v>956</v>
      </c>
    </row>
    <row r="412" customFormat="false" ht="14.25" hidden="false" customHeight="false" outlineLevel="0" collapsed="false">
      <c r="A412" s="734" t="s">
        <v>1461</v>
      </c>
      <c r="B412" s="734" t="n">
        <f aca="false">Priv!G234</f>
        <v>0</v>
      </c>
      <c r="C412" s="735" t="s">
        <v>956</v>
      </c>
    </row>
    <row r="413" customFormat="false" ht="14.25" hidden="false" customHeight="false" outlineLevel="0" collapsed="false">
      <c r="A413" s="734" t="s">
        <v>1462</v>
      </c>
      <c r="B413" s="734" t="n">
        <f aca="false">Priv!H234</f>
        <v>0</v>
      </c>
      <c r="C413" s="735" t="s">
        <v>956</v>
      </c>
    </row>
    <row r="414" customFormat="false" ht="14.25" hidden="false" customHeight="false" outlineLevel="0" collapsed="false">
      <c r="A414" s="734" t="s">
        <v>1463</v>
      </c>
      <c r="B414" s="734" t="n">
        <f aca="false">Priv!I234</f>
        <v>0</v>
      </c>
      <c r="C414" s="735" t="s">
        <v>956</v>
      </c>
    </row>
    <row r="415" customFormat="false" ht="14.25" hidden="false" customHeight="false" outlineLevel="0" collapsed="false">
      <c r="A415" s="734" t="s">
        <v>1464</v>
      </c>
      <c r="B415" s="734" t="n">
        <f aca="false">Priv!J234</f>
        <v>0</v>
      </c>
      <c r="C415" s="735" t="s">
        <v>956</v>
      </c>
    </row>
    <row r="416" customFormat="false" ht="14.25" hidden="false" customHeight="false" outlineLevel="0" collapsed="false">
      <c r="A416" s="734" t="s">
        <v>1465</v>
      </c>
      <c r="B416" s="734" t="n">
        <f aca="false">Priv!K234</f>
        <v>0</v>
      </c>
      <c r="C416" s="735" t="s">
        <v>956</v>
      </c>
    </row>
    <row r="417" customFormat="false" ht="14.25" hidden="false" customHeight="false" outlineLevel="0" collapsed="false">
      <c r="A417" s="734" t="s">
        <v>1466</v>
      </c>
      <c r="B417" s="734" t="n">
        <f aca="false">Priv!L234</f>
        <v>0</v>
      </c>
      <c r="C417" s="735" t="s">
        <v>956</v>
      </c>
    </row>
    <row r="418" customFormat="false" ht="14.25" hidden="false" customHeight="false" outlineLevel="0" collapsed="false">
      <c r="A418" s="734" t="s">
        <v>1467</v>
      </c>
      <c r="B418" s="734" t="n">
        <f aca="false">Priv!M234</f>
        <v>0</v>
      </c>
      <c r="C418" s="735" t="s">
        <v>956</v>
      </c>
    </row>
    <row r="419" customFormat="false" ht="14.25" hidden="false" customHeight="false" outlineLevel="0" collapsed="false">
      <c r="A419" s="734" t="s">
        <v>1468</v>
      </c>
      <c r="B419" s="734" t="n">
        <f aca="false">Priv!F235</f>
        <v>0</v>
      </c>
      <c r="C419" s="735" t="s">
        <v>956</v>
      </c>
    </row>
    <row r="420" customFormat="false" ht="14.25" hidden="false" customHeight="false" outlineLevel="0" collapsed="false">
      <c r="A420" s="734" t="s">
        <v>1469</v>
      </c>
      <c r="B420" s="734" t="n">
        <f aca="false">Priv!G235</f>
        <v>0</v>
      </c>
      <c r="C420" s="735" t="s">
        <v>956</v>
      </c>
    </row>
    <row r="421" customFormat="false" ht="14.25" hidden="false" customHeight="false" outlineLevel="0" collapsed="false">
      <c r="A421" s="734" t="s">
        <v>1470</v>
      </c>
      <c r="B421" s="734" t="n">
        <f aca="false">Priv!H235</f>
        <v>0</v>
      </c>
      <c r="C421" s="735" t="s">
        <v>956</v>
      </c>
    </row>
    <row r="422" customFormat="false" ht="14.25" hidden="false" customHeight="false" outlineLevel="0" collapsed="false">
      <c r="A422" s="734" t="s">
        <v>1471</v>
      </c>
      <c r="B422" s="734" t="n">
        <f aca="false">Priv!I235</f>
        <v>0</v>
      </c>
      <c r="C422" s="735" t="s">
        <v>956</v>
      </c>
    </row>
    <row r="423" customFormat="false" ht="14.25" hidden="false" customHeight="false" outlineLevel="0" collapsed="false">
      <c r="A423" s="734" t="s">
        <v>1472</v>
      </c>
      <c r="B423" s="734" t="n">
        <f aca="false">Priv!J235</f>
        <v>0</v>
      </c>
      <c r="C423" s="735" t="s">
        <v>956</v>
      </c>
    </row>
    <row r="424" customFormat="false" ht="14.25" hidden="false" customHeight="false" outlineLevel="0" collapsed="false">
      <c r="A424" s="734" t="s">
        <v>1473</v>
      </c>
      <c r="B424" s="734" t="n">
        <f aca="false">Priv!K235</f>
        <v>0</v>
      </c>
      <c r="C424" s="735" t="s">
        <v>956</v>
      </c>
    </row>
    <row r="425" customFormat="false" ht="14.25" hidden="false" customHeight="false" outlineLevel="0" collapsed="false">
      <c r="A425" s="734" t="s">
        <v>1474</v>
      </c>
      <c r="B425" s="734" t="n">
        <f aca="false">Priv!L235</f>
        <v>0</v>
      </c>
      <c r="C425" s="735" t="s">
        <v>956</v>
      </c>
    </row>
    <row r="426" customFormat="false" ht="14.25" hidden="false" customHeight="false" outlineLevel="0" collapsed="false">
      <c r="A426" s="734" t="s">
        <v>1475</v>
      </c>
      <c r="B426" s="734" t="n">
        <f aca="false">Priv!M235</f>
        <v>0</v>
      </c>
      <c r="C426" s="735" t="s">
        <v>956</v>
      </c>
    </row>
    <row r="427" customFormat="false" ht="14.25" hidden="false" customHeight="false" outlineLevel="0" collapsed="false">
      <c r="A427" s="734" t="s">
        <v>1476</v>
      </c>
      <c r="B427" s="734" t="n">
        <f aca="false">Priv!F236</f>
        <v>0</v>
      </c>
      <c r="C427" s="735" t="s">
        <v>956</v>
      </c>
    </row>
    <row r="428" customFormat="false" ht="14.25" hidden="false" customHeight="false" outlineLevel="0" collapsed="false">
      <c r="A428" s="734" t="s">
        <v>1477</v>
      </c>
      <c r="B428" s="734" t="n">
        <f aca="false">Priv!G236</f>
        <v>0</v>
      </c>
      <c r="C428" s="735" t="s">
        <v>956</v>
      </c>
    </row>
    <row r="429" customFormat="false" ht="14.25" hidden="false" customHeight="false" outlineLevel="0" collapsed="false">
      <c r="A429" s="734" t="s">
        <v>1478</v>
      </c>
      <c r="B429" s="734" t="n">
        <f aca="false">Priv!H236</f>
        <v>0</v>
      </c>
      <c r="C429" s="735" t="s">
        <v>956</v>
      </c>
    </row>
    <row r="430" customFormat="false" ht="14.25" hidden="false" customHeight="false" outlineLevel="0" collapsed="false">
      <c r="A430" s="734" t="s">
        <v>1479</v>
      </c>
      <c r="B430" s="734" t="n">
        <f aca="false">Priv!I236</f>
        <v>0</v>
      </c>
      <c r="C430" s="735" t="s">
        <v>956</v>
      </c>
    </row>
    <row r="431" customFormat="false" ht="14.25" hidden="false" customHeight="false" outlineLevel="0" collapsed="false">
      <c r="A431" s="734" t="s">
        <v>1480</v>
      </c>
      <c r="B431" s="734" t="n">
        <f aca="false">Priv!J236</f>
        <v>0</v>
      </c>
      <c r="C431" s="735" t="s">
        <v>956</v>
      </c>
    </row>
    <row r="432" customFormat="false" ht="14.25" hidden="false" customHeight="false" outlineLevel="0" collapsed="false">
      <c r="A432" s="734" t="s">
        <v>1481</v>
      </c>
      <c r="B432" s="734" t="n">
        <f aca="false">Priv!K236</f>
        <v>0</v>
      </c>
      <c r="C432" s="735" t="s">
        <v>956</v>
      </c>
    </row>
    <row r="433" customFormat="false" ht="14.25" hidden="false" customHeight="false" outlineLevel="0" collapsed="false">
      <c r="A433" s="734" t="s">
        <v>1482</v>
      </c>
      <c r="B433" s="734" t="n">
        <f aca="false">Priv!L236</f>
        <v>0</v>
      </c>
      <c r="C433" s="735" t="s">
        <v>956</v>
      </c>
    </row>
    <row r="434" customFormat="false" ht="14.25" hidden="false" customHeight="false" outlineLevel="0" collapsed="false">
      <c r="A434" s="734" t="s">
        <v>1483</v>
      </c>
      <c r="B434" s="734" t="n">
        <f aca="false">Priv!M236</f>
        <v>0</v>
      </c>
      <c r="C434" s="735" t="s">
        <v>956</v>
      </c>
    </row>
    <row r="435" customFormat="false" ht="14.25" hidden="false" customHeight="false" outlineLevel="0" collapsed="false">
      <c r="A435" s="734" t="s">
        <v>1484</v>
      </c>
      <c r="B435" s="734" t="n">
        <f aca="false">Priv!F237</f>
        <v>0</v>
      </c>
      <c r="C435" s="735" t="s">
        <v>956</v>
      </c>
    </row>
    <row r="436" customFormat="false" ht="14.25" hidden="false" customHeight="false" outlineLevel="0" collapsed="false">
      <c r="A436" s="734" t="s">
        <v>1485</v>
      </c>
      <c r="B436" s="734" t="n">
        <f aca="false">Priv!G237</f>
        <v>0</v>
      </c>
      <c r="C436" s="735" t="s">
        <v>956</v>
      </c>
    </row>
    <row r="437" customFormat="false" ht="14.25" hidden="false" customHeight="false" outlineLevel="0" collapsed="false">
      <c r="A437" s="734" t="s">
        <v>1486</v>
      </c>
      <c r="B437" s="734" t="n">
        <f aca="false">Priv!H237</f>
        <v>0</v>
      </c>
      <c r="C437" s="735" t="s">
        <v>956</v>
      </c>
    </row>
    <row r="438" customFormat="false" ht="14.25" hidden="false" customHeight="false" outlineLevel="0" collapsed="false">
      <c r="A438" s="734" t="s">
        <v>1487</v>
      </c>
      <c r="B438" s="734" t="n">
        <f aca="false">Priv!I237</f>
        <v>0</v>
      </c>
      <c r="C438" s="735" t="s">
        <v>956</v>
      </c>
    </row>
    <row r="439" customFormat="false" ht="14.25" hidden="false" customHeight="false" outlineLevel="0" collapsed="false">
      <c r="A439" s="734" t="s">
        <v>1488</v>
      </c>
      <c r="B439" s="734" t="n">
        <f aca="false">Priv!J237</f>
        <v>0</v>
      </c>
      <c r="C439" s="735" t="s">
        <v>956</v>
      </c>
    </row>
    <row r="440" customFormat="false" ht="14.25" hidden="false" customHeight="false" outlineLevel="0" collapsed="false">
      <c r="A440" s="734" t="s">
        <v>1489</v>
      </c>
      <c r="B440" s="734" t="n">
        <f aca="false">Priv!K237</f>
        <v>0</v>
      </c>
      <c r="C440" s="735" t="s">
        <v>956</v>
      </c>
    </row>
    <row r="441" customFormat="false" ht="14.25" hidden="false" customHeight="false" outlineLevel="0" collapsed="false">
      <c r="A441" s="734" t="s">
        <v>1490</v>
      </c>
      <c r="B441" s="734" t="n">
        <f aca="false">Priv!L237</f>
        <v>0</v>
      </c>
      <c r="C441" s="735" t="s">
        <v>956</v>
      </c>
    </row>
    <row r="442" customFormat="false" ht="14.25" hidden="false" customHeight="false" outlineLevel="0" collapsed="false">
      <c r="A442" s="734" t="s">
        <v>1491</v>
      </c>
      <c r="B442" s="734" t="n">
        <f aca="false">Priv!M237</f>
        <v>0</v>
      </c>
      <c r="C442" s="735" t="s">
        <v>956</v>
      </c>
    </row>
    <row r="443" customFormat="false" ht="14.25" hidden="false" customHeight="false" outlineLevel="0" collapsed="false">
      <c r="A443" s="734" t="s">
        <v>1492</v>
      </c>
      <c r="B443" s="734" t="n">
        <f aca="false">Priv!F238</f>
        <v>0</v>
      </c>
      <c r="C443" s="735" t="s">
        <v>956</v>
      </c>
    </row>
    <row r="444" customFormat="false" ht="14.25" hidden="false" customHeight="false" outlineLevel="0" collapsed="false">
      <c r="A444" s="734" t="s">
        <v>1493</v>
      </c>
      <c r="B444" s="734" t="n">
        <f aca="false">Priv!G238</f>
        <v>0</v>
      </c>
      <c r="C444" s="735" t="s">
        <v>956</v>
      </c>
    </row>
    <row r="445" customFormat="false" ht="14.25" hidden="false" customHeight="false" outlineLevel="0" collapsed="false">
      <c r="A445" s="734" t="s">
        <v>1494</v>
      </c>
      <c r="B445" s="734" t="n">
        <f aca="false">Priv!H238</f>
        <v>0</v>
      </c>
      <c r="C445" s="735" t="s">
        <v>956</v>
      </c>
    </row>
    <row r="446" customFormat="false" ht="14.25" hidden="false" customHeight="false" outlineLevel="0" collapsed="false">
      <c r="A446" s="734" t="s">
        <v>1495</v>
      </c>
      <c r="B446" s="734" t="n">
        <f aca="false">Priv!I238</f>
        <v>0</v>
      </c>
      <c r="C446" s="735" t="s">
        <v>956</v>
      </c>
    </row>
    <row r="447" customFormat="false" ht="14.25" hidden="false" customHeight="false" outlineLevel="0" collapsed="false">
      <c r="A447" s="734" t="s">
        <v>1496</v>
      </c>
      <c r="B447" s="734" t="n">
        <f aca="false">Priv!J238</f>
        <v>0</v>
      </c>
      <c r="C447" s="735" t="s">
        <v>956</v>
      </c>
    </row>
    <row r="448" customFormat="false" ht="14.25" hidden="false" customHeight="false" outlineLevel="0" collapsed="false">
      <c r="A448" s="734" t="s">
        <v>1497</v>
      </c>
      <c r="B448" s="734" t="n">
        <f aca="false">Priv!K238</f>
        <v>0</v>
      </c>
      <c r="C448" s="735" t="s">
        <v>956</v>
      </c>
    </row>
    <row r="449" customFormat="false" ht="14.25" hidden="false" customHeight="false" outlineLevel="0" collapsed="false">
      <c r="A449" s="734" t="s">
        <v>1498</v>
      </c>
      <c r="B449" s="734" t="n">
        <f aca="false">Priv!L238</f>
        <v>0</v>
      </c>
      <c r="C449" s="735" t="s">
        <v>956</v>
      </c>
    </row>
    <row r="450" customFormat="false" ht="14.25" hidden="false" customHeight="false" outlineLevel="0" collapsed="false">
      <c r="A450" s="734" t="s">
        <v>1499</v>
      </c>
      <c r="B450" s="734" t="n">
        <f aca="false">Priv!M238</f>
        <v>0</v>
      </c>
      <c r="C450" s="735" t="s">
        <v>956</v>
      </c>
    </row>
    <row r="451" customFormat="false" ht="14.25" hidden="false" customHeight="false" outlineLevel="0" collapsed="false">
      <c r="A451" s="734" t="s">
        <v>934</v>
      </c>
      <c r="B451" s="734" t="n">
        <f aca="false">Priv!F244</f>
        <v>0</v>
      </c>
      <c r="C451" s="735" t="s">
        <v>999</v>
      </c>
    </row>
    <row r="452" customFormat="false" ht="14.25" hidden="false" customHeight="false" outlineLevel="0" collapsed="false">
      <c r="A452" s="734" t="s">
        <v>936</v>
      </c>
      <c r="B452" s="734" t="n">
        <f aca="false">Priv!G244</f>
        <v>0</v>
      </c>
      <c r="C452" s="735" t="s">
        <v>999</v>
      </c>
    </row>
    <row r="453" customFormat="false" ht="14.25" hidden="false" customHeight="false" outlineLevel="0" collapsed="false">
      <c r="A453" s="734" t="s">
        <v>937</v>
      </c>
      <c r="B453" s="734" t="n">
        <f aca="false">Priv!H244</f>
        <v>0</v>
      </c>
      <c r="C453" s="735" t="s">
        <v>999</v>
      </c>
    </row>
    <row r="454" customFormat="false" ht="14.25" hidden="false" customHeight="false" outlineLevel="0" collapsed="false">
      <c r="A454" s="734" t="s">
        <v>938</v>
      </c>
      <c r="B454" s="734" t="n">
        <f aca="false">Priv!I244</f>
        <v>0</v>
      </c>
      <c r="C454" s="735" t="s">
        <v>999</v>
      </c>
    </row>
    <row r="455" customFormat="false" ht="14.25" hidden="false" customHeight="false" outlineLevel="0" collapsed="false">
      <c r="A455" s="734" t="s">
        <v>1500</v>
      </c>
      <c r="B455" s="734" t="n">
        <f aca="false">Priv!J244</f>
        <v>0</v>
      </c>
      <c r="C455" s="735" t="s">
        <v>999</v>
      </c>
    </row>
    <row r="456" customFormat="false" ht="14.25" hidden="false" customHeight="false" outlineLevel="0" collapsed="false">
      <c r="A456" s="734" t="s">
        <v>1501</v>
      </c>
      <c r="B456" s="734" t="n">
        <f aca="false">Priv!K244</f>
        <v>0</v>
      </c>
      <c r="C456" s="735" t="s">
        <v>999</v>
      </c>
    </row>
    <row r="457" customFormat="false" ht="14.25" hidden="false" customHeight="false" outlineLevel="0" collapsed="false">
      <c r="A457" s="734" t="s">
        <v>1502</v>
      </c>
      <c r="B457" s="734" t="n">
        <f aca="false">Priv!L244</f>
        <v>0</v>
      </c>
      <c r="C457" s="735" t="s">
        <v>999</v>
      </c>
    </row>
    <row r="458" customFormat="false" ht="14.25" hidden="false" customHeight="false" outlineLevel="0" collapsed="false">
      <c r="A458" s="734" t="s">
        <v>1503</v>
      </c>
      <c r="B458" s="734" t="n">
        <f aca="false">Priv!M244</f>
        <v>0</v>
      </c>
      <c r="C458" s="735" t="s">
        <v>999</v>
      </c>
    </row>
    <row r="459" customFormat="false" ht="14.25" hidden="false" customHeight="false" outlineLevel="0" collapsed="false">
      <c r="A459" s="734" t="s">
        <v>939</v>
      </c>
      <c r="B459" s="734" t="n">
        <f aca="false">Priv!F245</f>
        <v>0</v>
      </c>
      <c r="C459" s="735" t="s">
        <v>999</v>
      </c>
    </row>
    <row r="460" customFormat="false" ht="14.25" hidden="false" customHeight="false" outlineLevel="0" collapsed="false">
      <c r="A460" s="734" t="s">
        <v>940</v>
      </c>
      <c r="B460" s="734" t="n">
        <f aca="false">Priv!G245</f>
        <v>0</v>
      </c>
      <c r="C460" s="735" t="s">
        <v>999</v>
      </c>
    </row>
    <row r="461" customFormat="false" ht="14.25" hidden="false" customHeight="false" outlineLevel="0" collapsed="false">
      <c r="A461" s="734" t="s">
        <v>941</v>
      </c>
      <c r="B461" s="734" t="n">
        <f aca="false">Priv!H245</f>
        <v>0</v>
      </c>
      <c r="C461" s="735" t="s">
        <v>999</v>
      </c>
    </row>
    <row r="462" customFormat="false" ht="14.25" hidden="false" customHeight="false" outlineLevel="0" collapsed="false">
      <c r="A462" s="734" t="s">
        <v>942</v>
      </c>
      <c r="B462" s="734" t="n">
        <f aca="false">Priv!I245</f>
        <v>0</v>
      </c>
      <c r="C462" s="735" t="s">
        <v>999</v>
      </c>
    </row>
    <row r="463" customFormat="false" ht="14.25" hidden="false" customHeight="false" outlineLevel="0" collapsed="false">
      <c r="A463" s="734" t="s">
        <v>1504</v>
      </c>
      <c r="B463" s="734" t="n">
        <f aca="false">Priv!J245</f>
        <v>0</v>
      </c>
      <c r="C463" s="735" t="s">
        <v>999</v>
      </c>
    </row>
    <row r="464" customFormat="false" ht="14.25" hidden="false" customHeight="false" outlineLevel="0" collapsed="false">
      <c r="A464" s="734" t="s">
        <v>1505</v>
      </c>
      <c r="B464" s="734" t="n">
        <f aca="false">Priv!K245</f>
        <v>0</v>
      </c>
      <c r="C464" s="735" t="s">
        <v>999</v>
      </c>
    </row>
    <row r="465" customFormat="false" ht="14.25" hidden="false" customHeight="false" outlineLevel="0" collapsed="false">
      <c r="A465" s="734" t="s">
        <v>1506</v>
      </c>
      <c r="B465" s="734" t="n">
        <f aca="false">Priv!L245</f>
        <v>0</v>
      </c>
      <c r="C465" s="735" t="s">
        <v>999</v>
      </c>
    </row>
    <row r="466" customFormat="false" ht="14.25" hidden="false" customHeight="false" outlineLevel="0" collapsed="false">
      <c r="A466" s="734" t="s">
        <v>1507</v>
      </c>
      <c r="B466" s="734" t="n">
        <f aca="false">Priv!M245</f>
        <v>0</v>
      </c>
      <c r="C466" s="735" t="s">
        <v>999</v>
      </c>
    </row>
    <row r="467" customFormat="false" ht="14.25" hidden="false" customHeight="false" outlineLevel="0" collapsed="false">
      <c r="A467" s="734" t="s">
        <v>943</v>
      </c>
      <c r="B467" s="734" t="n">
        <f aca="false">Priv!F246</f>
        <v>0</v>
      </c>
      <c r="C467" s="735" t="s">
        <v>999</v>
      </c>
    </row>
    <row r="468" customFormat="false" ht="14.25" hidden="false" customHeight="false" outlineLevel="0" collapsed="false">
      <c r="A468" s="734" t="s">
        <v>944</v>
      </c>
      <c r="B468" s="734" t="n">
        <f aca="false">Priv!G246</f>
        <v>0</v>
      </c>
      <c r="C468" s="735" t="s">
        <v>999</v>
      </c>
    </row>
    <row r="469" customFormat="false" ht="14.25" hidden="false" customHeight="false" outlineLevel="0" collapsed="false">
      <c r="A469" s="734" t="s">
        <v>945</v>
      </c>
      <c r="B469" s="734" t="n">
        <f aca="false">Priv!H246</f>
        <v>0</v>
      </c>
      <c r="C469" s="735" t="s">
        <v>999</v>
      </c>
    </row>
    <row r="470" customFormat="false" ht="14.25" hidden="false" customHeight="false" outlineLevel="0" collapsed="false">
      <c r="A470" s="734" t="s">
        <v>946</v>
      </c>
      <c r="B470" s="734" t="n">
        <f aca="false">Priv!I246</f>
        <v>0</v>
      </c>
      <c r="C470" s="735" t="s">
        <v>999</v>
      </c>
    </row>
    <row r="471" customFormat="false" ht="14.25" hidden="false" customHeight="false" outlineLevel="0" collapsed="false">
      <c r="A471" s="734" t="s">
        <v>1508</v>
      </c>
      <c r="B471" s="734" t="n">
        <f aca="false">Priv!J246</f>
        <v>0</v>
      </c>
      <c r="C471" s="735" t="s">
        <v>999</v>
      </c>
    </row>
    <row r="472" customFormat="false" ht="14.25" hidden="false" customHeight="false" outlineLevel="0" collapsed="false">
      <c r="A472" s="734" t="s">
        <v>1509</v>
      </c>
      <c r="B472" s="734" t="n">
        <f aca="false">Priv!K246</f>
        <v>0</v>
      </c>
      <c r="C472" s="735" t="s">
        <v>999</v>
      </c>
    </row>
    <row r="473" customFormat="false" ht="14.25" hidden="false" customHeight="false" outlineLevel="0" collapsed="false">
      <c r="A473" s="734" t="s">
        <v>1510</v>
      </c>
      <c r="B473" s="734" t="n">
        <f aca="false">Priv!L246</f>
        <v>0</v>
      </c>
      <c r="C473" s="735" t="s">
        <v>999</v>
      </c>
    </row>
    <row r="474" customFormat="false" ht="14.25" hidden="false" customHeight="false" outlineLevel="0" collapsed="false">
      <c r="A474" s="734" t="s">
        <v>1511</v>
      </c>
      <c r="B474" s="734" t="n">
        <f aca="false">Priv!M246</f>
        <v>0</v>
      </c>
      <c r="C474" s="735" t="s">
        <v>999</v>
      </c>
    </row>
    <row r="475" customFormat="false" ht="14.25" hidden="false" customHeight="false" outlineLevel="0" collapsed="false">
      <c r="A475" s="734" t="s">
        <v>947</v>
      </c>
      <c r="B475" s="734" t="n">
        <f aca="false">Priv!F247</f>
        <v>0</v>
      </c>
      <c r="C475" s="735" t="s">
        <v>999</v>
      </c>
    </row>
    <row r="476" customFormat="false" ht="14.25" hidden="false" customHeight="false" outlineLevel="0" collapsed="false">
      <c r="A476" s="734" t="s">
        <v>948</v>
      </c>
      <c r="B476" s="734" t="n">
        <f aca="false">Priv!G247</f>
        <v>0</v>
      </c>
      <c r="C476" s="735" t="s">
        <v>999</v>
      </c>
    </row>
    <row r="477" customFormat="false" ht="14.25" hidden="false" customHeight="false" outlineLevel="0" collapsed="false">
      <c r="A477" s="734" t="s">
        <v>949</v>
      </c>
      <c r="B477" s="734" t="n">
        <f aca="false">Priv!H247</f>
        <v>0</v>
      </c>
      <c r="C477" s="735" t="s">
        <v>999</v>
      </c>
    </row>
    <row r="478" customFormat="false" ht="14.25" hidden="false" customHeight="false" outlineLevel="0" collapsed="false">
      <c r="A478" s="734" t="s">
        <v>950</v>
      </c>
      <c r="B478" s="734" t="n">
        <f aca="false">Priv!I247</f>
        <v>0</v>
      </c>
      <c r="C478" s="735" t="s">
        <v>999</v>
      </c>
    </row>
    <row r="479" customFormat="false" ht="14.25" hidden="false" customHeight="false" outlineLevel="0" collapsed="false">
      <c r="A479" s="734" t="s">
        <v>1512</v>
      </c>
      <c r="B479" s="734" t="n">
        <f aca="false">Priv!J247</f>
        <v>0</v>
      </c>
      <c r="C479" s="735" t="s">
        <v>999</v>
      </c>
    </row>
    <row r="480" customFormat="false" ht="14.25" hidden="false" customHeight="false" outlineLevel="0" collapsed="false">
      <c r="A480" s="734" t="s">
        <v>1513</v>
      </c>
      <c r="B480" s="734" t="n">
        <f aca="false">Priv!K247</f>
        <v>0</v>
      </c>
      <c r="C480" s="735" t="s">
        <v>999</v>
      </c>
    </row>
    <row r="481" customFormat="false" ht="14.25" hidden="false" customHeight="false" outlineLevel="0" collapsed="false">
      <c r="A481" s="734" t="s">
        <v>1514</v>
      </c>
      <c r="B481" s="734" t="n">
        <f aca="false">Priv!L247</f>
        <v>0</v>
      </c>
      <c r="C481" s="735" t="s">
        <v>999</v>
      </c>
    </row>
    <row r="482" customFormat="false" ht="14.25" hidden="false" customHeight="false" outlineLevel="0" collapsed="false">
      <c r="A482" s="734" t="s">
        <v>1515</v>
      </c>
      <c r="B482" s="734" t="n">
        <f aca="false">Priv!M247</f>
        <v>0</v>
      </c>
      <c r="C482" s="735" t="s">
        <v>999</v>
      </c>
    </row>
    <row r="483" customFormat="false" ht="14.25" hidden="false" customHeight="false" outlineLevel="0" collapsed="false">
      <c r="A483" s="734" t="s">
        <v>951</v>
      </c>
      <c r="B483" s="734" t="n">
        <f aca="false">Priv!F248</f>
        <v>0</v>
      </c>
      <c r="C483" s="735" t="s">
        <v>999</v>
      </c>
    </row>
    <row r="484" customFormat="false" ht="14.25" hidden="false" customHeight="false" outlineLevel="0" collapsed="false">
      <c r="A484" s="734" t="s">
        <v>952</v>
      </c>
      <c r="B484" s="734" t="n">
        <f aca="false">Priv!G248</f>
        <v>0</v>
      </c>
      <c r="C484" s="735" t="s">
        <v>999</v>
      </c>
    </row>
    <row r="485" customFormat="false" ht="14.25" hidden="false" customHeight="false" outlineLevel="0" collapsed="false">
      <c r="A485" s="734" t="s">
        <v>953</v>
      </c>
      <c r="B485" s="734" t="n">
        <f aca="false">Priv!H248</f>
        <v>0</v>
      </c>
      <c r="C485" s="735" t="s">
        <v>999</v>
      </c>
    </row>
    <row r="486" customFormat="false" ht="14.25" hidden="false" customHeight="false" outlineLevel="0" collapsed="false">
      <c r="A486" s="734" t="s">
        <v>954</v>
      </c>
      <c r="B486" s="734" t="n">
        <f aca="false">Priv!I248</f>
        <v>0</v>
      </c>
      <c r="C486" s="735" t="s">
        <v>999</v>
      </c>
    </row>
    <row r="487" customFormat="false" ht="14.25" hidden="false" customHeight="false" outlineLevel="0" collapsed="false">
      <c r="A487" s="734" t="s">
        <v>1516</v>
      </c>
      <c r="B487" s="734" t="n">
        <f aca="false">Priv!J248</f>
        <v>0</v>
      </c>
      <c r="C487" s="735" t="s">
        <v>999</v>
      </c>
    </row>
    <row r="488" customFormat="false" ht="14.25" hidden="false" customHeight="false" outlineLevel="0" collapsed="false">
      <c r="A488" s="734" t="s">
        <v>1517</v>
      </c>
      <c r="B488" s="734" t="n">
        <f aca="false">Priv!K248</f>
        <v>0</v>
      </c>
      <c r="C488" s="735" t="s">
        <v>999</v>
      </c>
    </row>
    <row r="489" customFormat="false" ht="14.25" hidden="false" customHeight="false" outlineLevel="0" collapsed="false">
      <c r="A489" s="734" t="s">
        <v>1518</v>
      </c>
      <c r="B489" s="734" t="n">
        <f aca="false">Priv!L248</f>
        <v>0</v>
      </c>
      <c r="C489" s="735" t="s">
        <v>999</v>
      </c>
    </row>
    <row r="490" customFormat="false" ht="14.25" hidden="false" customHeight="false" outlineLevel="0" collapsed="false">
      <c r="A490" s="734" t="s">
        <v>1519</v>
      </c>
      <c r="B490" s="734" t="n">
        <f aca="false">Priv!M248</f>
        <v>0</v>
      </c>
      <c r="C490" s="735" t="s">
        <v>999</v>
      </c>
    </row>
    <row r="491" customFormat="false" ht="14.25" hidden="false" customHeight="false" outlineLevel="0" collapsed="false">
      <c r="A491" s="734" t="s">
        <v>1520</v>
      </c>
      <c r="B491" s="734" t="n">
        <f aca="false">Priv!F249</f>
        <v>0</v>
      </c>
      <c r="C491" s="735" t="s">
        <v>999</v>
      </c>
    </row>
    <row r="492" customFormat="false" ht="14.25" hidden="false" customHeight="false" outlineLevel="0" collapsed="false">
      <c r="A492" s="734" t="s">
        <v>1521</v>
      </c>
      <c r="B492" s="734" t="n">
        <f aca="false">Priv!G249</f>
        <v>0</v>
      </c>
      <c r="C492" s="735" t="s">
        <v>999</v>
      </c>
    </row>
    <row r="493" customFormat="false" ht="14.25" hidden="false" customHeight="false" outlineLevel="0" collapsed="false">
      <c r="A493" s="734" t="s">
        <v>1522</v>
      </c>
      <c r="B493" s="734" t="n">
        <f aca="false">Priv!H249</f>
        <v>0</v>
      </c>
      <c r="C493" s="735" t="s">
        <v>999</v>
      </c>
    </row>
    <row r="494" customFormat="false" ht="14.25" hidden="false" customHeight="false" outlineLevel="0" collapsed="false">
      <c r="A494" s="734" t="s">
        <v>1523</v>
      </c>
      <c r="B494" s="734" t="n">
        <f aca="false">Priv!I249</f>
        <v>0</v>
      </c>
      <c r="C494" s="735" t="s">
        <v>999</v>
      </c>
    </row>
    <row r="495" customFormat="false" ht="14.25" hidden="false" customHeight="false" outlineLevel="0" collapsed="false">
      <c r="A495" s="734" t="s">
        <v>1524</v>
      </c>
      <c r="B495" s="734" t="n">
        <f aca="false">Priv!J249</f>
        <v>0</v>
      </c>
      <c r="C495" s="735" t="s">
        <v>999</v>
      </c>
    </row>
    <row r="496" customFormat="false" ht="14.25" hidden="false" customHeight="false" outlineLevel="0" collapsed="false">
      <c r="A496" s="734" t="s">
        <v>1525</v>
      </c>
      <c r="B496" s="734" t="n">
        <f aca="false">Priv!K249</f>
        <v>0</v>
      </c>
      <c r="C496" s="735" t="s">
        <v>999</v>
      </c>
    </row>
    <row r="497" customFormat="false" ht="14.25" hidden="false" customHeight="false" outlineLevel="0" collapsed="false">
      <c r="A497" s="734" t="s">
        <v>1526</v>
      </c>
      <c r="B497" s="734" t="n">
        <f aca="false">Priv!L249</f>
        <v>0</v>
      </c>
      <c r="C497" s="735" t="s">
        <v>999</v>
      </c>
    </row>
    <row r="498" customFormat="false" ht="14.25" hidden="false" customHeight="false" outlineLevel="0" collapsed="false">
      <c r="A498" s="734" t="s">
        <v>1527</v>
      </c>
      <c r="B498" s="734" t="n">
        <f aca="false">Priv!M249</f>
        <v>0</v>
      </c>
      <c r="C498" s="735" t="s">
        <v>999</v>
      </c>
    </row>
    <row r="499" customFormat="false" ht="14.25" hidden="false" customHeight="false" outlineLevel="0" collapsed="false">
      <c r="A499" s="734" t="s">
        <v>1528</v>
      </c>
      <c r="B499" s="734" t="n">
        <f aca="false">Priv!F250</f>
        <v>0</v>
      </c>
      <c r="C499" s="735" t="s">
        <v>999</v>
      </c>
    </row>
    <row r="500" customFormat="false" ht="14.25" hidden="false" customHeight="false" outlineLevel="0" collapsed="false">
      <c r="A500" s="734" t="s">
        <v>1529</v>
      </c>
      <c r="B500" s="734" t="n">
        <f aca="false">Priv!G250</f>
        <v>0</v>
      </c>
      <c r="C500" s="735" t="s">
        <v>999</v>
      </c>
    </row>
    <row r="501" customFormat="false" ht="14.25" hidden="false" customHeight="false" outlineLevel="0" collapsed="false">
      <c r="A501" s="734" t="s">
        <v>1530</v>
      </c>
      <c r="B501" s="734" t="n">
        <f aca="false">Priv!H250</f>
        <v>0</v>
      </c>
      <c r="C501" s="735" t="s">
        <v>999</v>
      </c>
    </row>
    <row r="502" customFormat="false" ht="14.25" hidden="false" customHeight="false" outlineLevel="0" collapsed="false">
      <c r="A502" s="734" t="s">
        <v>1531</v>
      </c>
      <c r="B502" s="734" t="n">
        <f aca="false">Priv!I250</f>
        <v>0</v>
      </c>
      <c r="C502" s="735" t="s">
        <v>999</v>
      </c>
    </row>
    <row r="503" customFormat="false" ht="14.25" hidden="false" customHeight="false" outlineLevel="0" collapsed="false">
      <c r="A503" s="734" t="s">
        <v>1532</v>
      </c>
      <c r="B503" s="734" t="n">
        <f aca="false">Priv!J250</f>
        <v>0</v>
      </c>
      <c r="C503" s="735" t="s">
        <v>999</v>
      </c>
    </row>
    <row r="504" customFormat="false" ht="14.25" hidden="false" customHeight="false" outlineLevel="0" collapsed="false">
      <c r="A504" s="734" t="s">
        <v>1533</v>
      </c>
      <c r="B504" s="734" t="n">
        <f aca="false">Priv!K250</f>
        <v>0</v>
      </c>
      <c r="C504" s="735" t="s">
        <v>999</v>
      </c>
    </row>
    <row r="505" customFormat="false" ht="14.25" hidden="false" customHeight="false" outlineLevel="0" collapsed="false">
      <c r="A505" s="734" t="s">
        <v>1534</v>
      </c>
      <c r="B505" s="734" t="n">
        <f aca="false">Priv!L250</f>
        <v>0</v>
      </c>
      <c r="C505" s="735" t="s">
        <v>999</v>
      </c>
    </row>
    <row r="506" customFormat="false" ht="14.25" hidden="false" customHeight="false" outlineLevel="0" collapsed="false">
      <c r="A506" s="734" t="s">
        <v>1535</v>
      </c>
      <c r="B506" s="734" t="n">
        <f aca="false">Priv!M250</f>
        <v>0</v>
      </c>
      <c r="C506" s="735" t="s">
        <v>999</v>
      </c>
    </row>
    <row r="507" customFormat="false" ht="14.25" hidden="false" customHeight="false" outlineLevel="0" collapsed="false">
      <c r="A507" s="734" t="s">
        <v>955</v>
      </c>
      <c r="B507" s="734" t="n">
        <f aca="false">Priv!D258</f>
        <v>0</v>
      </c>
      <c r="C507" s="735" t="s">
        <v>1042</v>
      </c>
    </row>
    <row r="508" customFormat="false" ht="14.25" hidden="false" customHeight="false" outlineLevel="0" collapsed="false">
      <c r="A508" s="734" t="s">
        <v>957</v>
      </c>
      <c r="B508" s="734" t="n">
        <f aca="false">Priv!E258</f>
        <v>0</v>
      </c>
      <c r="C508" s="735" t="s">
        <v>1042</v>
      </c>
    </row>
    <row r="509" customFormat="false" ht="14.25" hidden="false" customHeight="false" outlineLevel="0" collapsed="false">
      <c r="A509" s="734" t="s">
        <v>958</v>
      </c>
      <c r="B509" s="734" t="e">
        <f aca="false">priv!#ref!</f>
        <v>#NAME?</v>
      </c>
      <c r="C509" s="735" t="s">
        <v>1042</v>
      </c>
    </row>
    <row r="510" customFormat="false" ht="14.25" hidden="false" customHeight="false" outlineLevel="0" collapsed="false">
      <c r="A510" s="734" t="s">
        <v>959</v>
      </c>
      <c r="B510" s="734" t="e">
        <f aca="false">priv!#ref!</f>
        <v>#NAME?</v>
      </c>
      <c r="C510" s="735" t="s">
        <v>1042</v>
      </c>
    </row>
    <row r="511" customFormat="false" ht="14.25" hidden="false" customHeight="false" outlineLevel="0" collapsed="false">
      <c r="A511" s="734" t="s">
        <v>960</v>
      </c>
      <c r="B511" s="734" t="n">
        <f aca="false">Priv!F258</f>
        <v>0</v>
      </c>
      <c r="C511" s="735" t="s">
        <v>1042</v>
      </c>
    </row>
    <row r="512" customFormat="false" ht="14.25" hidden="false" customHeight="false" outlineLevel="0" collapsed="false">
      <c r="A512" s="734" t="s">
        <v>961</v>
      </c>
      <c r="B512" s="734" t="n">
        <f aca="false">Priv!G258</f>
        <v>0</v>
      </c>
      <c r="C512" s="735" t="s">
        <v>1042</v>
      </c>
    </row>
    <row r="513" customFormat="false" ht="14.25" hidden="false" customHeight="false" outlineLevel="0" collapsed="false">
      <c r="A513" s="734" t="s">
        <v>962</v>
      </c>
      <c r="B513" s="734" t="e">
        <f aca="false">priv!#ref!</f>
        <v>#NAME?</v>
      </c>
      <c r="C513" s="735" t="s">
        <v>1042</v>
      </c>
    </row>
    <row r="514" customFormat="false" ht="14.25" hidden="false" customHeight="false" outlineLevel="0" collapsed="false">
      <c r="A514" s="734" t="s">
        <v>1536</v>
      </c>
      <c r="B514" s="734" t="e">
        <f aca="false">priv!#ref!</f>
        <v>#NAME?</v>
      </c>
      <c r="C514" s="735" t="s">
        <v>1042</v>
      </c>
    </row>
    <row r="515" customFormat="false" ht="14.25" hidden="false" customHeight="false" outlineLevel="0" collapsed="false">
      <c r="A515" s="734" t="s">
        <v>1537</v>
      </c>
      <c r="B515" s="734" t="n">
        <f aca="false">Priv!H258</f>
        <v>0</v>
      </c>
      <c r="C515" s="735" t="s">
        <v>1042</v>
      </c>
    </row>
    <row r="516" customFormat="false" ht="14.25" hidden="false" customHeight="false" outlineLevel="0" collapsed="false">
      <c r="A516" s="734" t="s">
        <v>1538</v>
      </c>
      <c r="B516" s="734" t="n">
        <f aca="false">Priv!I258</f>
        <v>0</v>
      </c>
      <c r="C516" s="735" t="s">
        <v>1042</v>
      </c>
    </row>
    <row r="517" customFormat="false" ht="14.25" hidden="false" customHeight="false" outlineLevel="0" collapsed="false">
      <c r="A517" s="734" t="s">
        <v>963</v>
      </c>
      <c r="B517" s="734" t="n">
        <f aca="false">Priv!D259</f>
        <v>0</v>
      </c>
      <c r="C517" s="735" t="s">
        <v>1042</v>
      </c>
    </row>
    <row r="518" customFormat="false" ht="14.25" hidden="false" customHeight="false" outlineLevel="0" collapsed="false">
      <c r="A518" s="734" t="s">
        <v>964</v>
      </c>
      <c r="B518" s="734" t="n">
        <f aca="false">Priv!E259</f>
        <v>0</v>
      </c>
      <c r="C518" s="735" t="s">
        <v>1042</v>
      </c>
    </row>
    <row r="519" customFormat="false" ht="14.25" hidden="false" customHeight="false" outlineLevel="0" collapsed="false">
      <c r="A519" s="734" t="s">
        <v>965</v>
      </c>
      <c r="B519" s="734" t="e">
        <f aca="false">priv!#ref!</f>
        <v>#NAME?</v>
      </c>
      <c r="C519" s="735" t="s">
        <v>1042</v>
      </c>
    </row>
    <row r="520" customFormat="false" ht="14.25" hidden="false" customHeight="false" outlineLevel="0" collapsed="false">
      <c r="A520" s="734" t="s">
        <v>966</v>
      </c>
      <c r="B520" s="734" t="e">
        <f aca="false">priv!#ref!</f>
        <v>#NAME?</v>
      </c>
      <c r="C520" s="735" t="s">
        <v>1042</v>
      </c>
    </row>
    <row r="521" customFormat="false" ht="14.25" hidden="false" customHeight="false" outlineLevel="0" collapsed="false">
      <c r="A521" s="734" t="s">
        <v>967</v>
      </c>
      <c r="B521" s="734" t="n">
        <f aca="false">Priv!F259</f>
        <v>0</v>
      </c>
      <c r="C521" s="735" t="s">
        <v>1042</v>
      </c>
    </row>
    <row r="522" customFormat="false" ht="14.25" hidden="false" customHeight="false" outlineLevel="0" collapsed="false">
      <c r="A522" s="734" t="s">
        <v>968</v>
      </c>
      <c r="B522" s="734" t="n">
        <f aca="false">Priv!G259</f>
        <v>0</v>
      </c>
      <c r="C522" s="735" t="s">
        <v>1042</v>
      </c>
    </row>
    <row r="523" customFormat="false" ht="14.25" hidden="false" customHeight="false" outlineLevel="0" collapsed="false">
      <c r="A523" s="734" t="s">
        <v>969</v>
      </c>
      <c r="B523" s="734" t="e">
        <f aca="false">priv!#ref!</f>
        <v>#NAME?</v>
      </c>
      <c r="C523" s="735" t="s">
        <v>1042</v>
      </c>
    </row>
    <row r="524" customFormat="false" ht="14.25" hidden="false" customHeight="false" outlineLevel="0" collapsed="false">
      <c r="A524" s="734" t="s">
        <v>1539</v>
      </c>
      <c r="B524" s="734" t="e">
        <f aca="false">priv!#ref!</f>
        <v>#NAME?</v>
      </c>
      <c r="C524" s="735" t="s">
        <v>1042</v>
      </c>
    </row>
    <row r="525" customFormat="false" ht="14.25" hidden="false" customHeight="false" outlineLevel="0" collapsed="false">
      <c r="A525" s="734" t="s">
        <v>1540</v>
      </c>
      <c r="B525" s="734" t="n">
        <f aca="false">Priv!H259</f>
        <v>0</v>
      </c>
      <c r="C525" s="735" t="s">
        <v>1042</v>
      </c>
    </row>
    <row r="526" customFormat="false" ht="14.25" hidden="false" customHeight="false" outlineLevel="0" collapsed="false">
      <c r="A526" s="734" t="s">
        <v>1541</v>
      </c>
      <c r="B526" s="734" t="n">
        <f aca="false">Priv!I259</f>
        <v>0</v>
      </c>
      <c r="C526" s="735" t="s">
        <v>1042</v>
      </c>
    </row>
    <row r="527" customFormat="false" ht="14.25" hidden="false" customHeight="false" outlineLevel="0" collapsed="false">
      <c r="A527" s="734" t="s">
        <v>970</v>
      </c>
      <c r="B527" s="734" t="n">
        <f aca="false">Priv!D260</f>
        <v>0</v>
      </c>
      <c r="C527" s="735" t="s">
        <v>1042</v>
      </c>
    </row>
    <row r="528" customFormat="false" ht="14.25" hidden="false" customHeight="false" outlineLevel="0" collapsed="false">
      <c r="A528" s="734" t="s">
        <v>971</v>
      </c>
      <c r="B528" s="734" t="n">
        <f aca="false">Priv!E260</f>
        <v>0</v>
      </c>
      <c r="C528" s="735" t="s">
        <v>1042</v>
      </c>
    </row>
    <row r="529" customFormat="false" ht="14.25" hidden="false" customHeight="false" outlineLevel="0" collapsed="false">
      <c r="A529" s="734" t="s">
        <v>972</v>
      </c>
      <c r="B529" s="734" t="e">
        <f aca="false">priv!#ref!</f>
        <v>#NAME?</v>
      </c>
      <c r="C529" s="735" t="s">
        <v>1042</v>
      </c>
    </row>
    <row r="530" customFormat="false" ht="14.25" hidden="false" customHeight="false" outlineLevel="0" collapsed="false">
      <c r="A530" s="734" t="s">
        <v>973</v>
      </c>
      <c r="B530" s="734" t="e">
        <f aca="false">priv!#ref!</f>
        <v>#NAME?</v>
      </c>
      <c r="C530" s="735" t="s">
        <v>1042</v>
      </c>
    </row>
    <row r="531" customFormat="false" ht="14.25" hidden="false" customHeight="false" outlineLevel="0" collapsed="false">
      <c r="A531" s="734" t="s">
        <v>974</v>
      </c>
      <c r="B531" s="734" t="n">
        <f aca="false">Priv!F260</f>
        <v>0</v>
      </c>
      <c r="C531" s="735" t="s">
        <v>1042</v>
      </c>
    </row>
    <row r="532" customFormat="false" ht="14.25" hidden="false" customHeight="false" outlineLevel="0" collapsed="false">
      <c r="A532" s="734" t="s">
        <v>975</v>
      </c>
      <c r="B532" s="734" t="n">
        <f aca="false">Priv!G260</f>
        <v>0</v>
      </c>
      <c r="C532" s="735" t="s">
        <v>1042</v>
      </c>
    </row>
    <row r="533" customFormat="false" ht="14.25" hidden="false" customHeight="false" outlineLevel="0" collapsed="false">
      <c r="A533" s="734" t="s">
        <v>976</v>
      </c>
      <c r="B533" s="734" t="e">
        <f aca="false">priv!#ref!</f>
        <v>#NAME?</v>
      </c>
      <c r="C533" s="735" t="s">
        <v>1042</v>
      </c>
    </row>
    <row r="534" customFormat="false" ht="14.25" hidden="false" customHeight="false" outlineLevel="0" collapsed="false">
      <c r="A534" s="734" t="s">
        <v>1542</v>
      </c>
      <c r="B534" s="734" t="e">
        <f aca="false">priv!#ref!</f>
        <v>#NAME?</v>
      </c>
      <c r="C534" s="735" t="s">
        <v>1042</v>
      </c>
    </row>
    <row r="535" customFormat="false" ht="14.25" hidden="false" customHeight="false" outlineLevel="0" collapsed="false">
      <c r="A535" s="734" t="s">
        <v>1543</v>
      </c>
      <c r="B535" s="734" t="n">
        <f aca="false">Priv!H260</f>
        <v>0</v>
      </c>
      <c r="C535" s="735" t="s">
        <v>1042</v>
      </c>
    </row>
    <row r="536" customFormat="false" ht="14.25" hidden="false" customHeight="false" outlineLevel="0" collapsed="false">
      <c r="A536" s="734" t="s">
        <v>1544</v>
      </c>
      <c r="B536" s="734" t="n">
        <f aca="false">Priv!I260</f>
        <v>0</v>
      </c>
      <c r="C536" s="735" t="s">
        <v>1042</v>
      </c>
    </row>
    <row r="537" customFormat="false" ht="14.25" hidden="false" customHeight="false" outlineLevel="0" collapsed="false">
      <c r="A537" s="734" t="s">
        <v>977</v>
      </c>
      <c r="B537" s="734" t="n">
        <f aca="false">Priv!D261</f>
        <v>0</v>
      </c>
      <c r="C537" s="735" t="s">
        <v>1042</v>
      </c>
    </row>
    <row r="538" customFormat="false" ht="14.25" hidden="false" customHeight="false" outlineLevel="0" collapsed="false">
      <c r="A538" s="734" t="s">
        <v>978</v>
      </c>
      <c r="B538" s="734" t="n">
        <f aca="false">Priv!E261</f>
        <v>0</v>
      </c>
      <c r="C538" s="735" t="s">
        <v>1042</v>
      </c>
    </row>
    <row r="539" customFormat="false" ht="14.25" hidden="false" customHeight="false" outlineLevel="0" collapsed="false">
      <c r="A539" s="734" t="s">
        <v>979</v>
      </c>
      <c r="B539" s="734" t="e">
        <f aca="false">priv!#ref!</f>
        <v>#NAME?</v>
      </c>
      <c r="C539" s="735" t="s">
        <v>1042</v>
      </c>
    </row>
    <row r="540" customFormat="false" ht="14.25" hidden="false" customHeight="false" outlineLevel="0" collapsed="false">
      <c r="A540" s="734" t="s">
        <v>980</v>
      </c>
      <c r="B540" s="734" t="e">
        <f aca="false">priv!#ref!</f>
        <v>#NAME?</v>
      </c>
      <c r="C540" s="735" t="s">
        <v>1042</v>
      </c>
    </row>
    <row r="541" customFormat="false" ht="14.25" hidden="false" customHeight="false" outlineLevel="0" collapsed="false">
      <c r="A541" s="734" t="s">
        <v>981</v>
      </c>
      <c r="B541" s="734" t="n">
        <f aca="false">Priv!F261</f>
        <v>0</v>
      </c>
      <c r="C541" s="735" t="s">
        <v>1042</v>
      </c>
    </row>
    <row r="542" customFormat="false" ht="14.25" hidden="false" customHeight="false" outlineLevel="0" collapsed="false">
      <c r="A542" s="734" t="s">
        <v>982</v>
      </c>
      <c r="B542" s="734" t="n">
        <f aca="false">Priv!G261</f>
        <v>0</v>
      </c>
      <c r="C542" s="735" t="s">
        <v>1042</v>
      </c>
    </row>
    <row r="543" customFormat="false" ht="14.25" hidden="false" customHeight="false" outlineLevel="0" collapsed="false">
      <c r="A543" s="734" t="s">
        <v>983</v>
      </c>
      <c r="B543" s="734" t="e">
        <f aca="false">priv!#ref!</f>
        <v>#NAME?</v>
      </c>
      <c r="C543" s="735" t="s">
        <v>1042</v>
      </c>
    </row>
    <row r="544" customFormat="false" ht="14.25" hidden="false" customHeight="false" outlineLevel="0" collapsed="false">
      <c r="A544" s="734" t="s">
        <v>1545</v>
      </c>
      <c r="B544" s="734" t="e">
        <f aca="false">priv!#ref!</f>
        <v>#NAME?</v>
      </c>
      <c r="C544" s="735" t="s">
        <v>1042</v>
      </c>
    </row>
    <row r="545" customFormat="false" ht="14.25" hidden="false" customHeight="false" outlineLevel="0" collapsed="false">
      <c r="A545" s="734" t="s">
        <v>1546</v>
      </c>
      <c r="B545" s="734" t="n">
        <f aca="false">Priv!H261</f>
        <v>0</v>
      </c>
      <c r="C545" s="735" t="s">
        <v>1042</v>
      </c>
    </row>
    <row r="546" customFormat="false" ht="14.25" hidden="false" customHeight="false" outlineLevel="0" collapsed="false">
      <c r="A546" s="734" t="s">
        <v>1547</v>
      </c>
      <c r="B546" s="734" t="n">
        <f aca="false">Priv!I261</f>
        <v>0</v>
      </c>
      <c r="C546" s="735" t="s">
        <v>1042</v>
      </c>
    </row>
    <row r="547" customFormat="false" ht="14.25" hidden="false" customHeight="false" outlineLevel="0" collapsed="false">
      <c r="A547" s="734" t="s">
        <v>984</v>
      </c>
      <c r="B547" s="734" t="n">
        <f aca="false">Priv!D262</f>
        <v>0</v>
      </c>
      <c r="C547" s="735" t="s">
        <v>1042</v>
      </c>
    </row>
    <row r="548" customFormat="false" ht="14.25" hidden="false" customHeight="false" outlineLevel="0" collapsed="false">
      <c r="A548" s="734" t="s">
        <v>985</v>
      </c>
      <c r="B548" s="734" t="n">
        <f aca="false">Priv!E262</f>
        <v>0</v>
      </c>
      <c r="C548" s="735" t="s">
        <v>1042</v>
      </c>
    </row>
    <row r="549" customFormat="false" ht="14.25" hidden="false" customHeight="false" outlineLevel="0" collapsed="false">
      <c r="A549" s="734" t="s">
        <v>986</v>
      </c>
      <c r="B549" s="734" t="e">
        <f aca="false">priv!#ref!</f>
        <v>#NAME?</v>
      </c>
      <c r="C549" s="735" t="s">
        <v>1042</v>
      </c>
    </row>
    <row r="550" customFormat="false" ht="14.25" hidden="false" customHeight="false" outlineLevel="0" collapsed="false">
      <c r="A550" s="734" t="s">
        <v>987</v>
      </c>
      <c r="B550" s="734" t="e">
        <f aca="false">priv!#ref!</f>
        <v>#NAME?</v>
      </c>
      <c r="C550" s="735" t="s">
        <v>1042</v>
      </c>
    </row>
    <row r="551" customFormat="false" ht="14.25" hidden="false" customHeight="false" outlineLevel="0" collapsed="false">
      <c r="A551" s="734" t="s">
        <v>988</v>
      </c>
      <c r="B551" s="734" t="n">
        <f aca="false">Priv!F262</f>
        <v>0</v>
      </c>
      <c r="C551" s="735" t="s">
        <v>1042</v>
      </c>
    </row>
    <row r="552" customFormat="false" ht="14.25" hidden="false" customHeight="false" outlineLevel="0" collapsed="false">
      <c r="A552" s="734" t="s">
        <v>989</v>
      </c>
      <c r="B552" s="734" t="n">
        <f aca="false">Priv!G262</f>
        <v>0</v>
      </c>
      <c r="C552" s="735" t="s">
        <v>1042</v>
      </c>
    </row>
    <row r="553" customFormat="false" ht="14.25" hidden="false" customHeight="false" outlineLevel="0" collapsed="false">
      <c r="A553" s="734" t="s">
        <v>990</v>
      </c>
      <c r="B553" s="734" t="e">
        <f aca="false">priv!#ref!</f>
        <v>#NAME?</v>
      </c>
      <c r="C553" s="735" t="s">
        <v>1042</v>
      </c>
    </row>
    <row r="554" customFormat="false" ht="14.25" hidden="false" customHeight="false" outlineLevel="0" collapsed="false">
      <c r="A554" s="734" t="s">
        <v>1548</v>
      </c>
      <c r="B554" s="734" t="e">
        <f aca="false">priv!#ref!</f>
        <v>#NAME?</v>
      </c>
      <c r="C554" s="735" t="s">
        <v>1042</v>
      </c>
    </row>
    <row r="555" customFormat="false" ht="14.25" hidden="false" customHeight="false" outlineLevel="0" collapsed="false">
      <c r="A555" s="734" t="s">
        <v>1549</v>
      </c>
      <c r="B555" s="734" t="n">
        <f aca="false">Priv!H262</f>
        <v>0</v>
      </c>
      <c r="C555" s="735" t="s">
        <v>1042</v>
      </c>
    </row>
    <row r="556" customFormat="false" ht="14.25" hidden="false" customHeight="false" outlineLevel="0" collapsed="false">
      <c r="A556" s="734" t="s">
        <v>1550</v>
      </c>
      <c r="B556" s="734" t="n">
        <f aca="false">Priv!I262</f>
        <v>0</v>
      </c>
      <c r="C556" s="735" t="s">
        <v>1042</v>
      </c>
    </row>
    <row r="557" customFormat="false" ht="14.25" hidden="false" customHeight="false" outlineLevel="0" collapsed="false">
      <c r="A557" s="734" t="s">
        <v>991</v>
      </c>
      <c r="B557" s="734" t="n">
        <f aca="false">Priv!D263</f>
        <v>0</v>
      </c>
      <c r="C557" s="735" t="s">
        <v>1042</v>
      </c>
    </row>
    <row r="558" customFormat="false" ht="14.25" hidden="false" customHeight="false" outlineLevel="0" collapsed="false">
      <c r="A558" s="734" t="s">
        <v>992</v>
      </c>
      <c r="B558" s="734" t="n">
        <f aca="false">Priv!E263</f>
        <v>0</v>
      </c>
      <c r="C558" s="735" t="s">
        <v>1042</v>
      </c>
    </row>
    <row r="559" customFormat="false" ht="14.25" hidden="false" customHeight="false" outlineLevel="0" collapsed="false">
      <c r="A559" s="734" t="s">
        <v>993</v>
      </c>
      <c r="B559" s="734" t="e">
        <f aca="false">priv!#ref!</f>
        <v>#NAME?</v>
      </c>
      <c r="C559" s="735" t="s">
        <v>1042</v>
      </c>
    </row>
    <row r="560" customFormat="false" ht="14.25" hidden="false" customHeight="false" outlineLevel="0" collapsed="false">
      <c r="A560" s="734" t="s">
        <v>994</v>
      </c>
      <c r="B560" s="734" t="e">
        <f aca="false">priv!#ref!</f>
        <v>#NAME?</v>
      </c>
      <c r="C560" s="735" t="s">
        <v>1042</v>
      </c>
    </row>
    <row r="561" customFormat="false" ht="14.25" hidden="false" customHeight="false" outlineLevel="0" collapsed="false">
      <c r="A561" s="734" t="s">
        <v>995</v>
      </c>
      <c r="B561" s="734" t="n">
        <f aca="false">Priv!F263</f>
        <v>0</v>
      </c>
      <c r="C561" s="735" t="s">
        <v>1042</v>
      </c>
    </row>
    <row r="562" customFormat="false" ht="14.25" hidden="false" customHeight="false" outlineLevel="0" collapsed="false">
      <c r="A562" s="734" t="s">
        <v>996</v>
      </c>
      <c r="B562" s="734" t="n">
        <f aca="false">Priv!G263</f>
        <v>0</v>
      </c>
      <c r="C562" s="735" t="s">
        <v>1042</v>
      </c>
    </row>
    <row r="563" customFormat="false" ht="14.25" hidden="false" customHeight="false" outlineLevel="0" collapsed="false">
      <c r="A563" s="734" t="s">
        <v>997</v>
      </c>
      <c r="B563" s="734" t="e">
        <f aca="false">priv!#ref!</f>
        <v>#NAME?</v>
      </c>
      <c r="C563" s="735" t="s">
        <v>1042</v>
      </c>
    </row>
    <row r="564" customFormat="false" ht="14.25" hidden="false" customHeight="false" outlineLevel="0" collapsed="false">
      <c r="A564" s="734" t="s">
        <v>1551</v>
      </c>
      <c r="B564" s="734" t="e">
        <f aca="false">priv!#ref!</f>
        <v>#NAME?</v>
      </c>
      <c r="C564" s="735" t="s">
        <v>1042</v>
      </c>
    </row>
    <row r="565" customFormat="false" ht="14.25" hidden="false" customHeight="false" outlineLevel="0" collapsed="false">
      <c r="A565" s="734" t="s">
        <v>1552</v>
      </c>
      <c r="B565" s="734" t="n">
        <f aca="false">Priv!H263</f>
        <v>0</v>
      </c>
      <c r="C565" s="735" t="s">
        <v>1042</v>
      </c>
    </row>
    <row r="566" customFormat="false" ht="14.25" hidden="false" customHeight="false" outlineLevel="0" collapsed="false">
      <c r="A566" s="734" t="s">
        <v>1553</v>
      </c>
      <c r="B566" s="734" t="n">
        <f aca="false">Priv!I263</f>
        <v>0</v>
      </c>
      <c r="C566" s="735" t="s">
        <v>1042</v>
      </c>
    </row>
    <row r="567" customFormat="false" ht="14.25" hidden="false" customHeight="false" outlineLevel="0" collapsed="false">
      <c r="A567" s="734" t="s">
        <v>1554</v>
      </c>
      <c r="B567" s="734" t="n">
        <f aca="false">Priv!D264</f>
        <v>0</v>
      </c>
      <c r="C567" s="735" t="s">
        <v>1042</v>
      </c>
    </row>
    <row r="568" customFormat="false" ht="14.25" hidden="false" customHeight="false" outlineLevel="0" collapsed="false">
      <c r="A568" s="734" t="s">
        <v>1555</v>
      </c>
      <c r="B568" s="734" t="n">
        <f aca="false">Priv!E264</f>
        <v>0</v>
      </c>
      <c r="C568" s="735" t="s">
        <v>1042</v>
      </c>
    </row>
    <row r="569" customFormat="false" ht="14.25" hidden="false" customHeight="false" outlineLevel="0" collapsed="false">
      <c r="A569" s="734" t="s">
        <v>1556</v>
      </c>
      <c r="B569" s="734" t="e">
        <f aca="false">priv!#ref!</f>
        <v>#NAME?</v>
      </c>
      <c r="C569" s="735" t="s">
        <v>1042</v>
      </c>
    </row>
    <row r="570" customFormat="false" ht="14.25" hidden="false" customHeight="false" outlineLevel="0" collapsed="false">
      <c r="A570" s="734" t="s">
        <v>1557</v>
      </c>
      <c r="B570" s="734" t="e">
        <f aca="false">priv!#ref!</f>
        <v>#NAME?</v>
      </c>
      <c r="C570" s="735" t="s">
        <v>1042</v>
      </c>
    </row>
    <row r="571" customFormat="false" ht="14.25" hidden="false" customHeight="false" outlineLevel="0" collapsed="false">
      <c r="A571" s="734" t="s">
        <v>1558</v>
      </c>
      <c r="B571" s="734" t="n">
        <f aca="false">Priv!F264</f>
        <v>0</v>
      </c>
      <c r="C571" s="735" t="s">
        <v>1042</v>
      </c>
    </row>
    <row r="572" customFormat="false" ht="14.25" hidden="false" customHeight="false" outlineLevel="0" collapsed="false">
      <c r="A572" s="734" t="s">
        <v>1559</v>
      </c>
      <c r="B572" s="734" t="n">
        <f aca="false">Priv!G264</f>
        <v>0</v>
      </c>
      <c r="C572" s="735" t="s">
        <v>1042</v>
      </c>
    </row>
    <row r="573" customFormat="false" ht="14.25" hidden="false" customHeight="false" outlineLevel="0" collapsed="false">
      <c r="A573" s="734" t="s">
        <v>1560</v>
      </c>
      <c r="B573" s="734" t="e">
        <f aca="false">priv!#ref!</f>
        <v>#NAME?</v>
      </c>
      <c r="C573" s="735" t="s">
        <v>1042</v>
      </c>
    </row>
    <row r="574" customFormat="false" ht="14.25" hidden="false" customHeight="false" outlineLevel="0" collapsed="false">
      <c r="A574" s="734" t="s">
        <v>1561</v>
      </c>
      <c r="B574" s="734" t="e">
        <f aca="false">priv!#ref!</f>
        <v>#NAME?</v>
      </c>
      <c r="C574" s="735" t="s">
        <v>1042</v>
      </c>
    </row>
    <row r="575" customFormat="false" ht="14.25" hidden="false" customHeight="false" outlineLevel="0" collapsed="false">
      <c r="A575" s="734" t="s">
        <v>1562</v>
      </c>
      <c r="B575" s="734" t="n">
        <f aca="false">Priv!H264</f>
        <v>0</v>
      </c>
      <c r="C575" s="735" t="s">
        <v>1042</v>
      </c>
    </row>
    <row r="576" customFormat="false" ht="14.25" hidden="false" customHeight="false" outlineLevel="0" collapsed="false">
      <c r="A576" s="734" t="s">
        <v>1563</v>
      </c>
      <c r="B576" s="734" t="n">
        <f aca="false">Priv!I264</f>
        <v>0</v>
      </c>
      <c r="C576" s="735" t="s">
        <v>1042</v>
      </c>
    </row>
    <row r="577" customFormat="false" ht="14.25" hidden="false" customHeight="false" outlineLevel="0" collapsed="false">
      <c r="A577" s="734" t="s">
        <v>998</v>
      </c>
      <c r="B577" s="734" t="n">
        <f aca="false">Priv!D271</f>
        <v>0</v>
      </c>
      <c r="C577" s="735" t="s">
        <v>1113</v>
      </c>
    </row>
    <row r="578" customFormat="false" ht="14.25" hidden="false" customHeight="false" outlineLevel="0" collapsed="false">
      <c r="A578" s="734" t="s">
        <v>1000</v>
      </c>
      <c r="B578" s="734" t="n">
        <f aca="false">Priv!E271</f>
        <v>0</v>
      </c>
      <c r="C578" s="735" t="s">
        <v>1113</v>
      </c>
    </row>
    <row r="579" customFormat="false" ht="14.25" hidden="false" customHeight="false" outlineLevel="0" collapsed="false">
      <c r="A579" s="734" t="s">
        <v>1001</v>
      </c>
      <c r="B579" s="734" t="e">
        <f aca="false">priv!#ref!</f>
        <v>#NAME?</v>
      </c>
      <c r="C579" s="735" t="s">
        <v>1113</v>
      </c>
    </row>
    <row r="580" customFormat="false" ht="14.25" hidden="false" customHeight="false" outlineLevel="0" collapsed="false">
      <c r="A580" s="734" t="s">
        <v>1002</v>
      </c>
      <c r="B580" s="734" t="e">
        <f aca="false">priv!#ref!</f>
        <v>#NAME?</v>
      </c>
      <c r="C580" s="735" t="s">
        <v>1113</v>
      </c>
    </row>
    <row r="581" customFormat="false" ht="14.25" hidden="false" customHeight="false" outlineLevel="0" collapsed="false">
      <c r="A581" s="734" t="s">
        <v>1003</v>
      </c>
      <c r="B581" s="734" t="n">
        <f aca="false">Priv!F271</f>
        <v>0</v>
      </c>
      <c r="C581" s="735" t="s">
        <v>1113</v>
      </c>
    </row>
    <row r="582" customFormat="false" ht="14.25" hidden="false" customHeight="false" outlineLevel="0" collapsed="false">
      <c r="A582" s="734" t="s">
        <v>1004</v>
      </c>
      <c r="B582" s="734" t="n">
        <f aca="false">Priv!G271</f>
        <v>0</v>
      </c>
      <c r="C582" s="735" t="s">
        <v>1113</v>
      </c>
    </row>
    <row r="583" customFormat="false" ht="14.25" hidden="false" customHeight="false" outlineLevel="0" collapsed="false">
      <c r="A583" s="734" t="s">
        <v>1005</v>
      </c>
      <c r="B583" s="734" t="e">
        <f aca="false">priv!#ref!</f>
        <v>#NAME?</v>
      </c>
      <c r="C583" s="735" t="s">
        <v>1113</v>
      </c>
    </row>
    <row r="584" customFormat="false" ht="14.25" hidden="false" customHeight="false" outlineLevel="0" collapsed="false">
      <c r="A584" s="734" t="s">
        <v>1564</v>
      </c>
      <c r="B584" s="734" t="e">
        <f aca="false">priv!#ref!</f>
        <v>#NAME?</v>
      </c>
      <c r="C584" s="735" t="s">
        <v>1113</v>
      </c>
    </row>
    <row r="585" customFormat="false" ht="14.25" hidden="false" customHeight="false" outlineLevel="0" collapsed="false">
      <c r="A585" s="734" t="s">
        <v>1565</v>
      </c>
      <c r="B585" s="734" t="n">
        <f aca="false">Priv!H271</f>
        <v>0</v>
      </c>
      <c r="C585" s="735" t="s">
        <v>1113</v>
      </c>
    </row>
    <row r="586" customFormat="false" ht="14.25" hidden="false" customHeight="false" outlineLevel="0" collapsed="false">
      <c r="A586" s="734" t="s">
        <v>1566</v>
      </c>
      <c r="B586" s="734" t="n">
        <f aca="false">Priv!I271</f>
        <v>0</v>
      </c>
      <c r="C586" s="735" t="s">
        <v>1113</v>
      </c>
    </row>
    <row r="587" customFormat="false" ht="14.25" hidden="false" customHeight="false" outlineLevel="0" collapsed="false">
      <c r="A587" s="734" t="s">
        <v>1006</v>
      </c>
      <c r="B587" s="734" t="n">
        <f aca="false">Priv!D272</f>
        <v>0</v>
      </c>
      <c r="C587" s="735" t="s">
        <v>1113</v>
      </c>
    </row>
    <row r="588" customFormat="false" ht="14.25" hidden="false" customHeight="false" outlineLevel="0" collapsed="false">
      <c r="A588" s="734" t="s">
        <v>1007</v>
      </c>
      <c r="B588" s="734" t="n">
        <f aca="false">Priv!E272</f>
        <v>0</v>
      </c>
      <c r="C588" s="735" t="s">
        <v>1113</v>
      </c>
    </row>
    <row r="589" customFormat="false" ht="14.25" hidden="false" customHeight="false" outlineLevel="0" collapsed="false">
      <c r="A589" s="734" t="s">
        <v>1008</v>
      </c>
      <c r="B589" s="734" t="e">
        <f aca="false">priv!#ref!</f>
        <v>#NAME?</v>
      </c>
      <c r="C589" s="735" t="s">
        <v>1113</v>
      </c>
    </row>
    <row r="590" customFormat="false" ht="14.25" hidden="false" customHeight="false" outlineLevel="0" collapsed="false">
      <c r="A590" s="734" t="s">
        <v>1009</v>
      </c>
      <c r="B590" s="734" t="e">
        <f aca="false">priv!#ref!</f>
        <v>#NAME?</v>
      </c>
      <c r="C590" s="735" t="s">
        <v>1113</v>
      </c>
    </row>
    <row r="591" customFormat="false" ht="14.25" hidden="false" customHeight="false" outlineLevel="0" collapsed="false">
      <c r="A591" s="734" t="s">
        <v>1010</v>
      </c>
      <c r="B591" s="734" t="n">
        <f aca="false">Priv!F272</f>
        <v>0</v>
      </c>
      <c r="C591" s="735" t="s">
        <v>1113</v>
      </c>
    </row>
    <row r="592" customFormat="false" ht="14.25" hidden="false" customHeight="false" outlineLevel="0" collapsed="false">
      <c r="A592" s="734" t="s">
        <v>1011</v>
      </c>
      <c r="B592" s="734" t="n">
        <f aca="false">Priv!G272</f>
        <v>0</v>
      </c>
      <c r="C592" s="735" t="s">
        <v>1113</v>
      </c>
    </row>
    <row r="593" customFormat="false" ht="14.25" hidden="false" customHeight="false" outlineLevel="0" collapsed="false">
      <c r="A593" s="734" t="s">
        <v>1012</v>
      </c>
      <c r="B593" s="734" t="e">
        <f aca="false">priv!#ref!</f>
        <v>#NAME?</v>
      </c>
      <c r="C593" s="735" t="s">
        <v>1113</v>
      </c>
    </row>
    <row r="594" customFormat="false" ht="14.25" hidden="false" customHeight="false" outlineLevel="0" collapsed="false">
      <c r="A594" s="734" t="s">
        <v>1567</v>
      </c>
      <c r="B594" s="734" t="e">
        <f aca="false">priv!#ref!</f>
        <v>#NAME?</v>
      </c>
      <c r="C594" s="735" t="s">
        <v>1113</v>
      </c>
    </row>
    <row r="595" customFormat="false" ht="14.25" hidden="false" customHeight="false" outlineLevel="0" collapsed="false">
      <c r="A595" s="734" t="s">
        <v>1568</v>
      </c>
      <c r="B595" s="734" t="n">
        <f aca="false">Priv!H272</f>
        <v>0</v>
      </c>
      <c r="C595" s="735" t="s">
        <v>1113</v>
      </c>
    </row>
    <row r="596" customFormat="false" ht="14.25" hidden="false" customHeight="false" outlineLevel="0" collapsed="false">
      <c r="A596" s="734" t="s">
        <v>1569</v>
      </c>
      <c r="B596" s="734" t="n">
        <f aca="false">Priv!I272</f>
        <v>0</v>
      </c>
      <c r="C596" s="735" t="s">
        <v>1113</v>
      </c>
    </row>
    <row r="597" customFormat="false" ht="14.25" hidden="false" customHeight="false" outlineLevel="0" collapsed="false">
      <c r="A597" s="734" t="s">
        <v>1013</v>
      </c>
      <c r="B597" s="734" t="n">
        <f aca="false">Priv!D273</f>
        <v>0</v>
      </c>
      <c r="C597" s="735" t="s">
        <v>1113</v>
      </c>
    </row>
    <row r="598" customFormat="false" ht="14.25" hidden="false" customHeight="false" outlineLevel="0" collapsed="false">
      <c r="A598" s="734" t="s">
        <v>1014</v>
      </c>
      <c r="B598" s="734" t="n">
        <f aca="false">Priv!E273</f>
        <v>0</v>
      </c>
      <c r="C598" s="735" t="s">
        <v>1113</v>
      </c>
    </row>
    <row r="599" customFormat="false" ht="14.25" hidden="false" customHeight="false" outlineLevel="0" collapsed="false">
      <c r="A599" s="734" t="s">
        <v>1015</v>
      </c>
      <c r="B599" s="734" t="e">
        <f aca="false">priv!#ref!</f>
        <v>#NAME?</v>
      </c>
      <c r="C599" s="735" t="s">
        <v>1113</v>
      </c>
    </row>
    <row r="600" customFormat="false" ht="14.25" hidden="false" customHeight="false" outlineLevel="0" collapsed="false">
      <c r="A600" s="734" t="s">
        <v>1016</v>
      </c>
      <c r="B600" s="734" t="e">
        <f aca="false">priv!#ref!</f>
        <v>#NAME?</v>
      </c>
      <c r="C600" s="735" t="s">
        <v>1113</v>
      </c>
    </row>
    <row r="601" customFormat="false" ht="14.25" hidden="false" customHeight="false" outlineLevel="0" collapsed="false">
      <c r="A601" s="734" t="s">
        <v>1017</v>
      </c>
      <c r="B601" s="734" t="n">
        <f aca="false">Priv!F273</f>
        <v>0</v>
      </c>
      <c r="C601" s="735" t="s">
        <v>1113</v>
      </c>
    </row>
    <row r="602" customFormat="false" ht="14.25" hidden="false" customHeight="false" outlineLevel="0" collapsed="false">
      <c r="A602" s="734" t="s">
        <v>1018</v>
      </c>
      <c r="B602" s="734" t="n">
        <f aca="false">Priv!G273</f>
        <v>0</v>
      </c>
      <c r="C602" s="735" t="s">
        <v>1113</v>
      </c>
    </row>
    <row r="603" customFormat="false" ht="14.25" hidden="false" customHeight="false" outlineLevel="0" collapsed="false">
      <c r="A603" s="734" t="s">
        <v>1019</v>
      </c>
      <c r="B603" s="734" t="e">
        <f aca="false">priv!#ref!</f>
        <v>#NAME?</v>
      </c>
      <c r="C603" s="735" t="s">
        <v>1113</v>
      </c>
    </row>
    <row r="604" customFormat="false" ht="14.25" hidden="false" customHeight="false" outlineLevel="0" collapsed="false">
      <c r="A604" s="734" t="s">
        <v>1570</v>
      </c>
      <c r="B604" s="734" t="e">
        <f aca="false">priv!#ref!</f>
        <v>#NAME?</v>
      </c>
      <c r="C604" s="735" t="s">
        <v>1113</v>
      </c>
    </row>
    <row r="605" customFormat="false" ht="14.25" hidden="false" customHeight="false" outlineLevel="0" collapsed="false">
      <c r="A605" s="734" t="s">
        <v>1571</v>
      </c>
      <c r="B605" s="734" t="n">
        <f aca="false">Priv!H273</f>
        <v>0</v>
      </c>
      <c r="C605" s="735" t="s">
        <v>1113</v>
      </c>
    </row>
    <row r="606" customFormat="false" ht="14.25" hidden="false" customHeight="false" outlineLevel="0" collapsed="false">
      <c r="A606" s="734" t="s">
        <v>1572</v>
      </c>
      <c r="B606" s="734" t="n">
        <f aca="false">Priv!I273</f>
        <v>0</v>
      </c>
      <c r="C606" s="735" t="s">
        <v>1113</v>
      </c>
    </row>
    <row r="607" customFormat="false" ht="14.25" hidden="false" customHeight="false" outlineLevel="0" collapsed="false">
      <c r="A607" s="734" t="s">
        <v>1020</v>
      </c>
      <c r="B607" s="734" t="n">
        <f aca="false">Priv!D274</f>
        <v>0</v>
      </c>
      <c r="C607" s="735" t="s">
        <v>1113</v>
      </c>
    </row>
    <row r="608" customFormat="false" ht="14.25" hidden="false" customHeight="false" outlineLevel="0" collapsed="false">
      <c r="A608" s="734" t="s">
        <v>1021</v>
      </c>
      <c r="B608" s="734" t="n">
        <f aca="false">Priv!E274</f>
        <v>0</v>
      </c>
      <c r="C608" s="735" t="s">
        <v>1113</v>
      </c>
    </row>
    <row r="609" customFormat="false" ht="14.25" hidden="false" customHeight="false" outlineLevel="0" collapsed="false">
      <c r="A609" s="734" t="s">
        <v>1022</v>
      </c>
      <c r="B609" s="734" t="e">
        <f aca="false">priv!#ref!</f>
        <v>#NAME?</v>
      </c>
      <c r="C609" s="735" t="s">
        <v>1113</v>
      </c>
    </row>
    <row r="610" customFormat="false" ht="14.25" hidden="false" customHeight="false" outlineLevel="0" collapsed="false">
      <c r="A610" s="734" t="s">
        <v>1023</v>
      </c>
      <c r="B610" s="734" t="e">
        <f aca="false">priv!#ref!</f>
        <v>#NAME?</v>
      </c>
      <c r="C610" s="735" t="s">
        <v>1113</v>
      </c>
    </row>
    <row r="611" customFormat="false" ht="14.25" hidden="false" customHeight="false" outlineLevel="0" collapsed="false">
      <c r="A611" s="734" t="s">
        <v>1024</v>
      </c>
      <c r="B611" s="734" t="n">
        <f aca="false">Priv!F274</f>
        <v>0</v>
      </c>
      <c r="C611" s="735" t="s">
        <v>1113</v>
      </c>
    </row>
    <row r="612" customFormat="false" ht="14.25" hidden="false" customHeight="false" outlineLevel="0" collapsed="false">
      <c r="A612" s="734" t="s">
        <v>1025</v>
      </c>
      <c r="B612" s="734" t="n">
        <f aca="false">Priv!G274</f>
        <v>0</v>
      </c>
      <c r="C612" s="735" t="s">
        <v>1113</v>
      </c>
    </row>
    <row r="613" customFormat="false" ht="14.25" hidden="false" customHeight="false" outlineLevel="0" collapsed="false">
      <c r="A613" s="734" t="s">
        <v>1026</v>
      </c>
      <c r="B613" s="734" t="e">
        <f aca="false">priv!#ref!</f>
        <v>#NAME?</v>
      </c>
      <c r="C613" s="735" t="s">
        <v>1113</v>
      </c>
    </row>
    <row r="614" customFormat="false" ht="14.25" hidden="false" customHeight="false" outlineLevel="0" collapsed="false">
      <c r="A614" s="734" t="s">
        <v>1573</v>
      </c>
      <c r="B614" s="734" t="e">
        <f aca="false">priv!#ref!</f>
        <v>#NAME?</v>
      </c>
      <c r="C614" s="735" t="s">
        <v>1113</v>
      </c>
    </row>
    <row r="615" customFormat="false" ht="14.25" hidden="false" customHeight="false" outlineLevel="0" collapsed="false">
      <c r="A615" s="734" t="s">
        <v>1574</v>
      </c>
      <c r="B615" s="734" t="n">
        <f aca="false">Priv!H274</f>
        <v>0</v>
      </c>
      <c r="C615" s="735" t="s">
        <v>1113</v>
      </c>
    </row>
    <row r="616" customFormat="false" ht="14.25" hidden="false" customHeight="false" outlineLevel="0" collapsed="false">
      <c r="A616" s="734" t="s">
        <v>1575</v>
      </c>
      <c r="B616" s="734" t="n">
        <f aca="false">Priv!I274</f>
        <v>0</v>
      </c>
      <c r="C616" s="735" t="s">
        <v>1113</v>
      </c>
    </row>
    <row r="617" customFormat="false" ht="14.25" hidden="false" customHeight="false" outlineLevel="0" collapsed="false">
      <c r="A617" s="734" t="s">
        <v>1027</v>
      </c>
      <c r="B617" s="734" t="n">
        <f aca="false">Priv!D275</f>
        <v>0</v>
      </c>
      <c r="C617" s="735" t="s">
        <v>1113</v>
      </c>
    </row>
    <row r="618" customFormat="false" ht="14.25" hidden="false" customHeight="false" outlineLevel="0" collapsed="false">
      <c r="A618" s="734" t="s">
        <v>1028</v>
      </c>
      <c r="B618" s="734" t="n">
        <f aca="false">Priv!E275</f>
        <v>0</v>
      </c>
      <c r="C618" s="735" t="s">
        <v>1113</v>
      </c>
    </row>
    <row r="619" customFormat="false" ht="14.25" hidden="false" customHeight="false" outlineLevel="0" collapsed="false">
      <c r="A619" s="734" t="s">
        <v>1029</v>
      </c>
      <c r="B619" s="734" t="e">
        <f aca="false">priv!#ref!</f>
        <v>#NAME?</v>
      </c>
      <c r="C619" s="735" t="s">
        <v>1113</v>
      </c>
    </row>
    <row r="620" customFormat="false" ht="14.25" hidden="false" customHeight="false" outlineLevel="0" collapsed="false">
      <c r="A620" s="734" t="s">
        <v>1030</v>
      </c>
      <c r="B620" s="734" t="e">
        <f aca="false">priv!#ref!</f>
        <v>#NAME?</v>
      </c>
      <c r="C620" s="735" t="s">
        <v>1113</v>
      </c>
    </row>
    <row r="621" customFormat="false" ht="14.25" hidden="false" customHeight="false" outlineLevel="0" collapsed="false">
      <c r="A621" s="734" t="s">
        <v>1031</v>
      </c>
      <c r="B621" s="734" t="n">
        <f aca="false">Priv!F275</f>
        <v>0</v>
      </c>
      <c r="C621" s="735" t="s">
        <v>1113</v>
      </c>
    </row>
    <row r="622" customFormat="false" ht="14.25" hidden="false" customHeight="false" outlineLevel="0" collapsed="false">
      <c r="A622" s="734" t="s">
        <v>1032</v>
      </c>
      <c r="B622" s="734" t="n">
        <f aca="false">Priv!G275</f>
        <v>0</v>
      </c>
      <c r="C622" s="735" t="s">
        <v>1113</v>
      </c>
    </row>
    <row r="623" customFormat="false" ht="14.25" hidden="false" customHeight="false" outlineLevel="0" collapsed="false">
      <c r="A623" s="734" t="s">
        <v>1033</v>
      </c>
      <c r="B623" s="734" t="e">
        <f aca="false">priv!#ref!</f>
        <v>#NAME?</v>
      </c>
      <c r="C623" s="735" t="s">
        <v>1113</v>
      </c>
    </row>
    <row r="624" customFormat="false" ht="14.25" hidden="false" customHeight="false" outlineLevel="0" collapsed="false">
      <c r="A624" s="734" t="s">
        <v>1576</v>
      </c>
      <c r="B624" s="734" t="e">
        <f aca="false">priv!#ref!</f>
        <v>#NAME?</v>
      </c>
      <c r="C624" s="735" t="s">
        <v>1113</v>
      </c>
    </row>
    <row r="625" customFormat="false" ht="14.25" hidden="false" customHeight="false" outlineLevel="0" collapsed="false">
      <c r="A625" s="734" t="s">
        <v>1577</v>
      </c>
      <c r="B625" s="734" t="n">
        <f aca="false">Priv!H275</f>
        <v>0</v>
      </c>
      <c r="C625" s="735" t="s">
        <v>1113</v>
      </c>
    </row>
    <row r="626" customFormat="false" ht="14.25" hidden="false" customHeight="false" outlineLevel="0" collapsed="false">
      <c r="A626" s="734" t="s">
        <v>1578</v>
      </c>
      <c r="B626" s="734" t="n">
        <f aca="false">Priv!I275</f>
        <v>0</v>
      </c>
      <c r="C626" s="735" t="s">
        <v>1113</v>
      </c>
    </row>
    <row r="627" customFormat="false" ht="14.25" hidden="false" customHeight="false" outlineLevel="0" collapsed="false">
      <c r="A627" s="734" t="s">
        <v>1034</v>
      </c>
      <c r="B627" s="734" t="n">
        <f aca="false">Priv!D276</f>
        <v>0</v>
      </c>
      <c r="C627" s="735" t="s">
        <v>1113</v>
      </c>
    </row>
    <row r="628" customFormat="false" ht="14.25" hidden="false" customHeight="false" outlineLevel="0" collapsed="false">
      <c r="A628" s="734" t="s">
        <v>1035</v>
      </c>
      <c r="B628" s="734" t="n">
        <f aca="false">Priv!E276</f>
        <v>0</v>
      </c>
      <c r="C628" s="735" t="s">
        <v>1113</v>
      </c>
    </row>
    <row r="629" customFormat="false" ht="14.25" hidden="false" customHeight="false" outlineLevel="0" collapsed="false">
      <c r="A629" s="734" t="s">
        <v>1036</v>
      </c>
      <c r="B629" s="734" t="e">
        <f aca="false">priv!#ref!</f>
        <v>#NAME?</v>
      </c>
      <c r="C629" s="735" t="s">
        <v>1113</v>
      </c>
    </row>
    <row r="630" customFormat="false" ht="14.25" hidden="false" customHeight="false" outlineLevel="0" collapsed="false">
      <c r="A630" s="734" t="s">
        <v>1037</v>
      </c>
      <c r="B630" s="734" t="e">
        <f aca="false">priv!#ref!</f>
        <v>#NAME?</v>
      </c>
      <c r="C630" s="735" t="s">
        <v>1113</v>
      </c>
    </row>
    <row r="631" customFormat="false" ht="14.25" hidden="false" customHeight="false" outlineLevel="0" collapsed="false">
      <c r="A631" s="734" t="s">
        <v>1038</v>
      </c>
      <c r="B631" s="734" t="n">
        <f aca="false">Priv!F276</f>
        <v>0</v>
      </c>
      <c r="C631" s="735" t="s">
        <v>1113</v>
      </c>
    </row>
    <row r="632" customFormat="false" ht="14.25" hidden="false" customHeight="false" outlineLevel="0" collapsed="false">
      <c r="A632" s="734" t="s">
        <v>1039</v>
      </c>
      <c r="B632" s="734" t="n">
        <f aca="false">Priv!G276</f>
        <v>0</v>
      </c>
      <c r="C632" s="735" t="s">
        <v>1113</v>
      </c>
    </row>
    <row r="633" customFormat="false" ht="14.25" hidden="false" customHeight="false" outlineLevel="0" collapsed="false">
      <c r="A633" s="734" t="s">
        <v>1040</v>
      </c>
      <c r="B633" s="734" t="e">
        <f aca="false">priv!#ref!</f>
        <v>#NAME?</v>
      </c>
      <c r="C633" s="735" t="s">
        <v>1113</v>
      </c>
    </row>
    <row r="634" customFormat="false" ht="14.25" hidden="false" customHeight="false" outlineLevel="0" collapsed="false">
      <c r="A634" s="734" t="s">
        <v>1579</v>
      </c>
      <c r="B634" s="734" t="e">
        <f aca="false">priv!#ref!</f>
        <v>#NAME?</v>
      </c>
      <c r="C634" s="735" t="s">
        <v>1113</v>
      </c>
    </row>
    <row r="635" customFormat="false" ht="14.25" hidden="false" customHeight="false" outlineLevel="0" collapsed="false">
      <c r="A635" s="734" t="s">
        <v>1580</v>
      </c>
      <c r="B635" s="734" t="n">
        <f aca="false">Priv!H276</f>
        <v>0</v>
      </c>
      <c r="C635" s="735" t="s">
        <v>1113</v>
      </c>
    </row>
    <row r="636" customFormat="false" ht="14.25" hidden="false" customHeight="false" outlineLevel="0" collapsed="false">
      <c r="A636" s="734" t="s">
        <v>1581</v>
      </c>
      <c r="B636" s="734" t="n">
        <f aca="false">Priv!I276</f>
        <v>0</v>
      </c>
      <c r="C636" s="735" t="s">
        <v>1113</v>
      </c>
    </row>
    <row r="637" customFormat="false" ht="14.25" hidden="false" customHeight="false" outlineLevel="0" collapsed="false">
      <c r="A637" s="734" t="s">
        <v>1582</v>
      </c>
      <c r="B637" s="734" t="n">
        <f aca="false">Priv!D277</f>
        <v>0</v>
      </c>
      <c r="C637" s="735" t="s">
        <v>1113</v>
      </c>
    </row>
    <row r="638" customFormat="false" ht="14.25" hidden="false" customHeight="false" outlineLevel="0" collapsed="false">
      <c r="A638" s="734" t="s">
        <v>1583</v>
      </c>
      <c r="B638" s="734" t="n">
        <f aca="false">Priv!E277</f>
        <v>0</v>
      </c>
      <c r="C638" s="735" t="s">
        <v>1113</v>
      </c>
    </row>
    <row r="639" customFormat="false" ht="14.25" hidden="false" customHeight="false" outlineLevel="0" collapsed="false">
      <c r="A639" s="734" t="s">
        <v>1584</v>
      </c>
      <c r="B639" s="734" t="e">
        <f aca="false">priv!#ref!</f>
        <v>#NAME?</v>
      </c>
      <c r="C639" s="735" t="s">
        <v>1113</v>
      </c>
    </row>
    <row r="640" customFormat="false" ht="14.25" hidden="false" customHeight="false" outlineLevel="0" collapsed="false">
      <c r="A640" s="734" t="s">
        <v>1585</v>
      </c>
      <c r="B640" s="734" t="e">
        <f aca="false">priv!#ref!</f>
        <v>#NAME?</v>
      </c>
      <c r="C640" s="735" t="s">
        <v>1113</v>
      </c>
    </row>
    <row r="641" customFormat="false" ht="14.25" hidden="false" customHeight="false" outlineLevel="0" collapsed="false">
      <c r="A641" s="734" t="s">
        <v>1586</v>
      </c>
      <c r="B641" s="734" t="n">
        <f aca="false">Priv!F277</f>
        <v>0</v>
      </c>
      <c r="C641" s="735" t="s">
        <v>1113</v>
      </c>
    </row>
    <row r="642" customFormat="false" ht="14.25" hidden="false" customHeight="false" outlineLevel="0" collapsed="false">
      <c r="A642" s="734" t="s">
        <v>1587</v>
      </c>
      <c r="B642" s="734" t="n">
        <f aca="false">Priv!G277</f>
        <v>0</v>
      </c>
      <c r="C642" s="735" t="s">
        <v>1113</v>
      </c>
    </row>
    <row r="643" customFormat="false" ht="14.25" hidden="false" customHeight="false" outlineLevel="0" collapsed="false">
      <c r="A643" s="734" t="s">
        <v>1588</v>
      </c>
      <c r="B643" s="734" t="e">
        <f aca="false">priv!#ref!</f>
        <v>#NAME?</v>
      </c>
      <c r="C643" s="735" t="s">
        <v>1113</v>
      </c>
    </row>
    <row r="644" customFormat="false" ht="14.25" hidden="false" customHeight="false" outlineLevel="0" collapsed="false">
      <c r="A644" s="734" t="s">
        <v>1589</v>
      </c>
      <c r="B644" s="734" t="e">
        <f aca="false">priv!#ref!</f>
        <v>#NAME?</v>
      </c>
      <c r="C644" s="735" t="s">
        <v>1113</v>
      </c>
    </row>
    <row r="645" customFormat="false" ht="14.25" hidden="false" customHeight="false" outlineLevel="0" collapsed="false">
      <c r="A645" s="734" t="s">
        <v>1590</v>
      </c>
      <c r="B645" s="734" t="n">
        <f aca="false">Priv!H277</f>
        <v>0</v>
      </c>
      <c r="C645" s="735" t="s">
        <v>1113</v>
      </c>
    </row>
    <row r="646" customFormat="false" ht="14.25" hidden="false" customHeight="false" outlineLevel="0" collapsed="false">
      <c r="A646" s="734" t="s">
        <v>1591</v>
      </c>
      <c r="B646" s="734" t="n">
        <f aca="false">Priv!I277</f>
        <v>0</v>
      </c>
      <c r="C646" s="735" t="s">
        <v>1113</v>
      </c>
    </row>
    <row r="647" customFormat="false" ht="14.25" hidden="false" customHeight="false" outlineLevel="0" collapsed="false">
      <c r="A647" s="734" t="s">
        <v>1041</v>
      </c>
      <c r="B647" s="734" t="n">
        <f aca="false">Priv!B283</f>
        <v>0</v>
      </c>
      <c r="C647" s="735" t="n">
        <v>9</v>
      </c>
    </row>
    <row r="648" customFormat="false" ht="14.25" hidden="false" customHeight="false" outlineLevel="0" collapsed="false">
      <c r="A648" s="734" t="s">
        <v>1043</v>
      </c>
      <c r="B648" s="734" t="n">
        <f aca="false">Priv!D283</f>
        <v>0</v>
      </c>
      <c r="C648" s="735" t="n">
        <v>9</v>
      </c>
    </row>
    <row r="649" customFormat="false" ht="14.25" hidden="false" customHeight="false" outlineLevel="0" collapsed="false">
      <c r="A649" s="734" t="s">
        <v>1044</v>
      </c>
      <c r="B649" s="734" t="n">
        <f aca="false">Priv!F283</f>
        <v>0</v>
      </c>
      <c r="C649" s="735" t="n">
        <v>9</v>
      </c>
    </row>
    <row r="650" customFormat="false" ht="14.25" hidden="false" customHeight="false" outlineLevel="0" collapsed="false">
      <c r="A650" s="734" t="s">
        <v>1045</v>
      </c>
      <c r="B650" s="734" t="n">
        <f aca="false">Priv!H283</f>
        <v>0</v>
      </c>
      <c r="C650" s="735" t="n">
        <v>9</v>
      </c>
    </row>
    <row r="651" customFormat="false" ht="14.25" hidden="false" customHeight="false" outlineLevel="0" collapsed="false">
      <c r="A651" s="734" t="s">
        <v>1112</v>
      </c>
      <c r="B651" s="734" t="n">
        <f aca="false">Priv!G292</f>
        <v>0</v>
      </c>
      <c r="C651" s="735" t="s">
        <v>1195</v>
      </c>
    </row>
    <row r="652" customFormat="false" ht="14.25" hidden="false" customHeight="false" outlineLevel="0" collapsed="false">
      <c r="A652" s="736" t="s">
        <v>1123</v>
      </c>
      <c r="B652" s="736" t="n">
        <f aca="false">Priv!G293</f>
        <v>0</v>
      </c>
      <c r="C652" s="737" t="s">
        <v>1195</v>
      </c>
    </row>
    <row r="653" customFormat="false" ht="14.25" hidden="false" customHeight="false" outlineLevel="0" collapsed="false">
      <c r="A653" s="736" t="s">
        <v>1183</v>
      </c>
      <c r="B653" s="736" t="n">
        <f aca="false">Priv!G302</f>
        <v>0</v>
      </c>
      <c r="C653" s="737" t="s">
        <v>1200</v>
      </c>
    </row>
    <row r="654" customFormat="false" ht="14.25" hidden="false" customHeight="false" outlineLevel="0" collapsed="false">
      <c r="A654" s="736" t="s">
        <v>1185</v>
      </c>
      <c r="B654" s="736" t="n">
        <f aca="false">Priv!H302</f>
        <v>0</v>
      </c>
      <c r="C654" s="737" t="s">
        <v>1200</v>
      </c>
    </row>
    <row r="655" customFormat="false" ht="14.25" hidden="false" customHeight="false" outlineLevel="0" collapsed="false">
      <c r="A655" s="736" t="s">
        <v>1186</v>
      </c>
      <c r="B655" s="736" t="n">
        <f aca="false">Priv!I302</f>
        <v>0</v>
      </c>
      <c r="C655" s="737" t="s">
        <v>1200</v>
      </c>
    </row>
    <row r="656" customFormat="false" ht="14.25" hidden="false" customHeight="false" outlineLevel="0" collapsed="false">
      <c r="A656" s="736" t="s">
        <v>1592</v>
      </c>
      <c r="B656" s="736" t="n">
        <f aca="false">Priv!K302</f>
        <v>0</v>
      </c>
      <c r="C656" s="737" t="s">
        <v>1200</v>
      </c>
    </row>
    <row r="657" customFormat="false" ht="14.25" hidden="false" customHeight="false" outlineLevel="0" collapsed="false">
      <c r="A657" s="736" t="s">
        <v>1593</v>
      </c>
      <c r="B657" s="736" t="n">
        <f aca="false">Priv!G303</f>
        <v>0</v>
      </c>
      <c r="C657" s="737" t="s">
        <v>1200</v>
      </c>
    </row>
    <row r="658" customFormat="false" ht="14.25" hidden="false" customHeight="false" outlineLevel="0" collapsed="false">
      <c r="A658" s="736" t="s">
        <v>1594</v>
      </c>
      <c r="B658" s="736" t="n">
        <f aca="false">Priv!H303</f>
        <v>0</v>
      </c>
      <c r="C658" s="737" t="s">
        <v>1200</v>
      </c>
    </row>
    <row r="659" customFormat="false" ht="14.25" hidden="false" customHeight="false" outlineLevel="0" collapsed="false">
      <c r="A659" s="736" t="s">
        <v>1595</v>
      </c>
      <c r="B659" s="736" t="n">
        <f aca="false">Priv!I303</f>
        <v>0</v>
      </c>
      <c r="C659" s="737" t="s">
        <v>1200</v>
      </c>
    </row>
    <row r="660" customFormat="false" ht="14.25" hidden="false" customHeight="false" outlineLevel="0" collapsed="false">
      <c r="A660" s="736" t="s">
        <v>1596</v>
      </c>
      <c r="B660" s="736" t="n">
        <f aca="false">Priv!K303</f>
        <v>0</v>
      </c>
      <c r="C660" s="737" t="s">
        <v>1200</v>
      </c>
    </row>
    <row r="661" customFormat="false" ht="14.25" hidden="false" customHeight="false" outlineLevel="0" collapsed="false">
      <c r="A661" s="734" t="s">
        <v>1187</v>
      </c>
      <c r="B661" s="734" t="n">
        <f aca="false">Priv!K316</f>
        <v>0</v>
      </c>
      <c r="C661" s="735" t="s">
        <v>1202</v>
      </c>
    </row>
    <row r="662" customFormat="false" ht="14.25" hidden="false" customHeight="false" outlineLevel="0" collapsed="false">
      <c r="A662" s="734" t="s">
        <v>1597</v>
      </c>
      <c r="B662" s="734" t="n">
        <f aca="false">Priv!K317</f>
        <v>0</v>
      </c>
      <c r="C662" s="735" t="s">
        <v>1202</v>
      </c>
    </row>
    <row r="663" customFormat="false" ht="14.25" hidden="false" customHeight="false" outlineLevel="0" collapsed="false">
      <c r="A663" s="736" t="s">
        <v>1194</v>
      </c>
      <c r="B663" s="736" t="n">
        <f aca="false">Priv!K320</f>
        <v>0</v>
      </c>
      <c r="C663" s="737" t="s">
        <v>1208</v>
      </c>
    </row>
    <row r="664" customFormat="false" ht="14.25" hidden="false" customHeight="false" outlineLevel="0" collapsed="false">
      <c r="A664" s="734" t="s">
        <v>1199</v>
      </c>
      <c r="B664" s="734" t="n">
        <f aca="false">Priv!J331</f>
        <v>0</v>
      </c>
      <c r="C664" s="735" t="s">
        <v>1598</v>
      </c>
    </row>
    <row r="665" customFormat="false" ht="14.25" hidden="false" customHeight="false" outlineLevel="0" collapsed="false">
      <c r="A665" s="734" t="s">
        <v>1599</v>
      </c>
      <c r="B665" s="734" t="n">
        <f aca="false">Priv!J332</f>
        <v>0</v>
      </c>
      <c r="C665" s="735" t="s">
        <v>1598</v>
      </c>
    </row>
    <row r="666" customFormat="false" ht="14.25" hidden="false" customHeight="false" outlineLevel="0" collapsed="false">
      <c r="A666" s="734" t="s">
        <v>1600</v>
      </c>
      <c r="B666" s="734" t="n">
        <f aca="false">Priv!J333</f>
        <v>0</v>
      </c>
      <c r="C666" s="735" t="s">
        <v>1598</v>
      </c>
    </row>
    <row r="667" customFormat="false" ht="14.25" hidden="false" customHeight="false" outlineLevel="0" collapsed="false">
      <c r="A667" s="734" t="s">
        <v>1601</v>
      </c>
      <c r="B667" s="734" t="n">
        <f aca="false">Priv!G334</f>
        <v>0</v>
      </c>
      <c r="C667" s="735" t="s">
        <v>1598</v>
      </c>
    </row>
    <row r="668" customFormat="false" ht="14.25" hidden="false" customHeight="false" outlineLevel="0" collapsed="false">
      <c r="A668" s="734" t="s">
        <v>1602</v>
      </c>
      <c r="B668" s="734" t="n">
        <f aca="false">Priv!G335</f>
        <v>0</v>
      </c>
      <c r="C668" s="735" t="s">
        <v>1598</v>
      </c>
    </row>
    <row r="669" customFormat="false" ht="14.25" hidden="false" customHeight="false" outlineLevel="0" collapsed="false">
      <c r="A669" s="736" t="s">
        <v>1201</v>
      </c>
      <c r="B669" s="736" t="n">
        <f aca="false">Priv!G340</f>
        <v>0</v>
      </c>
      <c r="C669" s="737" t="s">
        <v>1603</v>
      </c>
    </row>
    <row r="670" customFormat="false" ht="14.25" hidden="false" customHeight="false" outlineLevel="0" collapsed="false">
      <c r="A670" s="736" t="s">
        <v>1203</v>
      </c>
      <c r="B670" s="736" t="n">
        <f aca="false">Priv!G341</f>
        <v>0</v>
      </c>
      <c r="C670" s="737" t="s">
        <v>1603</v>
      </c>
    </row>
    <row r="671" customFormat="false" ht="14.25" hidden="false" customHeight="false" outlineLevel="0" collapsed="false">
      <c r="A671" s="736" t="s">
        <v>1204</v>
      </c>
      <c r="B671" s="736" t="n">
        <f aca="false">Priv!G342</f>
        <v>0</v>
      </c>
      <c r="C671" s="737" t="s">
        <v>1603</v>
      </c>
    </row>
    <row r="672" customFormat="false" ht="14.25" hidden="false" customHeight="false" outlineLevel="0" collapsed="false">
      <c r="A672" s="736" t="s">
        <v>1205</v>
      </c>
      <c r="B672" s="736" t="n">
        <f aca="false">Priv!G343</f>
        <v>0</v>
      </c>
      <c r="C672" s="737" t="s">
        <v>1603</v>
      </c>
    </row>
    <row r="673" customFormat="false" ht="14.25" hidden="false" customHeight="false" outlineLevel="0" collapsed="false">
      <c r="A673" s="736" t="s">
        <v>1206</v>
      </c>
      <c r="B673" s="736" t="n">
        <f aca="false">Priv!G344</f>
        <v>0</v>
      </c>
      <c r="C673" s="737" t="s">
        <v>1603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3aa663b-4b8a-469d-b5ee-90eaa0e315d8" xsi:nil="true"/>
    <lcf76f155ced4ddcb4097134ff3c332f xmlns="98a1368e-d07b-4654-8962-d7870efb807b">
      <Terms xmlns="http://schemas.microsoft.com/office/infopath/2007/PartnerControls"/>
    </lcf76f155ced4ddcb4097134ff3c332f>
    <_dlc_DocId xmlns="83aa663b-4b8a-469d-b5ee-90eaa0e315d8">4RWRPJAYJ72E-25897711-209174</_dlc_DocId>
    <_dlc_DocIdUrl xmlns="83aa663b-4b8a-469d-b5ee-90eaa0e315d8">
      <Url>https://056gc.sharepoint.com/sites/OCIO-DDP-_BDPI-SDPN/_layouts/15/DocIdRedir.aspx?ID=4RWRPJAYJ72E-25897711-209174</Url>
      <Description>4RWRPJAYJ72E-25897711-209174</Description>
    </_dlc_DocIdUrl>
    <_Flow_SignoffStatus xmlns="98a1368e-d07b-4654-8962-d7870efb807b" xsi:nil="true"/>
    <Status xmlns="98a1368e-d07b-4654-8962-d7870efb807b" xsi:nil="true"/>
    <MediaLengthInSeconds xmlns="98a1368e-d07b-4654-8962-d7870efb807b" xsi:nil="true"/>
    <SharedWithUsers xmlns="83aa663b-4b8a-469d-b5ee-90eaa0e315d8">
      <UserInfo>
        <DisplayName>Vincelette, Augustin</DisplayName>
        <AccountId>846</AccountId>
        <AccountType/>
      </UserInfo>
    </SharedWithUsers>
    <_dlc_DocIdPersistId xmlns="83aa663b-4b8a-469d-b5ee-90eaa0e315d8">false</_dlc_DocIdPersistId>
    <IconOverlay xmlns="http://schemas.microsoft.com/sharepoint/v4" xsi:nil="true"/>
    <Frenchversion xmlns="98a1368e-d07b-4654-8962-d7870efb807b">false</Frenchversion>
    <Infosourceduedate xmlns="98a1368e-d07b-4654-8962-d7870efb807b" xsi:nil="true"/>
    <DatePublished xmlns="98a1368e-d07b-4654-8962-d7870efb807b" xsi:nil="true"/>
    <Document_x0020_Type xmlns="98a1368e-d07b-4654-8962-d7870efb807b" xsi:nil="true"/>
    <Consult xmlns="98a1368e-d07b-4654-8962-d7870efb807b" xsi:nil="true"/>
    <IDGReviewTags xmlns="98a1368e-d07b-4654-8962-d7870efb807b" xsi:nil="true"/>
    <Language xmlns="98a1368e-d07b-4654-8962-d7870efb807b" xsi:nil="true"/>
    <MetaData1 xmlns="98a1368e-d07b-4654-8962-d7870efb807b">Forms</MetaData1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C2A7348FF32FD4983FEBC65875BD8E7" ma:contentTypeVersion="32" ma:contentTypeDescription="Create a new document." ma:contentTypeScope="" ma:versionID="fde51bdf98357f6a5356e8cffbacfc7c">
  <xsd:schema xmlns:xsd="http://www.w3.org/2001/XMLSchema" xmlns:xs="http://www.w3.org/2001/XMLSchema" xmlns:p="http://schemas.microsoft.com/office/2006/metadata/properties" xmlns:ns1="http://schemas.microsoft.com/sharepoint/v3" xmlns:ns2="83aa663b-4b8a-469d-b5ee-90eaa0e315d8" xmlns:ns3="98a1368e-d07b-4654-8962-d7870efb807b" xmlns:ns4="http://schemas.microsoft.com/sharepoint/v4" targetNamespace="http://schemas.microsoft.com/office/2006/metadata/properties" ma:root="true" ma:fieldsID="756fd53fbe337007bb3be312aac9fe5b" ns1:_="" ns2:_="" ns3:_="" ns4:_="">
    <xsd:import namespace="http://schemas.microsoft.com/sharepoint/v3"/>
    <xsd:import namespace="83aa663b-4b8a-469d-b5ee-90eaa0e315d8"/>
    <xsd:import namespace="98a1368e-d07b-4654-8962-d7870efb807b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Location" minOccurs="0"/>
                <xsd:element ref="ns3:_Flow_SignoffStatus" minOccurs="0"/>
                <xsd:element ref="ns3:Status" minOccurs="0"/>
                <xsd:element ref="ns4:IconOverlay" minOccurs="0"/>
                <xsd:element ref="ns1:_vti_ItemDeclaredRecord" minOccurs="0"/>
                <xsd:element ref="ns1:_vti_ItemHoldRecordStatus" minOccurs="0"/>
                <xsd:element ref="ns3:Frenchversion" minOccurs="0"/>
                <xsd:element ref="ns3:Infosourceduedate" minOccurs="0"/>
                <xsd:element ref="ns3:DatePublished" minOccurs="0"/>
                <xsd:element ref="ns3:MediaServiceBillingMetadata" minOccurs="0"/>
                <xsd:element ref="ns3:Consult" minOccurs="0"/>
                <xsd:element ref="ns3:Document_x0020_Type" minOccurs="0"/>
                <xsd:element ref="ns3:IDGReviewTags" minOccurs="0"/>
                <xsd:element ref="ns3:Language" minOccurs="0"/>
                <xsd:element ref="ns3:MetaData1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vti_ItemDeclaredRecord" ma:index="29" nillable="true" ma:displayName="Declared Record" ma:hidden="true" ma:internalName="_vti_ItemDeclaredRecord" ma:readOnly="true">
      <xsd:simpleType>
        <xsd:restriction base="dms:DateTime"/>
      </xsd:simpleType>
    </xsd:element>
    <xsd:element name="_vti_ItemHoldRecordStatus" ma:index="30" nillable="true" ma:displayName="Hold and Record Status" ma:decimals="0" ma:description="" ma:hidden="true" ma:indexed="true" ma:internalName="_vti_ItemHoldRecordStatu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aa663b-4b8a-469d-b5ee-90eaa0e315d8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017eb2-65c3-4c7c-bb0f-e7e8039ce12a}" ma:internalName="TaxCatchAll" ma:showField="CatchAllData" ma:web="83aa663b-4b8a-469d-b5ee-90eaa0e315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a1368e-d07b-4654-8962-d7870efb80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bf3204f-aabd-4e28-9088-5d29a8bcebf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_Flow_SignoffStatus" ma:index="26" nillable="true" ma:displayName="Sign-off status" ma:internalName="Sign_x002d_off_x0020_status">
      <xsd:simpleType>
        <xsd:restriction base="dms:Text"/>
      </xsd:simpleType>
    </xsd:element>
    <xsd:element name="Status" ma:index="27" nillable="true" ma:displayName="Status" ma:format="Dropdown" ma:internalName="Status">
      <xsd:simpleType>
        <xsd:restriction base="dms:Choice">
          <xsd:enumeration value="Working Copy"/>
          <xsd:enumeration value="Final"/>
          <xsd:enumeration value="Draft"/>
        </xsd:restriction>
      </xsd:simpleType>
    </xsd:element>
    <xsd:element name="Frenchversion" ma:index="31" nillable="true" ma:displayName="French version" ma:default="0" ma:format="Dropdown" ma:internalName="Frenchversion">
      <xsd:simpleType>
        <xsd:restriction base="dms:Boolean"/>
      </xsd:simpleType>
    </xsd:element>
    <xsd:element name="Infosourceduedate" ma:index="32" nillable="true" ma:displayName="Info source due date" ma:description="For documents discussing or following up on Info Source updates that were due on a particular date" ma:format="Dropdown" ma:internalName="Infosourceduedate">
      <xsd:simpleType>
        <xsd:restriction base="dms:Text">
          <xsd:maxLength value="255"/>
        </xsd:restriction>
      </xsd:simpleType>
    </xsd:element>
    <xsd:element name="DatePublished" ma:index="33" nillable="true" ma:displayName="Date Published" ma:description="The date upon which the content was originally published on GCconnex" ma:format="DateOnly" ma:indexed="true" ma:internalName="DatePublished">
      <xsd:simpleType>
        <xsd:restriction base="dms:DateTime"/>
      </xsd:simpleType>
    </xsd:element>
    <xsd:element name="MediaServiceBillingMetadata" ma:index="34" nillable="true" ma:displayName="MediaServiceBillingMetadata" ma:hidden="true" ma:internalName="MediaServiceBillingMetadata" ma:readOnly="true">
      <xsd:simpleType>
        <xsd:restriction base="dms:Note"/>
      </xsd:simpleType>
    </xsd:element>
    <xsd:element name="Consult" ma:index="35" nillable="true" ma:displayName="Consult" ma:description="Identify whose comments are included in the draft" ma:format="Dropdown" ma:indexed="true" ma:internalName="Consult">
      <xsd:simpleType>
        <xsd:restriction base="dms:Text">
          <xsd:maxLength value="255"/>
        </xsd:restriction>
      </xsd:simpleType>
    </xsd:element>
    <xsd:element name="Document_x0020_Type" ma:index="36" nillable="true" ma:displayName="Document Type" ma:format="Dropdown" ma:indexed="true" ma:internalName="Document_x0020_Type">
      <xsd:simpleType>
        <xsd:union memberTypes="dms:Text">
          <xsd:simpleType>
            <xsd:restriction base="dms:Choice">
              <xsd:enumeration value="Meeting Agenda"/>
              <xsd:enumeration value="Record of Discussion"/>
            </xsd:restriction>
          </xsd:simpleType>
        </xsd:union>
      </xsd:simpleType>
    </xsd:element>
    <xsd:element name="IDGReviewTags" ma:index="37" nillable="true" ma:displayName="IDG Review Tags" ma:description="List of tags assigned from each of the PSD, Digital Ambition, Data Strategy and associated instruments" ma:format="Dropdown" ma:internalName="IDGReviewTags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Digital Ambition"/>
                    <xsd:enumeration value="Data"/>
                    <xsd:enumeration value="Choice 3"/>
                    <xsd:enumeration value="Choice 4"/>
                  </xsd:restriction>
                </xsd:simpleType>
              </xsd:element>
            </xsd:sequence>
          </xsd:extension>
        </xsd:complexContent>
      </xsd:complexType>
    </xsd:element>
    <xsd:element name="Language" ma:index="38" nillable="true" ma:displayName="Language" ma:format="Dropdown" ma:internalName="Language">
      <xsd:simpleType>
        <xsd:restriction base="dms:Text">
          <xsd:maxLength value="255"/>
        </xsd:restriction>
      </xsd:simpleType>
    </xsd:element>
    <xsd:element name="MetaData1" ma:index="39" nillable="true" ma:displayName="MetaData1" ma:default="Forms" ma:format="Dropdown" ma:internalName="MetaData1">
      <xsd:simpleType>
        <xsd:union memberTypes="dms:Text">
          <xsd:simpleType>
            <xsd:restriction base="dms:Choice">
              <xsd:enumeration value="Forms"/>
              <xsd:enumeration value="Fingerprint"/>
              <xsd:enumeration value="CSIS"/>
            </xsd:restriction>
          </xsd:simpleType>
        </xsd:un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28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6A100E4-680E-4481-B98D-C25CE09BDC9B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79817EF4-FAF4-444D-A151-89BD73986D9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FD9FCF-DA49-42D0-80EA-42CCD70648FA}">
  <ds:schemaRefs>
    <ds:schemaRef ds:uri="http://schemas.microsoft.com/office/2006/metadata/properties"/>
    <ds:schemaRef ds:uri="http://schemas.microsoft.com/office/infopath/2007/PartnerControls"/>
    <ds:schemaRef ds:uri="83aa663b-4b8a-469d-b5ee-90eaa0e315d8"/>
    <ds:schemaRef ds:uri="98a1368e-d07b-4654-8962-d7870efb807b"/>
    <ds:schemaRef ds:uri="http://schemas.microsoft.com/sharepoint/v4"/>
  </ds:schemaRefs>
</ds:datastoreItem>
</file>

<file path=customXml/itemProps4.xml><?xml version="1.0" encoding="utf-8"?>
<ds:datastoreItem xmlns:ds="http://schemas.openxmlformats.org/officeDocument/2006/customXml" ds:itemID="{C018B381-201E-4DFA-A3A7-73ACDC8EF9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83aa663b-4b8a-469d-b5ee-90eaa0e315d8"/>
    <ds:schemaRef ds:uri="98a1368e-d07b-4654-8962-d7870efb807b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156</TotalTime>
  <Application>LibreOffice/25.2.7.2$Windows_X86_64 LibreOffice_project/5cbfd1ab6520636bb5f7b99185aa69bd7456825d</Application>
  <AppVersion>15.0000</AppVersion>
  <Company>TBS-SCT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2019-02-13T15:18:41Z</dcterms:created>
  <dc:creator>Denault, Ronald</dc:creator>
  <dc:description/>
  <dc:language>en-CA</dc:language>
  <cp:lastModifiedBy/>
  <dcterms:modified xsi:type="dcterms:W3CDTF">2026-05-27T10:04:38Z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roved">
    <vt:bool>0</vt:bool>
  </property>
  <property fmtid="{D5CDD505-2E9C-101B-9397-08002B2CF9AE}" pid="3" name="ComplianceAssetId">
    <vt:lpwstr/>
  </property>
  <property fmtid="{D5CDD505-2E9C-101B-9397-08002B2CF9AE}" pid="4" name="ContentTypeId">
    <vt:lpwstr>0x0101005C2A7348FF32FD4983FEBC65875BD8E7</vt:lpwstr>
  </property>
  <property fmtid="{D5CDD505-2E9C-101B-9397-08002B2CF9AE}" pid="5" name="MSIP_Label_3515d617-256d-4284-aedb-1064be1c4b48_ActionId">
    <vt:lpwstr>a5b9da52-3f63-49e7-8cb3-3c98aa9e02c5</vt:lpwstr>
  </property>
  <property fmtid="{D5CDD505-2E9C-101B-9397-08002B2CF9AE}" pid="6" name="MSIP_Label_3515d617-256d-4284-aedb-1064be1c4b48_ContentBits">
    <vt:lpwstr>0</vt:lpwstr>
  </property>
  <property fmtid="{D5CDD505-2E9C-101B-9397-08002B2CF9AE}" pid="7" name="MSIP_Label_3515d617-256d-4284-aedb-1064be1c4b48_Enabled">
    <vt:lpwstr>true</vt:lpwstr>
  </property>
  <property fmtid="{D5CDD505-2E9C-101B-9397-08002B2CF9AE}" pid="8" name="MSIP_Label_3515d617-256d-4284-aedb-1064be1c4b48_Method">
    <vt:lpwstr>Standard</vt:lpwstr>
  </property>
  <property fmtid="{D5CDD505-2E9C-101B-9397-08002B2CF9AE}" pid="9" name="MSIP_Label_3515d617-256d-4284-aedb-1064be1c4b48_Name">
    <vt:lpwstr>3515d617-256d-4284-aedb-1064be1c4b48</vt:lpwstr>
  </property>
  <property fmtid="{D5CDD505-2E9C-101B-9397-08002B2CF9AE}" pid="10" name="MSIP_Label_3515d617-256d-4284-aedb-1064be1c4b48_SetDate">
    <vt:lpwstr>2022-04-08T01:01:47Z</vt:lpwstr>
  </property>
  <property fmtid="{D5CDD505-2E9C-101B-9397-08002B2CF9AE}" pid="11" name="MSIP_Label_3515d617-256d-4284-aedb-1064be1c4b48_SiteId">
    <vt:lpwstr>6397df10-4595-4047-9c4f-03311282152b</vt:lpwstr>
  </property>
  <property fmtid="{D5CDD505-2E9C-101B-9397-08002B2CF9AE}" pid="12" name="MSIP_Label_dd4203d7-225b-41a9-8c54-a31e0ceca5df_ActionId">
    <vt:lpwstr>a5b9da52-3f63-49e7-8cb3-3c98aa9e02c5</vt:lpwstr>
  </property>
  <property fmtid="{D5CDD505-2E9C-101B-9397-08002B2CF9AE}" pid="13" name="MSIP_Label_dd4203d7-225b-41a9-8c54-a31e0ceca5df_Application">
    <vt:lpwstr>Microsoft Azure Information Protection</vt:lpwstr>
  </property>
  <property fmtid="{D5CDD505-2E9C-101B-9397-08002B2CF9AE}" pid="14" name="MSIP_Label_dd4203d7-225b-41a9-8c54-a31e0ceca5df_Enabled">
    <vt:lpwstr>True</vt:lpwstr>
  </property>
  <property fmtid="{D5CDD505-2E9C-101B-9397-08002B2CF9AE}" pid="15" name="MSIP_Label_dd4203d7-225b-41a9-8c54-a31e0ceca5df_Extended_MSFT_Method">
    <vt:lpwstr>Automatic</vt:lpwstr>
  </property>
  <property fmtid="{D5CDD505-2E9C-101B-9397-08002B2CF9AE}" pid="16" name="MSIP_Label_dd4203d7-225b-41a9-8c54-a31e0ceca5df_Name">
    <vt:lpwstr>NO MARKING VISIBLE</vt:lpwstr>
  </property>
  <property fmtid="{D5CDD505-2E9C-101B-9397-08002B2CF9AE}" pid="17" name="MSIP_Label_dd4203d7-225b-41a9-8c54-a31e0ceca5df_Owner">
    <vt:lpwstr>BDUNDAS@tbs-sct.gc.ca</vt:lpwstr>
  </property>
  <property fmtid="{D5CDD505-2E9C-101B-9397-08002B2CF9AE}" pid="18" name="MSIP_Label_dd4203d7-225b-41a9-8c54-a31e0ceca5df_SetDate">
    <vt:lpwstr>2021-01-29T12:40:58.7195499Z</vt:lpwstr>
  </property>
  <property fmtid="{D5CDD505-2E9C-101B-9397-08002B2CF9AE}" pid="19" name="MSIP_Label_dd4203d7-225b-41a9-8c54-a31e0ceca5df_SiteId">
    <vt:lpwstr>6397df10-4595-4047-9c4f-03311282152b</vt:lpwstr>
  </property>
  <property fmtid="{D5CDD505-2E9C-101B-9397-08002B2CF9AE}" pid="20" name="MediaServiceImageTags">
    <vt:lpwstr/>
  </property>
  <property fmtid="{D5CDD505-2E9C-101B-9397-08002B2CF9AE}" pid="21" name="SECCLASS">
    <vt:lpwstr>CLASSU</vt:lpwstr>
  </property>
  <property fmtid="{D5CDD505-2E9C-101B-9397-08002B2CF9AE}" pid="22" name="TBSSCTCLASSIFICATION">
    <vt:lpwstr>UNCLASSIFIED</vt:lpwstr>
  </property>
  <property fmtid="{D5CDD505-2E9C-101B-9397-08002B2CF9AE}" pid="23" name="TBSSCTVISUALMARKINGNO">
    <vt:lpwstr>NO</vt:lpwstr>
  </property>
  <property fmtid="{D5CDD505-2E9C-101B-9397-08002B2CF9AE}" pid="24" name="TaxKeyword">
    <vt:lpwstr/>
  </property>
  <property fmtid="{D5CDD505-2E9C-101B-9397-08002B2CF9AE}" pid="25" name="TemplateUrl">
    <vt:lpwstr/>
  </property>
  <property fmtid="{D5CDD505-2E9C-101B-9397-08002B2CF9AE}" pid="26" name="TitusGUID">
    <vt:lpwstr>90f4d19b-4b24-4e66-8199-a01f9cd2d955</vt:lpwstr>
  </property>
  <property fmtid="{D5CDD505-2E9C-101B-9397-08002B2CF9AE}" pid="27" name="TriggerFlowInfo">
    <vt:lpwstr/>
  </property>
  <property fmtid="{D5CDD505-2E9C-101B-9397-08002B2CF9AE}" pid="28" name="XREF">
    <vt:lpwstr>, </vt:lpwstr>
  </property>
  <property fmtid="{D5CDD505-2E9C-101B-9397-08002B2CF9AE}" pid="29" name="_ExtendedDescription">
    <vt:lpwstr/>
  </property>
  <property fmtid="{D5CDD505-2E9C-101B-9397-08002B2CF9AE}" pid="30" name="_dlc_DocIdItemGuid">
    <vt:lpwstr>c777ec54-6a25-42cb-ac8c-b19beeb33c14</vt:lpwstr>
  </property>
  <property fmtid="{D5CDD505-2E9C-101B-9397-08002B2CF9AE}" pid="31" name="xd_ProgID">
    <vt:lpwstr/>
  </property>
  <property fmtid="{D5CDD505-2E9C-101B-9397-08002B2CF9AE}" pid="32" name="xd_Signature">
    <vt:bool>0</vt:bool>
  </property>
</Properties>
</file>