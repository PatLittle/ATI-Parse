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056gc-my.sharepoint.com/personal/jviau_tbs-sct_gc_ca/Documents/Desktop/Statistical Reporting - Rapports statistiques 25-26/"/>
    </mc:Choice>
  </mc:AlternateContent>
  <xr:revisionPtr revIDLastSave="2215" documentId="8_{653C7625-56C4-4BAE-8E5C-6978AC142C59}" xr6:coauthVersionLast="47" xr6:coauthVersionMax="47" xr10:uidLastSave="{2915BB1B-49E2-4E54-95E6-AEC982624548}"/>
  <workbookProtection workbookAlgorithmName="SHA-512" workbookHashValue="I6P4MLq0HgQeIte1TjRznaTE0W/XaCTOcrFNd9TX77AnsnDdLhZlxrcQGb8gKpM5yrsKu3TzHoo0Dvzma7Weag==" workbookSaltValue="VZp2+sj32OG/S2Arx6naGw==" workbookSpinCount="100000" lockStructure="1"/>
  <bookViews>
    <workbookView xWindow="15015" yWindow="-16320" windowWidth="29040" windowHeight="15720" firstSheet="1" activeTab="1" xr2:uid="{00000000-000D-0000-FFFF-FFFF00000000}"/>
  </bookViews>
  <sheets>
    <sheet name="ATI" sheetId="1" r:id="rId1"/>
    <sheet name="Priv" sheetId="3" r:id="rId2"/>
    <sheet name="ATI_ForConsumption" sheetId="4" state="veryHidden" r:id="rId3"/>
    <sheet name="Privacy_ForConsumption" sheetId="5" state="hidden" r:id="rId4"/>
  </sheets>
  <definedNames>
    <definedName name="_xlnm.Print_Area" localSheetId="0">ATI!$A$1:$L$363</definedName>
    <definedName name="_xlnm.Print_Area" localSheetId="1">Priv!$A$1:$S$346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4" i="3" l="1"/>
  <c r="D139" i="3" l="1"/>
  <c r="I139" i="3" s="1"/>
  <c r="G139" i="3"/>
  <c r="I140" i="3" s="1"/>
  <c r="O6" i="3"/>
  <c r="K6" i="1"/>
  <c r="J250" i="1" l="1"/>
  <c r="G250" i="1"/>
  <c r="D250" i="1"/>
  <c r="F158" i="1" l="1"/>
  <c r="H63" i="1"/>
  <c r="C122" i="3"/>
  <c r="L90" i="1"/>
  <c r="D175" i="1"/>
  <c r="F176" i="1" s="1"/>
  <c r="C175" i="1"/>
  <c r="F175" i="1" s="1"/>
  <c r="H158" i="1"/>
  <c r="G158" i="1"/>
  <c r="E158" i="1"/>
  <c r="D158" i="1"/>
  <c r="C158" i="1"/>
  <c r="I158" i="1" s="1"/>
  <c r="D301" i="1"/>
  <c r="C301" i="1"/>
  <c r="L89" i="1"/>
  <c r="I159" i="1" l="1"/>
  <c r="L268" i="1"/>
  <c r="K72" i="3" l="1"/>
  <c r="H77" i="1" l="1"/>
  <c r="K66" i="3"/>
  <c r="H15" i="1" l="1"/>
  <c r="H18" i="1" s="1"/>
  <c r="E122" i="3" l="1"/>
  <c r="K69" i="3" l="1"/>
  <c r="B548" i="4" l="1"/>
  <c r="B496" i="4"/>
  <c r="B494" i="4"/>
  <c r="B492" i="4"/>
  <c r="B490" i="4"/>
  <c r="B488" i="4"/>
  <c r="B486" i="4"/>
  <c r="A203" i="1"/>
  <c r="H51" i="1"/>
  <c r="E193" i="1" l="1"/>
  <c r="E195" i="1" s="1"/>
  <c r="I283" i="3"/>
  <c r="X117" i="3"/>
  <c r="X118" i="3"/>
  <c r="X119" i="3"/>
  <c r="X120" i="3"/>
  <c r="X121" i="3"/>
  <c r="X116" i="3"/>
  <c r="H349" i="1"/>
  <c r="R214" i="3"/>
  <c r="P214" i="3"/>
  <c r="O214" i="3"/>
  <c r="M214" i="3"/>
  <c r="K214" i="3"/>
  <c r="I214" i="3"/>
  <c r="G214" i="3"/>
  <c r="E214" i="3"/>
  <c r="S215" i="3" l="1"/>
  <c r="Y119" i="3"/>
  <c r="Y118" i="3"/>
  <c r="Y120" i="3"/>
  <c r="Y121" i="3"/>
  <c r="Y116" i="3"/>
  <c r="Y117" i="3"/>
  <c r="F362" i="1"/>
  <c r="H352" i="1"/>
  <c r="K335" i="1"/>
  <c r="H314" i="1"/>
  <c r="G314" i="1"/>
  <c r="F314" i="1"/>
  <c r="E314" i="1"/>
  <c r="D314" i="1"/>
  <c r="C314" i="1"/>
  <c r="H301" i="1"/>
  <c r="G301" i="1"/>
  <c r="F301" i="1"/>
  <c r="E301" i="1"/>
  <c r="K286" i="1"/>
  <c r="J286" i="1"/>
  <c r="I286" i="1"/>
  <c r="H286" i="1"/>
  <c r="G286" i="1"/>
  <c r="F286" i="1"/>
  <c r="E286" i="1"/>
  <c r="K274" i="1"/>
  <c r="J274" i="1"/>
  <c r="I274" i="1"/>
  <c r="H274" i="1"/>
  <c r="G274" i="1"/>
  <c r="F274" i="1"/>
  <c r="E274" i="1"/>
  <c r="K259" i="1"/>
  <c r="I259" i="1"/>
  <c r="G259" i="1"/>
  <c r="I250" i="1"/>
  <c r="F250" i="1"/>
  <c r="C250" i="1"/>
  <c r="K242" i="1"/>
  <c r="I242" i="1"/>
  <c r="G242" i="1"/>
  <c r="K230" i="1"/>
  <c r="M242" i="1" s="1"/>
  <c r="I230" i="1"/>
  <c r="G230" i="1"/>
  <c r="G215" i="1"/>
  <c r="G187" i="1"/>
  <c r="C187" i="1"/>
  <c r="K98" i="1"/>
  <c r="J98" i="1"/>
  <c r="I98" i="1"/>
  <c r="H98" i="1"/>
  <c r="G98" i="1"/>
  <c r="F98" i="1"/>
  <c r="E98" i="1"/>
  <c r="H54" i="1"/>
  <c r="G44" i="1"/>
  <c r="G33" i="1"/>
  <c r="M241" i="1" l="1"/>
  <c r="M240" i="1"/>
  <c r="H56" i="1"/>
  <c r="L98" i="1"/>
  <c r="M98" i="1" s="1"/>
  <c r="H20" i="1"/>
  <c r="K20" i="1" s="1"/>
  <c r="J73" i="3"/>
  <c r="I73" i="3"/>
  <c r="H73" i="3"/>
  <c r="G73" i="3"/>
  <c r="F73" i="3"/>
  <c r="E73" i="3"/>
  <c r="D73" i="3"/>
  <c r="K223" i="3"/>
  <c r="F345" i="3" l="1"/>
  <c r="I333" i="3"/>
  <c r="B666" i="5" s="1"/>
  <c r="J304" i="3"/>
  <c r="H304" i="3"/>
  <c r="G304" i="3"/>
  <c r="F304" i="3"/>
  <c r="H278" i="3"/>
  <c r="G278" i="3"/>
  <c r="F278" i="3"/>
  <c r="E278" i="3"/>
  <c r="D278" i="3"/>
  <c r="C278" i="3"/>
  <c r="H265" i="3"/>
  <c r="G265" i="3"/>
  <c r="F265" i="3"/>
  <c r="E265" i="3"/>
  <c r="D265" i="3"/>
  <c r="C265" i="3"/>
  <c r="K250" i="3"/>
  <c r="B505" i="5" s="1"/>
  <c r="J250" i="3"/>
  <c r="B504" i="5" s="1"/>
  <c r="I250" i="3"/>
  <c r="B503" i="5" s="1"/>
  <c r="H250" i="3"/>
  <c r="B502" i="5" s="1"/>
  <c r="G250" i="3"/>
  <c r="B501" i="5" s="1"/>
  <c r="F250" i="3"/>
  <c r="B500" i="5" s="1"/>
  <c r="E250" i="3"/>
  <c r="B499" i="5" s="1"/>
  <c r="L249" i="3"/>
  <c r="B498" i="5" s="1"/>
  <c r="L248" i="3"/>
  <c r="B490" i="5" s="1"/>
  <c r="L247" i="3"/>
  <c r="B482" i="5" s="1"/>
  <c r="L246" i="3"/>
  <c r="B474" i="5" s="1"/>
  <c r="L245" i="3"/>
  <c r="B466" i="5" s="1"/>
  <c r="L244" i="3"/>
  <c r="B458" i="5" s="1"/>
  <c r="K238" i="3"/>
  <c r="B449" i="5" s="1"/>
  <c r="J238" i="3"/>
  <c r="B448" i="5" s="1"/>
  <c r="I238" i="3"/>
  <c r="B447" i="5" s="1"/>
  <c r="H238" i="3"/>
  <c r="B446" i="5" s="1"/>
  <c r="G238" i="3"/>
  <c r="B445" i="5" s="1"/>
  <c r="F238" i="3"/>
  <c r="B444" i="5" s="1"/>
  <c r="E238" i="3"/>
  <c r="B443" i="5" s="1"/>
  <c r="L237" i="3"/>
  <c r="B442" i="5" s="1"/>
  <c r="L236" i="3"/>
  <c r="B434" i="5" s="1"/>
  <c r="L235" i="3"/>
  <c r="B426" i="5" s="1"/>
  <c r="L234" i="3"/>
  <c r="L233" i="3"/>
  <c r="B410" i="5" s="1"/>
  <c r="L232" i="3"/>
  <c r="B402" i="5" s="1"/>
  <c r="B382" i="5"/>
  <c r="I223" i="3"/>
  <c r="G223" i="3"/>
  <c r="E223" i="3"/>
  <c r="A203" i="3"/>
  <c r="I193" i="3"/>
  <c r="J186" i="3"/>
  <c r="J178" i="3"/>
  <c r="J177" i="3"/>
  <c r="J176" i="3"/>
  <c r="J175" i="3"/>
  <c r="J174" i="3"/>
  <c r="J173" i="3"/>
  <c r="J172" i="3"/>
  <c r="G179" i="3"/>
  <c r="D179" i="3"/>
  <c r="A167" i="3"/>
  <c r="K149" i="3"/>
  <c r="K148" i="3"/>
  <c r="K147" i="3"/>
  <c r="K146" i="3"/>
  <c r="K145" i="3"/>
  <c r="K144" i="3"/>
  <c r="I150" i="3"/>
  <c r="G150" i="3"/>
  <c r="E150" i="3"/>
  <c r="C150" i="3"/>
  <c r="H122" i="3"/>
  <c r="G122" i="3"/>
  <c r="I122" i="3" s="1"/>
  <c r="F122" i="3"/>
  <c r="D122" i="3"/>
  <c r="K71" i="3"/>
  <c r="K70" i="3"/>
  <c r="K68" i="3"/>
  <c r="K67" i="3"/>
  <c r="H52" i="3"/>
  <c r="H41" i="3"/>
  <c r="H44" i="3" s="1"/>
  <c r="H46" i="3" s="1"/>
  <c r="H21" i="3"/>
  <c r="H16" i="3"/>
  <c r="H19" i="3" s="1"/>
  <c r="J213" i="1"/>
  <c r="J212" i="1"/>
  <c r="J211" i="1"/>
  <c r="J210" i="1"/>
  <c r="J209" i="1"/>
  <c r="J208" i="1"/>
  <c r="I185" i="1"/>
  <c r="I184" i="1"/>
  <c r="I183" i="1"/>
  <c r="I182" i="1"/>
  <c r="I181" i="1"/>
  <c r="I180" i="1"/>
  <c r="B224" i="4"/>
  <c r="B226" i="4"/>
  <c r="B747" i="4"/>
  <c r="B744" i="4"/>
  <c r="B342" i="4"/>
  <c r="B297" i="4"/>
  <c r="L97" i="1"/>
  <c r="B39" i="4"/>
  <c r="B30" i="4"/>
  <c r="B25" i="4"/>
  <c r="B18" i="4"/>
  <c r="B3" i="5"/>
  <c r="B5" i="5"/>
  <c r="B6" i="5"/>
  <c r="B8" i="5"/>
  <c r="B10" i="5"/>
  <c r="B11" i="5"/>
  <c r="B12" i="5"/>
  <c r="B13" i="5"/>
  <c r="B14" i="5"/>
  <c r="B15" i="5"/>
  <c r="B16" i="5"/>
  <c r="B17" i="5"/>
  <c r="B19" i="5"/>
  <c r="B21" i="5"/>
  <c r="B22" i="5"/>
  <c r="B24" i="5"/>
  <c r="B26" i="5"/>
  <c r="B27" i="5"/>
  <c r="B28" i="5"/>
  <c r="B29" i="5"/>
  <c r="B30" i="5"/>
  <c r="B31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70" i="5"/>
  <c r="B371" i="5"/>
  <c r="B372" i="5"/>
  <c r="B373" i="5"/>
  <c r="B374" i="5"/>
  <c r="B375" i="5"/>
  <c r="B376" i="5"/>
  <c r="B377" i="5"/>
  <c r="B378" i="5"/>
  <c r="B383" i="5"/>
  <c r="B384" i="5"/>
  <c r="B385" i="5"/>
  <c r="B386" i="5"/>
  <c r="B395" i="5"/>
  <c r="B396" i="5"/>
  <c r="B397" i="5"/>
  <c r="B398" i="5"/>
  <c r="B399" i="5"/>
  <c r="B400" i="5"/>
  <c r="B401" i="5"/>
  <c r="B403" i="5"/>
  <c r="B404" i="5"/>
  <c r="B405" i="5"/>
  <c r="B406" i="5"/>
  <c r="B407" i="5"/>
  <c r="B408" i="5"/>
  <c r="B409" i="5"/>
  <c r="B411" i="5"/>
  <c r="B412" i="5"/>
  <c r="B413" i="5"/>
  <c r="B414" i="5"/>
  <c r="B415" i="5"/>
  <c r="B416" i="5"/>
  <c r="B417" i="5"/>
  <c r="B419" i="5"/>
  <c r="B420" i="5"/>
  <c r="B421" i="5"/>
  <c r="B422" i="5"/>
  <c r="B423" i="5"/>
  <c r="B424" i="5"/>
  <c r="B425" i="5"/>
  <c r="B427" i="5"/>
  <c r="B428" i="5"/>
  <c r="B429" i="5"/>
  <c r="B430" i="5"/>
  <c r="B431" i="5"/>
  <c r="B432" i="5"/>
  <c r="B433" i="5"/>
  <c r="B435" i="5"/>
  <c r="B436" i="5"/>
  <c r="B437" i="5"/>
  <c r="B438" i="5"/>
  <c r="B439" i="5"/>
  <c r="B440" i="5"/>
  <c r="B441" i="5"/>
  <c r="B451" i="5"/>
  <c r="B452" i="5"/>
  <c r="B453" i="5"/>
  <c r="B454" i="5"/>
  <c r="B455" i="5"/>
  <c r="B456" i="5"/>
  <c r="B457" i="5"/>
  <c r="B459" i="5"/>
  <c r="B460" i="5"/>
  <c r="B461" i="5"/>
  <c r="B462" i="5"/>
  <c r="B463" i="5"/>
  <c r="B464" i="5"/>
  <c r="B465" i="5"/>
  <c r="B467" i="5"/>
  <c r="B468" i="5"/>
  <c r="B469" i="5"/>
  <c r="B470" i="5"/>
  <c r="B471" i="5"/>
  <c r="B472" i="5"/>
  <c r="B473" i="5"/>
  <c r="B475" i="5"/>
  <c r="B476" i="5"/>
  <c r="B477" i="5"/>
  <c r="B478" i="5"/>
  <c r="B479" i="5"/>
  <c r="B480" i="5"/>
  <c r="B481" i="5"/>
  <c r="B483" i="5"/>
  <c r="B484" i="5"/>
  <c r="B485" i="5"/>
  <c r="B486" i="5"/>
  <c r="B487" i="5"/>
  <c r="B488" i="5"/>
  <c r="B489" i="5"/>
  <c r="B491" i="5"/>
  <c r="B492" i="5"/>
  <c r="B493" i="5"/>
  <c r="B494" i="5"/>
  <c r="B495" i="5"/>
  <c r="B496" i="5"/>
  <c r="B497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7" i="5"/>
  <c r="B668" i="5"/>
  <c r="B669" i="5"/>
  <c r="B670" i="5"/>
  <c r="B671" i="5"/>
  <c r="B672" i="5"/>
  <c r="B673" i="5"/>
  <c r="B1" i="5"/>
  <c r="B13" i="4"/>
  <c r="B764" i="4"/>
  <c r="B763" i="4"/>
  <c r="B762" i="4"/>
  <c r="B761" i="4"/>
  <c r="B760" i="4"/>
  <c r="B759" i="4"/>
  <c r="B758" i="4"/>
  <c r="B756" i="4"/>
  <c r="B755" i="4"/>
  <c r="B754" i="4"/>
  <c r="B753" i="4"/>
  <c r="B752" i="4"/>
  <c r="B751" i="4"/>
  <c r="B750" i="4"/>
  <c r="B749" i="4"/>
  <c r="B748" i="4"/>
  <c r="B746" i="4"/>
  <c r="B745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5" i="4"/>
  <c r="B493" i="4"/>
  <c r="B491" i="4"/>
  <c r="B489" i="4"/>
  <c r="B487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3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8" i="4"/>
  <c r="B287" i="4" a="1"/>
  <c r="B287" i="4" s="1"/>
  <c r="B277" i="4" a="1"/>
  <c r="B277" i="4" s="1"/>
  <c r="B267" i="4" a="1"/>
  <c r="B267" i="4" s="1"/>
  <c r="B257" i="4" a="1"/>
  <c r="B257" i="4" s="1"/>
  <c r="B247" i="4" a="1"/>
  <c r="B247" i="4" s="1"/>
  <c r="B237" i="4" a="1"/>
  <c r="B237" i="4" s="1"/>
  <c r="B227" i="4" a="1"/>
  <c r="B227" i="4" s="1"/>
  <c r="B225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2" i="4"/>
  <c r="B71" i="4"/>
  <c r="B70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8" i="4"/>
  <c r="B37" i="4"/>
  <c r="B36" i="4"/>
  <c r="B35" i="4"/>
  <c r="B34" i="4"/>
  <c r="B33" i="4"/>
  <c r="B31" i="4"/>
  <c r="B29" i="4"/>
  <c r="B28" i="4"/>
  <c r="B26" i="4"/>
  <c r="B24" i="4"/>
  <c r="B23" i="4"/>
  <c r="B22" i="4"/>
  <c r="B21" i="4"/>
  <c r="B20" i="4"/>
  <c r="B19" i="4"/>
  <c r="B17" i="4"/>
  <c r="B16" i="4"/>
  <c r="B15" i="4"/>
  <c r="B14" i="4"/>
  <c r="B12" i="4"/>
  <c r="B11" i="4"/>
  <c r="B10" i="4"/>
  <c r="B8" i="4"/>
  <c r="B6" i="4"/>
  <c r="B5" i="4"/>
  <c r="B3" i="4"/>
  <c r="B1" i="4"/>
  <c r="B311" i="5" l="1"/>
  <c r="I123" i="3"/>
  <c r="K74" i="3"/>
  <c r="X122" i="3"/>
  <c r="B381" i="5"/>
  <c r="B380" i="5"/>
  <c r="B379" i="5"/>
  <c r="E156" i="3"/>
  <c r="K22" i="3"/>
  <c r="K73" i="3"/>
  <c r="L73" i="3" s="1"/>
  <c r="B32" i="5"/>
  <c r="I336" i="3"/>
  <c r="B27" i="4"/>
  <c r="L238" i="3"/>
  <c r="B418" i="5"/>
  <c r="J179" i="3"/>
  <c r="M179" i="3" s="1"/>
  <c r="K150" i="3"/>
  <c r="B20" i="5"/>
  <c r="B299" i="4"/>
  <c r="B32" i="4"/>
  <c r="E158" i="3" l="1"/>
  <c r="B310" i="5" s="1"/>
  <c r="Y122" i="3"/>
  <c r="B309" i="5"/>
  <c r="B344" i="4"/>
  <c r="B4" i="5" l="1"/>
  <c r="G34" i="3" l="1"/>
  <c r="B18" i="5" l="1"/>
  <c r="B390" i="5"/>
  <c r="B389" i="5"/>
  <c r="B388" i="5"/>
  <c r="B391" i="5"/>
  <c r="B25" i="5"/>
  <c r="B23" i="5"/>
  <c r="B7" i="5"/>
  <c r="B9" i="5"/>
  <c r="L250" i="3"/>
  <c r="B392" i="5"/>
  <c r="B393" i="5"/>
  <c r="B394" i="5"/>
  <c r="B506" i="5" l="1"/>
  <c r="B450" i="5"/>
  <c r="B387" i="5"/>
  <c r="B410" i="4" l="1"/>
  <c r="B409" i="4" l="1"/>
  <c r="B408" i="4"/>
  <c r="B4" i="4"/>
  <c r="B7" i="4" l="1"/>
  <c r="B9" i="4" l="1"/>
  <c r="L91" i="1"/>
  <c r="L92" i="1"/>
  <c r="L93" i="1"/>
  <c r="L94" i="1"/>
  <c r="L95" i="1"/>
  <c r="L96" i="1"/>
  <c r="L269" i="1"/>
  <c r="L270" i="1"/>
  <c r="L271" i="1"/>
  <c r="L272" i="1"/>
  <c r="L273" i="1"/>
  <c r="L280" i="1"/>
  <c r="L281" i="1"/>
  <c r="L282" i="1"/>
  <c r="L283" i="1"/>
  <c r="L284" i="1"/>
  <c r="L285" i="1"/>
  <c r="L286" i="1" l="1"/>
  <c r="L274" i="1"/>
  <c r="L99" i="1"/>
  <c r="B757" i="4"/>
  <c r="B73" i="4"/>
  <c r="B69" i="4"/>
  <c r="I186" i="1" l="1"/>
  <c r="I187" i="1" s="1"/>
  <c r="E187" i="1"/>
  <c r="E259" i="1"/>
  <c r="J214" i="1"/>
  <c r="D215" i="1"/>
  <c r="J215" i="1" s="1"/>
  <c r="M215" i="1" s="1"/>
  <c r="E242" i="1"/>
  <c r="E230" i="1"/>
  <c r="M2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<sst xmlns="http://schemas.openxmlformats.org/spreadsheetml/2006/main" count="3687" uniqueCount="1602">
  <si>
    <r>
      <t xml:space="preserve">Statistical Report on the </t>
    </r>
    <r>
      <rPr>
        <b/>
        <i/>
        <sz val="14"/>
        <color theme="1"/>
        <rFont val="Arial"/>
        <family val="2"/>
      </rPr>
      <t>Access to Information Act</t>
    </r>
  </si>
  <si>
    <t>Name of institution:</t>
  </si>
  <si>
    <t>Reporting period:</t>
  </si>
  <si>
    <t>to</t>
  </si>
  <si>
    <r>
      <t xml:space="preserve">Section 1: Requests Under the </t>
    </r>
    <r>
      <rPr>
        <b/>
        <i/>
        <sz val="11"/>
        <color theme="0"/>
        <rFont val="Arial"/>
        <family val="2"/>
      </rPr>
      <t>Access to Information Act</t>
    </r>
  </si>
  <si>
    <t>1.1  Number of requests</t>
  </si>
  <si>
    <t>Number of Requests</t>
  </si>
  <si>
    <t>Received during reporting period</t>
  </si>
  <si>
    <t>Outstanding from previous reporting periods</t>
  </si>
  <si>
    <t>• Outstanding from previous reporting period</t>
  </si>
  <si>
    <t>• Outstanding from more than one reporting period</t>
  </si>
  <si>
    <t>Total</t>
  </si>
  <si>
    <t>Closed during reporting period</t>
  </si>
  <si>
    <t>Carried over to next reporting period</t>
  </si>
  <si>
    <t>• Carried over within legislated timeline</t>
  </si>
  <si>
    <t>• Carried over beyond legislated timeline</t>
  </si>
  <si>
    <t>1.2  Sources of requests</t>
  </si>
  <si>
    <t>Source</t>
  </si>
  <si>
    <t>Media</t>
  </si>
  <si>
    <t>Academia</t>
  </si>
  <si>
    <t>Business (private sector)</t>
  </si>
  <si>
    <t>Organization</t>
  </si>
  <si>
    <t>Public</t>
  </si>
  <si>
    <t>Decline to Identify</t>
  </si>
  <si>
    <t>1.3  Channels of requests</t>
  </si>
  <si>
    <t>Online</t>
  </si>
  <si>
    <t>E-mail</t>
  </si>
  <si>
    <t>Mail</t>
  </si>
  <si>
    <t>In person</t>
  </si>
  <si>
    <t>Phone</t>
  </si>
  <si>
    <t>Fax</t>
  </si>
  <si>
    <t>Section 2: Informal Requests</t>
  </si>
  <si>
    <t>2.1 Number of informal requests</t>
  </si>
  <si>
    <t>2.2 Completion time of informal requests</t>
  </si>
  <si>
    <t>Completion Time</t>
  </si>
  <si>
    <t>0 to 15 Days</t>
  </si>
  <si>
    <t>16 to 30 Days</t>
  </si>
  <si>
    <t>31 to 60 Days</t>
  </si>
  <si>
    <t>61 to 120 Days</t>
  </si>
  <si>
    <t>121 to 180 Days</t>
  </si>
  <si>
    <t>181 to 365 Days</t>
  </si>
  <si>
    <t>More Than 365 Days</t>
  </si>
  <si>
    <t>2.3 Pages released and re-released informally</t>
  </si>
  <si>
    <t>Less Than 500
Pages Released and Re-released</t>
  </si>
  <si>
    <t>500-10000
Pages Released and Re-released</t>
  </si>
  <si>
    <t>More Than 10000
Pages Released and Re-released</t>
  </si>
  <si>
    <t>Number of pages</t>
  </si>
  <si>
    <t>Section 3: Applications to the Information Commissioner on Declining to Act on Requests</t>
  </si>
  <si>
    <t>Outstanding from previous reporting period</t>
  </si>
  <si>
    <t>Sent during reporting period</t>
  </si>
  <si>
    <t xml:space="preserve">Approved by the Information Commissioner during reporting period </t>
  </si>
  <si>
    <t xml:space="preserve">Declined by the Information Commissioner during reporting period </t>
  </si>
  <si>
    <t>Withdrawn during reporting period</t>
  </si>
  <si>
    <t xml:space="preserve">Section 4: Requests Closed During the Reporting Period </t>
  </si>
  <si>
    <t>4.1 Disposition and completion time</t>
  </si>
  <si>
    <t>Disposition of Requests</t>
  </si>
  <si>
    <t>All disclosed</t>
  </si>
  <si>
    <t>Disclosed in part</t>
  </si>
  <si>
    <t>All exempted</t>
  </si>
  <si>
    <t>All excluded</t>
  </si>
  <si>
    <t>No records exist</t>
  </si>
  <si>
    <t>Request transferred</t>
  </si>
  <si>
    <t>Request abandoned</t>
  </si>
  <si>
    <t>Neither confirmed nor denied</t>
  </si>
  <si>
    <t>Declined to act with the approval of the Information Commissioner</t>
  </si>
  <si>
    <t xml:space="preserve">4.2 Exemptions </t>
  </si>
  <si>
    <t>Section</t>
  </si>
  <si>
    <t>13(1)(a)</t>
  </si>
  <si>
    <t>16(2)</t>
  </si>
  <si>
    <t>18(a)</t>
  </si>
  <si>
    <t>13(1)(b)</t>
  </si>
  <si>
    <t>16(2)(a)</t>
  </si>
  <si>
    <t>18(b)</t>
  </si>
  <si>
    <t>13(1)(c)</t>
  </si>
  <si>
    <t>16(2)(b)</t>
  </si>
  <si>
    <t>18(c)</t>
  </si>
  <si>
    <t>13(1)(d)</t>
  </si>
  <si>
    <t>16(2)(c)</t>
  </si>
  <si>
    <t>18(d)</t>
  </si>
  <si>
    <t>21(1)(a)</t>
  </si>
  <si>
    <t>13(1)(e)</t>
  </si>
  <si>
    <t>16(3)</t>
  </si>
  <si>
    <t>18.1(1)(a)</t>
  </si>
  <si>
    <t>21(1)(b)</t>
  </si>
  <si>
    <t>16.1(1)(a)</t>
  </si>
  <si>
    <t>18.1(1)(b)</t>
  </si>
  <si>
    <t>21(1)(c)</t>
  </si>
  <si>
    <t>14(a)</t>
  </si>
  <si>
    <t>16.1(1)(b)</t>
  </si>
  <si>
    <t>18.1(1)(c)</t>
  </si>
  <si>
    <t>21(1)(d)</t>
  </si>
  <si>
    <t>14(b)</t>
  </si>
  <si>
    <t>16.1(1)(c)</t>
  </si>
  <si>
    <t>18.1(1)(d)</t>
  </si>
  <si>
    <t>15(1)</t>
  </si>
  <si>
    <t>16.1(1)(d)</t>
  </si>
  <si>
    <t>19(1)</t>
  </si>
  <si>
    <t>22.1(1)</t>
  </si>
  <si>
    <t>15(1) - I.A.*</t>
  </si>
  <si>
    <t>16.2(1)</t>
  </si>
  <si>
    <t>20(1)(a)</t>
  </si>
  <si>
    <t>15(1) - Def.*</t>
  </si>
  <si>
    <t>20(1)(b)</t>
  </si>
  <si>
    <t>15(1) - S.A.*</t>
  </si>
  <si>
    <t>16.4(1)(a)</t>
  </si>
  <si>
    <t>20(1)(b.1)</t>
  </si>
  <si>
    <t>24(1)</t>
  </si>
  <si>
    <t>16(1)(a)(i)</t>
  </si>
  <si>
    <t>16.4(1)(b)</t>
  </si>
  <si>
    <t>20(1)(c)</t>
  </si>
  <si>
    <t>16(1)(a)(ii)</t>
  </si>
  <si>
    <t>20(1)(d)</t>
  </si>
  <si>
    <t>16(1)(a)(iii)</t>
  </si>
  <si>
    <t>16(1)(b)</t>
  </si>
  <si>
    <t>16(1)(c)</t>
  </si>
  <si>
    <t>16(1)(d)</t>
  </si>
  <si>
    <t>* I.A.:  International Affairs       Def.:  Defence of Canada       S.A.:  Subversive Activities</t>
  </si>
  <si>
    <t xml:space="preserve">4.3 Exclusions </t>
  </si>
  <si>
    <t>68(a)</t>
  </si>
  <si>
    <t>69(1)</t>
  </si>
  <si>
    <t>69(1)(g) re (a)</t>
  </si>
  <si>
    <t>68(b)</t>
  </si>
  <si>
    <t>69(1)(a)</t>
  </si>
  <si>
    <t>69(1)(g) re (b)</t>
  </si>
  <si>
    <t>68(c)</t>
  </si>
  <si>
    <t>69(1)(b)</t>
  </si>
  <si>
    <t>69(1)(g) re (c)</t>
  </si>
  <si>
    <t>68.1</t>
  </si>
  <si>
    <t>69(1)(c)</t>
  </si>
  <si>
    <t>69(1)(g) re (d)</t>
  </si>
  <si>
    <t>68.2(a)</t>
  </si>
  <si>
    <t>69(1)(d)</t>
  </si>
  <si>
    <t>69(1)(g) re (e)</t>
  </si>
  <si>
    <t>68.2(b)</t>
  </si>
  <si>
    <t>69(1)(e)</t>
  </si>
  <si>
    <t>69(1)(g) re (f)</t>
  </si>
  <si>
    <t>69(1)(f)</t>
  </si>
  <si>
    <t>69.1(1)</t>
  </si>
  <si>
    <t>4.4  Format of information released</t>
  </si>
  <si>
    <t>Paper</t>
  </si>
  <si>
    <t>Electronic</t>
  </si>
  <si>
    <t>Other</t>
  </si>
  <si>
    <t>E-record</t>
  </si>
  <si>
    <t>Data set</t>
  </si>
  <si>
    <t>Video</t>
  </si>
  <si>
    <t>Audio</t>
  </si>
  <si>
    <t>4.5 Complexity</t>
  </si>
  <si>
    <t>4.5.1 Relevant pages processed and disclosed for paper, e-record and dataset formats</t>
  </si>
  <si>
    <t>Number of Pages Processed</t>
  </si>
  <si>
    <t>Number of Pages Disclosed</t>
  </si>
  <si>
    <r>
      <t xml:space="preserve">4.5.2 Relevant pages processed per request disposition for </t>
    </r>
    <r>
      <rPr>
        <b/>
        <u/>
        <sz val="11"/>
        <rFont val="Arial"/>
        <family val="2"/>
      </rPr>
      <t>paper</t>
    </r>
    <r>
      <rPr>
        <b/>
        <sz val="11"/>
        <rFont val="Arial"/>
        <family val="2"/>
      </rPr>
      <t xml:space="preserve">, </t>
    </r>
    <r>
      <rPr>
        <b/>
        <u/>
        <sz val="11"/>
        <rFont val="Arial"/>
        <family val="2"/>
      </rPr>
      <t>e-record</t>
    </r>
    <r>
      <rPr>
        <b/>
        <sz val="11"/>
        <rFont val="Arial"/>
        <family val="2"/>
      </rPr>
      <t xml:space="preserve"> and </t>
    </r>
    <r>
      <rPr>
        <b/>
        <u/>
        <sz val="11"/>
        <rFont val="Arial"/>
        <family val="2"/>
      </rPr>
      <t>dataset</t>
    </r>
    <r>
      <rPr>
        <b/>
        <sz val="11"/>
        <rFont val="Arial"/>
        <family val="2"/>
      </rPr>
      <t xml:space="preserve"> formats by size of requests</t>
    </r>
  </si>
  <si>
    <t>Disposition</t>
  </si>
  <si>
    <t>Less Than 500
Pages Processed</t>
  </si>
  <si>
    <t>500-10 000
Pages Processed</t>
  </si>
  <si>
    <t>More Than 10 000
Pages Processed</t>
  </si>
  <si>
    <t>Pages Processed</t>
  </si>
  <si>
    <t xml:space="preserve">Request abandoned </t>
  </si>
  <si>
    <r>
      <t xml:space="preserve">4.5.3 Relevant minutes processed and disclosed for </t>
    </r>
    <r>
      <rPr>
        <b/>
        <u/>
        <sz val="11"/>
        <rFont val="Arial"/>
        <family val="2"/>
      </rPr>
      <t>audio and video</t>
    </r>
    <r>
      <rPr>
        <b/>
        <sz val="11"/>
        <rFont val="Arial"/>
        <family val="2"/>
      </rPr>
      <t xml:space="preserve"> formats</t>
    </r>
  </si>
  <si>
    <t>Number of Minutes Processed</t>
  </si>
  <si>
    <t>Number of Minutes Disclosed</t>
  </si>
  <si>
    <r>
      <t xml:space="preserve">4.5.4 Relevant minutes processed per request disposition for </t>
    </r>
    <r>
      <rPr>
        <b/>
        <u/>
        <sz val="11"/>
        <color theme="1"/>
        <rFont val="Arial"/>
        <family val="2"/>
      </rPr>
      <t>audio and video</t>
    </r>
    <r>
      <rPr>
        <b/>
        <sz val="11"/>
        <color theme="1"/>
        <rFont val="Arial"/>
        <family val="2"/>
      </rPr>
      <t xml:space="preserve"> formats</t>
    </r>
  </si>
  <si>
    <t>Minutes Processed</t>
  </si>
  <si>
    <t xml:space="preserve"> </t>
  </si>
  <si>
    <t>4.5.5 Other complexities</t>
  </si>
  <si>
    <t>Consultation Required</t>
  </si>
  <si>
    <t>Legal Advice Sought</t>
  </si>
  <si>
    <t>4.6 Closed requests</t>
  </si>
  <si>
    <t>4.6.1  Requests closed within legislated timelines</t>
  </si>
  <si>
    <r>
      <t>Number of requests closed within legislated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timelines</t>
    </r>
  </si>
  <si>
    <t>Percentage of requests closed within legislated timelines (%)</t>
  </si>
  <si>
    <t>4.7 Deemed refusals</t>
  </si>
  <si>
    <r>
      <rPr>
        <b/>
        <sz val="11"/>
        <rFont val="Arial"/>
        <family val="2"/>
      </rPr>
      <t>4.7.1 </t>
    </r>
    <r>
      <rPr>
        <b/>
        <sz val="11"/>
        <color theme="1"/>
        <rFont val="Arial"/>
        <family val="2"/>
      </rPr>
      <t>Reasons for not meeting legislated</t>
    </r>
    <r>
      <rPr>
        <b/>
        <sz val="11"/>
        <rFont val="Arial"/>
        <family val="2"/>
      </rPr>
      <t xml:space="preserve"> timelines</t>
    </r>
  </si>
  <si>
    <r>
      <t>Number of requests closed past the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legislated timelines</t>
    </r>
  </si>
  <si>
    <t>Principal Reason</t>
  </si>
  <si>
    <t>Interference with operations/ Workload</t>
  </si>
  <si>
    <t>External Consultation</t>
  </si>
  <si>
    <t>Internal Consultation</t>
  </si>
  <si>
    <r>
      <rPr>
        <b/>
        <sz val="11"/>
        <rFont val="Arial"/>
        <family val="2"/>
      </rPr>
      <t>4.7.2 </t>
    </r>
    <r>
      <rPr>
        <b/>
        <sz val="11"/>
        <color theme="1"/>
        <rFont val="Arial"/>
        <family val="2"/>
      </rPr>
      <t xml:space="preserve">Requests closed beyond </t>
    </r>
    <r>
      <rPr>
        <b/>
        <sz val="11"/>
        <rFont val="Arial"/>
        <family val="2"/>
      </rPr>
      <t>legislated timelines</t>
    </r>
    <r>
      <rPr>
        <b/>
        <sz val="11"/>
        <color theme="1"/>
        <rFont val="Arial"/>
        <family val="2"/>
      </rPr>
      <t xml:space="preserve"> (including any extension taken)</t>
    </r>
  </si>
  <si>
    <t>Number of days past legislated timelines</t>
  </si>
  <si>
    <t>Number of requests past legislated timeline where no extension was taken</t>
  </si>
  <si>
    <t>Number of requests past legislated timeline where an extension was taken</t>
  </si>
  <si>
    <t>1 to 15 days</t>
  </si>
  <si>
    <t>16 to 30 days</t>
  </si>
  <si>
    <t>31 to 60 days</t>
  </si>
  <si>
    <t>61 to 120 days</t>
  </si>
  <si>
    <t>121  to 180 days</t>
  </si>
  <si>
    <t>181 to 365 days</t>
  </si>
  <si>
    <t>More than 365 days</t>
  </si>
  <si>
    <t>Section 5: Extensions</t>
  </si>
  <si>
    <t>5.1  Reasons for extensions and disposition of requests</t>
  </si>
  <si>
    <t>Disposition of Requests Where an Extension Was Taken</t>
  </si>
  <si>
    <t>9(1)(a)
Interference With Operations/ Workload</t>
  </si>
  <si>
    <t>9(1)(b)
Consultation</t>
  </si>
  <si>
    <t>9(1)(c)
Third-Party Notice</t>
  </si>
  <si>
    <t>Section 69</t>
  </si>
  <si>
    <t>5.2 Length of extensions</t>
  </si>
  <si>
    <t>Length of Extensions</t>
  </si>
  <si>
    <t>30 days or less</t>
  </si>
  <si>
    <t>121 to 180 days</t>
  </si>
  <si>
    <t>365 days or more</t>
  </si>
  <si>
    <t>Section 6: Fees</t>
  </si>
  <si>
    <t>Fee Type</t>
  </si>
  <si>
    <t>Fee Collected</t>
  </si>
  <si>
    <t xml:space="preserve">Fee Waived </t>
  </si>
  <si>
    <t>Fee Refunded</t>
  </si>
  <si>
    <t>Number of 
Requests</t>
  </si>
  <si>
    <t>Amount</t>
  </si>
  <si>
    <t>Application</t>
  </si>
  <si>
    <t xml:space="preserve">Other fees </t>
  </si>
  <si>
    <t>Section 7: Consultations Received From Other Institutions and Organizations</t>
  </si>
  <si>
    <t>7.1  Consultations received from other Government of Canada institutions and other organizations</t>
  </si>
  <si>
    <t>Consultations</t>
  </si>
  <si>
    <t>Other Government of Canada Institutions</t>
  </si>
  <si>
    <t>Number of Pages to Review</t>
  </si>
  <si>
    <t>Other Organizations</t>
  </si>
  <si>
    <t>Received during the reporting period</t>
  </si>
  <si>
    <t>Outstanding from the previous reporting period</t>
  </si>
  <si>
    <t>Closed during the reporting period</t>
  </si>
  <si>
    <t>Carried over within negotiated timelines</t>
  </si>
  <si>
    <t>Carried over beyond negotiated timelines</t>
  </si>
  <si>
    <t>7.2 Recommendations and completion time for consultations received from other Government of Canada institutions</t>
  </si>
  <si>
    <t>Recommendation</t>
  </si>
  <si>
    <t>Number of Days Required to Complete Consultation Requests</t>
  </si>
  <si>
    <t>121  to 180 Days</t>
  </si>
  <si>
    <t>Disclose entirely</t>
  </si>
  <si>
    <t>Disclose in part</t>
  </si>
  <si>
    <t>Exempt entirely</t>
  </si>
  <si>
    <t>Exclude entirely</t>
  </si>
  <si>
    <t>Consult other institution</t>
  </si>
  <si>
    <t>7.3 Recommendations and completion time for consultations received from other organizations outside the Government of Canada</t>
  </si>
  <si>
    <t>Total Number of Consultations</t>
  </si>
  <si>
    <t>Section 8: Completion Time of Consultations on Cabinet Confidences</t>
  </si>
  <si>
    <t>8.1 Requests with Legal Services</t>
  </si>
  <si>
    <t>Number of Days</t>
  </si>
  <si>
    <t>Fewer Than 500 Pages Processed</t>
  </si>
  <si>
    <t>500-10000
Pages Processed</t>
  </si>
  <si>
    <t>More Than 10000
Pages Processed</t>
  </si>
  <si>
    <t>Number of
Requests</t>
  </si>
  <si>
    <t>Pages Disclosed</t>
  </si>
  <si>
    <t>1 to 15</t>
  </si>
  <si>
    <t>16 to 30</t>
  </si>
  <si>
    <t>31 to 60</t>
  </si>
  <si>
    <t>61 to 120</t>
  </si>
  <si>
    <t>121 to 180</t>
  </si>
  <si>
    <t>181 to 365</t>
  </si>
  <si>
    <t>More than 365</t>
  </si>
  <si>
    <t>8.2 Requests with Privy Council Office</t>
  </si>
  <si>
    <t>Section 9: Investigations and Reports of finding</t>
  </si>
  <si>
    <t>9.1 Investigations</t>
  </si>
  <si>
    <t>Section 32 Notice of intention to investigate</t>
  </si>
  <si>
    <t>Subsection 30(5) Ceased to investigate</t>
  </si>
  <si>
    <t>Section 35  Formal Representations</t>
  </si>
  <si>
    <t>9.2 Investigations and Reports of finding</t>
  </si>
  <si>
    <t>Subsection 37(1) Initial Reports</t>
  </si>
  <si>
    <t>Subsection 37(2) Final Reports</t>
  </si>
  <si>
    <t xml:space="preserve"> Received</t>
  </si>
  <si>
    <t>Containing recommendations issued by the Information Commissioner</t>
  </si>
  <si>
    <t>Containing an intent to issue an order by the Information Commissioner</t>
  </si>
  <si>
    <t>Containing orders issued by the Information Commissioner</t>
  </si>
  <si>
    <t>Section 10: Court Action</t>
  </si>
  <si>
    <t>10.1 Court actions on complaints</t>
  </si>
  <si>
    <t xml:space="preserve">Section 41 </t>
  </si>
  <si>
    <t>Complainant (1)</t>
  </si>
  <si>
    <t>Institution (2)</t>
  </si>
  <si>
    <t>Third Party (3)</t>
  </si>
  <si>
    <t>Privacy Commissioner (4)</t>
  </si>
  <si>
    <t>10.2 Court actions on third party notifications under paragraph 28(1)(b)</t>
  </si>
  <si>
    <t>Section 44 - under paragraph 28(1)(b)</t>
  </si>
  <si>
    <r>
      <t xml:space="preserve">Section 11: Resources Related to the </t>
    </r>
    <r>
      <rPr>
        <b/>
        <i/>
        <sz val="11"/>
        <color rgb="FFFFFFFF"/>
        <rFont val="Arial"/>
        <family val="2"/>
      </rPr>
      <t>Access to Information Act</t>
    </r>
  </si>
  <si>
    <t>11.1 Allocated Costs</t>
  </si>
  <si>
    <t>Expenditures</t>
  </si>
  <si>
    <t xml:space="preserve">Salaries </t>
  </si>
  <si>
    <t>Overtime</t>
  </si>
  <si>
    <t>Goods and Services</t>
  </si>
  <si>
    <t>• Professional services contracts</t>
  </si>
  <si>
    <t>• Other</t>
  </si>
  <si>
    <r>
      <t>11.2  </t>
    </r>
    <r>
      <rPr>
        <b/>
        <sz val="11"/>
        <color rgb="FF000000"/>
        <rFont val="Arial"/>
        <family val="2"/>
      </rPr>
      <t>Human Resources</t>
    </r>
  </si>
  <si>
    <t>Resources</t>
  </si>
  <si>
    <t xml:space="preserve">Person Years Dedicated to Access to Information Activities </t>
  </si>
  <si>
    <t>Full-time employees</t>
  </si>
  <si>
    <t>Part-time and casual employees</t>
  </si>
  <si>
    <t>Regional staff</t>
  </si>
  <si>
    <t>Consultants and agency personnel</t>
  </si>
  <si>
    <t>Students</t>
  </si>
  <si>
    <t>Note: Enter values to three decimal places.</t>
  </si>
  <si>
    <r>
      <t xml:space="preserve">Statistical Report on the </t>
    </r>
    <r>
      <rPr>
        <b/>
        <i/>
        <sz val="14"/>
        <color theme="1"/>
        <rFont val="Arial"/>
        <family val="2"/>
      </rPr>
      <t>Privacy Act</t>
    </r>
  </si>
  <si>
    <r>
      <t>Section</t>
    </r>
    <r>
      <rPr>
        <b/>
        <sz val="12"/>
        <color theme="9" tint="0.39997558519241921"/>
        <rFont val="Arial"/>
        <family val="2"/>
      </rPr>
      <t xml:space="preserve"> </t>
    </r>
    <r>
      <rPr>
        <b/>
        <sz val="12"/>
        <color theme="0"/>
        <rFont val="Arial"/>
        <family val="2"/>
      </rPr>
      <t xml:space="preserve">1: Requests Under the </t>
    </r>
    <r>
      <rPr>
        <b/>
        <i/>
        <sz val="12"/>
        <color theme="0"/>
        <rFont val="Arial"/>
        <family val="2"/>
      </rPr>
      <t>Privacy Act</t>
    </r>
  </si>
  <si>
    <t>1.1  Number of requests received</t>
  </si>
  <si>
    <t>1.2  Channels of requests</t>
  </si>
  <si>
    <t xml:space="preserve">Section 2: Informal requests </t>
  </si>
  <si>
    <t>2.3 Pages released informally</t>
  </si>
  <si>
    <t>Less Than 500
Pages Released</t>
  </si>
  <si>
    <t>500-10000
Pages Released</t>
  </si>
  <si>
    <t>More Than 10000
Pages Released</t>
  </si>
  <si>
    <t>Pages Released</t>
  </si>
  <si>
    <t xml:space="preserve">Section 3: Requests Closed During the Reporting Period </t>
  </si>
  <si>
    <t>3.1 Disposition and completion time</t>
  </si>
  <si>
    <t xml:space="preserve">3.2 Exemptions </t>
  </si>
  <si>
    <t>18(2)</t>
  </si>
  <si>
    <t>22(1)(a)(i)</t>
  </si>
  <si>
    <t>23(a)</t>
  </si>
  <si>
    <t>19(1)(a)</t>
  </si>
  <si>
    <t>22(1)(a)(ii)</t>
  </si>
  <si>
    <t>23(b)</t>
  </si>
  <si>
    <t>19(1)(b)</t>
  </si>
  <si>
    <t>22(1)(a)(iii)</t>
  </si>
  <si>
    <t>24(a)</t>
  </si>
  <si>
    <t>19(1)(c)</t>
  </si>
  <si>
    <t>22(1)(b)</t>
  </si>
  <si>
    <t>24(b)</t>
  </si>
  <si>
    <t>19(1)(d)</t>
  </si>
  <si>
    <t>22(1)(c)</t>
  </si>
  <si>
    <t>19(1)(e)</t>
  </si>
  <si>
    <t>22(2)</t>
  </si>
  <si>
    <t>19(1)(f)</t>
  </si>
  <si>
    <t xml:space="preserve">3.3 Exclusions </t>
  </si>
  <si>
    <t>70(1)</t>
  </si>
  <si>
    <t>70(1)(d)</t>
  </si>
  <si>
    <t>70(1)(a)</t>
  </si>
  <si>
    <t>70(1)(e)</t>
  </si>
  <si>
    <t>70(1)(b)</t>
  </si>
  <si>
    <t>70(1)(f)</t>
  </si>
  <si>
    <t>70(1)(c)</t>
  </si>
  <si>
    <t>3.4 Format of information released</t>
  </si>
  <si>
    <t>3.5 Complexity</t>
  </si>
  <si>
    <t>3.5.1 Relevant pages processed and disclosed for paper, e-record and dataset formats</t>
  </si>
  <si>
    <t>Number of Pages  Processed</t>
  </si>
  <si>
    <r>
      <t xml:space="preserve">3.5.2 Relevant pages processed per request disposition for </t>
    </r>
    <r>
      <rPr>
        <b/>
        <u/>
        <sz val="11"/>
        <rFont val="Arial"/>
        <family val="2"/>
      </rPr>
      <t>paper</t>
    </r>
    <r>
      <rPr>
        <b/>
        <sz val="11"/>
        <rFont val="Arial"/>
        <family val="2"/>
      </rPr>
      <t xml:space="preserve">, </t>
    </r>
    <r>
      <rPr>
        <b/>
        <u/>
        <sz val="11"/>
        <rFont val="Arial"/>
        <family val="2"/>
      </rPr>
      <t>e-record</t>
    </r>
    <r>
      <rPr>
        <b/>
        <sz val="11"/>
        <rFont val="Arial"/>
        <family val="2"/>
      </rPr>
      <t xml:space="preserve"> and </t>
    </r>
    <r>
      <rPr>
        <b/>
        <u/>
        <sz val="11"/>
        <rFont val="Arial"/>
        <family val="2"/>
      </rPr>
      <t>dataset</t>
    </r>
    <r>
      <rPr>
        <b/>
        <sz val="11"/>
        <rFont val="Arial"/>
        <family val="2"/>
      </rPr>
      <t xml:space="preserve"> formats by size of requests</t>
    </r>
  </si>
  <si>
    <t>Number of requests 3.5.2</t>
  </si>
  <si>
    <t>Total 3.5.2, 3.5.4 and 3.5.6</t>
  </si>
  <si>
    <r>
      <t xml:space="preserve">3.5.3 Relevant minutes processed and disclosed for </t>
    </r>
    <r>
      <rPr>
        <b/>
        <u/>
        <sz val="11"/>
        <rFont val="Arial"/>
        <family val="2"/>
      </rPr>
      <t>audio and video</t>
    </r>
    <r>
      <rPr>
        <b/>
        <sz val="11"/>
        <rFont val="Arial"/>
        <family val="2"/>
      </rPr>
      <t xml:space="preserve"> formats</t>
    </r>
  </si>
  <si>
    <r>
      <t xml:space="preserve">3.5.4 Relevant minutes processed per request disposition for </t>
    </r>
    <r>
      <rPr>
        <b/>
        <u/>
        <sz val="11"/>
        <rFont val="Arial"/>
        <family val="2"/>
      </rPr>
      <t>audio and video</t>
    </r>
    <r>
      <rPr>
        <b/>
        <sz val="11"/>
        <rFont val="Arial"/>
        <family val="2"/>
      </rPr>
      <t xml:space="preserve"> formats</t>
    </r>
    <r>
      <rPr>
        <b/>
        <strike/>
        <sz val="11"/>
        <rFont val="Arial"/>
        <family val="2"/>
      </rPr>
      <t xml:space="preserve"> by size of requests</t>
    </r>
  </si>
  <si>
    <t>Number of requests</t>
  </si>
  <si>
    <t>3.5.5 Other complexities</t>
  </si>
  <si>
    <t>Interwoven Information</t>
  </si>
  <si>
    <t>3.6 Closed requests</t>
  </si>
  <si>
    <r>
      <t>3.6.1</t>
    </r>
    <r>
      <rPr>
        <b/>
        <sz val="11"/>
        <rFont val="Arial"/>
        <family val="2"/>
      </rPr>
      <t xml:space="preserve">  Number of requests closed within legislated timelines</t>
    </r>
  </si>
  <si>
    <r>
      <t>Number of requests closed within legislate</t>
    </r>
    <r>
      <rPr>
        <b/>
        <sz val="10"/>
        <rFont val="Arial"/>
        <family val="2"/>
      </rPr>
      <t>d timelines</t>
    </r>
  </si>
  <si>
    <t>3.7 Deemed refusals</t>
  </si>
  <si>
    <t>3.7.1 Reasons for not meeting legislated timelines</t>
  </si>
  <si>
    <t>Number of requests closed past the legislated timelines</t>
  </si>
  <si>
    <t>Interference with operations / Workload</t>
  </si>
  <si>
    <r>
      <rPr>
        <b/>
        <sz val="11"/>
        <rFont val="Arial"/>
        <family val="2"/>
      </rPr>
      <t>3.7.2 Request</t>
    </r>
    <r>
      <rPr>
        <b/>
        <sz val="11"/>
        <color theme="1"/>
        <rFont val="Arial"/>
        <family val="2"/>
      </rPr>
      <t xml:space="preserve"> closed beyond legislated</t>
    </r>
    <r>
      <rPr>
        <b/>
        <sz val="11"/>
        <rFont val="Arial"/>
        <family val="2"/>
      </rPr>
      <t xml:space="preserve"> timelines</t>
    </r>
    <r>
      <rPr>
        <b/>
        <sz val="11"/>
        <color theme="1"/>
        <rFont val="Arial"/>
        <family val="2"/>
      </rPr>
      <t xml:space="preserve"> (including any extension taken)</t>
    </r>
  </si>
  <si>
    <t>Number of requests past  legislated timeline where an extension was taken</t>
  </si>
  <si>
    <t>Section 4: Disclosures Under Subsections 8(2) and 8(5)</t>
  </si>
  <si>
    <t>Paragraph 8(2)(e)</t>
  </si>
  <si>
    <t>Paragraph 8(2)(m)</t>
  </si>
  <si>
    <t>Subsection 8(5)</t>
  </si>
  <si>
    <t>Section 5: Requests for Correction of Personal Information and Notations</t>
  </si>
  <si>
    <t>Disposition for Correction Requests Received</t>
  </si>
  <si>
    <t>Number</t>
  </si>
  <si>
    <t>Notations attached</t>
  </si>
  <si>
    <t>Requests for correction accepted</t>
  </si>
  <si>
    <t>Section 6: Extensions</t>
  </si>
  <si>
    <t>6.1  Reasons for extensions</t>
  </si>
  <si>
    <t>15(a)(i) Interference with operations</t>
  </si>
  <si>
    <t xml:space="preserve">15 (a)(ii) Consultation </t>
  </si>
  <si>
    <t>15(b)
Translation purposes or conversion</t>
  </si>
  <si>
    <t>Further review required to determine exemptions</t>
  </si>
  <si>
    <t>Large volume of pages</t>
  </si>
  <si>
    <t>Large volume of requests</t>
  </si>
  <si>
    <t>Documents are difficult to obtain</t>
  </si>
  <si>
    <t>Cabinet Confidence (Section 70)</t>
  </si>
  <si>
    <t>External</t>
  </si>
  <si>
    <t>Internal</t>
  </si>
  <si>
    <t>Number of extensions taken</t>
  </si>
  <si>
    <t>6.2 Length of extensions</t>
  </si>
  <si>
    <t xml:space="preserve">31 days or greater </t>
  </si>
  <si>
    <t>7.1 Consultations received from other Government of Canada institutions and other organizations</t>
  </si>
  <si>
    <t>Number of days required to complete consultation requests</t>
  </si>
  <si>
    <t>More than 10000
Pages Processed</t>
  </si>
  <si>
    <t>Section 9: Complaints and Investigations Notices Received</t>
  </si>
  <si>
    <t>Section 31</t>
  </si>
  <si>
    <t>Section 33</t>
  </si>
  <si>
    <t>Section 35</t>
  </si>
  <si>
    <t>Court action</t>
  </si>
  <si>
    <t>Section 10: Privacy Impact Assessments (PIAs) and Personal Information Banks (PIBs)</t>
  </si>
  <si>
    <t>10.1 Programs and activities</t>
  </si>
  <si>
    <t>Number of existing programs or activities that use personal information that have been substantially modified during the reporting period</t>
  </si>
  <si>
    <t>Number of new programs or new activities that use personal information established during the reporting period</t>
  </si>
  <si>
    <t>10.2 Privacy Impact Assessments</t>
  </si>
  <si>
    <t>Number of PIAs completed</t>
  </si>
  <si>
    <t>Number of PIAs modified</t>
  </si>
  <si>
    <t>Number of PIA summaries published during the reporting period</t>
  </si>
  <si>
    <t>Number of PIAs for which the risk mitigation measures have been reviewed during the reporting period</t>
  </si>
  <si>
    <t>10.3 Privacy Protocols</t>
  </si>
  <si>
    <t>Number of privacy protocols completed to establish or modify Personal Information Banks</t>
  </si>
  <si>
    <t>10.4 Institution-specific and Central Personal Information Banks</t>
  </si>
  <si>
    <t>Personal Information Banks</t>
  </si>
  <si>
    <t>Active</t>
  </si>
  <si>
    <t>Created</t>
  </si>
  <si>
    <t>Terminated</t>
  </si>
  <si>
    <t>Modified</t>
  </si>
  <si>
    <t>Institution-specific</t>
  </si>
  <si>
    <t>Central</t>
  </si>
  <si>
    <t>10.5 Info Source page</t>
  </si>
  <si>
    <t>Date of the most recent major change to Personal Information Banks on the Info Source page</t>
  </si>
  <si>
    <t>Section 11: Social Insurance Number</t>
  </si>
  <si>
    <t>Number of new programs or activities that collect or use Social Insurance Number</t>
  </si>
  <si>
    <t>Section 12: Privacy Breaches</t>
  </si>
  <si>
    <t>12.1 Material Privacy Breaches reported</t>
  </si>
  <si>
    <t>Number of material privacy breaches reported to TBS</t>
  </si>
  <si>
    <t>Number of material privacy breaches reported to OPC</t>
  </si>
  <si>
    <t>12.2 Non-Material Privacy Breaches</t>
  </si>
  <si>
    <t xml:space="preserve">Number of non-material privacy breaches </t>
  </si>
  <si>
    <t>Section 13: Privacy Training</t>
  </si>
  <si>
    <t>Number of employees that have completed privacy training during the reporting period</t>
  </si>
  <si>
    <t>Section 14: Resources Related to the Privacy Act</t>
  </si>
  <si>
    <t>14.1  Allocated Costs</t>
  </si>
  <si>
    <t>14.2  Human Resources</t>
  </si>
  <si>
    <t xml:space="preserve">Person Years Dedicated to Privacy Activities </t>
  </si>
  <si>
    <t>Inst</t>
  </si>
  <si>
    <t>Report</t>
  </si>
  <si>
    <t>2021;2022</t>
  </si>
  <si>
    <t>Q1R1C1</t>
  </si>
  <si>
    <t>1,1</t>
  </si>
  <si>
    <t>Q1R2C1</t>
  </si>
  <si>
    <t>Q1R3C1</t>
  </si>
  <si>
    <t>Q1R4C1</t>
  </si>
  <si>
    <t>Q1R5C1</t>
  </si>
  <si>
    <t>Q1R6C1</t>
  </si>
  <si>
    <t>Q1R7C1</t>
  </si>
  <si>
    <t>Q1R8C1</t>
  </si>
  <si>
    <t>Q1R9C1</t>
  </si>
  <si>
    <t>Q2R1C1</t>
  </si>
  <si>
    <t>1,2</t>
  </si>
  <si>
    <t>Q2R2C1</t>
  </si>
  <si>
    <t>Q2R3C1</t>
  </si>
  <si>
    <t>Q2R4C1</t>
  </si>
  <si>
    <t>Q2R5C1</t>
  </si>
  <si>
    <t>Q2R6C1</t>
  </si>
  <si>
    <t>Q2R7C1</t>
  </si>
  <si>
    <t>Q3R1C1</t>
  </si>
  <si>
    <t>1,3</t>
  </si>
  <si>
    <t>Q3R2C1</t>
  </si>
  <si>
    <t>Q3R3C1</t>
  </si>
  <si>
    <t>Q3R4C1</t>
  </si>
  <si>
    <t>Q3R5C1</t>
  </si>
  <si>
    <t>Q3R6C1</t>
  </si>
  <si>
    <t>Q3R7C1</t>
  </si>
  <si>
    <t>Q4R1C1</t>
  </si>
  <si>
    <t>2,1</t>
  </si>
  <si>
    <t>Q4R2C1</t>
  </si>
  <si>
    <t>Q4R3C1</t>
  </si>
  <si>
    <t>Q4R4C1</t>
  </si>
  <si>
    <t>Q4R5C1</t>
  </si>
  <si>
    <t>Q4R6C1</t>
  </si>
  <si>
    <t>Q4R7C1</t>
  </si>
  <si>
    <t>Q5R1C1</t>
  </si>
  <si>
    <t>2,2</t>
  </si>
  <si>
    <t>Q5R2C1</t>
  </si>
  <si>
    <t>Q5R3C1</t>
  </si>
  <si>
    <t>Q5R4C1</t>
  </si>
  <si>
    <t>Q5R5C1</t>
  </si>
  <si>
    <t>Q5R6C1</t>
  </si>
  <si>
    <t>Q5R7C1</t>
  </si>
  <si>
    <t>Q6R1C1</t>
  </si>
  <si>
    <t>2,3</t>
  </si>
  <si>
    <t>Q6R1C2</t>
  </si>
  <si>
    <t>Q6R1C3</t>
  </si>
  <si>
    <t>Q6R1C4</t>
  </si>
  <si>
    <t>Q6R1C5</t>
  </si>
  <si>
    <t>Q6R1C6</t>
  </si>
  <si>
    <t>Q6R1C7</t>
  </si>
  <si>
    <t>Q7R1C1</t>
  </si>
  <si>
    <t>2,4</t>
  </si>
  <si>
    <t>Q7R1C2</t>
  </si>
  <si>
    <t>Q7R1C3</t>
  </si>
  <si>
    <t>Q7R1C4</t>
  </si>
  <si>
    <t>Q7R1C5</t>
  </si>
  <si>
    <t>Q7R1C6</t>
  </si>
  <si>
    <t>Q7R1C7</t>
  </si>
  <si>
    <t>Q7R1C8</t>
  </si>
  <si>
    <t>Q7R1C9</t>
  </si>
  <si>
    <t>Q7R1C10</t>
  </si>
  <si>
    <t>Q8R1C1</t>
  </si>
  <si>
    <t>2,5</t>
  </si>
  <si>
    <t>Q8R1C2</t>
  </si>
  <si>
    <t>Q8R1C3</t>
  </si>
  <si>
    <t>Q8R1C4</t>
  </si>
  <si>
    <t>Q8R1C5</t>
  </si>
  <si>
    <t>Q8R1C6</t>
  </si>
  <si>
    <t>Q8R1C7</t>
  </si>
  <si>
    <t>Q8R1C8</t>
  </si>
  <si>
    <t>Q8R1C9</t>
  </si>
  <si>
    <t>Q8R1C10</t>
  </si>
  <si>
    <t>Q9R1C1</t>
  </si>
  <si>
    <t>Q9R2C1</t>
  </si>
  <si>
    <t>Q9R3C1</t>
  </si>
  <si>
    <t>Q9R4C1</t>
  </si>
  <si>
    <t>Q9R5C1</t>
  </si>
  <si>
    <t>Q9R6C1</t>
  </si>
  <si>
    <t>Q9R7C1</t>
  </si>
  <si>
    <t>Q10R1C1</t>
  </si>
  <si>
    <t>4,1</t>
  </si>
  <si>
    <t>Q10R1C2</t>
  </si>
  <si>
    <t>Q10R1C3</t>
  </si>
  <si>
    <t>Q10R1C4</t>
  </si>
  <si>
    <t>Q10R1C5</t>
  </si>
  <si>
    <t>Q10R1C6</t>
  </si>
  <si>
    <t>Q10R1C7</t>
  </si>
  <si>
    <t>Q10R2C1</t>
  </si>
  <si>
    <t>Q10R2C2</t>
  </si>
  <si>
    <t>Q10R2C3</t>
  </si>
  <si>
    <t>Q10R2C4</t>
  </si>
  <si>
    <t>Q10R2C5</t>
  </si>
  <si>
    <t>Q10R2C6</t>
  </si>
  <si>
    <t>Q10R2C7</t>
  </si>
  <si>
    <t>Q10R3C1</t>
  </si>
  <si>
    <t>Q10R3C2</t>
  </si>
  <si>
    <t>Q10R3C3</t>
  </si>
  <si>
    <t>Q10R3C4</t>
  </si>
  <si>
    <t>Q10R3C5</t>
  </si>
  <si>
    <t>Q10R3C6</t>
  </si>
  <si>
    <t>Q10R3C7</t>
  </si>
  <si>
    <t>Q10R4C1</t>
  </si>
  <si>
    <t>Q10R4C2</t>
  </si>
  <si>
    <t>Q10R4C3</t>
  </si>
  <si>
    <t>Q10R4C4</t>
  </si>
  <si>
    <t>Q10R4C5</t>
  </si>
  <si>
    <t>Q10R4C6</t>
  </si>
  <si>
    <t>Q10R4C7</t>
  </si>
  <si>
    <t>Q10R5C1</t>
  </si>
  <si>
    <t>Q10R5C2</t>
  </si>
  <si>
    <t>Q10R5C3</t>
  </si>
  <si>
    <t>Q10R5C4</t>
  </si>
  <si>
    <t>Q10R5C5</t>
  </si>
  <si>
    <t>Q10R5C6</t>
  </si>
  <si>
    <t>Q10R5C7</t>
  </si>
  <si>
    <t>Q10R6C1</t>
  </si>
  <si>
    <t>Q10R6C2</t>
  </si>
  <si>
    <t>Q10R6C3</t>
  </si>
  <si>
    <t>Q10R6C4</t>
  </si>
  <si>
    <t>Q10R6C5</t>
  </si>
  <si>
    <t>Q10R6C6</t>
  </si>
  <si>
    <t>Q10R6C7</t>
  </si>
  <si>
    <t>Q10R7C1</t>
  </si>
  <si>
    <t>Q10R7C2</t>
  </si>
  <si>
    <t>Q10R7C3</t>
  </si>
  <si>
    <t>Q10R7C4</t>
  </si>
  <si>
    <t>Q10R7C5</t>
  </si>
  <si>
    <t>Q10R7C6</t>
  </si>
  <si>
    <t>Q10R7C7</t>
  </si>
  <si>
    <t>Q10R8C1</t>
  </si>
  <si>
    <t>Q10R8C2</t>
  </si>
  <si>
    <t>Q10R8C3</t>
  </si>
  <si>
    <t>Q10R8C4</t>
  </si>
  <si>
    <t>Q10R8C5</t>
  </si>
  <si>
    <t>Q10R8C6</t>
  </si>
  <si>
    <t>Q10R8C7</t>
  </si>
  <si>
    <t>Q10R9C1</t>
  </si>
  <si>
    <t>Q10R9C2</t>
  </si>
  <si>
    <t>Q10R9C3</t>
  </si>
  <si>
    <t>Q10R9C4</t>
  </si>
  <si>
    <t>Q10R9C5</t>
  </si>
  <si>
    <t>Q10R9C6</t>
  </si>
  <si>
    <t>Q10R9C7</t>
  </si>
  <si>
    <t>Q11R1C1</t>
  </si>
  <si>
    <t>4,2</t>
  </si>
  <si>
    <t>Q11R2C1</t>
  </si>
  <si>
    <t>Q11R3C1</t>
  </si>
  <si>
    <t>Q11R4C1</t>
  </si>
  <si>
    <t>Q11R5C1</t>
  </si>
  <si>
    <t>Q11R6C1</t>
  </si>
  <si>
    <t>Q11R7C1</t>
  </si>
  <si>
    <t>Q11R8C1</t>
  </si>
  <si>
    <t>Q11R9C1</t>
  </si>
  <si>
    <t>Q11R10C1</t>
  </si>
  <si>
    <t>Q11R11C1</t>
  </si>
  <si>
    <t>Q11R12C1</t>
  </si>
  <si>
    <t>Q11R13C1</t>
  </si>
  <si>
    <t>Q11R14C1</t>
  </si>
  <si>
    <t>Q11R15C1</t>
  </si>
  <si>
    <t>Q11R16C1</t>
  </si>
  <si>
    <t>Q11R17C1</t>
  </si>
  <si>
    <t>Q11R18C1</t>
  </si>
  <si>
    <t>Q11R19C1</t>
  </si>
  <si>
    <t>Q11R20C1</t>
  </si>
  <si>
    <t>Q11R21C1</t>
  </si>
  <si>
    <t>Q11R22C1</t>
  </si>
  <si>
    <t>Q11R23C1</t>
  </si>
  <si>
    <t>Q11R24C1</t>
  </si>
  <si>
    <t>Q11R25C1</t>
  </si>
  <si>
    <t>Q11R26C1</t>
  </si>
  <si>
    <t>Q11R27C1</t>
  </si>
  <si>
    <t>Q11R28C1</t>
  </si>
  <si>
    <t>Q11R29C1</t>
  </si>
  <si>
    <t>Q11R30C1</t>
  </si>
  <si>
    <t>Q11R31C1</t>
  </si>
  <si>
    <t>Q11R32C1</t>
  </si>
  <si>
    <t>Q11R33C1</t>
  </si>
  <si>
    <t>Q11R34C1</t>
  </si>
  <si>
    <t>Q11R35C1</t>
  </si>
  <si>
    <t>Q11R36C1</t>
  </si>
  <si>
    <t>Q11R37C1</t>
  </si>
  <si>
    <t>Q11R38C1</t>
  </si>
  <si>
    <t>Q11R39C1</t>
  </si>
  <si>
    <t>Q11R40C1</t>
  </si>
  <si>
    <t>Q11R41C1</t>
  </si>
  <si>
    <t>Q11R42C1</t>
  </si>
  <si>
    <t>Q11R43C1</t>
  </si>
  <si>
    <t>Q11R44C1</t>
  </si>
  <si>
    <t>Q11R45C1</t>
  </si>
  <si>
    <t>Q11R46C1</t>
  </si>
  <si>
    <t>Q11R47C1</t>
  </si>
  <si>
    <t>Q11R48C1</t>
  </si>
  <si>
    <t>Q11R49C1</t>
  </si>
  <si>
    <t>Q11R50C1</t>
  </si>
  <si>
    <t>Q11R51C1</t>
  </si>
  <si>
    <t>Q11R52C1</t>
  </si>
  <si>
    <t>Q11R53C1</t>
  </si>
  <si>
    <t>Q11R54C1</t>
  </si>
  <si>
    <t>Q11R55C1</t>
  </si>
  <si>
    <t>Q11R56C1</t>
  </si>
  <si>
    <t>Q11R57C1</t>
  </si>
  <si>
    <t>Q11R58C1</t>
  </si>
  <si>
    <t>Q11R59C1</t>
  </si>
  <si>
    <t>Q11R60C1</t>
  </si>
  <si>
    <t>Q11R61C1</t>
  </si>
  <si>
    <t>Q12R1C1</t>
  </si>
  <si>
    <t>4,3</t>
  </si>
  <si>
    <t>Q12R2C1</t>
  </si>
  <si>
    <t>Q12R3C1</t>
  </si>
  <si>
    <t>Q12R4C1</t>
  </si>
  <si>
    <t>Q12R5C1</t>
  </si>
  <si>
    <t>Q12R6C1</t>
  </si>
  <si>
    <t>Q12R7C1</t>
  </si>
  <si>
    <t>Q12R8C1</t>
  </si>
  <si>
    <t>Q12R9C1</t>
  </si>
  <si>
    <t>Q12R10C1</t>
  </si>
  <si>
    <t>Q12R11C1</t>
  </si>
  <si>
    <t>Q12R12C1</t>
  </si>
  <si>
    <t>Q12R13C1</t>
  </si>
  <si>
    <t>Q12R14C1</t>
  </si>
  <si>
    <t>Q12R15C1</t>
  </si>
  <si>
    <t>Q12R16C1</t>
  </si>
  <si>
    <t>Q12R17C1</t>
  </si>
  <si>
    <t>Q12R18C1</t>
  </si>
  <si>
    <t>Q12R19C1</t>
  </si>
  <si>
    <t>Q12R20C1</t>
  </si>
  <si>
    <t>Q13R1C1</t>
  </si>
  <si>
    <t>4,4</t>
  </si>
  <si>
    <t>Q13R1C2</t>
  </si>
  <si>
    <t>Q13R1C3</t>
  </si>
  <si>
    <t>Q13R1C4</t>
  </si>
  <si>
    <t>Q13R1C5</t>
  </si>
  <si>
    <t>Q13R1C6</t>
  </si>
  <si>
    <t>Q14R1C1</t>
  </si>
  <si>
    <t>4.5.1</t>
  </si>
  <si>
    <t>Q14R1C2</t>
  </si>
  <si>
    <t>Q14R1C3</t>
  </si>
  <si>
    <t>Q15R1C1</t>
  </si>
  <si>
    <t>4.5.2</t>
  </si>
  <si>
    <t>Q15R1C2</t>
  </si>
  <si>
    <t>Q15R1C3</t>
  </si>
  <si>
    <t>Q15R1C4</t>
  </si>
  <si>
    <t>Q15R1C5</t>
  </si>
  <si>
    <t>Q15R1C6</t>
  </si>
  <si>
    <t>Q15R1C7</t>
  </si>
  <si>
    <t>Q15R1C8</t>
  </si>
  <si>
    <t>Q15R1C9</t>
  </si>
  <si>
    <t>Q15R1C10</t>
  </si>
  <si>
    <t>Q15R2C1</t>
  </si>
  <si>
    <t>Q15R2C2</t>
  </si>
  <si>
    <t>Q15R2C3</t>
  </si>
  <si>
    <t>Q15R2C4</t>
  </si>
  <si>
    <t>Q15R2C5</t>
  </si>
  <si>
    <t>Q15R2C6</t>
  </si>
  <si>
    <t>Q15R2C7</t>
  </si>
  <si>
    <t>Q15R2C8</t>
  </si>
  <si>
    <t>Q15R2C9</t>
  </si>
  <si>
    <t>Q15R2C10</t>
  </si>
  <si>
    <t>Q15R3C1</t>
  </si>
  <si>
    <t>Q15R3C2</t>
  </si>
  <si>
    <t>Q15R3C3</t>
  </si>
  <si>
    <t>Q15R3C4</t>
  </si>
  <si>
    <t>Q15R3C5</t>
  </si>
  <si>
    <t>Q15R3C6</t>
  </si>
  <si>
    <t>Q15R3C7</t>
  </si>
  <si>
    <t>Q15R3C8</t>
  </si>
  <si>
    <t>Q15R3C9</t>
  </si>
  <si>
    <t>Q15R3C10</t>
  </si>
  <si>
    <t>Q15R4C1</t>
  </si>
  <si>
    <t>Q15R4C2</t>
  </si>
  <si>
    <t>Q15R4C3</t>
  </si>
  <si>
    <t>Q15R4C4</t>
  </si>
  <si>
    <t>Q15R4C5</t>
  </si>
  <si>
    <t>Q15R4C6</t>
  </si>
  <si>
    <t>Q15R4C7</t>
  </si>
  <si>
    <t>Q15R4C8</t>
  </si>
  <si>
    <t>Q15R4C9</t>
  </si>
  <si>
    <t>Q15R4C10</t>
  </si>
  <si>
    <t>Q15R5C1</t>
  </si>
  <si>
    <t>Q15R5C2</t>
  </si>
  <si>
    <t>Q15R5C3</t>
  </si>
  <si>
    <t>Q15R5C4</t>
  </si>
  <si>
    <t>Q15R5C5</t>
  </si>
  <si>
    <t>Q15R5C6</t>
  </si>
  <si>
    <t>Q15R5C7</t>
  </si>
  <si>
    <t>Q15R5C8</t>
  </si>
  <si>
    <t>Q15R5C9</t>
  </si>
  <si>
    <t>Q15R5C10</t>
  </si>
  <si>
    <t>Q15R6C1</t>
  </si>
  <si>
    <t>Q15R6C2</t>
  </si>
  <si>
    <t>Q15R6C3</t>
  </si>
  <si>
    <t>Q15R6C4</t>
  </si>
  <si>
    <t>Q15R6C5</t>
  </si>
  <si>
    <t>Q15R6C6</t>
  </si>
  <si>
    <t>Q15R6C7</t>
  </si>
  <si>
    <t>Q15R6C8</t>
  </si>
  <si>
    <t>Q15R6C9</t>
  </si>
  <si>
    <t>Q15R6C10</t>
  </si>
  <si>
    <t>Q15R7C1</t>
  </si>
  <si>
    <t>Q15R7C2</t>
  </si>
  <si>
    <t>Q15R7C3</t>
  </si>
  <si>
    <t>Q15R7C4</t>
  </si>
  <si>
    <t>Q15R7C5</t>
  </si>
  <si>
    <t>Q15R7C6</t>
  </si>
  <si>
    <t>Q15R7C7</t>
  </si>
  <si>
    <t>Q15R7C8</t>
  </si>
  <si>
    <t>Q15R7C9</t>
  </si>
  <si>
    <t>Q15R7C10</t>
  </si>
  <si>
    <t>Q16R1C1</t>
  </si>
  <si>
    <t>4.5.3</t>
  </si>
  <si>
    <t>Q16R1C2</t>
  </si>
  <si>
    <t>Q16R1C3</t>
  </si>
  <si>
    <t>Q17R1C1</t>
  </si>
  <si>
    <t>4.5.4</t>
  </si>
  <si>
    <t>Q17R1C2</t>
  </si>
  <si>
    <t>Q17R1C3</t>
  </si>
  <si>
    <t>Q17R1C4</t>
  </si>
  <si>
    <t>Q17R1C5</t>
  </si>
  <si>
    <t>Q17R1C6</t>
  </si>
  <si>
    <t>Q17R2C1</t>
  </si>
  <si>
    <t>Q17R2C2</t>
  </si>
  <si>
    <t>Q17R2C3</t>
  </si>
  <si>
    <t>Q17R2C4</t>
  </si>
  <si>
    <t>Q17R2C5</t>
  </si>
  <si>
    <t>Q17R2C6</t>
  </si>
  <si>
    <t>Q17R3C1</t>
  </si>
  <si>
    <t>Q17R3C2</t>
  </si>
  <si>
    <t>Q17R3C3</t>
  </si>
  <si>
    <t>Q17R3C4</t>
  </si>
  <si>
    <t>Q17R3C5</t>
  </si>
  <si>
    <t>Q17R3C6</t>
  </si>
  <si>
    <t>Q17R4C1</t>
  </si>
  <si>
    <t>Q17R4C2</t>
  </si>
  <si>
    <t>Q17R4C3</t>
  </si>
  <si>
    <t>Q17R4C4</t>
  </si>
  <si>
    <t>Q17R4C5</t>
  </si>
  <si>
    <t>Q17R4C6</t>
  </si>
  <si>
    <t>Q17R5C1</t>
  </si>
  <si>
    <t>Q17R5C2</t>
  </si>
  <si>
    <t>Q17R5C3</t>
  </si>
  <si>
    <t>Q17R5C4</t>
  </si>
  <si>
    <t>Q17R5C5</t>
  </si>
  <si>
    <t>Q17R5C6</t>
  </si>
  <si>
    <t>Q17R6C1</t>
  </si>
  <si>
    <t>Q17R6C2</t>
  </si>
  <si>
    <t>Q17R6C3</t>
  </si>
  <si>
    <t>Q17R6C4</t>
  </si>
  <si>
    <t>Q17R6C5</t>
  </si>
  <si>
    <t>Q17R6C6</t>
  </si>
  <si>
    <t>Q17R7C1</t>
  </si>
  <si>
    <t>Q17R7C2</t>
  </si>
  <si>
    <t>Q17R7C3</t>
  </si>
  <si>
    <t>Q17R7C4</t>
  </si>
  <si>
    <t>Q17R7C5</t>
  </si>
  <si>
    <t>Q17R7C6</t>
  </si>
  <si>
    <t>Q18R1C1</t>
  </si>
  <si>
    <t>4.5.5</t>
  </si>
  <si>
    <t>Q18R1C2</t>
  </si>
  <si>
    <t>Q18R1C3</t>
  </si>
  <si>
    <t>Q19R1C1</t>
  </si>
  <si>
    <t>4.5.6</t>
  </si>
  <si>
    <t>Q19R1C2</t>
  </si>
  <si>
    <t>Q19R1C3</t>
  </si>
  <si>
    <t>Q19R1C4</t>
  </si>
  <si>
    <t>Q19R1C5</t>
  </si>
  <si>
    <t>Q19R1C6</t>
  </si>
  <si>
    <t>Q19R2C1</t>
  </si>
  <si>
    <t>Q19R2C2</t>
  </si>
  <si>
    <t>Q19R2C3</t>
  </si>
  <si>
    <t>Q19R2C4</t>
  </si>
  <si>
    <t>Q19R2C5</t>
  </si>
  <si>
    <t>Q19R2C6</t>
  </si>
  <si>
    <t>Q19R3C1</t>
  </si>
  <si>
    <t>Q19R3C2</t>
  </si>
  <si>
    <t>Q19R3C3</t>
  </si>
  <si>
    <t>Q19R3C4</t>
  </si>
  <si>
    <t>Q19R3C5</t>
  </si>
  <si>
    <t>Q19R3C6</t>
  </si>
  <si>
    <t>Q19R4C1</t>
  </si>
  <si>
    <t>Q19R4C2</t>
  </si>
  <si>
    <t>Q19R4C3</t>
  </si>
  <si>
    <t>Q19R4C4</t>
  </si>
  <si>
    <t>Q19R4C5</t>
  </si>
  <si>
    <t>Q19R4C6</t>
  </si>
  <si>
    <t>Q19R5C1</t>
  </si>
  <si>
    <t>Q19R5C2</t>
  </si>
  <si>
    <t>Q19R5C3</t>
  </si>
  <si>
    <t>Q19R5C4</t>
  </si>
  <si>
    <t>Q19R5C5</t>
  </si>
  <si>
    <t>Q19R5C6</t>
  </si>
  <si>
    <t>Q19R6C1</t>
  </si>
  <si>
    <t>Q19R6C2</t>
  </si>
  <si>
    <t>Q19R6C3</t>
  </si>
  <si>
    <t>Q19R6C4</t>
  </si>
  <si>
    <t>Q19R6C5</t>
  </si>
  <si>
    <t>Q19R6C6</t>
  </si>
  <si>
    <t>Q19R7C1</t>
  </si>
  <si>
    <t>Q19R7C2</t>
  </si>
  <si>
    <t>Q19R7C3</t>
  </si>
  <si>
    <t>Q19R7C4</t>
  </si>
  <si>
    <t>Q19R7C5</t>
  </si>
  <si>
    <t>Q19R7C6</t>
  </si>
  <si>
    <t>Q20R1C1</t>
  </si>
  <si>
    <t>4.5.7</t>
  </si>
  <si>
    <t>Q20R1C2</t>
  </si>
  <si>
    <t>Q20R1C3</t>
  </si>
  <si>
    <t>Q20R2C1</t>
  </si>
  <si>
    <t>Q20R2C2</t>
  </si>
  <si>
    <t>Q20R2C3</t>
  </si>
  <si>
    <t>Q20R3C1</t>
  </si>
  <si>
    <t>Q20R3C2</t>
  </si>
  <si>
    <t>Q20R3C3</t>
  </si>
  <si>
    <t>Q20R4C1</t>
  </si>
  <si>
    <t>Q20R4C2</t>
  </si>
  <si>
    <t>Q20R4C3</t>
  </si>
  <si>
    <t>Q20R5C1</t>
  </si>
  <si>
    <t>Q20R5C2</t>
  </si>
  <si>
    <t>Q20R5C3</t>
  </si>
  <si>
    <t>Q20R6C1</t>
  </si>
  <si>
    <t>Q20R6C2</t>
  </si>
  <si>
    <t>Q20R6C3</t>
  </si>
  <si>
    <t>Q20R7C1</t>
  </si>
  <si>
    <t>Q20R7C2</t>
  </si>
  <si>
    <t>Q20R7C3</t>
  </si>
  <si>
    <t>Q21R1C1</t>
  </si>
  <si>
    <t>4.6.1</t>
  </si>
  <si>
    <t>Q21R2C1</t>
  </si>
  <si>
    <t>Q22R1C1</t>
  </si>
  <si>
    <t>4.7.1</t>
  </si>
  <si>
    <t>Q22R1C2</t>
  </si>
  <si>
    <t>Q22R1C3</t>
  </si>
  <si>
    <t>Q22R1C4</t>
  </si>
  <si>
    <t>Q22R1C5</t>
  </si>
  <si>
    <t>Q23R1C1</t>
  </si>
  <si>
    <t>4.7.2</t>
  </si>
  <si>
    <t>Q23R1C2</t>
  </si>
  <si>
    <t>Q23R2C1</t>
  </si>
  <si>
    <t>Q23R2C2</t>
  </si>
  <si>
    <t>Q23R3C1</t>
  </si>
  <si>
    <t>Q23R3C2</t>
  </si>
  <si>
    <t>Q23R4C1</t>
  </si>
  <si>
    <t>Q23R4C2</t>
  </si>
  <si>
    <t>Q23R5C1</t>
  </si>
  <si>
    <t>Q23R5C2</t>
  </si>
  <si>
    <t>Q23R6C1</t>
  </si>
  <si>
    <t>Q23R6C2</t>
  </si>
  <si>
    <t>Q23R7C1</t>
  </si>
  <si>
    <t>Q23R7C2</t>
  </si>
  <si>
    <t>Q24R1C1</t>
  </si>
  <si>
    <t>4,8</t>
  </si>
  <si>
    <t>Q24R1C2</t>
  </si>
  <si>
    <t>Q24R2C1</t>
  </si>
  <si>
    <t>Q24R2C2</t>
  </si>
  <si>
    <t>Q25R1C1</t>
  </si>
  <si>
    <t>5,1</t>
  </si>
  <si>
    <t>Q25R1C2</t>
  </si>
  <si>
    <t>Q25R1C3</t>
  </si>
  <si>
    <t>Q25R1C4</t>
  </si>
  <si>
    <t>Q25R2C1</t>
  </si>
  <si>
    <t>Q25R2C2</t>
  </si>
  <si>
    <t>Q25R2C3</t>
  </si>
  <si>
    <t>Q25R2C4</t>
  </si>
  <si>
    <t>Q25R3C1</t>
  </si>
  <si>
    <t>Q25R3C2</t>
  </si>
  <si>
    <t>Q25R3C3</t>
  </si>
  <si>
    <t>Q25R3C4</t>
  </si>
  <si>
    <t>Q25R4C1</t>
  </si>
  <si>
    <t>Q25R4C2</t>
  </si>
  <si>
    <t>Q25R4C3</t>
  </si>
  <si>
    <t>Q25R4C4</t>
  </si>
  <si>
    <t>Q25R5C1</t>
  </si>
  <si>
    <t>Q25R5C2</t>
  </si>
  <si>
    <t>Q25R5C3</t>
  </si>
  <si>
    <t>Q25R5C4</t>
  </si>
  <si>
    <t>Q25R6C1</t>
  </si>
  <si>
    <t>Q25R6C2</t>
  </si>
  <si>
    <t>Q25R6C3</t>
  </si>
  <si>
    <t>Q25R6C4</t>
  </si>
  <si>
    <t>Q25R7C1</t>
  </si>
  <si>
    <t>Q25R7C2</t>
  </si>
  <si>
    <t>Q25R7C3</t>
  </si>
  <si>
    <t>Q25R7C4</t>
  </si>
  <si>
    <t>Q26R1C1</t>
  </si>
  <si>
    <t>5,2</t>
  </si>
  <si>
    <t>Q26R1C2</t>
  </si>
  <si>
    <t>Q26R1C3</t>
  </si>
  <si>
    <t>Q26R1C4</t>
  </si>
  <si>
    <t>Q26R2C1</t>
  </si>
  <si>
    <t>Q26R2C2</t>
  </si>
  <si>
    <t>Q26R2C3</t>
  </si>
  <si>
    <t>Q26R2C4</t>
  </si>
  <si>
    <t>Q26R3C1</t>
  </si>
  <si>
    <t>Q26R3C2</t>
  </si>
  <si>
    <t>Q26R3C3</t>
  </si>
  <si>
    <t>Q26R3C4</t>
  </si>
  <si>
    <t>Q26R4C1</t>
  </si>
  <si>
    <t>Q26R4C2</t>
  </si>
  <si>
    <t>Q26R4C3</t>
  </si>
  <si>
    <t>Q26R4C4</t>
  </si>
  <si>
    <t>Q26R5C1</t>
  </si>
  <si>
    <t>Q26R5C2</t>
  </si>
  <si>
    <t>Q26R5C3</t>
  </si>
  <si>
    <t>Q26R5C4</t>
  </si>
  <si>
    <t>Q26R6C1</t>
  </si>
  <si>
    <t>Q26R6C2</t>
  </si>
  <si>
    <t>Q26R6C3</t>
  </si>
  <si>
    <t>Q26R6C4</t>
  </si>
  <si>
    <t>Q27R1C1</t>
  </si>
  <si>
    <t>Q27R1C2</t>
  </si>
  <si>
    <t>Q27R1C3</t>
  </si>
  <si>
    <t>Q27R1C4</t>
  </si>
  <si>
    <t>Q27R1C5</t>
  </si>
  <si>
    <t>Q27R1C6</t>
  </si>
  <si>
    <t>Q27R2C1</t>
  </si>
  <si>
    <t>Q27R2C2</t>
  </si>
  <si>
    <t>Q27R2C3</t>
  </si>
  <si>
    <t>Q27R2C4</t>
  </si>
  <si>
    <t>Q27R2C5</t>
  </si>
  <si>
    <t>Q27R2C6</t>
  </si>
  <si>
    <t>Q28R1C1</t>
  </si>
  <si>
    <t>7,1</t>
  </si>
  <si>
    <t>Q28R1C2</t>
  </si>
  <si>
    <t>Q28R1C3</t>
  </si>
  <si>
    <t>Q28R1C4</t>
  </si>
  <si>
    <t>Q28R2C1</t>
  </si>
  <si>
    <t>Q28R2C2</t>
  </si>
  <si>
    <t>Q28R2C3</t>
  </si>
  <si>
    <t>Q28R2C4</t>
  </si>
  <si>
    <t>Q28R3C1</t>
  </si>
  <si>
    <t>Q28R3C2</t>
  </si>
  <si>
    <t>Q28R3C3</t>
  </si>
  <si>
    <t>Q28R3C4</t>
  </si>
  <si>
    <t>Q28R4C1</t>
  </si>
  <si>
    <t>Q28R4C2</t>
  </si>
  <si>
    <t>Q28R4C3</t>
  </si>
  <si>
    <t>Q28R4C4</t>
  </si>
  <si>
    <t>Q28R5C1</t>
  </si>
  <si>
    <t>Q28R5C2</t>
  </si>
  <si>
    <t>Q28R5C3</t>
  </si>
  <si>
    <t>Q28R5C4</t>
  </si>
  <si>
    <t>Q29R1C1</t>
  </si>
  <si>
    <t>7,2</t>
  </si>
  <si>
    <t>Q29R1C2</t>
  </si>
  <si>
    <t>Q29R1C3</t>
  </si>
  <si>
    <t>Q29R1C4</t>
  </si>
  <si>
    <t>Q29R1C5</t>
  </si>
  <si>
    <t>Q29R1C6</t>
  </si>
  <si>
    <t>Q29R1C7</t>
  </si>
  <si>
    <t>Q29R2C1</t>
  </si>
  <si>
    <t>Q29R2C2</t>
  </si>
  <si>
    <t>Q29R2C3</t>
  </si>
  <si>
    <t>Q29R2C4</t>
  </si>
  <si>
    <t>Q29R2C5</t>
  </si>
  <si>
    <t>Q29R2C6</t>
  </si>
  <si>
    <t>Q29R2C7</t>
  </si>
  <si>
    <t>Q29R3C1</t>
  </si>
  <si>
    <t>Q29R3C2</t>
  </si>
  <si>
    <t>Q29R3C3</t>
  </si>
  <si>
    <t>Q29R3C4</t>
  </si>
  <si>
    <t>Q29R3C5</t>
  </si>
  <si>
    <t>Q29R3C6</t>
  </si>
  <si>
    <t>Q29R3C7</t>
  </si>
  <si>
    <t>Q29R4C1</t>
  </si>
  <si>
    <t>Q29R4C2</t>
  </si>
  <si>
    <t>Q29R4C3</t>
  </si>
  <si>
    <t>Q29R4C4</t>
  </si>
  <si>
    <t>Q29R4C5</t>
  </si>
  <si>
    <t>Q29R4C6</t>
  </si>
  <si>
    <t>Q29R4C7</t>
  </si>
  <si>
    <t>Q29R5C1</t>
  </si>
  <si>
    <t>Q29R5C2</t>
  </si>
  <si>
    <t>Q29R5C3</t>
  </si>
  <si>
    <t>Q29R5C4</t>
  </si>
  <si>
    <t>Q29R5C5</t>
  </si>
  <si>
    <t>Q29R5C6</t>
  </si>
  <si>
    <t>Q29R5C7</t>
  </si>
  <si>
    <t>Q29R6C1</t>
  </si>
  <si>
    <t>Q29R6C2</t>
  </si>
  <si>
    <t>Q29R6C3</t>
  </si>
  <si>
    <t>Q29R6C4</t>
  </si>
  <si>
    <t>Q29R6C5</t>
  </si>
  <si>
    <t>Q29R6C6</t>
  </si>
  <si>
    <t>Q29R6C7</t>
  </si>
  <si>
    <t>Q30R1C1</t>
  </si>
  <si>
    <t>7,3</t>
  </si>
  <si>
    <t>Q30R1C2</t>
  </si>
  <si>
    <t>Q30R1C3</t>
  </si>
  <si>
    <t>Q30R1C4</t>
  </si>
  <si>
    <t>Q30R1C5</t>
  </si>
  <si>
    <t>Q30R1C6</t>
  </si>
  <si>
    <t>Q30R1C7</t>
  </si>
  <si>
    <t>Q30R2C1</t>
  </si>
  <si>
    <t>Q30R2C2</t>
  </si>
  <si>
    <t>Q30R2C3</t>
  </si>
  <si>
    <t>Q30R2C4</t>
  </si>
  <si>
    <t>Q30R2C5</t>
  </si>
  <si>
    <t>Q30R2C6</t>
  </si>
  <si>
    <t>Q30R2C7</t>
  </si>
  <si>
    <t>Q30R3C1</t>
  </si>
  <si>
    <t>Q30R3C2</t>
  </si>
  <si>
    <t>Q30R3C3</t>
  </si>
  <si>
    <t>Q30R3C4</t>
  </si>
  <si>
    <t>Q30R3C5</t>
  </si>
  <si>
    <t>Q30R3C6</t>
  </si>
  <si>
    <t>Q30R3C7</t>
  </si>
  <si>
    <t>Q30R4C1</t>
  </si>
  <si>
    <t>Q30R4C2</t>
  </si>
  <si>
    <t>Q30R4C3</t>
  </si>
  <si>
    <t>Q30R4C4</t>
  </si>
  <si>
    <t>Q30R4C5</t>
  </si>
  <si>
    <t>Q30R4C6</t>
  </si>
  <si>
    <t>Q30R4C7</t>
  </si>
  <si>
    <t>Q30R5C1</t>
  </si>
  <si>
    <t>Q30R5C2</t>
  </si>
  <si>
    <t>Q30R5C3</t>
  </si>
  <si>
    <t>Q30R5C4</t>
  </si>
  <si>
    <t>Q30R5C5</t>
  </si>
  <si>
    <t>Q30R5C6</t>
  </si>
  <si>
    <t>Q30R5C7</t>
  </si>
  <si>
    <t>Q30R6C1</t>
  </si>
  <si>
    <t>Q30R6C2</t>
  </si>
  <si>
    <t>Q30R6C3</t>
  </si>
  <si>
    <t>Q30R6C4</t>
  </si>
  <si>
    <t>Q30R6C5</t>
  </si>
  <si>
    <t>Q30R6C6</t>
  </si>
  <si>
    <t>Q30R6C7</t>
  </si>
  <si>
    <t>Q31R1C1</t>
  </si>
  <si>
    <t>8,1</t>
  </si>
  <si>
    <t>Q31R1C2</t>
  </si>
  <si>
    <t>Q31R1C3</t>
  </si>
  <si>
    <t>Q31R1C4</t>
  </si>
  <si>
    <t>Q31R1C5</t>
  </si>
  <si>
    <t>Q31R1C6</t>
  </si>
  <si>
    <t>Q31R1C7</t>
  </si>
  <si>
    <t>Q31R1C8</t>
  </si>
  <si>
    <t>Q31R1C9</t>
  </si>
  <si>
    <t>Q31R1C10</t>
  </si>
  <si>
    <t>Q31R2C1</t>
  </si>
  <si>
    <t>Q31R2C2</t>
  </si>
  <si>
    <t>Q31R2C3</t>
  </si>
  <si>
    <t>Q31R2C4</t>
  </si>
  <si>
    <t>Q31R2C5</t>
  </si>
  <si>
    <t>Q31R2C6</t>
  </si>
  <si>
    <t>Q31R2C7</t>
  </si>
  <si>
    <t>Q31R2C8</t>
  </si>
  <si>
    <t>Q31R2C9</t>
  </si>
  <si>
    <t>Q31R2C10</t>
  </si>
  <si>
    <t>Q31R3C1</t>
  </si>
  <si>
    <t>Q31R3C2</t>
  </si>
  <si>
    <t>Q31R3C3</t>
  </si>
  <si>
    <t>Q31R3C4</t>
  </si>
  <si>
    <t>Q31R3C5</t>
  </si>
  <si>
    <t>Q31R3C6</t>
  </si>
  <si>
    <t>Q31R3C7</t>
  </si>
  <si>
    <t>Q31R3C8</t>
  </si>
  <si>
    <t>Q31R3C9</t>
  </si>
  <si>
    <t>Q31R3C10</t>
  </si>
  <si>
    <t>Q31R4C1</t>
  </si>
  <si>
    <t>Q31R4C2</t>
  </si>
  <si>
    <t>Q31R4C3</t>
  </si>
  <si>
    <t>Q31R4C4</t>
  </si>
  <si>
    <t>Q31R4C5</t>
  </si>
  <si>
    <t>Q31R4C6</t>
  </si>
  <si>
    <t>Q31R4C7</t>
  </si>
  <si>
    <t>Q31R4C8</t>
  </si>
  <si>
    <t>Q31R4C9</t>
  </si>
  <si>
    <t>Q31R4C10</t>
  </si>
  <si>
    <t>Q31R5C1</t>
  </si>
  <si>
    <t>Q31R5C2</t>
  </si>
  <si>
    <t>Q31R5C3</t>
  </si>
  <si>
    <t>Q31R5C4</t>
  </si>
  <si>
    <t>Q31R5C5</t>
  </si>
  <si>
    <t>Q31R5C6</t>
  </si>
  <si>
    <t>Q31R5C7</t>
  </si>
  <si>
    <t>Q31R5C8</t>
  </si>
  <si>
    <t>Q31R5C9</t>
  </si>
  <si>
    <t>Q31R5C10</t>
  </si>
  <si>
    <t>Q31R6C1</t>
  </si>
  <si>
    <t>Q31R6C2</t>
  </si>
  <si>
    <t>Q31R6C3</t>
  </si>
  <si>
    <t>Q31R6C4</t>
  </si>
  <si>
    <t>Q31R6C5</t>
  </si>
  <si>
    <t>Q31R6C6</t>
  </si>
  <si>
    <t>Q31R6C7</t>
  </si>
  <si>
    <t>Q31R6C8</t>
  </si>
  <si>
    <t>Q31R6C9</t>
  </si>
  <si>
    <t>Q31R6C10</t>
  </si>
  <si>
    <t>Q31R7C1</t>
  </si>
  <si>
    <t>Q31R7C2</t>
  </si>
  <si>
    <t>Q31R7C3</t>
  </si>
  <si>
    <t>Q31R7C4</t>
  </si>
  <si>
    <t>Q31R7C5</t>
  </si>
  <si>
    <t>Q31R7C6</t>
  </si>
  <si>
    <t>Q31R7C7</t>
  </si>
  <si>
    <t>Q31R7C8</t>
  </si>
  <si>
    <t>Q31R7C9</t>
  </si>
  <si>
    <t>Q31R7C10</t>
  </si>
  <si>
    <t>Q32R1C1</t>
  </si>
  <si>
    <t>8,2</t>
  </si>
  <si>
    <t>Q32R1C2</t>
  </si>
  <si>
    <t>Q32R1C3</t>
  </si>
  <si>
    <t>Q32R1C4</t>
  </si>
  <si>
    <t>Q32R1C5</t>
  </si>
  <si>
    <t>Q32R1C6</t>
  </si>
  <si>
    <t>Q32R1C7</t>
  </si>
  <si>
    <t>Q32R1C8</t>
  </si>
  <si>
    <t>Q32R1C9</t>
  </si>
  <si>
    <t>Q32R1C10</t>
  </si>
  <si>
    <t>Q32R2C1</t>
  </si>
  <si>
    <t>Q32R2C2</t>
  </si>
  <si>
    <t>Q32R2C3</t>
  </si>
  <si>
    <t>Q32R2C4</t>
  </si>
  <si>
    <t>Q32R2C5</t>
  </si>
  <si>
    <t>Q32R2C6</t>
  </si>
  <si>
    <t>Q32R2C7</t>
  </si>
  <si>
    <t>Q32R2C8</t>
  </si>
  <si>
    <t>Q32R2C9</t>
  </si>
  <si>
    <t>Q32R2C10</t>
  </si>
  <si>
    <t>Q32R3C1</t>
  </si>
  <si>
    <t>Q32R3C2</t>
  </si>
  <si>
    <t>Q32R3C3</t>
  </si>
  <si>
    <t>Q32R3C4</t>
  </si>
  <si>
    <t>Q32R3C5</t>
  </si>
  <si>
    <t>Q32R3C6</t>
  </si>
  <si>
    <t>Q32R3C7</t>
  </si>
  <si>
    <t>Q32R3C8</t>
  </si>
  <si>
    <t>Q32R3C9</t>
  </si>
  <si>
    <t>Q32R3C10</t>
  </si>
  <si>
    <t>Q32R4C1</t>
  </si>
  <si>
    <t>Q32R4C2</t>
  </si>
  <si>
    <t>Q32R4C3</t>
  </si>
  <si>
    <t>Q32R4C4</t>
  </si>
  <si>
    <t>Q32R4C5</t>
  </si>
  <si>
    <t>Q32R4C6</t>
  </si>
  <si>
    <t>Q32R4C7</t>
  </si>
  <si>
    <t>Q32R4C8</t>
  </si>
  <si>
    <t>Q32R4C9</t>
  </si>
  <si>
    <t>Q32R4C10</t>
  </si>
  <si>
    <t>Q32R5C1</t>
  </si>
  <si>
    <t>Q32R5C2</t>
  </si>
  <si>
    <t>Q32R5C3</t>
  </si>
  <si>
    <t>Q32R5C4</t>
  </si>
  <si>
    <t>Q32R5C5</t>
  </si>
  <si>
    <t>Q32R5C6</t>
  </si>
  <si>
    <t>Q32R5C7</t>
  </si>
  <si>
    <t>Q32R5C8</t>
  </si>
  <si>
    <t>Q32R5C9</t>
  </si>
  <si>
    <t>Q32R5C10</t>
  </si>
  <si>
    <t>Q32R6C1</t>
  </si>
  <si>
    <t>Q32R6C2</t>
  </si>
  <si>
    <t>Q32R6C3</t>
  </si>
  <si>
    <t>Q32R6C4</t>
  </si>
  <si>
    <t>Q32R6C5</t>
  </si>
  <si>
    <t>Q32R6C6</t>
  </si>
  <si>
    <t>Q32R6C7</t>
  </si>
  <si>
    <t>Q32R6C8</t>
  </si>
  <si>
    <t>Q32R6C9</t>
  </si>
  <si>
    <t>Q32R6C10</t>
  </si>
  <si>
    <t>Q32R7C1</t>
  </si>
  <si>
    <t>Q32R7C2</t>
  </si>
  <si>
    <t>Q32R7C3</t>
  </si>
  <si>
    <t>Q32R7C4</t>
  </si>
  <si>
    <t>Q32R7C5</t>
  </si>
  <si>
    <t>Q32R7C6</t>
  </si>
  <si>
    <t>Q32R7C7</t>
  </si>
  <si>
    <t>Q32R7C8</t>
  </si>
  <si>
    <t>Q32R7C9</t>
  </si>
  <si>
    <t>Q32R7C10</t>
  </si>
  <si>
    <t>Q33R1C1</t>
  </si>
  <si>
    <t>9,1</t>
  </si>
  <si>
    <t>Q33R1C2</t>
  </si>
  <si>
    <t>Q33R1C3</t>
  </si>
  <si>
    <t>Q34R1C1</t>
  </si>
  <si>
    <t>9,2</t>
  </si>
  <si>
    <t>Q34R1C2</t>
  </si>
  <si>
    <t>Q34R1C3</t>
  </si>
  <si>
    <t>Q34R1C4</t>
  </si>
  <si>
    <t>Q34R1C5</t>
  </si>
  <si>
    <t>Q34R1C6</t>
  </si>
  <si>
    <t>Q35R1C1</t>
  </si>
  <si>
    <t>10,1</t>
  </si>
  <si>
    <t>Q35R1C2</t>
  </si>
  <si>
    <t>Q35R1C3</t>
  </si>
  <si>
    <t>Q35R1C4</t>
  </si>
  <si>
    <t>Q36R1C1</t>
  </si>
  <si>
    <t>10,2</t>
  </si>
  <si>
    <t>Q37R1C1</t>
  </si>
  <si>
    <t>11,1</t>
  </si>
  <si>
    <t>Q37R2C1</t>
  </si>
  <si>
    <t>Q37R3C1</t>
  </si>
  <si>
    <t>Q37R4C1</t>
  </si>
  <si>
    <t>Q37R5C1</t>
  </si>
  <si>
    <t>Q38R1C1</t>
  </si>
  <si>
    <t>11,2</t>
  </si>
  <si>
    <t>Q38R2C1</t>
  </si>
  <si>
    <t>Q38R3C1</t>
  </si>
  <si>
    <t>Q38R4C1</t>
  </si>
  <si>
    <t>Q38R5C1</t>
  </si>
  <si>
    <t>Q5R1C2</t>
  </si>
  <si>
    <t>Q5R1C3</t>
  </si>
  <si>
    <t>Q5R1C4</t>
  </si>
  <si>
    <t>Q5R1C5</t>
  </si>
  <si>
    <t>Q5R1C6</t>
  </si>
  <si>
    <t>Q5R1C7</t>
  </si>
  <si>
    <t>Q6R1C8</t>
  </si>
  <si>
    <t>Q6R1C9</t>
  </si>
  <si>
    <t>Q6R1C10</t>
  </si>
  <si>
    <t>3,1</t>
  </si>
  <si>
    <t>Q7R2C1</t>
  </si>
  <si>
    <t>Q7R2C2</t>
  </si>
  <si>
    <t>Q7R2C3</t>
  </si>
  <si>
    <t>Q7R2C4</t>
  </si>
  <si>
    <t>Q7R2C5</t>
  </si>
  <si>
    <t>Q7R2C6</t>
  </si>
  <si>
    <t>Q7R3C7</t>
  </si>
  <si>
    <t>Q7R3C1</t>
  </si>
  <si>
    <t>Q7R3C2</t>
  </si>
  <si>
    <t>Q7R3C3</t>
  </si>
  <si>
    <t>Q7R3C4</t>
  </si>
  <si>
    <t>Q7R3C5</t>
  </si>
  <si>
    <t>Q7R3C6</t>
  </si>
  <si>
    <t>Q7R4C1</t>
  </si>
  <si>
    <t>Q7R4C2</t>
  </si>
  <si>
    <t>Q7R4C3</t>
  </si>
  <si>
    <t>Q7R4C4</t>
  </si>
  <si>
    <t>Q7R4C5</t>
  </si>
  <si>
    <t>Q7R4C6</t>
  </si>
  <si>
    <t>Q7R4C7</t>
  </si>
  <si>
    <t>Q7R5C1</t>
  </si>
  <si>
    <t>Q7R5C2</t>
  </si>
  <si>
    <t>Q7R5C3</t>
  </si>
  <si>
    <t>Q7R5C4</t>
  </si>
  <si>
    <t>Q7R5C5</t>
  </si>
  <si>
    <t>Q7R5C6</t>
  </si>
  <si>
    <t>Q7R5C7</t>
  </si>
  <si>
    <t>Q7R6C1</t>
  </si>
  <si>
    <t>Q7R6C2</t>
  </si>
  <si>
    <t>Q7R6C3</t>
  </si>
  <si>
    <t>Q7R6C4</t>
  </si>
  <si>
    <t>Q7R6C5</t>
  </si>
  <si>
    <t>Q7R6C6</t>
  </si>
  <si>
    <t>Q7R6C7</t>
  </si>
  <si>
    <t>Q7R7C1</t>
  </si>
  <si>
    <t>Q7R7C2</t>
  </si>
  <si>
    <t>Q7R7C3</t>
  </si>
  <si>
    <t>Q7R7C4</t>
  </si>
  <si>
    <t>Q7R7C5</t>
  </si>
  <si>
    <t>Q7R7C6</t>
  </si>
  <si>
    <t>Q7R7C7</t>
  </si>
  <si>
    <t>3,2</t>
  </si>
  <si>
    <t>Q8R2C1</t>
  </si>
  <si>
    <t>Q8R3C1</t>
  </si>
  <si>
    <t>Q8R4C1</t>
  </si>
  <si>
    <t>Q8R5C1</t>
  </si>
  <si>
    <t>Q8R6C1</t>
  </si>
  <si>
    <t>Q8R7C1</t>
  </si>
  <si>
    <t>Q8R8C1</t>
  </si>
  <si>
    <t>Q8R9C1</t>
  </si>
  <si>
    <t>Q8R10C1</t>
  </si>
  <si>
    <t>Q8R11C1</t>
  </si>
  <si>
    <t>Q8R12C1</t>
  </si>
  <si>
    <t>Q8R13C1</t>
  </si>
  <si>
    <t>Q8R14C1</t>
  </si>
  <si>
    <t>Q8R15C1</t>
  </si>
  <si>
    <t>Q8R16C1</t>
  </si>
  <si>
    <t>Q8R17C1</t>
  </si>
  <si>
    <t>Q8R18C1</t>
  </si>
  <si>
    <t>Q8R19C1</t>
  </si>
  <si>
    <t>Q8R20C1</t>
  </si>
  <si>
    <t>Q8R21C1</t>
  </si>
  <si>
    <t>Q8R22C1</t>
  </si>
  <si>
    <t>Q8R23C1</t>
  </si>
  <si>
    <t>Q8R24C1</t>
  </si>
  <si>
    <t>Q8R25C1</t>
  </si>
  <si>
    <t>Q8R26C1</t>
  </si>
  <si>
    <t>Q8R27C1</t>
  </si>
  <si>
    <t>Q8R28C1</t>
  </si>
  <si>
    <t>3,3</t>
  </si>
  <si>
    <t>Q9R8C1</t>
  </si>
  <si>
    <t>Q9R9C1</t>
  </si>
  <si>
    <t>Q9R10C1</t>
  </si>
  <si>
    <t>Q9R11C1</t>
  </si>
  <si>
    <t>3,4</t>
  </si>
  <si>
    <t>3.5.1</t>
  </si>
  <si>
    <t>Q11R1C2</t>
  </si>
  <si>
    <t>Q11R1C3</t>
  </si>
  <si>
    <t>3.5.2</t>
  </si>
  <si>
    <t>Q12R1C2</t>
  </si>
  <si>
    <t>Q12R1C3</t>
  </si>
  <si>
    <t>Q12R1C4</t>
  </si>
  <si>
    <t>Q12R1C5</t>
  </si>
  <si>
    <t>Q12R1C6</t>
  </si>
  <si>
    <t>Q12R1C7</t>
  </si>
  <si>
    <t>Q12R1C8</t>
  </si>
  <si>
    <t>Q12R1C9</t>
  </si>
  <si>
    <t>Q12R1C10</t>
  </si>
  <si>
    <t>Q12R2C2</t>
  </si>
  <si>
    <t>Q12R2C3</t>
  </si>
  <si>
    <t>Q12R2C4</t>
  </si>
  <si>
    <t>Q12R2C5</t>
  </si>
  <si>
    <t>Q12R2C6</t>
  </si>
  <si>
    <t>Q12R2C7</t>
  </si>
  <si>
    <t>Q12R2C8</t>
  </si>
  <si>
    <t>Q12R2C9</t>
  </si>
  <si>
    <t>Q12R2C10</t>
  </si>
  <si>
    <t>Q12R3C2</t>
  </si>
  <si>
    <t>Q12R3C3</t>
  </si>
  <si>
    <t>Q12R3C4</t>
  </si>
  <si>
    <t>Q12R3C5</t>
  </si>
  <si>
    <t>Q12R3C6</t>
  </si>
  <si>
    <t>Q12R3C7</t>
  </si>
  <si>
    <t>Q12R3C8</t>
  </si>
  <si>
    <t>Q12R3C9</t>
  </si>
  <si>
    <t>Q12R3C10</t>
  </si>
  <si>
    <t>Q12R4C2</t>
  </si>
  <si>
    <t>Q12R4C3</t>
  </si>
  <si>
    <t>Q12R4C4</t>
  </si>
  <si>
    <t>Q12R4C5</t>
  </si>
  <si>
    <t>Q12R4C6</t>
  </si>
  <si>
    <t>Q12R4C7</t>
  </si>
  <si>
    <t>Q12R4C8</t>
  </si>
  <si>
    <t>Q12R4C9</t>
  </si>
  <si>
    <t>Q12R4C10</t>
  </si>
  <si>
    <t>Q12R5C2</t>
  </si>
  <si>
    <t>Q12R5C3</t>
  </si>
  <si>
    <t>Q12R5C4</t>
  </si>
  <si>
    <t>Q12R5C5</t>
  </si>
  <si>
    <t>Q12R5C6</t>
  </si>
  <si>
    <t>Q12R5C7</t>
  </si>
  <si>
    <t>Q12R5C8</t>
  </si>
  <si>
    <t>Q12R5C9</t>
  </si>
  <si>
    <t>Q12R5C10</t>
  </si>
  <si>
    <t>Q12R6C2</t>
  </si>
  <si>
    <t>Q12R6C3</t>
  </si>
  <si>
    <t>Q12R6C4</t>
  </si>
  <si>
    <t>Q12R6C5</t>
  </si>
  <si>
    <t>Q12R6C6</t>
  </si>
  <si>
    <t>Q12R6C7</t>
  </si>
  <si>
    <t>Q12R6C8</t>
  </si>
  <si>
    <t>Q12R6C9</t>
  </si>
  <si>
    <t>Q12R6C10</t>
  </si>
  <si>
    <t>3.5.3</t>
  </si>
  <si>
    <t>3.5.4</t>
  </si>
  <si>
    <t>Q14R1C4</t>
  </si>
  <si>
    <t>Q14R1C5</t>
  </si>
  <si>
    <t>Q14R1C6</t>
  </si>
  <si>
    <t>Q14R2C1</t>
  </si>
  <si>
    <t>Q14R2C2</t>
  </si>
  <si>
    <t>Q14R2C3</t>
  </si>
  <si>
    <t>Q14R2C4</t>
  </si>
  <si>
    <t>Q14R2C5</t>
  </si>
  <si>
    <t>Q14R2C6</t>
  </si>
  <si>
    <t>Q14R3C1</t>
  </si>
  <si>
    <t>Q14R3C2</t>
  </si>
  <si>
    <t>Q14R3C3</t>
  </si>
  <si>
    <t>Q14R3C4</t>
  </si>
  <si>
    <t>Q14R3C5</t>
  </si>
  <si>
    <t>Q14R3C6</t>
  </si>
  <si>
    <t>Q14R4C1</t>
  </si>
  <si>
    <t>Q14R4C2</t>
  </si>
  <si>
    <t>Q14R4C3</t>
  </si>
  <si>
    <t>Q14R4C4</t>
  </si>
  <si>
    <t>Q14R4C5</t>
  </si>
  <si>
    <t>Q14R4C6</t>
  </si>
  <si>
    <t>Q14R5C1</t>
  </si>
  <si>
    <t>Q14R5C2</t>
  </si>
  <si>
    <t>Q14R5C3</t>
  </si>
  <si>
    <t>Q14R5C4</t>
  </si>
  <si>
    <t>Q14R5C5</t>
  </si>
  <si>
    <t>Q14R5C6</t>
  </si>
  <si>
    <t>Q14R6C1</t>
  </si>
  <si>
    <t>Q14R6C2</t>
  </si>
  <si>
    <t>Q14R6C3</t>
  </si>
  <si>
    <t>Q14R6C4</t>
  </si>
  <si>
    <t>Q14R6C5</t>
  </si>
  <si>
    <t>Q14R6C6</t>
  </si>
  <si>
    <t>3.5.5</t>
  </si>
  <si>
    <t>3.5.6</t>
  </si>
  <si>
    <t>Q16R1C4</t>
  </si>
  <si>
    <t>Q16R1C5</t>
  </si>
  <si>
    <t>Q16R1C6</t>
  </si>
  <si>
    <t>Q16R2C1</t>
  </si>
  <si>
    <t>Q16R2C2</t>
  </si>
  <si>
    <t>Q16R2C3</t>
  </si>
  <si>
    <t>Q16R2C4</t>
  </si>
  <si>
    <t>Q16R2C5</t>
  </si>
  <si>
    <t>Q16R2C6</t>
  </si>
  <si>
    <t>Q16R3C1</t>
  </si>
  <si>
    <t>Q16R3C2</t>
  </si>
  <si>
    <t>Q16R3C3</t>
  </si>
  <si>
    <t>Q16R3C4</t>
  </si>
  <si>
    <t>Q16R3C5</t>
  </si>
  <si>
    <t>Q16R3C6</t>
  </si>
  <si>
    <t>Q16R4C1</t>
  </si>
  <si>
    <t>Q16R4C2</t>
  </si>
  <si>
    <t>Q16R4C3</t>
  </si>
  <si>
    <t>Q16R4C4</t>
  </si>
  <si>
    <t>Q16R4C5</t>
  </si>
  <si>
    <t>Q16R4C6</t>
  </si>
  <si>
    <t>Q16R5C1</t>
  </si>
  <si>
    <t>Q16R5C2</t>
  </si>
  <si>
    <t>Q16R5C3</t>
  </si>
  <si>
    <t>Q16R5C4</t>
  </si>
  <si>
    <t>Q16R5C5</t>
  </si>
  <si>
    <t>Q16R5C6</t>
  </si>
  <si>
    <t>Q16R6C1</t>
  </si>
  <si>
    <t>Q16R6C2</t>
  </si>
  <si>
    <t>Q16R6C3</t>
  </si>
  <si>
    <t>Q16R6C4</t>
  </si>
  <si>
    <t>Q16R6C5</t>
  </si>
  <si>
    <t>Q16R6C6</t>
  </si>
  <si>
    <t>3.5.7</t>
  </si>
  <si>
    <t>3.6.1</t>
  </si>
  <si>
    <t>Q18R2C1</t>
  </si>
  <si>
    <t>3.7.1</t>
  </si>
  <si>
    <t>3.7.2</t>
  </si>
  <si>
    <t>3,8</t>
  </si>
  <si>
    <t>Q21R1C2</t>
  </si>
  <si>
    <t>Q21R2C2</t>
  </si>
  <si>
    <t>6,1</t>
  </si>
  <si>
    <t>Q24R1C3</t>
  </si>
  <si>
    <t>Q24R1C4</t>
  </si>
  <si>
    <t>Q24R1C5</t>
  </si>
  <si>
    <t>Q24R1C6</t>
  </si>
  <si>
    <t>Q24R1C7</t>
  </si>
  <si>
    <t>Q24R1C8</t>
  </si>
  <si>
    <t>6,2</t>
  </si>
  <si>
    <t>Q25R1C5</t>
  </si>
  <si>
    <t>Q25R1C6</t>
  </si>
  <si>
    <t>Q25R1C7</t>
  </si>
  <si>
    <t>Q25R1C8</t>
  </si>
  <si>
    <t>Q25R2C5</t>
  </si>
  <si>
    <t>Q25R2C6</t>
  </si>
  <si>
    <t>Q25R2C7</t>
  </si>
  <si>
    <t>Q25R2C8</t>
  </si>
  <si>
    <t>Forced to 0</t>
  </si>
  <si>
    <t>Q25R3C5</t>
  </si>
  <si>
    <t>Q25R3C6</t>
  </si>
  <si>
    <t>Q25R3C7</t>
  </si>
  <si>
    <t>Q25R3C8</t>
  </si>
  <si>
    <t>Q27R1C7</t>
  </si>
  <si>
    <t>Q27R1C8</t>
  </si>
  <si>
    <t>Q27R2C7</t>
  </si>
  <si>
    <t>Q27R2C8</t>
  </si>
  <si>
    <t>Q27R3C1</t>
  </si>
  <si>
    <t>Q27R3C2</t>
  </si>
  <si>
    <t>Q27R3C3</t>
  </si>
  <si>
    <t>Q27R3C4</t>
  </si>
  <si>
    <t>Q27R3C5</t>
  </si>
  <si>
    <t>Q27R3C6</t>
  </si>
  <si>
    <t>Q27R3C7</t>
  </si>
  <si>
    <t>Q27R3C8</t>
  </si>
  <si>
    <t>Q27R4C1</t>
  </si>
  <si>
    <t>Q27R4C2</t>
  </si>
  <si>
    <t>Q27R4C3</t>
  </si>
  <si>
    <t>Q27R4C4</t>
  </si>
  <si>
    <t>Q27R4C5</t>
  </si>
  <si>
    <t>Q27R4C6</t>
  </si>
  <si>
    <t>Q27R4C7</t>
  </si>
  <si>
    <t>Q27R4C8</t>
  </si>
  <si>
    <t>Q27R5C1</t>
  </si>
  <si>
    <t>Q27R5C2</t>
  </si>
  <si>
    <t>Q27R5C3</t>
  </si>
  <si>
    <t>Q27R5C4</t>
  </si>
  <si>
    <t>Q27R5C5</t>
  </si>
  <si>
    <t>Q27R5C6</t>
  </si>
  <si>
    <t>Q27R5C7</t>
  </si>
  <si>
    <t>Q27R5C8</t>
  </si>
  <si>
    <t>Q27R6C1</t>
  </si>
  <si>
    <t>Q27R6C2</t>
  </si>
  <si>
    <t>Q27R6C3</t>
  </si>
  <si>
    <t>Q27R6C4</t>
  </si>
  <si>
    <t>Q27R6C5</t>
  </si>
  <si>
    <t>Q27R6C6</t>
  </si>
  <si>
    <t>Q27R6C7</t>
  </si>
  <si>
    <t>Q27R6C8</t>
  </si>
  <si>
    <t>Q27R7C1</t>
  </si>
  <si>
    <t>Q27R7C2</t>
  </si>
  <si>
    <t>Q27R7C3</t>
  </si>
  <si>
    <t>Q27R7C4</t>
  </si>
  <si>
    <t>Q27R7C5</t>
  </si>
  <si>
    <t>Q27R7C6</t>
  </si>
  <si>
    <t>Q27R7C7</t>
  </si>
  <si>
    <t>Q27R7C8</t>
  </si>
  <si>
    <t>Q28R1C5</t>
  </si>
  <si>
    <t>Q28R1C6</t>
  </si>
  <si>
    <t>Q28R1C7</t>
  </si>
  <si>
    <t>Q28R1C8</t>
  </si>
  <si>
    <t>Q28R2C5</t>
  </si>
  <si>
    <t>Q28R2C6</t>
  </si>
  <si>
    <t>Q28R2C7</t>
  </si>
  <si>
    <t>Q28R2C8</t>
  </si>
  <si>
    <t>Q28R3C5</t>
  </si>
  <si>
    <t>Q28R3C6</t>
  </si>
  <si>
    <t>Q28R3C7</t>
  </si>
  <si>
    <t>Q28R3C8</t>
  </si>
  <si>
    <t>Q28R4C5</t>
  </si>
  <si>
    <t>Q28R4C6</t>
  </si>
  <si>
    <t>Q28R4C7</t>
  </si>
  <si>
    <t>Q28R4C8</t>
  </si>
  <si>
    <t>Q28R5C5</t>
  </si>
  <si>
    <t>Q28R5C6</t>
  </si>
  <si>
    <t>Q28R5C7</t>
  </si>
  <si>
    <t>Q28R5C8</t>
  </si>
  <si>
    <t>Q28R6C1</t>
  </si>
  <si>
    <t>Q28R6C2</t>
  </si>
  <si>
    <t>Q28R6C3</t>
  </si>
  <si>
    <t>Q28R6C4</t>
  </si>
  <si>
    <t>Q28R6C5</t>
  </si>
  <si>
    <t>Q28R6C6</t>
  </si>
  <si>
    <t>Q28R6C7</t>
  </si>
  <si>
    <t>Q28R6C8</t>
  </si>
  <si>
    <t>Q28R7C1</t>
  </si>
  <si>
    <t>Q28R7C2</t>
  </si>
  <si>
    <t>Q28R7C3</t>
  </si>
  <si>
    <t>Q28R7C4</t>
  </si>
  <si>
    <t>Q28R7C5</t>
  </si>
  <si>
    <t>Q28R7C6</t>
  </si>
  <si>
    <t>Q28R7C7</t>
  </si>
  <si>
    <t>Q28R7C8</t>
  </si>
  <si>
    <t>Q29R1C8</t>
  </si>
  <si>
    <t>Q29R1C9</t>
  </si>
  <si>
    <t>Q29R1C10</t>
  </si>
  <si>
    <t>Q29R2C8</t>
  </si>
  <si>
    <t>Q29R2C9</t>
  </si>
  <si>
    <t>Q29R2C10</t>
  </si>
  <si>
    <t>Q29R3C8</t>
  </si>
  <si>
    <t>Q29R3C9</t>
  </si>
  <si>
    <t>Q29R3C10</t>
  </si>
  <si>
    <t>Q29R4C8</t>
  </si>
  <si>
    <t>Q29R4C9</t>
  </si>
  <si>
    <t>Q29R4C10</t>
  </si>
  <si>
    <t>Q29R5C8</t>
  </si>
  <si>
    <t>Q29R5C9</t>
  </si>
  <si>
    <t>Q29R5C10</t>
  </si>
  <si>
    <t>Q29R6C8</t>
  </si>
  <si>
    <t>Q29R6C9</t>
  </si>
  <si>
    <t>Q29R6C10</t>
  </si>
  <si>
    <t>Q29R7C1</t>
  </si>
  <si>
    <t>Q29R7C2</t>
  </si>
  <si>
    <t>Q29R7C3</t>
  </si>
  <si>
    <t>Q29R7C4</t>
  </si>
  <si>
    <t>Q29R7C5</t>
  </si>
  <si>
    <t>Q29R7C6</t>
  </si>
  <si>
    <t>Q29R7C7</t>
  </si>
  <si>
    <t>Q29R7C8</t>
  </si>
  <si>
    <t>Q29R7C9</t>
  </si>
  <si>
    <t>Q29R7C10</t>
  </si>
  <si>
    <t>Q30R1C8</t>
  </si>
  <si>
    <t>Q30R1C9</t>
  </si>
  <si>
    <t>Q30R1C10</t>
  </si>
  <si>
    <t>Q30R2C8</t>
  </si>
  <si>
    <t>Q30R2C9</t>
  </si>
  <si>
    <t>Q30R2C10</t>
  </si>
  <si>
    <t>Q30R3C8</t>
  </si>
  <si>
    <t>Q30R3C9</t>
  </si>
  <si>
    <t>Q30R3C10</t>
  </si>
  <si>
    <t>Q30R4C8</t>
  </si>
  <si>
    <t>Q30R4C9</t>
  </si>
  <si>
    <t>Q30R4C10</t>
  </si>
  <si>
    <t>Q30R5C8</t>
  </si>
  <si>
    <t>Q30R5C9</t>
  </si>
  <si>
    <t>Q30R5C10</t>
  </si>
  <si>
    <t>Q30R6C8</t>
  </si>
  <si>
    <t>Q30R6C9</t>
  </si>
  <si>
    <t>Q30R6C10</t>
  </si>
  <si>
    <t>Q30R7C1</t>
  </si>
  <si>
    <t>Q30R7C2</t>
  </si>
  <si>
    <t>Q30R7C3</t>
  </si>
  <si>
    <t>Q30R7C4</t>
  </si>
  <si>
    <t>Q30R7C5</t>
  </si>
  <si>
    <t>Q30R7C6</t>
  </si>
  <si>
    <t>Q30R7C7</t>
  </si>
  <si>
    <t>Q30R7C8</t>
  </si>
  <si>
    <t>Q30R7C9</t>
  </si>
  <si>
    <t>Q30R7C10</t>
  </si>
  <si>
    <t>Q33R1C4</t>
  </si>
  <si>
    <t>Q33R2C1</t>
  </si>
  <si>
    <t>Q33R2C2</t>
  </si>
  <si>
    <t>Q33R2C3</t>
  </si>
  <si>
    <t>Q33R2C4</t>
  </si>
  <si>
    <t>Q34R2C1</t>
  </si>
  <si>
    <t>12,1</t>
  </si>
  <si>
    <t>Q36R2C1</t>
  </si>
  <si>
    <t>Q36R3C1</t>
  </si>
  <si>
    <t>Q36R4C1</t>
  </si>
  <si>
    <t>Q36R5C1</t>
  </si>
  <si>
    <t>12,2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</si>
</sst>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8.5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7.5"/>
      <name val="Arial"/>
      <family val="2"/>
    </font>
    <font>
      <b/>
      <sz val="6"/>
      <name val="Arial"/>
      <family val="2"/>
    </font>
    <font>
      <b/>
      <sz val="12"/>
      <color rgb="FFFFFFFF"/>
      <name val="Arial"/>
      <family val="2"/>
    </font>
    <font>
      <b/>
      <sz val="9.5"/>
      <name val="Arial"/>
      <family val="2"/>
    </font>
    <font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9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9"/>
      <color rgb="FF00B0F0"/>
      <name val="Arial"/>
      <family val="2"/>
    </font>
    <font>
      <i/>
      <sz val="12"/>
      <color rgb="FFFF0000"/>
      <name val="Calibri"/>
      <family val="2"/>
    </font>
    <font>
      <b/>
      <sz val="8"/>
      <name val="Arial"/>
      <family val="2"/>
    </font>
    <font>
      <b/>
      <sz val="11"/>
      <color theme="0"/>
      <name val="Arial"/>
      <family val="2"/>
    </font>
    <font>
      <b/>
      <sz val="11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  <charset val="1"/>
    </font>
    <font>
      <sz val="11"/>
      <color rgb="FFFF0000"/>
      <name val="Arial"/>
      <family val="2"/>
    </font>
    <font>
      <b/>
      <sz val="7.5"/>
      <name val="Arial"/>
      <family val="2"/>
    </font>
    <font>
      <sz val="7"/>
      <color theme="0"/>
      <name val="Arial"/>
      <family val="2"/>
    </font>
    <font>
      <sz val="7"/>
      <name val="Arial"/>
      <family val="2"/>
    </font>
    <font>
      <sz val="9"/>
      <color rgb="FF000000"/>
      <name val="Arial"/>
      <family val="2"/>
    </font>
    <font>
      <b/>
      <u/>
      <sz val="11"/>
      <name val="Arial"/>
      <family val="2"/>
    </font>
    <font>
      <b/>
      <strike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rgb="FF000000"/>
      </patternFill>
    </fill>
  </fills>
  <borders count="8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1" fillId="0" borderId="0"/>
  </cellStyleXfs>
  <cellXfs count="1325">
    <xf numFmtId="0" fontId="0" fillId="0" borderId="0" xfId="0"/>
    <xf numFmtId="0" fontId="9" fillId="3" borderId="18" xfId="0" applyFont="1" applyFill="1" applyBorder="1" applyAlignment="1" applyProtection="1">
      <alignment horizontal="center"/>
      <protection locked="0"/>
    </xf>
    <xf numFmtId="0" fontId="0" fillId="4" borderId="0" xfId="0" applyFill="1"/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40" fillId="6" borderId="0" xfId="0" applyFont="1" applyFill="1"/>
    <xf numFmtId="0" fontId="41" fillId="4" borderId="0" xfId="0" applyFont="1" applyFill="1"/>
    <xf numFmtId="0" fontId="41" fillId="5" borderId="0" xfId="0" applyFont="1" applyFill="1"/>
    <xf numFmtId="0" fontId="11" fillId="3" borderId="5" xfId="1" applyFill="1" applyBorder="1" applyAlignment="1" applyProtection="1">
      <alignment horizontal="center" vertical="center"/>
      <protection locked="0"/>
    </xf>
    <xf numFmtId="0" fontId="11" fillId="3" borderId="2" xfId="1" applyFill="1" applyBorder="1" applyAlignment="1" applyProtection="1">
      <alignment horizontal="center" vertical="center"/>
      <protection locked="0"/>
    </xf>
    <xf numFmtId="0" fontId="11" fillId="3" borderId="32" xfId="1" applyFill="1" applyBorder="1" applyAlignment="1" applyProtection="1">
      <alignment horizontal="center" vertical="center"/>
      <protection locked="0"/>
    </xf>
    <xf numFmtId="0" fontId="11" fillId="3" borderId="14" xfId="1" applyFill="1" applyBorder="1" applyAlignment="1" applyProtection="1">
      <alignment horizontal="center" vertical="center"/>
      <protection locked="0"/>
    </xf>
    <xf numFmtId="0" fontId="11" fillId="3" borderId="44" xfId="1" applyFill="1" applyBorder="1" applyAlignment="1" applyProtection="1">
      <alignment horizontal="center" vertical="center"/>
      <protection locked="0"/>
    </xf>
    <xf numFmtId="0" fontId="11" fillId="3" borderId="6" xfId="1" applyFill="1" applyBorder="1" applyAlignment="1" applyProtection="1">
      <alignment horizontal="center" vertical="center"/>
      <protection locked="0"/>
    </xf>
    <xf numFmtId="0" fontId="11" fillId="3" borderId="39" xfId="1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20" fillId="0" borderId="0" xfId="0" applyFont="1"/>
    <xf numFmtId="0" fontId="1" fillId="0" borderId="0" xfId="0" applyFont="1" applyAlignment="1">
      <alignment horizontal="center"/>
    </xf>
    <xf numFmtId="0" fontId="1" fillId="0" borderId="26" xfId="0" applyFont="1" applyBorder="1"/>
    <xf numFmtId="0" fontId="5" fillId="0" borderId="0" xfId="0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0" fontId="10" fillId="0" borderId="0" xfId="0" applyFont="1"/>
    <xf numFmtId="0" fontId="12" fillId="0" borderId="0" xfId="1" applyFont="1" applyAlignment="1">
      <alignment horizontal="center" vertical="center" wrapText="1"/>
    </xf>
    <xf numFmtId="0" fontId="9" fillId="0" borderId="0" xfId="0" applyFont="1" applyAlignment="1">
      <alignment horizontal="left" wrapText="1" indent="1"/>
    </xf>
    <xf numFmtId="0" fontId="9" fillId="0" borderId="0" xfId="0" applyFont="1" applyAlignment="1">
      <alignment horizontal="center" vertical="center"/>
    </xf>
    <xf numFmtId="0" fontId="11" fillId="0" borderId="0" xfId="1" applyAlignment="1">
      <alignment horizontal="left" vertical="center"/>
    </xf>
    <xf numFmtId="0" fontId="11" fillId="0" borderId="0" xfId="1" applyAlignment="1">
      <alignment horizontal="center" vertical="center"/>
    </xf>
    <xf numFmtId="0" fontId="11" fillId="0" borderId="0" xfId="1" applyAlignment="1">
      <alignment vertical="center"/>
    </xf>
    <xf numFmtId="0" fontId="11" fillId="0" borderId="43" xfId="1" applyBorder="1" applyAlignment="1">
      <alignment vertical="center"/>
    </xf>
    <xf numFmtId="0" fontId="15" fillId="0" borderId="0" xfId="1" applyFont="1" applyAlignment="1">
      <alignment horizontal="left"/>
    </xf>
    <xf numFmtId="0" fontId="11" fillId="0" borderId="0" xfId="1" applyAlignment="1">
      <alignment horizontal="center"/>
    </xf>
    <xf numFmtId="0" fontId="5" fillId="0" borderId="0" xfId="0" applyFont="1" applyAlignment="1">
      <alignment horizontal="left" vertical="center" indent="1"/>
    </xf>
    <xf numFmtId="0" fontId="11" fillId="0" borderId="0" xfId="1" quotePrefix="1" applyAlignment="1">
      <alignment horizontal="left" vertical="center"/>
    </xf>
    <xf numFmtId="0" fontId="5" fillId="3" borderId="0" xfId="0" applyFont="1" applyFill="1" applyAlignment="1">
      <alignment horizontal="left" vertical="center" indent="1"/>
    </xf>
    <xf numFmtId="0" fontId="1" fillId="3" borderId="0" xfId="0" applyFont="1" applyFill="1"/>
    <xf numFmtId="0" fontId="14" fillId="0" borderId="0" xfId="1" applyFont="1" applyAlignment="1">
      <alignment vertical="center" wrapText="1"/>
    </xf>
    <xf numFmtId="0" fontId="42" fillId="0" borderId="0" xfId="0" quotePrefix="1" applyFont="1"/>
    <xf numFmtId="0" fontId="14" fillId="0" borderId="0" xfId="1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2" fillId="0" borderId="0" xfId="0" applyFont="1"/>
    <xf numFmtId="0" fontId="21" fillId="0" borderId="0" xfId="1" applyFont="1" applyAlignment="1">
      <alignment horizontal="left" vertical="center" indent="1"/>
    </xf>
    <xf numFmtId="0" fontId="11" fillId="0" borderId="0" xfId="1" applyAlignment="1">
      <alignment horizontal="left" vertical="center" wrapText="1" indent="1"/>
    </xf>
    <xf numFmtId="0" fontId="35" fillId="0" borderId="0" xfId="0" applyFont="1" applyAlignment="1">
      <alignment horizontal="left" indent="1"/>
    </xf>
    <xf numFmtId="0" fontId="19" fillId="0" borderId="0" xfId="0" applyFont="1"/>
    <xf numFmtId="0" fontId="19" fillId="0" borderId="0" xfId="0" applyFont="1" applyAlignment="1">
      <alignment horizontal="center"/>
    </xf>
    <xf numFmtId="0" fontId="5" fillId="3" borderId="0" xfId="0" applyFont="1" applyFill="1" applyAlignment="1">
      <alignment horizontal="left" indent="1"/>
    </xf>
    <xf numFmtId="0" fontId="5" fillId="3" borderId="0" xfId="0" applyFont="1" applyFill="1"/>
    <xf numFmtId="0" fontId="28" fillId="0" borderId="0" xfId="0" applyFont="1" applyAlignment="1">
      <alignment horizontal="center"/>
    </xf>
    <xf numFmtId="164" fontId="14" fillId="0" borderId="0" xfId="1" applyNumberFormat="1" applyFont="1" applyAlignment="1">
      <alignment horizontal="center" vertical="center"/>
    </xf>
    <xf numFmtId="0" fontId="20" fillId="3" borderId="0" xfId="0" applyFont="1" applyFill="1"/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26" fillId="3" borderId="0" xfId="0" applyFont="1" applyFill="1"/>
    <xf numFmtId="0" fontId="8" fillId="3" borderId="0" xfId="0" applyFont="1" applyFill="1" applyAlignment="1">
      <alignment horizontal="left" vertical="center" indent="1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11" fillId="3" borderId="0" xfId="1" applyFill="1" applyAlignment="1">
      <alignment horizontal="left" vertical="center" indent="2"/>
    </xf>
    <xf numFmtId="0" fontId="11" fillId="3" borderId="0" xfId="1" applyFill="1" applyAlignment="1">
      <alignment horizontal="center" vertical="center"/>
    </xf>
    <xf numFmtId="0" fontId="10" fillId="3" borderId="0" xfId="0" applyFont="1" applyFill="1" applyAlignment="1">
      <alignment horizontal="left" indent="1"/>
    </xf>
    <xf numFmtId="0" fontId="10" fillId="3" borderId="0" xfId="0" applyFont="1" applyFill="1" applyAlignment="1">
      <alignment vertical="center"/>
    </xf>
    <xf numFmtId="0" fontId="21" fillId="3" borderId="0" xfId="0" applyFont="1" applyFill="1"/>
    <xf numFmtId="0" fontId="11" fillId="3" borderId="0" xfId="1" applyFill="1" applyAlignment="1">
      <alignment vertical="center"/>
    </xf>
    <xf numFmtId="0" fontId="1" fillId="3" borderId="0" xfId="0" applyFont="1" applyFill="1" applyAlignment="1">
      <alignment horizontal="left" indent="1"/>
    </xf>
    <xf numFmtId="0" fontId="14" fillId="3" borderId="0" xfId="1" applyFont="1" applyFill="1" applyAlignment="1">
      <alignment horizontal="left" vertical="center" indent="1"/>
    </xf>
    <xf numFmtId="0" fontId="0" fillId="3" borderId="0" xfId="0" applyFill="1"/>
    <xf numFmtId="0" fontId="28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/>
    </xf>
    <xf numFmtId="0" fontId="25" fillId="3" borderId="0" xfId="0" applyFont="1" applyFill="1" applyAlignment="1">
      <alignment horizontal="left" vertical="center" indent="1"/>
    </xf>
    <xf numFmtId="0" fontId="14" fillId="3" borderId="0" xfId="1" applyFont="1" applyFill="1" applyAlignment="1">
      <alignment vertical="center" wrapText="1"/>
    </xf>
    <xf numFmtId="0" fontId="2" fillId="3" borderId="0" xfId="0" applyFont="1" applyFill="1" applyAlignment="1">
      <alignment horizontal="center" wrapText="1"/>
    </xf>
    <xf numFmtId="0" fontId="17" fillId="3" borderId="0" xfId="0" applyFont="1" applyFill="1" applyAlignment="1">
      <alignment horizontal="left" indent="1"/>
    </xf>
    <xf numFmtId="0" fontId="21" fillId="3" borderId="0" xfId="0" applyFont="1" applyFill="1" applyAlignment="1">
      <alignment horizontal="left" vertical="center" indent="1"/>
    </xf>
    <xf numFmtId="0" fontId="9" fillId="3" borderId="16" xfId="0" applyFont="1" applyFill="1" applyBorder="1" applyAlignment="1">
      <alignment horizontal="left" indent="1"/>
    </xf>
    <xf numFmtId="0" fontId="9" fillId="3" borderId="8" xfId="0" applyFont="1" applyFill="1" applyBorder="1" applyAlignment="1">
      <alignment horizontal="left" indent="1"/>
    </xf>
    <xf numFmtId="0" fontId="14" fillId="3" borderId="0" xfId="1" applyFont="1" applyFill="1" applyAlignment="1">
      <alignment horizontal="center" wrapText="1"/>
    </xf>
    <xf numFmtId="0" fontId="11" fillId="2" borderId="6" xfId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 indent="1"/>
    </xf>
    <xf numFmtId="0" fontId="14" fillId="3" borderId="0" xfId="1" applyFont="1" applyFill="1" applyAlignment="1">
      <alignment wrapText="1"/>
    </xf>
    <xf numFmtId="0" fontId="6" fillId="3" borderId="0" xfId="0" applyFont="1" applyFill="1" applyAlignment="1">
      <alignment horizontal="left" indent="1"/>
    </xf>
    <xf numFmtId="0" fontId="19" fillId="3" borderId="0" xfId="0" applyFont="1" applyFill="1"/>
    <xf numFmtId="0" fontId="33" fillId="3" borderId="0" xfId="0" applyFont="1" applyFill="1" applyAlignment="1">
      <alignment vertical="center"/>
    </xf>
    <xf numFmtId="0" fontId="23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center" vertical="top"/>
    </xf>
    <xf numFmtId="0" fontId="25" fillId="3" borderId="0" xfId="0" applyFont="1" applyFill="1" applyAlignment="1">
      <alignment vertical="top"/>
    </xf>
    <xf numFmtId="0" fontId="22" fillId="0" borderId="0" xfId="0" quotePrefix="1" applyFont="1"/>
    <xf numFmtId="0" fontId="22" fillId="0" borderId="0" xfId="0" quotePrefix="1" applyFont="1" applyAlignment="1">
      <alignment vertical="center" wrapText="1"/>
    </xf>
    <xf numFmtId="0" fontId="11" fillId="0" borderId="43" xfId="1" applyBorder="1" applyAlignment="1">
      <alignment horizontal="left" vertical="center"/>
    </xf>
    <xf numFmtId="0" fontId="9" fillId="3" borderId="0" xfId="0" applyFont="1" applyFill="1" applyAlignment="1">
      <alignment horizontal="left" indent="1"/>
    </xf>
    <xf numFmtId="0" fontId="11" fillId="3" borderId="37" xfId="1" applyFill="1" applyBorder="1" applyAlignment="1" applyProtection="1">
      <alignment horizontal="center" vertical="center"/>
      <protection locked="0"/>
    </xf>
    <xf numFmtId="0" fontId="11" fillId="3" borderId="18" xfId="1" applyFill="1" applyBorder="1" applyAlignment="1" applyProtection="1">
      <alignment horizontal="center" vertical="center"/>
      <protection locked="0"/>
    </xf>
    <xf numFmtId="0" fontId="11" fillId="3" borderId="7" xfId="1" applyFill="1" applyBorder="1" applyAlignment="1" applyProtection="1">
      <alignment horizontal="center" vertical="center"/>
      <protection locked="0"/>
    </xf>
    <xf numFmtId="0" fontId="14" fillId="3" borderId="25" xfId="1" applyFont="1" applyFill="1" applyBorder="1" applyAlignment="1">
      <alignment horizontal="center" wrapText="1"/>
    </xf>
    <xf numFmtId="0" fontId="9" fillId="3" borderId="26" xfId="0" applyFont="1" applyFill="1" applyBorder="1"/>
    <xf numFmtId="0" fontId="9" fillId="3" borderId="17" xfId="0" applyFont="1" applyFill="1" applyBorder="1" applyAlignment="1" applyProtection="1">
      <alignment horizontal="center" vertical="center"/>
      <protection locked="0"/>
    </xf>
    <xf numFmtId="0" fontId="9" fillId="3" borderId="31" xfId="0" applyFont="1" applyFill="1" applyBorder="1" applyAlignment="1" applyProtection="1">
      <alignment horizontal="center" vertical="center"/>
      <protection locked="0"/>
    </xf>
    <xf numFmtId="0" fontId="1" fillId="3" borderId="26" xfId="0" applyFont="1" applyFill="1" applyBorder="1"/>
    <xf numFmtId="0" fontId="14" fillId="3" borderId="57" xfId="1" applyFont="1" applyFill="1" applyBorder="1" applyAlignment="1">
      <alignment horizontal="center" wrapText="1"/>
    </xf>
    <xf numFmtId="0" fontId="14" fillId="3" borderId="59" xfId="1" applyFont="1" applyFill="1" applyBorder="1" applyAlignment="1">
      <alignment horizontal="center" wrapText="1"/>
    </xf>
    <xf numFmtId="0" fontId="9" fillId="3" borderId="16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1" applyFill="1" applyBorder="1" applyAlignment="1" applyProtection="1">
      <alignment horizontal="center" vertical="center"/>
      <protection locked="0"/>
    </xf>
    <xf numFmtId="0" fontId="44" fillId="3" borderId="0" xfId="0" applyFont="1" applyFill="1" applyAlignment="1">
      <alignment wrapText="1"/>
    </xf>
    <xf numFmtId="0" fontId="19" fillId="0" borderId="0" xfId="0" quotePrefix="1" applyFont="1"/>
    <xf numFmtId="0" fontId="45" fillId="3" borderId="0" xfId="0" applyFont="1" applyFill="1" applyAlignment="1">
      <alignment wrapText="1"/>
    </xf>
    <xf numFmtId="0" fontId="26" fillId="0" borderId="0" xfId="0" quotePrefix="1" applyFont="1"/>
    <xf numFmtId="0" fontId="40" fillId="5" borderId="0" xfId="0" applyFont="1" applyFill="1"/>
    <xf numFmtId="0" fontId="40" fillId="5" borderId="0" xfId="0" applyFont="1" applyFill="1" applyAlignment="1">
      <alignment horizontal="right"/>
    </xf>
    <xf numFmtId="0" fontId="41" fillId="4" borderId="0" xfId="0" quotePrefix="1" applyFont="1" applyFill="1"/>
    <xf numFmtId="0" fontId="34" fillId="0" borderId="37" xfId="1" applyFont="1" applyBorder="1" applyAlignment="1">
      <alignment horizontal="center" vertical="center" wrapText="1"/>
    </xf>
    <xf numFmtId="0" fontId="14" fillId="0" borderId="51" xfId="1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11" fillId="0" borderId="1" xfId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/>
      <protection locked="0"/>
    </xf>
    <xf numFmtId="0" fontId="9" fillId="3" borderId="72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74" xfId="0" applyFont="1" applyFill="1" applyBorder="1" applyAlignment="1" applyProtection="1">
      <alignment horizontal="center"/>
      <protection locked="0"/>
    </xf>
    <xf numFmtId="0" fontId="9" fillId="3" borderId="32" xfId="0" applyFont="1" applyFill="1" applyBorder="1" applyAlignment="1" applyProtection="1">
      <alignment horizontal="center"/>
      <protection locked="0"/>
    </xf>
    <xf numFmtId="0" fontId="9" fillId="3" borderId="50" xfId="0" applyFont="1" applyFill="1" applyBorder="1" applyAlignment="1" applyProtection="1">
      <alignment horizontal="center"/>
      <protection locked="0"/>
    </xf>
    <xf numFmtId="0" fontId="9" fillId="3" borderId="57" xfId="0" applyFont="1" applyFill="1" applyBorder="1" applyAlignment="1" applyProtection="1">
      <alignment horizontal="center"/>
      <protection locked="0"/>
    </xf>
    <xf numFmtId="0" fontId="9" fillId="3" borderId="6" xfId="0" applyFont="1" applyFill="1" applyBorder="1" applyAlignment="1" applyProtection="1">
      <alignment horizontal="center"/>
      <protection locked="0"/>
    </xf>
    <xf numFmtId="0" fontId="9" fillId="3" borderId="34" xfId="0" applyFont="1" applyFill="1" applyBorder="1" applyAlignment="1" applyProtection="1">
      <alignment horizontal="center"/>
      <protection locked="0"/>
    </xf>
    <xf numFmtId="0" fontId="9" fillId="3" borderId="29" xfId="0" applyFont="1" applyFill="1" applyBorder="1" applyAlignment="1" applyProtection="1">
      <alignment horizontal="center"/>
      <protection locked="0"/>
    </xf>
    <xf numFmtId="0" fontId="9" fillId="3" borderId="3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/>
      <protection locked="0"/>
    </xf>
    <xf numFmtId="0" fontId="11" fillId="0" borderId="22" xfId="1" applyBorder="1" applyAlignment="1" applyProtection="1">
      <alignment horizontal="center" vertical="center"/>
      <protection locked="0"/>
    </xf>
    <xf numFmtId="0" fontId="11" fillId="0" borderId="20" xfId="1" applyBorder="1" applyAlignment="1" applyProtection="1">
      <alignment horizontal="center" vertical="center"/>
      <protection locked="0"/>
    </xf>
    <xf numFmtId="0" fontId="40" fillId="4" borderId="0" xfId="0" applyFont="1" applyFill="1"/>
    <xf numFmtId="0" fontId="42" fillId="3" borderId="0" xfId="0" applyFont="1" applyFill="1"/>
    <xf numFmtId="0" fontId="22" fillId="3" borderId="0" xfId="0" applyFont="1" applyFill="1"/>
    <xf numFmtId="0" fontId="22" fillId="3" borderId="0" xfId="0" quotePrefix="1" applyFont="1" applyFill="1" applyAlignment="1">
      <alignment wrapText="1"/>
    </xf>
    <xf numFmtId="0" fontId="10" fillId="3" borderId="12" xfId="0" applyFont="1" applyFill="1" applyBorder="1" applyAlignment="1">
      <alignment horizontal="left" indent="1"/>
    </xf>
    <xf numFmtId="0" fontId="11" fillId="0" borderId="33" xfId="1" applyBorder="1" applyAlignment="1" applyProtection="1">
      <alignment horizontal="center" vertical="center"/>
      <protection locked="0"/>
    </xf>
    <xf numFmtId="0" fontId="11" fillId="0" borderId="53" xfId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>
      <alignment horizontal="left" indent="1"/>
    </xf>
    <xf numFmtId="0" fontId="11" fillId="0" borderId="37" xfId="1" applyBorder="1" applyAlignment="1" applyProtection="1">
      <alignment horizontal="center" vertical="center"/>
      <protection locked="0"/>
    </xf>
    <xf numFmtId="0" fontId="11" fillId="0" borderId="45" xfId="1" applyBorder="1" applyAlignment="1" applyProtection="1">
      <alignment horizontal="center" vertical="center"/>
      <protection locked="0"/>
    </xf>
    <xf numFmtId="0" fontId="10" fillId="0" borderId="45" xfId="0" applyFont="1" applyBorder="1" applyAlignment="1">
      <alignment horizontal="center"/>
    </xf>
    <xf numFmtId="0" fontId="14" fillId="0" borderId="64" xfId="1" applyFont="1" applyBorder="1" applyAlignment="1">
      <alignment horizontal="center" wrapText="1"/>
    </xf>
    <xf numFmtId="0" fontId="1" fillId="0" borderId="27" xfId="0" applyFont="1" applyBorder="1"/>
    <xf numFmtId="0" fontId="9" fillId="0" borderId="53" xfId="0" applyFont="1" applyBorder="1" applyAlignment="1" applyProtection="1">
      <alignment horizontal="center" vertical="center"/>
      <protection locked="0"/>
    </xf>
    <xf numFmtId="0" fontId="9" fillId="0" borderId="43" xfId="0" applyFont="1" applyBorder="1"/>
    <xf numFmtId="0" fontId="1" fillId="0" borderId="43" xfId="0" applyFont="1" applyBorder="1"/>
    <xf numFmtId="0" fontId="9" fillId="0" borderId="60" xfId="0" applyFont="1" applyBorder="1" applyAlignment="1">
      <alignment horizontal="center"/>
    </xf>
    <xf numFmtId="0" fontId="5" fillId="0" borderId="43" xfId="0" applyFont="1" applyBorder="1"/>
    <xf numFmtId="0" fontId="9" fillId="3" borderId="45" xfId="0" applyFont="1" applyFill="1" applyBorder="1" applyAlignment="1">
      <alignment horizontal="left" indent="1"/>
    </xf>
    <xf numFmtId="0" fontId="10" fillId="0" borderId="43" xfId="0" applyFont="1" applyBorder="1"/>
    <xf numFmtId="0" fontId="12" fillId="0" borderId="43" xfId="1" applyFont="1" applyBorder="1" applyAlignment="1">
      <alignment horizontal="center" vertical="center" wrapText="1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1" fillId="0" borderId="60" xfId="0" applyFont="1" applyBorder="1"/>
    <xf numFmtId="0" fontId="34" fillId="0" borderId="26" xfId="1" applyFont="1" applyBorder="1" applyAlignment="1">
      <alignment horizontal="center" wrapText="1"/>
    </xf>
    <xf numFmtId="0" fontId="13" fillId="0" borderId="27" xfId="1" applyFont="1" applyBorder="1" applyAlignment="1">
      <alignment horizontal="center" wrapText="1" shrinkToFit="1"/>
    </xf>
    <xf numFmtId="0" fontId="9" fillId="0" borderId="60" xfId="0" applyFont="1" applyBorder="1"/>
    <xf numFmtId="0" fontId="10" fillId="3" borderId="62" xfId="0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10" fillId="3" borderId="79" xfId="0" applyFont="1" applyFill="1" applyBorder="1" applyAlignment="1">
      <alignment horizontal="center" vertical="center"/>
    </xf>
    <xf numFmtId="0" fontId="10" fillId="3" borderId="61" xfId="0" applyFont="1" applyFill="1" applyBorder="1" applyAlignment="1">
      <alignment horizontal="center" vertical="center"/>
    </xf>
    <xf numFmtId="0" fontId="10" fillId="3" borderId="76" xfId="0" applyFont="1" applyFill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/>
    </xf>
    <xf numFmtId="0" fontId="11" fillId="0" borderId="58" xfId="1" applyBorder="1" applyAlignment="1" applyProtection="1">
      <alignment horizontal="center" vertical="center"/>
      <protection locked="0"/>
    </xf>
    <xf numFmtId="0" fontId="11" fillId="0" borderId="3" xfId="1" applyBorder="1" applyAlignment="1" applyProtection="1">
      <alignment horizontal="center" vertical="center"/>
      <protection locked="0"/>
    </xf>
    <xf numFmtId="0" fontId="11" fillId="0" borderId="24" xfId="1" applyBorder="1" applyAlignment="1" applyProtection="1">
      <alignment horizontal="center" vertical="center"/>
      <protection locked="0"/>
    </xf>
    <xf numFmtId="0" fontId="11" fillId="0" borderId="10" xfId="1" applyBorder="1" applyAlignment="1" applyProtection="1">
      <alignment horizontal="center" vertical="center"/>
      <protection locked="0"/>
    </xf>
    <xf numFmtId="0" fontId="11" fillId="0" borderId="12" xfId="1" applyBorder="1" applyAlignment="1" applyProtection="1">
      <alignment horizontal="center" vertical="center"/>
      <protection locked="0"/>
    </xf>
    <xf numFmtId="0" fontId="9" fillId="3" borderId="38" xfId="0" applyFont="1" applyFill="1" applyBorder="1" applyAlignment="1">
      <alignment horizontal="left" indent="1"/>
    </xf>
    <xf numFmtId="0" fontId="9" fillId="3" borderId="46" xfId="0" applyFont="1" applyFill="1" applyBorder="1" applyAlignment="1">
      <alignment horizontal="left" indent="1"/>
    </xf>
    <xf numFmtId="0" fontId="10" fillId="3" borderId="52" xfId="0" applyFont="1" applyFill="1" applyBorder="1" applyAlignment="1">
      <alignment horizontal="left" indent="1"/>
    </xf>
    <xf numFmtId="0" fontId="10" fillId="3" borderId="56" xfId="0" applyFont="1" applyFill="1" applyBorder="1" applyAlignment="1">
      <alignment horizontal="left" indent="1"/>
    </xf>
    <xf numFmtId="0" fontId="9" fillId="0" borderId="47" xfId="0" applyFont="1" applyBorder="1" applyAlignment="1" applyProtection="1">
      <alignment horizontal="center" vertical="center"/>
      <protection locked="0"/>
    </xf>
    <xf numFmtId="0" fontId="13" fillId="3" borderId="80" xfId="1" applyFont="1" applyFill="1" applyBorder="1" applyAlignment="1">
      <alignment horizontal="center" wrapText="1"/>
    </xf>
    <xf numFmtId="0" fontId="13" fillId="3" borderId="59" xfId="1" applyFont="1" applyFill="1" applyBorder="1" applyAlignment="1">
      <alignment horizontal="center" wrapText="1"/>
    </xf>
    <xf numFmtId="0" fontId="13" fillId="3" borderId="25" xfId="1" applyFont="1" applyFill="1" applyBorder="1" applyAlignment="1">
      <alignment horizontal="center" wrapText="1"/>
    </xf>
    <xf numFmtId="0" fontId="14" fillId="3" borderId="79" xfId="1" applyFont="1" applyFill="1" applyBorder="1" applyAlignment="1">
      <alignment horizontal="center" wrapText="1"/>
    </xf>
    <xf numFmtId="0" fontId="14" fillId="3" borderId="47" xfId="1" applyFont="1" applyFill="1" applyBorder="1" applyAlignment="1">
      <alignment horizontal="center" vertical="center"/>
    </xf>
    <xf numFmtId="0" fontId="14" fillId="3" borderId="11" xfId="1" applyFont="1" applyFill="1" applyBorder="1" applyAlignment="1">
      <alignment horizontal="center" vertical="center"/>
    </xf>
    <xf numFmtId="0" fontId="14" fillId="3" borderId="80" xfId="1" applyFont="1" applyFill="1" applyBorder="1" applyAlignment="1">
      <alignment horizontal="center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12" xfId="1" applyFont="1" applyFill="1" applyBorder="1" applyAlignment="1">
      <alignment horizontal="center" vertical="center"/>
    </xf>
    <xf numFmtId="0" fontId="14" fillId="3" borderId="25" xfId="1" applyFont="1" applyFill="1" applyBorder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14" fillId="3" borderId="79" xfId="1" applyFont="1" applyFill="1" applyBorder="1" applyAlignment="1">
      <alignment horizontal="center" vertical="center"/>
    </xf>
    <xf numFmtId="0" fontId="14" fillId="3" borderId="82" xfId="1" applyFont="1" applyFill="1" applyBorder="1" applyAlignment="1">
      <alignment horizontal="center" vertical="center"/>
    </xf>
    <xf numFmtId="0" fontId="14" fillId="3" borderId="76" xfId="1" applyFont="1" applyFill="1" applyBorder="1" applyAlignment="1">
      <alignment horizontal="center" vertical="center"/>
    </xf>
    <xf numFmtId="0" fontId="14" fillId="3" borderId="77" xfId="1" applyFont="1" applyFill="1" applyBorder="1" applyAlignment="1">
      <alignment horizontal="center" vertical="center"/>
    </xf>
    <xf numFmtId="0" fontId="14" fillId="3" borderId="51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14" fillId="3" borderId="61" xfId="1" applyFont="1" applyFill="1" applyBorder="1" applyAlignment="1">
      <alignment horizontal="center" vertical="center"/>
    </xf>
    <xf numFmtId="0" fontId="10" fillId="3" borderId="47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48" xfId="0" applyFont="1" applyFill="1" applyBorder="1" applyAlignment="1">
      <alignment horizontal="center"/>
    </xf>
    <xf numFmtId="0" fontId="10" fillId="3" borderId="52" xfId="0" applyFont="1" applyFill="1" applyBorder="1" applyAlignment="1">
      <alignment horizontal="left" vertical="center" indent="1"/>
    </xf>
    <xf numFmtId="0" fontId="14" fillId="3" borderId="71" xfId="1" applyFont="1" applyFill="1" applyBorder="1" applyAlignment="1">
      <alignment horizontal="center" wrapText="1"/>
    </xf>
    <xf numFmtId="0" fontId="9" fillId="3" borderId="47" xfId="0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0" fontId="9" fillId="3" borderId="59" xfId="0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10" fillId="3" borderId="75" xfId="0" applyFont="1" applyFill="1" applyBorder="1" applyAlignment="1">
      <alignment horizontal="center"/>
    </xf>
    <xf numFmtId="0" fontId="10" fillId="3" borderId="53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0" fontId="12" fillId="3" borderId="80" xfId="1" applyFont="1" applyFill="1" applyBorder="1" applyAlignment="1">
      <alignment horizontal="center" wrapText="1"/>
    </xf>
    <xf numFmtId="0" fontId="12" fillId="3" borderId="59" xfId="1" applyFont="1" applyFill="1" applyBorder="1" applyAlignment="1">
      <alignment horizontal="center" wrapText="1"/>
    </xf>
    <xf numFmtId="0" fontId="12" fillId="3" borderId="57" xfId="1" applyFont="1" applyFill="1" applyBorder="1" applyAlignment="1">
      <alignment horizontal="center" wrapText="1"/>
    </xf>
    <xf numFmtId="0" fontId="12" fillId="3" borderId="41" xfId="1" applyFont="1" applyFill="1" applyBorder="1" applyAlignment="1">
      <alignment horizontal="center" wrapText="1"/>
    </xf>
    <xf numFmtId="0" fontId="13" fillId="3" borderId="55" xfId="1" applyFont="1" applyFill="1" applyBorder="1" applyAlignment="1">
      <alignment horizontal="center" wrapText="1"/>
    </xf>
    <xf numFmtId="0" fontId="11" fillId="0" borderId="26" xfId="1" applyBorder="1" applyAlignment="1" applyProtection="1">
      <alignment horizontal="center" vertical="center"/>
      <protection locked="0"/>
    </xf>
    <xf numFmtId="0" fontId="11" fillId="0" borderId="59" xfId="1" applyBorder="1" applyAlignment="1" applyProtection="1">
      <alignment horizontal="center" vertical="center"/>
      <protection locked="0"/>
    </xf>
    <xf numFmtId="0" fontId="10" fillId="3" borderId="12" xfId="0" applyFont="1" applyFill="1" applyBorder="1" applyAlignment="1">
      <alignment horizontal="left" vertical="center" indent="1"/>
    </xf>
    <xf numFmtId="0" fontId="10" fillId="3" borderId="56" xfId="0" applyFont="1" applyFill="1" applyBorder="1" applyAlignment="1">
      <alignment horizontal="left" vertical="center" indent="1"/>
    </xf>
    <xf numFmtId="0" fontId="9" fillId="3" borderId="59" xfId="0" applyFont="1" applyFill="1" applyBorder="1" applyAlignment="1" applyProtection="1">
      <alignment horizontal="center" vertical="center"/>
      <protection locked="0"/>
    </xf>
    <xf numFmtId="0" fontId="18" fillId="3" borderId="80" xfId="1" applyFont="1" applyFill="1" applyBorder="1" applyAlignment="1">
      <alignment horizontal="center" wrapText="1"/>
    </xf>
    <xf numFmtId="0" fontId="18" fillId="3" borderId="59" xfId="1" applyFont="1" applyFill="1" applyBorder="1" applyAlignment="1">
      <alignment horizontal="center" wrapText="1"/>
    </xf>
    <xf numFmtId="0" fontId="18" fillId="3" borderId="25" xfId="1" applyFont="1" applyFill="1" applyBorder="1" applyAlignment="1">
      <alignment horizontal="center" wrapText="1"/>
    </xf>
    <xf numFmtId="0" fontId="14" fillId="3" borderId="75" xfId="1" applyFont="1" applyFill="1" applyBorder="1" applyAlignment="1">
      <alignment horizontal="center" vertical="center"/>
    </xf>
    <xf numFmtId="0" fontId="11" fillId="3" borderId="77" xfId="1" applyFill="1" applyBorder="1" applyAlignment="1" applyProtection="1">
      <alignment horizontal="center" vertical="center"/>
      <protection locked="0"/>
    </xf>
    <xf numFmtId="0" fontId="11" fillId="3" borderId="61" xfId="1" applyFill="1" applyBorder="1" applyAlignment="1" applyProtection="1">
      <alignment horizontal="center" vertical="center"/>
      <protection locked="0"/>
    </xf>
    <xf numFmtId="0" fontId="11" fillId="3" borderId="82" xfId="1" applyFill="1" applyBorder="1" applyAlignment="1" applyProtection="1">
      <alignment horizontal="center" vertical="center"/>
      <protection locked="0"/>
    </xf>
    <xf numFmtId="0" fontId="11" fillId="0" borderId="31" xfId="1" applyBorder="1" applyAlignment="1" applyProtection="1">
      <alignment horizontal="center" vertical="center"/>
      <protection locked="0"/>
    </xf>
    <xf numFmtId="0" fontId="11" fillId="0" borderId="34" xfId="1" applyBorder="1" applyAlignment="1" applyProtection="1">
      <alignment horizontal="center" vertical="center"/>
      <protection locked="0"/>
    </xf>
    <xf numFmtId="0" fontId="13" fillId="0" borderId="80" xfId="1" applyFont="1" applyBorder="1" applyAlignment="1">
      <alignment horizontal="center" wrapText="1"/>
    </xf>
    <xf numFmtId="0" fontId="13" fillId="0" borderId="25" xfId="1" applyFont="1" applyBorder="1" applyAlignment="1">
      <alignment horizontal="center" wrapText="1"/>
    </xf>
    <xf numFmtId="0" fontId="13" fillId="0" borderId="59" xfId="1" applyFont="1" applyBorder="1" applyAlignment="1">
      <alignment horizontal="center" wrapText="1"/>
    </xf>
    <xf numFmtId="0" fontId="13" fillId="0" borderId="26" xfId="1" applyFont="1" applyBorder="1" applyAlignment="1">
      <alignment horizontal="center" wrapText="1"/>
    </xf>
    <xf numFmtId="0" fontId="13" fillId="0" borderId="78" xfId="1" applyFont="1" applyBorder="1" applyAlignment="1">
      <alignment horizontal="center" wrapText="1"/>
    </xf>
    <xf numFmtId="0" fontId="34" fillId="0" borderId="59" xfId="1" applyFont="1" applyBorder="1" applyAlignment="1">
      <alignment horizontal="center" wrapText="1"/>
    </xf>
    <xf numFmtId="0" fontId="34" fillId="0" borderId="25" xfId="1" applyFont="1" applyBorder="1" applyAlignment="1">
      <alignment horizontal="center" wrapText="1"/>
    </xf>
    <xf numFmtId="0" fontId="34" fillId="0" borderId="78" xfId="1" applyFont="1" applyBorder="1" applyAlignment="1">
      <alignment horizontal="center" wrapText="1"/>
    </xf>
    <xf numFmtId="0" fontId="34" fillId="0" borderId="86" xfId="1" applyFont="1" applyBorder="1" applyAlignment="1">
      <alignment horizontal="center" wrapText="1"/>
    </xf>
    <xf numFmtId="0" fontId="9" fillId="0" borderId="31" xfId="0" applyFont="1" applyBorder="1" applyAlignment="1" applyProtection="1">
      <alignment horizontal="center" vertical="center"/>
      <protection locked="0"/>
    </xf>
    <xf numFmtId="0" fontId="13" fillId="0" borderId="48" xfId="1" applyFont="1" applyBorder="1" applyAlignment="1">
      <alignment horizontal="center" wrapText="1" shrinkToFit="1"/>
    </xf>
    <xf numFmtId="0" fontId="13" fillId="0" borderId="56" xfId="1" applyFont="1" applyBorder="1" applyAlignment="1">
      <alignment horizontal="center" wrapText="1" shrinkToFit="1"/>
    </xf>
    <xf numFmtId="0" fontId="8" fillId="3" borderId="0" xfId="0" applyFont="1" applyFill="1" applyAlignment="1">
      <alignment vertical="center"/>
    </xf>
    <xf numFmtId="0" fontId="46" fillId="3" borderId="0" xfId="0" applyFont="1" applyFill="1" applyAlignment="1">
      <alignment horizontal="left" indent="1"/>
    </xf>
    <xf numFmtId="0" fontId="30" fillId="3" borderId="0" xfId="0" applyFont="1" applyFill="1"/>
    <xf numFmtId="0" fontId="42" fillId="0" borderId="0" xfId="0" applyFont="1"/>
    <xf numFmtId="0" fontId="22" fillId="3" borderId="0" xfId="0" applyFont="1" applyFill="1" applyAlignment="1">
      <alignment horizontal="center"/>
    </xf>
    <xf numFmtId="0" fontId="22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left" vertical="top"/>
    </xf>
    <xf numFmtId="0" fontId="22" fillId="3" borderId="0" xfId="0" applyFont="1" applyFill="1" applyAlignment="1" applyProtection="1">
      <alignment horizontal="center" vertical="center"/>
      <protection locked="0"/>
    </xf>
    <xf numFmtId="0" fontId="4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top" indent="1"/>
    </xf>
    <xf numFmtId="0" fontId="28" fillId="3" borderId="0" xfId="0" applyFont="1" applyFill="1" applyAlignment="1">
      <alignment horizontal="left" indent="1"/>
    </xf>
    <xf numFmtId="0" fontId="26" fillId="3" borderId="0" xfId="0" applyFont="1" applyFill="1" applyAlignment="1" applyProtection="1">
      <alignment horizontal="center" vertical="top"/>
      <protection locked="0"/>
    </xf>
    <xf numFmtId="0" fontId="25" fillId="0" borderId="0" xfId="0" applyFont="1" applyAlignment="1">
      <alignment horizontal="left" vertical="center" indent="1"/>
    </xf>
    <xf numFmtId="0" fontId="11" fillId="0" borderId="2" xfId="1" applyBorder="1" applyAlignment="1" applyProtection="1">
      <alignment horizontal="center" vertical="center"/>
      <protection locked="0"/>
    </xf>
    <xf numFmtId="0" fontId="11" fillId="0" borderId="32" xfId="1" applyBorder="1" applyAlignment="1" applyProtection="1">
      <alignment horizontal="center" vertical="center"/>
      <protection locked="0"/>
    </xf>
    <xf numFmtId="0" fontId="14" fillId="0" borderId="48" xfId="1" applyFont="1" applyBorder="1" applyAlignment="1">
      <alignment horizontal="center" vertical="center"/>
    </xf>
    <xf numFmtId="0" fontId="11" fillId="0" borderId="35" xfId="1" applyBorder="1" applyAlignment="1" applyProtection="1">
      <alignment horizontal="center" vertical="center"/>
      <protection locked="0"/>
    </xf>
    <xf numFmtId="0" fontId="11" fillId="0" borderId="44" xfId="1" applyBorder="1" applyAlignment="1" applyProtection="1">
      <alignment horizontal="center" vertical="center"/>
      <protection locked="0"/>
    </xf>
    <xf numFmtId="0" fontId="11" fillId="0" borderId="29" xfId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left" indent="1"/>
    </xf>
    <xf numFmtId="0" fontId="11" fillId="0" borderId="0" xfId="0" applyFont="1"/>
    <xf numFmtId="0" fontId="26" fillId="0" borderId="0" xfId="0" applyFont="1"/>
    <xf numFmtId="0" fontId="34" fillId="0" borderId="37" xfId="0" applyFont="1" applyBorder="1" applyAlignment="1">
      <alignment horizontal="center" wrapText="1"/>
    </xf>
    <xf numFmtId="0" fontId="34" fillId="0" borderId="9" xfId="0" applyFont="1" applyBorder="1" applyAlignment="1">
      <alignment horizontal="center" wrapText="1"/>
    </xf>
    <xf numFmtId="0" fontId="34" fillId="0" borderId="46" xfId="0" applyFont="1" applyBorder="1" applyAlignment="1">
      <alignment horizontal="center" wrapText="1"/>
    </xf>
    <xf numFmtId="0" fontId="34" fillId="0" borderId="34" xfId="0" applyFont="1" applyBorder="1" applyAlignment="1">
      <alignment horizontal="center" wrapText="1"/>
    </xf>
    <xf numFmtId="0" fontId="11" fillId="0" borderId="47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48" xfId="0" applyFont="1" applyBorder="1" applyAlignment="1" applyProtection="1">
      <alignment horizontal="center" vertical="center"/>
      <protection locked="0"/>
    </xf>
    <xf numFmtId="0" fontId="43" fillId="0" borderId="37" xfId="1" applyFont="1" applyBorder="1" applyAlignment="1">
      <alignment horizontal="center" wrapText="1"/>
    </xf>
    <xf numFmtId="0" fontId="43" fillId="0" borderId="34" xfId="1" applyFont="1" applyBorder="1" applyAlignment="1">
      <alignment horizontal="center" wrapText="1"/>
    </xf>
    <xf numFmtId="0" fontId="9" fillId="0" borderId="37" xfId="0" applyFont="1" applyBorder="1" applyAlignment="1" applyProtection="1">
      <alignment horizontal="center" vertical="center"/>
      <protection locked="0"/>
    </xf>
    <xf numFmtId="0" fontId="26" fillId="0" borderId="26" xfId="0" applyFont="1" applyBorder="1"/>
    <xf numFmtId="0" fontId="11" fillId="0" borderId="43" xfId="0" applyFont="1" applyBorder="1"/>
    <xf numFmtId="0" fontId="11" fillId="0" borderId="30" xfId="1" applyBorder="1" applyAlignment="1" applyProtection="1">
      <alignment horizontal="center" vertical="center"/>
      <protection locked="0"/>
    </xf>
    <xf numFmtId="0" fontId="11" fillId="0" borderId="2" xfId="1" applyBorder="1" applyAlignment="1">
      <alignment horizontal="center" vertical="center"/>
    </xf>
    <xf numFmtId="0" fontId="11" fillId="0" borderId="32" xfId="1" applyBorder="1" applyAlignment="1">
      <alignment horizontal="center" vertical="center"/>
    </xf>
    <xf numFmtId="0" fontId="11" fillId="0" borderId="31" xfId="1" applyBorder="1" applyAlignment="1">
      <alignment horizontal="center" vertical="center"/>
    </xf>
    <xf numFmtId="0" fontId="11" fillId="0" borderId="44" xfId="1" applyBorder="1" applyAlignment="1">
      <alignment horizontal="center" vertical="center"/>
    </xf>
    <xf numFmtId="0" fontId="11" fillId="0" borderId="35" xfId="1" applyBorder="1" applyAlignment="1">
      <alignment horizontal="center" vertical="center"/>
    </xf>
    <xf numFmtId="0" fontId="11" fillId="0" borderId="3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34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9" fillId="0" borderId="44" xfId="0" applyFont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/>
      <protection locked="0"/>
    </xf>
    <xf numFmtId="0" fontId="10" fillId="0" borderId="80" xfId="0" applyFont="1" applyBorder="1" applyAlignment="1">
      <alignment horizontal="center" vertical="center"/>
    </xf>
    <xf numFmtId="0" fontId="0" fillId="0" borderId="43" xfId="0" applyBorder="1"/>
    <xf numFmtId="0" fontId="14" fillId="0" borderId="78" xfId="1" applyFont="1" applyBorder="1" applyAlignment="1">
      <alignment horizontal="center" vertical="center"/>
    </xf>
    <xf numFmtId="0" fontId="14" fillId="0" borderId="80" xfId="1" applyFont="1" applyBorder="1" applyAlignment="1">
      <alignment horizontal="center" vertical="center"/>
    </xf>
    <xf numFmtId="0" fontId="11" fillId="0" borderId="37" xfId="0" applyFont="1" applyBorder="1" applyAlignment="1" applyProtection="1">
      <alignment horizontal="center"/>
      <protection locked="0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34" xfId="0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34" fillId="0" borderId="18" xfId="0" applyFont="1" applyBorder="1" applyAlignment="1">
      <alignment horizontal="center" wrapText="1"/>
    </xf>
    <xf numFmtId="0" fontId="11" fillId="0" borderId="13" xfId="0" applyFont="1" applyBorder="1" applyAlignment="1" applyProtection="1">
      <alignment horizontal="center" vertical="center"/>
      <protection locked="0"/>
    </xf>
    <xf numFmtId="0" fontId="16" fillId="0" borderId="37" xfId="1" applyFont="1" applyBorder="1" applyAlignment="1">
      <alignment horizontal="center" wrapText="1"/>
    </xf>
    <xf numFmtId="0" fontId="16" fillId="0" borderId="34" xfId="1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/>
    </xf>
    <xf numFmtId="0" fontId="11" fillId="0" borderId="71" xfId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45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16" fillId="0" borderId="37" xfId="1" applyFont="1" applyBorder="1" applyAlignment="1">
      <alignment horizontal="center" vertical="center" wrapText="1"/>
    </xf>
    <xf numFmtId="0" fontId="16" fillId="0" borderId="34" xfId="1" applyFont="1" applyBorder="1" applyAlignment="1">
      <alignment horizontal="center" vertical="center" wrapText="1"/>
    </xf>
    <xf numFmtId="0" fontId="11" fillId="0" borderId="67" xfId="0" applyFont="1" applyBorder="1" applyAlignment="1" applyProtection="1">
      <alignment horizontal="center"/>
      <protection locked="0"/>
    </xf>
    <xf numFmtId="0" fontId="11" fillId="0" borderId="65" xfId="0" applyFont="1" applyBorder="1" applyAlignment="1" applyProtection="1">
      <alignment horizontal="center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49" fillId="0" borderId="0" xfId="0" applyFont="1" applyAlignment="1">
      <alignment horizontal="left" vertical="top"/>
    </xf>
    <xf numFmtId="0" fontId="26" fillId="0" borderId="0" xfId="0" applyFont="1" applyAlignment="1">
      <alignment horizontal="left" inden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 applyProtection="1">
      <alignment horizontal="center" vertical="center"/>
      <protection locked="0"/>
    </xf>
    <xf numFmtId="0" fontId="25" fillId="0" borderId="13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6" fillId="0" borderId="17" xfId="0" applyFont="1" applyBorder="1" applyAlignment="1" applyProtection="1">
      <alignment horizontal="center"/>
      <protection locked="0"/>
    </xf>
    <xf numFmtId="0" fontId="26" fillId="0" borderId="21" xfId="0" applyFont="1" applyBorder="1" applyAlignment="1" applyProtection="1">
      <alignment horizontal="center"/>
      <protection locked="0"/>
    </xf>
    <xf numFmtId="0" fontId="26" fillId="0" borderId="80" xfId="0" applyFont="1" applyBorder="1" applyAlignment="1" applyProtection="1">
      <alignment horizontal="center"/>
      <protection locked="0"/>
    </xf>
    <xf numFmtId="0" fontId="26" fillId="0" borderId="59" xfId="0" applyFont="1" applyBorder="1" applyAlignment="1" applyProtection="1">
      <alignment horizontal="center"/>
      <protection locked="0"/>
    </xf>
    <xf numFmtId="0" fontId="25" fillId="0" borderId="80" xfId="0" applyFont="1" applyBorder="1" applyAlignment="1">
      <alignment horizontal="center"/>
    </xf>
    <xf numFmtId="0" fontId="25" fillId="0" borderId="5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26" fillId="0" borderId="5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top"/>
    </xf>
    <xf numFmtId="0" fontId="26" fillId="0" borderId="0" xfId="0" applyFont="1" applyAlignment="1">
      <alignment horizontal="center" vertical="top"/>
    </xf>
    <xf numFmtId="0" fontId="26" fillId="0" borderId="75" xfId="0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top" indent="1"/>
    </xf>
    <xf numFmtId="0" fontId="26" fillId="0" borderId="0" xfId="0" applyFont="1" applyAlignment="1" applyProtection="1">
      <alignment horizontal="center" vertical="top"/>
      <protection locked="0"/>
    </xf>
    <xf numFmtId="0" fontId="26" fillId="0" borderId="0" xfId="0" applyFont="1" applyAlignment="1">
      <alignment horizontal="center" vertical="center"/>
    </xf>
    <xf numFmtId="0" fontId="50" fillId="0" borderId="0" xfId="0" applyFont="1"/>
    <xf numFmtId="0" fontId="50" fillId="0" borderId="0" xfId="0" applyFont="1" applyAlignment="1">
      <alignment horizontal="left" indent="1"/>
    </xf>
    <xf numFmtId="0" fontId="45" fillId="0" borderId="0" xfId="0" applyFont="1" applyAlignment="1">
      <alignment vertical="center" wrapText="1"/>
    </xf>
    <xf numFmtId="0" fontId="11" fillId="0" borderId="61" xfId="0" applyFont="1" applyBorder="1" applyAlignment="1" applyProtection="1">
      <alignment horizontal="center" vertical="center"/>
      <protection locked="0"/>
    </xf>
    <xf numFmtId="0" fontId="11" fillId="0" borderId="77" xfId="0" applyFont="1" applyBorder="1" applyAlignment="1" applyProtection="1">
      <alignment horizontal="center" vertical="center"/>
      <protection locked="0"/>
    </xf>
    <xf numFmtId="0" fontId="22" fillId="0" borderId="0" xfId="0" quotePrefix="1" applyFont="1" applyAlignment="1">
      <alignment horizontal="left" vertical="top" wrapText="1"/>
    </xf>
    <xf numFmtId="0" fontId="11" fillId="0" borderId="0" xfId="0" quotePrefix="1" applyFont="1" applyAlignment="1">
      <alignment vertical="center" wrapText="1"/>
    </xf>
    <xf numFmtId="0" fontId="22" fillId="0" borderId="0" xfId="0" quotePrefix="1" applyFont="1" applyAlignment="1">
      <alignment vertical="center"/>
    </xf>
    <xf numFmtId="0" fontId="22" fillId="0" borderId="0" xfId="0" quotePrefix="1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1" fillId="0" borderId="0" xfId="0" quotePrefix="1" applyFont="1" applyAlignment="1">
      <alignment horizontal="left" vertical="top"/>
    </xf>
    <xf numFmtId="0" fontId="22" fillId="0" borderId="0" xfId="1" applyFont="1" applyAlignment="1">
      <alignment horizontal="left" vertical="top"/>
    </xf>
    <xf numFmtId="0" fontId="22" fillId="0" borderId="43" xfId="0" quotePrefix="1" applyFont="1" applyBorder="1" applyAlignment="1">
      <alignment horizontal="left" vertical="top"/>
    </xf>
    <xf numFmtId="0" fontId="52" fillId="0" borderId="0" xfId="0" applyFont="1" applyAlignment="1">
      <alignment horizontal="left" vertical="top"/>
    </xf>
    <xf numFmtId="0" fontId="11" fillId="3" borderId="40" xfId="1" applyFill="1" applyBorder="1" applyAlignment="1" applyProtection="1">
      <alignment horizontal="center" vertical="center"/>
      <protection locked="0"/>
    </xf>
    <xf numFmtId="0" fontId="11" fillId="3" borderId="3" xfId="1" applyFill="1" applyBorder="1" applyAlignment="1" applyProtection="1">
      <alignment horizontal="center" vertical="center"/>
      <protection locked="0"/>
    </xf>
    <xf numFmtId="0" fontId="11" fillId="3" borderId="4" xfId="1" applyFill="1" applyBorder="1" applyAlignment="1" applyProtection="1">
      <alignment horizontal="center" vertical="center"/>
      <protection locked="0"/>
    </xf>
    <xf numFmtId="0" fontId="11" fillId="0" borderId="40" xfId="1" applyBorder="1" applyAlignment="1">
      <alignment horizontal="left" vertical="center" indent="1"/>
    </xf>
    <xf numFmtId="0" fontId="11" fillId="0" borderId="3" xfId="1" applyBorder="1" applyAlignment="1">
      <alignment horizontal="left" vertical="center" indent="1"/>
    </xf>
    <xf numFmtId="0" fontId="11" fillId="0" borderId="33" xfId="1" applyBorder="1" applyAlignment="1">
      <alignment horizontal="left" vertical="center" indent="1"/>
    </xf>
    <xf numFmtId="0" fontId="11" fillId="3" borderId="2" xfId="1" applyFill="1" applyBorder="1" applyAlignment="1" applyProtection="1">
      <alignment horizontal="center" vertical="center"/>
      <protection locked="0"/>
    </xf>
    <xf numFmtId="0" fontId="14" fillId="3" borderId="40" xfId="1" applyFont="1" applyFill="1" applyBorder="1" applyAlignment="1">
      <alignment horizontal="center" vertical="center"/>
    </xf>
    <xf numFmtId="0" fontId="14" fillId="3" borderId="33" xfId="1" applyFont="1" applyFill="1" applyBorder="1" applyAlignment="1">
      <alignment horizontal="center" vertical="center"/>
    </xf>
    <xf numFmtId="0" fontId="11" fillId="0" borderId="16" xfId="1" applyBorder="1" applyAlignment="1" applyProtection="1">
      <alignment horizontal="center" vertical="center"/>
      <protection locked="0"/>
    </xf>
    <xf numFmtId="0" fontId="11" fillId="0" borderId="53" xfId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2" xfId="0" applyFont="1" applyFill="1" applyBorder="1" applyAlignment="1" applyProtection="1">
      <alignment horizontal="center" vertical="center"/>
      <protection locked="0"/>
    </xf>
    <xf numFmtId="0" fontId="9" fillId="3" borderId="13" xfId="0" applyFont="1" applyFill="1" applyBorder="1" applyAlignment="1" applyProtection="1">
      <alignment horizontal="center" vertical="center"/>
      <protection locked="0"/>
    </xf>
    <xf numFmtId="0" fontId="9" fillId="3" borderId="11" xfId="0" applyFont="1" applyFill="1" applyBorder="1" applyAlignment="1" applyProtection="1">
      <alignment horizontal="center" vertical="center"/>
      <protection locked="0"/>
    </xf>
    <xf numFmtId="0" fontId="28" fillId="3" borderId="12" xfId="0" applyFont="1" applyFill="1" applyBorder="1" applyAlignment="1" applyProtection="1">
      <alignment horizontal="center" vertical="center"/>
      <protection locked="0"/>
    </xf>
    <xf numFmtId="0" fontId="28" fillId="3" borderId="13" xfId="0" applyFont="1" applyFill="1" applyBorder="1" applyAlignment="1" applyProtection="1">
      <alignment horizontal="center" vertical="center"/>
      <protection locked="0"/>
    </xf>
    <xf numFmtId="0" fontId="14" fillId="3" borderId="52" xfId="1" applyFont="1" applyFill="1" applyBorder="1" applyAlignment="1">
      <alignment horizontal="center" vertical="center"/>
    </xf>
    <xf numFmtId="0" fontId="14" fillId="3" borderId="56" xfId="1" applyFont="1" applyFill="1" applyBorder="1" applyAlignment="1">
      <alignment horizontal="center" vertical="center"/>
    </xf>
    <xf numFmtId="0" fontId="14" fillId="3" borderId="11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horizontal="center" vertical="center"/>
    </xf>
    <xf numFmtId="0" fontId="11" fillId="0" borderId="38" xfId="1" applyBorder="1" applyAlignment="1">
      <alignment horizontal="left" vertical="center" wrapText="1" indent="1"/>
    </xf>
    <xf numFmtId="0" fontId="11" fillId="0" borderId="53" xfId="1" applyBorder="1" applyAlignment="1">
      <alignment horizontal="left" vertical="center" wrapText="1" indent="1"/>
    </xf>
    <xf numFmtId="0" fontId="11" fillId="3" borderId="38" xfId="1" applyFill="1" applyBorder="1" applyAlignment="1" applyProtection="1">
      <alignment horizontal="center" vertical="center"/>
      <protection locked="0"/>
    </xf>
    <xf numFmtId="0" fontId="11" fillId="3" borderId="17" xfId="1" applyFill="1" applyBorder="1" applyAlignment="1" applyProtection="1">
      <alignment horizontal="center" vertical="center"/>
      <protection locked="0"/>
    </xf>
    <xf numFmtId="0" fontId="11" fillId="3" borderId="15" xfId="1" applyFill="1" applyBorder="1" applyAlignment="1" applyProtection="1">
      <alignment horizontal="center" vertical="center"/>
      <protection locked="0"/>
    </xf>
    <xf numFmtId="0" fontId="11" fillId="0" borderId="40" xfId="1" applyBorder="1" applyAlignment="1">
      <alignment horizontal="left" vertical="center" wrapText="1" indent="1"/>
    </xf>
    <xf numFmtId="0" fontId="11" fillId="0" borderId="33" xfId="1" applyBorder="1" applyAlignment="1">
      <alignment horizontal="left" vertical="center" wrapText="1" indent="1"/>
    </xf>
    <xf numFmtId="0" fontId="11" fillId="0" borderId="0" xfId="0" quotePrefix="1" applyFont="1" applyAlignment="1">
      <alignment horizontal="left" vertical="center" wrapText="1"/>
    </xf>
    <xf numFmtId="0" fontId="14" fillId="0" borderId="12" xfId="1" applyFont="1" applyBorder="1" applyAlignment="1">
      <alignment horizontal="center" wrapText="1"/>
    </xf>
    <xf numFmtId="0" fontId="28" fillId="0" borderId="12" xfId="0" applyFont="1" applyBorder="1" applyAlignment="1">
      <alignment horizontal="center" wrapText="1"/>
    </xf>
    <xf numFmtId="0" fontId="14" fillId="0" borderId="11" xfId="1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0" fontId="14" fillId="0" borderId="56" xfId="1" applyFont="1" applyBorder="1" applyAlignment="1">
      <alignment horizontal="center"/>
    </xf>
    <xf numFmtId="0" fontId="11" fillId="0" borderId="2" xfId="1" applyBorder="1" applyAlignment="1" applyProtection="1">
      <alignment horizontal="center" vertical="center"/>
      <protection locked="0"/>
    </xf>
    <xf numFmtId="0" fontId="11" fillId="0" borderId="33" xfId="1" applyBorder="1" applyAlignment="1" applyProtection="1">
      <alignment horizontal="center" vertical="center"/>
      <protection locked="0"/>
    </xf>
    <xf numFmtId="0" fontId="11" fillId="0" borderId="40" xfId="1" quotePrefix="1" applyBorder="1" applyAlignment="1">
      <alignment horizontal="left" vertical="center"/>
    </xf>
    <xf numFmtId="0" fontId="11" fillId="0" borderId="4" xfId="1" quotePrefix="1" applyBorder="1" applyAlignment="1">
      <alignment horizontal="left" vertical="center"/>
    </xf>
    <xf numFmtId="0" fontId="25" fillId="0" borderId="0" xfId="0" applyFont="1" applyAlignment="1">
      <alignment horizontal="left" vertical="center" indent="2"/>
    </xf>
    <xf numFmtId="0" fontId="11" fillId="0" borderId="46" xfId="1" applyBorder="1" applyAlignment="1" applyProtection="1">
      <alignment horizontal="center" vertical="center"/>
      <protection locked="0"/>
    </xf>
    <xf numFmtId="0" fontId="11" fillId="0" borderId="9" xfId="1" applyBorder="1" applyAlignment="1" applyProtection="1">
      <alignment horizontal="center" vertical="center"/>
      <protection locked="0"/>
    </xf>
    <xf numFmtId="0" fontId="11" fillId="0" borderId="7" xfId="1" applyBorder="1" applyAlignment="1" applyProtection="1">
      <alignment horizontal="center" vertical="center"/>
      <protection locked="0"/>
    </xf>
    <xf numFmtId="0" fontId="11" fillId="0" borderId="45" xfId="1" applyBorder="1" applyAlignment="1" applyProtection="1">
      <alignment horizontal="center" vertical="center"/>
      <protection locked="0"/>
    </xf>
    <xf numFmtId="0" fontId="14" fillId="0" borderId="38" xfId="1" applyFont="1" applyBorder="1" applyAlignment="1">
      <alignment horizontal="center" wrapText="1"/>
    </xf>
    <xf numFmtId="0" fontId="14" fillId="0" borderId="16" xfId="1" applyFont="1" applyBorder="1" applyAlignment="1">
      <alignment horizontal="center" wrapText="1"/>
    </xf>
    <xf numFmtId="0" fontId="14" fillId="0" borderId="53" xfId="1" applyFont="1" applyBorder="1" applyAlignment="1">
      <alignment horizontal="center" wrapText="1"/>
    </xf>
    <xf numFmtId="0" fontId="14" fillId="3" borderId="11" xfId="1" applyFont="1" applyFill="1" applyBorder="1" applyAlignment="1">
      <alignment horizontal="center" wrapText="1"/>
    </xf>
    <xf numFmtId="0" fontId="28" fillId="3" borderId="12" xfId="0" applyFont="1" applyFill="1" applyBorder="1" applyAlignment="1">
      <alignment horizontal="center" wrapText="1"/>
    </xf>
    <xf numFmtId="0" fontId="28" fillId="3" borderId="13" xfId="0" applyFont="1" applyFill="1" applyBorder="1" applyAlignment="1">
      <alignment horizontal="center" wrapText="1"/>
    </xf>
    <xf numFmtId="0" fontId="14" fillId="3" borderId="11" xfId="1" applyFont="1" applyFill="1" applyBorder="1" applyAlignment="1">
      <alignment horizontal="center"/>
    </xf>
    <xf numFmtId="0" fontId="14" fillId="3" borderId="12" xfId="1" applyFont="1" applyFill="1" applyBorder="1" applyAlignment="1">
      <alignment horizontal="center"/>
    </xf>
    <xf numFmtId="0" fontId="14" fillId="3" borderId="56" xfId="1" applyFont="1" applyFill="1" applyBorder="1" applyAlignment="1">
      <alignment horizontal="center"/>
    </xf>
    <xf numFmtId="0" fontId="11" fillId="0" borderId="46" xfId="1" applyBorder="1" applyAlignment="1">
      <alignment horizontal="left" vertical="center" indent="1"/>
    </xf>
    <xf numFmtId="0" fontId="11" fillId="0" borderId="8" xfId="1" applyBorder="1" applyAlignment="1">
      <alignment horizontal="left" vertical="center" indent="1"/>
    </xf>
    <xf numFmtId="0" fontId="11" fillId="0" borderId="45" xfId="1" applyBorder="1" applyAlignment="1">
      <alignment horizontal="left" vertical="center" indent="1"/>
    </xf>
    <xf numFmtId="0" fontId="14" fillId="3" borderId="12" xfId="1" applyFont="1" applyFill="1" applyBorder="1" applyAlignment="1">
      <alignment horizontal="center" vertical="center"/>
    </xf>
    <xf numFmtId="0" fontId="11" fillId="0" borderId="4" xfId="1" applyBorder="1" applyAlignment="1" applyProtection="1">
      <alignment horizontal="center" vertical="center"/>
      <protection locked="0"/>
    </xf>
    <xf numFmtId="0" fontId="11" fillId="0" borderId="15" xfId="1" applyBorder="1" applyAlignment="1" applyProtection="1">
      <alignment horizontal="center" vertical="center"/>
      <protection locked="0"/>
    </xf>
    <xf numFmtId="0" fontId="11" fillId="0" borderId="17" xfId="1" applyBorder="1" applyAlignment="1" applyProtection="1">
      <alignment horizontal="center" vertical="center"/>
      <protection locked="0"/>
    </xf>
    <xf numFmtId="0" fontId="14" fillId="3" borderId="3" xfId="1" applyFont="1" applyFill="1" applyBorder="1" applyAlignment="1">
      <alignment horizontal="center" vertical="center"/>
    </xf>
    <xf numFmtId="0" fontId="11" fillId="3" borderId="33" xfId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14" fillId="0" borderId="5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1" fillId="0" borderId="46" xfId="1" applyBorder="1" applyAlignment="1">
      <alignment horizontal="left" vertical="center" wrapText="1" indent="1"/>
    </xf>
    <xf numFmtId="0" fontId="11" fillId="0" borderId="8" xfId="1" applyBorder="1" applyAlignment="1">
      <alignment horizontal="left" vertical="center" wrapText="1" indent="1"/>
    </xf>
    <xf numFmtId="0" fontId="11" fillId="0" borderId="45" xfId="1" applyBorder="1" applyAlignment="1">
      <alignment horizontal="left" vertical="center" wrapText="1" indent="1"/>
    </xf>
    <xf numFmtId="0" fontId="11" fillId="0" borderId="40" xfId="1" applyBorder="1" applyAlignment="1" applyProtection="1">
      <alignment horizontal="center" vertical="center"/>
      <protection locked="0"/>
    </xf>
    <xf numFmtId="0" fontId="11" fillId="0" borderId="2" xfId="1" applyBorder="1" applyAlignment="1" applyProtection="1">
      <alignment horizontal="center" vertical="center" wrapText="1"/>
      <protection locked="0"/>
    </xf>
    <xf numFmtId="0" fontId="11" fillId="0" borderId="33" xfId="1" applyBorder="1" applyAlignment="1" applyProtection="1">
      <alignment horizontal="center" vertical="center" wrapText="1"/>
      <protection locked="0"/>
    </xf>
    <xf numFmtId="0" fontId="11" fillId="0" borderId="40" xfId="1" applyBorder="1" applyAlignment="1">
      <alignment horizontal="left" wrapText="1" indent="1"/>
    </xf>
    <xf numFmtId="0" fontId="11" fillId="0" borderId="3" xfId="1" applyBorder="1" applyAlignment="1">
      <alignment horizontal="left" wrapText="1" indent="1"/>
    </xf>
    <xf numFmtId="0" fontId="11" fillId="0" borderId="33" xfId="1" applyBorder="1" applyAlignment="1">
      <alignment horizontal="left" wrapText="1" indent="1"/>
    </xf>
    <xf numFmtId="0" fontId="14" fillId="3" borderId="52" xfId="1" applyFont="1" applyFill="1" applyBorder="1" applyAlignment="1">
      <alignment horizontal="left" vertical="center" indent="1"/>
    </xf>
    <xf numFmtId="0" fontId="14" fillId="3" borderId="12" xfId="1" applyFont="1" applyFill="1" applyBorder="1" applyAlignment="1">
      <alignment horizontal="left" vertical="center" indent="1"/>
    </xf>
    <xf numFmtId="0" fontId="14" fillId="3" borderId="56" xfId="1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9" fillId="0" borderId="40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40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33" xfId="0" applyFont="1" applyBorder="1" applyAlignment="1" applyProtection="1">
      <alignment horizontal="center" vertical="center"/>
      <protection locked="0"/>
    </xf>
    <xf numFmtId="0" fontId="9" fillId="0" borderId="37" xfId="0" applyFont="1" applyBorder="1"/>
    <xf numFmtId="0" fontId="9" fillId="0" borderId="18" xfId="0" applyFont="1" applyBorder="1"/>
    <xf numFmtId="0" fontId="9" fillId="0" borderId="34" xfId="0" applyFont="1" applyBorder="1"/>
    <xf numFmtId="0" fontId="10" fillId="0" borderId="5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9" fillId="0" borderId="54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58" xfId="0" applyFont="1" applyBorder="1" applyAlignment="1" applyProtection="1">
      <alignment horizontal="center" vertical="center"/>
      <protection locked="0"/>
    </xf>
    <xf numFmtId="0" fontId="22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left" vertical="center" indent="1"/>
    </xf>
    <xf numFmtId="0" fontId="22" fillId="0" borderId="0" xfId="0" applyFont="1"/>
    <xf numFmtId="0" fontId="9" fillId="3" borderId="40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0" fontId="9" fillId="3" borderId="64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/>
    </xf>
    <xf numFmtId="0" fontId="10" fillId="3" borderId="5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56" xfId="0" applyFont="1" applyFill="1" applyBorder="1" applyAlignment="1">
      <alignment horizontal="center" vertical="center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16" xfId="0" applyFont="1" applyFill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/>
      <protection locked="0"/>
    </xf>
    <xf numFmtId="0" fontId="10" fillId="0" borderId="5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9" fillId="0" borderId="62" xfId="0" applyFont="1" applyBorder="1" applyAlignment="1">
      <alignment horizontal="left" indent="1"/>
    </xf>
    <xf numFmtId="0" fontId="9" fillId="0" borderId="60" xfId="0" applyFont="1" applyBorder="1" applyAlignment="1">
      <alignment horizontal="left" indent="1"/>
    </xf>
    <xf numFmtId="0" fontId="9" fillId="0" borderId="63" xfId="0" applyFont="1" applyBorder="1" applyAlignment="1">
      <alignment horizontal="left" indent="1"/>
    </xf>
    <xf numFmtId="0" fontId="9" fillId="0" borderId="38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>
      <alignment horizontal="left" indent="1"/>
    </xf>
    <xf numFmtId="0" fontId="9" fillId="0" borderId="3" xfId="0" applyFont="1" applyBorder="1" applyAlignment="1">
      <alignment horizontal="left" indent="1"/>
    </xf>
    <xf numFmtId="0" fontId="9" fillId="0" borderId="33" xfId="0" applyFont="1" applyBorder="1" applyAlignment="1">
      <alignment horizontal="left" indent="1"/>
    </xf>
    <xf numFmtId="0" fontId="46" fillId="0" borderId="60" xfId="0" applyFont="1" applyBorder="1" applyAlignment="1">
      <alignment horizontal="left" indent="1"/>
    </xf>
    <xf numFmtId="0" fontId="5" fillId="0" borderId="0" xfId="0" applyFont="1" applyAlignment="1">
      <alignment horizontal="left" wrapText="1" indent="2"/>
    </xf>
    <xf numFmtId="0" fontId="5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left" vertical="center" indent="1"/>
    </xf>
    <xf numFmtId="0" fontId="14" fillId="0" borderId="8" xfId="1" applyFont="1" applyBorder="1" applyAlignment="1">
      <alignment horizontal="center" vertical="center"/>
    </xf>
    <xf numFmtId="0" fontId="14" fillId="0" borderId="45" xfId="1" applyFont="1" applyBorder="1" applyAlignment="1">
      <alignment horizontal="center" vertical="center"/>
    </xf>
    <xf numFmtId="165" fontId="11" fillId="0" borderId="15" xfId="1" applyNumberFormat="1" applyBorder="1" applyAlignment="1" applyProtection="1">
      <alignment horizontal="center" vertical="center"/>
      <protection locked="0"/>
    </xf>
    <xf numFmtId="165" fontId="11" fillId="0" borderId="16" xfId="1" applyNumberFormat="1" applyBorder="1" applyAlignment="1" applyProtection="1">
      <alignment horizontal="center" vertical="center"/>
      <protection locked="0"/>
    </xf>
    <xf numFmtId="165" fontId="11" fillId="0" borderId="7" xfId="1" applyNumberFormat="1" applyBorder="1" applyAlignment="1" applyProtection="1">
      <alignment horizontal="center" vertical="center"/>
      <protection locked="0"/>
    </xf>
    <xf numFmtId="165" fontId="11" fillId="0" borderId="8" xfId="1" applyNumberFormat="1" applyBorder="1" applyAlignment="1" applyProtection="1">
      <alignment horizontal="center" vertical="center"/>
      <protection locked="0"/>
    </xf>
    <xf numFmtId="165" fontId="14" fillId="0" borderId="11" xfId="1" applyNumberFormat="1" applyFont="1" applyBorder="1" applyAlignment="1">
      <alignment horizontal="center" vertical="center"/>
    </xf>
    <xf numFmtId="165" fontId="14" fillId="0" borderId="12" xfId="1" applyNumberFormat="1" applyFont="1" applyBorder="1" applyAlignment="1">
      <alignment horizontal="center" vertical="center"/>
    </xf>
    <xf numFmtId="165" fontId="11" fillId="0" borderId="53" xfId="1" applyNumberFormat="1" applyBorder="1" applyAlignment="1" applyProtection="1">
      <alignment horizontal="center" vertical="center"/>
      <protection locked="0"/>
    </xf>
    <xf numFmtId="0" fontId="11" fillId="0" borderId="38" xfId="1" applyBorder="1" applyAlignment="1">
      <alignment horizontal="left" vertical="center" indent="1"/>
    </xf>
    <xf numFmtId="0" fontId="11" fillId="0" borderId="16" xfId="1" applyBorder="1" applyAlignment="1">
      <alignment horizontal="left" vertical="center" indent="1"/>
    </xf>
    <xf numFmtId="0" fontId="11" fillId="0" borderId="53" xfId="1" applyBorder="1" applyAlignment="1">
      <alignment horizontal="left" vertical="center" indent="1"/>
    </xf>
    <xf numFmtId="0" fontId="11" fillId="0" borderId="5" xfId="1" applyBorder="1" applyAlignment="1" applyProtection="1">
      <alignment horizontal="center" vertical="center"/>
      <protection locked="0"/>
    </xf>
    <xf numFmtId="0" fontId="11" fillId="0" borderId="31" xfId="1" applyBorder="1" applyAlignment="1" applyProtection="1">
      <alignment horizontal="center" vertical="center"/>
      <protection locked="0"/>
    </xf>
    <xf numFmtId="0" fontId="14" fillId="0" borderId="52" xfId="1" applyFont="1" applyBorder="1" applyAlignment="1">
      <alignment horizontal="center" wrapText="1"/>
    </xf>
    <xf numFmtId="0" fontId="14" fillId="0" borderId="13" xfId="1" applyFont="1" applyBorder="1" applyAlignment="1">
      <alignment horizontal="center" wrapText="1"/>
    </xf>
    <xf numFmtId="0" fontId="11" fillId="0" borderId="38" xfId="1" quotePrefix="1" applyBorder="1" applyAlignment="1">
      <alignment horizontal="left" vertical="center"/>
    </xf>
    <xf numFmtId="0" fontId="11" fillId="0" borderId="17" xfId="1" quotePrefix="1" applyBorder="1" applyAlignment="1">
      <alignment horizontal="left" vertical="center"/>
    </xf>
    <xf numFmtId="0" fontId="9" fillId="0" borderId="54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52" xfId="1" applyBorder="1" applyAlignment="1" applyProtection="1">
      <alignment horizontal="center" vertical="center"/>
      <protection locked="0"/>
    </xf>
    <xf numFmtId="0" fontId="11" fillId="0" borderId="13" xfId="1" applyBorder="1" applyAlignment="1" applyProtection="1">
      <alignment horizontal="center" vertical="center"/>
      <protection locked="0"/>
    </xf>
    <xf numFmtId="0" fontId="11" fillId="3" borderId="52" xfId="1" applyFill="1" applyBorder="1" applyAlignment="1">
      <alignment horizontal="center" vertical="center"/>
    </xf>
    <xf numFmtId="0" fontId="11" fillId="3" borderId="12" xfId="1" applyFill="1" applyBorder="1" applyAlignment="1">
      <alignment horizontal="center" vertical="center"/>
    </xf>
    <xf numFmtId="0" fontId="11" fillId="3" borderId="56" xfId="1" applyFill="1" applyBorder="1" applyAlignment="1">
      <alignment horizontal="center" vertical="center"/>
    </xf>
    <xf numFmtId="0" fontId="9" fillId="3" borderId="62" xfId="0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9" fillId="3" borderId="58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10" fillId="0" borderId="46" xfId="0" applyFont="1" applyBorder="1" applyAlignment="1">
      <alignment horizontal="left" wrapText="1" indent="1"/>
    </xf>
    <xf numFmtId="0" fontId="10" fillId="0" borderId="8" xfId="0" applyFont="1" applyBorder="1" applyAlignment="1">
      <alignment horizontal="left" wrapText="1" indent="1"/>
    </xf>
    <xf numFmtId="0" fontId="10" fillId="0" borderId="45" xfId="0" applyFont="1" applyBorder="1" applyAlignment="1">
      <alignment horizontal="left" wrapText="1" indent="1"/>
    </xf>
    <xf numFmtId="0" fontId="14" fillId="0" borderId="46" xfId="1" applyFont="1" applyBorder="1" applyAlignment="1">
      <alignment horizontal="center" wrapText="1"/>
    </xf>
    <xf numFmtId="0" fontId="14" fillId="0" borderId="9" xfId="1" applyFont="1" applyBorder="1" applyAlignment="1">
      <alignment horizontal="center" wrapText="1"/>
    </xf>
    <xf numFmtId="0" fontId="14" fillId="0" borderId="7" xfId="1" applyFont="1" applyBorder="1" applyAlignment="1">
      <alignment horizontal="center" wrapText="1"/>
    </xf>
    <xf numFmtId="0" fontId="11" fillId="0" borderId="11" xfId="1" applyBorder="1" applyAlignment="1" applyProtection="1">
      <alignment horizontal="center" vertical="center"/>
      <protection locked="0"/>
    </xf>
    <xf numFmtId="0" fontId="11" fillId="0" borderId="56" xfId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 indent="2"/>
    </xf>
    <xf numFmtId="0" fontId="25" fillId="0" borderId="0" xfId="0" applyFont="1" applyAlignment="1">
      <alignment horizontal="left" vertical="center" indent="1"/>
    </xf>
    <xf numFmtId="0" fontId="14" fillId="0" borderId="56" xfId="1" applyFont="1" applyBorder="1" applyAlignment="1">
      <alignment horizontal="center" wrapText="1"/>
    </xf>
    <xf numFmtId="0" fontId="14" fillId="3" borderId="38" xfId="1" applyFont="1" applyFill="1" applyBorder="1" applyAlignment="1">
      <alignment horizontal="center" vertical="center"/>
    </xf>
    <xf numFmtId="0" fontId="14" fillId="3" borderId="53" xfId="1" applyFont="1" applyFill="1" applyBorder="1" applyAlignment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45" xfId="0" applyFont="1" applyFill="1" applyBorder="1" applyAlignment="1" applyProtection="1">
      <alignment horizontal="center" vertical="center"/>
      <protection locked="0"/>
    </xf>
    <xf numFmtId="0" fontId="11" fillId="0" borderId="0" xfId="1" applyAlignment="1">
      <alignment horizontal="center" vertical="center"/>
    </xf>
    <xf numFmtId="0" fontId="14" fillId="0" borderId="11" xfId="1" applyFont="1" applyBorder="1" applyAlignment="1">
      <alignment horizontal="center" wrapText="1"/>
    </xf>
    <xf numFmtId="0" fontId="14" fillId="0" borderId="62" xfId="1" applyFont="1" applyBorder="1" applyAlignment="1">
      <alignment horizontal="center" wrapText="1"/>
    </xf>
    <xf numFmtId="0" fontId="14" fillId="0" borderId="60" xfId="1" applyFont="1" applyBorder="1" applyAlignment="1">
      <alignment horizontal="center" wrapText="1"/>
    </xf>
    <xf numFmtId="0" fontId="14" fillId="0" borderId="63" xfId="1" applyFont="1" applyBorder="1" applyAlignment="1">
      <alignment horizontal="center" wrapText="1"/>
    </xf>
    <xf numFmtId="0" fontId="14" fillId="0" borderId="64" xfId="1" applyFont="1" applyBorder="1" applyAlignment="1">
      <alignment horizontal="center" wrapText="1"/>
    </xf>
    <xf numFmtId="0" fontId="14" fillId="0" borderId="26" xfId="1" applyFont="1" applyBorder="1" applyAlignment="1">
      <alignment horizontal="center" wrapText="1"/>
    </xf>
    <xf numFmtId="0" fontId="14" fillId="0" borderId="27" xfId="1" applyFont="1" applyBorder="1" applyAlignment="1">
      <alignment horizontal="center" wrapText="1"/>
    </xf>
    <xf numFmtId="0" fontId="22" fillId="3" borderId="0" xfId="0" applyFont="1" applyFill="1" applyAlignment="1">
      <alignment horizontal="left" wrapText="1"/>
    </xf>
    <xf numFmtId="0" fontId="9" fillId="3" borderId="46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9" fillId="0" borderId="46" xfId="0" applyFont="1" applyBorder="1" applyAlignment="1">
      <alignment horizontal="left" wrapText="1" indent="1"/>
    </xf>
    <xf numFmtId="0" fontId="9" fillId="0" borderId="45" xfId="0" applyFont="1" applyBorder="1" applyAlignment="1">
      <alignment horizontal="left" wrapText="1" indent="1"/>
    </xf>
    <xf numFmtId="166" fontId="11" fillId="3" borderId="40" xfId="1" applyNumberFormat="1" applyFill="1" applyBorder="1" applyAlignment="1" applyProtection="1">
      <alignment horizontal="center" vertical="center"/>
      <protection locked="0"/>
    </xf>
    <xf numFmtId="166" fontId="11" fillId="3" borderId="3" xfId="1" applyNumberFormat="1" applyFill="1" applyBorder="1" applyAlignment="1" applyProtection="1">
      <alignment horizontal="center" vertical="center"/>
      <protection locked="0"/>
    </xf>
    <xf numFmtId="166" fontId="11" fillId="3" borderId="33" xfId="1" applyNumberFormat="1" applyFill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14" fillId="3" borderId="52" xfId="1" applyFont="1" applyFill="1" applyBorder="1" applyAlignment="1">
      <alignment horizontal="center" wrapText="1"/>
    </xf>
    <xf numFmtId="0" fontId="14" fillId="3" borderId="12" xfId="1" applyFont="1" applyFill="1" applyBorder="1" applyAlignment="1">
      <alignment horizontal="center" wrapText="1"/>
    </xf>
    <xf numFmtId="0" fontId="14" fillId="3" borderId="56" xfId="1" applyFont="1" applyFill="1" applyBorder="1" applyAlignment="1">
      <alignment horizontal="center" wrapText="1"/>
    </xf>
    <xf numFmtId="0" fontId="11" fillId="3" borderId="52" xfId="1" applyFill="1" applyBorder="1" applyAlignment="1" applyProtection="1">
      <alignment horizontal="center" vertical="center"/>
      <protection locked="0"/>
    </xf>
    <xf numFmtId="0" fontId="11" fillId="3" borderId="12" xfId="1" applyFill="1" applyBorder="1" applyAlignment="1" applyProtection="1">
      <alignment horizontal="center" vertical="center"/>
      <protection locked="0"/>
    </xf>
    <xf numFmtId="0" fontId="11" fillId="3" borderId="56" xfId="1" applyFill="1" applyBorder="1" applyAlignment="1" applyProtection="1">
      <alignment horizontal="center" vertical="center"/>
      <protection locked="0"/>
    </xf>
    <xf numFmtId="0" fontId="35" fillId="2" borderId="0" xfId="0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14" fillId="0" borderId="52" xfId="1" applyFont="1" applyBorder="1" applyAlignment="1">
      <alignment horizontal="left" vertical="center" indent="1"/>
    </xf>
    <xf numFmtId="0" fontId="14" fillId="0" borderId="12" xfId="1" applyFont="1" applyBorder="1" applyAlignment="1">
      <alignment horizontal="left" vertical="center" indent="1"/>
    </xf>
    <xf numFmtId="0" fontId="14" fillId="0" borderId="56" xfId="1" applyFont="1" applyBorder="1" applyAlignment="1">
      <alignment horizontal="left" vertical="center" indent="1"/>
    </xf>
    <xf numFmtId="0" fontId="11" fillId="3" borderId="46" xfId="1" applyFill="1" applyBorder="1" applyAlignment="1" applyProtection="1">
      <alignment horizontal="center" vertical="center"/>
      <protection locked="0"/>
    </xf>
    <xf numFmtId="0" fontId="11" fillId="3" borderId="8" xfId="1" applyFill="1" applyBorder="1" applyAlignment="1" applyProtection="1">
      <alignment horizontal="center" vertical="center"/>
      <protection locked="0"/>
    </xf>
    <xf numFmtId="0" fontId="11" fillId="3" borderId="9" xfId="1" applyFill="1" applyBorder="1" applyAlignment="1" applyProtection="1">
      <alignment horizontal="center" vertical="center"/>
      <protection locked="0"/>
    </xf>
    <xf numFmtId="0" fontId="11" fillId="0" borderId="38" xfId="1" applyBorder="1" applyAlignment="1" applyProtection="1">
      <alignment horizontal="center" vertical="center"/>
      <protection locked="0"/>
    </xf>
    <xf numFmtId="0" fontId="14" fillId="0" borderId="81" xfId="1" applyFont="1" applyBorder="1" applyAlignment="1">
      <alignment horizontal="center" wrapText="1"/>
    </xf>
    <xf numFmtId="0" fontId="14" fillId="0" borderId="25" xfId="1" applyFont="1" applyBorder="1" applyAlignment="1">
      <alignment horizontal="center" wrapText="1"/>
    </xf>
    <xf numFmtId="0" fontId="14" fillId="0" borderId="7" xfId="1" applyFont="1" applyBorder="1" applyAlignment="1">
      <alignment horizontal="center"/>
    </xf>
    <xf numFmtId="0" fontId="14" fillId="0" borderId="9" xfId="1" applyFont="1" applyBorder="1" applyAlignment="1">
      <alignment horizontal="center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14" fillId="0" borderId="15" xfId="1" applyFont="1" applyBorder="1" applyAlignment="1">
      <alignment horizontal="center" wrapText="1"/>
    </xf>
    <xf numFmtId="0" fontId="14" fillId="0" borderId="17" xfId="1" applyFont="1" applyBorder="1" applyAlignment="1">
      <alignment horizontal="center" wrapText="1"/>
    </xf>
    <xf numFmtId="0" fontId="11" fillId="3" borderId="16" xfId="1" applyFill="1" applyBorder="1" applyAlignment="1" applyProtection="1">
      <alignment horizontal="center" vertical="center"/>
      <protection locked="0"/>
    </xf>
    <xf numFmtId="0" fontId="11" fillId="3" borderId="53" xfId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>
      <alignment horizontal="left" indent="1"/>
    </xf>
    <xf numFmtId="0" fontId="14" fillId="0" borderId="45" xfId="1" applyFont="1" applyBorder="1" applyAlignment="1">
      <alignment horizontal="center" wrapText="1"/>
    </xf>
    <xf numFmtId="0" fontId="10" fillId="0" borderId="62" xfId="0" applyFont="1" applyBorder="1" applyAlignment="1">
      <alignment horizontal="left" wrapText="1" indent="1"/>
    </xf>
    <xf numFmtId="0" fontId="10" fillId="0" borderId="60" xfId="0" applyFont="1" applyBorder="1" applyAlignment="1">
      <alignment horizontal="left" wrapText="1" indent="1"/>
    </xf>
    <xf numFmtId="0" fontId="10" fillId="0" borderId="63" xfId="0" applyFont="1" applyBorder="1" applyAlignment="1">
      <alignment horizontal="left" wrapText="1" indent="1"/>
    </xf>
    <xf numFmtId="0" fontId="10" fillId="0" borderId="54" xfId="0" applyFont="1" applyBorder="1" applyAlignment="1">
      <alignment horizontal="left" wrapText="1" indent="1"/>
    </xf>
    <xf numFmtId="0" fontId="10" fillId="0" borderId="1" xfId="0" applyFont="1" applyBorder="1" applyAlignment="1">
      <alignment horizontal="left" wrapText="1" indent="1"/>
    </xf>
    <xf numFmtId="0" fontId="10" fillId="0" borderId="58" xfId="0" applyFont="1" applyBorder="1" applyAlignment="1">
      <alignment horizontal="left" wrapText="1" indent="1"/>
    </xf>
    <xf numFmtId="0" fontId="14" fillId="0" borderId="52" xfId="1" applyFont="1" applyBorder="1" applyAlignment="1">
      <alignment horizontal="left" vertical="center" wrapText="1" indent="1"/>
    </xf>
    <xf numFmtId="0" fontId="14" fillId="0" borderId="12" xfId="1" applyFont="1" applyBorder="1" applyAlignment="1">
      <alignment horizontal="left" vertical="center" wrapText="1" indent="1"/>
    </xf>
    <xf numFmtId="0" fontId="14" fillId="0" borderId="56" xfId="1" applyFont="1" applyBorder="1" applyAlignment="1">
      <alignment horizontal="left" vertical="center" wrapText="1" indent="1"/>
    </xf>
    <xf numFmtId="0" fontId="14" fillId="3" borderId="46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1" fillId="3" borderId="7" xfId="1" applyFill="1" applyBorder="1" applyAlignment="1" applyProtection="1">
      <alignment horizontal="center" vertical="center"/>
      <protection locked="0"/>
    </xf>
    <xf numFmtId="0" fontId="11" fillId="3" borderId="45" xfId="1" applyFill="1" applyBorder="1" applyAlignment="1" applyProtection="1">
      <alignment horizontal="center" vertical="center"/>
      <protection locked="0"/>
    </xf>
    <xf numFmtId="0" fontId="14" fillId="3" borderId="16" xfId="1" applyFont="1" applyFill="1" applyBorder="1" applyAlignment="1">
      <alignment horizontal="center" vertical="center"/>
    </xf>
    <xf numFmtId="0" fontId="11" fillId="0" borderId="69" xfId="1" applyBorder="1" applyAlignment="1">
      <alignment horizontal="left" vertical="center" indent="1"/>
    </xf>
    <xf numFmtId="0" fontId="11" fillId="0" borderId="70" xfId="1" applyBorder="1" applyAlignment="1">
      <alignment horizontal="left" vertical="center" indent="1"/>
    </xf>
    <xf numFmtId="165" fontId="11" fillId="0" borderId="45" xfId="1" applyNumberFormat="1" applyBorder="1" applyAlignment="1" applyProtection="1">
      <alignment horizontal="center" vertical="center"/>
      <protection locked="0"/>
    </xf>
    <xf numFmtId="165" fontId="14" fillId="0" borderId="56" xfId="1" applyNumberFormat="1" applyFont="1" applyBorder="1" applyAlignment="1">
      <alignment horizontal="center" vertical="center"/>
    </xf>
    <xf numFmtId="0" fontId="35" fillId="2" borderId="0" xfId="0" applyFont="1" applyFill="1" applyAlignment="1">
      <alignment horizontal="left" indent="1"/>
    </xf>
    <xf numFmtId="0" fontId="11" fillId="0" borderId="3" xfId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left" vertical="center" wrapText="1" indent="2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81" xfId="0" applyFont="1" applyBorder="1" applyAlignment="1" applyProtection="1">
      <alignment horizontal="center" vertical="center"/>
      <protection locked="0"/>
    </xf>
    <xf numFmtId="0" fontId="28" fillId="0" borderId="60" xfId="0" applyFont="1" applyBorder="1" applyAlignment="1" applyProtection="1">
      <alignment horizontal="center" vertical="center"/>
      <protection locked="0"/>
    </xf>
    <xf numFmtId="0" fontId="28" fillId="0" borderId="72" xfId="0" applyFont="1" applyBorder="1" applyAlignment="1" applyProtection="1">
      <alignment horizontal="center" vertical="center"/>
      <protection locked="0"/>
    </xf>
    <xf numFmtId="0" fontId="14" fillId="0" borderId="62" xfId="1" applyFont="1" applyBorder="1" applyAlignment="1">
      <alignment horizontal="center"/>
    </xf>
    <xf numFmtId="0" fontId="14" fillId="0" borderId="63" xfId="1" applyFont="1" applyBorder="1" applyAlignment="1">
      <alignment horizontal="center"/>
    </xf>
    <xf numFmtId="0" fontId="14" fillId="0" borderId="64" xfId="1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14" fillId="0" borderId="60" xfId="1" applyFont="1" applyBorder="1" applyAlignment="1">
      <alignment horizontal="center"/>
    </xf>
    <xf numFmtId="0" fontId="14" fillId="0" borderId="26" xfId="1" applyFont="1" applyBorder="1" applyAlignment="1">
      <alignment horizontal="center"/>
    </xf>
    <xf numFmtId="0" fontId="11" fillId="0" borderId="16" xfId="1" applyBorder="1" applyAlignment="1">
      <alignment horizontal="left" vertical="center" wrapText="1" indent="1"/>
    </xf>
    <xf numFmtId="0" fontId="14" fillId="0" borderId="11" xfId="1" applyFont="1" applyBorder="1" applyAlignment="1">
      <alignment horizontal="center" vertical="center"/>
    </xf>
    <xf numFmtId="0" fontId="14" fillId="0" borderId="56" xfId="1" applyFont="1" applyBorder="1" applyAlignment="1">
      <alignment horizontal="center" vertical="center"/>
    </xf>
    <xf numFmtId="0" fontId="11" fillId="0" borderId="3" xfId="1" applyBorder="1" applyAlignment="1">
      <alignment horizontal="left" vertical="center" wrapText="1" indent="1"/>
    </xf>
    <xf numFmtId="0" fontId="11" fillId="0" borderId="3" xfId="1" quotePrefix="1" applyBorder="1" applyAlignment="1">
      <alignment horizontal="left" vertical="center"/>
    </xf>
    <xf numFmtId="0" fontId="14" fillId="0" borderId="46" xfId="1" applyFont="1" applyBorder="1" applyAlignment="1">
      <alignment horizontal="center"/>
    </xf>
    <xf numFmtId="0" fontId="14" fillId="0" borderId="38" xfId="1" applyFont="1" applyBorder="1" applyAlignment="1">
      <alignment horizontal="center"/>
    </xf>
    <xf numFmtId="0" fontId="14" fillId="0" borderId="16" xfId="1" applyFont="1" applyBorder="1" applyAlignment="1">
      <alignment horizontal="center"/>
    </xf>
    <xf numFmtId="0" fontId="14" fillId="0" borderId="53" xfId="1" applyFont="1" applyBorder="1" applyAlignment="1">
      <alignment horizontal="center"/>
    </xf>
    <xf numFmtId="0" fontId="11" fillId="0" borderId="42" xfId="1" quotePrefix="1" applyBorder="1" applyAlignment="1">
      <alignment horizontal="left" vertical="center"/>
    </xf>
    <xf numFmtId="0" fontId="11" fillId="0" borderId="23" xfId="1" quotePrefix="1" applyBorder="1" applyAlignment="1">
      <alignment horizontal="left" vertical="center"/>
    </xf>
    <xf numFmtId="0" fontId="11" fillId="0" borderId="46" xfId="1" quotePrefix="1" applyBorder="1" applyAlignment="1">
      <alignment horizontal="left" vertical="center"/>
    </xf>
    <xf numFmtId="0" fontId="11" fillId="0" borderId="8" xfId="1" quotePrefix="1" applyBorder="1" applyAlignment="1">
      <alignment horizontal="left" vertical="center"/>
    </xf>
    <xf numFmtId="0" fontId="11" fillId="0" borderId="9" xfId="1" quotePrefix="1" applyBorder="1" applyAlignment="1">
      <alignment horizontal="left" vertical="center"/>
    </xf>
    <xf numFmtId="0" fontId="3" fillId="0" borderId="0" xfId="0" applyFont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11" fillId="3" borderId="40" xfId="1" applyFill="1" applyBorder="1" applyAlignment="1">
      <alignment horizontal="left" vertical="center" wrapText="1" indent="2"/>
    </xf>
    <xf numFmtId="0" fontId="11" fillId="3" borderId="3" xfId="1" applyFill="1" applyBorder="1" applyAlignment="1">
      <alignment horizontal="left" vertical="center" wrapText="1" indent="2"/>
    </xf>
    <xf numFmtId="0" fontId="11" fillId="3" borderId="33" xfId="1" applyFill="1" applyBorder="1" applyAlignment="1">
      <alignment horizontal="left" vertical="center" wrapText="1" indent="2"/>
    </xf>
    <xf numFmtId="0" fontId="11" fillId="3" borderId="46" xfId="1" applyFill="1" applyBorder="1" applyAlignment="1">
      <alignment horizontal="left" vertical="center" indent="2"/>
    </xf>
    <xf numFmtId="0" fontId="11" fillId="3" borderId="8" xfId="1" applyFill="1" applyBorder="1" applyAlignment="1">
      <alignment horizontal="left" vertical="center" indent="2"/>
    </xf>
    <xf numFmtId="0" fontId="9" fillId="0" borderId="38" xfId="0" applyFont="1" applyBorder="1" applyAlignment="1">
      <alignment horizontal="left" vertical="center" indent="1"/>
    </xf>
    <xf numFmtId="0" fontId="9" fillId="0" borderId="16" xfId="0" applyFont="1" applyBorder="1" applyAlignment="1">
      <alignment horizontal="left" vertical="center" indent="1"/>
    </xf>
    <xf numFmtId="0" fontId="9" fillId="0" borderId="53" xfId="0" applyFont="1" applyBorder="1" applyAlignment="1">
      <alignment horizontal="left" vertical="center" indent="1"/>
    </xf>
    <xf numFmtId="0" fontId="9" fillId="0" borderId="40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9" fillId="0" borderId="24" xfId="0" applyFont="1" applyBorder="1" applyAlignment="1">
      <alignment horizontal="left" vertical="center" indent="1"/>
    </xf>
    <xf numFmtId="0" fontId="9" fillId="0" borderId="4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5" xfId="0" applyFont="1" applyBorder="1" applyAlignment="1">
      <alignment horizontal="center"/>
    </xf>
    <xf numFmtId="0" fontId="10" fillId="0" borderId="52" xfId="0" applyFont="1" applyBorder="1" applyAlignment="1">
      <alignment horizontal="left" indent="1"/>
    </xf>
    <xf numFmtId="0" fontId="10" fillId="0" borderId="12" xfId="0" applyFont="1" applyBorder="1" applyAlignment="1">
      <alignment horizontal="left" indent="1"/>
    </xf>
    <xf numFmtId="0" fontId="10" fillId="0" borderId="56" xfId="0" applyFont="1" applyBorder="1" applyAlignment="1">
      <alignment horizontal="left" indent="1"/>
    </xf>
    <xf numFmtId="0" fontId="9" fillId="0" borderId="42" xfId="0" applyFont="1" applyBorder="1" applyAlignment="1">
      <alignment horizontal="left" indent="1"/>
    </xf>
    <xf numFmtId="0" fontId="9" fillId="0" borderId="23" xfId="0" applyFont="1" applyBorder="1" applyAlignment="1">
      <alignment horizontal="left" indent="1"/>
    </xf>
    <xf numFmtId="0" fontId="9" fillId="0" borderId="45" xfId="0" applyFont="1" applyBorder="1" applyAlignment="1">
      <alignment horizontal="left" indent="1"/>
    </xf>
    <xf numFmtId="0" fontId="10" fillId="3" borderId="52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3" borderId="56" xfId="0" applyFont="1" applyFill="1" applyBorder="1" applyAlignment="1">
      <alignment horizontal="center"/>
    </xf>
    <xf numFmtId="0" fontId="9" fillId="0" borderId="46" xfId="0" applyFont="1" applyBorder="1" applyAlignment="1">
      <alignment horizontal="left" indent="1"/>
    </xf>
    <xf numFmtId="0" fontId="9" fillId="0" borderId="8" xfId="0" applyFont="1" applyBorder="1" applyAlignment="1">
      <alignment horizontal="left" indent="1"/>
    </xf>
    <xf numFmtId="0" fontId="9" fillId="0" borderId="4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3" borderId="38" xfId="0" applyFont="1" applyFill="1" applyBorder="1" applyAlignment="1">
      <alignment horizontal="left" indent="1"/>
    </xf>
    <xf numFmtId="0" fontId="9" fillId="3" borderId="16" xfId="0" applyFont="1" applyFill="1" applyBorder="1" applyAlignment="1">
      <alignment horizontal="left" indent="1"/>
    </xf>
    <xf numFmtId="0" fontId="9" fillId="3" borderId="53" xfId="0" applyFont="1" applyFill="1" applyBorder="1" applyAlignment="1">
      <alignment horizontal="left" indent="1"/>
    </xf>
    <xf numFmtId="0" fontId="9" fillId="3" borderId="40" xfId="0" applyFont="1" applyFill="1" applyBorder="1" applyAlignment="1">
      <alignment horizontal="left" indent="1"/>
    </xf>
    <xf numFmtId="0" fontId="9" fillId="3" borderId="3" xfId="0" applyFont="1" applyFill="1" applyBorder="1" applyAlignment="1">
      <alignment horizontal="left" indent="1"/>
    </xf>
    <xf numFmtId="0" fontId="9" fillId="3" borderId="33" xfId="0" applyFont="1" applyFill="1" applyBorder="1" applyAlignment="1">
      <alignment horizontal="left" indent="1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33" xfId="0" applyFont="1" applyFill="1" applyBorder="1" applyAlignment="1" applyProtection="1">
      <alignment horizontal="center" vertical="center"/>
      <protection locked="0"/>
    </xf>
    <xf numFmtId="0" fontId="9" fillId="0" borderId="32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9" fillId="3" borderId="38" xfId="0" applyFont="1" applyFill="1" applyBorder="1" applyAlignment="1">
      <alignment horizontal="left" vertical="center" indent="1"/>
    </xf>
    <xf numFmtId="0" fontId="9" fillId="3" borderId="16" xfId="0" applyFont="1" applyFill="1" applyBorder="1" applyAlignment="1">
      <alignment horizontal="left" vertical="center" indent="1"/>
    </xf>
    <xf numFmtId="0" fontId="9" fillId="3" borderId="53" xfId="0" applyFont="1" applyFill="1" applyBorder="1" applyAlignment="1">
      <alignment horizontal="left" vertical="center" indent="1"/>
    </xf>
    <xf numFmtId="0" fontId="9" fillId="3" borderId="40" xfId="0" applyFont="1" applyFill="1" applyBorder="1" applyAlignment="1">
      <alignment horizontal="left" vertical="center" indent="1"/>
    </xf>
    <xf numFmtId="0" fontId="9" fillId="3" borderId="3" xfId="0" applyFont="1" applyFill="1" applyBorder="1" applyAlignment="1">
      <alignment horizontal="left" vertical="center" indent="1"/>
    </xf>
    <xf numFmtId="0" fontId="9" fillId="3" borderId="24" xfId="0" applyFont="1" applyFill="1" applyBorder="1" applyAlignment="1">
      <alignment horizontal="left" vertical="center" indent="1"/>
    </xf>
    <xf numFmtId="0" fontId="25" fillId="0" borderId="0" xfId="0" applyFont="1" applyAlignment="1">
      <alignment horizontal="left" vertical="top" indent="1"/>
    </xf>
    <xf numFmtId="0" fontId="25" fillId="0" borderId="0" xfId="0" applyFont="1" applyAlignment="1">
      <alignment horizontal="left" indent="1"/>
    </xf>
    <xf numFmtId="0" fontId="9" fillId="0" borderId="45" xfId="0" applyFont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9" fillId="3" borderId="46" xfId="0" applyFont="1" applyFill="1" applyBorder="1" applyAlignment="1">
      <alignment horizontal="left" indent="1"/>
    </xf>
    <xf numFmtId="0" fontId="9" fillId="3" borderId="8" xfId="0" applyFont="1" applyFill="1" applyBorder="1" applyAlignment="1">
      <alignment horizontal="left" indent="1"/>
    </xf>
    <xf numFmtId="0" fontId="9" fillId="3" borderId="45" xfId="0" applyFont="1" applyFill="1" applyBorder="1" applyAlignment="1">
      <alignment horizontal="left" indent="1"/>
    </xf>
    <xf numFmtId="0" fontId="10" fillId="3" borderId="52" xfId="0" applyFont="1" applyFill="1" applyBorder="1" applyAlignment="1">
      <alignment horizontal="left" indent="1"/>
    </xf>
    <xf numFmtId="0" fontId="10" fillId="3" borderId="12" xfId="0" applyFont="1" applyFill="1" applyBorder="1" applyAlignment="1">
      <alignment horizontal="left" indent="1"/>
    </xf>
    <xf numFmtId="0" fontId="10" fillId="3" borderId="56" xfId="0" applyFont="1" applyFill="1" applyBorder="1" applyAlignment="1">
      <alignment horizontal="left" indent="1"/>
    </xf>
    <xf numFmtId="0" fontId="9" fillId="0" borderId="37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14" fillId="3" borderId="47" xfId="1" applyFont="1" applyFill="1" applyBorder="1" applyAlignment="1">
      <alignment horizontal="left" vertical="center"/>
    </xf>
    <xf numFmtId="0" fontId="14" fillId="3" borderId="10" xfId="1" applyFont="1" applyFill="1" applyBorder="1" applyAlignment="1">
      <alignment horizontal="left" vertical="center"/>
    </xf>
    <xf numFmtId="0" fontId="14" fillId="3" borderId="48" xfId="1" applyFont="1" applyFill="1" applyBorder="1" applyAlignment="1">
      <alignment horizontal="left" vertical="center"/>
    </xf>
    <xf numFmtId="0" fontId="14" fillId="0" borderId="54" xfId="1" applyFont="1" applyBorder="1" applyAlignment="1">
      <alignment horizontal="center" vertical="center" wrapText="1"/>
    </xf>
    <xf numFmtId="0" fontId="14" fillId="0" borderId="58" xfId="1" applyFont="1" applyBorder="1" applyAlignment="1">
      <alignment horizontal="center" vertical="center" wrapText="1"/>
    </xf>
    <xf numFmtId="0" fontId="11" fillId="0" borderId="0" xfId="1" applyAlignment="1">
      <alignment vertical="center"/>
    </xf>
    <xf numFmtId="0" fontId="11" fillId="0" borderId="55" xfId="1" applyBorder="1" applyAlignment="1">
      <alignment vertical="center"/>
    </xf>
    <xf numFmtId="0" fontId="14" fillId="0" borderId="38" xfId="1" applyFont="1" applyBorder="1" applyAlignment="1">
      <alignment horizontal="center" vertical="center" wrapText="1"/>
    </xf>
    <xf numFmtId="0" fontId="14" fillId="0" borderId="53" xfId="1" applyFont="1" applyBorder="1" applyAlignment="1">
      <alignment horizontal="center" vertical="center" wrapText="1"/>
    </xf>
    <xf numFmtId="0" fontId="11" fillId="0" borderId="46" xfId="0" applyFont="1" applyBorder="1" applyAlignment="1">
      <alignment horizontal="left" wrapText="1" indent="1"/>
    </xf>
    <xf numFmtId="0" fontId="11" fillId="0" borderId="8" xfId="0" applyFont="1" applyBorder="1" applyAlignment="1">
      <alignment horizontal="left" wrapText="1" indent="1"/>
    </xf>
    <xf numFmtId="164" fontId="14" fillId="3" borderId="52" xfId="1" applyNumberFormat="1" applyFont="1" applyFill="1" applyBorder="1" applyAlignment="1">
      <alignment horizontal="center" vertical="center"/>
    </xf>
    <xf numFmtId="164" fontId="14" fillId="3" borderId="12" xfId="1" applyNumberFormat="1" applyFont="1" applyFill="1" applyBorder="1" applyAlignment="1">
      <alignment horizontal="center" vertical="center"/>
    </xf>
    <xf numFmtId="164" fontId="14" fillId="3" borderId="56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top" wrapText="1"/>
    </xf>
    <xf numFmtId="0" fontId="10" fillId="3" borderId="64" xfId="0" applyFont="1" applyFill="1" applyBorder="1" applyAlignment="1">
      <alignment horizontal="center" wrapText="1"/>
    </xf>
    <xf numFmtId="0" fontId="10" fillId="3" borderId="51" xfId="0" applyFont="1" applyFill="1" applyBorder="1" applyAlignment="1">
      <alignment horizontal="center" wrapText="1"/>
    </xf>
    <xf numFmtId="0" fontId="10" fillId="3" borderId="25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horizontal="center" wrapText="1"/>
    </xf>
    <xf numFmtId="0" fontId="10" fillId="3" borderId="45" xfId="0" applyFont="1" applyFill="1" applyBorder="1" applyAlignment="1">
      <alignment horizontal="center" wrapText="1"/>
    </xf>
    <xf numFmtId="0" fontId="9" fillId="3" borderId="56" xfId="0" applyFont="1" applyFill="1" applyBorder="1" applyAlignment="1" applyProtection="1">
      <alignment horizontal="center" vertical="center"/>
      <protection locked="0"/>
    </xf>
    <xf numFmtId="0" fontId="36" fillId="2" borderId="0" xfId="0" applyFont="1" applyFill="1" applyAlignment="1">
      <alignment horizontal="left" indent="1"/>
    </xf>
    <xf numFmtId="164" fontId="11" fillId="0" borderId="42" xfId="1" applyNumberFormat="1" applyBorder="1" applyAlignment="1">
      <alignment horizontal="center" vertical="center"/>
    </xf>
    <xf numFmtId="164" fontId="11" fillId="0" borderId="23" xfId="1" applyNumberFormat="1" applyBorder="1" applyAlignment="1">
      <alignment horizontal="center" vertical="center"/>
    </xf>
    <xf numFmtId="164" fontId="11" fillId="0" borderId="24" xfId="1" applyNumberFormat="1" applyBorder="1" applyAlignment="1">
      <alignment horizontal="center" vertical="center"/>
    </xf>
    <xf numFmtId="164" fontId="11" fillId="0" borderId="64" xfId="1" applyNumberFormat="1" applyBorder="1" applyAlignment="1">
      <alignment horizontal="center" vertical="center"/>
    </xf>
    <xf numFmtId="164" fontId="11" fillId="0" borderId="26" xfId="1" applyNumberFormat="1" applyBorder="1" applyAlignment="1">
      <alignment horizontal="center" vertical="center"/>
    </xf>
    <xf numFmtId="164" fontId="11" fillId="0" borderId="27" xfId="1" applyNumberFormat="1" applyBorder="1" applyAlignment="1">
      <alignment horizontal="center" vertical="center"/>
    </xf>
    <xf numFmtId="164" fontId="11" fillId="0" borderId="46" xfId="1" applyNumberFormat="1" applyBorder="1" applyAlignment="1" applyProtection="1">
      <alignment horizontal="center" vertical="center"/>
      <protection locked="0"/>
    </xf>
    <xf numFmtId="164" fontId="11" fillId="0" borderId="45" xfId="1" applyNumberFormat="1" applyBorder="1" applyAlignment="1" applyProtection="1">
      <alignment horizontal="center" vertical="center"/>
      <protection locked="0"/>
    </xf>
    <xf numFmtId="0" fontId="10" fillId="0" borderId="5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56" xfId="0" applyFont="1" applyBorder="1" applyAlignment="1">
      <alignment horizontal="center" wrapText="1"/>
    </xf>
    <xf numFmtId="166" fontId="11" fillId="3" borderId="46" xfId="1" applyNumberFormat="1" applyFill="1" applyBorder="1" applyAlignment="1" applyProtection="1">
      <alignment horizontal="center" vertical="center"/>
      <protection locked="0"/>
    </xf>
    <xf numFmtId="166" fontId="11" fillId="3" borderId="8" xfId="1" applyNumberFormat="1" applyFill="1" applyBorder="1" applyAlignment="1" applyProtection="1">
      <alignment horizontal="center" vertical="center"/>
      <protection locked="0"/>
    </xf>
    <xf numFmtId="166" fontId="11" fillId="3" borderId="45" xfId="1" applyNumberFormat="1" applyFill="1" applyBorder="1" applyAlignment="1" applyProtection="1">
      <alignment horizontal="center" vertical="center"/>
      <protection locked="0"/>
    </xf>
    <xf numFmtId="166" fontId="14" fillId="3" borderId="52" xfId="1" applyNumberFormat="1" applyFont="1" applyFill="1" applyBorder="1" applyAlignment="1">
      <alignment horizontal="center" vertical="center"/>
    </xf>
    <xf numFmtId="166" fontId="14" fillId="3" borderId="12" xfId="1" applyNumberFormat="1" applyFont="1" applyFill="1" applyBorder="1" applyAlignment="1">
      <alignment horizontal="center" vertical="center"/>
    </xf>
    <xf numFmtId="166" fontId="14" fillId="3" borderId="56" xfId="1" applyNumberFormat="1" applyFont="1" applyFill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164" fontId="11" fillId="0" borderId="40" xfId="1" applyNumberFormat="1" applyBorder="1" applyAlignment="1" applyProtection="1">
      <alignment horizontal="center" vertical="center"/>
      <protection locked="0"/>
    </xf>
    <xf numFmtId="164" fontId="11" fillId="0" borderId="3" xfId="1" applyNumberFormat="1" applyBorder="1" applyAlignment="1" applyProtection="1">
      <alignment horizontal="center" vertical="center"/>
      <protection locked="0"/>
    </xf>
    <xf numFmtId="164" fontId="11" fillId="0" borderId="33" xfId="1" applyNumberFormat="1" applyBorder="1" applyAlignment="1" applyProtection="1">
      <alignment horizontal="center" vertical="center"/>
      <protection locked="0"/>
    </xf>
    <xf numFmtId="164" fontId="11" fillId="0" borderId="38" xfId="1" applyNumberFormat="1" applyBorder="1" applyAlignment="1" applyProtection="1">
      <alignment horizontal="center" vertical="center"/>
      <protection locked="0"/>
    </xf>
    <xf numFmtId="164" fontId="11" fillId="0" borderId="16" xfId="1" applyNumberFormat="1" applyBorder="1" applyAlignment="1" applyProtection="1">
      <alignment horizontal="center" vertical="center"/>
      <protection locked="0"/>
    </xf>
    <xf numFmtId="164" fontId="11" fillId="0" borderId="53" xfId="1" applyNumberFormat="1" applyBorder="1" applyAlignment="1" applyProtection="1">
      <alignment horizontal="center" vertical="center"/>
      <protection locked="0"/>
    </xf>
    <xf numFmtId="0" fontId="11" fillId="0" borderId="42" xfId="1" applyBorder="1" applyAlignment="1">
      <alignment horizontal="left" vertical="center" indent="1"/>
    </xf>
    <xf numFmtId="0" fontId="11" fillId="0" borderId="23" xfId="1" applyBorder="1" applyAlignment="1">
      <alignment horizontal="left" vertical="center" indent="1"/>
    </xf>
    <xf numFmtId="0" fontId="11" fillId="0" borderId="24" xfId="1" applyBorder="1" applyAlignment="1">
      <alignment horizontal="left" vertical="center" indent="1"/>
    </xf>
    <xf numFmtId="164" fontId="11" fillId="3" borderId="3" xfId="1" applyNumberFormat="1" applyFill="1" applyBorder="1" applyAlignment="1">
      <alignment horizontal="center" vertical="center"/>
    </xf>
    <xf numFmtId="164" fontId="11" fillId="3" borderId="33" xfId="1" applyNumberFormat="1" applyFill="1" applyBorder="1" applyAlignment="1">
      <alignment horizontal="center" vertical="center"/>
    </xf>
    <xf numFmtId="166" fontId="11" fillId="3" borderId="38" xfId="1" applyNumberFormat="1" applyFill="1" applyBorder="1" applyAlignment="1" applyProtection="1">
      <alignment horizontal="center" vertical="center"/>
      <protection locked="0"/>
    </xf>
    <xf numFmtId="166" fontId="11" fillId="3" borderId="16" xfId="1" applyNumberFormat="1" applyFill="1" applyBorder="1" applyAlignment="1" applyProtection="1">
      <alignment horizontal="center" vertical="center"/>
      <protection locked="0"/>
    </xf>
    <xf numFmtId="166" fontId="11" fillId="3" borderId="53" xfId="1" applyNumberFormat="1" applyFill="1" applyBorder="1" applyAlignment="1" applyProtection="1">
      <alignment horizontal="center" vertical="center"/>
      <protection locked="0"/>
    </xf>
    <xf numFmtId="0" fontId="11" fillId="0" borderId="40" xfId="1" applyBorder="1" applyAlignment="1">
      <alignment horizontal="left" vertical="center" wrapText="1" indent="2"/>
    </xf>
    <xf numFmtId="0" fontId="11" fillId="0" borderId="3" xfId="1" applyBorder="1" applyAlignment="1">
      <alignment horizontal="left" vertical="center" wrapText="1" indent="2"/>
    </xf>
    <xf numFmtId="0" fontId="11" fillId="0" borderId="33" xfId="1" applyBorder="1" applyAlignment="1">
      <alignment horizontal="left" vertical="center" wrapText="1" indent="2"/>
    </xf>
    <xf numFmtId="0" fontId="11" fillId="0" borderId="46" xfId="1" applyBorder="1" applyAlignment="1">
      <alignment horizontal="left" vertical="center" indent="2"/>
    </xf>
    <xf numFmtId="0" fontId="11" fillId="0" borderId="8" xfId="1" applyBorder="1" applyAlignment="1">
      <alignment horizontal="left" vertical="center" indent="2"/>
    </xf>
    <xf numFmtId="0" fontId="11" fillId="0" borderId="45" xfId="1" applyBorder="1" applyAlignment="1">
      <alignment horizontal="left" vertical="center" indent="2"/>
    </xf>
    <xf numFmtId="0" fontId="30" fillId="0" borderId="0" xfId="0" applyFont="1" applyAlignment="1">
      <alignment horizontal="center"/>
    </xf>
    <xf numFmtId="0" fontId="10" fillId="0" borderId="64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8" fillId="0" borderId="0" xfId="0" applyFont="1" applyAlignment="1">
      <alignment horizontal="left" wrapText="1" indent="1"/>
    </xf>
    <xf numFmtId="0" fontId="11" fillId="0" borderId="20" xfId="1" applyBorder="1" applyAlignment="1">
      <alignment horizontal="left" vertical="top" indent="1"/>
    </xf>
    <xf numFmtId="0" fontId="11" fillId="0" borderId="19" xfId="1" applyBorder="1" applyAlignment="1">
      <alignment horizontal="left" vertical="top" indent="1"/>
    </xf>
    <xf numFmtId="0" fontId="29" fillId="3" borderId="27" xfId="0" applyFont="1" applyFill="1" applyBorder="1" applyAlignment="1">
      <alignment horizontal="center" wrapText="1"/>
    </xf>
    <xf numFmtId="0" fontId="14" fillId="0" borderId="43" xfId="1" applyFont="1" applyBorder="1" applyAlignment="1">
      <alignment horizontal="center" wrapText="1"/>
    </xf>
    <xf numFmtId="0" fontId="14" fillId="0" borderId="0" xfId="1" applyFont="1" applyAlignment="1">
      <alignment horizontal="center" wrapText="1"/>
    </xf>
    <xf numFmtId="0" fontId="14" fillId="0" borderId="47" xfId="1" applyFont="1" applyBorder="1" applyAlignment="1">
      <alignment horizontal="left" vertical="center" indent="1"/>
    </xf>
    <xf numFmtId="0" fontId="14" fillId="0" borderId="48" xfId="1" applyFont="1" applyBorder="1" applyAlignment="1">
      <alignment horizontal="left" vertical="center" indent="1"/>
    </xf>
    <xf numFmtId="0" fontId="10" fillId="3" borderId="38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53" xfId="0" applyFont="1" applyFill="1" applyBorder="1" applyAlignment="1">
      <alignment horizontal="center"/>
    </xf>
    <xf numFmtId="0" fontId="14" fillId="0" borderId="22" xfId="1" applyFont="1" applyBorder="1" applyAlignment="1">
      <alignment horizontal="center"/>
    </xf>
    <xf numFmtId="0" fontId="14" fillId="0" borderId="30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4" fillId="0" borderId="68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40" xfId="1" applyBorder="1" applyAlignment="1" applyProtection="1">
      <alignment horizontal="center" vertical="center" wrapText="1"/>
      <protection locked="0"/>
    </xf>
    <xf numFmtId="0" fontId="11" fillId="0" borderId="4" xfId="1" applyBorder="1" applyAlignment="1" applyProtection="1">
      <alignment horizontal="center" vertical="center" wrapText="1"/>
      <protection locked="0"/>
    </xf>
    <xf numFmtId="0" fontId="11" fillId="0" borderId="38" xfId="1" applyBorder="1" applyAlignment="1" applyProtection="1">
      <alignment horizontal="center" vertical="center" wrapText="1"/>
      <protection locked="0"/>
    </xf>
    <xf numFmtId="0" fontId="11" fillId="0" borderId="17" xfId="1" applyBorder="1" applyAlignment="1" applyProtection="1">
      <alignment horizontal="center" vertical="center" wrapText="1"/>
      <protection locked="0"/>
    </xf>
    <xf numFmtId="0" fontId="11" fillId="0" borderId="15" xfId="1" applyBorder="1" applyAlignment="1" applyProtection="1">
      <alignment horizontal="center" vertical="center" wrapText="1"/>
      <protection locked="0"/>
    </xf>
    <xf numFmtId="0" fontId="11" fillId="0" borderId="53" xfId="1" applyBorder="1" applyAlignment="1" applyProtection="1">
      <alignment horizontal="center" vertical="center" wrapText="1"/>
      <protection locked="0"/>
    </xf>
    <xf numFmtId="0" fontId="11" fillId="0" borderId="38" xfId="1" applyBorder="1" applyAlignment="1">
      <alignment horizontal="left" wrapText="1" indent="1"/>
    </xf>
    <xf numFmtId="0" fontId="11" fillId="0" borderId="16" xfId="1" applyBorder="1" applyAlignment="1">
      <alignment horizontal="left" wrapText="1" indent="1"/>
    </xf>
    <xf numFmtId="0" fontId="11" fillId="0" borderId="53" xfId="1" applyBorder="1" applyAlignment="1">
      <alignment horizontal="left" wrapText="1" indent="1"/>
    </xf>
    <xf numFmtId="0" fontId="14" fillId="0" borderId="72" xfId="1" applyFont="1" applyBorder="1" applyAlignment="1">
      <alignment horizontal="center" wrapText="1"/>
    </xf>
    <xf numFmtId="0" fontId="14" fillId="0" borderId="51" xfId="1" applyFont="1" applyBorder="1" applyAlignment="1">
      <alignment horizontal="center" wrapText="1"/>
    </xf>
    <xf numFmtId="0" fontId="9" fillId="0" borderId="0" xfId="0" applyFont="1" applyAlignment="1">
      <alignment horizontal="left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wrapText="1"/>
    </xf>
    <xf numFmtId="0" fontId="10" fillId="0" borderId="21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0" borderId="37" xfId="0" applyFont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10" fillId="0" borderId="34" xfId="0" applyFont="1" applyBorder="1" applyAlignment="1">
      <alignment horizontal="left" wrapText="1"/>
    </xf>
    <xf numFmtId="0" fontId="11" fillId="0" borderId="22" xfId="1" applyBorder="1" applyAlignment="1">
      <alignment horizontal="left" vertical="center"/>
    </xf>
    <xf numFmtId="0" fontId="11" fillId="0" borderId="21" xfId="1" applyBorder="1" applyAlignment="1">
      <alignment horizontal="left" vertical="center"/>
    </xf>
    <xf numFmtId="0" fontId="11" fillId="0" borderId="30" xfId="1" applyBorder="1" applyAlignment="1">
      <alignment horizontal="left" vertical="center"/>
    </xf>
    <xf numFmtId="0" fontId="11" fillId="0" borderId="32" xfId="1" applyBorder="1" applyAlignment="1">
      <alignment horizontal="left" vertical="center"/>
    </xf>
    <xf numFmtId="0" fontId="11" fillId="0" borderId="5" xfId="1" applyBorder="1" applyAlignment="1">
      <alignment horizontal="left" vertical="center"/>
    </xf>
    <xf numFmtId="0" fontId="11" fillId="0" borderId="31" xfId="1" applyBorder="1" applyAlignment="1">
      <alignment horizontal="left" vertical="center"/>
    </xf>
    <xf numFmtId="0" fontId="14" fillId="0" borderId="1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1" fillId="0" borderId="45" xfId="0" applyFont="1" applyBorder="1" applyAlignment="1">
      <alignment horizontal="left" wrapText="1" indent="1"/>
    </xf>
    <xf numFmtId="0" fontId="9" fillId="0" borderId="4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2" xfId="0" applyFont="1" applyBorder="1"/>
    <xf numFmtId="0" fontId="9" fillId="0" borderId="21" xfId="0" applyFont="1" applyBorder="1"/>
    <xf numFmtId="0" fontId="9" fillId="0" borderId="30" xfId="0" applyFont="1" applyBorder="1"/>
    <xf numFmtId="0" fontId="9" fillId="0" borderId="22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30" xfId="0" applyFont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11" fillId="0" borderId="75" xfId="1" applyBorder="1" applyAlignment="1" applyProtection="1">
      <alignment horizontal="center" vertical="center"/>
      <protection locked="0"/>
    </xf>
    <xf numFmtId="0" fontId="11" fillId="0" borderId="8" xfId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22" fillId="0" borderId="0" xfId="0" quotePrefix="1" applyFont="1"/>
    <xf numFmtId="0" fontId="11" fillId="0" borderId="60" xfId="1" applyBorder="1" applyAlignment="1">
      <alignment vertical="center"/>
    </xf>
    <xf numFmtId="0" fontId="9" fillId="3" borderId="25" xfId="0" applyFont="1" applyFill="1" applyBorder="1" applyAlignment="1" applyProtection="1">
      <alignment horizontal="center" vertical="center"/>
      <protection locked="0"/>
    </xf>
    <xf numFmtId="0" fontId="28" fillId="3" borderId="27" xfId="0" applyFont="1" applyFill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/>
      <protection locked="0"/>
    </xf>
    <xf numFmtId="0" fontId="11" fillId="0" borderId="32" xfId="1" quotePrefix="1" applyBorder="1" applyAlignment="1">
      <alignment horizontal="left" vertical="center"/>
    </xf>
    <xf numFmtId="0" fontId="31" fillId="0" borderId="62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 wrapText="1"/>
    </xf>
    <xf numFmtId="0" fontId="31" fillId="0" borderId="81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14" fillId="3" borderId="13" xfId="1" applyFont="1" applyFill="1" applyBorder="1" applyAlignment="1">
      <alignment horizontal="center" wrapText="1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22" fillId="0" borderId="0" xfId="0" quotePrefix="1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14" fillId="0" borderId="47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1" fillId="0" borderId="16" xfId="1" quotePrefix="1" applyBorder="1" applyAlignment="1">
      <alignment horizontal="left" vertical="center"/>
    </xf>
    <xf numFmtId="0" fontId="14" fillId="0" borderId="52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0" fontId="11" fillId="0" borderId="22" xfId="1" quotePrefix="1" applyBorder="1" applyAlignment="1">
      <alignment horizontal="left" vertical="center"/>
    </xf>
    <xf numFmtId="0" fontId="22" fillId="0" borderId="0" xfId="0" quotePrefix="1" applyFont="1" applyAlignment="1">
      <alignment horizontal="left" vertical="top" wrapText="1"/>
    </xf>
    <xf numFmtId="0" fontId="22" fillId="3" borderId="0" xfId="0" quotePrefix="1" applyFont="1" applyFill="1" applyAlignment="1">
      <alignment horizontal="left" wrapText="1"/>
    </xf>
    <xf numFmtId="0" fontId="9" fillId="0" borderId="1" xfId="0" applyFont="1" applyBorder="1" applyAlignment="1" applyProtection="1">
      <alignment horizontal="left"/>
      <protection locked="0"/>
    </xf>
    <xf numFmtId="0" fontId="11" fillId="0" borderId="32" xfId="1" applyBorder="1" applyAlignment="1">
      <alignment horizontal="left" vertical="center" wrapText="1"/>
    </xf>
    <xf numFmtId="0" fontId="11" fillId="0" borderId="5" xfId="1" applyBorder="1" applyAlignment="1">
      <alignment horizontal="left" vertical="center" wrapText="1"/>
    </xf>
    <xf numFmtId="0" fontId="11" fillId="0" borderId="31" xfId="1" applyBorder="1" applyAlignment="1">
      <alignment horizontal="left" vertical="center" wrapText="1"/>
    </xf>
    <xf numFmtId="0" fontId="9" fillId="0" borderId="38" xfId="0" applyFont="1" applyBorder="1"/>
    <xf numFmtId="0" fontId="9" fillId="0" borderId="17" xfId="0" applyFont="1" applyBorder="1"/>
    <xf numFmtId="0" fontId="9" fillId="0" borderId="37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10" fillId="0" borderId="47" xfId="0" applyFont="1" applyBorder="1"/>
    <xf numFmtId="0" fontId="10" fillId="0" borderId="10" xfId="0" applyFont="1" applyBorder="1"/>
    <xf numFmtId="0" fontId="10" fillId="0" borderId="48" xfId="0" applyFont="1" applyBorder="1"/>
    <xf numFmtId="0" fontId="22" fillId="0" borderId="43" xfId="0" applyFont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22" fillId="0" borderId="0" xfId="0" quotePrefix="1" applyFont="1" applyAlignment="1">
      <alignment horizontal="left"/>
    </xf>
    <xf numFmtId="0" fontId="9" fillId="3" borderId="0" xfId="0" applyFont="1" applyFill="1" applyAlignment="1">
      <alignment horizontal="left" vertical="top" wrapText="1"/>
    </xf>
    <xf numFmtId="0" fontId="11" fillId="0" borderId="43" xfId="0" quotePrefix="1" applyFont="1" applyBorder="1" applyAlignment="1">
      <alignment horizontal="left" vertical="center" wrapText="1"/>
    </xf>
    <xf numFmtId="0" fontId="11" fillId="0" borderId="85" xfId="0" applyFont="1" applyBorder="1" applyAlignment="1">
      <alignment horizontal="left" wrapText="1" indent="1"/>
    </xf>
    <xf numFmtId="0" fontId="11" fillId="0" borderId="66" xfId="0" applyFont="1" applyBorder="1" applyAlignment="1">
      <alignment horizontal="left" wrapText="1" indent="1"/>
    </xf>
    <xf numFmtId="0" fontId="14" fillId="0" borderId="80" xfId="1" applyFont="1" applyBorder="1" applyAlignment="1">
      <alignment horizontal="left" vertical="center" indent="1"/>
    </xf>
    <xf numFmtId="0" fontId="14" fillId="0" borderId="25" xfId="1" applyFont="1" applyBorder="1" applyAlignment="1">
      <alignment horizontal="left" vertical="center" indent="1"/>
    </xf>
    <xf numFmtId="0" fontId="14" fillId="3" borderId="52" xfId="1" applyFont="1" applyFill="1" applyBorder="1" applyAlignment="1">
      <alignment horizontal="center" vertical="center" wrapText="1"/>
    </xf>
    <xf numFmtId="0" fontId="14" fillId="3" borderId="13" xfId="1" applyFont="1" applyFill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wrapText="1"/>
    </xf>
    <xf numFmtId="0" fontId="6" fillId="2" borderId="0" xfId="0" applyFont="1" applyFill="1" applyAlignment="1">
      <alignment horizontal="left"/>
    </xf>
    <xf numFmtId="0" fontId="11" fillId="3" borderId="32" xfId="1" applyFill="1" applyBorder="1" applyAlignment="1">
      <alignment horizontal="left" vertical="center" indent="1"/>
    </xf>
    <xf numFmtId="0" fontId="11" fillId="3" borderId="5" xfId="1" applyFill="1" applyBorder="1" applyAlignment="1">
      <alignment horizontal="left" vertical="center" indent="1"/>
    </xf>
    <xf numFmtId="0" fontId="11" fillId="3" borderId="31" xfId="1" applyFill="1" applyBorder="1" applyAlignment="1">
      <alignment horizontal="left" vertical="center" indent="1"/>
    </xf>
    <xf numFmtId="0" fontId="11" fillId="3" borderId="13" xfId="1" applyFill="1" applyBorder="1" applyAlignment="1" applyProtection="1">
      <alignment horizontal="center" vertical="center"/>
      <protection locked="0"/>
    </xf>
    <xf numFmtId="0" fontId="11" fillId="3" borderId="11" xfId="1" applyFill="1" applyBorder="1" applyAlignment="1" applyProtection="1">
      <alignment horizontal="center" vertical="center"/>
      <protection locked="0"/>
    </xf>
    <xf numFmtId="0" fontId="11" fillId="3" borderId="38" xfId="1" applyFill="1" applyBorder="1" applyAlignment="1">
      <alignment horizontal="left" vertical="center" indent="1"/>
    </xf>
    <xf numFmtId="0" fontId="11" fillId="3" borderId="16" xfId="1" applyFill="1" applyBorder="1" applyAlignment="1">
      <alignment horizontal="left" vertical="center" indent="1"/>
    </xf>
    <xf numFmtId="0" fontId="11" fillId="3" borderId="53" xfId="1" applyFill="1" applyBorder="1" applyAlignment="1">
      <alignment horizontal="left" vertical="center" indent="1"/>
    </xf>
    <xf numFmtId="0" fontId="11" fillId="3" borderId="1" xfId="1" applyFill="1" applyBorder="1" applyAlignment="1" applyProtection="1">
      <alignment horizontal="center" vertical="center"/>
      <protection locked="0"/>
    </xf>
    <xf numFmtId="0" fontId="11" fillId="3" borderId="36" xfId="1" applyFill="1" applyBorder="1" applyAlignment="1" applyProtection="1">
      <alignment horizontal="center" vertical="center"/>
      <protection locked="0"/>
    </xf>
    <xf numFmtId="0" fontId="11" fillId="0" borderId="22" xfId="0" applyFont="1" applyBorder="1" applyAlignment="1">
      <alignment horizontal="left" vertical="top" indent="1"/>
    </xf>
    <xf numFmtId="0" fontId="50" fillId="0" borderId="21" xfId="0" applyFont="1" applyBorder="1" applyAlignment="1">
      <alignment horizontal="left" indent="1"/>
    </xf>
    <xf numFmtId="0" fontId="50" fillId="0" borderId="30" xfId="0" applyFont="1" applyBorder="1" applyAlignment="1">
      <alignment horizontal="left" indent="1"/>
    </xf>
    <xf numFmtId="0" fontId="26" fillId="0" borderId="15" xfId="0" applyFont="1" applyBorder="1" applyAlignment="1" applyProtection="1">
      <alignment horizontal="center"/>
      <protection locked="0"/>
    </xf>
    <xf numFmtId="0" fontId="26" fillId="0" borderId="17" xfId="0" applyFont="1" applyBorder="1" applyAlignment="1" applyProtection="1">
      <alignment horizontal="center"/>
      <protection locked="0"/>
    </xf>
    <xf numFmtId="0" fontId="26" fillId="0" borderId="53" xfId="0" applyFont="1" applyBorder="1" applyAlignment="1" applyProtection="1">
      <alignment horizontal="center"/>
      <protection locked="0"/>
    </xf>
    <xf numFmtId="0" fontId="11" fillId="0" borderId="37" xfId="0" applyFont="1" applyBorder="1" applyAlignment="1">
      <alignment horizontal="left" vertical="center" indent="1"/>
    </xf>
    <xf numFmtId="0" fontId="11" fillId="0" borderId="18" xfId="0" applyFont="1" applyBorder="1" applyAlignment="1">
      <alignment horizontal="left" vertical="center" indent="1"/>
    </xf>
    <xf numFmtId="0" fontId="50" fillId="0" borderId="7" xfId="0" applyFont="1" applyBorder="1" applyAlignment="1">
      <alignment horizontal="left" vertical="center" indent="1"/>
    </xf>
    <xf numFmtId="0" fontId="11" fillId="3" borderId="5" xfId="1" applyFill="1" applyBorder="1" applyAlignment="1" applyProtection="1">
      <alignment horizontal="center" vertical="center"/>
      <protection locked="0"/>
    </xf>
    <xf numFmtId="0" fontId="25" fillId="0" borderId="47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48" xfId="0" applyFont="1" applyBorder="1" applyAlignment="1">
      <alignment horizontal="center"/>
    </xf>
    <xf numFmtId="0" fontId="11" fillId="0" borderId="38" xfId="0" applyFont="1" applyBorder="1" applyAlignment="1">
      <alignment horizontal="left" indent="1"/>
    </xf>
    <xf numFmtId="0" fontId="11" fillId="0" borderId="16" xfId="0" applyFont="1" applyBorder="1" applyAlignment="1">
      <alignment horizontal="left" indent="1"/>
    </xf>
    <xf numFmtId="0" fontId="26" fillId="0" borderId="25" xfId="0" applyFont="1" applyBorder="1" applyAlignment="1" applyProtection="1">
      <alignment horizontal="center"/>
      <protection locked="0"/>
    </xf>
    <xf numFmtId="0" fontId="26" fillId="0" borderId="27" xfId="0" applyFont="1" applyBorder="1" applyAlignment="1" applyProtection="1">
      <alignment horizontal="center"/>
      <protection locked="0"/>
    </xf>
    <xf numFmtId="0" fontId="14" fillId="0" borderId="59" xfId="1" applyFont="1" applyBorder="1" applyAlignment="1">
      <alignment horizontal="left" vertical="center" indent="1"/>
    </xf>
    <xf numFmtId="0" fontId="25" fillId="0" borderId="59" xfId="0" applyFont="1" applyBorder="1" applyAlignment="1">
      <alignment horizontal="center"/>
    </xf>
    <xf numFmtId="0" fontId="51" fillId="0" borderId="59" xfId="0" applyFont="1" applyBorder="1" applyAlignment="1">
      <alignment horizontal="center"/>
    </xf>
    <xf numFmtId="0" fontId="51" fillId="0" borderId="78" xfId="0" applyFont="1" applyBorder="1" applyAlignment="1">
      <alignment horizontal="center"/>
    </xf>
    <xf numFmtId="0" fontId="14" fillId="3" borderId="80" xfId="1" applyFont="1" applyFill="1" applyBorder="1" applyAlignment="1">
      <alignment horizontal="left" vertical="center" indent="1"/>
    </xf>
    <xf numFmtId="0" fontId="14" fillId="3" borderId="59" xfId="1" applyFont="1" applyFill="1" applyBorder="1" applyAlignment="1">
      <alignment horizontal="left" vertical="center" indent="1"/>
    </xf>
    <xf numFmtId="0" fontId="14" fillId="3" borderId="25" xfId="1" applyFont="1" applyFill="1" applyBorder="1" applyAlignment="1">
      <alignment horizontal="left" vertical="center" indent="1"/>
    </xf>
    <xf numFmtId="0" fontId="14" fillId="3" borderId="32" xfId="1" applyFont="1" applyFill="1" applyBorder="1" applyAlignment="1">
      <alignment horizontal="center" vertical="center"/>
    </xf>
    <xf numFmtId="0" fontId="14" fillId="3" borderId="5" xfId="1" applyFont="1" applyFill="1" applyBorder="1" applyAlignment="1">
      <alignment horizontal="center" vertical="center"/>
    </xf>
    <xf numFmtId="0" fontId="14" fillId="3" borderId="31" xfId="1" applyFont="1" applyFill="1" applyBorder="1" applyAlignment="1">
      <alignment horizontal="center" vertical="center"/>
    </xf>
    <xf numFmtId="0" fontId="11" fillId="0" borderId="44" xfId="1" applyBorder="1" applyAlignment="1">
      <alignment horizontal="left" vertical="center" indent="1"/>
    </xf>
    <xf numFmtId="0" fontId="11" fillId="0" borderId="39" xfId="1" applyBorder="1" applyAlignment="1">
      <alignment horizontal="left" vertical="center" indent="1"/>
    </xf>
    <xf numFmtId="0" fontId="11" fillId="3" borderId="40" xfId="1" applyFill="1" applyBorder="1" applyAlignment="1">
      <alignment horizontal="left" vertical="center" indent="1"/>
    </xf>
    <xf numFmtId="0" fontId="11" fillId="3" borderId="3" xfId="1" applyFill="1" applyBorder="1" applyAlignment="1">
      <alignment horizontal="left" vertical="center" indent="1"/>
    </xf>
    <xf numFmtId="0" fontId="11" fillId="3" borderId="33" xfId="1" applyFill="1" applyBorder="1" applyAlignment="1">
      <alignment horizontal="left" vertical="center" indent="1"/>
    </xf>
    <xf numFmtId="0" fontId="14" fillId="0" borderId="62" xfId="1" applyFont="1" applyBorder="1" applyAlignment="1">
      <alignment horizontal="center" vertical="center" wrapText="1"/>
    </xf>
    <xf numFmtId="0" fontId="14" fillId="0" borderId="63" xfId="1" applyFont="1" applyBorder="1" applyAlignment="1">
      <alignment horizontal="center" vertical="center" wrapText="1"/>
    </xf>
    <xf numFmtId="0" fontId="14" fillId="0" borderId="64" xfId="1" applyFont="1" applyBorder="1" applyAlignment="1">
      <alignment horizontal="center" vertical="center" wrapText="1"/>
    </xf>
    <xf numFmtId="0" fontId="14" fillId="0" borderId="27" xfId="1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4" fillId="0" borderId="56" xfId="0" applyFont="1" applyBorder="1" applyAlignment="1">
      <alignment horizontal="center" wrapText="1"/>
    </xf>
    <xf numFmtId="0" fontId="14" fillId="0" borderId="52" xfId="1" applyFont="1" applyBorder="1" applyAlignment="1">
      <alignment horizontal="left" vertical="center"/>
    </xf>
    <xf numFmtId="0" fontId="14" fillId="0" borderId="12" xfId="1" applyFont="1" applyBorder="1" applyAlignment="1">
      <alignment horizontal="left" vertical="center"/>
    </xf>
    <xf numFmtId="0" fontId="14" fillId="0" borderId="56" xfId="1" applyFont="1" applyBorder="1" applyAlignment="1">
      <alignment horizontal="left" vertical="center"/>
    </xf>
    <xf numFmtId="0" fontId="14" fillId="3" borderId="59" xfId="1" applyFont="1" applyFill="1" applyBorder="1" applyAlignment="1">
      <alignment horizontal="center" vertical="center"/>
    </xf>
    <xf numFmtId="0" fontId="14" fillId="3" borderId="25" xfId="1" applyFont="1" applyFill="1" applyBorder="1" applyAlignment="1">
      <alignment horizontal="center" vertical="center"/>
    </xf>
    <xf numFmtId="0" fontId="11" fillId="0" borderId="32" xfId="1" applyBorder="1" applyAlignment="1">
      <alignment horizontal="left" vertical="center" indent="1"/>
    </xf>
    <xf numFmtId="0" fontId="11" fillId="0" borderId="2" xfId="1" applyBorder="1" applyAlignment="1">
      <alignment horizontal="left" vertical="center" indent="1"/>
    </xf>
    <xf numFmtId="0" fontId="11" fillId="3" borderId="2" xfId="1" applyFill="1" applyBorder="1" applyAlignment="1">
      <alignment horizontal="left" vertical="center" indent="1"/>
    </xf>
    <xf numFmtId="0" fontId="11" fillId="3" borderId="37" xfId="1" applyFill="1" applyBorder="1" applyAlignment="1">
      <alignment horizontal="left" vertical="center" indent="1"/>
    </xf>
    <xf numFmtId="0" fontId="11" fillId="3" borderId="18" xfId="1" applyFill="1" applyBorder="1" applyAlignment="1">
      <alignment horizontal="left" vertical="center" indent="1"/>
    </xf>
    <xf numFmtId="0" fontId="11" fillId="3" borderId="7" xfId="1" applyFill="1" applyBorder="1" applyAlignment="1">
      <alignment horizontal="left" vertical="center" indent="1"/>
    </xf>
    <xf numFmtId="0" fontId="14" fillId="3" borderId="47" xfId="1" applyFont="1" applyFill="1" applyBorder="1" applyAlignment="1">
      <alignment horizontal="left" vertical="center" indent="1"/>
    </xf>
    <xf numFmtId="0" fontId="14" fillId="3" borderId="10" xfId="1" applyFont="1" applyFill="1" applyBorder="1" applyAlignment="1">
      <alignment horizontal="left" vertical="center" indent="1"/>
    </xf>
    <xf numFmtId="0" fontId="14" fillId="3" borderId="11" xfId="1" applyFont="1" applyFill="1" applyBorder="1" applyAlignment="1">
      <alignment horizontal="left" vertical="center" indent="1"/>
    </xf>
    <xf numFmtId="0" fontId="14" fillId="3" borderId="80" xfId="1" applyFont="1" applyFill="1" applyBorder="1" applyAlignment="1">
      <alignment horizontal="center" vertical="center"/>
    </xf>
    <xf numFmtId="0" fontId="14" fillId="3" borderId="78" xfId="1" applyFont="1" applyFill="1" applyBorder="1" applyAlignment="1">
      <alignment horizontal="center" vertical="center"/>
    </xf>
    <xf numFmtId="0" fontId="11" fillId="0" borderId="2" xfId="0" applyFont="1" applyBorder="1" applyAlignment="1" applyProtection="1">
      <alignment horizontal="center" wrapText="1"/>
      <protection locked="0"/>
    </xf>
    <xf numFmtId="0" fontId="11" fillId="0" borderId="33" xfId="0" applyFont="1" applyBorder="1" applyAlignment="1" applyProtection="1">
      <alignment horizontal="center" wrapText="1"/>
      <protection locked="0"/>
    </xf>
    <xf numFmtId="0" fontId="11" fillId="0" borderId="7" xfId="0" applyFont="1" applyBorder="1" applyAlignment="1">
      <alignment horizontal="center" wrapText="1"/>
    </xf>
    <xf numFmtId="0" fontId="11" fillId="0" borderId="45" xfId="0" applyFont="1" applyBorder="1" applyAlignment="1">
      <alignment horizontal="center" wrapText="1"/>
    </xf>
    <xf numFmtId="0" fontId="11" fillId="0" borderId="38" xfId="1" applyBorder="1" applyAlignment="1">
      <alignment horizontal="left" vertical="center"/>
    </xf>
    <xf numFmtId="0" fontId="11" fillId="0" borderId="16" xfId="1" applyBorder="1" applyAlignment="1">
      <alignment horizontal="left" vertical="center"/>
    </xf>
    <xf numFmtId="0" fontId="11" fillId="0" borderId="53" xfId="1" applyBorder="1" applyAlignment="1">
      <alignment horizontal="left" vertical="center"/>
    </xf>
    <xf numFmtId="0" fontId="14" fillId="0" borderId="62" xfId="1" applyFont="1" applyBorder="1" applyAlignment="1">
      <alignment horizontal="left"/>
    </xf>
    <xf numFmtId="0" fontId="14" fillId="0" borderId="60" xfId="1" applyFont="1" applyBorder="1" applyAlignment="1">
      <alignment horizontal="left"/>
    </xf>
    <xf numFmtId="0" fontId="14" fillId="0" borderId="63" xfId="1" applyFont="1" applyBorder="1" applyAlignment="1">
      <alignment horizontal="left"/>
    </xf>
    <xf numFmtId="0" fontId="14" fillId="0" borderId="64" xfId="1" applyFont="1" applyBorder="1" applyAlignment="1">
      <alignment horizontal="left"/>
    </xf>
    <xf numFmtId="0" fontId="14" fillId="0" borderId="26" xfId="1" applyFont="1" applyBorder="1" applyAlignment="1">
      <alignment horizontal="left"/>
    </xf>
    <xf numFmtId="0" fontId="14" fillId="0" borderId="27" xfId="1" applyFont="1" applyBorder="1" applyAlignment="1">
      <alignment horizontal="left"/>
    </xf>
    <xf numFmtId="0" fontId="11" fillId="0" borderId="46" xfId="1" applyBorder="1" applyAlignment="1">
      <alignment horizontal="left" vertical="center" wrapText="1"/>
    </xf>
    <xf numFmtId="0" fontId="11" fillId="0" borderId="8" xfId="1" applyBorder="1" applyAlignment="1">
      <alignment horizontal="left" vertical="center" wrapText="1"/>
    </xf>
    <xf numFmtId="0" fontId="11" fillId="0" borderId="45" xfId="1" applyBorder="1" applyAlignment="1">
      <alignment horizontal="left" vertical="center" wrapText="1"/>
    </xf>
    <xf numFmtId="0" fontId="11" fillId="0" borderId="40" xfId="1" applyBorder="1" applyAlignment="1">
      <alignment horizontal="left" vertical="center" wrapText="1"/>
    </xf>
    <xf numFmtId="0" fontId="11" fillId="0" borderId="3" xfId="1" applyBorder="1" applyAlignment="1">
      <alignment horizontal="left" vertical="center" wrapText="1"/>
    </xf>
    <xf numFmtId="0" fontId="11" fillId="0" borderId="33" xfId="1" applyBorder="1" applyAlignment="1">
      <alignment horizontal="left" vertical="center" wrapText="1"/>
    </xf>
    <xf numFmtId="0" fontId="11" fillId="0" borderId="40" xfId="1" applyBorder="1" applyAlignment="1">
      <alignment horizontal="left" vertical="center"/>
    </xf>
    <xf numFmtId="0" fontId="11" fillId="0" borderId="3" xfId="1" applyBorder="1" applyAlignment="1">
      <alignment horizontal="left" vertical="center"/>
    </xf>
    <xf numFmtId="0" fontId="11" fillId="0" borderId="33" xfId="1" applyBorder="1" applyAlignment="1">
      <alignment horizontal="left" vertical="center"/>
    </xf>
    <xf numFmtId="0" fontId="11" fillId="0" borderId="40" xfId="0" applyFont="1" applyBorder="1" applyAlignment="1" applyProtection="1">
      <alignment horizontal="center" wrapText="1"/>
      <protection locked="0"/>
    </xf>
    <xf numFmtId="0" fontId="11" fillId="0" borderId="3" xfId="0" applyFont="1" applyBorder="1" applyAlignment="1" applyProtection="1">
      <alignment horizontal="center" wrapText="1"/>
      <protection locked="0"/>
    </xf>
    <xf numFmtId="0" fontId="11" fillId="0" borderId="4" xfId="0" applyFont="1" applyBorder="1" applyAlignment="1" applyProtection="1">
      <alignment horizontal="center" wrapText="1"/>
      <protection locked="0"/>
    </xf>
    <xf numFmtId="0" fontId="11" fillId="0" borderId="46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1" fillId="0" borderId="15" xfId="0" applyFont="1" applyBorder="1" applyAlignment="1" applyProtection="1">
      <alignment horizontal="center" wrapText="1"/>
      <protection locked="0"/>
    </xf>
    <xf numFmtId="0" fontId="11" fillId="0" borderId="53" xfId="0" applyFont="1" applyBorder="1" applyAlignment="1" applyProtection="1">
      <alignment horizontal="center" wrapText="1"/>
      <protection locked="0"/>
    </xf>
    <xf numFmtId="0" fontId="11" fillId="0" borderId="38" xfId="0" applyFont="1" applyBorder="1" applyAlignment="1" applyProtection="1">
      <alignment horizontal="center" wrapText="1"/>
      <protection locked="0"/>
    </xf>
    <xf numFmtId="0" fontId="11" fillId="0" borderId="16" xfId="0" applyFont="1" applyBorder="1" applyAlignment="1" applyProtection="1">
      <alignment horizontal="center" wrapText="1"/>
      <protection locked="0"/>
    </xf>
    <xf numFmtId="0" fontId="11" fillId="0" borderId="17" xfId="0" applyFont="1" applyBorder="1" applyAlignment="1" applyProtection="1">
      <alignment horizontal="center" wrapText="1"/>
      <protection locked="0"/>
    </xf>
    <xf numFmtId="0" fontId="11" fillId="3" borderId="46" xfId="1" applyFill="1" applyBorder="1" applyAlignment="1">
      <alignment horizontal="left" vertical="center" indent="1"/>
    </xf>
    <xf numFmtId="0" fontId="11" fillId="3" borderId="8" xfId="1" applyFill="1" applyBorder="1" applyAlignment="1">
      <alignment horizontal="left" vertical="center" indent="1"/>
    </xf>
    <xf numFmtId="0" fontId="11" fillId="3" borderId="45" xfId="1" applyFill="1" applyBorder="1" applyAlignment="1">
      <alignment horizontal="left" vertical="center" indent="1"/>
    </xf>
    <xf numFmtId="0" fontId="1" fillId="3" borderId="0" xfId="0" applyFont="1" applyFill="1" applyAlignment="1">
      <alignment horizontal="center"/>
    </xf>
    <xf numFmtId="164" fontId="11" fillId="3" borderId="3" xfId="1" applyNumberFormat="1" applyFill="1" applyBorder="1" applyAlignment="1" applyProtection="1">
      <alignment horizontal="center" vertical="center"/>
      <protection locked="0"/>
    </xf>
    <xf numFmtId="164" fontId="11" fillId="3" borderId="33" xfId="1" applyNumberFormat="1" applyFill="1" applyBorder="1" applyAlignment="1" applyProtection="1">
      <alignment horizontal="center" vertical="center"/>
      <protection locked="0"/>
    </xf>
    <xf numFmtId="0" fontId="11" fillId="3" borderId="6" xfId="1" applyFill="1" applyBorder="1" applyAlignment="1">
      <alignment horizontal="left" vertical="center" indent="1"/>
    </xf>
    <xf numFmtId="0" fontId="11" fillId="3" borderId="29" xfId="1" applyFill="1" applyBorder="1" applyAlignment="1">
      <alignment horizontal="left" vertical="center" indent="1"/>
    </xf>
    <xf numFmtId="0" fontId="11" fillId="3" borderId="32" xfId="1" applyFill="1" applyBorder="1" applyAlignment="1">
      <alignment horizontal="left" vertical="center" wrapText="1" indent="2"/>
    </xf>
    <xf numFmtId="0" fontId="11" fillId="3" borderId="5" xfId="1" applyFill="1" applyBorder="1" applyAlignment="1">
      <alignment horizontal="left" vertical="center" wrapText="1" indent="2"/>
    </xf>
    <xf numFmtId="0" fontId="11" fillId="3" borderId="31" xfId="1" applyFill="1" applyBorder="1" applyAlignment="1">
      <alignment horizontal="left" vertical="center" wrapText="1" indent="2"/>
    </xf>
    <xf numFmtId="164" fontId="11" fillId="3" borderId="22" xfId="1" applyNumberFormat="1" applyFill="1" applyBorder="1" applyAlignment="1" applyProtection="1">
      <alignment horizontal="center" vertical="center"/>
      <protection locked="0"/>
    </xf>
    <xf numFmtId="164" fontId="11" fillId="3" borderId="21" xfId="1" applyNumberFormat="1" applyFill="1" applyBorder="1" applyAlignment="1" applyProtection="1">
      <alignment horizontal="center" vertical="center"/>
      <protection locked="0"/>
    </xf>
    <xf numFmtId="164" fontId="11" fillId="3" borderId="30" xfId="1" applyNumberFormat="1" applyFill="1" applyBorder="1" applyAlignment="1" applyProtection="1">
      <alignment horizontal="center" vertical="center"/>
      <protection locked="0"/>
    </xf>
    <xf numFmtId="164" fontId="11" fillId="3" borderId="23" xfId="1" applyNumberFormat="1" applyFill="1" applyBorder="1" applyAlignment="1">
      <alignment horizontal="center" vertical="center"/>
    </xf>
    <xf numFmtId="164" fontId="11" fillId="3" borderId="24" xfId="1" applyNumberFormat="1" applyFill="1" applyBorder="1" applyAlignment="1">
      <alignment horizontal="center" vertical="center"/>
    </xf>
    <xf numFmtId="164" fontId="11" fillId="3" borderId="26" xfId="1" applyNumberFormat="1" applyFill="1" applyBorder="1" applyAlignment="1">
      <alignment horizontal="center" vertical="center"/>
    </xf>
    <xf numFmtId="164" fontId="11" fillId="3" borderId="27" xfId="1" applyNumberFormat="1" applyFill="1" applyBorder="1" applyAlignment="1">
      <alignment horizontal="center" vertical="center"/>
    </xf>
    <xf numFmtId="0" fontId="11" fillId="3" borderId="37" xfId="1" applyFill="1" applyBorder="1" applyAlignment="1">
      <alignment horizontal="left" vertical="center" indent="2"/>
    </xf>
    <xf numFmtId="0" fontId="11" fillId="3" borderId="18" xfId="1" applyFill="1" applyBorder="1" applyAlignment="1">
      <alignment horizontal="left" vertical="center" indent="2"/>
    </xf>
    <xf numFmtId="0" fontId="11" fillId="3" borderId="7" xfId="1" applyFill="1" applyBorder="1" applyAlignment="1">
      <alignment horizontal="left" vertical="center" indent="2"/>
    </xf>
    <xf numFmtId="164" fontId="11" fillId="3" borderId="37" xfId="1" applyNumberFormat="1" applyFill="1" applyBorder="1" applyAlignment="1" applyProtection="1">
      <alignment horizontal="center" vertical="center"/>
      <protection locked="0"/>
    </xf>
    <xf numFmtId="164" fontId="11" fillId="3" borderId="18" xfId="1" applyNumberFormat="1" applyFill="1" applyBorder="1" applyAlignment="1" applyProtection="1">
      <alignment horizontal="center" vertical="center"/>
      <protection locked="0"/>
    </xf>
    <xf numFmtId="164" fontId="11" fillId="3" borderId="34" xfId="1" applyNumberFormat="1" applyFill="1" applyBorder="1" applyAlignment="1" applyProtection="1">
      <alignment horizontal="center" vertical="center"/>
      <protection locked="0"/>
    </xf>
    <xf numFmtId="0" fontId="14" fillId="3" borderId="47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0" fontId="14" fillId="3" borderId="48" xfId="1" applyFont="1" applyFill="1" applyBorder="1" applyAlignment="1">
      <alignment horizontal="center" vertical="center"/>
    </xf>
    <xf numFmtId="0" fontId="11" fillId="3" borderId="44" xfId="1" applyFill="1" applyBorder="1" applyAlignment="1">
      <alignment horizontal="left" vertical="center" indent="1"/>
    </xf>
    <xf numFmtId="0" fontId="11" fillId="3" borderId="14" xfId="1" applyFill="1" applyBorder="1" applyAlignment="1">
      <alignment horizontal="left" vertical="center" indent="1"/>
    </xf>
    <xf numFmtId="0" fontId="11" fillId="3" borderId="35" xfId="1" applyFill="1" applyBorder="1" applyAlignment="1">
      <alignment horizontal="left" vertical="center" indent="1"/>
    </xf>
    <xf numFmtId="164" fontId="11" fillId="3" borderId="16" xfId="1" applyNumberFormat="1" applyFill="1" applyBorder="1" applyAlignment="1" applyProtection="1">
      <alignment horizontal="center" vertical="center"/>
      <protection locked="0"/>
    </xf>
    <xf numFmtId="164" fontId="11" fillId="3" borderId="53" xfId="1" applyNumberFormat="1" applyFill="1" applyBorder="1" applyAlignment="1" applyProtection="1">
      <alignment horizontal="center" vertical="center"/>
      <protection locked="0"/>
    </xf>
    <xf numFmtId="0" fontId="11" fillId="0" borderId="47" xfId="0" applyFont="1" applyBorder="1" applyAlignment="1">
      <alignment horizontal="left" vertical="center" indent="1"/>
    </xf>
    <xf numFmtId="0" fontId="11" fillId="0" borderId="10" xfId="0" applyFont="1" applyBorder="1" applyAlignment="1">
      <alignment horizontal="left" vertical="center" indent="1"/>
    </xf>
    <xf numFmtId="0" fontId="50" fillId="0" borderId="48" xfId="0" applyFont="1" applyBorder="1" applyAlignment="1">
      <alignment horizontal="left" vertical="center" indent="1"/>
    </xf>
    <xf numFmtId="0" fontId="11" fillId="0" borderId="52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vertical="center" indent="1"/>
    </xf>
    <xf numFmtId="0" fontId="11" fillId="0" borderId="56" xfId="0" applyFont="1" applyBorder="1" applyAlignment="1">
      <alignment horizontal="left" vertical="center" indent="1"/>
    </xf>
    <xf numFmtId="0" fontId="11" fillId="0" borderId="22" xfId="0" applyFont="1" applyBorder="1" applyAlignment="1">
      <alignment horizontal="left" vertical="center" indent="1"/>
    </xf>
    <xf numFmtId="0" fontId="50" fillId="0" borderId="21" xfId="0" applyFont="1" applyBorder="1" applyAlignment="1">
      <alignment horizontal="left" vertical="center" indent="1"/>
    </xf>
    <xf numFmtId="0" fontId="50" fillId="0" borderId="30" xfId="0" applyFont="1" applyBorder="1" applyAlignment="1">
      <alignment horizontal="left" vertical="center" indent="1"/>
    </xf>
    <xf numFmtId="0" fontId="11" fillId="3" borderId="26" xfId="1" applyFill="1" applyBorder="1" applyAlignment="1" applyProtection="1">
      <alignment horizontal="center" vertical="center"/>
      <protection locked="0"/>
    </xf>
    <xf numFmtId="0" fontId="11" fillId="3" borderId="27" xfId="1" applyFill="1" applyBorder="1" applyAlignment="1" applyProtection="1">
      <alignment horizontal="center" vertical="center"/>
      <protection locked="0"/>
    </xf>
    <xf numFmtId="0" fontId="11" fillId="3" borderId="64" xfId="1" applyFill="1" applyBorder="1" applyAlignment="1">
      <alignment horizontal="center" vertical="center"/>
    </xf>
    <xf numFmtId="0" fontId="11" fillId="3" borderId="27" xfId="1" applyFill="1" applyBorder="1" applyAlignment="1">
      <alignment horizontal="center" vertical="center"/>
    </xf>
    <xf numFmtId="0" fontId="11" fillId="0" borderId="40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11" fillId="0" borderId="40" xfId="0" applyFont="1" applyBorder="1" applyAlignment="1">
      <alignment horizontal="left" indent="1"/>
    </xf>
    <xf numFmtId="0" fontId="11" fillId="0" borderId="3" xfId="0" applyFont="1" applyBorder="1" applyAlignment="1">
      <alignment horizontal="left" indent="1"/>
    </xf>
    <xf numFmtId="0" fontId="11" fillId="0" borderId="64" xfId="0" applyFont="1" applyBorder="1" applyAlignment="1">
      <alignment horizontal="left" vertical="center" wrapText="1" indent="1"/>
    </xf>
    <xf numFmtId="0" fontId="11" fillId="0" borderId="26" xfId="0" applyFont="1" applyBorder="1" applyAlignment="1">
      <alignment horizontal="left" vertical="center" wrapText="1" indent="1"/>
    </xf>
    <xf numFmtId="0" fontId="11" fillId="0" borderId="40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33" xfId="0" applyFont="1" applyBorder="1" applyAlignment="1" applyProtection="1">
      <alignment horizontal="center" vertical="center"/>
      <protection locked="0"/>
    </xf>
    <xf numFmtId="0" fontId="11" fillId="0" borderId="64" xfId="0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 applyProtection="1">
      <alignment horizontal="center" vertical="center"/>
      <protection locked="0"/>
    </xf>
    <xf numFmtId="0" fontId="11" fillId="0" borderId="27" xfId="0" applyFont="1" applyBorder="1" applyAlignment="1" applyProtection="1">
      <alignment horizontal="center" vertical="center"/>
      <protection locked="0"/>
    </xf>
    <xf numFmtId="0" fontId="11" fillId="0" borderId="52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horizontal="left" vertical="center" wrapText="1" indent="1"/>
    </xf>
    <xf numFmtId="0" fontId="11" fillId="0" borderId="56" xfId="0" applyFont="1" applyBorder="1" applyAlignment="1">
      <alignment horizontal="left" vertical="center" wrapText="1" indent="1"/>
    </xf>
    <xf numFmtId="0" fontId="26" fillId="0" borderId="52" xfId="0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/>
    </xf>
    <xf numFmtId="0" fontId="11" fillId="0" borderId="80" xfId="0" applyFont="1" applyBorder="1" applyAlignment="1">
      <alignment horizontal="left" vertical="top" indent="1"/>
    </xf>
    <xf numFmtId="0" fontId="50" fillId="0" borderId="59" xfId="0" applyFont="1" applyBorder="1" applyAlignment="1">
      <alignment horizontal="left" indent="1"/>
    </xf>
    <xf numFmtId="0" fontId="50" fillId="0" borderId="25" xfId="0" applyFont="1" applyBorder="1" applyAlignment="1">
      <alignment horizontal="left" indent="1"/>
    </xf>
    <xf numFmtId="0" fontId="26" fillId="0" borderId="51" xfId="0" applyFont="1" applyBorder="1" applyAlignment="1" applyProtection="1">
      <alignment horizontal="center"/>
      <protection locked="0"/>
    </xf>
    <xf numFmtId="0" fontId="11" fillId="0" borderId="40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0" fontId="13" fillId="0" borderId="22" xfId="1" applyFont="1" applyBorder="1" applyAlignment="1">
      <alignment horizontal="center" vertical="center" wrapText="1"/>
    </xf>
    <xf numFmtId="0" fontId="13" fillId="0" borderId="30" xfId="1" applyFont="1" applyBorder="1" applyAlignment="1">
      <alignment horizontal="center" vertical="center" wrapText="1"/>
    </xf>
    <xf numFmtId="0" fontId="11" fillId="0" borderId="38" xfId="0" applyFont="1" applyBorder="1" applyAlignment="1">
      <alignment horizontal="left" vertical="center" wrapText="1" indent="1"/>
    </xf>
    <xf numFmtId="0" fontId="11" fillId="0" borderId="16" xfId="0" applyFont="1" applyBorder="1" applyAlignment="1">
      <alignment horizontal="left" vertical="center" wrapText="1" indent="1"/>
    </xf>
    <xf numFmtId="0" fontId="11" fillId="0" borderId="53" xfId="0" applyFont="1" applyBorder="1" applyAlignment="1">
      <alignment horizontal="left" vertical="center" wrapText="1" indent="1"/>
    </xf>
    <xf numFmtId="0" fontId="11" fillId="0" borderId="46" xfId="0" applyFont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 wrapText="1" indent="1"/>
    </xf>
    <xf numFmtId="0" fontId="11" fillId="0" borderId="45" xfId="0" applyFont="1" applyBorder="1" applyAlignment="1">
      <alignment horizontal="left" vertical="center" wrapText="1" indent="1"/>
    </xf>
    <xf numFmtId="0" fontId="11" fillId="0" borderId="38" xfId="0" applyFont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3" borderId="64" xfId="1" applyFill="1" applyBorder="1" applyAlignment="1" applyProtection="1">
      <alignment horizontal="center" vertical="center"/>
      <protection locked="0"/>
    </xf>
    <xf numFmtId="0" fontId="11" fillId="3" borderId="51" xfId="1" applyFill="1" applyBorder="1" applyAlignment="1" applyProtection="1">
      <alignment horizontal="center" vertical="center"/>
      <protection locked="0"/>
    </xf>
    <xf numFmtId="0" fontId="11" fillId="3" borderId="59" xfId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top"/>
    </xf>
    <xf numFmtId="0" fontId="14" fillId="3" borderId="22" xfId="1" applyFont="1" applyFill="1" applyBorder="1" applyAlignment="1">
      <alignment horizontal="center"/>
    </xf>
    <xf numFmtId="0" fontId="14" fillId="3" borderId="21" xfId="1" applyFont="1" applyFill="1" applyBorder="1" applyAlignment="1">
      <alignment horizontal="center"/>
    </xf>
    <xf numFmtId="0" fontId="14" fillId="3" borderId="15" xfId="1" applyFont="1" applyFill="1" applyBorder="1" applyAlignment="1">
      <alignment horizontal="center"/>
    </xf>
    <xf numFmtId="0" fontId="14" fillId="3" borderId="37" xfId="1" applyFont="1" applyFill="1" applyBorder="1" applyAlignment="1">
      <alignment horizontal="center"/>
    </xf>
    <xf numFmtId="0" fontId="14" fillId="3" borderId="18" xfId="1" applyFont="1" applyFill="1" applyBorder="1" applyAlignment="1">
      <alignment horizontal="center"/>
    </xf>
    <xf numFmtId="0" fontId="14" fillId="3" borderId="7" xfId="1" applyFont="1" applyFill="1" applyBorder="1" applyAlignment="1">
      <alignment horizontal="center"/>
    </xf>
    <xf numFmtId="0" fontId="14" fillId="3" borderId="38" xfId="1" applyFont="1" applyFill="1" applyBorder="1" applyAlignment="1">
      <alignment horizontal="center" wrapText="1"/>
    </xf>
    <xf numFmtId="0" fontId="14" fillId="3" borderId="16" xfId="1" applyFont="1" applyFill="1" applyBorder="1" applyAlignment="1">
      <alignment horizontal="center" wrapText="1"/>
    </xf>
    <xf numFmtId="0" fontId="14" fillId="3" borderId="53" xfId="1" applyFont="1" applyFill="1" applyBorder="1" applyAlignment="1">
      <alignment horizontal="center" wrapText="1"/>
    </xf>
    <xf numFmtId="0" fontId="11" fillId="3" borderId="39" xfId="1" applyFill="1" applyBorder="1" applyAlignment="1">
      <alignment horizontal="left" vertical="center" indent="1"/>
    </xf>
    <xf numFmtId="0" fontId="8" fillId="3" borderId="0" xfId="0" applyFont="1" applyFill="1" applyAlignment="1">
      <alignment horizontal="left" vertical="top" wrapText="1" indent="1"/>
    </xf>
    <xf numFmtId="0" fontId="11" fillId="0" borderId="32" xfId="1" applyBorder="1" applyAlignment="1" applyProtection="1">
      <alignment horizontal="center" vertical="center"/>
      <protection locked="0"/>
    </xf>
    <xf numFmtId="0" fontId="11" fillId="0" borderId="18" xfId="1" applyBorder="1" applyAlignment="1" applyProtection="1">
      <alignment horizontal="center" vertical="center"/>
      <protection locked="0"/>
    </xf>
    <xf numFmtId="0" fontId="11" fillId="0" borderId="34" xfId="1" applyBorder="1" applyAlignment="1" applyProtection="1">
      <alignment horizontal="center" vertical="center"/>
      <protection locked="0"/>
    </xf>
    <xf numFmtId="0" fontId="11" fillId="0" borderId="37" xfId="1" applyBorder="1" applyAlignment="1" applyProtection="1">
      <alignment horizontal="center" vertical="center"/>
      <protection locked="0"/>
    </xf>
    <xf numFmtId="0" fontId="11" fillId="0" borderId="7" xfId="1" applyBorder="1" applyAlignment="1" applyProtection="1">
      <alignment horizontal="center" vertical="center" wrapText="1"/>
      <protection locked="0"/>
    </xf>
    <xf numFmtId="0" fontId="11" fillId="0" borderId="45" xfId="1" applyBorder="1" applyAlignment="1" applyProtection="1">
      <alignment horizontal="center" vertical="center" wrapText="1"/>
      <protection locked="0"/>
    </xf>
    <xf numFmtId="0" fontId="14" fillId="0" borderId="47" xfId="1" applyFont="1" applyBorder="1" applyAlignment="1">
      <alignment horizontal="left" vertical="center" wrapText="1" indent="1"/>
    </xf>
    <xf numFmtId="0" fontId="14" fillId="0" borderId="10" xfId="1" applyFont="1" applyBorder="1" applyAlignment="1">
      <alignment horizontal="left" vertical="center" wrapText="1" indent="1"/>
    </xf>
    <xf numFmtId="0" fontId="14" fillId="0" borderId="11" xfId="1" applyFont="1" applyBorder="1" applyAlignment="1">
      <alignment horizontal="left" vertical="center" wrapText="1" indent="1"/>
    </xf>
    <xf numFmtId="0" fontId="14" fillId="0" borderId="10" xfId="1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/>
    </xf>
    <xf numFmtId="0" fontId="11" fillId="0" borderId="44" xfId="1" applyBorder="1" applyAlignment="1">
      <alignment horizontal="left" vertical="center" wrapText="1" indent="1"/>
    </xf>
    <xf numFmtId="0" fontId="11" fillId="0" borderId="14" xfId="1" applyBorder="1" applyAlignment="1">
      <alignment horizontal="left" vertical="center" wrapText="1" indent="1"/>
    </xf>
    <xf numFmtId="0" fontId="11" fillId="0" borderId="39" xfId="1" applyBorder="1" applyAlignment="1">
      <alignment horizontal="left" vertical="center" wrapText="1" indent="1"/>
    </xf>
    <xf numFmtId="0" fontId="11" fillId="0" borderId="14" xfId="1" applyBorder="1" applyAlignment="1" applyProtection="1">
      <alignment horizontal="center" vertical="center"/>
      <protection locked="0"/>
    </xf>
    <xf numFmtId="0" fontId="11" fillId="0" borderId="35" xfId="1" applyBorder="1" applyAlignment="1" applyProtection="1">
      <alignment horizontal="center" vertical="center"/>
      <protection locked="0"/>
    </xf>
    <xf numFmtId="0" fontId="11" fillId="0" borderId="44" xfId="1" applyBorder="1" applyAlignment="1" applyProtection="1">
      <alignment horizontal="center" vertical="center"/>
      <protection locked="0"/>
    </xf>
    <xf numFmtId="0" fontId="8" fillId="3" borderId="0" xfId="0" applyFont="1" applyFill="1" applyAlignment="1">
      <alignment horizontal="left" vertical="center" wrapText="1" indent="1"/>
    </xf>
    <xf numFmtId="0" fontId="11" fillId="0" borderId="20" xfId="1" applyBorder="1" applyAlignment="1">
      <alignment horizontal="left" vertical="center" wrapText="1" indent="1"/>
    </xf>
    <xf numFmtId="0" fontId="11" fillId="0" borderId="6" xfId="1" applyBorder="1" applyAlignment="1">
      <alignment horizontal="left" vertical="center" wrapText="1" indent="1"/>
    </xf>
    <xf numFmtId="0" fontId="11" fillId="0" borderId="19" xfId="1" applyBorder="1" applyAlignment="1">
      <alignment horizontal="left" vertical="center" wrapText="1" indent="1"/>
    </xf>
    <xf numFmtId="0" fontId="11" fillId="0" borderId="6" xfId="1" applyBorder="1" applyAlignment="1" applyProtection="1">
      <alignment horizontal="center" vertical="center"/>
      <protection locked="0"/>
    </xf>
    <xf numFmtId="0" fontId="11" fillId="0" borderId="29" xfId="1" applyBorder="1" applyAlignment="1" applyProtection="1">
      <alignment horizontal="center" vertical="center"/>
      <protection locked="0"/>
    </xf>
    <xf numFmtId="0" fontId="11" fillId="0" borderId="20" xfId="1" applyBorder="1" applyAlignment="1" applyProtection="1">
      <alignment horizontal="center" vertical="center"/>
      <protection locked="0"/>
    </xf>
    <xf numFmtId="0" fontId="14" fillId="0" borderId="47" xfId="1" applyFont="1" applyBorder="1" applyAlignment="1">
      <alignment horizontal="center" wrapText="1"/>
    </xf>
    <xf numFmtId="0" fontId="14" fillId="0" borderId="10" xfId="1" applyFont="1" applyBorder="1" applyAlignment="1">
      <alignment horizontal="center" wrapText="1"/>
    </xf>
    <xf numFmtId="0" fontId="14" fillId="0" borderId="48" xfId="1" applyFont="1" applyBorder="1" applyAlignment="1">
      <alignment horizontal="center" wrapText="1"/>
    </xf>
    <xf numFmtId="0" fontId="14" fillId="3" borderId="62" xfId="1" applyFont="1" applyFill="1" applyBorder="1" applyAlignment="1">
      <alignment horizontal="center" wrapText="1"/>
    </xf>
    <xf numFmtId="0" fontId="14" fillId="3" borderId="60" xfId="1" applyFont="1" applyFill="1" applyBorder="1" applyAlignment="1">
      <alignment horizontal="center" wrapText="1"/>
    </xf>
    <xf numFmtId="0" fontId="14" fillId="3" borderId="63" xfId="1" applyFont="1" applyFill="1" applyBorder="1" applyAlignment="1">
      <alignment horizontal="center" wrapText="1"/>
    </xf>
    <xf numFmtId="0" fontId="14" fillId="3" borderId="43" xfId="1" applyFont="1" applyFill="1" applyBorder="1" applyAlignment="1">
      <alignment horizontal="center" wrapText="1"/>
    </xf>
    <xf numFmtId="0" fontId="14" fillId="3" borderId="0" xfId="1" applyFont="1" applyFill="1" applyAlignment="1">
      <alignment horizontal="center" wrapText="1"/>
    </xf>
    <xf numFmtId="0" fontId="14" fillId="3" borderId="55" xfId="1" applyFont="1" applyFill="1" applyBorder="1" applyAlignment="1">
      <alignment horizontal="center" wrapText="1"/>
    </xf>
    <xf numFmtId="0" fontId="14" fillId="3" borderId="64" xfId="1" applyFont="1" applyFill="1" applyBorder="1" applyAlignment="1">
      <alignment horizontal="center" wrapText="1"/>
    </xf>
    <xf numFmtId="0" fontId="14" fillId="3" borderId="26" xfId="1" applyFont="1" applyFill="1" applyBorder="1" applyAlignment="1">
      <alignment horizontal="center" wrapText="1"/>
    </xf>
    <xf numFmtId="0" fontId="14" fillId="3" borderId="27" xfId="1" applyFont="1" applyFill="1" applyBorder="1" applyAlignment="1">
      <alignment horizontal="center" wrapText="1"/>
    </xf>
    <xf numFmtId="0" fontId="9" fillId="3" borderId="16" xfId="0" applyFont="1" applyFill="1" applyBorder="1" applyAlignment="1" applyProtection="1">
      <alignment horizontal="center"/>
      <protection locked="0"/>
    </xf>
    <xf numFmtId="0" fontId="9" fillId="3" borderId="53" xfId="0" applyFont="1" applyFill="1" applyBorder="1" applyAlignment="1" applyProtection="1">
      <alignment horizontal="center"/>
      <protection locked="0"/>
    </xf>
    <xf numFmtId="0" fontId="9" fillId="3" borderId="8" xfId="0" applyFont="1" applyFill="1" applyBorder="1" applyAlignment="1" applyProtection="1">
      <alignment horizontal="center"/>
      <protection locked="0"/>
    </xf>
    <xf numFmtId="0" fontId="9" fillId="3" borderId="45" xfId="0" applyFont="1" applyFill="1" applyBorder="1" applyAlignment="1" applyProtection="1">
      <alignment horizontal="center"/>
      <protection locked="0"/>
    </xf>
    <xf numFmtId="0" fontId="8" fillId="3" borderId="0" xfId="0" applyFont="1" applyFill="1" applyAlignment="1">
      <alignment horizontal="left" vertical="center" indent="1"/>
    </xf>
    <xf numFmtId="0" fontId="11" fillId="3" borderId="54" xfId="1" applyFill="1" applyBorder="1" applyAlignment="1">
      <alignment horizontal="left" vertical="center" indent="1"/>
    </xf>
    <xf numFmtId="0" fontId="11" fillId="3" borderId="1" xfId="1" applyFill="1" applyBorder="1" applyAlignment="1">
      <alignment horizontal="left" vertical="center" indent="1"/>
    </xf>
    <xf numFmtId="0" fontId="11" fillId="3" borderId="58" xfId="1" applyFill="1" applyBorder="1" applyAlignment="1">
      <alignment horizontal="left" vertical="center" indent="1"/>
    </xf>
    <xf numFmtId="0" fontId="11" fillId="3" borderId="49" xfId="1" applyFill="1" applyBorder="1" applyAlignment="1" applyProtection="1">
      <alignment horizontal="center" vertical="center"/>
      <protection locked="0"/>
    </xf>
    <xf numFmtId="0" fontId="11" fillId="3" borderId="0" xfId="1" applyFill="1" applyAlignment="1" applyProtection="1">
      <alignment horizontal="center" vertical="center"/>
      <protection locked="0"/>
    </xf>
    <xf numFmtId="0" fontId="11" fillId="3" borderId="39" xfId="1" applyFill="1" applyBorder="1" applyAlignment="1" applyProtection="1">
      <alignment horizontal="center" vertical="center"/>
      <protection locked="0"/>
    </xf>
    <xf numFmtId="0" fontId="11" fillId="3" borderId="58" xfId="1" applyFill="1" applyBorder="1" applyAlignment="1" applyProtection="1">
      <alignment horizontal="center" vertical="center"/>
      <protection locked="0"/>
    </xf>
    <xf numFmtId="0" fontId="5" fillId="3" borderId="62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87" xfId="0" applyFont="1" applyFill="1" applyBorder="1" applyAlignment="1">
      <alignment horizontal="center"/>
    </xf>
    <xf numFmtId="0" fontId="5" fillId="3" borderId="83" xfId="0" applyFont="1" applyFill="1" applyBorder="1" applyAlignment="1">
      <alignment horizontal="center"/>
    </xf>
    <xf numFmtId="0" fontId="5" fillId="3" borderId="88" xfId="0" applyFont="1" applyFill="1" applyBorder="1" applyAlignment="1">
      <alignment horizontal="center"/>
    </xf>
    <xf numFmtId="0" fontId="14" fillId="3" borderId="32" xfId="1" applyFont="1" applyFill="1" applyBorder="1" applyAlignment="1">
      <alignment horizontal="center" wrapText="1"/>
    </xf>
    <xf numFmtId="0" fontId="27" fillId="3" borderId="5" xfId="0" applyFont="1" applyFill="1" applyBorder="1"/>
    <xf numFmtId="0" fontId="27" fillId="3" borderId="32" xfId="0" applyFont="1" applyFill="1" applyBorder="1"/>
    <xf numFmtId="0" fontId="27" fillId="3" borderId="37" xfId="0" applyFont="1" applyFill="1" applyBorder="1"/>
    <xf numFmtId="0" fontId="27" fillId="3" borderId="18" xfId="0" applyFont="1" applyFill="1" applyBorder="1"/>
    <xf numFmtId="0" fontId="14" fillId="3" borderId="5" xfId="1" applyFont="1" applyFill="1" applyBorder="1" applyAlignment="1">
      <alignment horizontal="center" wrapText="1"/>
    </xf>
    <xf numFmtId="0" fontId="27" fillId="3" borderId="6" xfId="0" applyFont="1" applyFill="1" applyBorder="1"/>
    <xf numFmtId="0" fontId="14" fillId="3" borderId="84" xfId="1" applyFont="1" applyFill="1" applyBorder="1" applyAlignment="1">
      <alignment horizontal="center" wrapText="1"/>
    </xf>
    <xf numFmtId="0" fontId="27" fillId="3" borderId="84" xfId="0" applyFont="1" applyFill="1" applyBorder="1"/>
    <xf numFmtId="0" fontId="14" fillId="3" borderId="84" xfId="1" applyFont="1" applyFill="1" applyBorder="1" applyAlignment="1">
      <alignment horizontal="center"/>
    </xf>
    <xf numFmtId="0" fontId="14" fillId="3" borderId="47" xfId="1" applyFont="1" applyFill="1" applyBorder="1" applyAlignment="1">
      <alignment horizontal="center"/>
    </xf>
    <xf numFmtId="0" fontId="14" fillId="3" borderId="10" xfId="1" applyFont="1" applyFill="1" applyBorder="1" applyAlignment="1">
      <alignment horizontal="center"/>
    </xf>
    <xf numFmtId="0" fontId="9" fillId="3" borderId="64" xfId="0" applyFont="1" applyFill="1" applyBorder="1" applyAlignment="1" applyProtection="1">
      <alignment horizontal="center" vertical="center"/>
      <protection locked="0"/>
    </xf>
    <xf numFmtId="0" fontId="9" fillId="3" borderId="51" xfId="0" applyFont="1" applyFill="1" applyBorder="1" applyAlignment="1" applyProtection="1">
      <alignment horizontal="center" vertical="center"/>
      <protection locked="0"/>
    </xf>
    <xf numFmtId="0" fontId="5" fillId="3" borderId="38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14" fillId="3" borderId="5" xfId="1" applyFont="1" applyFill="1" applyBorder="1" applyAlignment="1">
      <alignment horizontal="center"/>
    </xf>
    <xf numFmtId="0" fontId="9" fillId="3" borderId="25" xfId="0" applyFont="1" applyFill="1" applyBorder="1" applyAlignment="1" applyProtection="1">
      <alignment horizontal="center" vertical="center" wrapText="1"/>
      <protection locked="0"/>
    </xf>
    <xf numFmtId="0" fontId="9" fillId="3" borderId="51" xfId="0" applyFont="1" applyFill="1" applyBorder="1" applyAlignment="1" applyProtection="1">
      <alignment horizontal="center" vertical="center" wrapText="1"/>
      <protection locked="0"/>
    </xf>
    <xf numFmtId="0" fontId="9" fillId="3" borderId="26" xfId="0" applyFont="1" applyFill="1" applyBorder="1" applyAlignment="1" applyProtection="1">
      <alignment horizontal="center" vertical="center"/>
      <protection locked="0"/>
    </xf>
    <xf numFmtId="0" fontId="9" fillId="3" borderId="27" xfId="0" applyFont="1" applyFill="1" applyBorder="1" applyAlignment="1" applyProtection="1">
      <alignment horizontal="center" vertical="center"/>
      <protection locked="0"/>
    </xf>
    <xf numFmtId="0" fontId="11" fillId="3" borderId="18" xfId="1" applyFill="1" applyBorder="1" applyAlignment="1" applyProtection="1">
      <alignment horizontal="center" vertical="center"/>
      <protection locked="0"/>
    </xf>
    <xf numFmtId="0" fontId="14" fillId="3" borderId="37" xfId="1" applyFont="1" applyFill="1" applyBorder="1" applyAlignment="1">
      <alignment horizontal="center" vertical="center"/>
    </xf>
    <xf numFmtId="0" fontId="14" fillId="3" borderId="18" xfId="1" applyFont="1" applyFill="1" applyBorder="1" applyAlignment="1">
      <alignment horizontal="center" vertical="center"/>
    </xf>
    <xf numFmtId="0" fontId="14" fillId="3" borderId="34" xfId="1" applyFont="1" applyFill="1" applyBorder="1" applyAlignment="1">
      <alignment horizontal="center" vertical="center"/>
    </xf>
    <xf numFmtId="0" fontId="14" fillId="3" borderId="64" xfId="1" applyFont="1" applyFill="1" applyBorder="1" applyAlignment="1">
      <alignment horizontal="center" vertical="center"/>
    </xf>
    <xf numFmtId="0" fontId="14" fillId="3" borderId="26" xfId="1" applyFont="1" applyFill="1" applyBorder="1" applyAlignment="1">
      <alignment horizontal="center" vertical="center"/>
    </xf>
    <xf numFmtId="0" fontId="14" fillId="3" borderId="51" xfId="1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vertical="center" wrapText="1"/>
    </xf>
    <xf numFmtId="0" fontId="29" fillId="3" borderId="21" xfId="0" applyFont="1" applyFill="1" applyBorder="1" applyAlignment="1">
      <alignment vertical="center" wrapText="1"/>
    </xf>
    <xf numFmtId="0" fontId="29" fillId="3" borderId="30" xfId="0" applyFont="1" applyFill="1" applyBorder="1" applyAlignment="1">
      <alignment vertical="center" wrapText="1"/>
    </xf>
    <xf numFmtId="0" fontId="29" fillId="3" borderId="32" xfId="0" applyFont="1" applyFill="1" applyBorder="1" applyAlignment="1">
      <alignment vertical="center"/>
    </xf>
    <xf numFmtId="0" fontId="29" fillId="3" borderId="5" xfId="0" applyFont="1" applyFill="1" applyBorder="1" applyAlignment="1">
      <alignment vertical="center"/>
    </xf>
    <xf numFmtId="0" fontId="29" fillId="3" borderId="31" xfId="0" applyFont="1" applyFill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28" fillId="3" borderId="30" xfId="0" applyFont="1" applyFill="1" applyBorder="1" applyAlignment="1">
      <alignment horizontal="center" vertical="center"/>
    </xf>
    <xf numFmtId="0" fontId="28" fillId="3" borderId="28" xfId="0" applyFont="1" applyFill="1" applyBorder="1" applyAlignment="1">
      <alignment horizontal="center" vertical="center"/>
    </xf>
    <xf numFmtId="0" fontId="28" fillId="3" borderId="29" xfId="0" applyFont="1" applyFill="1" applyBorder="1" applyAlignment="1">
      <alignment horizontal="center" vertical="center"/>
    </xf>
    <xf numFmtId="0" fontId="14" fillId="3" borderId="62" xfId="1" applyFont="1" applyFill="1" applyBorder="1" applyAlignment="1">
      <alignment horizontal="center" vertical="center" wrapText="1"/>
    </xf>
    <xf numFmtId="0" fontId="14" fillId="3" borderId="60" xfId="1" applyFont="1" applyFill="1" applyBorder="1" applyAlignment="1">
      <alignment horizontal="center" vertical="center" wrapText="1"/>
    </xf>
    <xf numFmtId="0" fontId="14" fillId="3" borderId="63" xfId="1" applyFont="1" applyFill="1" applyBorder="1" applyAlignment="1">
      <alignment horizontal="center" vertical="center" wrapText="1"/>
    </xf>
    <xf numFmtId="0" fontId="14" fillId="3" borderId="64" xfId="1" applyFont="1" applyFill="1" applyBorder="1" applyAlignment="1">
      <alignment horizontal="center" vertical="center" wrapText="1"/>
    </xf>
    <xf numFmtId="0" fontId="14" fillId="3" borderId="26" xfId="1" applyFont="1" applyFill="1" applyBorder="1" applyAlignment="1">
      <alignment horizontal="center" vertical="center" wrapText="1"/>
    </xf>
    <xf numFmtId="0" fontId="14" fillId="3" borderId="27" xfId="1" applyFont="1" applyFill="1" applyBorder="1" applyAlignment="1">
      <alignment horizontal="center" vertical="center" wrapText="1"/>
    </xf>
    <xf numFmtId="0" fontId="14" fillId="3" borderId="38" xfId="1" applyFont="1" applyFill="1" applyBorder="1" applyAlignment="1">
      <alignment horizontal="center" vertical="center" wrapText="1"/>
    </xf>
    <xf numFmtId="0" fontId="14" fillId="3" borderId="16" xfId="1" applyFont="1" applyFill="1" applyBorder="1" applyAlignment="1">
      <alignment horizontal="center" vertical="center" wrapText="1"/>
    </xf>
    <xf numFmtId="0" fontId="14" fillId="3" borderId="53" xfId="1" applyFont="1" applyFill="1" applyBorder="1" applyAlignment="1">
      <alignment horizontal="center" vertical="center" wrapText="1"/>
    </xf>
    <xf numFmtId="0" fontId="14" fillId="3" borderId="46" xfId="1" applyFont="1" applyFill="1" applyBorder="1" applyAlignment="1">
      <alignment horizontal="center" wrapText="1"/>
    </xf>
    <xf numFmtId="0" fontId="14" fillId="3" borderId="9" xfId="1" applyFont="1" applyFill="1" applyBorder="1" applyAlignment="1">
      <alignment horizontal="center" wrapText="1"/>
    </xf>
    <xf numFmtId="0" fontId="14" fillId="3" borderId="7" xfId="1" applyFont="1" applyFill="1" applyBorder="1" applyAlignment="1">
      <alignment horizontal="center" wrapText="1"/>
    </xf>
    <xf numFmtId="0" fontId="14" fillId="3" borderId="45" xfId="1" applyFont="1" applyFill="1" applyBorder="1" applyAlignment="1">
      <alignment horizontal="center" wrapText="1"/>
    </xf>
    <xf numFmtId="0" fontId="10" fillId="3" borderId="32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31" xfId="0" applyFont="1" applyFill="1" applyBorder="1" applyAlignment="1">
      <alignment vertical="center" wrapText="1"/>
    </xf>
    <xf numFmtId="0" fontId="10" fillId="3" borderId="37" xfId="0" applyFont="1" applyFill="1" applyBorder="1" applyAlignment="1">
      <alignment vertical="center" wrapText="1"/>
    </xf>
    <xf numFmtId="0" fontId="10" fillId="3" borderId="18" xfId="0" applyFont="1" applyFill="1" applyBorder="1" applyAlignment="1">
      <alignment vertical="center" wrapText="1"/>
    </xf>
    <xf numFmtId="0" fontId="10" fillId="3" borderId="3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11" fillId="3" borderId="46" xfId="1" applyFill="1" applyBorder="1" applyAlignment="1">
      <alignment horizontal="left" vertical="center" wrapText="1" indent="1"/>
    </xf>
    <xf numFmtId="0" fontId="11" fillId="3" borderId="45" xfId="1" applyFill="1" applyBorder="1" applyAlignment="1">
      <alignment horizontal="left" vertical="center" wrapText="1" indent="1"/>
    </xf>
    <xf numFmtId="0" fontId="11" fillId="3" borderId="37" xfId="1" applyFill="1" applyBorder="1" applyAlignment="1" applyProtection="1">
      <alignment horizontal="center" vertical="center"/>
      <protection locked="0"/>
    </xf>
    <xf numFmtId="0" fontId="11" fillId="3" borderId="32" xfId="1" applyFill="1" applyBorder="1" applyAlignment="1">
      <alignment horizontal="left" vertical="center" wrapText="1" indent="1"/>
    </xf>
    <xf numFmtId="0" fontId="11" fillId="3" borderId="2" xfId="1" applyFill="1" applyBorder="1" applyAlignment="1">
      <alignment horizontal="left" vertical="center" wrapText="1" indent="1"/>
    </xf>
    <xf numFmtId="0" fontId="11" fillId="3" borderId="32" xfId="1" applyFill="1" applyBorder="1" applyAlignment="1" applyProtection="1">
      <alignment horizontal="center" vertical="center"/>
      <protection locked="0"/>
    </xf>
    <xf numFmtId="0" fontId="11" fillId="3" borderId="40" xfId="1" applyFill="1" applyBorder="1" applyAlignment="1">
      <alignment horizontal="left" vertical="center" wrapText="1" indent="1"/>
    </xf>
    <xf numFmtId="0" fontId="11" fillId="3" borderId="33" xfId="1" applyFill="1" applyBorder="1" applyAlignment="1">
      <alignment horizontal="left" vertical="center" wrapText="1" indent="1"/>
    </xf>
    <xf numFmtId="0" fontId="11" fillId="3" borderId="44" xfId="1" applyFill="1" applyBorder="1" applyAlignment="1">
      <alignment horizontal="left" vertical="center" wrapText="1" indent="1"/>
    </xf>
    <xf numFmtId="0" fontId="11" fillId="3" borderId="39" xfId="1" applyFill="1" applyBorder="1" applyAlignment="1">
      <alignment horizontal="left" vertical="center" wrapText="1" indent="1"/>
    </xf>
    <xf numFmtId="0" fontId="11" fillId="3" borderId="44" xfId="1" applyFill="1" applyBorder="1" applyAlignment="1" applyProtection="1">
      <alignment horizontal="center" vertical="center"/>
      <protection locked="0"/>
    </xf>
    <xf numFmtId="0" fontId="11" fillId="3" borderId="14" xfId="1" applyFill="1" applyBorder="1" applyAlignment="1" applyProtection="1">
      <alignment horizontal="center" vertical="center"/>
      <protection locked="0"/>
    </xf>
    <xf numFmtId="0" fontId="14" fillId="3" borderId="44" xfId="1" applyFont="1" applyFill="1" applyBorder="1" applyAlignment="1">
      <alignment horizontal="center" vertical="center"/>
    </xf>
    <xf numFmtId="0" fontId="14" fillId="3" borderId="35" xfId="1" applyFont="1" applyFill="1" applyBorder="1" applyAlignment="1">
      <alignment horizontal="center" vertical="center"/>
    </xf>
    <xf numFmtId="0" fontId="9" fillId="3" borderId="80" xfId="0" applyFont="1" applyFill="1" applyBorder="1" applyAlignment="1" applyProtection="1">
      <alignment horizontal="center"/>
      <protection locked="0"/>
    </xf>
    <xf numFmtId="0" fontId="9" fillId="3" borderId="59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3" xfId="0" applyFont="1" applyFill="1" applyBorder="1" applyAlignment="1" applyProtection="1">
      <alignment horizontal="center"/>
      <protection locked="0"/>
    </xf>
    <xf numFmtId="0" fontId="9" fillId="3" borderId="78" xfId="0" applyFont="1" applyFill="1" applyBorder="1" applyAlignment="1" applyProtection="1">
      <alignment horizontal="center"/>
      <protection locked="0"/>
    </xf>
    <xf numFmtId="0" fontId="22" fillId="0" borderId="43" xfId="0" quotePrefix="1" applyFont="1" applyBorder="1" applyAlignment="1">
      <alignment horizontal="left" vertical="center" wrapText="1"/>
    </xf>
    <xf numFmtId="0" fontId="0" fillId="3" borderId="12" xfId="0" applyFill="1" applyBorder="1" applyAlignment="1">
      <alignment horizontal="center" wrapText="1"/>
    </xf>
    <xf numFmtId="0" fontId="0" fillId="3" borderId="13" xfId="0" applyFill="1" applyBorder="1" applyAlignment="1">
      <alignment horizontal="center" wrapText="1"/>
    </xf>
    <xf numFmtId="0" fontId="11" fillId="0" borderId="26" xfId="1" applyBorder="1" applyAlignment="1" applyProtection="1">
      <alignment horizontal="center" vertical="center"/>
      <protection locked="0"/>
    </xf>
    <xf numFmtId="0" fontId="11" fillId="0" borderId="51" xfId="1" applyBorder="1" applyAlignment="1" applyProtection="1">
      <alignment horizontal="center" vertical="center"/>
      <protection locked="0"/>
    </xf>
    <xf numFmtId="0" fontId="11" fillId="3" borderId="46" xfId="1" quotePrefix="1" applyFill="1" applyBorder="1" applyAlignment="1">
      <alignment horizontal="left" vertical="center"/>
    </xf>
    <xf numFmtId="0" fontId="11" fillId="3" borderId="9" xfId="1" quotePrefix="1" applyFill="1" applyBorder="1" applyAlignment="1">
      <alignment horizontal="left" vertical="center"/>
    </xf>
    <xf numFmtId="0" fontId="11" fillId="3" borderId="37" xfId="1" quotePrefix="1" applyFill="1" applyBorder="1" applyAlignment="1">
      <alignment horizontal="left" vertical="center"/>
    </xf>
    <xf numFmtId="0" fontId="11" fillId="3" borderId="18" xfId="1" applyFill="1" applyBorder="1" applyAlignment="1">
      <alignment horizontal="left" vertical="center"/>
    </xf>
    <xf numFmtId="0" fontId="14" fillId="3" borderId="0" xfId="1" applyFont="1" applyFill="1" applyAlignment="1">
      <alignment horizontal="center"/>
    </xf>
    <xf numFmtId="0" fontId="14" fillId="0" borderId="61" xfId="1" applyFont="1" applyBorder="1" applyAlignment="1">
      <alignment horizontal="center"/>
    </xf>
    <xf numFmtId="0" fontId="11" fillId="3" borderId="44" xfId="1" quotePrefix="1" applyFill="1" applyBorder="1" applyAlignment="1">
      <alignment horizontal="left" vertical="center"/>
    </xf>
    <xf numFmtId="0" fontId="11" fillId="3" borderId="14" xfId="1" applyFill="1" applyBorder="1" applyAlignment="1">
      <alignment horizontal="left" vertical="center"/>
    </xf>
    <xf numFmtId="0" fontId="11" fillId="3" borderId="35" xfId="1" applyFill="1" applyBorder="1" applyAlignment="1" applyProtection="1">
      <alignment horizontal="center" vertical="center"/>
      <protection locked="0"/>
    </xf>
    <xf numFmtId="0" fontId="9" fillId="3" borderId="22" xfId="0" applyFont="1" applyFill="1" applyBorder="1"/>
    <xf numFmtId="0" fontId="9" fillId="3" borderId="21" xfId="0" applyFont="1" applyFill="1" applyBorder="1"/>
    <xf numFmtId="0" fontId="9" fillId="0" borderId="21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3" borderId="34" xfId="1" applyFill="1" applyBorder="1" applyAlignment="1" applyProtection="1">
      <alignment horizontal="center" vertical="center"/>
      <protection locked="0"/>
    </xf>
    <xf numFmtId="0" fontId="11" fillId="3" borderId="40" xfId="1" quotePrefix="1" applyFill="1" applyBorder="1" applyAlignment="1">
      <alignment horizontal="left" vertical="center"/>
    </xf>
    <xf numFmtId="0" fontId="11" fillId="3" borderId="4" xfId="1" quotePrefix="1" applyFill="1" applyBorder="1" applyAlignment="1">
      <alignment horizontal="left" vertical="center"/>
    </xf>
    <xf numFmtId="0" fontId="11" fillId="3" borderId="32" xfId="1" quotePrefix="1" applyFill="1" applyBorder="1" applyAlignment="1">
      <alignment horizontal="left" vertical="center"/>
    </xf>
    <xf numFmtId="0" fontId="11" fillId="3" borderId="5" xfId="1" applyFill="1" applyBorder="1" applyAlignment="1">
      <alignment horizontal="left" vertical="center"/>
    </xf>
    <xf numFmtId="0" fontId="11" fillId="3" borderId="31" xfId="1" applyFill="1" applyBorder="1" applyAlignment="1" applyProtection="1">
      <alignment horizontal="center" vertical="center"/>
      <protection locked="0"/>
    </xf>
    <xf numFmtId="0" fontId="11" fillId="0" borderId="39" xfId="1" applyBorder="1" applyAlignment="1" applyProtection="1">
      <alignment horizontal="center" vertical="center"/>
      <protection locked="0"/>
    </xf>
    <xf numFmtId="0" fontId="1" fillId="3" borderId="18" xfId="0" applyFont="1" applyFill="1" applyBorder="1" applyAlignment="1" applyProtection="1">
      <alignment horizontal="center"/>
      <protection locked="0"/>
    </xf>
    <xf numFmtId="0" fontId="1" fillId="3" borderId="34" xfId="0" applyFont="1" applyFill="1" applyBorder="1" applyAlignment="1" applyProtection="1">
      <alignment horizontal="center"/>
      <protection locked="0"/>
    </xf>
    <xf numFmtId="0" fontId="14" fillId="3" borderId="52" xfId="1" applyFont="1" applyFill="1" applyBorder="1" applyAlignment="1">
      <alignment horizontal="center"/>
    </xf>
    <xf numFmtId="0" fontId="14" fillId="3" borderId="13" xfId="1" applyFont="1" applyFill="1" applyBorder="1" applyAlignment="1">
      <alignment horizontal="center"/>
    </xf>
    <xf numFmtId="0" fontId="11" fillId="3" borderId="22" xfId="1" quotePrefix="1" applyFill="1" applyBorder="1" applyAlignment="1">
      <alignment horizontal="left" vertical="center"/>
    </xf>
    <xf numFmtId="0" fontId="11" fillId="3" borderId="21" xfId="1" applyFill="1" applyBorder="1" applyAlignment="1">
      <alignment horizontal="left" vertical="center"/>
    </xf>
    <xf numFmtId="0" fontId="11" fillId="3" borderId="21" xfId="1" applyFill="1" applyBorder="1" applyAlignment="1" applyProtection="1">
      <alignment horizontal="center" vertical="center"/>
      <protection locked="0"/>
    </xf>
    <xf numFmtId="0" fontId="11" fillId="3" borderId="30" xfId="1" applyFill="1" applyBorder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9" fillId="3" borderId="23" xfId="0" applyFont="1" applyFill="1" applyBorder="1" applyAlignment="1">
      <alignment horizontal="left" vertical="center" indent="1"/>
    </xf>
    <xf numFmtId="0" fontId="10" fillId="3" borderId="47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48" xfId="0" applyFont="1" applyFill="1" applyBorder="1" applyAlignment="1">
      <alignment horizontal="center" vertical="center"/>
    </xf>
    <xf numFmtId="0" fontId="9" fillId="3" borderId="17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/>
      <protection locked="0"/>
    </xf>
    <xf numFmtId="0" fontId="9" fillId="3" borderId="24" xfId="0" applyFont="1" applyFill="1" applyBorder="1" applyAlignment="1">
      <alignment horizontal="left" inden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42" fillId="0" borderId="0" xfId="0" quotePrefix="1" applyFont="1" applyAlignment="1">
      <alignment horizontal="left" vertical="center" wrapText="1"/>
    </xf>
    <xf numFmtId="0" fontId="17" fillId="2" borderId="0" xfId="0" applyFont="1" applyFill="1" applyAlignment="1">
      <alignment horizontal="left"/>
    </xf>
    <xf numFmtId="0" fontId="11" fillId="3" borderId="34" xfId="1" applyFill="1" applyBorder="1" applyAlignment="1">
      <alignment horizontal="left" vertical="center" indent="1"/>
    </xf>
    <xf numFmtId="0" fontId="14" fillId="3" borderId="47" xfId="1" applyFont="1" applyFill="1" applyBorder="1" applyAlignment="1">
      <alignment horizontal="center" wrapText="1"/>
    </xf>
    <xf numFmtId="0" fontId="11" fillId="2" borderId="19" xfId="1" applyFill="1" applyBorder="1" applyAlignment="1">
      <alignment horizontal="center" vertical="center"/>
    </xf>
    <xf numFmtId="0" fontId="11" fillId="2" borderId="28" xfId="1" applyFill="1" applyBorder="1" applyAlignment="1">
      <alignment horizontal="center" vertical="center"/>
    </xf>
    <xf numFmtId="0" fontId="9" fillId="3" borderId="52" xfId="0" applyFont="1" applyFill="1" applyBorder="1" applyAlignment="1" applyProtection="1">
      <alignment horizontal="center"/>
      <protection locked="0"/>
    </xf>
    <xf numFmtId="0" fontId="0" fillId="3" borderId="12" xfId="0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9" fillId="3" borderId="56" xfId="0" applyFont="1" applyFill="1" applyBorder="1" applyAlignment="1" applyProtection="1">
      <alignment horizontal="center"/>
      <protection locked="0"/>
    </xf>
    <xf numFmtId="0" fontId="5" fillId="3" borderId="0" xfId="0" applyFont="1" applyFill="1" applyAlignment="1">
      <alignment horizontal="left" vertical="center" wrapText="1" indent="1"/>
    </xf>
    <xf numFmtId="0" fontId="9" fillId="3" borderId="4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11" fillId="3" borderId="22" xfId="1" applyFill="1" applyBorder="1" applyAlignment="1">
      <alignment horizontal="left" vertical="center" indent="1"/>
    </xf>
    <xf numFmtId="0" fontId="11" fillId="3" borderId="21" xfId="1" applyFill="1" applyBorder="1" applyAlignment="1">
      <alignment horizontal="left" vertical="center" indent="1"/>
    </xf>
    <xf numFmtId="0" fontId="11" fillId="3" borderId="30" xfId="1" applyFill="1" applyBorder="1" applyAlignment="1">
      <alignment horizontal="left" vertical="center" indent="1"/>
    </xf>
    <xf numFmtId="0" fontId="14" fillId="3" borderId="78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left" vertical="top" indent="1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1" fillId="3" borderId="64" xfId="1" applyFill="1" applyBorder="1" applyAlignment="1">
      <alignment horizontal="left" vertical="center" indent="2"/>
    </xf>
    <xf numFmtId="0" fontId="11" fillId="3" borderId="26" xfId="1" applyFill="1" applyBorder="1" applyAlignment="1">
      <alignment horizontal="left" vertical="center" indent="2"/>
    </xf>
    <xf numFmtId="0" fontId="14" fillId="3" borderId="48" xfId="1" applyFont="1" applyFill="1" applyBorder="1" applyAlignment="1">
      <alignment horizontal="center" wrapText="1"/>
    </xf>
    <xf numFmtId="0" fontId="9" fillId="3" borderId="37" xfId="0" applyFont="1" applyFill="1" applyBorder="1" applyAlignment="1">
      <alignment horizontal="left" wrapText="1" indent="1"/>
    </xf>
    <xf numFmtId="0" fontId="9" fillId="3" borderId="18" xfId="0" applyFont="1" applyFill="1" applyBorder="1" applyAlignment="1">
      <alignment horizontal="left" wrapText="1" indent="1"/>
    </xf>
    <xf numFmtId="0" fontId="9" fillId="3" borderId="34" xfId="0" applyFont="1" applyFill="1" applyBorder="1" applyAlignment="1">
      <alignment horizontal="left" wrapText="1" indent="1"/>
    </xf>
    <xf numFmtId="0" fontId="11" fillId="3" borderId="23" xfId="1" applyFill="1" applyBorder="1" applyAlignment="1" applyProtection="1">
      <alignment horizontal="center" vertical="center"/>
      <protection locked="0"/>
    </xf>
    <xf numFmtId="0" fontId="11" fillId="3" borderId="24" xfId="1" applyFill="1" applyBorder="1" applyAlignment="1" applyProtection="1">
      <alignment horizontal="center" vertical="center"/>
      <protection locked="0"/>
    </xf>
    <xf numFmtId="0" fontId="11" fillId="2" borderId="42" xfId="1" applyFill="1" applyBorder="1" applyAlignment="1">
      <alignment horizontal="center" vertical="center"/>
    </xf>
    <xf numFmtId="0" fontId="11" fillId="3" borderId="42" xfId="1" applyFill="1" applyBorder="1" applyAlignment="1">
      <alignment horizontal="left" vertical="center" indent="1"/>
    </xf>
    <xf numFmtId="0" fontId="11" fillId="3" borderId="23" xfId="1" applyFill="1" applyBorder="1" applyAlignment="1">
      <alignment horizontal="left" vertical="center" indent="1"/>
    </xf>
    <xf numFmtId="0" fontId="11" fillId="3" borderId="24" xfId="1" applyFill="1" applyBorder="1" applyAlignment="1">
      <alignment horizontal="left" vertical="center" indent="1"/>
    </xf>
    <xf numFmtId="0" fontId="11" fillId="3" borderId="19" xfId="1" applyFill="1" applyBorder="1" applyAlignment="1" applyProtection="1">
      <alignment horizontal="center" vertical="center"/>
      <protection locked="0"/>
    </xf>
    <xf numFmtId="0" fontId="11" fillId="3" borderId="28" xfId="1" applyFill="1" applyBorder="1" applyAlignment="1" applyProtection="1">
      <alignment horizontal="center" vertical="center"/>
      <protection locked="0"/>
    </xf>
    <xf numFmtId="0" fontId="25" fillId="3" borderId="0" xfId="0" applyFont="1" applyFill="1" applyAlignment="1">
      <alignment horizontal="left" vertical="center" indent="1"/>
    </xf>
    <xf numFmtId="0" fontId="25" fillId="3" borderId="0" xfId="0" applyFont="1" applyFill="1" applyAlignment="1">
      <alignment horizontal="left" vertical="center" indent="2"/>
    </xf>
    <xf numFmtId="0" fontId="1" fillId="3" borderId="1" xfId="0" applyFont="1" applyFill="1" applyBorder="1" applyAlignment="1" applyProtection="1">
      <alignment horizontal="left"/>
      <protection locked="0"/>
    </xf>
    <xf numFmtId="0" fontId="11" fillId="3" borderId="0" xfId="1" applyFill="1" applyAlignment="1">
      <alignment horizontal="left" vertical="center" wrapText="1"/>
    </xf>
    <xf numFmtId="0" fontId="9" fillId="3" borderId="33" xfId="0" applyFont="1" applyFill="1" applyBorder="1" applyAlignment="1">
      <alignment horizontal="left" vertical="center" indent="1"/>
    </xf>
    <xf numFmtId="0" fontId="9" fillId="3" borderId="43" xfId="0" applyFont="1" applyFill="1" applyBorder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25" fillId="0" borderId="0" xfId="0" applyFont="1" applyAlignment="1">
      <alignment horizontal="left" wrapText="1" indent="2"/>
    </xf>
    <xf numFmtId="0" fontId="34" fillId="0" borderId="81" xfId="0" applyFont="1" applyBorder="1" applyAlignment="1">
      <alignment horizontal="center" vertical="center" wrapText="1"/>
    </xf>
    <xf numFmtId="0" fontId="34" fillId="0" borderId="63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62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9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3" borderId="46" xfId="0" applyFont="1" applyFill="1" applyBorder="1" applyAlignment="1">
      <alignment horizontal="left" vertical="center" indent="1"/>
    </xf>
    <xf numFmtId="0" fontId="9" fillId="3" borderId="8" xfId="0" applyFont="1" applyFill="1" applyBorder="1" applyAlignment="1">
      <alignment horizontal="left" vertical="center" indent="1"/>
    </xf>
    <xf numFmtId="0" fontId="10" fillId="3" borderId="52" xfId="0" applyFont="1" applyFill="1" applyBorder="1" applyAlignment="1">
      <alignment horizontal="left" vertical="center" indent="1"/>
    </xf>
    <xf numFmtId="0" fontId="10" fillId="3" borderId="12" xfId="0" applyFont="1" applyFill="1" applyBorder="1" applyAlignment="1">
      <alignment horizontal="left" vertical="center" indent="1"/>
    </xf>
    <xf numFmtId="0" fontId="10" fillId="3" borderId="56" xfId="0" applyFont="1" applyFill="1" applyBorder="1" applyAlignment="1">
      <alignment horizontal="left" vertical="center" indent="1"/>
    </xf>
    <xf numFmtId="0" fontId="9" fillId="3" borderId="62" xfId="0" applyFont="1" applyFill="1" applyBorder="1" applyAlignment="1">
      <alignment horizontal="left" vertical="center" indent="1"/>
    </xf>
    <xf numFmtId="0" fontId="9" fillId="3" borderId="60" xfId="0" applyFont="1" applyFill="1" applyBorder="1" applyAlignment="1">
      <alignment horizontal="left" vertical="center" indent="1"/>
    </xf>
    <xf numFmtId="0" fontId="9" fillId="3" borderId="63" xfId="0" applyFont="1" applyFill="1" applyBorder="1" applyAlignment="1">
      <alignment horizontal="left" vertical="center" inden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4</xdr:col>
      <xdr:colOff>27000</xdr:colOff>
      <xdr:row>1</xdr:row>
      <xdr:rowOff>85725</xdr:rowOff>
    </xdr:to>
    <xdr:pic>
      <xdr:nvPicPr>
        <xdr:cNvPr id="2" name="Picture 1" descr="e gov of cda fip 10p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29395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38100</xdr:rowOff>
    </xdr:from>
    <xdr:to>
      <xdr:col>4</xdr:col>
      <xdr:colOff>93675</xdr:colOff>
      <xdr:row>1</xdr:row>
      <xdr:rowOff>76725</xdr:rowOff>
    </xdr:to>
    <xdr:pic>
      <xdr:nvPicPr>
        <xdr:cNvPr id="2" name="Picture 1" descr="e gov of cda fip 10pt">
          <a:extLst>
            <a:ext uri="{FF2B5EF4-FFF2-40B4-BE49-F238E27FC236}">
              <a16:creationId xmlns:a16="http://schemas.microsoft.com/office/drawing/2014/main" id="{AB6F9D60-8F6B-45E9-9950-825716A333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2284425" cy="21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366"/>
  <sheetViews>
    <sheetView showGridLines="0" showWhiteSpace="0" topLeftCell="A331" zoomScaleNormal="100" zoomScaleSheetLayoutView="90" zoomScalePageLayoutView="120" workbookViewId="0">
      <selection activeCell="D6" sqref="D6:I6"/>
    </sheetView>
  </sheetViews>
  <sheetFormatPr defaultColWidth="9" defaultRowHeight="14" x14ac:dyDescent="0.3"/>
  <cols>
    <col min="1" max="1" width="9" style="17" customWidth="1"/>
    <col min="2" max="2" width="8.54296875" style="17" customWidth="1"/>
    <col min="3" max="3" width="9" style="17" customWidth="1"/>
    <col min="4" max="4" width="9.81640625" style="17" customWidth="1"/>
    <col min="5" max="5" width="9.54296875" style="17" customWidth="1"/>
    <col min="6" max="6" width="10.1796875" style="17" customWidth="1"/>
    <col min="7" max="7" width="9.1796875" style="17" customWidth="1"/>
    <col min="8" max="8" width="10.26953125" style="17" customWidth="1"/>
    <col min="9" max="10" width="9.453125" style="17" customWidth="1"/>
    <col min="11" max="11" width="9" style="17" customWidth="1"/>
    <col min="12" max="12" width="10.1796875" style="17" customWidth="1"/>
    <col min="13" max="28" width="9" style="250"/>
    <col min="29" max="16384" width="9" style="17"/>
  </cols>
  <sheetData>
    <row r="1" spans="1:33" ht="14.25" customHeight="1" x14ac:dyDescent="0.3"/>
    <row r="2" spans="1:33" ht="14.25" customHeight="1" x14ac:dyDescent="0.3">
      <c r="H2" s="18"/>
    </row>
    <row r="3" spans="1:33" ht="15" customHeight="1" x14ac:dyDescent="0.3"/>
    <row r="4" spans="1:33" ht="18" x14ac:dyDescent="0.4">
      <c r="A4" s="618" t="s">
        <v>0</v>
      </c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33" ht="14.25" customHeight="1" x14ac:dyDescent="0.3"/>
    <row r="6" spans="1:33" ht="14.25" customHeight="1" x14ac:dyDescent="0.3">
      <c r="A6" s="414" t="s">
        <v>1</v>
      </c>
      <c r="B6" s="414"/>
      <c r="C6" s="414"/>
      <c r="D6" s="852"/>
      <c r="E6" s="852"/>
      <c r="F6" s="852"/>
      <c r="G6" s="852"/>
      <c r="H6" s="852"/>
      <c r="I6" s="852"/>
      <c r="J6" s="22"/>
      <c r="K6" s="250" t="str">
        <f>IF(D6="", "You must enter an Institution name", "")</f>
        <v>You must enter an Institution name</v>
      </c>
    </row>
    <row r="7" spans="1:33" ht="14.25" customHeight="1" x14ac:dyDescent="0.3"/>
    <row r="8" spans="1:33" x14ac:dyDescent="0.3">
      <c r="A8" s="414" t="s">
        <v>2</v>
      </c>
      <c r="B8" s="414"/>
      <c r="C8" s="414"/>
      <c r="D8" s="619">
        <v>45748</v>
      </c>
      <c r="E8" s="619"/>
      <c r="F8" s="619"/>
      <c r="G8" s="19" t="s">
        <v>3</v>
      </c>
      <c r="H8" s="619">
        <v>46112</v>
      </c>
      <c r="I8" s="619"/>
      <c r="J8" s="619"/>
    </row>
    <row r="9" spans="1:33" ht="14.25" customHeight="1" x14ac:dyDescent="0.3"/>
    <row r="10" spans="1:33" ht="14.25" customHeight="1" x14ac:dyDescent="0.3">
      <c r="A10" s="590" t="s">
        <v>4</v>
      </c>
      <c r="B10" s="590"/>
      <c r="C10" s="590"/>
      <c r="D10" s="590"/>
      <c r="E10" s="590"/>
      <c r="F10" s="590"/>
      <c r="G10" s="590"/>
      <c r="H10" s="590"/>
      <c r="I10" s="590"/>
      <c r="J10" s="590"/>
      <c r="K10" s="590"/>
      <c r="L10" s="590"/>
    </row>
    <row r="11" spans="1:33" ht="14.25" customHeight="1" x14ac:dyDescent="0.3"/>
    <row r="12" spans="1:33" ht="14.25" customHeight="1" thickBot="1" x14ac:dyDescent="0.35">
      <c r="A12" s="447" t="s">
        <v>5</v>
      </c>
      <c r="B12" s="447"/>
      <c r="C12" s="447"/>
      <c r="D12" s="447"/>
      <c r="E12" s="447"/>
      <c r="F12" s="447"/>
      <c r="G12" s="447"/>
      <c r="H12" s="447"/>
      <c r="I12" s="447"/>
      <c r="J12" s="447"/>
      <c r="K12" s="447"/>
      <c r="L12" s="447"/>
      <c r="M12" s="46"/>
    </row>
    <row r="13" spans="1:33" ht="14.25" customHeight="1" thickTop="1" thickBot="1" x14ac:dyDescent="0.35">
      <c r="A13" s="20"/>
      <c r="B13" s="20"/>
      <c r="C13" s="20"/>
      <c r="D13" s="20"/>
      <c r="E13" s="20"/>
      <c r="F13" s="20"/>
      <c r="G13" s="152"/>
      <c r="H13" s="464" t="s">
        <v>6</v>
      </c>
      <c r="I13" s="465"/>
      <c r="J13" s="466"/>
      <c r="K13" s="21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22"/>
      <c r="AD13" s="22"/>
      <c r="AE13" s="22"/>
      <c r="AF13" s="22"/>
      <c r="AG13" s="22"/>
    </row>
    <row r="14" spans="1:33" ht="14.25" customHeight="1" thickTop="1" x14ac:dyDescent="0.3">
      <c r="A14" s="625" t="s">
        <v>7</v>
      </c>
      <c r="B14" s="626"/>
      <c r="C14" s="626"/>
      <c r="D14" s="626"/>
      <c r="E14" s="626"/>
      <c r="F14" s="626"/>
      <c r="G14" s="627"/>
      <c r="H14" s="470">
        <v>0</v>
      </c>
      <c r="I14" s="471"/>
      <c r="J14" s="472"/>
      <c r="K14" s="22"/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8"/>
      <c r="Y14" s="448"/>
      <c r="Z14" s="448"/>
      <c r="AA14" s="448"/>
      <c r="AB14" s="448"/>
      <c r="AC14" s="22"/>
      <c r="AD14" s="22"/>
      <c r="AE14" s="22"/>
      <c r="AF14" s="22"/>
      <c r="AG14" s="22"/>
    </row>
    <row r="15" spans="1:33" ht="14.25" customHeight="1" thickBot="1" x14ac:dyDescent="0.35">
      <c r="A15" s="628" t="s">
        <v>8</v>
      </c>
      <c r="B15" s="629"/>
      <c r="C15" s="629"/>
      <c r="D15" s="629"/>
      <c r="E15" s="629"/>
      <c r="F15" s="629"/>
      <c r="G15" s="630"/>
      <c r="H15" s="449">
        <f>SUM(G16:G17)</f>
        <v>0</v>
      </c>
      <c r="I15" s="450"/>
      <c r="J15" s="451"/>
      <c r="K15" s="22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448"/>
      <c r="AC15" s="22"/>
      <c r="AD15" s="22"/>
      <c r="AE15" s="22"/>
      <c r="AF15" s="22"/>
      <c r="AG15" s="22"/>
    </row>
    <row r="16" spans="1:33" ht="14.25" customHeight="1" thickTop="1" x14ac:dyDescent="0.3">
      <c r="A16" s="620" t="s">
        <v>9</v>
      </c>
      <c r="B16" s="621"/>
      <c r="C16" s="621"/>
      <c r="D16" s="621"/>
      <c r="E16" s="621"/>
      <c r="F16" s="622"/>
      <c r="G16" s="231">
        <v>0</v>
      </c>
      <c r="H16" s="631"/>
      <c r="I16" s="632"/>
      <c r="J16" s="632"/>
      <c r="K16" s="155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22"/>
      <c r="AD16" s="22"/>
      <c r="AE16" s="22"/>
      <c r="AF16" s="22"/>
      <c r="AG16" s="22"/>
    </row>
    <row r="17" spans="1:33" ht="14.25" customHeight="1" thickBot="1" x14ac:dyDescent="0.35">
      <c r="A17" s="623" t="s">
        <v>10</v>
      </c>
      <c r="B17" s="624"/>
      <c r="C17" s="624"/>
      <c r="D17" s="624"/>
      <c r="E17" s="624"/>
      <c r="F17" s="624"/>
      <c r="G17" s="230">
        <v>0</v>
      </c>
      <c r="H17" s="633"/>
      <c r="I17" s="634"/>
      <c r="J17" s="634"/>
      <c r="K17" s="155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22"/>
      <c r="AD17" s="22"/>
      <c r="AE17" s="22"/>
      <c r="AF17" s="22"/>
      <c r="AG17" s="22"/>
    </row>
    <row r="18" spans="1:33" ht="14.25" customHeight="1" thickTop="1" thickBot="1" x14ac:dyDescent="0.35">
      <c r="A18" s="641" t="s">
        <v>11</v>
      </c>
      <c r="B18" s="642"/>
      <c r="C18" s="642"/>
      <c r="D18" s="642"/>
      <c r="E18" s="642"/>
      <c r="F18" s="642"/>
      <c r="G18" s="643"/>
      <c r="H18" s="458">
        <f>SUM(H14:J15)</f>
        <v>0</v>
      </c>
      <c r="I18" s="459"/>
      <c r="J18" s="459"/>
      <c r="K18" s="154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  <c r="AA18" s="448"/>
      <c r="AB18" s="448"/>
      <c r="AC18" s="22"/>
      <c r="AD18" s="22"/>
      <c r="AE18" s="22"/>
      <c r="AF18" s="22"/>
      <c r="AG18" s="22"/>
    </row>
    <row r="19" spans="1:33" ht="14.25" customHeight="1" thickTop="1" x14ac:dyDescent="0.3">
      <c r="A19" s="467" t="s">
        <v>12</v>
      </c>
      <c r="B19" s="468"/>
      <c r="C19" s="468"/>
      <c r="D19" s="468"/>
      <c r="E19" s="468"/>
      <c r="F19" s="468"/>
      <c r="G19" s="469"/>
      <c r="H19" s="470">
        <v>0</v>
      </c>
      <c r="I19" s="471"/>
      <c r="J19" s="472"/>
      <c r="K19" s="22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22"/>
      <c r="AD19" s="22"/>
      <c r="AE19" s="22"/>
      <c r="AF19" s="22"/>
      <c r="AG19" s="22"/>
    </row>
    <row r="20" spans="1:33" ht="14.5" thickBot="1" x14ac:dyDescent="0.35">
      <c r="A20" s="644" t="s">
        <v>13</v>
      </c>
      <c r="B20" s="645"/>
      <c r="C20" s="645"/>
      <c r="D20" s="645"/>
      <c r="E20" s="645"/>
      <c r="F20" s="645"/>
      <c r="G20" s="646"/>
      <c r="H20" s="449">
        <f>G21+G22</f>
        <v>0</v>
      </c>
      <c r="I20" s="450"/>
      <c r="J20" s="450"/>
      <c r="K20" s="864" t="str">
        <f>IF(H20&lt;&gt;(H18-H19),"Section 1.1 - The ""Carried over to next reporting period"" must equal to the ""Total"" minus ""Closed during reporting period"" of Section 1.1","")</f>
        <v/>
      </c>
      <c r="L20" s="865"/>
      <c r="M20" s="865"/>
      <c r="N20" s="865"/>
      <c r="O20" s="865"/>
      <c r="P20" s="865"/>
      <c r="Q20" s="865"/>
      <c r="R20" s="86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22"/>
      <c r="AF20" s="22"/>
      <c r="AG20" s="22"/>
    </row>
    <row r="21" spans="1:33" ht="14.25" customHeight="1" thickTop="1" x14ac:dyDescent="0.3">
      <c r="A21" s="620" t="s">
        <v>14</v>
      </c>
      <c r="B21" s="621"/>
      <c r="C21" s="621"/>
      <c r="D21" s="621"/>
      <c r="E21" s="621"/>
      <c r="F21" s="622"/>
      <c r="G21" s="232">
        <v>0</v>
      </c>
      <c r="H21" s="635"/>
      <c r="I21" s="636"/>
      <c r="J21" s="637"/>
      <c r="K21" s="864"/>
      <c r="L21" s="865"/>
      <c r="M21" s="865"/>
      <c r="N21" s="865"/>
      <c r="O21" s="865"/>
      <c r="P21" s="865"/>
      <c r="Q21" s="865"/>
      <c r="R21" s="865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2"/>
      <c r="AD21" s="22"/>
      <c r="AE21" s="22"/>
      <c r="AF21" s="22"/>
      <c r="AG21" s="22"/>
    </row>
    <row r="22" spans="1:33" ht="14.25" customHeight="1" thickBot="1" x14ac:dyDescent="0.35">
      <c r="A22" s="623" t="s">
        <v>15</v>
      </c>
      <c r="B22" s="624"/>
      <c r="C22" s="624"/>
      <c r="D22" s="624"/>
      <c r="E22" s="624"/>
      <c r="F22" s="624"/>
      <c r="G22" s="230">
        <v>0</v>
      </c>
      <c r="H22" s="638"/>
      <c r="I22" s="639"/>
      <c r="J22" s="640"/>
      <c r="K22" s="864"/>
      <c r="L22" s="865"/>
      <c r="M22" s="865"/>
      <c r="N22" s="865"/>
      <c r="O22" s="865"/>
      <c r="P22" s="865"/>
      <c r="Q22" s="865"/>
      <c r="R22" s="865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2"/>
      <c r="AD22" s="22"/>
      <c r="AE22" s="22"/>
      <c r="AF22" s="22"/>
      <c r="AG22" s="22"/>
    </row>
    <row r="23" spans="1:33" ht="14.25" customHeight="1" thickTop="1" x14ac:dyDescent="0.3">
      <c r="A23" s="23"/>
      <c r="B23" s="23"/>
      <c r="C23" s="23"/>
      <c r="D23" s="23"/>
      <c r="E23" s="23"/>
      <c r="F23" s="23"/>
      <c r="G23" s="24"/>
      <c r="H23" s="156"/>
      <c r="I23" s="156"/>
      <c r="J23" s="15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2"/>
      <c r="AD23" s="22"/>
      <c r="AE23" s="22"/>
      <c r="AF23" s="22"/>
      <c r="AG23" s="22"/>
    </row>
    <row r="24" spans="1:33" ht="14.25" customHeight="1" x14ac:dyDescent="0.3">
      <c r="A24" s="414" t="s">
        <v>16</v>
      </c>
      <c r="B24" s="414"/>
      <c r="C24" s="414"/>
      <c r="D24" s="414"/>
      <c r="E24" s="414"/>
      <c r="F24" s="414"/>
      <c r="G24" s="414"/>
      <c r="H24" s="414"/>
      <c r="I24" s="414"/>
      <c r="J24" s="414"/>
      <c r="K24" s="414"/>
      <c r="L24" s="414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22"/>
      <c r="AD24" s="22"/>
      <c r="AE24" s="22"/>
      <c r="AF24" s="22"/>
      <c r="AG24" s="22"/>
    </row>
    <row r="25" spans="1:33" ht="14.25" customHeight="1" thickBot="1" x14ac:dyDescent="0.35">
      <c r="A25" s="23"/>
      <c r="B25" s="23"/>
      <c r="C25" s="23"/>
      <c r="D25" s="23"/>
      <c r="E25" s="23"/>
      <c r="F25" s="23"/>
      <c r="G25" s="19"/>
      <c r="H25" s="19"/>
      <c r="I25" s="19"/>
      <c r="J25" s="19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22"/>
      <c r="AD25" s="22"/>
      <c r="AE25" s="22"/>
      <c r="AF25" s="22"/>
      <c r="AG25" s="22"/>
    </row>
    <row r="26" spans="1:33" ht="14.25" customHeight="1" thickTop="1" thickBot="1" x14ac:dyDescent="0.35">
      <c r="A26" s="464" t="s">
        <v>17</v>
      </c>
      <c r="B26" s="465"/>
      <c r="C26" s="465"/>
      <c r="D26" s="465"/>
      <c r="E26" s="465"/>
      <c r="F26" s="466"/>
      <c r="G26" s="464" t="s">
        <v>6</v>
      </c>
      <c r="H26" s="465"/>
      <c r="I26" s="465"/>
      <c r="J26" s="46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22"/>
      <c r="AD26" s="22"/>
      <c r="AE26" s="22"/>
      <c r="AF26" s="22"/>
      <c r="AG26" s="22"/>
    </row>
    <row r="27" spans="1:33" ht="14.25" customHeight="1" thickTop="1" x14ac:dyDescent="0.3">
      <c r="A27" s="467" t="s">
        <v>18</v>
      </c>
      <c r="B27" s="468"/>
      <c r="C27" s="468"/>
      <c r="D27" s="468"/>
      <c r="E27" s="468"/>
      <c r="F27" s="469"/>
      <c r="G27" s="470">
        <v>0</v>
      </c>
      <c r="H27" s="471"/>
      <c r="I27" s="471"/>
      <c r="J27" s="472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22"/>
      <c r="AD27" s="22"/>
      <c r="AE27" s="22"/>
      <c r="AF27" s="22"/>
      <c r="AG27" s="22"/>
    </row>
    <row r="28" spans="1:33" ht="14.25" customHeight="1" x14ac:dyDescent="0.3">
      <c r="A28" s="473" t="s">
        <v>19</v>
      </c>
      <c r="B28" s="474"/>
      <c r="C28" s="474"/>
      <c r="D28" s="474"/>
      <c r="E28" s="474"/>
      <c r="F28" s="475"/>
      <c r="G28" s="434">
        <v>0</v>
      </c>
      <c r="H28" s="435"/>
      <c r="I28" s="435"/>
      <c r="J28" s="435"/>
      <c r="K28" s="155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22"/>
      <c r="AD28" s="22"/>
      <c r="AE28" s="22"/>
      <c r="AF28" s="22"/>
      <c r="AG28" s="22"/>
    </row>
    <row r="29" spans="1:33" ht="14.25" customHeight="1" x14ac:dyDescent="0.3">
      <c r="A29" s="473" t="s">
        <v>20</v>
      </c>
      <c r="B29" s="474"/>
      <c r="C29" s="474"/>
      <c r="D29" s="474"/>
      <c r="E29" s="474"/>
      <c r="F29" s="475"/>
      <c r="G29" s="434">
        <v>0</v>
      </c>
      <c r="H29" s="435"/>
      <c r="I29" s="435"/>
      <c r="J29" s="435"/>
      <c r="K29" s="155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22"/>
      <c r="AD29" s="22"/>
      <c r="AE29" s="22"/>
      <c r="AF29" s="22"/>
      <c r="AG29" s="22"/>
    </row>
    <row r="30" spans="1:33" ht="14.25" customHeight="1" x14ac:dyDescent="0.3">
      <c r="A30" s="473" t="s">
        <v>21</v>
      </c>
      <c r="B30" s="474"/>
      <c r="C30" s="474"/>
      <c r="D30" s="474"/>
      <c r="E30" s="474"/>
      <c r="F30" s="475"/>
      <c r="G30" s="434">
        <v>0</v>
      </c>
      <c r="H30" s="435"/>
      <c r="I30" s="435"/>
      <c r="J30" s="435"/>
      <c r="K30" s="155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22"/>
      <c r="AD30" s="22"/>
      <c r="AE30" s="22"/>
      <c r="AF30" s="22"/>
      <c r="AG30" s="22"/>
    </row>
    <row r="31" spans="1:33" ht="14.25" customHeight="1" x14ac:dyDescent="0.3">
      <c r="A31" s="473" t="s">
        <v>22</v>
      </c>
      <c r="B31" s="474"/>
      <c r="C31" s="474"/>
      <c r="D31" s="474"/>
      <c r="E31" s="474"/>
      <c r="F31" s="475"/>
      <c r="G31" s="434">
        <v>0</v>
      </c>
      <c r="H31" s="435"/>
      <c r="I31" s="435"/>
      <c r="J31" s="435"/>
      <c r="K31" s="155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22"/>
      <c r="AD31" s="22"/>
      <c r="AE31" s="22"/>
      <c r="AF31" s="22"/>
      <c r="AG31" s="22"/>
    </row>
    <row r="32" spans="1:33" ht="14.25" customHeight="1" thickBot="1" x14ac:dyDescent="0.35">
      <c r="A32" s="650" t="s">
        <v>23</v>
      </c>
      <c r="B32" s="651"/>
      <c r="C32" s="651"/>
      <c r="D32" s="651"/>
      <c r="E32" s="651"/>
      <c r="F32" s="646"/>
      <c r="G32" s="652">
        <v>0</v>
      </c>
      <c r="H32" s="653"/>
      <c r="I32" s="653"/>
      <c r="J32" s="653"/>
      <c r="K32" s="155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22"/>
      <c r="AD32" s="22"/>
      <c r="AE32" s="22"/>
      <c r="AF32" s="22"/>
      <c r="AG32" s="22"/>
    </row>
    <row r="33" spans="1:33" ht="14.25" customHeight="1" thickTop="1" thickBot="1" x14ac:dyDescent="0.35">
      <c r="A33" s="641" t="s">
        <v>11</v>
      </c>
      <c r="B33" s="642"/>
      <c r="C33" s="642"/>
      <c r="D33" s="642"/>
      <c r="E33" s="642"/>
      <c r="F33" s="643"/>
      <c r="G33" s="458">
        <f>SUM(G27:J32)</f>
        <v>0</v>
      </c>
      <c r="H33" s="459"/>
      <c r="I33" s="459"/>
      <c r="J33" s="459"/>
      <c r="K33" s="155"/>
      <c r="M33" s="839"/>
      <c r="N33" s="839"/>
      <c r="O33" s="839"/>
      <c r="P33" s="839"/>
      <c r="Q33" s="839"/>
      <c r="R33" s="839"/>
      <c r="S33" s="839"/>
      <c r="T33" s="839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22"/>
      <c r="AF33" s="22"/>
      <c r="AG33" s="22"/>
    </row>
    <row r="34" spans="1:33" ht="14.25" customHeight="1" thickTop="1" x14ac:dyDescent="0.3">
      <c r="A34" s="26"/>
      <c r="B34" s="27"/>
      <c r="C34" s="27"/>
      <c r="D34" s="27"/>
      <c r="E34" s="27"/>
      <c r="F34" s="27"/>
      <c r="G34" s="24"/>
      <c r="H34" s="24"/>
      <c r="I34" s="24"/>
      <c r="J34" s="24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22"/>
      <c r="AD34" s="22"/>
      <c r="AE34" s="22"/>
      <c r="AF34" s="22"/>
      <c r="AG34" s="22"/>
    </row>
    <row r="35" spans="1:33" ht="14.25" customHeight="1" x14ac:dyDescent="0.3">
      <c r="A35" s="552" t="s">
        <v>24</v>
      </c>
      <c r="B35" s="552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22"/>
      <c r="AD35" s="22"/>
      <c r="AE35" s="22"/>
      <c r="AF35" s="22"/>
      <c r="AG35" s="22"/>
    </row>
    <row r="36" spans="1:33" ht="14.25" customHeight="1" thickBot="1" x14ac:dyDescent="0.35">
      <c r="A36" s="27"/>
      <c r="B36" s="27"/>
      <c r="C36" s="27"/>
      <c r="D36" s="27"/>
      <c r="E36" s="27"/>
      <c r="F36" s="27"/>
      <c r="G36" s="24"/>
      <c r="H36" s="24"/>
      <c r="I36" s="24"/>
      <c r="J36" s="24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22"/>
      <c r="AD36" s="22"/>
      <c r="AE36" s="22"/>
      <c r="AF36" s="22"/>
      <c r="AG36" s="22"/>
    </row>
    <row r="37" spans="1:33" ht="14.25" customHeight="1" thickTop="1" thickBot="1" x14ac:dyDescent="0.35">
      <c r="A37" s="647" t="s">
        <v>17</v>
      </c>
      <c r="B37" s="648"/>
      <c r="C37" s="648"/>
      <c r="D37" s="648"/>
      <c r="E37" s="648"/>
      <c r="F37" s="649"/>
      <c r="G37" s="647" t="s">
        <v>6</v>
      </c>
      <c r="H37" s="648"/>
      <c r="I37" s="648"/>
      <c r="J37" s="648"/>
      <c r="K37" s="155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22"/>
      <c r="AD37" s="22"/>
      <c r="AE37" s="22"/>
      <c r="AF37" s="22"/>
      <c r="AG37" s="22"/>
    </row>
    <row r="38" spans="1:33" ht="14.25" customHeight="1" thickTop="1" x14ac:dyDescent="0.3">
      <c r="A38" s="654" t="s">
        <v>25</v>
      </c>
      <c r="B38" s="655"/>
      <c r="C38" s="655"/>
      <c r="D38" s="655"/>
      <c r="E38" s="655"/>
      <c r="F38" s="656"/>
      <c r="G38" s="461">
        <v>0</v>
      </c>
      <c r="H38" s="462"/>
      <c r="I38" s="462"/>
      <c r="J38" s="463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22"/>
      <c r="AD38" s="22"/>
      <c r="AE38" s="22"/>
      <c r="AF38" s="22"/>
      <c r="AG38" s="22"/>
    </row>
    <row r="39" spans="1:33" ht="14.25" customHeight="1" x14ac:dyDescent="0.3">
      <c r="A39" s="657" t="s">
        <v>26</v>
      </c>
      <c r="B39" s="658"/>
      <c r="C39" s="658"/>
      <c r="D39" s="658"/>
      <c r="E39" s="658"/>
      <c r="F39" s="659"/>
      <c r="G39" s="660">
        <v>0</v>
      </c>
      <c r="H39" s="661"/>
      <c r="I39" s="661"/>
      <c r="J39" s="662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22"/>
      <c r="AD39" s="22"/>
      <c r="AE39" s="22"/>
      <c r="AF39" s="22"/>
      <c r="AG39" s="22"/>
    </row>
    <row r="40" spans="1:33" ht="14.25" customHeight="1" x14ac:dyDescent="0.3">
      <c r="A40" s="657" t="s">
        <v>27</v>
      </c>
      <c r="B40" s="658"/>
      <c r="C40" s="658"/>
      <c r="D40" s="658"/>
      <c r="E40" s="658"/>
      <c r="F40" s="659"/>
      <c r="G40" s="661">
        <v>0</v>
      </c>
      <c r="H40" s="661"/>
      <c r="I40" s="661"/>
      <c r="J40" s="661"/>
      <c r="K40" s="155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22"/>
      <c r="AD40" s="22"/>
      <c r="AE40" s="22"/>
      <c r="AF40" s="22"/>
      <c r="AG40" s="22"/>
    </row>
    <row r="41" spans="1:33" ht="14.25" customHeight="1" x14ac:dyDescent="0.3">
      <c r="A41" s="657" t="s">
        <v>28</v>
      </c>
      <c r="B41" s="658"/>
      <c r="C41" s="658"/>
      <c r="D41" s="658"/>
      <c r="E41" s="658"/>
      <c r="F41" s="659"/>
      <c r="G41" s="660">
        <v>0</v>
      </c>
      <c r="H41" s="661"/>
      <c r="I41" s="661"/>
      <c r="J41" s="662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22"/>
      <c r="AD41" s="22"/>
      <c r="AE41" s="22"/>
      <c r="AF41" s="22"/>
      <c r="AG41" s="22"/>
    </row>
    <row r="42" spans="1:33" ht="14.25" customHeight="1" x14ac:dyDescent="0.3">
      <c r="A42" s="657" t="s">
        <v>29</v>
      </c>
      <c r="B42" s="658"/>
      <c r="C42" s="658"/>
      <c r="D42" s="658"/>
      <c r="E42" s="658"/>
      <c r="F42" s="659"/>
      <c r="G42" s="660">
        <v>0</v>
      </c>
      <c r="H42" s="661"/>
      <c r="I42" s="661"/>
      <c r="J42" s="661"/>
      <c r="K42" s="155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22"/>
      <c r="AD42" s="22"/>
      <c r="AE42" s="22"/>
      <c r="AF42" s="22"/>
      <c r="AG42" s="22"/>
    </row>
    <row r="43" spans="1:33" ht="14.25" customHeight="1" thickBot="1" x14ac:dyDescent="0.35">
      <c r="A43" s="681" t="s">
        <v>30</v>
      </c>
      <c r="B43" s="682"/>
      <c r="C43" s="682"/>
      <c r="D43" s="682"/>
      <c r="E43" s="682"/>
      <c r="F43" s="683"/>
      <c r="G43" s="535">
        <v>0</v>
      </c>
      <c r="H43" s="524"/>
      <c r="I43" s="524"/>
      <c r="J43" s="524"/>
      <c r="K43" s="155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22"/>
      <c r="AD43" s="22"/>
      <c r="AE43" s="22"/>
      <c r="AF43" s="22"/>
      <c r="AG43" s="22"/>
    </row>
    <row r="44" spans="1:33" ht="14.25" customHeight="1" thickTop="1" thickBot="1" x14ac:dyDescent="0.35">
      <c r="A44" s="684" t="s">
        <v>11</v>
      </c>
      <c r="B44" s="685"/>
      <c r="C44" s="685"/>
      <c r="D44" s="685"/>
      <c r="E44" s="685"/>
      <c r="F44" s="686"/>
      <c r="G44" s="458">
        <f>SUM(G38:J43)</f>
        <v>0</v>
      </c>
      <c r="H44" s="459"/>
      <c r="I44" s="459"/>
      <c r="J44" s="459"/>
      <c r="K44" s="155"/>
      <c r="M44" s="839"/>
      <c r="N44" s="839"/>
      <c r="O44" s="839"/>
      <c r="P44" s="839"/>
      <c r="Q44" s="839"/>
      <c r="R44" s="839"/>
      <c r="S44" s="839"/>
      <c r="T44" s="839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22"/>
      <c r="AF44" s="22"/>
      <c r="AG44" s="22"/>
    </row>
    <row r="45" spans="1:33" ht="14.25" customHeight="1" thickTop="1" x14ac:dyDescent="0.3">
      <c r="A45" s="27"/>
      <c r="B45" s="27"/>
      <c r="C45" s="27"/>
      <c r="D45" s="27"/>
      <c r="E45" s="27"/>
      <c r="F45" s="27"/>
      <c r="G45" s="24"/>
      <c r="H45" s="24"/>
      <c r="I45" s="24"/>
      <c r="J45" s="24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22"/>
      <c r="AD45" s="22"/>
      <c r="AE45" s="22"/>
      <c r="AF45" s="22"/>
      <c r="AG45" s="22"/>
    </row>
    <row r="46" spans="1:33" ht="14.25" customHeight="1" x14ac:dyDescent="0.3">
      <c r="A46" s="590" t="s">
        <v>31</v>
      </c>
      <c r="B46" s="590"/>
      <c r="C46" s="590"/>
      <c r="D46" s="590"/>
      <c r="E46" s="590"/>
      <c r="F46" s="590"/>
      <c r="G46" s="590"/>
      <c r="H46" s="590"/>
      <c r="I46" s="590"/>
      <c r="J46" s="590"/>
      <c r="K46" s="590"/>
      <c r="L46" s="590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22"/>
      <c r="AD46" s="22"/>
      <c r="AE46" s="22"/>
      <c r="AF46" s="22"/>
      <c r="AG46" s="22"/>
    </row>
    <row r="47" spans="1:33" ht="14.25" customHeight="1" x14ac:dyDescent="0.3">
      <c r="A47" s="787"/>
      <c r="B47" s="787"/>
      <c r="C47" s="787"/>
      <c r="D47" s="787"/>
      <c r="E47" s="787"/>
      <c r="F47" s="787"/>
      <c r="G47" s="787"/>
      <c r="H47" s="787"/>
      <c r="I47" s="787"/>
      <c r="J47" s="787"/>
      <c r="K47" s="787"/>
      <c r="L47" s="787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22"/>
      <c r="AD47" s="22"/>
      <c r="AE47" s="22"/>
      <c r="AF47" s="22"/>
      <c r="AG47" s="22"/>
    </row>
    <row r="48" spans="1:33" ht="14.25" customHeight="1" thickBot="1" x14ac:dyDescent="0.35">
      <c r="A48" s="479" t="s">
        <v>32</v>
      </c>
      <c r="B48" s="479"/>
      <c r="C48" s="479"/>
      <c r="D48" s="479"/>
      <c r="E48" s="479"/>
      <c r="F48" s="479"/>
      <c r="G48" s="479"/>
      <c r="H48" s="479"/>
      <c r="I48" s="479"/>
      <c r="J48" s="479"/>
      <c r="K48" s="479"/>
      <c r="L48" s="479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22"/>
      <c r="AD48" s="22"/>
      <c r="AE48" s="22"/>
      <c r="AF48" s="22"/>
      <c r="AG48" s="22"/>
    </row>
    <row r="49" spans="1:33" ht="14.25" customHeight="1" thickTop="1" thickBot="1" x14ac:dyDescent="0.35">
      <c r="A49" s="103"/>
      <c r="B49" s="103"/>
      <c r="C49" s="103"/>
      <c r="D49" s="103"/>
      <c r="E49" s="103"/>
      <c r="F49" s="103"/>
      <c r="G49" s="103"/>
      <c r="H49" s="458" t="s">
        <v>6</v>
      </c>
      <c r="I49" s="459"/>
      <c r="J49" s="459"/>
      <c r="K49" s="157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22"/>
      <c r="AD49" s="22"/>
      <c r="AE49" s="22"/>
      <c r="AF49" s="22"/>
      <c r="AG49" s="22"/>
    </row>
    <row r="50" spans="1:33" ht="14.25" customHeight="1" thickTop="1" x14ac:dyDescent="0.3">
      <c r="A50" s="666" t="s">
        <v>7</v>
      </c>
      <c r="B50" s="667"/>
      <c r="C50" s="667"/>
      <c r="D50" s="667"/>
      <c r="E50" s="667"/>
      <c r="F50" s="667"/>
      <c r="G50" s="668"/>
      <c r="H50" s="462">
        <v>0</v>
      </c>
      <c r="I50" s="462"/>
      <c r="J50" s="462"/>
      <c r="K50" s="154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22"/>
      <c r="AD50" s="22"/>
      <c r="AE50" s="22"/>
      <c r="AF50" s="22"/>
      <c r="AG50" s="22"/>
    </row>
    <row r="51" spans="1:33" ht="14.25" customHeight="1" thickBot="1" x14ac:dyDescent="0.35">
      <c r="A51" s="669" t="s">
        <v>8</v>
      </c>
      <c r="B51" s="670"/>
      <c r="C51" s="670"/>
      <c r="D51" s="670"/>
      <c r="E51" s="670"/>
      <c r="F51" s="670"/>
      <c r="G51" s="671"/>
      <c r="H51" s="449">
        <f>SUM(G52:G53)</f>
        <v>0</v>
      </c>
      <c r="I51" s="450"/>
      <c r="J51" s="451"/>
      <c r="K51" s="22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22"/>
      <c r="AD51" s="22"/>
      <c r="AE51" s="22"/>
      <c r="AF51" s="22"/>
      <c r="AG51" s="22"/>
    </row>
    <row r="52" spans="1:33" ht="14.25" customHeight="1" thickTop="1" x14ac:dyDescent="0.3">
      <c r="A52" s="620" t="s">
        <v>9</v>
      </c>
      <c r="B52" s="621"/>
      <c r="C52" s="621"/>
      <c r="D52" s="621"/>
      <c r="E52" s="621"/>
      <c r="F52" s="622"/>
      <c r="G52" s="231">
        <v>0</v>
      </c>
      <c r="H52" s="452"/>
      <c r="I52" s="453"/>
      <c r="J52" s="454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22"/>
      <c r="AD52" s="22"/>
      <c r="AE52" s="22"/>
      <c r="AF52" s="22"/>
      <c r="AG52" s="22"/>
    </row>
    <row r="53" spans="1:33" ht="14.25" customHeight="1" thickBot="1" x14ac:dyDescent="0.35">
      <c r="A53" s="623" t="s">
        <v>10</v>
      </c>
      <c r="B53" s="624"/>
      <c r="C53" s="624"/>
      <c r="D53" s="624"/>
      <c r="E53" s="624"/>
      <c r="F53" s="624"/>
      <c r="G53" s="230">
        <v>0</v>
      </c>
      <c r="H53" s="455"/>
      <c r="I53" s="456"/>
      <c r="J53" s="457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22"/>
      <c r="AD53" s="22"/>
      <c r="AE53" s="22"/>
      <c r="AF53" s="22"/>
      <c r="AG53" s="22"/>
    </row>
    <row r="54" spans="1:33" ht="14.25" customHeight="1" thickTop="1" thickBot="1" x14ac:dyDescent="0.35">
      <c r="A54" s="684" t="s">
        <v>11</v>
      </c>
      <c r="B54" s="685"/>
      <c r="C54" s="685"/>
      <c r="D54" s="685"/>
      <c r="E54" s="685"/>
      <c r="F54" s="685"/>
      <c r="G54" s="686"/>
      <c r="H54" s="458">
        <f>SUM(H50:J51)</f>
        <v>0</v>
      </c>
      <c r="I54" s="459"/>
      <c r="J54" s="460"/>
      <c r="K54" s="22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22"/>
      <c r="AD54" s="22"/>
      <c r="AE54" s="22"/>
      <c r="AF54" s="22"/>
      <c r="AG54" s="22"/>
    </row>
    <row r="55" spans="1:33" ht="14.25" customHeight="1" thickTop="1" x14ac:dyDescent="0.3">
      <c r="A55" s="654" t="s">
        <v>12</v>
      </c>
      <c r="B55" s="655"/>
      <c r="C55" s="655"/>
      <c r="D55" s="655"/>
      <c r="E55" s="655"/>
      <c r="F55" s="655"/>
      <c r="G55" s="656"/>
      <c r="H55" s="461">
        <v>0</v>
      </c>
      <c r="I55" s="462"/>
      <c r="J55" s="463"/>
      <c r="K55" s="22"/>
      <c r="M55" s="839"/>
      <c r="N55" s="839"/>
      <c r="O55" s="839"/>
      <c r="P55" s="839"/>
      <c r="Q55" s="839"/>
      <c r="R55" s="839"/>
      <c r="S55" s="839"/>
      <c r="T55" s="839"/>
      <c r="U55" s="839"/>
      <c r="V55" s="839"/>
      <c r="W55" s="839"/>
      <c r="X55" s="839"/>
      <c r="Y55" s="839"/>
      <c r="Z55" s="95"/>
      <c r="AA55" s="95"/>
      <c r="AB55" s="95"/>
      <c r="AC55" s="95"/>
      <c r="AD55" s="95"/>
      <c r="AE55" s="22"/>
      <c r="AF55" s="22"/>
      <c r="AG55" s="22"/>
    </row>
    <row r="56" spans="1:33" ht="14.25" customHeight="1" thickBot="1" x14ac:dyDescent="0.35">
      <c r="A56" s="681" t="s">
        <v>13</v>
      </c>
      <c r="B56" s="682"/>
      <c r="C56" s="682"/>
      <c r="D56" s="682"/>
      <c r="E56" s="682"/>
      <c r="F56" s="682"/>
      <c r="G56" s="683"/>
      <c r="H56" s="675">
        <f>H54-H55</f>
        <v>0</v>
      </c>
      <c r="I56" s="676"/>
      <c r="J56" s="677"/>
      <c r="K56" s="22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22"/>
      <c r="AD56" s="22"/>
      <c r="AE56" s="22"/>
      <c r="AF56" s="22"/>
      <c r="AG56" s="22"/>
    </row>
    <row r="57" spans="1:33" ht="14.25" customHeight="1" thickTop="1" x14ac:dyDescent="0.3">
      <c r="A57" s="23"/>
      <c r="B57" s="23"/>
      <c r="C57" s="23"/>
      <c r="D57" s="23"/>
      <c r="E57" s="23"/>
      <c r="F57" s="23"/>
      <c r="G57" s="19"/>
      <c r="H57" s="19"/>
      <c r="I57" s="19"/>
      <c r="J57" s="19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22"/>
      <c r="AD57" s="22"/>
      <c r="AE57" s="22"/>
      <c r="AF57" s="22"/>
      <c r="AG57" s="22"/>
    </row>
    <row r="58" spans="1:33" ht="14.25" customHeight="1" x14ac:dyDescent="0.3">
      <c r="A58" s="24"/>
      <c r="B58" s="24"/>
      <c r="C58" s="24"/>
      <c r="D58" s="24"/>
      <c r="E58" s="24"/>
      <c r="F58" s="24"/>
      <c r="G58" s="24"/>
      <c r="H58" s="24"/>
      <c r="I58" s="19"/>
      <c r="J58" s="19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22"/>
      <c r="AD58" s="22"/>
      <c r="AE58" s="22"/>
      <c r="AF58" s="22"/>
      <c r="AG58" s="22"/>
    </row>
    <row r="59" spans="1:33" ht="14.25" customHeight="1" x14ac:dyDescent="0.3">
      <c r="A59" s="673" t="s">
        <v>33</v>
      </c>
      <c r="B59" s="673"/>
      <c r="C59" s="673"/>
      <c r="D59" s="673"/>
      <c r="E59" s="673"/>
      <c r="F59" s="673"/>
      <c r="G59" s="673"/>
      <c r="H59" s="673"/>
      <c r="I59" s="673"/>
      <c r="J59" s="673"/>
      <c r="K59" s="673"/>
      <c r="L59" s="673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22"/>
      <c r="AD59" s="22"/>
      <c r="AE59" s="22"/>
      <c r="AF59" s="22"/>
      <c r="AG59" s="22"/>
    </row>
    <row r="60" spans="1:33" ht="14.25" customHeight="1" thickBot="1" x14ac:dyDescent="0.35">
      <c r="A60" s="20"/>
      <c r="B60" s="20"/>
      <c r="C60" s="20"/>
      <c r="D60" s="20"/>
      <c r="E60" s="20"/>
      <c r="F60" s="20"/>
      <c r="G60" s="20"/>
      <c r="H60" s="20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22"/>
      <c r="AD60" s="22"/>
      <c r="AE60" s="22"/>
      <c r="AF60" s="22"/>
      <c r="AG60" s="22"/>
    </row>
    <row r="61" spans="1:33" ht="14.25" customHeight="1" thickTop="1" x14ac:dyDescent="0.3">
      <c r="A61" s="678" t="s">
        <v>34</v>
      </c>
      <c r="B61" s="679"/>
      <c r="C61" s="679"/>
      <c r="D61" s="679"/>
      <c r="E61" s="679"/>
      <c r="F61" s="679"/>
      <c r="G61" s="679"/>
      <c r="H61" s="680"/>
      <c r="I61" s="159"/>
      <c r="J61" s="28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22"/>
      <c r="AD61" s="22"/>
      <c r="AE61" s="22"/>
      <c r="AF61" s="22"/>
      <c r="AG61" s="22"/>
    </row>
    <row r="62" spans="1:33" ht="41.25" customHeight="1" thickBot="1" x14ac:dyDescent="0.35">
      <c r="A62" s="235" t="s">
        <v>35</v>
      </c>
      <c r="B62" s="236" t="s">
        <v>36</v>
      </c>
      <c r="C62" s="237" t="s">
        <v>37</v>
      </c>
      <c r="D62" s="238" t="s">
        <v>38</v>
      </c>
      <c r="E62" s="236" t="s">
        <v>39</v>
      </c>
      <c r="F62" s="236" t="s">
        <v>40</v>
      </c>
      <c r="G62" s="239" t="s">
        <v>41</v>
      </c>
      <c r="H62" s="151" t="s">
        <v>11</v>
      </c>
      <c r="I62" s="160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22"/>
      <c r="AD62" s="22"/>
      <c r="AE62" s="22"/>
      <c r="AF62" s="22"/>
      <c r="AG62" s="22"/>
    </row>
    <row r="63" spans="1:33" ht="15" thickTop="1" thickBot="1" x14ac:dyDescent="0.35">
      <c r="A63" s="184">
        <v>0</v>
      </c>
      <c r="B63" s="161">
        <v>0</v>
      </c>
      <c r="C63" s="161">
        <v>0</v>
      </c>
      <c r="D63" s="161">
        <v>0</v>
      </c>
      <c r="E63" s="161">
        <v>0</v>
      </c>
      <c r="F63" s="161">
        <v>0</v>
      </c>
      <c r="G63" s="162">
        <v>0</v>
      </c>
      <c r="H63" s="167">
        <f>SUM(A63:G63)</f>
        <v>0</v>
      </c>
      <c r="I63" s="154"/>
      <c r="J63" s="24"/>
      <c r="K63" s="30"/>
      <c r="L63" s="30"/>
      <c r="M63" s="839"/>
      <c r="N63" s="839"/>
      <c r="O63" s="839"/>
      <c r="P63" s="839"/>
      <c r="Q63" s="839"/>
      <c r="R63" s="839"/>
      <c r="S63" s="839"/>
      <c r="T63" s="839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22"/>
      <c r="AF63" s="22"/>
      <c r="AG63" s="22"/>
    </row>
    <row r="64" spans="1:33" ht="11.25" customHeight="1" thickTop="1" x14ac:dyDescent="0.3">
      <c r="A64" s="24"/>
      <c r="B64" s="24"/>
      <c r="C64" s="24"/>
      <c r="D64" s="24"/>
      <c r="E64" s="24"/>
      <c r="F64" s="24"/>
      <c r="G64" s="24"/>
      <c r="H64" s="156"/>
      <c r="I64" s="24"/>
      <c r="J64" s="24"/>
      <c r="K64" s="30"/>
      <c r="L64" s="30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22"/>
      <c r="AD64" s="22"/>
      <c r="AE64" s="22"/>
      <c r="AF64" s="22"/>
      <c r="AG64" s="22"/>
    </row>
    <row r="65" spans="1:33" ht="15" customHeight="1" x14ac:dyDescent="0.3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839"/>
      <c r="N65" s="839"/>
      <c r="O65" s="839"/>
      <c r="P65" s="839"/>
      <c r="Q65" s="839"/>
      <c r="R65" s="839"/>
      <c r="S65" s="839"/>
      <c r="T65" s="839"/>
      <c r="U65" s="839"/>
      <c r="V65" s="839"/>
      <c r="W65" s="839"/>
      <c r="X65" s="46"/>
      <c r="Y65" s="46"/>
      <c r="Z65" s="46"/>
      <c r="AA65" s="46"/>
      <c r="AB65" s="46"/>
      <c r="AC65" s="22"/>
      <c r="AD65" s="22"/>
      <c r="AE65" s="22"/>
      <c r="AF65" s="22"/>
      <c r="AG65" s="22"/>
    </row>
    <row r="66" spans="1:33" s="269" customFormat="1" ht="13.5" customHeight="1" x14ac:dyDescent="0.3">
      <c r="A66" s="672" t="s">
        <v>42</v>
      </c>
      <c r="B66" s="672"/>
      <c r="C66" s="672"/>
      <c r="D66" s="672"/>
      <c r="E66" s="672"/>
      <c r="F66" s="672"/>
      <c r="G66" s="672"/>
      <c r="H66" s="672"/>
      <c r="I66" s="672"/>
      <c r="J66" s="672"/>
      <c r="K66" s="672"/>
      <c r="L66" s="672"/>
      <c r="M66" s="840"/>
      <c r="N66" s="840"/>
      <c r="O66" s="840"/>
      <c r="P66" s="840"/>
      <c r="Q66" s="840"/>
      <c r="R66" s="840"/>
      <c r="S66" s="840"/>
      <c r="T66" s="840"/>
      <c r="U66" s="840"/>
      <c r="V66" s="840"/>
      <c r="W66" s="840"/>
      <c r="X66" s="840"/>
      <c r="Y66" s="840"/>
      <c r="Z66" s="268"/>
      <c r="AA66" s="268"/>
      <c r="AB66" s="268"/>
      <c r="AC66" s="268"/>
      <c r="AD66" s="268"/>
      <c r="AE66" s="268"/>
      <c r="AF66" s="268"/>
      <c r="AG66" s="268"/>
    </row>
    <row r="67" spans="1:33" ht="15" customHeight="1" thickBot="1" x14ac:dyDescent="0.3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142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22"/>
      <c r="AD67" s="22"/>
      <c r="AE67" s="22"/>
      <c r="AF67" s="22"/>
      <c r="AG67" s="22"/>
    </row>
    <row r="68" spans="1:33" ht="42" customHeight="1" thickTop="1" x14ac:dyDescent="0.3">
      <c r="A68" s="528" t="s">
        <v>43</v>
      </c>
      <c r="B68" s="530"/>
      <c r="C68" s="528" t="s">
        <v>44</v>
      </c>
      <c r="D68" s="530"/>
      <c r="E68" s="528" t="s">
        <v>45</v>
      </c>
      <c r="F68" s="530"/>
      <c r="G68" s="31"/>
      <c r="H68" s="31"/>
      <c r="I68" s="142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22"/>
      <c r="Z68" s="22"/>
      <c r="AA68" s="22"/>
      <c r="AB68" s="22"/>
      <c r="AC68" s="22"/>
    </row>
    <row r="69" spans="1:33" ht="39" customHeight="1" thickBot="1" x14ac:dyDescent="0.35">
      <c r="A69" s="270" t="s">
        <v>6</v>
      </c>
      <c r="B69" s="271" t="s">
        <v>46</v>
      </c>
      <c r="C69" s="272" t="s">
        <v>6</v>
      </c>
      <c r="D69" s="273" t="s">
        <v>46</v>
      </c>
      <c r="E69" s="270" t="s">
        <v>6</v>
      </c>
      <c r="F69" s="273" t="s">
        <v>46</v>
      </c>
      <c r="G69" s="31"/>
      <c r="H69" s="31"/>
      <c r="I69" s="141"/>
      <c r="J69" s="250"/>
      <c r="K69" s="250"/>
      <c r="L69" s="250"/>
      <c r="T69" s="95"/>
      <c r="U69" s="95"/>
      <c r="V69" s="95"/>
      <c r="W69" s="95"/>
      <c r="X69" s="95"/>
      <c r="Y69" s="95"/>
      <c r="Z69" s="95"/>
      <c r="AA69" s="22"/>
      <c r="AB69" s="22"/>
      <c r="AC69" s="22"/>
    </row>
    <row r="70" spans="1:33" ht="15" thickTop="1" thickBot="1" x14ac:dyDescent="0.35">
      <c r="A70" s="274">
        <v>0</v>
      </c>
      <c r="B70" s="275">
        <v>0</v>
      </c>
      <c r="C70" s="274">
        <v>0</v>
      </c>
      <c r="D70" s="276">
        <v>0</v>
      </c>
      <c r="E70" s="274">
        <v>0</v>
      </c>
      <c r="F70" s="276">
        <v>0</v>
      </c>
      <c r="G70" s="31"/>
      <c r="H70" s="31"/>
      <c r="I70" s="141"/>
      <c r="J70" s="250"/>
      <c r="K70" s="250"/>
      <c r="L70" s="250"/>
      <c r="V70" s="95"/>
      <c r="W70" s="95"/>
      <c r="X70" s="95"/>
      <c r="Y70" s="95"/>
      <c r="Z70" s="95"/>
      <c r="AA70" s="22"/>
      <c r="AB70" s="22"/>
      <c r="AC70" s="22"/>
    </row>
    <row r="71" spans="1:33" ht="14.5" thickTop="1" x14ac:dyDescent="0.3">
      <c r="M71" s="142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22"/>
      <c r="AD71" s="22"/>
      <c r="AE71" s="22"/>
      <c r="AF71" s="22"/>
      <c r="AG71" s="22"/>
    </row>
    <row r="72" spans="1:33" ht="14.25" customHeight="1" x14ac:dyDescent="0.3">
      <c r="A72" s="590" t="s">
        <v>47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22"/>
      <c r="AD72" s="22"/>
      <c r="AE72" s="22"/>
      <c r="AF72" s="22"/>
      <c r="AG72" s="22"/>
    </row>
    <row r="73" spans="1:33" ht="12" customHeight="1" thickBot="1" x14ac:dyDescent="0.35"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22"/>
      <c r="AD73" s="22"/>
      <c r="AE73" s="22"/>
      <c r="AF73" s="22"/>
      <c r="AG73" s="22"/>
    </row>
    <row r="74" spans="1:33" ht="14.25" customHeight="1" thickTop="1" thickBot="1" x14ac:dyDescent="0.35">
      <c r="A74" s="22"/>
      <c r="B74" s="22"/>
      <c r="C74" s="22"/>
      <c r="D74" s="22"/>
      <c r="E74" s="22"/>
      <c r="F74" s="22"/>
      <c r="G74" s="22"/>
      <c r="H74" s="464" t="s">
        <v>6</v>
      </c>
      <c r="I74" s="465"/>
      <c r="J74" s="465"/>
      <c r="K74" s="46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22"/>
      <c r="AD74" s="22"/>
      <c r="AE74" s="22"/>
      <c r="AF74" s="22"/>
      <c r="AG74" s="22"/>
    </row>
    <row r="75" spans="1:33" ht="14.5" thickTop="1" x14ac:dyDescent="0.3">
      <c r="A75" s="809" t="s">
        <v>48</v>
      </c>
      <c r="B75" s="810"/>
      <c r="C75" s="810"/>
      <c r="D75" s="810"/>
      <c r="E75" s="810"/>
      <c r="F75" s="810"/>
      <c r="G75" s="811"/>
      <c r="H75" s="470">
        <v>0</v>
      </c>
      <c r="I75" s="471"/>
      <c r="J75" s="471"/>
      <c r="K75" s="472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22"/>
      <c r="AD75" s="22"/>
      <c r="AE75" s="22"/>
      <c r="AF75" s="22"/>
      <c r="AG75" s="22"/>
    </row>
    <row r="76" spans="1:33" ht="14.5" thickBot="1" x14ac:dyDescent="0.35">
      <c r="A76" s="437" t="s">
        <v>49</v>
      </c>
      <c r="B76" s="438"/>
      <c r="C76" s="438"/>
      <c r="D76" s="438"/>
      <c r="E76" s="438"/>
      <c r="F76" s="438"/>
      <c r="G76" s="439"/>
      <c r="H76" s="652">
        <v>0</v>
      </c>
      <c r="I76" s="653"/>
      <c r="J76" s="653"/>
      <c r="K76" s="674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22"/>
      <c r="AD76" s="22"/>
      <c r="AE76" s="22"/>
      <c r="AF76" s="22"/>
      <c r="AG76" s="22"/>
    </row>
    <row r="77" spans="1:33" ht="15" thickTop="1" thickBot="1" x14ac:dyDescent="0.35">
      <c r="A77" s="861" t="s">
        <v>11</v>
      </c>
      <c r="B77" s="862"/>
      <c r="C77" s="862"/>
      <c r="D77" s="862"/>
      <c r="E77" s="862"/>
      <c r="F77" s="862"/>
      <c r="G77" s="863"/>
      <c r="H77" s="440">
        <f>SUM(H75:K76)</f>
        <v>0</v>
      </c>
      <c r="I77" s="441"/>
      <c r="J77" s="441"/>
      <c r="K77" s="442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22"/>
      <c r="AD77" s="22"/>
      <c r="AE77" s="22"/>
      <c r="AF77" s="22"/>
      <c r="AG77" s="22"/>
    </row>
    <row r="78" spans="1:33" ht="14.5" thickTop="1" x14ac:dyDescent="0.3">
      <c r="A78" s="812" t="s">
        <v>50</v>
      </c>
      <c r="B78" s="813"/>
      <c r="C78" s="813"/>
      <c r="D78" s="813"/>
      <c r="E78" s="813"/>
      <c r="F78" s="813"/>
      <c r="G78" s="814"/>
      <c r="H78" s="443">
        <v>0</v>
      </c>
      <c r="I78" s="444"/>
      <c r="J78" s="444"/>
      <c r="K78" s="445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22"/>
      <c r="AD78" s="22"/>
      <c r="AE78" s="22"/>
      <c r="AF78" s="22"/>
      <c r="AG78" s="22"/>
    </row>
    <row r="79" spans="1:33" x14ac:dyDescent="0.3">
      <c r="A79" s="663" t="s">
        <v>51</v>
      </c>
      <c r="B79" s="664"/>
      <c r="C79" s="664"/>
      <c r="D79" s="664"/>
      <c r="E79" s="664"/>
      <c r="F79" s="664"/>
      <c r="G79" s="665"/>
      <c r="H79" s="434">
        <v>0</v>
      </c>
      <c r="I79" s="435"/>
      <c r="J79" s="435"/>
      <c r="K79" s="43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22"/>
      <c r="AD79" s="22"/>
      <c r="AE79" s="22"/>
      <c r="AF79" s="22"/>
      <c r="AG79" s="22"/>
    </row>
    <row r="80" spans="1:33" ht="15" customHeight="1" x14ac:dyDescent="0.3">
      <c r="A80" s="431" t="s">
        <v>52</v>
      </c>
      <c r="B80" s="432"/>
      <c r="C80" s="432"/>
      <c r="D80" s="432"/>
      <c r="E80" s="432"/>
      <c r="F80" s="432"/>
      <c r="G80" s="433"/>
      <c r="H80" s="434">
        <v>0</v>
      </c>
      <c r="I80" s="435"/>
      <c r="J80" s="435"/>
      <c r="K80" s="436"/>
      <c r="L80" s="815"/>
      <c r="M80" s="815"/>
      <c r="N80" s="815"/>
      <c r="O80" s="815"/>
      <c r="P80" s="815"/>
      <c r="Q80" s="815"/>
      <c r="R80" s="815"/>
      <c r="S80" s="815"/>
      <c r="T80" s="815"/>
      <c r="U80" s="815"/>
      <c r="V80" s="815"/>
      <c r="W80" s="815"/>
      <c r="X80" s="815"/>
      <c r="Y80" s="815"/>
      <c r="Z80" s="46"/>
      <c r="AA80" s="46"/>
      <c r="AB80" s="46"/>
      <c r="AC80" s="22"/>
      <c r="AD80" s="22"/>
      <c r="AE80" s="22"/>
      <c r="AF80" s="22"/>
      <c r="AG80" s="22"/>
    </row>
    <row r="81" spans="1:33" ht="14.5" thickBot="1" x14ac:dyDescent="0.35">
      <c r="A81" s="687" t="s">
        <v>13</v>
      </c>
      <c r="B81" s="688"/>
      <c r="C81" s="688"/>
      <c r="D81" s="688"/>
      <c r="E81" s="688"/>
      <c r="F81" s="688"/>
      <c r="G81" s="689"/>
      <c r="H81" s="652">
        <v>0</v>
      </c>
      <c r="I81" s="653"/>
      <c r="J81" s="653"/>
      <c r="K81" s="674"/>
      <c r="L81" s="815"/>
      <c r="M81" s="815"/>
      <c r="N81" s="815"/>
      <c r="O81" s="815"/>
      <c r="P81" s="815"/>
      <c r="Q81" s="815"/>
      <c r="R81" s="815"/>
      <c r="S81" s="815"/>
      <c r="T81" s="815"/>
      <c r="U81" s="815"/>
      <c r="V81" s="815"/>
      <c r="W81" s="815"/>
      <c r="X81" s="815"/>
      <c r="Y81" s="815"/>
      <c r="Z81" s="46"/>
      <c r="AA81" s="46"/>
      <c r="AB81" s="46"/>
      <c r="AC81" s="22"/>
      <c r="AD81" s="22"/>
      <c r="AE81" s="22"/>
      <c r="AF81" s="22"/>
      <c r="AG81" s="22"/>
    </row>
    <row r="82" spans="1:33" ht="14.25" customHeight="1" thickTop="1" x14ac:dyDescent="0.3"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22"/>
      <c r="AD82" s="22"/>
      <c r="AE82" s="22"/>
      <c r="AF82" s="22"/>
      <c r="AG82" s="22"/>
    </row>
    <row r="83" spans="1:33" ht="14.25" customHeight="1" x14ac:dyDescent="0.3">
      <c r="A83" s="590" t="s">
        <v>53</v>
      </c>
      <c r="B83" s="590"/>
      <c r="C83" s="590"/>
      <c r="D83" s="590"/>
      <c r="E83" s="590"/>
      <c r="F83" s="590"/>
      <c r="G83" s="590"/>
      <c r="H83" s="590"/>
      <c r="I83" s="590"/>
      <c r="J83" s="590"/>
      <c r="K83" s="590"/>
      <c r="L83" s="590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22"/>
      <c r="AD83" s="22"/>
      <c r="AE83" s="22"/>
      <c r="AF83" s="22"/>
      <c r="AG83" s="22"/>
    </row>
    <row r="84" spans="1:33" x14ac:dyDescent="0.3"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22"/>
      <c r="AD84" s="22"/>
      <c r="AE84" s="22"/>
      <c r="AF84" s="22"/>
      <c r="AG84" s="22"/>
    </row>
    <row r="85" spans="1:33" ht="14.25" customHeight="1" x14ac:dyDescent="0.3">
      <c r="A85" s="414" t="s">
        <v>54</v>
      </c>
      <c r="B85" s="414"/>
      <c r="C85" s="414"/>
      <c r="D85" s="414"/>
      <c r="E85" s="414"/>
      <c r="F85" s="414"/>
      <c r="G85" s="414"/>
      <c r="H85" s="414"/>
      <c r="I85" s="414"/>
      <c r="J85" s="414"/>
      <c r="K85" s="414"/>
      <c r="L85" s="414"/>
      <c r="M85" s="142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22"/>
      <c r="AD85" s="22"/>
      <c r="AE85" s="22"/>
      <c r="AF85" s="22"/>
      <c r="AG85" s="22"/>
    </row>
    <row r="86" spans="1:33" ht="12.75" customHeight="1" thickBot="1" x14ac:dyDescent="0.35">
      <c r="M86" s="142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22"/>
      <c r="AD86" s="22"/>
      <c r="AE86" s="22"/>
      <c r="AF86" s="22"/>
      <c r="AG86" s="22"/>
    </row>
    <row r="87" spans="1:33" ht="14.25" customHeight="1" thickTop="1" x14ac:dyDescent="0.3">
      <c r="A87" s="791" t="s">
        <v>55</v>
      </c>
      <c r="B87" s="792"/>
      <c r="C87" s="792"/>
      <c r="D87" s="793"/>
      <c r="E87" s="788" t="s">
        <v>34</v>
      </c>
      <c r="F87" s="789"/>
      <c r="G87" s="789"/>
      <c r="H87" s="789"/>
      <c r="I87" s="789"/>
      <c r="J87" s="789"/>
      <c r="K87" s="789"/>
      <c r="L87" s="790"/>
      <c r="M87" s="142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22"/>
      <c r="AD87" s="22"/>
      <c r="AE87" s="22"/>
      <c r="AF87" s="22"/>
      <c r="AG87" s="22"/>
    </row>
    <row r="88" spans="1:33" ht="22" thickBot="1" x14ac:dyDescent="0.35">
      <c r="A88" s="794"/>
      <c r="B88" s="795"/>
      <c r="C88" s="795"/>
      <c r="D88" s="796"/>
      <c r="E88" s="164" t="s">
        <v>35</v>
      </c>
      <c r="F88" s="240" t="s">
        <v>36</v>
      </c>
      <c r="G88" s="164" t="s">
        <v>37</v>
      </c>
      <c r="H88" s="241" t="s">
        <v>38</v>
      </c>
      <c r="I88" s="240" t="s">
        <v>39</v>
      </c>
      <c r="J88" s="164" t="s">
        <v>40</v>
      </c>
      <c r="K88" s="242" t="s">
        <v>41</v>
      </c>
      <c r="L88" s="243" t="s">
        <v>11</v>
      </c>
      <c r="Z88" s="46"/>
      <c r="AA88" s="46"/>
      <c r="AB88" s="46"/>
      <c r="AC88" s="22"/>
      <c r="AD88" s="22"/>
      <c r="AE88" s="22"/>
      <c r="AF88" s="22"/>
      <c r="AG88" s="22"/>
    </row>
    <row r="89" spans="1:33" ht="14.5" thickTop="1" x14ac:dyDescent="0.3">
      <c r="A89" s="797" t="s">
        <v>56</v>
      </c>
      <c r="B89" s="798"/>
      <c r="C89" s="798"/>
      <c r="D89" s="799"/>
      <c r="E89" s="104">
        <v>0</v>
      </c>
      <c r="F89" s="104">
        <v>0</v>
      </c>
      <c r="G89" s="104">
        <v>0</v>
      </c>
      <c r="H89" s="104">
        <v>0</v>
      </c>
      <c r="I89" s="104">
        <v>0</v>
      </c>
      <c r="J89" s="104">
        <v>0</v>
      </c>
      <c r="K89" s="109">
        <v>0</v>
      </c>
      <c r="L89" s="172">
        <f>SUM(E89:K89)</f>
        <v>0</v>
      </c>
      <c r="M89" s="446"/>
      <c r="N89" s="446"/>
      <c r="O89" s="446"/>
      <c r="P89" s="446"/>
      <c r="Q89" s="446"/>
      <c r="R89" s="446"/>
      <c r="S89" s="446"/>
      <c r="T89" s="446"/>
      <c r="U89" s="446"/>
      <c r="V89" s="446"/>
      <c r="W89" s="446"/>
      <c r="X89" s="446"/>
      <c r="Y89" s="446"/>
      <c r="Z89" s="446"/>
      <c r="AA89" s="446"/>
      <c r="AB89" s="446"/>
      <c r="AC89" s="446"/>
      <c r="AD89" s="95"/>
      <c r="AE89" s="22"/>
      <c r="AF89" s="22"/>
      <c r="AG89" s="22"/>
    </row>
    <row r="90" spans="1:33" x14ac:dyDescent="0.3">
      <c r="A90" s="800" t="s">
        <v>57</v>
      </c>
      <c r="B90" s="801"/>
      <c r="C90" s="801"/>
      <c r="D90" s="802"/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0">
        <v>0</v>
      </c>
      <c r="L90" s="173">
        <f>SUM(E90:K90)</f>
        <v>0</v>
      </c>
      <c r="M90" s="446"/>
      <c r="N90" s="446"/>
      <c r="O90" s="446"/>
      <c r="P90" s="446"/>
      <c r="Q90" s="446"/>
      <c r="R90" s="446"/>
      <c r="S90" s="446"/>
      <c r="T90" s="446"/>
      <c r="U90" s="446"/>
      <c r="V90" s="446"/>
      <c r="W90" s="446"/>
      <c r="X90" s="446"/>
      <c r="Y90" s="446"/>
      <c r="Z90" s="446"/>
      <c r="AA90" s="446"/>
      <c r="AB90" s="446"/>
      <c r="AC90" s="446"/>
      <c r="AD90" s="95"/>
      <c r="AE90" s="22"/>
      <c r="AF90" s="22"/>
      <c r="AG90" s="22"/>
    </row>
    <row r="91" spans="1:33" x14ac:dyDescent="0.3">
      <c r="A91" s="800" t="s">
        <v>58</v>
      </c>
      <c r="B91" s="801"/>
      <c r="C91" s="801"/>
      <c r="D91" s="802"/>
      <c r="E91" s="111">
        <v>0</v>
      </c>
      <c r="F91" s="111">
        <v>0</v>
      </c>
      <c r="G91" s="111">
        <v>0</v>
      </c>
      <c r="H91" s="111">
        <v>0</v>
      </c>
      <c r="I91" s="111">
        <v>0</v>
      </c>
      <c r="J91" s="111">
        <v>0</v>
      </c>
      <c r="K91" s="111">
        <v>0</v>
      </c>
      <c r="L91" s="173">
        <f t="shared" ref="L91:L97" si="0">SUM(E91:K91)</f>
        <v>0</v>
      </c>
      <c r="M91" s="446"/>
      <c r="N91" s="446"/>
      <c r="O91" s="446"/>
      <c r="P91" s="446"/>
      <c r="Q91" s="446"/>
      <c r="R91" s="446"/>
      <c r="S91" s="446"/>
      <c r="T91" s="446"/>
      <c r="U91" s="446"/>
      <c r="V91" s="446"/>
      <c r="W91" s="446"/>
      <c r="X91" s="446"/>
      <c r="Y91" s="446"/>
      <c r="Z91" s="95"/>
      <c r="AA91" s="95"/>
      <c r="AB91" s="95"/>
      <c r="AC91" s="95"/>
      <c r="AD91" s="95"/>
      <c r="AE91" s="22"/>
      <c r="AF91" s="22"/>
      <c r="AG91" s="22"/>
    </row>
    <row r="92" spans="1:33" x14ac:dyDescent="0.3">
      <c r="A92" s="800" t="s">
        <v>59</v>
      </c>
      <c r="B92" s="801"/>
      <c r="C92" s="801"/>
      <c r="D92" s="802"/>
      <c r="E92" s="111">
        <v>0</v>
      </c>
      <c r="F92" s="111">
        <v>0</v>
      </c>
      <c r="G92" s="111">
        <v>0</v>
      </c>
      <c r="H92" s="111">
        <v>0</v>
      </c>
      <c r="I92" s="111">
        <v>0</v>
      </c>
      <c r="J92" s="111">
        <v>0</v>
      </c>
      <c r="K92" s="110">
        <v>0</v>
      </c>
      <c r="L92" s="173">
        <f t="shared" si="0"/>
        <v>0</v>
      </c>
      <c r="M92" s="446"/>
      <c r="N92" s="446"/>
      <c r="O92" s="446"/>
      <c r="P92" s="446"/>
      <c r="Q92" s="446"/>
      <c r="R92" s="446"/>
      <c r="S92" s="446"/>
      <c r="T92" s="446"/>
      <c r="U92" s="446"/>
      <c r="V92" s="446"/>
      <c r="W92" s="446"/>
      <c r="X92" s="446"/>
      <c r="Y92" s="446"/>
      <c r="Z92" s="95"/>
      <c r="AA92" s="95"/>
      <c r="AB92" s="95"/>
      <c r="AC92" s="95"/>
      <c r="AD92" s="95"/>
      <c r="AE92" s="22"/>
      <c r="AF92" s="22"/>
      <c r="AG92" s="22"/>
    </row>
    <row r="93" spans="1:33" x14ac:dyDescent="0.3">
      <c r="A93" s="800" t="s">
        <v>60</v>
      </c>
      <c r="B93" s="801"/>
      <c r="C93" s="801"/>
      <c r="D93" s="802"/>
      <c r="E93" s="111">
        <v>0</v>
      </c>
      <c r="F93" s="111">
        <v>0</v>
      </c>
      <c r="G93" s="111">
        <v>0</v>
      </c>
      <c r="H93" s="111">
        <v>0</v>
      </c>
      <c r="I93" s="111">
        <v>0</v>
      </c>
      <c r="J93" s="111">
        <v>0</v>
      </c>
      <c r="K93" s="105">
        <v>0</v>
      </c>
      <c r="L93" s="173">
        <f t="shared" si="0"/>
        <v>0</v>
      </c>
      <c r="M93" s="823"/>
      <c r="N93" s="823"/>
      <c r="O93" s="823"/>
      <c r="P93" s="823"/>
      <c r="Q93" s="823"/>
      <c r="R93" s="823"/>
      <c r="S93" s="823"/>
      <c r="T93" s="823"/>
      <c r="U93" s="823"/>
      <c r="V93" s="823"/>
      <c r="W93" s="823"/>
      <c r="X93" s="823"/>
      <c r="Y93" s="823"/>
      <c r="Z93" s="823"/>
      <c r="AA93" s="823"/>
      <c r="AB93" s="823"/>
      <c r="AC93" s="823"/>
      <c r="AD93" s="823"/>
      <c r="AE93" s="22"/>
      <c r="AF93" s="22"/>
      <c r="AG93" s="22"/>
    </row>
    <row r="94" spans="1:33" x14ac:dyDescent="0.3">
      <c r="A94" s="800" t="s">
        <v>61</v>
      </c>
      <c r="B94" s="801"/>
      <c r="C94" s="801"/>
      <c r="D94" s="802"/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0">
        <v>0</v>
      </c>
      <c r="L94" s="173">
        <f t="shared" si="0"/>
        <v>0</v>
      </c>
      <c r="M94" s="823"/>
      <c r="N94" s="823"/>
      <c r="O94" s="823"/>
      <c r="P94" s="823"/>
      <c r="Q94" s="823"/>
      <c r="R94" s="823"/>
      <c r="S94" s="823"/>
      <c r="T94" s="823"/>
      <c r="U94" s="823"/>
      <c r="V94" s="823"/>
      <c r="W94" s="823"/>
      <c r="X94" s="823"/>
      <c r="Y94" s="823"/>
      <c r="Z94" s="823"/>
      <c r="AA94" s="823"/>
      <c r="AB94" s="823"/>
      <c r="AC94" s="823"/>
      <c r="AD94" s="823"/>
      <c r="AE94" s="22"/>
      <c r="AF94" s="22"/>
      <c r="AG94" s="22"/>
    </row>
    <row r="95" spans="1:33" ht="21.75" customHeight="1" x14ac:dyDescent="0.3">
      <c r="A95" s="800" t="s">
        <v>62</v>
      </c>
      <c r="B95" s="801"/>
      <c r="C95" s="801"/>
      <c r="D95" s="802"/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05">
        <v>0</v>
      </c>
      <c r="L95" s="173">
        <f t="shared" si="0"/>
        <v>0</v>
      </c>
      <c r="M95" s="446"/>
      <c r="N95" s="446"/>
      <c r="O95" s="446"/>
      <c r="P95" s="446"/>
      <c r="Q95" s="446"/>
      <c r="R95" s="446"/>
      <c r="S95" s="446"/>
      <c r="T95" s="446"/>
      <c r="U95" s="446"/>
      <c r="V95" s="446"/>
      <c r="W95" s="446"/>
      <c r="X95" s="446"/>
      <c r="Y95" s="446"/>
      <c r="Z95" s="95"/>
      <c r="AA95" s="95"/>
      <c r="AB95" s="95"/>
      <c r="AC95" s="95"/>
      <c r="AD95" s="95"/>
      <c r="AE95" s="22"/>
      <c r="AF95" s="22"/>
      <c r="AG95" s="22"/>
    </row>
    <row r="96" spans="1:33" ht="16.5" customHeight="1" x14ac:dyDescent="0.3">
      <c r="A96" s="853" t="s">
        <v>63</v>
      </c>
      <c r="B96" s="854"/>
      <c r="C96" s="854"/>
      <c r="D96" s="855"/>
      <c r="E96" s="111">
        <v>0</v>
      </c>
      <c r="F96" s="111">
        <v>0</v>
      </c>
      <c r="G96" s="111">
        <v>0</v>
      </c>
      <c r="H96" s="111">
        <v>0</v>
      </c>
      <c r="I96" s="111">
        <v>0</v>
      </c>
      <c r="J96" s="111">
        <v>0</v>
      </c>
      <c r="K96" s="105">
        <v>0</v>
      </c>
      <c r="L96" s="173">
        <f t="shared" si="0"/>
        <v>0</v>
      </c>
      <c r="M96" s="446"/>
      <c r="N96" s="446"/>
      <c r="O96" s="446"/>
      <c r="P96" s="446"/>
      <c r="Q96" s="446"/>
      <c r="R96" s="446"/>
      <c r="S96" s="446"/>
      <c r="T96" s="446"/>
      <c r="U96" s="446"/>
      <c r="V96" s="446"/>
      <c r="W96" s="446"/>
      <c r="X96" s="446"/>
      <c r="Y96" s="446"/>
      <c r="Z96" s="95"/>
      <c r="AA96" s="95"/>
      <c r="AB96" s="95"/>
      <c r="AC96" s="95"/>
      <c r="AD96" s="95"/>
      <c r="AE96" s="22"/>
      <c r="AF96" s="22"/>
      <c r="AG96" s="22"/>
    </row>
    <row r="97" spans="1:33" ht="27" customHeight="1" thickBot="1" x14ac:dyDescent="0.35">
      <c r="A97" s="858" t="s">
        <v>64</v>
      </c>
      <c r="B97" s="859"/>
      <c r="C97" s="859"/>
      <c r="D97" s="860"/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74">
        <f t="shared" si="0"/>
        <v>0</v>
      </c>
      <c r="M97" s="446"/>
      <c r="N97" s="446"/>
      <c r="O97" s="446"/>
      <c r="P97" s="446"/>
      <c r="Q97" s="446"/>
      <c r="R97" s="446"/>
      <c r="S97" s="446"/>
      <c r="T97" s="446"/>
      <c r="U97" s="446"/>
      <c r="V97" s="446"/>
      <c r="W97" s="446"/>
      <c r="X97" s="446"/>
      <c r="Y97" s="446"/>
      <c r="Z97" s="95"/>
      <c r="AA97" s="95"/>
      <c r="AB97" s="95"/>
      <c r="AC97" s="95"/>
      <c r="AD97" s="95"/>
      <c r="AE97" s="22"/>
      <c r="AF97" s="22"/>
      <c r="AG97" s="22"/>
    </row>
    <row r="98" spans="1:33" ht="15" thickTop="1" thickBot="1" x14ac:dyDescent="0.35">
      <c r="A98" s="690" t="s">
        <v>11</v>
      </c>
      <c r="B98" s="691"/>
      <c r="C98" s="691"/>
      <c r="D98" s="692"/>
      <c r="E98" s="168">
        <f t="shared" ref="E98:K98" si="1">SUM(E89:E97)</f>
        <v>0</v>
      </c>
      <c r="F98" s="169">
        <f t="shared" si="1"/>
        <v>0</v>
      </c>
      <c r="G98" s="169">
        <f t="shared" si="1"/>
        <v>0</v>
      </c>
      <c r="H98" s="169">
        <f t="shared" si="1"/>
        <v>0</v>
      </c>
      <c r="I98" s="169">
        <f t="shared" si="1"/>
        <v>0</v>
      </c>
      <c r="J98" s="169">
        <f t="shared" si="1"/>
        <v>0</v>
      </c>
      <c r="K98" s="170">
        <f t="shared" si="1"/>
        <v>0</v>
      </c>
      <c r="L98" s="171">
        <f>SUM(E98:K98)</f>
        <v>0</v>
      </c>
      <c r="M98" s="446" t="str">
        <f>IF(L98&lt;&gt;H19,"Section 4.1 - The Total of the ""Total"" should be equal to ""Closed during reporting period"" of Section 1.1","")</f>
        <v/>
      </c>
      <c r="N98" s="446"/>
      <c r="O98" s="446"/>
      <c r="P98" s="446"/>
      <c r="Q98" s="446"/>
      <c r="R98" s="446"/>
      <c r="S98" s="446"/>
      <c r="T98" s="446"/>
      <c r="U98" s="96"/>
      <c r="V98" s="96"/>
      <c r="W98" s="96"/>
      <c r="X98" s="96"/>
      <c r="Y98" s="96"/>
      <c r="Z98" s="95"/>
      <c r="AA98" s="95"/>
      <c r="AB98" s="95"/>
      <c r="AC98" s="95"/>
      <c r="AD98" s="95"/>
      <c r="AE98" s="22"/>
      <c r="AF98" s="22"/>
      <c r="AG98" s="22"/>
    </row>
    <row r="99" spans="1:33" ht="14.25" customHeight="1" thickTop="1" x14ac:dyDescent="0.3">
      <c r="F99" s="775"/>
      <c r="G99" s="775"/>
      <c r="L99" s="50">
        <f>SUM(L89:L92,L95:L97)</f>
        <v>0</v>
      </c>
      <c r="M99" s="446"/>
      <c r="N99" s="446"/>
      <c r="O99" s="446"/>
      <c r="P99" s="446"/>
      <c r="Q99" s="446"/>
      <c r="R99" s="446"/>
      <c r="S99" s="446"/>
      <c r="T99" s="446"/>
      <c r="U99" s="96"/>
      <c r="V99" s="96"/>
      <c r="W99" s="96"/>
      <c r="X99" s="96"/>
      <c r="Y99" s="96"/>
      <c r="Z99" s="95"/>
      <c r="AA99" s="95"/>
      <c r="AB99" s="95"/>
      <c r="AC99" s="95"/>
      <c r="AD99" s="95"/>
      <c r="AE99" s="22"/>
      <c r="AF99" s="22"/>
      <c r="AG99" s="22"/>
    </row>
    <row r="100" spans="1:33" x14ac:dyDescent="0.3">
      <c r="A100" s="414" t="s">
        <v>65</v>
      </c>
      <c r="B100" s="414"/>
      <c r="C100" s="414"/>
      <c r="D100" s="414"/>
      <c r="E100" s="414"/>
      <c r="F100" s="414"/>
      <c r="G100" s="414"/>
      <c r="H100" s="414"/>
      <c r="I100" s="414"/>
      <c r="J100" s="414"/>
      <c r="K100" s="414"/>
      <c r="L100" s="414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22"/>
      <c r="AD100" s="22"/>
      <c r="AE100" s="22"/>
      <c r="AF100" s="22"/>
      <c r="AG100" s="22"/>
    </row>
    <row r="101" spans="1:33" ht="14.25" customHeight="1" thickBot="1" x14ac:dyDescent="0.3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22"/>
      <c r="AD101" s="22"/>
      <c r="AE101" s="22"/>
      <c r="AF101" s="22"/>
      <c r="AG101" s="22"/>
    </row>
    <row r="102" spans="1:33" ht="39.75" customHeight="1" thickTop="1" thickBot="1" x14ac:dyDescent="0.35">
      <c r="A102" s="494" t="s">
        <v>66</v>
      </c>
      <c r="B102" s="495"/>
      <c r="C102" s="165" t="s">
        <v>6</v>
      </c>
      <c r="D102" s="786" t="s">
        <v>66</v>
      </c>
      <c r="E102" s="561"/>
      <c r="F102" s="245" t="s">
        <v>6</v>
      </c>
      <c r="G102" s="494" t="s">
        <v>66</v>
      </c>
      <c r="H102" s="495"/>
      <c r="I102" s="246" t="s">
        <v>6</v>
      </c>
      <c r="J102" s="494" t="s">
        <v>66</v>
      </c>
      <c r="K102" s="495"/>
      <c r="L102" s="246" t="s">
        <v>6</v>
      </c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22"/>
      <c r="AD102" s="22"/>
      <c r="AE102" s="22"/>
      <c r="AF102" s="22"/>
      <c r="AG102" s="22"/>
    </row>
    <row r="103" spans="1:33" ht="14.25" customHeight="1" thickTop="1" x14ac:dyDescent="0.3">
      <c r="A103" s="496" t="s">
        <v>67</v>
      </c>
      <c r="B103" s="497"/>
      <c r="C103" s="146">
        <v>0</v>
      </c>
      <c r="D103" s="856" t="s">
        <v>68</v>
      </c>
      <c r="E103" s="857"/>
      <c r="F103" s="153">
        <v>0</v>
      </c>
      <c r="G103" s="496" t="s">
        <v>69</v>
      </c>
      <c r="H103" s="497"/>
      <c r="I103" s="125">
        <v>0</v>
      </c>
      <c r="J103" s="496">
        <v>20.100000000000001</v>
      </c>
      <c r="K103" s="497"/>
      <c r="L103" s="175">
        <v>0</v>
      </c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22"/>
      <c r="AD103" s="22"/>
      <c r="AE103" s="22"/>
      <c r="AF103" s="22"/>
      <c r="AG103" s="22"/>
    </row>
    <row r="104" spans="1:33" ht="14.25" customHeight="1" x14ac:dyDescent="0.3">
      <c r="A104" s="389" t="s">
        <v>70</v>
      </c>
      <c r="B104" s="608"/>
      <c r="C104" s="233">
        <v>0</v>
      </c>
      <c r="D104" s="389" t="s">
        <v>71</v>
      </c>
      <c r="E104" s="390"/>
      <c r="F104" s="175">
        <v>0</v>
      </c>
      <c r="G104" s="389" t="s">
        <v>72</v>
      </c>
      <c r="H104" s="390"/>
      <c r="I104" s="176">
        <v>0</v>
      </c>
      <c r="J104" s="389">
        <v>20.2</v>
      </c>
      <c r="K104" s="390"/>
      <c r="L104" s="145">
        <v>0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22"/>
      <c r="AD104" s="22"/>
      <c r="AE104" s="22"/>
      <c r="AF104" s="22"/>
      <c r="AG104" s="22"/>
    </row>
    <row r="105" spans="1:33" ht="14.25" customHeight="1" x14ac:dyDescent="0.3">
      <c r="A105" s="389" t="s">
        <v>73</v>
      </c>
      <c r="B105" s="608"/>
      <c r="C105" s="233">
        <v>0</v>
      </c>
      <c r="D105" s="389" t="s">
        <v>74</v>
      </c>
      <c r="E105" s="390"/>
      <c r="F105" s="145">
        <v>0</v>
      </c>
      <c r="G105" s="389" t="s">
        <v>75</v>
      </c>
      <c r="H105" s="390"/>
      <c r="I105" s="176">
        <v>0</v>
      </c>
      <c r="J105" s="389">
        <v>20.399999999999999</v>
      </c>
      <c r="K105" s="390"/>
      <c r="L105" s="145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22"/>
      <c r="AD105" s="22"/>
      <c r="AE105" s="22"/>
      <c r="AF105" s="22"/>
      <c r="AG105" s="22"/>
    </row>
    <row r="106" spans="1:33" ht="14.25" customHeight="1" x14ac:dyDescent="0.3">
      <c r="A106" s="389" t="s">
        <v>76</v>
      </c>
      <c r="B106" s="608"/>
      <c r="C106" s="233">
        <v>0</v>
      </c>
      <c r="D106" s="389" t="s">
        <v>77</v>
      </c>
      <c r="E106" s="390"/>
      <c r="F106" s="145">
        <v>0</v>
      </c>
      <c r="G106" s="389" t="s">
        <v>78</v>
      </c>
      <c r="H106" s="390"/>
      <c r="I106" s="176">
        <v>0</v>
      </c>
      <c r="J106" s="389" t="s">
        <v>79</v>
      </c>
      <c r="K106" s="390"/>
      <c r="L106" s="145">
        <v>0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22"/>
      <c r="AD106" s="22"/>
      <c r="AE106" s="22"/>
      <c r="AF106" s="22"/>
      <c r="AG106" s="22"/>
    </row>
    <row r="107" spans="1:33" ht="14.25" customHeight="1" x14ac:dyDescent="0.3">
      <c r="A107" s="389" t="s">
        <v>80</v>
      </c>
      <c r="B107" s="608"/>
      <c r="C107" s="233">
        <v>0</v>
      </c>
      <c r="D107" s="389" t="s">
        <v>81</v>
      </c>
      <c r="E107" s="390"/>
      <c r="F107" s="145">
        <v>0</v>
      </c>
      <c r="G107" s="389" t="s">
        <v>82</v>
      </c>
      <c r="H107" s="390"/>
      <c r="I107" s="176">
        <v>0</v>
      </c>
      <c r="J107" s="389" t="s">
        <v>83</v>
      </c>
      <c r="K107" s="390"/>
      <c r="L107" s="145">
        <v>0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22"/>
      <c r="AD107" s="22"/>
      <c r="AE107" s="22"/>
      <c r="AF107" s="22"/>
      <c r="AG107" s="22"/>
    </row>
    <row r="108" spans="1:33" ht="14.25" customHeight="1" x14ac:dyDescent="0.3">
      <c r="A108" s="807">
        <v>14</v>
      </c>
      <c r="B108" s="808"/>
      <c r="C108" s="244">
        <v>0</v>
      </c>
      <c r="D108" s="389" t="s">
        <v>84</v>
      </c>
      <c r="E108" s="390"/>
      <c r="F108" s="145">
        <v>0</v>
      </c>
      <c r="G108" s="389" t="s">
        <v>85</v>
      </c>
      <c r="H108" s="390"/>
      <c r="I108" s="176">
        <v>0</v>
      </c>
      <c r="J108" s="389" t="s">
        <v>86</v>
      </c>
      <c r="K108" s="390"/>
      <c r="L108" s="145">
        <v>0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22"/>
      <c r="AD108" s="22"/>
      <c r="AE108" s="22"/>
      <c r="AF108" s="22"/>
      <c r="AG108" s="22"/>
    </row>
    <row r="109" spans="1:33" ht="14.25" customHeight="1" x14ac:dyDescent="0.3">
      <c r="A109" s="389" t="s">
        <v>87</v>
      </c>
      <c r="B109" s="390"/>
      <c r="C109" s="145">
        <v>0</v>
      </c>
      <c r="D109" s="389" t="s">
        <v>88</v>
      </c>
      <c r="E109" s="390"/>
      <c r="F109" s="145">
        <v>0</v>
      </c>
      <c r="G109" s="389" t="s">
        <v>89</v>
      </c>
      <c r="H109" s="390"/>
      <c r="I109" s="176">
        <v>0</v>
      </c>
      <c r="J109" s="389" t="s">
        <v>90</v>
      </c>
      <c r="K109" s="390"/>
      <c r="L109" s="145">
        <v>0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22"/>
      <c r="AD109" s="22"/>
      <c r="AE109" s="22"/>
      <c r="AF109" s="22"/>
      <c r="AG109" s="22"/>
    </row>
    <row r="110" spans="1:33" ht="14.25" customHeight="1" x14ac:dyDescent="0.3">
      <c r="A110" s="389" t="s">
        <v>91</v>
      </c>
      <c r="B110" s="608"/>
      <c r="C110" s="233">
        <v>0</v>
      </c>
      <c r="D110" s="389" t="s">
        <v>92</v>
      </c>
      <c r="E110" s="390"/>
      <c r="F110" s="145">
        <v>0</v>
      </c>
      <c r="G110" s="389" t="s">
        <v>93</v>
      </c>
      <c r="H110" s="390"/>
      <c r="I110" s="176">
        <v>0</v>
      </c>
      <c r="J110" s="389">
        <v>22</v>
      </c>
      <c r="K110" s="390"/>
      <c r="L110" s="145">
        <v>0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22"/>
      <c r="AD110" s="22"/>
      <c r="AE110" s="22"/>
      <c r="AF110" s="22"/>
      <c r="AG110" s="22"/>
    </row>
    <row r="111" spans="1:33" ht="14.25" customHeight="1" x14ac:dyDescent="0.3">
      <c r="A111" s="498" t="s">
        <v>94</v>
      </c>
      <c r="B111" s="499"/>
      <c r="C111" s="244">
        <v>0</v>
      </c>
      <c r="D111" s="389" t="s">
        <v>95</v>
      </c>
      <c r="E111" s="390"/>
      <c r="F111" s="145">
        <v>0</v>
      </c>
      <c r="G111" s="389" t="s">
        <v>96</v>
      </c>
      <c r="H111" s="390"/>
      <c r="I111" s="176">
        <v>0</v>
      </c>
      <c r="J111" s="389" t="s">
        <v>97</v>
      </c>
      <c r="K111" s="390"/>
      <c r="L111" s="145">
        <v>0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22"/>
      <c r="AD111" s="22"/>
      <c r="AE111" s="22"/>
      <c r="AF111" s="22"/>
      <c r="AG111" s="22"/>
    </row>
    <row r="112" spans="1:33" ht="14.25" customHeight="1" x14ac:dyDescent="0.3">
      <c r="A112" s="389" t="s">
        <v>98</v>
      </c>
      <c r="B112" s="608"/>
      <c r="C112" s="233">
        <v>0</v>
      </c>
      <c r="D112" s="389" t="s">
        <v>99</v>
      </c>
      <c r="E112" s="390"/>
      <c r="F112" s="145">
        <v>0</v>
      </c>
      <c r="G112" s="389" t="s">
        <v>100</v>
      </c>
      <c r="H112" s="390"/>
      <c r="I112" s="176">
        <v>0</v>
      </c>
      <c r="J112" s="389">
        <v>23</v>
      </c>
      <c r="K112" s="390"/>
      <c r="L112" s="145">
        <v>0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22"/>
      <c r="AD112" s="22"/>
      <c r="AE112" s="22"/>
      <c r="AF112" s="22"/>
      <c r="AG112" s="22"/>
    </row>
    <row r="113" spans="1:33" ht="14.25" customHeight="1" x14ac:dyDescent="0.3">
      <c r="A113" s="389" t="s">
        <v>101</v>
      </c>
      <c r="B113" s="390"/>
      <c r="C113" s="145">
        <v>0</v>
      </c>
      <c r="D113" s="389">
        <v>16.3</v>
      </c>
      <c r="E113" s="390"/>
      <c r="F113" s="145">
        <v>0</v>
      </c>
      <c r="G113" s="389" t="s">
        <v>102</v>
      </c>
      <c r="H113" s="390"/>
      <c r="I113" s="176">
        <v>0</v>
      </c>
      <c r="J113" s="389">
        <v>23.1</v>
      </c>
      <c r="K113" s="390"/>
      <c r="L113" s="145">
        <v>0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22"/>
      <c r="AD113" s="22"/>
      <c r="AE113" s="22"/>
      <c r="AF113" s="22"/>
      <c r="AG113" s="22"/>
    </row>
    <row r="114" spans="1:33" ht="14.25" customHeight="1" x14ac:dyDescent="0.3">
      <c r="A114" s="389" t="s">
        <v>103</v>
      </c>
      <c r="B114" s="608"/>
      <c r="C114" s="233">
        <v>0</v>
      </c>
      <c r="D114" s="389" t="s">
        <v>104</v>
      </c>
      <c r="E114" s="390"/>
      <c r="F114" s="145">
        <v>0</v>
      </c>
      <c r="G114" s="389" t="s">
        <v>105</v>
      </c>
      <c r="H114" s="390"/>
      <c r="I114" s="176">
        <v>0</v>
      </c>
      <c r="J114" s="389" t="s">
        <v>106</v>
      </c>
      <c r="K114" s="390"/>
      <c r="L114" s="145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22"/>
      <c r="AD114" s="22"/>
      <c r="AE114" s="22"/>
      <c r="AF114" s="22"/>
      <c r="AG114" s="22"/>
    </row>
    <row r="115" spans="1:33" ht="14.25" customHeight="1" thickBot="1" x14ac:dyDescent="0.35">
      <c r="A115" s="389" t="s">
        <v>107</v>
      </c>
      <c r="B115" s="608"/>
      <c r="C115" s="233">
        <v>0</v>
      </c>
      <c r="D115" s="389" t="s">
        <v>108</v>
      </c>
      <c r="E115" s="390"/>
      <c r="F115" s="145">
        <v>0</v>
      </c>
      <c r="G115" s="389" t="s">
        <v>109</v>
      </c>
      <c r="H115" s="390"/>
      <c r="I115" s="176">
        <v>0</v>
      </c>
      <c r="J115" s="615">
        <v>26</v>
      </c>
      <c r="K115" s="617"/>
      <c r="L115" s="149">
        <v>0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22"/>
      <c r="AD115" s="22"/>
      <c r="AE115" s="22"/>
      <c r="AF115" s="22"/>
      <c r="AG115" s="22"/>
    </row>
    <row r="116" spans="1:33" ht="14.25" customHeight="1" thickTop="1" thickBot="1" x14ac:dyDescent="0.35">
      <c r="A116" s="389" t="s">
        <v>110</v>
      </c>
      <c r="B116" s="390"/>
      <c r="C116" s="145">
        <v>0</v>
      </c>
      <c r="D116" s="389">
        <v>16.5</v>
      </c>
      <c r="E116" s="390"/>
      <c r="F116" s="145">
        <v>0</v>
      </c>
      <c r="G116" s="615" t="s">
        <v>111</v>
      </c>
      <c r="H116" s="617"/>
      <c r="I116" s="177">
        <v>0</v>
      </c>
      <c r="J116" s="97"/>
      <c r="K116" s="32"/>
      <c r="L116" s="33"/>
      <c r="M116" s="142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22"/>
      <c r="AD116" s="22"/>
      <c r="AE116" s="22"/>
      <c r="AF116" s="22"/>
      <c r="AG116" s="22"/>
    </row>
    <row r="117" spans="1:33" ht="14.25" customHeight="1" thickTop="1" x14ac:dyDescent="0.3">
      <c r="A117" s="389" t="s">
        <v>112</v>
      </c>
      <c r="B117" s="608"/>
      <c r="C117" s="233">
        <v>0</v>
      </c>
      <c r="D117" s="389">
        <v>16.600000000000001</v>
      </c>
      <c r="E117" s="390"/>
      <c r="F117" s="145">
        <v>0</v>
      </c>
      <c r="G117" s="22"/>
      <c r="H117" s="22"/>
      <c r="I117" s="166"/>
      <c r="J117" s="22"/>
      <c r="K117" s="22"/>
      <c r="L117" s="22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22"/>
      <c r="AD117" s="22"/>
      <c r="AE117" s="22"/>
      <c r="AF117" s="22"/>
      <c r="AG117" s="22"/>
    </row>
    <row r="118" spans="1:33" ht="14.25" customHeight="1" thickBot="1" x14ac:dyDescent="0.35">
      <c r="A118" s="389" t="s">
        <v>113</v>
      </c>
      <c r="B118" s="608"/>
      <c r="C118" s="233">
        <v>0</v>
      </c>
      <c r="D118" s="615">
        <v>17</v>
      </c>
      <c r="E118" s="617"/>
      <c r="F118" s="149">
        <v>0</v>
      </c>
      <c r="G118" s="22"/>
      <c r="H118" s="22"/>
      <c r="I118" s="22"/>
      <c r="J118" s="22"/>
      <c r="K118" s="22"/>
      <c r="L118" s="22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22"/>
      <c r="AD118" s="22"/>
      <c r="AE118" s="22"/>
      <c r="AF118" s="22"/>
      <c r="AG118" s="22"/>
    </row>
    <row r="119" spans="1:33" ht="14.25" customHeight="1" thickTop="1" x14ac:dyDescent="0.3">
      <c r="A119" s="613" t="s">
        <v>114</v>
      </c>
      <c r="B119" s="614"/>
      <c r="C119" s="233">
        <v>0</v>
      </c>
      <c r="G119" s="32"/>
      <c r="H119" s="32"/>
      <c r="I119" s="33"/>
      <c r="J119" s="34"/>
      <c r="K119" s="34"/>
      <c r="L119" s="33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22"/>
      <c r="AD119" s="22"/>
      <c r="AE119" s="22"/>
      <c r="AF119" s="22"/>
      <c r="AG119" s="22"/>
    </row>
    <row r="120" spans="1:33" ht="14.25" customHeight="1" thickBot="1" x14ac:dyDescent="0.35">
      <c r="A120" s="615" t="s">
        <v>115</v>
      </c>
      <c r="B120" s="616"/>
      <c r="C120" s="234">
        <v>0</v>
      </c>
      <c r="D120" s="35"/>
      <c r="E120" s="36" t="s">
        <v>116</v>
      </c>
      <c r="F120" s="37"/>
      <c r="G120" s="37"/>
      <c r="H120" s="37"/>
      <c r="I120" s="37"/>
      <c r="J120" s="37"/>
      <c r="K120" s="37"/>
      <c r="L120" s="37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22"/>
      <c r="AD120" s="22"/>
      <c r="AE120" s="22"/>
      <c r="AF120" s="22"/>
      <c r="AG120" s="22"/>
    </row>
    <row r="121" spans="1:33" ht="14.25" customHeight="1" thickTop="1" x14ac:dyDescent="0.3"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22"/>
      <c r="AD121" s="22"/>
      <c r="AE121" s="22"/>
      <c r="AF121" s="22"/>
      <c r="AG121" s="22"/>
    </row>
    <row r="122" spans="1:33" x14ac:dyDescent="0.3">
      <c r="A122" s="415" t="s">
        <v>117</v>
      </c>
      <c r="B122" s="415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22"/>
      <c r="AD122" s="22"/>
      <c r="AE122" s="22"/>
      <c r="AF122" s="22"/>
      <c r="AG122" s="22"/>
    </row>
    <row r="123" spans="1:33" ht="14.25" customHeight="1" thickBot="1" x14ac:dyDescent="0.35">
      <c r="C123" s="20"/>
      <c r="D123" s="20"/>
      <c r="E123" s="20"/>
      <c r="F123" s="20"/>
      <c r="G123" s="20"/>
      <c r="H123" s="20"/>
      <c r="I123" s="20"/>
      <c r="J123" s="20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22"/>
      <c r="AD123" s="22"/>
      <c r="AE123" s="22"/>
      <c r="AF123" s="22"/>
      <c r="AG123" s="22"/>
    </row>
    <row r="124" spans="1:33" ht="28" customHeight="1" thickTop="1" thickBot="1" x14ac:dyDescent="0.35">
      <c r="A124" s="844" t="s">
        <v>66</v>
      </c>
      <c r="B124" s="845"/>
      <c r="C124" s="532" t="s">
        <v>6</v>
      </c>
      <c r="D124" s="533"/>
      <c r="E124" s="841" t="s">
        <v>66</v>
      </c>
      <c r="F124" s="842"/>
      <c r="G124" s="382" t="s">
        <v>6</v>
      </c>
      <c r="H124" s="521"/>
      <c r="I124" s="844" t="s">
        <v>66</v>
      </c>
      <c r="J124" s="845"/>
      <c r="K124" s="382" t="s">
        <v>6</v>
      </c>
      <c r="L124" s="521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22"/>
      <c r="AD124" s="22"/>
      <c r="AE124" s="22"/>
      <c r="AF124" s="22"/>
      <c r="AG124" s="22"/>
    </row>
    <row r="125" spans="1:33" ht="14.25" customHeight="1" thickTop="1" x14ac:dyDescent="0.3">
      <c r="A125" s="496" t="s">
        <v>118</v>
      </c>
      <c r="B125" s="843"/>
      <c r="C125" s="410">
        <v>0</v>
      </c>
      <c r="D125" s="363"/>
      <c r="E125" s="849" t="s">
        <v>119</v>
      </c>
      <c r="F125" s="798"/>
      <c r="G125" s="362">
        <v>0</v>
      </c>
      <c r="H125" s="363"/>
      <c r="I125" s="496" t="s">
        <v>120</v>
      </c>
      <c r="J125" s="497"/>
      <c r="K125" s="362">
        <v>0</v>
      </c>
      <c r="L125" s="363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22"/>
      <c r="AD125" s="22"/>
      <c r="AE125" s="22"/>
      <c r="AF125" s="22"/>
      <c r="AG125" s="22"/>
    </row>
    <row r="126" spans="1:33" ht="14.25" customHeight="1" x14ac:dyDescent="0.3">
      <c r="A126" s="389" t="s">
        <v>121</v>
      </c>
      <c r="B126" s="608"/>
      <c r="C126" s="387">
        <v>0</v>
      </c>
      <c r="D126" s="388"/>
      <c r="E126" s="829" t="s">
        <v>122</v>
      </c>
      <c r="F126" s="801"/>
      <c r="G126" s="591">
        <v>0</v>
      </c>
      <c r="H126" s="388"/>
      <c r="I126" s="389" t="s">
        <v>123</v>
      </c>
      <c r="J126" s="390"/>
      <c r="K126" s="591">
        <v>0</v>
      </c>
      <c r="L126" s="388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22"/>
      <c r="AD126" s="22"/>
      <c r="AE126" s="22"/>
      <c r="AF126" s="22"/>
      <c r="AG126" s="22"/>
    </row>
    <row r="127" spans="1:33" ht="14.25" customHeight="1" x14ac:dyDescent="0.3">
      <c r="A127" s="389" t="s">
        <v>124</v>
      </c>
      <c r="B127" s="608"/>
      <c r="C127" s="387">
        <v>0</v>
      </c>
      <c r="D127" s="388"/>
      <c r="E127" s="389" t="s">
        <v>125</v>
      </c>
      <c r="F127" s="390"/>
      <c r="G127" s="591">
        <v>0</v>
      </c>
      <c r="H127" s="388"/>
      <c r="I127" s="389" t="s">
        <v>126</v>
      </c>
      <c r="J127" s="390"/>
      <c r="K127" s="591">
        <v>0</v>
      </c>
      <c r="L127" s="388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22"/>
      <c r="AD127" s="22"/>
      <c r="AE127" s="22"/>
      <c r="AF127" s="22"/>
      <c r="AG127" s="22"/>
    </row>
    <row r="128" spans="1:33" x14ac:dyDescent="0.3">
      <c r="A128" s="389" t="s">
        <v>127</v>
      </c>
      <c r="B128" s="608"/>
      <c r="C128" s="387">
        <v>0</v>
      </c>
      <c r="D128" s="388"/>
      <c r="E128" s="389" t="s">
        <v>128</v>
      </c>
      <c r="F128" s="390"/>
      <c r="G128" s="591">
        <v>0</v>
      </c>
      <c r="H128" s="388"/>
      <c r="I128" s="389" t="s">
        <v>129</v>
      </c>
      <c r="J128" s="390"/>
      <c r="K128" s="591">
        <v>0</v>
      </c>
      <c r="L128" s="388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22"/>
      <c r="AD128" s="22"/>
      <c r="AE128" s="22"/>
      <c r="AF128" s="22"/>
      <c r="AG128" s="22"/>
    </row>
    <row r="129" spans="1:33" x14ac:dyDescent="0.3">
      <c r="A129" s="389" t="s">
        <v>130</v>
      </c>
      <c r="B129" s="608"/>
      <c r="C129" s="387">
        <v>0</v>
      </c>
      <c r="D129" s="388"/>
      <c r="E129" s="389" t="s">
        <v>131</v>
      </c>
      <c r="F129" s="390"/>
      <c r="G129" s="591">
        <v>0</v>
      </c>
      <c r="H129" s="388"/>
      <c r="I129" s="389" t="s">
        <v>132</v>
      </c>
      <c r="J129" s="390"/>
      <c r="K129" s="591">
        <v>0</v>
      </c>
      <c r="L129" s="388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22"/>
      <c r="AD129" s="22"/>
      <c r="AE129" s="22"/>
      <c r="AF129" s="22"/>
      <c r="AG129" s="22"/>
    </row>
    <row r="130" spans="1:33" ht="14.5" thickBot="1" x14ac:dyDescent="0.35">
      <c r="A130" s="615" t="s">
        <v>133</v>
      </c>
      <c r="B130" s="616"/>
      <c r="C130" s="394">
        <v>0</v>
      </c>
      <c r="D130" s="395"/>
      <c r="E130" s="389" t="s">
        <v>134</v>
      </c>
      <c r="F130" s="390"/>
      <c r="G130" s="591">
        <v>0</v>
      </c>
      <c r="H130" s="388"/>
      <c r="I130" s="389" t="s">
        <v>135</v>
      </c>
      <c r="J130" s="390"/>
      <c r="K130" s="591">
        <v>0</v>
      </c>
      <c r="L130" s="388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22"/>
      <c r="AD130" s="22"/>
      <c r="AE130" s="22"/>
      <c r="AF130" s="22"/>
      <c r="AG130" s="22"/>
    </row>
    <row r="131" spans="1:33" ht="14.25" customHeight="1" thickTop="1" thickBot="1" x14ac:dyDescent="0.35">
      <c r="A131" s="824"/>
      <c r="B131" s="824"/>
      <c r="C131" s="695"/>
      <c r="D131" s="696"/>
      <c r="E131" s="615" t="s">
        <v>136</v>
      </c>
      <c r="F131" s="617"/>
      <c r="G131" s="817">
        <v>0</v>
      </c>
      <c r="H131" s="395"/>
      <c r="I131" s="615" t="s">
        <v>137</v>
      </c>
      <c r="J131" s="617"/>
      <c r="K131" s="817">
        <v>0</v>
      </c>
      <c r="L131" s="395"/>
      <c r="M131" s="142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22"/>
      <c r="AD131" s="22"/>
      <c r="AE131" s="22"/>
      <c r="AF131" s="22"/>
      <c r="AG131" s="22"/>
    </row>
    <row r="132" spans="1:33" ht="14.25" customHeight="1" thickTop="1" x14ac:dyDescent="0.3">
      <c r="A132" s="34"/>
      <c r="B132" s="34"/>
      <c r="C132" s="34"/>
      <c r="D132" s="34"/>
      <c r="E132" s="39"/>
      <c r="F132" s="39"/>
      <c r="G132" s="33"/>
      <c r="H132" s="33"/>
      <c r="I132" s="39"/>
      <c r="J132" s="39"/>
      <c r="K132" s="33"/>
      <c r="L132" s="33"/>
      <c r="M132" s="847"/>
      <c r="N132" s="847"/>
      <c r="O132" s="847"/>
      <c r="P132" s="847"/>
      <c r="Q132" s="847"/>
      <c r="R132" s="847"/>
      <c r="S132" s="847"/>
      <c r="T132" s="847"/>
      <c r="U132" s="847"/>
      <c r="V132" s="847"/>
      <c r="W132" s="46"/>
      <c r="X132" s="46"/>
      <c r="Y132" s="46"/>
      <c r="Z132" s="46"/>
      <c r="AA132" s="46"/>
      <c r="AB132" s="46"/>
      <c r="AC132" s="22"/>
      <c r="AD132" s="22"/>
      <c r="AE132" s="22"/>
      <c r="AF132" s="22"/>
      <c r="AG132" s="22"/>
    </row>
    <row r="133" spans="1:33" ht="14.25" customHeight="1" x14ac:dyDescent="0.3">
      <c r="A133" s="479" t="s">
        <v>138</v>
      </c>
      <c r="B133" s="479"/>
      <c r="C133" s="479"/>
      <c r="D133" s="479"/>
      <c r="E133" s="479"/>
      <c r="F133" s="479"/>
      <c r="G133" s="479"/>
      <c r="H133" s="479"/>
      <c r="I133" s="479"/>
      <c r="J133" s="479"/>
      <c r="K133" s="479"/>
      <c r="L133" s="479"/>
      <c r="M133" s="847"/>
      <c r="N133" s="847"/>
      <c r="O133" s="847"/>
      <c r="P133" s="847"/>
      <c r="Q133" s="847"/>
      <c r="R133" s="847"/>
      <c r="S133" s="847"/>
      <c r="T133" s="847"/>
      <c r="U133" s="847"/>
      <c r="V133" s="847"/>
      <c r="W133" s="46"/>
      <c r="X133" s="46"/>
      <c r="Y133" s="46"/>
      <c r="Z133" s="46"/>
      <c r="AA133" s="46"/>
      <c r="AB133" s="46"/>
      <c r="AC133" s="22"/>
      <c r="AD133" s="22"/>
      <c r="AE133" s="22"/>
      <c r="AF133" s="22"/>
      <c r="AG133" s="22"/>
    </row>
    <row r="134" spans="1:33" ht="14.25" customHeight="1" thickBot="1" x14ac:dyDescent="0.35">
      <c r="M134" s="848"/>
      <c r="N134" s="848"/>
      <c r="O134" s="848"/>
      <c r="P134" s="848"/>
      <c r="Q134" s="848"/>
      <c r="R134" s="848"/>
      <c r="S134" s="848"/>
      <c r="T134" s="848"/>
      <c r="U134" s="848"/>
      <c r="V134" s="848"/>
      <c r="W134" s="848"/>
      <c r="X134" s="848"/>
      <c r="Y134" s="848"/>
      <c r="Z134" s="848"/>
      <c r="AA134" s="46"/>
      <c r="AB134" s="46"/>
      <c r="AC134" s="22"/>
      <c r="AD134" s="22"/>
      <c r="AE134" s="22"/>
      <c r="AF134" s="22"/>
      <c r="AG134" s="22"/>
    </row>
    <row r="135" spans="1:33" ht="14.25" customHeight="1" thickTop="1" x14ac:dyDescent="0.3">
      <c r="A135" s="598" t="s">
        <v>139</v>
      </c>
      <c r="B135" s="602"/>
      <c r="C135" s="610" t="s">
        <v>140</v>
      </c>
      <c r="D135" s="611"/>
      <c r="E135" s="611"/>
      <c r="F135" s="611"/>
      <c r="G135" s="612"/>
      <c r="H135" s="529" t="s">
        <v>141</v>
      </c>
      <c r="I135" s="530"/>
      <c r="J135" s="42"/>
      <c r="K135" s="42"/>
      <c r="M135" s="846"/>
      <c r="N135" s="846"/>
      <c r="O135" s="846"/>
      <c r="P135" s="846"/>
      <c r="Q135" s="846"/>
      <c r="R135" s="846"/>
      <c r="S135" s="846"/>
      <c r="T135" s="846"/>
      <c r="U135" s="846"/>
      <c r="V135" s="846"/>
      <c r="W135" s="846"/>
      <c r="X135" s="846"/>
      <c r="Y135" s="846"/>
      <c r="Z135" s="846"/>
      <c r="AA135" s="46"/>
      <c r="AB135" s="46"/>
      <c r="AC135" s="22"/>
      <c r="AD135" s="22"/>
      <c r="AE135" s="22"/>
      <c r="AF135" s="22"/>
      <c r="AG135" s="22"/>
    </row>
    <row r="136" spans="1:33" ht="14.25" customHeight="1" thickBot="1" x14ac:dyDescent="0.35">
      <c r="A136" s="600"/>
      <c r="B136" s="603"/>
      <c r="C136" s="609" t="s">
        <v>142</v>
      </c>
      <c r="D136" s="563"/>
      <c r="E136" s="122" t="s">
        <v>143</v>
      </c>
      <c r="F136" s="123" t="s">
        <v>144</v>
      </c>
      <c r="G136" s="124" t="s">
        <v>145</v>
      </c>
      <c r="H136" s="531"/>
      <c r="I136" s="533"/>
      <c r="J136" s="42"/>
      <c r="K136" s="42"/>
      <c r="M136" s="846"/>
      <c r="N136" s="846"/>
      <c r="O136" s="846"/>
      <c r="P136" s="846"/>
      <c r="Q136" s="846"/>
      <c r="R136" s="846"/>
      <c r="S136" s="846"/>
      <c r="T136" s="846"/>
      <c r="U136" s="846"/>
      <c r="V136" s="846"/>
      <c r="W136" s="846"/>
      <c r="X136" s="846"/>
      <c r="Y136" s="846"/>
      <c r="Z136" s="846"/>
      <c r="AA136" s="46"/>
      <c r="AB136" s="46"/>
      <c r="AC136" s="22"/>
      <c r="AD136" s="22"/>
      <c r="AE136" s="22"/>
      <c r="AF136" s="22"/>
      <c r="AG136" s="22"/>
    </row>
    <row r="137" spans="1:33" ht="14.25" customHeight="1" thickTop="1" thickBot="1" x14ac:dyDescent="0.35">
      <c r="A137" s="500">
        <v>0</v>
      </c>
      <c r="B137" s="518"/>
      <c r="C137" s="500">
        <v>0</v>
      </c>
      <c r="D137" s="501"/>
      <c r="E137" s="178">
        <v>0</v>
      </c>
      <c r="F137" s="178">
        <v>0</v>
      </c>
      <c r="G137" s="179">
        <v>0</v>
      </c>
      <c r="H137" s="816">
        <v>0</v>
      </c>
      <c r="I137" s="816"/>
      <c r="M137" s="839"/>
      <c r="N137" s="839"/>
      <c r="O137" s="839"/>
      <c r="P137" s="839"/>
      <c r="Q137" s="839"/>
      <c r="R137" s="839"/>
      <c r="S137" s="839"/>
      <c r="T137" s="839"/>
      <c r="U137" s="839"/>
      <c r="V137" s="839"/>
      <c r="W137" s="839"/>
      <c r="X137" s="839"/>
      <c r="Y137" s="839"/>
      <c r="Z137" s="839"/>
      <c r="AA137" s="95"/>
      <c r="AB137" s="95"/>
      <c r="AC137" s="95"/>
      <c r="AD137" s="95"/>
      <c r="AE137" s="22"/>
      <c r="AF137" s="22"/>
      <c r="AG137" s="22"/>
    </row>
    <row r="138" spans="1:33" ht="14.25" customHeight="1" thickTop="1" x14ac:dyDescent="0.3">
      <c r="M138" s="839"/>
      <c r="N138" s="839"/>
      <c r="O138" s="839"/>
      <c r="P138" s="839"/>
      <c r="Q138" s="839"/>
      <c r="R138" s="839"/>
      <c r="S138" s="839"/>
      <c r="T138" s="839"/>
      <c r="U138" s="839"/>
      <c r="V138" s="839"/>
      <c r="W138" s="839"/>
      <c r="X138" s="839"/>
      <c r="Y138" s="839"/>
      <c r="Z138" s="839"/>
      <c r="AA138" s="46"/>
      <c r="AB138" s="46"/>
      <c r="AC138" s="22"/>
      <c r="AD138" s="22"/>
      <c r="AE138" s="22"/>
      <c r="AF138" s="22"/>
      <c r="AG138" s="22"/>
    </row>
    <row r="139" spans="1:33" ht="14.25" customHeight="1" x14ac:dyDescent="0.3">
      <c r="A139" s="414" t="s">
        <v>146</v>
      </c>
      <c r="B139" s="414"/>
      <c r="C139" s="414"/>
      <c r="D139" s="414"/>
      <c r="E139" s="414"/>
      <c r="F139" s="414"/>
      <c r="G139" s="414"/>
      <c r="H139" s="414"/>
      <c r="I139" s="414"/>
      <c r="J139" s="414"/>
      <c r="K139" s="414"/>
      <c r="L139" s="414"/>
      <c r="M139" s="846"/>
      <c r="N139" s="846"/>
      <c r="O139" s="846"/>
      <c r="P139" s="846"/>
      <c r="Q139" s="846"/>
      <c r="R139" s="846"/>
      <c r="S139" s="846"/>
      <c r="T139" s="846"/>
      <c r="U139" s="846"/>
      <c r="V139" s="846"/>
      <c r="W139" s="846"/>
      <c r="X139" s="846"/>
      <c r="Y139" s="846"/>
      <c r="Z139" s="846"/>
      <c r="AA139" s="46"/>
      <c r="AB139" s="46"/>
      <c r="AC139" s="22"/>
      <c r="AD139" s="22"/>
      <c r="AE139" s="22"/>
      <c r="AF139" s="22"/>
      <c r="AG139" s="22"/>
    </row>
    <row r="140" spans="1:33" ht="14.25" customHeight="1" x14ac:dyDescent="0.3">
      <c r="A140" s="25"/>
      <c r="M140" s="142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22"/>
      <c r="AD140" s="22"/>
      <c r="AE140" s="22"/>
      <c r="AF140" s="22"/>
      <c r="AG140" s="22"/>
    </row>
    <row r="141" spans="1:33" x14ac:dyDescent="0.3">
      <c r="A141" s="478" t="s">
        <v>147</v>
      </c>
      <c r="B141" s="478"/>
      <c r="C141" s="478"/>
      <c r="D141" s="478"/>
      <c r="E141" s="478"/>
      <c r="F141" s="478"/>
      <c r="G141" s="478"/>
      <c r="H141" s="478"/>
      <c r="I141" s="478"/>
      <c r="J141" s="478"/>
      <c r="K141" s="478"/>
      <c r="L141" s="478"/>
      <c r="M141" s="142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22"/>
      <c r="AD141" s="22"/>
      <c r="AE141" s="22"/>
      <c r="AF141" s="22"/>
      <c r="AG141" s="22"/>
    </row>
    <row r="142" spans="1:33" ht="14.25" customHeight="1" thickBot="1" x14ac:dyDescent="0.35">
      <c r="M142" s="142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22"/>
      <c r="AD142" s="22"/>
      <c r="AE142" s="22"/>
      <c r="AF142" s="22"/>
      <c r="AG142" s="22"/>
    </row>
    <row r="143" spans="1:33" ht="30.75" customHeight="1" thickTop="1" thickBot="1" x14ac:dyDescent="0.35">
      <c r="A143" s="494" t="s">
        <v>148</v>
      </c>
      <c r="B143" s="382"/>
      <c r="C143" s="495"/>
      <c r="D143" s="382" t="s">
        <v>149</v>
      </c>
      <c r="E143" s="383"/>
      <c r="F143" s="383"/>
      <c r="G143" s="384" t="s">
        <v>6</v>
      </c>
      <c r="H143" s="385"/>
      <c r="I143" s="386"/>
      <c r="J143" s="155"/>
      <c r="M143" s="446"/>
      <c r="N143" s="446"/>
      <c r="O143" s="446"/>
      <c r="P143" s="446"/>
      <c r="Q143" s="446"/>
      <c r="R143" s="446"/>
      <c r="S143" s="446"/>
      <c r="T143" s="446"/>
      <c r="U143" s="446"/>
      <c r="V143" s="446"/>
      <c r="W143" s="446"/>
      <c r="X143" s="446"/>
      <c r="Y143" s="446"/>
      <c r="Z143" s="95"/>
      <c r="AA143" s="95"/>
      <c r="AB143" s="95"/>
      <c r="AC143" s="95"/>
      <c r="AD143" s="95"/>
      <c r="AE143" s="22"/>
      <c r="AF143" s="22"/>
      <c r="AG143" s="22"/>
    </row>
    <row r="144" spans="1:33" ht="14.25" customHeight="1" thickTop="1" thickBot="1" x14ac:dyDescent="0.35">
      <c r="A144" s="593">
        <v>0</v>
      </c>
      <c r="B144" s="543"/>
      <c r="C144" s="594"/>
      <c r="D144" s="595">
        <v>0</v>
      </c>
      <c r="E144" s="596"/>
      <c r="F144" s="597"/>
      <c r="G144" s="542">
        <v>0</v>
      </c>
      <c r="H144" s="543"/>
      <c r="I144" s="544"/>
      <c r="J144" s="155"/>
      <c r="M144" s="446"/>
      <c r="N144" s="446"/>
      <c r="O144" s="446"/>
      <c r="P144" s="446"/>
      <c r="Q144" s="446"/>
      <c r="R144" s="446"/>
      <c r="S144" s="446"/>
      <c r="T144" s="446"/>
      <c r="U144" s="446"/>
      <c r="V144" s="446"/>
      <c r="W144" s="446"/>
      <c r="X144" s="446"/>
      <c r="Y144" s="446"/>
      <c r="Z144" s="95"/>
      <c r="AA144" s="95"/>
      <c r="AB144" s="95"/>
      <c r="AC144" s="95"/>
      <c r="AD144" s="95"/>
      <c r="AE144" s="22"/>
      <c r="AF144" s="22"/>
      <c r="AG144" s="22"/>
    </row>
    <row r="145" spans="1:33" ht="14.25" customHeight="1" thickTop="1" x14ac:dyDescent="0.3">
      <c r="A145" s="163"/>
      <c r="B145" s="163"/>
      <c r="C145" s="163"/>
      <c r="D145" s="163"/>
      <c r="E145" s="163"/>
      <c r="F145" s="163"/>
      <c r="M145" s="823"/>
      <c r="N145" s="823"/>
      <c r="O145" s="823"/>
      <c r="P145" s="823"/>
      <c r="Q145" s="823"/>
      <c r="R145" s="823"/>
      <c r="S145" s="823"/>
      <c r="T145" s="823"/>
      <c r="U145" s="823"/>
      <c r="V145" s="823"/>
      <c r="W145" s="823"/>
      <c r="X145" s="823"/>
      <c r="Y145" s="823"/>
      <c r="Z145" s="823"/>
      <c r="AA145" s="823"/>
      <c r="AB145" s="823"/>
      <c r="AC145" s="823"/>
      <c r="AD145" s="823"/>
      <c r="AE145" s="22"/>
      <c r="AF145" s="22"/>
      <c r="AG145" s="22"/>
    </row>
    <row r="146" spans="1:33" ht="13.5" customHeight="1" x14ac:dyDescent="0.3">
      <c r="A146" s="592" t="s">
        <v>150</v>
      </c>
      <c r="B146" s="592"/>
      <c r="C146" s="592"/>
      <c r="D146" s="592"/>
      <c r="E146" s="592"/>
      <c r="F146" s="592"/>
      <c r="G146" s="592"/>
      <c r="H146" s="592"/>
      <c r="I146" s="592"/>
      <c r="J146" s="592"/>
      <c r="K146" s="592"/>
      <c r="L146" s="592"/>
      <c r="M146" s="268"/>
      <c r="N146" s="268"/>
      <c r="O146" s="268"/>
      <c r="P146" s="268"/>
      <c r="Q146" s="268"/>
      <c r="R146" s="268"/>
      <c r="S146" s="268"/>
      <c r="T146" s="268"/>
      <c r="U146" s="268"/>
      <c r="V146" s="46"/>
      <c r="W146" s="46"/>
      <c r="X146" s="46"/>
      <c r="Y146" s="46"/>
      <c r="Z146" s="46"/>
      <c r="AA146" s="46"/>
      <c r="AB146" s="46"/>
      <c r="AC146" s="22"/>
      <c r="AD146" s="22"/>
      <c r="AE146" s="22"/>
      <c r="AF146" s="22"/>
      <c r="AG146" s="22"/>
    </row>
    <row r="147" spans="1:33" x14ac:dyDescent="0.3">
      <c r="A147" s="592"/>
      <c r="B147" s="592"/>
      <c r="C147" s="592"/>
      <c r="D147" s="592"/>
      <c r="E147" s="592"/>
      <c r="F147" s="592"/>
      <c r="G147" s="592"/>
      <c r="H147" s="592"/>
      <c r="I147" s="592"/>
      <c r="J147" s="592"/>
      <c r="K147" s="592"/>
      <c r="L147" s="592"/>
      <c r="M147" s="268"/>
      <c r="N147" s="268"/>
      <c r="O147" s="268"/>
      <c r="P147" s="268"/>
      <c r="Q147" s="268"/>
      <c r="R147" s="268"/>
      <c r="S147" s="268"/>
      <c r="T147" s="268"/>
      <c r="U147" s="268"/>
      <c r="V147" s="46"/>
      <c r="W147" s="46"/>
      <c r="X147" s="46"/>
      <c r="Y147" s="46"/>
      <c r="Z147" s="46"/>
      <c r="AA147" s="46"/>
      <c r="AB147" s="46"/>
      <c r="AC147" s="22"/>
      <c r="AD147" s="22"/>
      <c r="AE147" s="22"/>
      <c r="AF147" s="22"/>
      <c r="AG147" s="22"/>
    </row>
    <row r="148" spans="1:33" ht="14.5" thickBot="1" x14ac:dyDescent="0.35">
      <c r="A148" s="269"/>
      <c r="B148" s="269"/>
      <c r="C148" s="280"/>
      <c r="D148" s="280"/>
      <c r="E148" s="280"/>
      <c r="F148" s="280"/>
      <c r="G148" s="280"/>
      <c r="H148" s="280"/>
      <c r="I148" s="269"/>
      <c r="J148" s="269"/>
      <c r="K148" s="269"/>
      <c r="L148" s="269"/>
      <c r="M148" s="268"/>
      <c r="N148" s="268"/>
      <c r="O148" s="268"/>
      <c r="P148" s="268"/>
      <c r="Q148" s="268"/>
      <c r="R148" s="268"/>
      <c r="S148" s="268"/>
      <c r="T148" s="268"/>
      <c r="U148" s="268"/>
      <c r="V148" s="46"/>
      <c r="W148" s="46"/>
      <c r="X148" s="46"/>
      <c r="Y148" s="46"/>
      <c r="Z148" s="46"/>
      <c r="AA148" s="46"/>
      <c r="AB148" s="46"/>
      <c r="AC148" s="22"/>
      <c r="AD148" s="22"/>
      <c r="AE148" s="22"/>
      <c r="AF148" s="22"/>
      <c r="AG148" s="22"/>
    </row>
    <row r="149" spans="1:33" ht="30" customHeight="1" thickTop="1" x14ac:dyDescent="0.3">
      <c r="A149" s="598" t="s">
        <v>151</v>
      </c>
      <c r="B149" s="599"/>
      <c r="C149" s="693" t="s">
        <v>152</v>
      </c>
      <c r="D149" s="694"/>
      <c r="E149" s="693" t="s">
        <v>153</v>
      </c>
      <c r="F149" s="694"/>
      <c r="G149" s="693" t="s">
        <v>154</v>
      </c>
      <c r="H149" s="803"/>
      <c r="I149" s="281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46"/>
      <c r="W149" s="46"/>
      <c r="X149" s="46"/>
      <c r="Y149" s="22"/>
      <c r="Z149" s="22"/>
      <c r="AA149" s="22"/>
      <c r="AB149" s="22"/>
      <c r="AC149" s="22"/>
    </row>
    <row r="150" spans="1:33" ht="33" customHeight="1" thickBot="1" x14ac:dyDescent="0.35">
      <c r="A150" s="600"/>
      <c r="B150" s="601"/>
      <c r="C150" s="277" t="s">
        <v>6</v>
      </c>
      <c r="D150" s="278" t="s">
        <v>155</v>
      </c>
      <c r="E150" s="277" t="s">
        <v>6</v>
      </c>
      <c r="F150" s="278" t="s">
        <v>155</v>
      </c>
      <c r="G150" s="277" t="s">
        <v>6</v>
      </c>
      <c r="H150" s="278" t="s">
        <v>155</v>
      </c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46"/>
      <c r="W150" s="46"/>
      <c r="X150" s="46"/>
      <c r="Y150" s="22"/>
      <c r="Z150" s="22"/>
      <c r="AA150" s="22"/>
      <c r="AB150" s="22"/>
      <c r="AC150" s="22"/>
    </row>
    <row r="151" spans="1:33" ht="14.25" customHeight="1" thickTop="1" x14ac:dyDescent="0.3">
      <c r="A151" s="489" t="s">
        <v>56</v>
      </c>
      <c r="B151" s="491"/>
      <c r="C151" s="265">
        <v>0</v>
      </c>
      <c r="D151" s="264">
        <v>0</v>
      </c>
      <c r="E151" s="265">
        <v>0</v>
      </c>
      <c r="F151" s="264">
        <v>0</v>
      </c>
      <c r="G151" s="265">
        <v>0</v>
      </c>
      <c r="H151" s="282">
        <v>0</v>
      </c>
      <c r="I151" s="381"/>
      <c r="J151" s="381"/>
      <c r="K151" s="381"/>
      <c r="L151" s="381"/>
      <c r="M151" s="381"/>
      <c r="N151" s="381"/>
      <c r="O151" s="381"/>
      <c r="P151" s="381"/>
      <c r="Q151" s="381"/>
      <c r="R151" s="381"/>
      <c r="S151" s="381"/>
      <c r="T151" s="381"/>
      <c r="U151" s="381"/>
      <c r="V151" s="46"/>
      <c r="W151" s="46"/>
      <c r="X151" s="46"/>
      <c r="Y151" s="22"/>
      <c r="Z151" s="22"/>
      <c r="AA151" s="22"/>
      <c r="AB151" s="22"/>
      <c r="AC151" s="22"/>
    </row>
    <row r="152" spans="1:33" ht="16.5" customHeight="1" x14ac:dyDescent="0.3">
      <c r="A152" s="379" t="s">
        <v>57</v>
      </c>
      <c r="B152" s="380"/>
      <c r="C152" s="262">
        <v>0</v>
      </c>
      <c r="D152" s="233">
        <v>0</v>
      </c>
      <c r="E152" s="262">
        <v>0</v>
      </c>
      <c r="F152" s="233">
        <v>0</v>
      </c>
      <c r="G152" s="265">
        <v>0</v>
      </c>
      <c r="H152" s="264">
        <v>0</v>
      </c>
      <c r="I152" s="381"/>
      <c r="J152" s="381"/>
      <c r="K152" s="381"/>
      <c r="L152" s="381"/>
      <c r="M152" s="381"/>
      <c r="N152" s="381"/>
      <c r="O152" s="381"/>
      <c r="P152" s="381"/>
      <c r="Q152" s="381"/>
      <c r="R152" s="381"/>
      <c r="S152" s="381"/>
      <c r="T152" s="381"/>
      <c r="U152" s="381"/>
      <c r="V152" s="46"/>
      <c r="W152" s="46"/>
      <c r="X152" s="46"/>
      <c r="Y152" s="22"/>
      <c r="Z152" s="22"/>
      <c r="AA152" s="22"/>
      <c r="AB152" s="22"/>
      <c r="AC152" s="22"/>
    </row>
    <row r="153" spans="1:33" x14ac:dyDescent="0.3">
      <c r="A153" s="356" t="s">
        <v>58</v>
      </c>
      <c r="B153" s="358"/>
      <c r="C153" s="262">
        <v>0</v>
      </c>
      <c r="D153" s="233">
        <v>0</v>
      </c>
      <c r="E153" s="262">
        <v>0</v>
      </c>
      <c r="F153" s="233">
        <v>0</v>
      </c>
      <c r="G153" s="265">
        <v>0</v>
      </c>
      <c r="H153" s="264">
        <v>0</v>
      </c>
      <c r="I153" s="381"/>
      <c r="J153" s="381"/>
      <c r="K153" s="381"/>
      <c r="L153" s="381"/>
      <c r="M153" s="381"/>
      <c r="N153" s="381"/>
      <c r="O153" s="381"/>
      <c r="P153" s="381"/>
      <c r="Q153" s="381"/>
      <c r="R153" s="381"/>
      <c r="S153" s="381"/>
      <c r="T153" s="381"/>
      <c r="U153" s="381"/>
      <c r="V153" s="46"/>
      <c r="W153" s="46"/>
      <c r="X153" s="46"/>
      <c r="Y153" s="22"/>
      <c r="Z153" s="22"/>
      <c r="AA153" s="22"/>
      <c r="AB153" s="22"/>
      <c r="AC153" s="22"/>
    </row>
    <row r="154" spans="1:33" x14ac:dyDescent="0.3">
      <c r="A154" s="356" t="s">
        <v>59</v>
      </c>
      <c r="B154" s="358"/>
      <c r="C154" s="262">
        <v>0</v>
      </c>
      <c r="D154" s="233">
        <v>0</v>
      </c>
      <c r="E154" s="262">
        <v>0</v>
      </c>
      <c r="F154" s="233">
        <v>0</v>
      </c>
      <c r="G154" s="265">
        <v>0</v>
      </c>
      <c r="H154" s="264">
        <v>0</v>
      </c>
      <c r="I154" s="381"/>
      <c r="J154" s="381"/>
      <c r="K154" s="381"/>
      <c r="L154" s="381"/>
      <c r="M154" s="381"/>
      <c r="N154" s="381"/>
      <c r="O154" s="381"/>
      <c r="P154" s="381"/>
      <c r="Q154" s="381"/>
      <c r="R154" s="381"/>
      <c r="S154" s="381"/>
      <c r="T154" s="381"/>
      <c r="U154" s="381"/>
      <c r="V154" s="46"/>
      <c r="W154" s="46"/>
      <c r="X154" s="46"/>
      <c r="Y154" s="22"/>
      <c r="Z154" s="22"/>
      <c r="AA154" s="22"/>
      <c r="AB154" s="22"/>
      <c r="AC154" s="22"/>
    </row>
    <row r="155" spans="1:33" ht="25.15" customHeight="1" x14ac:dyDescent="0.3">
      <c r="A155" s="379" t="s">
        <v>156</v>
      </c>
      <c r="B155" s="380"/>
      <c r="C155" s="262">
        <v>0</v>
      </c>
      <c r="D155" s="261">
        <v>0</v>
      </c>
      <c r="E155" s="262">
        <v>0</v>
      </c>
      <c r="F155" s="233">
        <v>0</v>
      </c>
      <c r="G155" s="265">
        <v>0</v>
      </c>
      <c r="H155" s="264">
        <v>0</v>
      </c>
      <c r="I155" s="381"/>
      <c r="J155" s="381"/>
      <c r="K155" s="381"/>
      <c r="L155" s="381"/>
      <c r="M155" s="381"/>
      <c r="N155" s="381"/>
      <c r="O155" s="381"/>
      <c r="P155" s="381"/>
      <c r="Q155" s="381"/>
      <c r="R155" s="381"/>
      <c r="S155" s="381"/>
      <c r="T155" s="381"/>
      <c r="U155" s="381"/>
      <c r="V155" s="46"/>
      <c r="W155" s="46"/>
      <c r="X155" s="46"/>
      <c r="Y155" s="22"/>
      <c r="Z155" s="22"/>
      <c r="AA155" s="22"/>
      <c r="AB155" s="22"/>
      <c r="AC155" s="22"/>
    </row>
    <row r="156" spans="1:33" ht="27" customHeight="1" x14ac:dyDescent="0.3">
      <c r="A156" s="379" t="s">
        <v>63</v>
      </c>
      <c r="B156" s="380"/>
      <c r="C156" s="262">
        <v>0</v>
      </c>
      <c r="D156" s="283">
        <v>0</v>
      </c>
      <c r="E156" s="284">
        <v>0</v>
      </c>
      <c r="F156" s="285">
        <v>0</v>
      </c>
      <c r="G156" s="286">
        <v>0</v>
      </c>
      <c r="H156" s="287">
        <v>0</v>
      </c>
      <c r="I156" s="381"/>
      <c r="J156" s="381"/>
      <c r="K156" s="381"/>
      <c r="L156" s="381"/>
      <c r="M156" s="381"/>
      <c r="N156" s="381"/>
      <c r="O156" s="381"/>
      <c r="P156" s="381"/>
      <c r="Q156" s="381"/>
      <c r="R156" s="381"/>
      <c r="S156" s="381"/>
      <c r="T156" s="381"/>
      <c r="U156" s="381"/>
      <c r="V156" s="46"/>
      <c r="W156" s="46"/>
      <c r="X156" s="46"/>
      <c r="Y156" s="22"/>
      <c r="Z156" s="22"/>
      <c r="AA156" s="22"/>
      <c r="AB156" s="22"/>
      <c r="AC156" s="22"/>
    </row>
    <row r="157" spans="1:33" ht="54" customHeight="1" thickBot="1" x14ac:dyDescent="0.35">
      <c r="A157" s="699" t="s">
        <v>64</v>
      </c>
      <c r="B157" s="806"/>
      <c r="C157" s="288">
        <v>0</v>
      </c>
      <c r="D157" s="289">
        <v>0</v>
      </c>
      <c r="E157" s="288">
        <v>0</v>
      </c>
      <c r="F157" s="290">
        <v>0</v>
      </c>
      <c r="G157" s="148">
        <v>0</v>
      </c>
      <c r="H157" s="290">
        <v>0</v>
      </c>
      <c r="I157" s="381"/>
      <c r="J157" s="381"/>
      <c r="K157" s="381"/>
      <c r="L157" s="381"/>
      <c r="M157" s="381"/>
      <c r="N157" s="381"/>
      <c r="O157" s="381"/>
      <c r="P157" s="381"/>
      <c r="Q157" s="381"/>
      <c r="R157" s="381"/>
      <c r="S157" s="381"/>
      <c r="T157" s="381"/>
      <c r="U157" s="381"/>
      <c r="V157" s="46"/>
      <c r="W157" s="46"/>
      <c r="X157" s="46"/>
      <c r="Y157" s="22"/>
      <c r="Z157" s="22"/>
      <c r="AA157" s="22"/>
      <c r="AB157" s="22"/>
      <c r="AC157" s="22"/>
    </row>
    <row r="158" spans="1:33" ht="14.25" customHeight="1" thickTop="1" thickBot="1" x14ac:dyDescent="0.35">
      <c r="A158" s="553" t="s">
        <v>11</v>
      </c>
      <c r="B158" s="555"/>
      <c r="C158" s="195">
        <f t="shared" ref="C158:H158" si="2">SUM(C151:C157)</f>
        <v>0</v>
      </c>
      <c r="D158" s="263">
        <f t="shared" si="2"/>
        <v>0</v>
      </c>
      <c r="E158" s="195">
        <f t="shared" si="2"/>
        <v>0</v>
      </c>
      <c r="F158" s="263">
        <f>SUM(F151:F157)</f>
        <v>0</v>
      </c>
      <c r="G158" s="195">
        <f t="shared" si="2"/>
        <v>0</v>
      </c>
      <c r="H158" s="263">
        <f t="shared" si="2"/>
        <v>0</v>
      </c>
      <c r="I158" s="347" t="str">
        <f>IF(G144&lt;&gt;SUM(C158,E158,G158),"Section 4.5.2 - The ""Total"" of ""Number of Requests"" should be equal to the ""Number of Requests"" of Section 4.5.1.","")</f>
        <v/>
      </c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46"/>
      <c r="W158" s="46"/>
      <c r="X158" s="46"/>
      <c r="Y158" s="22"/>
      <c r="Z158" s="22"/>
      <c r="AA158" s="22"/>
      <c r="AB158" s="22"/>
      <c r="AC158" s="22"/>
    </row>
    <row r="159" spans="1:33" ht="14.5" thickTop="1" x14ac:dyDescent="0.3">
      <c r="A159" s="44"/>
      <c r="B159" s="44"/>
      <c r="C159" s="33"/>
      <c r="D159" s="33"/>
      <c r="E159" s="33"/>
      <c r="F159" s="526"/>
      <c r="G159" s="526"/>
      <c r="H159" s="33"/>
      <c r="I159" s="350" t="str">
        <f>IF(A144&lt;&gt;SUM(D158,F158,H158),"Section 4.5.2 - The total of Columns of ""Pages Processed"" should be equal to the ""Number of Pages Processed"" of Section 4.5.1.","")</f>
        <v/>
      </c>
      <c r="J159" s="33"/>
      <c r="K159" s="33"/>
      <c r="L159" s="33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46"/>
      <c r="AA159" s="46"/>
      <c r="AB159" s="46"/>
      <c r="AC159" s="22"/>
      <c r="AD159" s="22"/>
      <c r="AE159" s="22"/>
      <c r="AF159" s="22"/>
      <c r="AG159" s="22"/>
    </row>
    <row r="160" spans="1:33" s="269" customFormat="1" x14ac:dyDescent="0.3">
      <c r="A160" s="391" t="s">
        <v>157</v>
      </c>
      <c r="B160" s="391"/>
      <c r="C160" s="391"/>
      <c r="D160" s="391"/>
      <c r="E160" s="391"/>
      <c r="F160" s="391"/>
      <c r="G160" s="391"/>
      <c r="H160" s="391"/>
      <c r="I160" s="391"/>
      <c r="J160" s="33"/>
      <c r="K160" s="33"/>
      <c r="L160" s="33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  <c r="AF160" s="268"/>
      <c r="AG160" s="268"/>
    </row>
    <row r="161" spans="1:33" ht="14.25" customHeight="1" thickBot="1" x14ac:dyDescent="0.35"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22"/>
      <c r="AD161" s="22"/>
      <c r="AE161" s="22"/>
      <c r="AF161" s="22"/>
      <c r="AG161" s="22"/>
    </row>
    <row r="162" spans="1:33" ht="27.75" customHeight="1" thickTop="1" thickBot="1" x14ac:dyDescent="0.35">
      <c r="A162" s="545" t="s">
        <v>158</v>
      </c>
      <c r="B162" s="546"/>
      <c r="C162" s="836"/>
      <c r="D162" s="399" t="s">
        <v>159</v>
      </c>
      <c r="E162" s="400"/>
      <c r="F162" s="401"/>
      <c r="G162" s="402" t="s">
        <v>6</v>
      </c>
      <c r="H162" s="403"/>
      <c r="I162" s="404"/>
      <c r="M162" s="446"/>
      <c r="N162" s="446"/>
      <c r="O162" s="446"/>
      <c r="P162" s="446"/>
      <c r="Q162" s="446"/>
      <c r="R162" s="446"/>
      <c r="S162" s="446"/>
      <c r="T162" s="446"/>
      <c r="U162" s="446"/>
      <c r="V162" s="446"/>
      <c r="W162" s="446"/>
      <c r="X162" s="446"/>
      <c r="Y162" s="446"/>
      <c r="Z162" s="46"/>
      <c r="AA162" s="46"/>
      <c r="AB162" s="46"/>
      <c r="AC162" s="22"/>
      <c r="AD162" s="22"/>
      <c r="AE162" s="22"/>
      <c r="AF162" s="22"/>
      <c r="AG162" s="22"/>
    </row>
    <row r="163" spans="1:33" ht="14.25" customHeight="1" thickTop="1" thickBot="1" x14ac:dyDescent="0.35">
      <c r="A163" s="364">
        <v>0</v>
      </c>
      <c r="B163" s="365"/>
      <c r="C163" s="366"/>
      <c r="D163" s="367">
        <v>0</v>
      </c>
      <c r="E163" s="368"/>
      <c r="F163" s="369"/>
      <c r="G163" s="367">
        <v>0</v>
      </c>
      <c r="H163" s="365"/>
      <c r="I163" s="710"/>
      <c r="M163" s="446"/>
      <c r="N163" s="446"/>
      <c r="O163" s="446"/>
      <c r="P163" s="446"/>
      <c r="Q163" s="446"/>
      <c r="R163" s="446"/>
      <c r="S163" s="446"/>
      <c r="T163" s="446"/>
      <c r="U163" s="446"/>
      <c r="V163" s="446"/>
      <c r="W163" s="446"/>
      <c r="X163" s="446"/>
      <c r="Y163" s="446"/>
      <c r="Z163" s="46"/>
      <c r="AA163" s="46"/>
      <c r="AB163" s="46"/>
      <c r="AC163" s="22"/>
      <c r="AD163" s="22"/>
      <c r="AE163" s="22"/>
      <c r="AF163" s="22"/>
      <c r="AG163" s="22"/>
    </row>
    <row r="164" spans="1:33" ht="13.5" customHeight="1" thickTop="1" x14ac:dyDescent="0.3">
      <c r="A164" s="477" t="s">
        <v>160</v>
      </c>
      <c r="B164" s="477"/>
      <c r="C164" s="477"/>
      <c r="D164" s="477"/>
      <c r="E164" s="477"/>
      <c r="F164" s="477"/>
      <c r="G164" s="477"/>
      <c r="H164" s="477"/>
      <c r="I164" s="477"/>
      <c r="J164" s="477"/>
      <c r="K164" s="477"/>
      <c r="L164" s="291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22"/>
      <c r="AD164" s="22"/>
      <c r="AE164" s="22"/>
      <c r="AF164" s="22"/>
      <c r="AG164" s="22"/>
    </row>
    <row r="165" spans="1:33" ht="14.5" thickBot="1" x14ac:dyDescent="0.35">
      <c r="A165" s="477"/>
      <c r="B165" s="477"/>
      <c r="C165" s="477"/>
      <c r="D165" s="477"/>
      <c r="E165" s="477"/>
      <c r="F165" s="477"/>
      <c r="G165" s="477"/>
      <c r="H165" s="477"/>
      <c r="I165" s="477"/>
      <c r="J165" s="477"/>
      <c r="K165" s="477"/>
      <c r="L165" s="292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22"/>
      <c r="AD165" s="22"/>
      <c r="AE165" s="22"/>
      <c r="AF165" s="22"/>
      <c r="AG165" s="22"/>
    </row>
    <row r="166" spans="1:33" ht="24.75" customHeight="1" thickTop="1" x14ac:dyDescent="0.35">
      <c r="A166" s="598" t="s">
        <v>151</v>
      </c>
      <c r="B166" s="599"/>
      <c r="C166" s="830" t="s">
        <v>6</v>
      </c>
      <c r="D166" s="832" t="s">
        <v>161</v>
      </c>
      <c r="E166" s="833"/>
      <c r="F16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 t="s">
        <v>162</v>
      </c>
      <c r="R166" s="46"/>
      <c r="S166" s="46"/>
      <c r="T166" s="46"/>
      <c r="U166" s="46"/>
      <c r="V166" s="46"/>
      <c r="W166" s="22"/>
      <c r="X166" s="22"/>
      <c r="Y166" s="22"/>
      <c r="Z166" s="22"/>
      <c r="AA166" s="22"/>
      <c r="AB166" s="17"/>
    </row>
    <row r="167" spans="1:33" ht="36" customHeight="1" thickBot="1" x14ac:dyDescent="0.4">
      <c r="A167" s="600"/>
      <c r="B167" s="601"/>
      <c r="C167" s="831"/>
      <c r="D167" s="834"/>
      <c r="E167" s="835"/>
      <c r="F167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22"/>
      <c r="X167" s="22"/>
      <c r="Y167" s="22"/>
      <c r="Z167" s="22"/>
      <c r="AA167" s="22"/>
      <c r="AB167" s="17"/>
    </row>
    <row r="168" spans="1:33" ht="14.25" customHeight="1" thickTop="1" x14ac:dyDescent="0.35">
      <c r="A168" s="489" t="s">
        <v>56</v>
      </c>
      <c r="B168" s="490"/>
      <c r="C168" s="293">
        <v>0</v>
      </c>
      <c r="D168" s="837">
        <v>0</v>
      </c>
      <c r="E168" s="838"/>
      <c r="F168"/>
      <c r="G168" s="446"/>
      <c r="H168" s="446"/>
      <c r="I168" s="446"/>
      <c r="J168" s="446"/>
      <c r="K168" s="446"/>
      <c r="L168" s="446"/>
      <c r="M168" s="446"/>
      <c r="N168" s="446"/>
      <c r="O168" s="446"/>
      <c r="P168" s="446"/>
      <c r="Q168" s="446"/>
      <c r="R168" s="446"/>
      <c r="S168" s="446"/>
      <c r="T168" s="46"/>
      <c r="U168" s="46"/>
      <c r="V168" s="46"/>
      <c r="W168" s="22"/>
      <c r="X168" s="22"/>
      <c r="Y168" s="22"/>
      <c r="Z168" s="22"/>
      <c r="AA168" s="22"/>
      <c r="AB168" s="17"/>
    </row>
    <row r="169" spans="1:33" ht="14.5" x14ac:dyDescent="0.35">
      <c r="A169" s="379" t="s">
        <v>57</v>
      </c>
      <c r="B169" s="607"/>
      <c r="C169" s="294">
        <v>0</v>
      </c>
      <c r="D169" s="818">
        <v>0</v>
      </c>
      <c r="E169" s="819"/>
      <c r="F169"/>
      <c r="G169" s="446"/>
      <c r="H169" s="446"/>
      <c r="I169" s="446"/>
      <c r="J169" s="446"/>
      <c r="K169" s="446"/>
      <c r="L169" s="446"/>
      <c r="M169" s="446"/>
      <c r="N169" s="446"/>
      <c r="O169" s="446"/>
      <c r="P169" s="446"/>
      <c r="Q169" s="446"/>
      <c r="R169" s="446"/>
      <c r="S169" s="446"/>
      <c r="T169" s="46"/>
      <c r="U169" s="46"/>
      <c r="V169" s="46"/>
      <c r="W169" s="22"/>
      <c r="X169" s="22"/>
      <c r="Y169" s="22"/>
      <c r="Z169" s="22"/>
      <c r="AA169" s="22"/>
      <c r="AB169" s="17"/>
    </row>
    <row r="170" spans="1:33" ht="14.5" x14ac:dyDescent="0.35">
      <c r="A170" s="356" t="s">
        <v>58</v>
      </c>
      <c r="B170" s="357"/>
      <c r="C170" s="294">
        <v>0</v>
      </c>
      <c r="D170" s="818">
        <v>0</v>
      </c>
      <c r="E170" s="819"/>
      <c r="F170"/>
      <c r="G170" s="446"/>
      <c r="H170" s="446"/>
      <c r="I170" s="446"/>
      <c r="J170" s="446"/>
      <c r="K170" s="446"/>
      <c r="L170" s="446"/>
      <c r="M170" s="446"/>
      <c r="N170" s="446"/>
      <c r="O170" s="446"/>
      <c r="P170" s="446"/>
      <c r="Q170" s="446"/>
      <c r="R170" s="446"/>
      <c r="S170" s="446"/>
      <c r="T170" s="46"/>
      <c r="U170" s="46"/>
      <c r="V170" s="46"/>
      <c r="W170" s="22"/>
      <c r="X170" s="22"/>
      <c r="Y170" s="22"/>
      <c r="Z170" s="22"/>
      <c r="AA170" s="22"/>
      <c r="AB170" s="17"/>
    </row>
    <row r="171" spans="1:33" ht="14.5" x14ac:dyDescent="0.35">
      <c r="A171" s="356" t="s">
        <v>59</v>
      </c>
      <c r="B171" s="357"/>
      <c r="C171" s="294">
        <v>0</v>
      </c>
      <c r="D171" s="818">
        <v>0</v>
      </c>
      <c r="E171" s="822"/>
      <c r="F171" s="296"/>
      <c r="G171" s="446"/>
      <c r="H171" s="446"/>
      <c r="I171" s="446"/>
      <c r="J171" s="446"/>
      <c r="K171" s="446"/>
      <c r="L171" s="446"/>
      <c r="M171" s="446"/>
      <c r="N171" s="446"/>
      <c r="O171" s="446"/>
      <c r="P171" s="446"/>
      <c r="Q171" s="446"/>
      <c r="R171" s="446"/>
      <c r="S171" s="446"/>
      <c r="T171" s="46"/>
      <c r="U171" s="46"/>
      <c r="V171" s="46"/>
      <c r="W171" s="22"/>
      <c r="X171" s="22"/>
      <c r="Y171" s="22"/>
      <c r="Z171" s="22"/>
      <c r="AA171" s="22"/>
      <c r="AB171" s="17"/>
    </row>
    <row r="172" spans="1:33" ht="27" customHeight="1" x14ac:dyDescent="0.35">
      <c r="A172" s="379" t="s">
        <v>156</v>
      </c>
      <c r="B172" s="607"/>
      <c r="C172" s="294">
        <v>0</v>
      </c>
      <c r="D172" s="818">
        <v>0</v>
      </c>
      <c r="E172" s="822"/>
      <c r="F172" s="296"/>
      <c r="G172" s="446"/>
      <c r="H172" s="446"/>
      <c r="I172" s="446"/>
      <c r="J172" s="446"/>
      <c r="K172" s="446"/>
      <c r="L172" s="446"/>
      <c r="M172" s="446"/>
      <c r="N172" s="446"/>
      <c r="O172" s="446"/>
      <c r="P172" s="446"/>
      <c r="Q172" s="446"/>
      <c r="R172" s="446"/>
      <c r="S172" s="446"/>
      <c r="T172" s="46"/>
      <c r="U172" s="46"/>
      <c r="V172" s="46"/>
      <c r="W172" s="22"/>
      <c r="X172" s="22"/>
      <c r="Y172" s="22"/>
      <c r="Z172" s="22"/>
      <c r="AA172" s="22"/>
      <c r="AB172" s="17"/>
    </row>
    <row r="173" spans="1:33" ht="26.25" customHeight="1" x14ac:dyDescent="0.35">
      <c r="A173" s="379" t="s">
        <v>63</v>
      </c>
      <c r="B173" s="607"/>
      <c r="C173" s="294">
        <v>0</v>
      </c>
      <c r="D173" s="804">
        <v>0</v>
      </c>
      <c r="E173" s="805"/>
      <c r="F173"/>
      <c r="G173" s="446"/>
      <c r="H173" s="446"/>
      <c r="I173" s="446"/>
      <c r="J173" s="446"/>
      <c r="K173" s="446"/>
      <c r="L173" s="446"/>
      <c r="M173" s="446"/>
      <c r="N173" s="446"/>
      <c r="O173" s="446"/>
      <c r="P173" s="446"/>
      <c r="Q173" s="446"/>
      <c r="R173" s="446"/>
      <c r="S173" s="446"/>
      <c r="T173" s="46"/>
      <c r="U173" s="46"/>
      <c r="V173" s="46"/>
      <c r="W173" s="22"/>
      <c r="X173" s="22"/>
      <c r="Y173" s="22"/>
      <c r="Z173" s="22"/>
      <c r="AA173" s="22"/>
      <c r="AB173" s="17"/>
    </row>
    <row r="174" spans="1:33" ht="53.65" customHeight="1" thickBot="1" x14ac:dyDescent="0.4">
      <c r="A174" s="537" t="s">
        <v>64</v>
      </c>
      <c r="B174" s="538"/>
      <c r="C174" s="279">
        <v>0</v>
      </c>
      <c r="D174" s="827">
        <v>0</v>
      </c>
      <c r="E174" s="828"/>
      <c r="F174"/>
      <c r="G174" s="446"/>
      <c r="H174" s="446"/>
      <c r="I174" s="446"/>
      <c r="J174" s="446"/>
      <c r="K174" s="446"/>
      <c r="L174" s="446"/>
      <c r="M174" s="446"/>
      <c r="N174" s="446"/>
      <c r="O174" s="446"/>
      <c r="P174" s="446"/>
      <c r="Q174" s="446"/>
      <c r="R174" s="446"/>
      <c r="S174" s="446"/>
      <c r="T174" s="46"/>
      <c r="U174" s="46"/>
      <c r="V174" s="46"/>
      <c r="W174" s="22"/>
      <c r="X174" s="22"/>
      <c r="Y174" s="22"/>
      <c r="Z174" s="22"/>
      <c r="AA174" s="22"/>
      <c r="AB174" s="17"/>
    </row>
    <row r="175" spans="1:33" ht="14.25" customHeight="1" thickTop="1" thickBot="1" x14ac:dyDescent="0.35">
      <c r="A175" s="553" t="s">
        <v>11</v>
      </c>
      <c r="B175" s="554"/>
      <c r="C175" s="295">
        <f>SUM(C168:C174)</f>
        <v>0</v>
      </c>
      <c r="D175" s="820">
        <f>SUM(D168:E174)</f>
        <v>0</v>
      </c>
      <c r="E175" s="821"/>
      <c r="F175" s="347" t="str">
        <f>IF(G163&lt;&gt;C175,"Section 4.5.4 - The ""Total"" of ""Number of Requests"" should be equal to the ""Number of Requests"" of Section 4.5.3.","")</f>
        <v/>
      </c>
      <c r="G175" s="346"/>
      <c r="H175" s="346"/>
      <c r="I175" s="346"/>
      <c r="J175" s="346"/>
      <c r="K175" s="346"/>
      <c r="L175" s="346"/>
      <c r="M175" s="346"/>
      <c r="N175" s="346"/>
      <c r="O175" s="346"/>
      <c r="P175" s="346"/>
      <c r="Q175" s="346"/>
      <c r="R175" s="346"/>
      <c r="S175" s="346"/>
      <c r="T175" s="46"/>
      <c r="U175" s="46"/>
      <c r="V175" s="46"/>
      <c r="W175" s="22"/>
      <c r="X175" s="22"/>
      <c r="Y175" s="22"/>
      <c r="Z175" s="22"/>
      <c r="AA175" s="22"/>
      <c r="AB175" s="17"/>
    </row>
    <row r="176" spans="1:33" ht="14.25" customHeight="1" thickTop="1" x14ac:dyDescent="0.35">
      <c r="A176" s="44"/>
      <c r="B176" s="44"/>
      <c r="C176" s="33"/>
      <c r="D176" s="33"/>
      <c r="E176" s="33"/>
      <c r="F176" s="350" t="str">
        <f>IF(D175&lt;&gt;A163,"Section 4.5.4 - The total of Columns of ""Minutes Processed"" should be equal to the ""Number of Minutes Processed"" of Section 4.5.3.","")</f>
        <v/>
      </c>
      <c r="G176" s="33"/>
      <c r="H176" s="33"/>
      <c r="I176"/>
      <c r="J176"/>
      <c r="K176"/>
      <c r="L17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  <c r="Y176" s="346"/>
      <c r="Z176" s="46"/>
      <c r="AA176" s="46"/>
      <c r="AB176" s="46"/>
      <c r="AC176" s="22"/>
      <c r="AD176" s="22"/>
      <c r="AE176" s="22"/>
      <c r="AF176" s="22"/>
      <c r="AG176" s="22"/>
    </row>
    <row r="177" spans="1:33" s="269" customFormat="1" x14ac:dyDescent="0.3">
      <c r="A177" s="391" t="s">
        <v>163</v>
      </c>
      <c r="B177" s="391"/>
      <c r="C177" s="391"/>
      <c r="D177" s="391"/>
      <c r="E177" s="391"/>
      <c r="F177" s="391"/>
      <c r="G177" s="391"/>
      <c r="H177" s="391"/>
      <c r="I177" s="391"/>
      <c r="J177" s="391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  <c r="AD177" s="268"/>
      <c r="AE177" s="268"/>
      <c r="AF177" s="268"/>
      <c r="AG177" s="268"/>
    </row>
    <row r="178" spans="1:33" ht="13.9" customHeight="1" thickBot="1" x14ac:dyDescent="0.35">
      <c r="A178" s="38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22"/>
      <c r="AD178" s="22"/>
      <c r="AE178" s="22"/>
      <c r="AF178" s="22"/>
      <c r="AG178" s="22"/>
    </row>
    <row r="179" spans="1:33" ht="28.5" customHeight="1" thickTop="1" thickBot="1" x14ac:dyDescent="0.35">
      <c r="A179" s="494" t="s">
        <v>151</v>
      </c>
      <c r="B179" s="521"/>
      <c r="C179" s="494" t="s">
        <v>164</v>
      </c>
      <c r="D179" s="495"/>
      <c r="E179" s="527" t="s">
        <v>165</v>
      </c>
      <c r="F179" s="495"/>
      <c r="G179" s="527" t="s">
        <v>141</v>
      </c>
      <c r="H179" s="495"/>
      <c r="I179" s="494" t="s">
        <v>11</v>
      </c>
      <c r="J179" s="521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22"/>
      <c r="AD179" s="22"/>
      <c r="AE179" s="22"/>
      <c r="AF179" s="22"/>
      <c r="AG179" s="22"/>
    </row>
    <row r="180" spans="1:33" ht="14.25" customHeight="1" thickTop="1" x14ac:dyDescent="0.3">
      <c r="A180" s="374" t="s">
        <v>56</v>
      </c>
      <c r="B180" s="375"/>
      <c r="C180" s="376">
        <v>0</v>
      </c>
      <c r="D180" s="377"/>
      <c r="E180" s="378">
        <v>0</v>
      </c>
      <c r="F180" s="377"/>
      <c r="G180" s="378">
        <v>0</v>
      </c>
      <c r="H180" s="377"/>
      <c r="I180" s="522">
        <f t="shared" ref="I180:I186" si="3">SUM(C180:H180)</f>
        <v>0</v>
      </c>
      <c r="J180" s="523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22"/>
      <c r="AD180" s="22"/>
      <c r="AE180" s="22"/>
      <c r="AF180" s="22"/>
      <c r="AG180" s="22"/>
    </row>
    <row r="181" spans="1:33" ht="13.5" customHeight="1" x14ac:dyDescent="0.3">
      <c r="A181" s="379" t="s">
        <v>57</v>
      </c>
      <c r="B181" s="380"/>
      <c r="C181" s="353">
        <v>0</v>
      </c>
      <c r="D181" s="355"/>
      <c r="E181" s="359">
        <v>0</v>
      </c>
      <c r="F181" s="355"/>
      <c r="G181" s="359">
        <v>0</v>
      </c>
      <c r="H181" s="355"/>
      <c r="I181" s="360">
        <f t="shared" si="3"/>
        <v>0</v>
      </c>
      <c r="J181" s="361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22"/>
      <c r="AD181" s="22"/>
      <c r="AE181" s="22"/>
      <c r="AF181" s="22"/>
      <c r="AG181" s="22"/>
    </row>
    <row r="182" spans="1:33" x14ac:dyDescent="0.3">
      <c r="A182" s="379" t="s">
        <v>58</v>
      </c>
      <c r="B182" s="380"/>
      <c r="C182" s="353">
        <v>0</v>
      </c>
      <c r="D182" s="355"/>
      <c r="E182" s="359">
        <v>0</v>
      </c>
      <c r="F182" s="355"/>
      <c r="G182" s="359">
        <v>0</v>
      </c>
      <c r="H182" s="355"/>
      <c r="I182" s="360">
        <f t="shared" si="3"/>
        <v>0</v>
      </c>
      <c r="J182" s="361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22"/>
      <c r="AD182" s="22"/>
      <c r="AE182" s="22"/>
      <c r="AF182" s="22"/>
      <c r="AG182" s="22"/>
    </row>
    <row r="183" spans="1:33" x14ac:dyDescent="0.3">
      <c r="A183" s="379" t="s">
        <v>59</v>
      </c>
      <c r="B183" s="380"/>
      <c r="C183" s="353">
        <v>0</v>
      </c>
      <c r="D183" s="355"/>
      <c r="E183" s="359">
        <v>0</v>
      </c>
      <c r="F183" s="355"/>
      <c r="G183" s="359">
        <v>0</v>
      </c>
      <c r="H183" s="355"/>
      <c r="I183" s="360">
        <f t="shared" si="3"/>
        <v>0</v>
      </c>
      <c r="J183" s="361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22"/>
      <c r="AD183" s="22"/>
      <c r="AE183" s="22"/>
      <c r="AF183" s="22"/>
      <c r="AG183" s="22"/>
    </row>
    <row r="184" spans="1:33" ht="25.15" customHeight="1" x14ac:dyDescent="0.3">
      <c r="A184" s="379" t="s">
        <v>62</v>
      </c>
      <c r="B184" s="380"/>
      <c r="C184" s="353">
        <v>0</v>
      </c>
      <c r="D184" s="355"/>
      <c r="E184" s="359">
        <v>0</v>
      </c>
      <c r="F184" s="355"/>
      <c r="G184" s="359">
        <v>0</v>
      </c>
      <c r="H184" s="355"/>
      <c r="I184" s="360">
        <f t="shared" si="3"/>
        <v>0</v>
      </c>
      <c r="J184" s="361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22"/>
      <c r="AD184" s="22"/>
      <c r="AE184" s="22"/>
      <c r="AF184" s="22"/>
      <c r="AG184" s="22"/>
    </row>
    <row r="185" spans="1:33" ht="26.25" customHeight="1" x14ac:dyDescent="0.3">
      <c r="A185" s="379" t="s">
        <v>63</v>
      </c>
      <c r="B185" s="380"/>
      <c r="C185" s="353">
        <v>0</v>
      </c>
      <c r="D185" s="355"/>
      <c r="E185" s="359">
        <v>0</v>
      </c>
      <c r="F185" s="355"/>
      <c r="G185" s="359">
        <v>0</v>
      </c>
      <c r="H185" s="355"/>
      <c r="I185" s="360">
        <f t="shared" si="3"/>
        <v>0</v>
      </c>
      <c r="J185" s="361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22"/>
      <c r="AD185" s="22"/>
      <c r="AE185" s="22"/>
      <c r="AF185" s="22"/>
      <c r="AG185" s="22"/>
    </row>
    <row r="186" spans="1:33" ht="54" customHeight="1" thickBot="1" x14ac:dyDescent="0.35">
      <c r="A186" s="537" t="s">
        <v>64</v>
      </c>
      <c r="B186" s="538"/>
      <c r="C186" s="535">
        <v>0</v>
      </c>
      <c r="D186" s="536"/>
      <c r="E186" s="564">
        <v>0</v>
      </c>
      <c r="F186" s="536"/>
      <c r="G186" s="524">
        <v>0</v>
      </c>
      <c r="H186" s="525"/>
      <c r="I186" s="360">
        <f t="shared" si="3"/>
        <v>0</v>
      </c>
      <c r="J186" s="361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22"/>
      <c r="AD186" s="22"/>
      <c r="AE186" s="22"/>
      <c r="AF186" s="22"/>
      <c r="AG186" s="22"/>
    </row>
    <row r="187" spans="1:33" ht="14.25" customHeight="1" thickTop="1" thickBot="1" x14ac:dyDescent="0.35">
      <c r="A187" s="553" t="s">
        <v>11</v>
      </c>
      <c r="B187" s="555"/>
      <c r="C187" s="370">
        <f>SUM(C180:D186)</f>
        <v>0</v>
      </c>
      <c r="D187" s="373"/>
      <c r="E187" s="372">
        <f>SUM(E180:F186)</f>
        <v>0</v>
      </c>
      <c r="F187" s="373"/>
      <c r="G187" s="372">
        <f>SUM(G180:H186)</f>
        <v>0</v>
      </c>
      <c r="H187" s="373"/>
      <c r="I187" s="370">
        <f>SUM(I180:J186)</f>
        <v>0</v>
      </c>
      <c r="J187" s="371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22"/>
      <c r="AD187" s="22"/>
      <c r="AE187" s="22"/>
      <c r="AF187" s="22"/>
      <c r="AG187" s="22"/>
    </row>
    <row r="188" spans="1:33" ht="14.25" customHeight="1" thickTop="1" x14ac:dyDescent="0.3">
      <c r="C188" s="41"/>
      <c r="D188" s="41"/>
      <c r="E188" s="41"/>
      <c r="F188" s="41"/>
      <c r="G188" s="41"/>
      <c r="H188" s="41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22"/>
      <c r="AD188" s="22"/>
      <c r="AE188" s="22"/>
      <c r="AF188" s="22"/>
      <c r="AG188" s="22"/>
    </row>
    <row r="189" spans="1:33" ht="14.25" customHeight="1" x14ac:dyDescent="0.3">
      <c r="A189" s="415" t="s">
        <v>166</v>
      </c>
      <c r="B189" s="415"/>
      <c r="C189" s="415"/>
      <c r="D189" s="415"/>
      <c r="E189" s="415"/>
      <c r="F189" s="415"/>
      <c r="G189" s="415"/>
      <c r="H189" s="415"/>
      <c r="I189" s="415"/>
      <c r="J189" s="415"/>
      <c r="K189" s="415"/>
      <c r="L189" s="415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22"/>
      <c r="AD189" s="22"/>
      <c r="AE189" s="22"/>
      <c r="AF189" s="22"/>
      <c r="AG189" s="22"/>
    </row>
    <row r="190" spans="1:33" ht="14.25" customHeight="1" x14ac:dyDescent="0.3">
      <c r="A190" s="38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22"/>
      <c r="AD190" s="22"/>
      <c r="AE190" s="22"/>
      <c r="AF190" s="22"/>
      <c r="AG190" s="22"/>
    </row>
    <row r="191" spans="1:33" ht="14.25" customHeight="1" x14ac:dyDescent="0.3">
      <c r="A191" s="391" t="s">
        <v>167</v>
      </c>
      <c r="B191" s="391"/>
      <c r="C191" s="391"/>
      <c r="D191" s="391"/>
      <c r="E191" s="391"/>
      <c r="F191" s="391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22"/>
      <c r="AD191" s="22"/>
      <c r="AE191" s="22"/>
      <c r="AF191" s="22"/>
      <c r="AG191" s="22"/>
    </row>
    <row r="192" spans="1:33" ht="16.899999999999999" customHeight="1" thickBot="1" x14ac:dyDescent="0.35">
      <c r="A192" s="38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22"/>
      <c r="AD192" s="22"/>
      <c r="AE192" s="22"/>
      <c r="AF192" s="22"/>
      <c r="AG192" s="22"/>
    </row>
    <row r="193" spans="1:42" ht="16.149999999999999" customHeight="1" thickTop="1" x14ac:dyDescent="0.3">
      <c r="A193" s="571" t="s">
        <v>168</v>
      </c>
      <c r="B193" s="572"/>
      <c r="C193" s="572"/>
      <c r="D193" s="573"/>
      <c r="E193" s="505">
        <f>H19-A203</f>
        <v>0</v>
      </c>
      <c r="F193" s="50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22"/>
      <c r="AD193" s="22"/>
      <c r="AE193" s="22"/>
      <c r="AF193" s="22"/>
      <c r="AG193" s="22"/>
    </row>
    <row r="194" spans="1:42" ht="13.5" customHeight="1" x14ac:dyDescent="0.3">
      <c r="A194" s="574"/>
      <c r="B194" s="575"/>
      <c r="C194" s="575"/>
      <c r="D194" s="576"/>
      <c r="E194" s="507"/>
      <c r="F194" s="508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22"/>
      <c r="AD194" s="22"/>
      <c r="AE194" s="22"/>
      <c r="AF194" s="22"/>
      <c r="AG194" s="22"/>
    </row>
    <row r="195" spans="1:42" s="41" customFormat="1" ht="29.25" customHeight="1" thickBot="1" x14ac:dyDescent="0.35">
      <c r="A195" s="511" t="s">
        <v>169</v>
      </c>
      <c r="B195" s="512"/>
      <c r="C195" s="512"/>
      <c r="D195" s="513"/>
      <c r="E195" s="509" t="str">
        <f>IF(H19=0,"0",(E193/H19)*100)</f>
        <v>0</v>
      </c>
      <c r="F195" s="510"/>
      <c r="G195" s="17"/>
      <c r="H195" s="17"/>
      <c r="I195" s="17"/>
      <c r="J195" s="17"/>
      <c r="K195" s="17"/>
      <c r="L195" s="17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46"/>
      <c r="X195" s="46"/>
      <c r="Y195" s="46"/>
      <c r="Z195" s="46"/>
      <c r="AA195" s="46"/>
      <c r="AB195" s="46"/>
      <c r="AC195" s="22"/>
      <c r="AD195" s="22"/>
      <c r="AE195" s="22"/>
      <c r="AF195" s="22"/>
      <c r="AG195" s="22"/>
      <c r="AH195" s="17"/>
      <c r="AI195" s="17"/>
      <c r="AJ195" s="17"/>
      <c r="AK195" s="17"/>
      <c r="AL195" s="17"/>
      <c r="AM195" s="17"/>
      <c r="AN195" s="17"/>
      <c r="AO195" s="17"/>
      <c r="AP195" s="17"/>
    </row>
    <row r="196" spans="1:42" ht="14.25" customHeight="1" thickTop="1" x14ac:dyDescent="0.3">
      <c r="A196" s="45"/>
      <c r="B196" s="46"/>
      <c r="C196" s="46"/>
      <c r="D196" s="46"/>
      <c r="E196" s="534"/>
      <c r="F196" s="534"/>
      <c r="G196" s="534"/>
      <c r="H196" s="534"/>
      <c r="I196" s="534"/>
      <c r="J196" s="534"/>
      <c r="K196" s="534"/>
      <c r="L196" s="534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22"/>
      <c r="AD196" s="22"/>
      <c r="AE196" s="22"/>
      <c r="AF196" s="22"/>
      <c r="AG196" s="22"/>
    </row>
    <row r="197" spans="1:42" ht="13.15" customHeight="1" x14ac:dyDescent="0.3">
      <c r="A197" s="520" t="s">
        <v>170</v>
      </c>
      <c r="B197" s="520"/>
      <c r="C197" s="520"/>
      <c r="D197" s="520"/>
      <c r="E197" s="520"/>
      <c r="F197" s="520"/>
      <c r="G197" s="520"/>
      <c r="H197" s="520"/>
      <c r="I197" s="520"/>
      <c r="J197" s="520"/>
      <c r="K197" s="520"/>
      <c r="L197" s="520"/>
      <c r="M197" s="520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22"/>
      <c r="AD197" s="22"/>
      <c r="AE197" s="22"/>
      <c r="AF197" s="22"/>
      <c r="AG197" s="22"/>
    </row>
    <row r="198" spans="1:42" ht="14.25" customHeight="1" x14ac:dyDescent="0.3">
      <c r="A198" s="44"/>
      <c r="B198" s="44"/>
      <c r="C198" s="44"/>
      <c r="D198" s="33"/>
      <c r="E198" s="33"/>
      <c r="F198" s="33"/>
      <c r="G198" s="33"/>
      <c r="H198" s="33"/>
      <c r="I198" s="33"/>
      <c r="J198" s="33"/>
      <c r="K198" s="33"/>
      <c r="L198" s="33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22"/>
      <c r="AD198" s="22"/>
      <c r="AE198" s="22"/>
      <c r="AF198" s="22"/>
      <c r="AG198" s="22"/>
    </row>
    <row r="199" spans="1:42" ht="16.5" customHeight="1" x14ac:dyDescent="0.3">
      <c r="A199" s="519" t="s">
        <v>171</v>
      </c>
      <c r="B199" s="519"/>
      <c r="C199" s="519"/>
      <c r="D199" s="519"/>
      <c r="E199" s="519"/>
      <c r="F199" s="519"/>
      <c r="G199" s="519"/>
      <c r="H199" s="519"/>
      <c r="I199" s="519"/>
      <c r="J199" s="519"/>
      <c r="K199" s="519"/>
      <c r="L199" s="519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22"/>
      <c r="AD199" s="22"/>
      <c r="AE199" s="22"/>
      <c r="AF199" s="22"/>
      <c r="AG199" s="22"/>
    </row>
    <row r="200" spans="1:42" ht="14.5" thickBot="1" x14ac:dyDescent="0.35"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22"/>
      <c r="AD200" s="22"/>
      <c r="AE200" s="22"/>
      <c r="AF200" s="22"/>
      <c r="AG200" s="22"/>
    </row>
    <row r="201" spans="1:42" ht="14.25" customHeight="1" thickTop="1" x14ac:dyDescent="0.3">
      <c r="A201" s="528" t="s">
        <v>172</v>
      </c>
      <c r="B201" s="529"/>
      <c r="C201" s="529"/>
      <c r="D201" s="530"/>
      <c r="E201" s="396" t="s">
        <v>173</v>
      </c>
      <c r="F201" s="397"/>
      <c r="G201" s="397"/>
      <c r="H201" s="397"/>
      <c r="I201" s="397"/>
      <c r="J201" s="397"/>
      <c r="K201" s="397"/>
      <c r="L201" s="398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22"/>
      <c r="AD201" s="22"/>
      <c r="AE201" s="22"/>
      <c r="AF201" s="22"/>
      <c r="AG201" s="22"/>
    </row>
    <row r="202" spans="1:42" ht="27.75" customHeight="1" thickBot="1" x14ac:dyDescent="0.35">
      <c r="A202" s="531"/>
      <c r="B202" s="532"/>
      <c r="C202" s="532"/>
      <c r="D202" s="533"/>
      <c r="E202" s="514" t="s">
        <v>174</v>
      </c>
      <c r="F202" s="515"/>
      <c r="G202" s="516" t="s">
        <v>175</v>
      </c>
      <c r="H202" s="515"/>
      <c r="I202" s="516" t="s">
        <v>176</v>
      </c>
      <c r="J202" s="515"/>
      <c r="K202" s="516" t="s">
        <v>141</v>
      </c>
      <c r="L202" s="570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22"/>
      <c r="AD202" s="22"/>
      <c r="AE202" s="22"/>
      <c r="AF202" s="22"/>
      <c r="AG202" s="22"/>
    </row>
    <row r="203" spans="1:42" ht="14.25" customHeight="1" thickTop="1" thickBot="1" x14ac:dyDescent="0.35">
      <c r="A203" s="502">
        <f>SUM(E203:L203)</f>
        <v>0</v>
      </c>
      <c r="B203" s="503"/>
      <c r="C203" s="503"/>
      <c r="D203" s="504"/>
      <c r="E203" s="500">
        <v>0</v>
      </c>
      <c r="F203" s="501"/>
      <c r="G203" s="517">
        <v>0</v>
      </c>
      <c r="H203" s="501"/>
      <c r="I203" s="517">
        <v>0</v>
      </c>
      <c r="J203" s="501"/>
      <c r="K203" s="517">
        <v>0</v>
      </c>
      <c r="L203" s="518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22"/>
      <c r="AD203" s="22"/>
      <c r="AE203" s="22"/>
      <c r="AF203" s="22"/>
      <c r="AG203" s="22"/>
    </row>
    <row r="204" spans="1:42" ht="14.5" thickTop="1" x14ac:dyDescent="0.3">
      <c r="A204" s="33"/>
      <c r="B204" s="33"/>
      <c r="C204" s="33"/>
      <c r="D204" s="33"/>
      <c r="E204" s="33"/>
      <c r="F204" s="526"/>
      <c r="G204" s="526"/>
      <c r="H204" s="33"/>
      <c r="I204" s="33"/>
      <c r="J204" s="33"/>
      <c r="K204" s="33"/>
      <c r="L204" s="33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22"/>
      <c r="AD204" s="22"/>
      <c r="AE204" s="22"/>
      <c r="AF204" s="22"/>
      <c r="AG204" s="22"/>
    </row>
    <row r="205" spans="1:42" x14ac:dyDescent="0.3">
      <c r="A205" s="519" t="s">
        <v>177</v>
      </c>
      <c r="B205" s="519"/>
      <c r="C205" s="519"/>
      <c r="D205" s="519"/>
      <c r="E205" s="519"/>
      <c r="F205" s="519"/>
      <c r="G205" s="519"/>
      <c r="H205" s="519"/>
      <c r="I205" s="519"/>
      <c r="J205" s="519"/>
      <c r="K205" s="519"/>
      <c r="L205" s="519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22"/>
      <c r="AD205" s="22"/>
      <c r="AE205" s="22"/>
      <c r="AF205" s="22"/>
      <c r="AG205" s="22"/>
    </row>
    <row r="206" spans="1:42" ht="14.25" customHeight="1" thickBot="1" x14ac:dyDescent="0.35"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22"/>
      <c r="AD206" s="22"/>
      <c r="AE206" s="22"/>
      <c r="AF206" s="22"/>
      <c r="AG206" s="22"/>
    </row>
    <row r="207" spans="1:42" ht="41.25" customHeight="1" thickTop="1" thickBot="1" x14ac:dyDescent="0.35">
      <c r="A207" s="494" t="s">
        <v>178</v>
      </c>
      <c r="B207" s="382"/>
      <c r="C207" s="521"/>
      <c r="D207" s="494" t="s">
        <v>179</v>
      </c>
      <c r="E207" s="382"/>
      <c r="F207" s="495"/>
      <c r="G207" s="527" t="s">
        <v>180</v>
      </c>
      <c r="H207" s="382"/>
      <c r="I207" s="521"/>
      <c r="J207" s="494" t="s">
        <v>11</v>
      </c>
      <c r="K207" s="382"/>
      <c r="L207" s="521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22"/>
      <c r="AD207" s="22"/>
      <c r="AE207" s="22"/>
      <c r="AF207" s="22"/>
      <c r="AG207" s="22"/>
    </row>
    <row r="208" spans="1:42" ht="14.25" customHeight="1" thickTop="1" x14ac:dyDescent="0.3">
      <c r="A208" s="489" t="s">
        <v>181</v>
      </c>
      <c r="B208" s="490"/>
      <c r="C208" s="491"/>
      <c r="D208" s="376">
        <v>0</v>
      </c>
      <c r="E208" s="567"/>
      <c r="F208" s="377"/>
      <c r="G208" s="378">
        <v>0</v>
      </c>
      <c r="H208" s="567"/>
      <c r="I208" s="568"/>
      <c r="J208" s="522">
        <f t="shared" ref="J208:J214" si="4">SUM(D208:I208)</f>
        <v>0</v>
      </c>
      <c r="K208" s="585"/>
      <c r="L208" s="523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22"/>
      <c r="AD208" s="22"/>
      <c r="AE208" s="22"/>
      <c r="AF208" s="22"/>
      <c r="AG208" s="22"/>
    </row>
    <row r="209" spans="1:42" s="41" customFormat="1" ht="15" customHeight="1" x14ac:dyDescent="0.3">
      <c r="A209" s="356" t="s">
        <v>182</v>
      </c>
      <c r="B209" s="357"/>
      <c r="C209" s="358"/>
      <c r="D209" s="353">
        <v>0</v>
      </c>
      <c r="E209" s="354"/>
      <c r="F209" s="355"/>
      <c r="G209" s="359">
        <v>0</v>
      </c>
      <c r="H209" s="354"/>
      <c r="I209" s="413"/>
      <c r="J209" s="360">
        <f t="shared" si="4"/>
        <v>0</v>
      </c>
      <c r="K209" s="412"/>
      <c r="L209" s="361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46"/>
      <c r="X209" s="46"/>
      <c r="Y209" s="46"/>
      <c r="Z209" s="46"/>
      <c r="AA209" s="46"/>
      <c r="AB209" s="46"/>
      <c r="AC209" s="22"/>
      <c r="AD209" s="22"/>
      <c r="AE209" s="22"/>
      <c r="AF209" s="22"/>
      <c r="AG209" s="22"/>
      <c r="AH209" s="17"/>
      <c r="AI209" s="17"/>
      <c r="AJ209" s="17"/>
      <c r="AK209" s="17"/>
      <c r="AL209" s="17"/>
      <c r="AM209" s="17"/>
      <c r="AN209" s="17"/>
      <c r="AO209" s="17"/>
      <c r="AP209" s="17"/>
    </row>
    <row r="210" spans="1:42" ht="12.75" customHeight="1" x14ac:dyDescent="0.3">
      <c r="A210" s="356" t="s">
        <v>183</v>
      </c>
      <c r="B210" s="357"/>
      <c r="C210" s="358"/>
      <c r="D210" s="353">
        <v>0</v>
      </c>
      <c r="E210" s="354"/>
      <c r="F210" s="355"/>
      <c r="G210" s="359">
        <v>0</v>
      </c>
      <c r="H210" s="354"/>
      <c r="I210" s="413"/>
      <c r="J210" s="360">
        <f t="shared" si="4"/>
        <v>0</v>
      </c>
      <c r="K210" s="412"/>
      <c r="L210" s="361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22"/>
      <c r="AD210" s="22"/>
      <c r="AE210" s="22"/>
      <c r="AF210" s="22"/>
      <c r="AG210" s="22"/>
    </row>
    <row r="211" spans="1:42" ht="14.25" customHeight="1" x14ac:dyDescent="0.3">
      <c r="A211" s="356" t="s">
        <v>184</v>
      </c>
      <c r="B211" s="357"/>
      <c r="C211" s="358"/>
      <c r="D211" s="353">
        <v>0</v>
      </c>
      <c r="E211" s="354"/>
      <c r="F211" s="355"/>
      <c r="G211" s="359">
        <v>0</v>
      </c>
      <c r="H211" s="354"/>
      <c r="I211" s="413"/>
      <c r="J211" s="360">
        <f t="shared" si="4"/>
        <v>0</v>
      </c>
      <c r="K211" s="412"/>
      <c r="L211" s="361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22"/>
      <c r="AD211" s="22"/>
      <c r="AE211" s="22"/>
      <c r="AF211" s="22"/>
      <c r="AG211" s="22"/>
    </row>
    <row r="212" spans="1:42" ht="14.25" customHeight="1" x14ac:dyDescent="0.3">
      <c r="A212" s="356" t="s">
        <v>185</v>
      </c>
      <c r="B212" s="357"/>
      <c r="C212" s="358"/>
      <c r="D212" s="353">
        <v>0</v>
      </c>
      <c r="E212" s="354"/>
      <c r="F212" s="355"/>
      <c r="G212" s="359">
        <v>0</v>
      </c>
      <c r="H212" s="354"/>
      <c r="I212" s="413"/>
      <c r="J212" s="360">
        <f t="shared" si="4"/>
        <v>0</v>
      </c>
      <c r="K212" s="412"/>
      <c r="L212" s="361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22"/>
      <c r="AD212" s="22"/>
      <c r="AE212" s="22"/>
      <c r="AF212" s="22"/>
      <c r="AG212" s="22"/>
    </row>
    <row r="213" spans="1:42" x14ac:dyDescent="0.3">
      <c r="A213" s="356" t="s">
        <v>186</v>
      </c>
      <c r="B213" s="357"/>
      <c r="C213" s="358"/>
      <c r="D213" s="353">
        <v>0</v>
      </c>
      <c r="E213" s="354"/>
      <c r="F213" s="355"/>
      <c r="G213" s="359">
        <v>0</v>
      </c>
      <c r="H213" s="354"/>
      <c r="I213" s="413"/>
      <c r="J213" s="360">
        <f t="shared" si="4"/>
        <v>0</v>
      </c>
      <c r="K213" s="412"/>
      <c r="L213" s="361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22"/>
      <c r="AD213" s="22"/>
      <c r="AE213" s="22"/>
      <c r="AF213" s="22"/>
      <c r="AG213" s="22"/>
    </row>
    <row r="214" spans="1:42" ht="14.5" thickBot="1" x14ac:dyDescent="0.35">
      <c r="A214" s="405" t="s">
        <v>187</v>
      </c>
      <c r="B214" s="406"/>
      <c r="C214" s="407"/>
      <c r="D214" s="556">
        <v>0</v>
      </c>
      <c r="E214" s="557"/>
      <c r="F214" s="558"/>
      <c r="G214" s="583">
        <v>0</v>
      </c>
      <c r="H214" s="557"/>
      <c r="I214" s="584"/>
      <c r="J214" s="580">
        <f t="shared" si="4"/>
        <v>0</v>
      </c>
      <c r="K214" s="581"/>
      <c r="L214" s="582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22"/>
      <c r="AD214" s="22"/>
      <c r="AE214" s="22"/>
      <c r="AF214" s="22"/>
      <c r="AG214" s="22"/>
    </row>
    <row r="215" spans="1:42" ht="15" thickTop="1" thickBot="1" x14ac:dyDescent="0.35">
      <c r="A215" s="553" t="s">
        <v>11</v>
      </c>
      <c r="B215" s="554"/>
      <c r="C215" s="555"/>
      <c r="D215" s="370">
        <f>SUM(D208:F214)</f>
        <v>0</v>
      </c>
      <c r="E215" s="408"/>
      <c r="F215" s="373"/>
      <c r="G215" s="372">
        <f>SUM(G208:I214)</f>
        <v>0</v>
      </c>
      <c r="H215" s="408"/>
      <c r="I215" s="371"/>
      <c r="J215" s="370">
        <f>SUM(D215:I215)</f>
        <v>0</v>
      </c>
      <c r="K215" s="408"/>
      <c r="L215" s="371"/>
      <c r="M215" s="347" t="str">
        <f>IF(J215&lt;&gt;A203,"Section 4.7.2 - Total should equal ""Number of requests closed past the legislated timelines"" of Section 4.7.1","")</f>
        <v/>
      </c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46"/>
      <c r="AA215" s="46"/>
      <c r="AB215" s="46"/>
      <c r="AC215" s="22"/>
      <c r="AD215" s="22"/>
      <c r="AE215" s="22"/>
      <c r="AF215" s="22"/>
      <c r="AG215" s="22"/>
    </row>
    <row r="216" spans="1:42" ht="14.25" customHeight="1" thickTop="1" x14ac:dyDescent="0.3">
      <c r="A216" s="47"/>
      <c r="B216" s="44"/>
      <c r="C216" s="44"/>
      <c r="D216" s="66"/>
      <c r="E216" s="66"/>
      <c r="F216" s="66"/>
      <c r="G216" s="66"/>
      <c r="H216" s="66"/>
      <c r="I216" s="66"/>
      <c r="J216" s="66"/>
      <c r="K216" s="66"/>
      <c r="L216" s="6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22"/>
      <c r="AD216" s="22"/>
      <c r="AE216" s="22"/>
      <c r="AF216" s="22"/>
      <c r="AG216" s="22"/>
    </row>
    <row r="217" spans="1:42" ht="14.25" customHeight="1" x14ac:dyDescent="0.35">
      <c r="A217" s="569" t="s">
        <v>188</v>
      </c>
      <c r="B217" s="569"/>
      <c r="C217" s="569"/>
      <c r="D217" s="569"/>
      <c r="E217" s="569"/>
      <c r="F217" s="569"/>
      <c r="G217" s="569"/>
      <c r="H217" s="569"/>
      <c r="I217" s="569"/>
      <c r="J217" s="569"/>
      <c r="K217" s="569"/>
      <c r="L217" s="569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22"/>
      <c r="AD217" s="22"/>
      <c r="AE217" s="22"/>
      <c r="AF217" s="22"/>
      <c r="AG217" s="22"/>
    </row>
    <row r="218" spans="1:42" x14ac:dyDescent="0.3"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22"/>
      <c r="AD218" s="22"/>
      <c r="AE218" s="22"/>
      <c r="AF218" s="22"/>
      <c r="AG218" s="22"/>
    </row>
    <row r="219" spans="1:42" x14ac:dyDescent="0.3">
      <c r="A219" s="447" t="s">
        <v>189</v>
      </c>
      <c r="B219" s="447"/>
      <c r="C219" s="447"/>
      <c r="D219" s="447"/>
      <c r="E219" s="447"/>
      <c r="F219" s="447"/>
      <c r="G219" s="447"/>
      <c r="H219" s="447"/>
      <c r="I219" s="447"/>
      <c r="J219" s="447"/>
      <c r="K219" s="447"/>
      <c r="L219" s="447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22"/>
      <c r="AD219" s="22"/>
      <c r="AE219" s="22"/>
      <c r="AF219" s="22"/>
      <c r="AG219" s="22"/>
    </row>
    <row r="220" spans="1:42" ht="14.5" thickBot="1" x14ac:dyDescent="0.35"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22"/>
      <c r="AD220" s="22"/>
      <c r="AE220" s="22"/>
      <c r="AF220" s="22"/>
      <c r="AG220" s="22"/>
    </row>
    <row r="221" spans="1:42" ht="26.9" customHeight="1" thickTop="1" x14ac:dyDescent="0.3">
      <c r="A221" s="528" t="s">
        <v>190</v>
      </c>
      <c r="B221" s="529"/>
      <c r="C221" s="529"/>
      <c r="D221" s="530"/>
      <c r="E221" s="528" t="s">
        <v>191</v>
      </c>
      <c r="F221" s="785"/>
      <c r="G221" s="565" t="s">
        <v>192</v>
      </c>
      <c r="H221" s="397"/>
      <c r="I221" s="397"/>
      <c r="J221" s="566"/>
      <c r="K221" s="560" t="s">
        <v>193</v>
      </c>
      <c r="L221" s="530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22"/>
      <c r="AD221" s="22"/>
      <c r="AE221" s="22"/>
      <c r="AF221" s="22"/>
      <c r="AG221" s="22"/>
    </row>
    <row r="222" spans="1:42" ht="23.25" customHeight="1" thickBot="1" x14ac:dyDescent="0.35">
      <c r="A222" s="531"/>
      <c r="B222" s="532"/>
      <c r="C222" s="532"/>
      <c r="D222" s="533"/>
      <c r="E222" s="531"/>
      <c r="F222" s="786"/>
      <c r="G222" s="562" t="s">
        <v>194</v>
      </c>
      <c r="H222" s="563"/>
      <c r="I222" s="562" t="s">
        <v>141</v>
      </c>
      <c r="J222" s="563"/>
      <c r="K222" s="561"/>
      <c r="L222" s="533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22"/>
      <c r="AD222" s="22"/>
      <c r="AE222" s="22"/>
      <c r="AF222" s="22"/>
      <c r="AG222" s="22"/>
    </row>
    <row r="223" spans="1:42" ht="14.25" customHeight="1" thickTop="1" x14ac:dyDescent="0.3">
      <c r="A223" s="489" t="s">
        <v>56</v>
      </c>
      <c r="B223" s="490"/>
      <c r="C223" s="490"/>
      <c r="D223" s="491"/>
      <c r="E223" s="559">
        <v>0</v>
      </c>
      <c r="F223" s="411"/>
      <c r="G223" s="410">
        <v>0</v>
      </c>
      <c r="H223" s="411"/>
      <c r="I223" s="410">
        <v>0</v>
      </c>
      <c r="J223" s="411"/>
      <c r="K223" s="410">
        <v>0</v>
      </c>
      <c r="L223" s="363"/>
      <c r="M223" s="142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22"/>
      <c r="AD223" s="22"/>
      <c r="AE223" s="22"/>
      <c r="AF223" s="22"/>
      <c r="AG223" s="22"/>
    </row>
    <row r="224" spans="1:42" ht="14.25" customHeight="1" x14ac:dyDescent="0.3">
      <c r="A224" s="356" t="s">
        <v>57</v>
      </c>
      <c r="B224" s="357"/>
      <c r="C224" s="357"/>
      <c r="D224" s="358"/>
      <c r="E224" s="421">
        <v>0</v>
      </c>
      <c r="F224" s="409"/>
      <c r="G224" s="387">
        <v>0</v>
      </c>
      <c r="H224" s="409"/>
      <c r="I224" s="387">
        <v>0</v>
      </c>
      <c r="J224" s="409"/>
      <c r="K224" s="387">
        <v>0</v>
      </c>
      <c r="L224" s="388"/>
      <c r="M224" s="142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22"/>
      <c r="AD224" s="22"/>
      <c r="AE224" s="22"/>
      <c r="AF224" s="22"/>
      <c r="AG224" s="22"/>
    </row>
    <row r="225" spans="1:33" ht="14.25" customHeight="1" x14ac:dyDescent="0.3">
      <c r="A225" s="356" t="s">
        <v>58</v>
      </c>
      <c r="B225" s="357"/>
      <c r="C225" s="357"/>
      <c r="D225" s="358"/>
      <c r="E225" s="421">
        <v>0</v>
      </c>
      <c r="F225" s="409"/>
      <c r="G225" s="387">
        <v>0</v>
      </c>
      <c r="H225" s="409"/>
      <c r="I225" s="387">
        <v>0</v>
      </c>
      <c r="J225" s="409"/>
      <c r="K225" s="387">
        <v>0</v>
      </c>
      <c r="L225" s="388"/>
      <c r="M225" s="142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22"/>
      <c r="AD225" s="22"/>
      <c r="AE225" s="22"/>
      <c r="AF225" s="22"/>
      <c r="AG225" s="22"/>
    </row>
    <row r="226" spans="1:33" x14ac:dyDescent="0.3">
      <c r="A226" s="356" t="s">
        <v>59</v>
      </c>
      <c r="B226" s="357"/>
      <c r="C226" s="357"/>
      <c r="D226" s="358"/>
      <c r="E226" s="421">
        <v>0</v>
      </c>
      <c r="F226" s="409"/>
      <c r="G226" s="492">
        <v>0</v>
      </c>
      <c r="H226" s="492"/>
      <c r="I226" s="492">
        <v>0</v>
      </c>
      <c r="J226" s="492"/>
      <c r="K226" s="492">
        <v>0</v>
      </c>
      <c r="L226" s="493"/>
      <c r="M226" s="142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22"/>
      <c r="AD226" s="22"/>
      <c r="AE226" s="22"/>
      <c r="AF226" s="22"/>
      <c r="AG226" s="22"/>
    </row>
    <row r="227" spans="1:33" x14ac:dyDescent="0.3">
      <c r="A227" s="356" t="s">
        <v>62</v>
      </c>
      <c r="B227" s="357"/>
      <c r="C227" s="357"/>
      <c r="D227" s="358"/>
      <c r="E227" s="421">
        <v>0</v>
      </c>
      <c r="F227" s="409"/>
      <c r="G227" s="492">
        <v>0</v>
      </c>
      <c r="H227" s="492"/>
      <c r="I227" s="492">
        <v>0</v>
      </c>
      <c r="J227" s="492"/>
      <c r="K227" s="492">
        <v>0</v>
      </c>
      <c r="L227" s="493"/>
      <c r="M227" s="142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22"/>
      <c r="AD227" s="22"/>
      <c r="AE227" s="22"/>
      <c r="AF227" s="22"/>
      <c r="AG227" s="22"/>
    </row>
    <row r="228" spans="1:33" ht="14.25" customHeight="1" x14ac:dyDescent="0.3">
      <c r="A228" s="356" t="s">
        <v>60</v>
      </c>
      <c r="B228" s="357"/>
      <c r="C228" s="357"/>
      <c r="D228" s="358"/>
      <c r="E228" s="421">
        <v>0</v>
      </c>
      <c r="F228" s="409"/>
      <c r="G228" s="387">
        <v>0</v>
      </c>
      <c r="H228" s="409"/>
      <c r="I228" s="387">
        <v>0</v>
      </c>
      <c r="J228" s="409"/>
      <c r="K228" s="387">
        <v>0</v>
      </c>
      <c r="L228" s="388"/>
      <c r="M228" s="142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22"/>
      <c r="AD228" s="22"/>
      <c r="AE228" s="22"/>
      <c r="AF228" s="22"/>
      <c r="AG228" s="22"/>
    </row>
    <row r="229" spans="1:33" ht="31.15" customHeight="1" thickBot="1" x14ac:dyDescent="0.35">
      <c r="A229" s="418" t="s">
        <v>64</v>
      </c>
      <c r="B229" s="419"/>
      <c r="C229" s="419"/>
      <c r="D229" s="420"/>
      <c r="E229" s="392">
        <v>0</v>
      </c>
      <c r="F229" s="393"/>
      <c r="G229" s="394">
        <v>0</v>
      </c>
      <c r="H229" s="393"/>
      <c r="I229" s="394">
        <v>0</v>
      </c>
      <c r="J229" s="393"/>
      <c r="K229" s="394">
        <v>0</v>
      </c>
      <c r="L229" s="395"/>
      <c r="M229" s="142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22"/>
      <c r="AD229" s="22"/>
      <c r="AE229" s="22"/>
      <c r="AF229" s="22"/>
      <c r="AG229" s="22"/>
    </row>
    <row r="230" spans="1:33" ht="14.25" customHeight="1" thickTop="1" thickBot="1" x14ac:dyDescent="0.35">
      <c r="A230" s="553" t="s">
        <v>11</v>
      </c>
      <c r="B230" s="554"/>
      <c r="C230" s="554"/>
      <c r="D230" s="555"/>
      <c r="E230" s="370">
        <f>SUM(E223:F229)</f>
        <v>0</v>
      </c>
      <c r="F230" s="373"/>
      <c r="G230" s="372">
        <f>SUM(G223:H229)</f>
        <v>0</v>
      </c>
      <c r="H230" s="373"/>
      <c r="I230" s="372">
        <f>SUM(I223:J229)</f>
        <v>0</v>
      </c>
      <c r="J230" s="373"/>
      <c r="K230" s="372">
        <f>SUM(K223:L229)</f>
        <v>0</v>
      </c>
      <c r="L230" s="371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22"/>
      <c r="AD230" s="22"/>
      <c r="AE230" s="22"/>
      <c r="AF230" s="22"/>
      <c r="AG230" s="22"/>
    </row>
    <row r="231" spans="1:33" ht="14.25" customHeight="1" thickTop="1" x14ac:dyDescent="0.3">
      <c r="A231" s="44"/>
      <c r="B231" s="44"/>
      <c r="C231" s="44"/>
      <c r="D231" s="44"/>
      <c r="E231" s="33"/>
      <c r="F231" s="33"/>
      <c r="G231" s="33"/>
      <c r="H231" s="33"/>
      <c r="I231" s="33"/>
      <c r="J231" s="33"/>
      <c r="K231" s="33"/>
      <c r="L231" s="33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22"/>
      <c r="AD231" s="22"/>
      <c r="AE231" s="22"/>
      <c r="AF231" s="22"/>
      <c r="AG231" s="22"/>
    </row>
    <row r="232" spans="1:33" x14ac:dyDescent="0.3">
      <c r="A232" s="447" t="s">
        <v>195</v>
      </c>
      <c r="B232" s="447"/>
      <c r="C232" s="447"/>
      <c r="D232" s="447"/>
      <c r="E232" s="447"/>
      <c r="F232" s="447"/>
      <c r="G232" s="447"/>
      <c r="H232" s="447"/>
      <c r="I232" s="447"/>
      <c r="J232" s="447"/>
      <c r="K232" s="447"/>
      <c r="L232" s="447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22"/>
      <c r="AD232" s="22"/>
      <c r="AE232" s="22"/>
      <c r="AF232" s="22"/>
      <c r="AG232" s="22"/>
    </row>
    <row r="233" spans="1:33" ht="14.5" thickBot="1" x14ac:dyDescent="0.35"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22"/>
      <c r="AD233" s="22"/>
      <c r="AE233" s="22"/>
      <c r="AF233" s="22"/>
      <c r="AG233" s="22"/>
    </row>
    <row r="234" spans="1:33" ht="27.75" customHeight="1" thickTop="1" x14ac:dyDescent="0.3">
      <c r="A234" s="528" t="s">
        <v>196</v>
      </c>
      <c r="B234" s="529"/>
      <c r="C234" s="529"/>
      <c r="D234" s="530"/>
      <c r="E234" s="528" t="s">
        <v>191</v>
      </c>
      <c r="F234" s="785"/>
      <c r="G234" s="565" t="s">
        <v>192</v>
      </c>
      <c r="H234" s="397"/>
      <c r="I234" s="397"/>
      <c r="J234" s="566"/>
      <c r="K234" s="560" t="s">
        <v>193</v>
      </c>
      <c r="L234" s="530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22"/>
      <c r="AD234" s="22"/>
      <c r="AE234" s="22"/>
      <c r="AF234" s="22"/>
      <c r="AG234" s="22"/>
    </row>
    <row r="235" spans="1:33" ht="24" customHeight="1" thickBot="1" x14ac:dyDescent="0.35">
      <c r="A235" s="531"/>
      <c r="B235" s="532"/>
      <c r="C235" s="532"/>
      <c r="D235" s="533"/>
      <c r="E235" s="531"/>
      <c r="F235" s="786"/>
      <c r="G235" s="562" t="s">
        <v>194</v>
      </c>
      <c r="H235" s="563"/>
      <c r="I235" s="562" t="s">
        <v>141</v>
      </c>
      <c r="J235" s="563"/>
      <c r="K235" s="561"/>
      <c r="L235" s="533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22"/>
      <c r="AD235" s="22"/>
      <c r="AE235" s="22"/>
      <c r="AF235" s="22"/>
      <c r="AG235" s="22"/>
    </row>
    <row r="236" spans="1:33" ht="14.25" customHeight="1" thickTop="1" x14ac:dyDescent="0.3">
      <c r="A236" s="782" t="s">
        <v>197</v>
      </c>
      <c r="B236" s="783"/>
      <c r="C236" s="783"/>
      <c r="D236" s="784"/>
      <c r="E236" s="778">
        <v>0</v>
      </c>
      <c r="F236" s="779"/>
      <c r="G236" s="410">
        <v>0</v>
      </c>
      <c r="H236" s="411"/>
      <c r="I236" s="410">
        <v>0</v>
      </c>
      <c r="J236" s="411"/>
      <c r="K236" s="780">
        <v>0</v>
      </c>
      <c r="L236" s="781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22"/>
      <c r="AD236" s="22"/>
      <c r="AE236" s="22"/>
      <c r="AF236" s="22"/>
      <c r="AG236" s="22"/>
    </row>
    <row r="237" spans="1:33" ht="14.25" customHeight="1" x14ac:dyDescent="0.3">
      <c r="A237" s="424" t="s">
        <v>183</v>
      </c>
      <c r="B237" s="425"/>
      <c r="C237" s="425"/>
      <c r="D237" s="426"/>
      <c r="E237" s="776">
        <v>0</v>
      </c>
      <c r="F237" s="777"/>
      <c r="G237" s="387">
        <v>0</v>
      </c>
      <c r="H237" s="409"/>
      <c r="I237" s="387">
        <v>0</v>
      </c>
      <c r="J237" s="409"/>
      <c r="K237" s="422">
        <v>0</v>
      </c>
      <c r="L237" s="423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22"/>
      <c r="AD237" s="22"/>
      <c r="AE237" s="22"/>
      <c r="AF237" s="22"/>
      <c r="AG237" s="22"/>
    </row>
    <row r="238" spans="1:33" ht="14.25" customHeight="1" x14ac:dyDescent="0.3">
      <c r="A238" s="424" t="s">
        <v>184</v>
      </c>
      <c r="B238" s="425"/>
      <c r="C238" s="425"/>
      <c r="D238" s="426"/>
      <c r="E238" s="776">
        <v>0</v>
      </c>
      <c r="F238" s="777"/>
      <c r="G238" s="387">
        <v>0</v>
      </c>
      <c r="H238" s="409"/>
      <c r="I238" s="387">
        <v>0</v>
      </c>
      <c r="J238" s="409"/>
      <c r="K238" s="422">
        <v>0</v>
      </c>
      <c r="L238" s="423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22"/>
      <c r="AD238" s="22"/>
      <c r="AE238" s="22"/>
      <c r="AF238" s="22"/>
      <c r="AG238" s="22"/>
    </row>
    <row r="239" spans="1:33" ht="14.25" customHeight="1" x14ac:dyDescent="0.3">
      <c r="A239" s="424" t="s">
        <v>198</v>
      </c>
      <c r="B239" s="425"/>
      <c r="C239" s="425"/>
      <c r="D239" s="426"/>
      <c r="E239" s="776">
        <v>0</v>
      </c>
      <c r="F239" s="777"/>
      <c r="G239" s="387">
        <v>0</v>
      </c>
      <c r="H239" s="409"/>
      <c r="I239" s="387">
        <v>0</v>
      </c>
      <c r="J239" s="409"/>
      <c r="K239" s="422">
        <v>0</v>
      </c>
      <c r="L239" s="423"/>
      <c r="M239" s="347" t="str">
        <f>IF(E242&lt;&gt;E230,"Section 5.2 - Totals for ""Interference With Operations/ Workload"" should be equal to ""Interference With Operations/ Workload"" of Section 5.1","")</f>
        <v/>
      </c>
      <c r="N239" s="348"/>
      <c r="O239" s="348"/>
      <c r="P239" s="348"/>
      <c r="Q239" s="348"/>
      <c r="R239" s="348"/>
      <c r="S239" s="348"/>
      <c r="T239" s="348"/>
      <c r="U239" s="348"/>
      <c r="V239" s="348"/>
      <c r="W239" s="348"/>
      <c r="X239" s="348"/>
      <c r="Y239" s="348"/>
      <c r="Z239" s="46"/>
      <c r="AA239" s="46"/>
      <c r="AB239" s="46"/>
      <c r="AC239" s="22"/>
      <c r="AD239" s="22"/>
      <c r="AE239" s="22"/>
      <c r="AF239" s="22"/>
      <c r="AG239" s="22"/>
    </row>
    <row r="240" spans="1:33" x14ac:dyDescent="0.3">
      <c r="A240" s="356" t="s">
        <v>186</v>
      </c>
      <c r="B240" s="357"/>
      <c r="C240" s="357"/>
      <c r="D240" s="358"/>
      <c r="E240" s="421">
        <v>0</v>
      </c>
      <c r="F240" s="409"/>
      <c r="G240" s="387">
        <v>0</v>
      </c>
      <c r="H240" s="409"/>
      <c r="I240" s="387">
        <v>0</v>
      </c>
      <c r="J240" s="409"/>
      <c r="K240" s="387">
        <v>0</v>
      </c>
      <c r="L240" s="388"/>
      <c r="M240" s="347" t="str">
        <f>IF(G242&lt;&gt;G230,"Section 5.2 - Totals for ""Section 69"" should be equal to ""Section 69"" of Section 5.1","")</f>
        <v/>
      </c>
      <c r="N240" s="348"/>
      <c r="O240" s="348"/>
      <c r="P240" s="348"/>
      <c r="Q240" s="348"/>
      <c r="R240" s="348"/>
      <c r="S240" s="348"/>
      <c r="T240" s="348"/>
      <c r="U240" s="348"/>
      <c r="V240" s="348"/>
      <c r="W240" s="348"/>
      <c r="X240" s="348"/>
      <c r="Y240" s="348"/>
      <c r="Z240" s="46"/>
      <c r="AA240" s="46"/>
      <c r="AB240" s="46"/>
      <c r="AC240" s="22"/>
      <c r="AD240" s="22"/>
      <c r="AE240" s="22"/>
      <c r="AF240" s="22"/>
      <c r="AG240" s="22"/>
    </row>
    <row r="241" spans="1:42" ht="14.5" thickBot="1" x14ac:dyDescent="0.35">
      <c r="A241" s="405" t="s">
        <v>199</v>
      </c>
      <c r="B241" s="406"/>
      <c r="C241" s="406"/>
      <c r="D241" s="407"/>
      <c r="E241" s="392">
        <v>0</v>
      </c>
      <c r="F241" s="393"/>
      <c r="G241" s="394">
        <v>0</v>
      </c>
      <c r="H241" s="393"/>
      <c r="I241" s="394">
        <v>0</v>
      </c>
      <c r="J241" s="393"/>
      <c r="K241" s="394">
        <v>0</v>
      </c>
      <c r="L241" s="395"/>
      <c r="M241" s="347" t="str">
        <f>IF(I242&lt;&gt;I230,"Section 5.2 - Totals for ""Other"" should be equal to ""Other"" of Section 5.1","")</f>
        <v/>
      </c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46"/>
      <c r="AA241" s="46"/>
      <c r="AB241" s="46"/>
      <c r="AC241" s="22"/>
      <c r="AD241" s="22"/>
      <c r="AE241" s="22"/>
      <c r="AF241" s="22"/>
      <c r="AG241" s="22"/>
    </row>
    <row r="242" spans="1:42" ht="15" thickTop="1" thickBot="1" x14ac:dyDescent="0.35">
      <c r="A242" s="553" t="s">
        <v>11</v>
      </c>
      <c r="B242" s="554"/>
      <c r="C242" s="554"/>
      <c r="D242" s="555"/>
      <c r="E242" s="370">
        <f>SUM(E236:F241)</f>
        <v>0</v>
      </c>
      <c r="F242" s="373"/>
      <c r="G242" s="372">
        <f>SUM(G236:H241)</f>
        <v>0</v>
      </c>
      <c r="H242" s="373"/>
      <c r="I242" s="372">
        <f>SUM(I236:J241)</f>
        <v>0</v>
      </c>
      <c r="J242" s="373"/>
      <c r="K242" s="372">
        <f>SUM(K236:L241)</f>
        <v>0</v>
      </c>
      <c r="L242" s="371"/>
      <c r="M242" s="347" t="str">
        <f>IF(K242&lt;&gt;K230,"Section 5.2 - Totals for ""Third-Party Notice"" should be equal to ""Third-Party Notice"" of Section 5.1","")</f>
        <v/>
      </c>
      <c r="N242" s="347"/>
      <c r="O242" s="344"/>
      <c r="P242" s="344"/>
      <c r="Q242" s="344"/>
      <c r="R242" s="344"/>
      <c r="S242" s="344"/>
      <c r="T242" s="344"/>
      <c r="U242" s="344"/>
      <c r="V242" s="344"/>
      <c r="W242" s="344"/>
      <c r="X242" s="344"/>
      <c r="Y242" s="344"/>
      <c r="Z242" s="46"/>
      <c r="AA242" s="46"/>
      <c r="AB242" s="46"/>
      <c r="AC242" s="22"/>
      <c r="AD242" s="22"/>
      <c r="AE242" s="22"/>
      <c r="AF242" s="22"/>
      <c r="AG242" s="22"/>
    </row>
    <row r="243" spans="1:42" ht="14.25" customHeight="1" thickTop="1" x14ac:dyDescent="0.3">
      <c r="F243" s="775"/>
      <c r="G243" s="775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22"/>
      <c r="AD243" s="22"/>
      <c r="AE243" s="22"/>
      <c r="AF243" s="22"/>
      <c r="AG243" s="22"/>
    </row>
    <row r="244" spans="1:42" ht="14.25" customHeight="1" x14ac:dyDescent="0.3">
      <c r="A244" s="590" t="s">
        <v>200</v>
      </c>
      <c r="B244" s="590"/>
      <c r="C244" s="590"/>
      <c r="D244" s="590"/>
      <c r="E244" s="590"/>
      <c r="F244" s="590"/>
      <c r="G244" s="590"/>
      <c r="H244" s="590"/>
      <c r="I244" s="590"/>
      <c r="J244" s="590"/>
      <c r="K244" s="590"/>
      <c r="L244" s="590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22"/>
      <c r="AD244" s="22"/>
      <c r="AE244" s="22"/>
      <c r="AF244" s="22"/>
      <c r="AG244" s="22"/>
    </row>
    <row r="245" spans="1:42" ht="14.5" thickBot="1" x14ac:dyDescent="0.35"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22"/>
      <c r="AD245" s="22"/>
      <c r="AE245" s="22"/>
      <c r="AF245" s="22"/>
      <c r="AG245" s="22"/>
    </row>
    <row r="246" spans="1:42" ht="14.5" thickTop="1" x14ac:dyDescent="0.3">
      <c r="A246" s="771" t="s">
        <v>201</v>
      </c>
      <c r="B246" s="772"/>
      <c r="C246" s="610" t="s">
        <v>202</v>
      </c>
      <c r="D246" s="611"/>
      <c r="E246" s="611"/>
      <c r="F246" s="610" t="s">
        <v>203</v>
      </c>
      <c r="G246" s="611"/>
      <c r="H246" s="612"/>
      <c r="I246" s="611" t="s">
        <v>204</v>
      </c>
      <c r="J246" s="611"/>
      <c r="K246" s="612"/>
      <c r="M246" s="142"/>
      <c r="N246" s="251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46"/>
      <c r="AA246" s="46"/>
      <c r="AB246" s="46"/>
      <c r="AC246" s="22"/>
      <c r="AD246" s="22"/>
      <c r="AE246" s="22"/>
      <c r="AF246" s="22"/>
      <c r="AG246" s="22"/>
    </row>
    <row r="247" spans="1:42" ht="57" customHeight="1" thickBot="1" x14ac:dyDescent="0.35">
      <c r="A247" s="773"/>
      <c r="B247" s="774"/>
      <c r="C247" s="121" t="s">
        <v>205</v>
      </c>
      <c r="D247" s="480" t="s">
        <v>206</v>
      </c>
      <c r="E247" s="480"/>
      <c r="F247" s="121" t="s">
        <v>205</v>
      </c>
      <c r="G247" s="480" t="s">
        <v>206</v>
      </c>
      <c r="H247" s="480"/>
      <c r="I247" s="121" t="s">
        <v>205</v>
      </c>
      <c r="J247" s="480" t="s">
        <v>206</v>
      </c>
      <c r="K247" s="481"/>
      <c r="M247" s="141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46"/>
      <c r="AA247" s="46"/>
      <c r="AB247" s="46"/>
      <c r="AC247" s="22"/>
      <c r="AD247" s="22"/>
      <c r="AE247" s="22"/>
      <c r="AF247" s="22"/>
      <c r="AG247" s="22"/>
    </row>
    <row r="248" spans="1:42" s="41" customFormat="1" ht="14.25" customHeight="1" thickTop="1" x14ac:dyDescent="0.3">
      <c r="A248" s="586" t="s">
        <v>207</v>
      </c>
      <c r="B248" s="587"/>
      <c r="C248" s="138">
        <v>0</v>
      </c>
      <c r="D248" s="482">
        <v>0</v>
      </c>
      <c r="E248" s="483"/>
      <c r="F248" s="138">
        <v>0</v>
      </c>
      <c r="G248" s="482">
        <v>0</v>
      </c>
      <c r="H248" s="483"/>
      <c r="I248" s="138">
        <v>0</v>
      </c>
      <c r="J248" s="482">
        <v>0</v>
      </c>
      <c r="K248" s="488"/>
      <c r="L248" s="17"/>
      <c r="M248" s="851"/>
      <c r="N248" s="851"/>
      <c r="O248" s="851"/>
      <c r="P248" s="851"/>
      <c r="Q248" s="851"/>
      <c r="R248" s="851"/>
      <c r="S248" s="851"/>
      <c r="T248" s="851"/>
      <c r="U248" s="851"/>
      <c r="V248" s="851"/>
      <c r="W248" s="851"/>
      <c r="X248" s="851"/>
      <c r="Y248" s="851"/>
      <c r="Z248" s="46"/>
      <c r="AA248" s="46"/>
      <c r="AB248" s="46"/>
      <c r="AC248" s="22"/>
      <c r="AD248" s="22"/>
      <c r="AE248" s="22"/>
      <c r="AF248" s="22"/>
      <c r="AG248" s="22"/>
      <c r="AH248" s="17"/>
      <c r="AI248" s="17"/>
      <c r="AJ248" s="17"/>
      <c r="AK248" s="17"/>
      <c r="AL248" s="17"/>
      <c r="AM248" s="17"/>
      <c r="AN248" s="17"/>
      <c r="AO248" s="17"/>
      <c r="AP248" s="17"/>
    </row>
    <row r="249" spans="1:42" ht="14.25" customHeight="1" thickBot="1" x14ac:dyDescent="0.35">
      <c r="A249" s="761" t="s">
        <v>208</v>
      </c>
      <c r="B249" s="762"/>
      <c r="C249" s="139">
        <v>0</v>
      </c>
      <c r="D249" s="484">
        <v>0</v>
      </c>
      <c r="E249" s="485"/>
      <c r="F249" s="148">
        <v>0</v>
      </c>
      <c r="G249" s="484">
        <v>0</v>
      </c>
      <c r="H249" s="485"/>
      <c r="I249" s="148">
        <v>0</v>
      </c>
      <c r="J249" s="484">
        <v>0</v>
      </c>
      <c r="K249" s="588"/>
      <c r="M249" s="851"/>
      <c r="N249" s="851"/>
      <c r="O249" s="851"/>
      <c r="P249" s="851"/>
      <c r="Q249" s="851"/>
      <c r="R249" s="851"/>
      <c r="S249" s="851"/>
      <c r="T249" s="851"/>
      <c r="U249" s="851"/>
      <c r="V249" s="851"/>
      <c r="W249" s="851"/>
      <c r="X249" s="851"/>
      <c r="Y249" s="851"/>
      <c r="Z249" s="46"/>
      <c r="AA249" s="46"/>
      <c r="AB249" s="46"/>
      <c r="AC249" s="22"/>
      <c r="AD249" s="22"/>
      <c r="AE249" s="22"/>
      <c r="AF249" s="22"/>
      <c r="AG249" s="22"/>
    </row>
    <row r="250" spans="1:42" ht="14.25" customHeight="1" thickTop="1" thickBot="1" x14ac:dyDescent="0.35">
      <c r="A250" s="766" t="s">
        <v>11</v>
      </c>
      <c r="B250" s="767"/>
      <c r="C250" s="195">
        <f>SUM(C248:C249)</f>
        <v>0</v>
      </c>
      <c r="D250" s="486">
        <f>SUM(D248:E249)</f>
        <v>0</v>
      </c>
      <c r="E250" s="487"/>
      <c r="F250" s="195">
        <f>SUM(F248:F249)</f>
        <v>0</v>
      </c>
      <c r="G250" s="486">
        <f>SUM(G248:H249)</f>
        <v>0</v>
      </c>
      <c r="H250" s="487"/>
      <c r="I250" s="195">
        <f>SUM(I248:I249)</f>
        <v>0</v>
      </c>
      <c r="J250" s="486">
        <f>SUM(J248:K249)</f>
        <v>0</v>
      </c>
      <c r="K250" s="589"/>
      <c r="M250" s="446"/>
      <c r="N250" s="446"/>
      <c r="O250" s="446"/>
      <c r="P250" s="446"/>
      <c r="Q250" s="446"/>
      <c r="R250" s="446"/>
      <c r="S250" s="446"/>
      <c r="T250" s="446"/>
      <c r="U250" s="446"/>
      <c r="V250" s="446"/>
      <c r="W250" s="446"/>
      <c r="X250" s="446"/>
      <c r="Y250" s="446"/>
      <c r="Z250" s="46"/>
      <c r="AA250" s="46"/>
      <c r="AB250" s="46"/>
      <c r="AC250" s="22"/>
      <c r="AD250" s="22"/>
      <c r="AE250" s="22"/>
      <c r="AF250" s="22"/>
      <c r="AG250" s="22"/>
    </row>
    <row r="251" spans="1:42" ht="14.5" thickTop="1" x14ac:dyDescent="0.3"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22"/>
      <c r="AD251" s="22"/>
      <c r="AE251" s="22"/>
      <c r="AF251" s="22"/>
      <c r="AG251" s="22"/>
    </row>
    <row r="252" spans="1:42" ht="15" customHeight="1" x14ac:dyDescent="0.3">
      <c r="A252" s="590" t="s">
        <v>209</v>
      </c>
      <c r="B252" s="590"/>
      <c r="C252" s="590"/>
      <c r="D252" s="590"/>
      <c r="E252" s="590"/>
      <c r="F252" s="590"/>
      <c r="G252" s="590"/>
      <c r="H252" s="590"/>
      <c r="I252" s="590"/>
      <c r="J252" s="590"/>
      <c r="K252" s="590"/>
      <c r="L252" s="590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22"/>
      <c r="AD252" s="22"/>
      <c r="AE252" s="22"/>
      <c r="AF252" s="22"/>
      <c r="AG252" s="22"/>
    </row>
    <row r="253" spans="1:42" ht="14.25" customHeight="1" x14ac:dyDescent="0.3"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22"/>
      <c r="AD253" s="22"/>
      <c r="AE253" s="22"/>
      <c r="AF253" s="22"/>
      <c r="AG253" s="22"/>
    </row>
    <row r="254" spans="1:42" ht="13.9" customHeight="1" x14ac:dyDescent="0.3">
      <c r="A254" s="760" t="s">
        <v>210</v>
      </c>
      <c r="B254" s="760"/>
      <c r="C254" s="760"/>
      <c r="D254" s="760"/>
      <c r="E254" s="760"/>
      <c r="F254" s="760"/>
      <c r="G254" s="760"/>
      <c r="H254" s="760"/>
      <c r="I254" s="760"/>
      <c r="J254" s="760"/>
      <c r="K254" s="760"/>
      <c r="L254" s="760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22"/>
      <c r="AD254" s="22"/>
      <c r="AE254" s="22"/>
      <c r="AF254" s="22"/>
      <c r="AG254" s="22"/>
    </row>
    <row r="255" spans="1:42" ht="14.5" thickBot="1" x14ac:dyDescent="0.35"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22"/>
      <c r="AD255" s="22"/>
      <c r="AE255" s="22"/>
      <c r="AF255" s="22"/>
      <c r="AG255" s="22"/>
    </row>
    <row r="256" spans="1:42" ht="56.25" customHeight="1" thickTop="1" thickBot="1" x14ac:dyDescent="0.35">
      <c r="A256" s="494" t="s">
        <v>211</v>
      </c>
      <c r="B256" s="382"/>
      <c r="C256" s="382"/>
      <c r="D256" s="521"/>
      <c r="E256" s="494" t="s">
        <v>212</v>
      </c>
      <c r="F256" s="495"/>
      <c r="G256" s="527" t="s">
        <v>213</v>
      </c>
      <c r="H256" s="521"/>
      <c r="I256" s="494" t="s">
        <v>214</v>
      </c>
      <c r="J256" s="495"/>
      <c r="K256" s="527" t="s">
        <v>213</v>
      </c>
      <c r="L256" s="521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22"/>
      <c r="AD256" s="22"/>
      <c r="AE256" s="22"/>
      <c r="AF256" s="22"/>
      <c r="AG256" s="22"/>
    </row>
    <row r="257" spans="1:33" ht="15" customHeight="1" thickTop="1" x14ac:dyDescent="0.3">
      <c r="A257" s="374" t="s">
        <v>215</v>
      </c>
      <c r="B257" s="604"/>
      <c r="C257" s="604"/>
      <c r="D257" s="375"/>
      <c r="E257" s="559">
        <v>0</v>
      </c>
      <c r="F257" s="411"/>
      <c r="G257" s="410">
        <v>0</v>
      </c>
      <c r="H257" s="363"/>
      <c r="I257" s="559">
        <v>0</v>
      </c>
      <c r="J257" s="411"/>
      <c r="K257" s="410">
        <v>0</v>
      </c>
      <c r="L257" s="363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22"/>
      <c r="AD257" s="22"/>
      <c r="AE257" s="22"/>
      <c r="AF257" s="22"/>
      <c r="AG257" s="22"/>
    </row>
    <row r="258" spans="1:33" ht="27.4" customHeight="1" thickBot="1" x14ac:dyDescent="0.35">
      <c r="A258" s="418" t="s">
        <v>216</v>
      </c>
      <c r="B258" s="419"/>
      <c r="C258" s="419"/>
      <c r="D258" s="420"/>
      <c r="E258" s="392">
        <v>0</v>
      </c>
      <c r="F258" s="393"/>
      <c r="G258" s="394">
        <v>0</v>
      </c>
      <c r="H258" s="395"/>
      <c r="I258" s="392">
        <v>0</v>
      </c>
      <c r="J258" s="393"/>
      <c r="K258" s="394">
        <v>0</v>
      </c>
      <c r="L258" s="395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22"/>
      <c r="AD258" s="22"/>
      <c r="AE258" s="22"/>
      <c r="AF258" s="22"/>
      <c r="AG258" s="22"/>
    </row>
    <row r="259" spans="1:33" ht="15" thickTop="1" thickBot="1" x14ac:dyDescent="0.35">
      <c r="A259" s="577" t="s">
        <v>11</v>
      </c>
      <c r="B259" s="578"/>
      <c r="C259" s="578"/>
      <c r="D259" s="579"/>
      <c r="E259" s="416">
        <f>SUM(E257:F258)</f>
        <v>0</v>
      </c>
      <c r="F259" s="417"/>
      <c r="G259" s="605">
        <f>SUM(G257:H258)</f>
        <v>0</v>
      </c>
      <c r="H259" s="606"/>
      <c r="I259" s="416">
        <f>SUM(I257:J258)</f>
        <v>0</v>
      </c>
      <c r="J259" s="417"/>
      <c r="K259" s="605">
        <f>SUM(K257:L258)</f>
        <v>0</v>
      </c>
      <c r="L259" s="606"/>
      <c r="M259" s="446"/>
      <c r="N259" s="446"/>
      <c r="O259" s="446"/>
      <c r="P259" s="446"/>
      <c r="Q259" s="446"/>
      <c r="R259" s="446"/>
      <c r="S259" s="446"/>
      <c r="T259" s="446"/>
      <c r="U259" s="446"/>
      <c r="V259" s="446"/>
      <c r="W259" s="446"/>
      <c r="X259" s="446"/>
      <c r="Y259" s="446"/>
      <c r="Z259" s="46"/>
      <c r="AA259" s="46"/>
      <c r="AB259" s="46"/>
      <c r="AC259" s="22"/>
      <c r="AD259" s="22"/>
      <c r="AE259" s="22"/>
      <c r="AF259" s="22"/>
      <c r="AG259" s="22"/>
    </row>
    <row r="260" spans="1:33" ht="15" customHeight="1" thickTop="1" x14ac:dyDescent="0.3">
      <c r="A260" s="374" t="s">
        <v>217</v>
      </c>
      <c r="B260" s="604"/>
      <c r="C260" s="604"/>
      <c r="D260" s="375"/>
      <c r="E260" s="559">
        <v>0</v>
      </c>
      <c r="F260" s="411"/>
      <c r="G260" s="410">
        <v>0</v>
      </c>
      <c r="H260" s="363"/>
      <c r="I260" s="559">
        <v>0</v>
      </c>
      <c r="J260" s="411"/>
      <c r="K260" s="410">
        <v>0</v>
      </c>
      <c r="L260" s="363"/>
      <c r="M260" s="446"/>
      <c r="N260" s="446"/>
      <c r="O260" s="446"/>
      <c r="P260" s="446"/>
      <c r="Q260" s="446"/>
      <c r="R260" s="446"/>
      <c r="S260" s="446"/>
      <c r="T260" s="446"/>
      <c r="U260" s="446"/>
      <c r="V260" s="446"/>
      <c r="W260" s="446"/>
      <c r="X260" s="446"/>
      <c r="Y260" s="446"/>
      <c r="Z260" s="46"/>
      <c r="AA260" s="46"/>
      <c r="AB260" s="46"/>
      <c r="AC260" s="22"/>
      <c r="AD260" s="22"/>
      <c r="AE260" s="22"/>
      <c r="AF260" s="22"/>
      <c r="AG260" s="22"/>
    </row>
    <row r="261" spans="1:33" ht="14.25" customHeight="1" x14ac:dyDescent="0.3">
      <c r="A261" s="379" t="s">
        <v>218</v>
      </c>
      <c r="B261" s="607"/>
      <c r="C261" s="607"/>
      <c r="D261" s="380"/>
      <c r="E261" s="421">
        <v>0</v>
      </c>
      <c r="F261" s="409"/>
      <c r="G261" s="387">
        <v>0</v>
      </c>
      <c r="H261" s="388"/>
      <c r="I261" s="421">
        <v>0</v>
      </c>
      <c r="J261" s="409"/>
      <c r="K261" s="387">
        <v>0</v>
      </c>
      <c r="L261" s="388"/>
      <c r="M261" s="446"/>
      <c r="N261" s="446"/>
      <c r="O261" s="446"/>
      <c r="P261" s="446"/>
      <c r="Q261" s="446"/>
      <c r="R261" s="446"/>
      <c r="S261" s="446"/>
      <c r="T261" s="446"/>
      <c r="U261" s="446"/>
      <c r="V261" s="446"/>
      <c r="W261" s="446"/>
      <c r="X261" s="446"/>
      <c r="Y261" s="446"/>
      <c r="Z261" s="46"/>
      <c r="AA261" s="46"/>
      <c r="AB261" s="46"/>
      <c r="AC261" s="22"/>
      <c r="AD261" s="22"/>
      <c r="AE261" s="22"/>
      <c r="AF261" s="22"/>
      <c r="AG261" s="22"/>
    </row>
    <row r="262" spans="1:33" ht="15" customHeight="1" thickBot="1" x14ac:dyDescent="0.35">
      <c r="A262" s="418" t="s">
        <v>219</v>
      </c>
      <c r="B262" s="419"/>
      <c r="C262" s="419"/>
      <c r="D262" s="420"/>
      <c r="E262" s="392">
        <v>0</v>
      </c>
      <c r="F262" s="393"/>
      <c r="G262" s="394">
        <v>0</v>
      </c>
      <c r="H262" s="395"/>
      <c r="I262" s="392">
        <v>0</v>
      </c>
      <c r="J262" s="393"/>
      <c r="K262" s="394">
        <v>0</v>
      </c>
      <c r="L262" s="395"/>
      <c r="M262" s="446"/>
      <c r="N262" s="446"/>
      <c r="O262" s="446"/>
      <c r="P262" s="446"/>
      <c r="Q262" s="446"/>
      <c r="R262" s="446"/>
      <c r="S262" s="446"/>
      <c r="T262" s="446"/>
      <c r="U262" s="446"/>
      <c r="V262" s="446"/>
      <c r="W262" s="446"/>
      <c r="X262" s="446"/>
      <c r="Y262" s="446"/>
      <c r="Z262" s="46"/>
      <c r="AA262" s="46"/>
      <c r="AB262" s="46"/>
      <c r="AC262" s="22"/>
      <c r="AD262" s="22"/>
      <c r="AE262" s="22"/>
      <c r="AF262" s="22"/>
      <c r="AG262" s="22"/>
    </row>
    <row r="263" spans="1:33" ht="14.25" customHeight="1" thickTop="1" x14ac:dyDescent="0.3">
      <c r="A263" s="48"/>
      <c r="B263" s="48"/>
      <c r="C263" s="48"/>
      <c r="D263" s="48"/>
      <c r="E263" s="33"/>
      <c r="F263" s="526"/>
      <c r="G263" s="526"/>
      <c r="H263" s="33"/>
      <c r="I263" s="33"/>
      <c r="J263" s="33"/>
      <c r="K263" s="33"/>
      <c r="L263" s="33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22"/>
      <c r="AD263" s="22"/>
      <c r="AE263" s="22"/>
      <c r="AF263" s="22"/>
      <c r="AG263" s="22"/>
    </row>
    <row r="264" spans="1:33" ht="29.25" customHeight="1" x14ac:dyDescent="0.3">
      <c r="A264" s="430" t="s">
        <v>220</v>
      </c>
      <c r="B264" s="430"/>
      <c r="C264" s="430"/>
      <c r="D264" s="430"/>
      <c r="E264" s="430"/>
      <c r="F264" s="430"/>
      <c r="G264" s="430"/>
      <c r="H264" s="430"/>
      <c r="I264" s="430"/>
      <c r="J264" s="430"/>
      <c r="K264" s="430"/>
      <c r="L264" s="430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22"/>
      <c r="AD264" s="22"/>
      <c r="AE264" s="22"/>
      <c r="AF264" s="22"/>
      <c r="AG264" s="22"/>
    </row>
    <row r="265" spans="1:33" ht="14.5" thickBot="1" x14ac:dyDescent="0.35"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22"/>
      <c r="AD265" s="22"/>
      <c r="AE265" s="22"/>
      <c r="AF265" s="22"/>
      <c r="AG265" s="22"/>
    </row>
    <row r="266" spans="1:33" ht="13.9" customHeight="1" thickTop="1" x14ac:dyDescent="0.3">
      <c r="A266" s="598" t="s">
        <v>221</v>
      </c>
      <c r="B266" s="602"/>
      <c r="C266" s="602"/>
      <c r="D266" s="599"/>
      <c r="E266" s="396" t="s">
        <v>222</v>
      </c>
      <c r="F266" s="397"/>
      <c r="G266" s="397"/>
      <c r="H266" s="397"/>
      <c r="I266" s="397"/>
      <c r="J266" s="397"/>
      <c r="K266" s="397"/>
      <c r="L266" s="398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22"/>
      <c r="AD266" s="22"/>
      <c r="AE266" s="22"/>
      <c r="AF266" s="22"/>
      <c r="AG266" s="22"/>
    </row>
    <row r="267" spans="1:33" ht="35.5" thickBot="1" x14ac:dyDescent="0.35">
      <c r="A267" s="600"/>
      <c r="B267" s="603"/>
      <c r="C267" s="603"/>
      <c r="D267" s="601"/>
      <c r="E267" s="185" t="s">
        <v>35</v>
      </c>
      <c r="F267" s="186" t="s">
        <v>36</v>
      </c>
      <c r="G267" s="186" t="s">
        <v>37</v>
      </c>
      <c r="H267" s="186" t="s">
        <v>38</v>
      </c>
      <c r="I267" s="186" t="s">
        <v>223</v>
      </c>
      <c r="J267" s="186" t="s">
        <v>40</v>
      </c>
      <c r="K267" s="187" t="s">
        <v>41</v>
      </c>
      <c r="L267" s="188" t="s">
        <v>11</v>
      </c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22"/>
      <c r="AD267" s="22"/>
      <c r="AE267" s="22"/>
      <c r="AF267" s="22"/>
      <c r="AG267" s="22"/>
    </row>
    <row r="268" spans="1:33" ht="14.5" thickTop="1" x14ac:dyDescent="0.3">
      <c r="A268" s="489" t="s">
        <v>224</v>
      </c>
      <c r="B268" s="490"/>
      <c r="C268" s="490"/>
      <c r="D268" s="491"/>
      <c r="E268" s="14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6">
        <v>0</v>
      </c>
      <c r="L268" s="197">
        <f>SUM(E268:K268)</f>
        <v>0</v>
      </c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22"/>
      <c r="AD268" s="22"/>
      <c r="AE268" s="22"/>
      <c r="AF268" s="22"/>
      <c r="AG268" s="22"/>
    </row>
    <row r="269" spans="1:33" x14ac:dyDescent="0.3">
      <c r="A269" s="356" t="s">
        <v>225</v>
      </c>
      <c r="B269" s="357"/>
      <c r="C269" s="357"/>
      <c r="D269" s="358"/>
      <c r="E269" s="12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1">
        <v>0</v>
      </c>
      <c r="L269" s="198">
        <f t="shared" ref="L269:L273" si="5">SUM(E269:K269)</f>
        <v>0</v>
      </c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22"/>
      <c r="AD269" s="22"/>
      <c r="AE269" s="22"/>
      <c r="AF269" s="22"/>
      <c r="AG269" s="22"/>
    </row>
    <row r="270" spans="1:33" x14ac:dyDescent="0.3">
      <c r="A270" s="356" t="s">
        <v>226</v>
      </c>
      <c r="B270" s="357"/>
      <c r="C270" s="357"/>
      <c r="D270" s="358"/>
      <c r="E270" s="12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1">
        <v>0</v>
      </c>
      <c r="L270" s="198">
        <f t="shared" si="5"/>
        <v>0</v>
      </c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22"/>
      <c r="AD270" s="22"/>
      <c r="AE270" s="22"/>
      <c r="AF270" s="22"/>
      <c r="AG270" s="22"/>
    </row>
    <row r="271" spans="1:33" x14ac:dyDescent="0.3">
      <c r="A271" s="356" t="s">
        <v>227</v>
      </c>
      <c r="B271" s="357"/>
      <c r="C271" s="357"/>
      <c r="D271" s="358"/>
      <c r="E271" s="12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1">
        <v>0</v>
      </c>
      <c r="L271" s="198">
        <f t="shared" si="5"/>
        <v>0</v>
      </c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22"/>
      <c r="AD271" s="22"/>
      <c r="AE271" s="22"/>
      <c r="AF271" s="22"/>
      <c r="AG271" s="22"/>
    </row>
    <row r="272" spans="1:33" x14ac:dyDescent="0.3">
      <c r="A272" s="356" t="s">
        <v>228</v>
      </c>
      <c r="B272" s="357"/>
      <c r="C272" s="357"/>
      <c r="D272" s="358"/>
      <c r="E272" s="12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1">
        <v>0</v>
      </c>
      <c r="L272" s="198">
        <f t="shared" si="5"/>
        <v>0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22"/>
      <c r="AD272" s="22"/>
      <c r="AE272" s="22"/>
      <c r="AF272" s="22"/>
      <c r="AG272" s="22"/>
    </row>
    <row r="273" spans="1:33" ht="14.5" thickBot="1" x14ac:dyDescent="0.35">
      <c r="A273" s="405" t="s">
        <v>141</v>
      </c>
      <c r="B273" s="406"/>
      <c r="C273" s="406"/>
      <c r="D273" s="407"/>
      <c r="E273" s="99">
        <v>0</v>
      </c>
      <c r="F273" s="100">
        <v>0</v>
      </c>
      <c r="G273" s="100">
        <v>0</v>
      </c>
      <c r="H273" s="100">
        <v>0</v>
      </c>
      <c r="I273" s="100">
        <v>0</v>
      </c>
      <c r="J273" s="100">
        <v>0</v>
      </c>
      <c r="K273" s="101">
        <v>0</v>
      </c>
      <c r="L273" s="199">
        <f t="shared" si="5"/>
        <v>0</v>
      </c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22"/>
      <c r="AD273" s="22"/>
      <c r="AE273" s="22"/>
      <c r="AF273" s="22"/>
      <c r="AG273" s="22"/>
    </row>
    <row r="274" spans="1:33" ht="15" thickTop="1" thickBot="1" x14ac:dyDescent="0.35">
      <c r="A274" s="427" t="s">
        <v>11</v>
      </c>
      <c r="B274" s="428"/>
      <c r="C274" s="428"/>
      <c r="D274" s="429"/>
      <c r="E274" s="191">
        <f t="shared" ref="E274:L274" si="6">SUM(E268:E273)</f>
        <v>0</v>
      </c>
      <c r="F274" s="192">
        <f t="shared" si="6"/>
        <v>0</v>
      </c>
      <c r="G274" s="192">
        <f t="shared" si="6"/>
        <v>0</v>
      </c>
      <c r="H274" s="192">
        <f t="shared" si="6"/>
        <v>0</v>
      </c>
      <c r="I274" s="192">
        <f t="shared" si="6"/>
        <v>0</v>
      </c>
      <c r="J274" s="192">
        <f t="shared" si="6"/>
        <v>0</v>
      </c>
      <c r="K274" s="194">
        <f t="shared" si="6"/>
        <v>0</v>
      </c>
      <c r="L274" s="196">
        <f t="shared" si="6"/>
        <v>0</v>
      </c>
      <c r="M274" s="850"/>
      <c r="N274" s="850"/>
      <c r="O274" s="850"/>
      <c r="P274" s="850"/>
      <c r="Q274" s="850"/>
      <c r="R274" s="850"/>
      <c r="S274" s="850"/>
      <c r="T274" s="850"/>
      <c r="U274" s="850"/>
      <c r="V274" s="850"/>
      <c r="W274" s="850"/>
      <c r="X274" s="850"/>
      <c r="Y274" s="850"/>
      <c r="Z274" s="46"/>
      <c r="AA274" s="46"/>
      <c r="AB274" s="46"/>
      <c r="AC274" s="22"/>
      <c r="AD274" s="22"/>
      <c r="AE274" s="22"/>
      <c r="AF274" s="22"/>
      <c r="AG274" s="22"/>
    </row>
    <row r="275" spans="1:33" ht="14.25" customHeight="1" thickTop="1" x14ac:dyDescent="0.3">
      <c r="A275" s="44"/>
      <c r="B275" s="44"/>
      <c r="C275" s="44"/>
      <c r="D275" s="44"/>
      <c r="E275" s="33"/>
      <c r="F275" s="33"/>
      <c r="G275" s="33"/>
      <c r="H275" s="33"/>
      <c r="I275" s="33"/>
      <c r="J275" s="33"/>
      <c r="K275" s="33"/>
      <c r="L275" s="33"/>
      <c r="M275" s="850"/>
      <c r="N275" s="850"/>
      <c r="O275" s="850"/>
      <c r="P275" s="850"/>
      <c r="Q275" s="850"/>
      <c r="R275" s="850"/>
      <c r="S275" s="850"/>
      <c r="T275" s="850"/>
      <c r="U275" s="850"/>
      <c r="V275" s="850"/>
      <c r="W275" s="850"/>
      <c r="X275" s="850"/>
      <c r="Y275" s="850"/>
      <c r="Z275" s="46"/>
      <c r="AA275" s="46"/>
      <c r="AB275" s="46"/>
      <c r="AC275" s="22"/>
      <c r="AD275" s="22"/>
      <c r="AE275" s="22"/>
      <c r="AF275" s="22"/>
      <c r="AG275" s="22"/>
    </row>
    <row r="276" spans="1:33" ht="31.5" customHeight="1" x14ac:dyDescent="0.3">
      <c r="A276" s="430" t="s">
        <v>229</v>
      </c>
      <c r="B276" s="430"/>
      <c r="C276" s="430"/>
      <c r="D276" s="430"/>
      <c r="E276" s="430"/>
      <c r="F276" s="430"/>
      <c r="G276" s="430"/>
      <c r="H276" s="430"/>
      <c r="I276" s="430"/>
      <c r="J276" s="430"/>
      <c r="K276" s="430"/>
      <c r="L276" s="430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22"/>
      <c r="AD276" s="22"/>
      <c r="AE276" s="22"/>
      <c r="AF276" s="22"/>
      <c r="AG276" s="22"/>
    </row>
    <row r="277" spans="1:33" ht="14.5" thickBot="1" x14ac:dyDescent="0.35"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22"/>
      <c r="AD277" s="22"/>
      <c r="AE277" s="22"/>
      <c r="AF277" s="22"/>
      <c r="AG277" s="22"/>
    </row>
    <row r="278" spans="1:33" ht="14.25" customHeight="1" thickTop="1" x14ac:dyDescent="0.3">
      <c r="A278" s="598" t="s">
        <v>221</v>
      </c>
      <c r="B278" s="602"/>
      <c r="C278" s="602"/>
      <c r="D278" s="599"/>
      <c r="E278" s="396" t="s">
        <v>222</v>
      </c>
      <c r="F278" s="397"/>
      <c r="G278" s="397"/>
      <c r="H278" s="397"/>
      <c r="I278" s="397"/>
      <c r="J278" s="397"/>
      <c r="K278" s="397"/>
      <c r="L278" s="398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22"/>
      <c r="AD278" s="22"/>
      <c r="AE278" s="22"/>
      <c r="AF278" s="22"/>
      <c r="AG278" s="22"/>
    </row>
    <row r="279" spans="1:33" ht="35.5" thickBot="1" x14ac:dyDescent="0.35">
      <c r="A279" s="600"/>
      <c r="B279" s="603"/>
      <c r="C279" s="603"/>
      <c r="D279" s="601"/>
      <c r="E279" s="185" t="s">
        <v>35</v>
      </c>
      <c r="F279" s="186" t="s">
        <v>36</v>
      </c>
      <c r="G279" s="186" t="s">
        <v>37</v>
      </c>
      <c r="H279" s="186" t="s">
        <v>38</v>
      </c>
      <c r="I279" s="186" t="s">
        <v>39</v>
      </c>
      <c r="J279" s="186" t="s">
        <v>40</v>
      </c>
      <c r="K279" s="187" t="s">
        <v>41</v>
      </c>
      <c r="L279" s="188" t="s">
        <v>11</v>
      </c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22"/>
      <c r="AD279" s="22"/>
      <c r="AE279" s="22"/>
      <c r="AF279" s="22"/>
      <c r="AG279" s="22"/>
    </row>
    <row r="280" spans="1:33" ht="14.25" customHeight="1" thickTop="1" x14ac:dyDescent="0.3">
      <c r="A280" s="489" t="s">
        <v>224</v>
      </c>
      <c r="B280" s="490"/>
      <c r="C280" s="490"/>
      <c r="D280" s="491"/>
      <c r="E280" s="14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6">
        <v>0</v>
      </c>
      <c r="L280" s="202">
        <f t="shared" ref="L280:L285" si="7">SUM(E280:K280)</f>
        <v>0</v>
      </c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22"/>
      <c r="AD280" s="22"/>
      <c r="AE280" s="22"/>
      <c r="AF280" s="22"/>
      <c r="AG280" s="22"/>
    </row>
    <row r="281" spans="1:33" ht="14.25" customHeight="1" x14ac:dyDescent="0.3">
      <c r="A281" s="356" t="s">
        <v>225</v>
      </c>
      <c r="B281" s="357"/>
      <c r="C281" s="357"/>
      <c r="D281" s="358"/>
      <c r="E281" s="12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1">
        <v>0</v>
      </c>
      <c r="L281" s="198">
        <f t="shared" si="7"/>
        <v>0</v>
      </c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22"/>
      <c r="AD281" s="22"/>
      <c r="AE281" s="22"/>
      <c r="AF281" s="22"/>
      <c r="AG281" s="22"/>
    </row>
    <row r="282" spans="1:33" ht="14.25" customHeight="1" x14ac:dyDescent="0.3">
      <c r="A282" s="356" t="s">
        <v>226</v>
      </c>
      <c r="B282" s="357"/>
      <c r="C282" s="357"/>
      <c r="D282" s="358"/>
      <c r="E282" s="12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1">
        <v>0</v>
      </c>
      <c r="L282" s="198">
        <f t="shared" si="7"/>
        <v>0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22"/>
      <c r="AD282" s="22"/>
      <c r="AE282" s="22"/>
      <c r="AF282" s="22"/>
      <c r="AG282" s="22"/>
    </row>
    <row r="283" spans="1:33" ht="14.25" customHeight="1" x14ac:dyDescent="0.3">
      <c r="A283" s="356" t="s">
        <v>227</v>
      </c>
      <c r="B283" s="357"/>
      <c r="C283" s="357"/>
      <c r="D283" s="358"/>
      <c r="E283" s="12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1">
        <v>0</v>
      </c>
      <c r="L283" s="198">
        <f t="shared" si="7"/>
        <v>0</v>
      </c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22"/>
      <c r="AD283" s="22"/>
      <c r="AE283" s="22"/>
      <c r="AF283" s="22"/>
      <c r="AG283" s="22"/>
    </row>
    <row r="284" spans="1:33" ht="14.25" customHeight="1" x14ac:dyDescent="0.3">
      <c r="A284" s="356" t="s">
        <v>228</v>
      </c>
      <c r="B284" s="357"/>
      <c r="C284" s="357"/>
      <c r="D284" s="358"/>
      <c r="E284" s="12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1">
        <v>0</v>
      </c>
      <c r="L284" s="198">
        <f t="shared" si="7"/>
        <v>0</v>
      </c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22"/>
      <c r="AD284" s="22"/>
      <c r="AE284" s="22"/>
      <c r="AF284" s="22"/>
      <c r="AG284" s="22"/>
    </row>
    <row r="285" spans="1:33" ht="14.5" thickBot="1" x14ac:dyDescent="0.35">
      <c r="A285" s="405" t="s">
        <v>141</v>
      </c>
      <c r="B285" s="406"/>
      <c r="C285" s="406"/>
      <c r="D285" s="407"/>
      <c r="E285" s="113">
        <v>0</v>
      </c>
      <c r="F285" s="100">
        <v>0</v>
      </c>
      <c r="G285" s="100">
        <v>0</v>
      </c>
      <c r="H285" s="100">
        <v>0</v>
      </c>
      <c r="I285" s="100">
        <v>0</v>
      </c>
      <c r="J285" s="100">
        <v>0</v>
      </c>
      <c r="K285" s="101">
        <v>0</v>
      </c>
      <c r="L285" s="199">
        <f t="shared" si="7"/>
        <v>0</v>
      </c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22"/>
      <c r="AD285" s="22"/>
      <c r="AE285" s="22"/>
      <c r="AF285" s="22"/>
      <c r="AG285" s="22"/>
    </row>
    <row r="286" spans="1:33" ht="15" thickTop="1" thickBot="1" x14ac:dyDescent="0.35">
      <c r="A286" s="427" t="s">
        <v>230</v>
      </c>
      <c r="B286" s="428"/>
      <c r="C286" s="428"/>
      <c r="D286" s="429"/>
      <c r="E286" s="200">
        <f t="shared" ref="E286:L286" si="8">SUM(E280:E285)</f>
        <v>0</v>
      </c>
      <c r="F286" s="201">
        <f t="shared" si="8"/>
        <v>0</v>
      </c>
      <c r="G286" s="201">
        <f t="shared" si="8"/>
        <v>0</v>
      </c>
      <c r="H286" s="201">
        <f t="shared" si="8"/>
        <v>0</v>
      </c>
      <c r="I286" s="201">
        <f t="shared" si="8"/>
        <v>0</v>
      </c>
      <c r="J286" s="201">
        <f t="shared" si="8"/>
        <v>0</v>
      </c>
      <c r="K286" s="194">
        <f t="shared" si="8"/>
        <v>0</v>
      </c>
      <c r="L286" s="196">
        <f t="shared" si="8"/>
        <v>0</v>
      </c>
      <c r="M286" s="446"/>
      <c r="N286" s="446"/>
      <c r="O286" s="446"/>
      <c r="P286" s="446"/>
      <c r="Q286" s="446"/>
      <c r="R286" s="446"/>
      <c r="S286" s="446"/>
      <c r="T286" s="446"/>
      <c r="U286" s="446"/>
      <c r="V286" s="446"/>
      <c r="W286" s="446"/>
      <c r="X286" s="446"/>
      <c r="Y286" s="446"/>
      <c r="Z286" s="46"/>
      <c r="AA286" s="46"/>
      <c r="AB286" s="46"/>
      <c r="AC286" s="22"/>
      <c r="AD286" s="22"/>
      <c r="AE286" s="22"/>
      <c r="AF286" s="22"/>
      <c r="AG286" s="22"/>
    </row>
    <row r="287" spans="1:33" ht="14.5" thickTop="1" x14ac:dyDescent="0.3"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22"/>
      <c r="AD287" s="22"/>
      <c r="AE287" s="22"/>
      <c r="AF287" s="22"/>
      <c r="AG287" s="22"/>
    </row>
    <row r="288" spans="1:33" x14ac:dyDescent="0.3">
      <c r="A288" s="551" t="s">
        <v>231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22"/>
      <c r="AD288" s="22"/>
      <c r="AE288" s="22"/>
      <c r="AF288" s="22"/>
      <c r="AG288" s="22"/>
    </row>
    <row r="289" spans="1:33" ht="14.25" customHeight="1" x14ac:dyDescent="0.3">
      <c r="A289" s="49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22"/>
      <c r="AD289" s="22"/>
      <c r="AE289" s="22"/>
      <c r="AF289" s="22"/>
      <c r="AG289" s="22"/>
    </row>
    <row r="290" spans="1:33" x14ac:dyDescent="0.3">
      <c r="A290" s="415" t="s">
        <v>232</v>
      </c>
      <c r="B290" s="415"/>
      <c r="C290" s="415"/>
      <c r="D290" s="415"/>
      <c r="E290" s="415"/>
      <c r="F290" s="415"/>
      <c r="G290" s="415"/>
      <c r="H290" s="415"/>
      <c r="I290" s="415"/>
      <c r="J290" s="415"/>
      <c r="K290" s="415"/>
      <c r="L290" s="415"/>
      <c r="M290" s="142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22"/>
      <c r="AD290" s="22"/>
      <c r="AE290" s="22"/>
      <c r="AF290" s="22"/>
      <c r="AG290" s="22"/>
    </row>
    <row r="291" spans="1:33" ht="14.5" thickBot="1" x14ac:dyDescent="0.35">
      <c r="M291" s="142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22"/>
      <c r="AD291" s="22"/>
      <c r="AE291" s="22"/>
      <c r="AF291" s="22"/>
      <c r="AG291" s="22"/>
    </row>
    <row r="292" spans="1:33" ht="30.75" customHeight="1" thickTop="1" x14ac:dyDescent="0.3">
      <c r="A292" s="528" t="s">
        <v>233</v>
      </c>
      <c r="B292" s="529"/>
      <c r="C292" s="697" t="s">
        <v>234</v>
      </c>
      <c r="D292" s="698"/>
      <c r="E292" s="697" t="s">
        <v>235</v>
      </c>
      <c r="F292" s="698"/>
      <c r="G292" s="697" t="s">
        <v>236</v>
      </c>
      <c r="H292" s="698"/>
      <c r="I292" s="142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22"/>
      <c r="Z292" s="22"/>
      <c r="AA292" s="22"/>
      <c r="AB292" s="22"/>
      <c r="AC292" s="22"/>
    </row>
    <row r="293" spans="1:33" ht="27.75" customHeight="1" thickBot="1" x14ac:dyDescent="0.35">
      <c r="A293" s="764"/>
      <c r="B293" s="765"/>
      <c r="C293" s="277" t="s">
        <v>237</v>
      </c>
      <c r="D293" s="278" t="s">
        <v>238</v>
      </c>
      <c r="E293" s="277" t="s">
        <v>237</v>
      </c>
      <c r="F293" s="278" t="s">
        <v>238</v>
      </c>
      <c r="G293" s="277" t="s">
        <v>237</v>
      </c>
      <c r="H293" s="278" t="s">
        <v>238</v>
      </c>
      <c r="I293" s="142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22"/>
      <c r="Z293" s="22"/>
      <c r="AA293" s="22"/>
      <c r="AB293" s="22"/>
      <c r="AC293" s="22"/>
    </row>
    <row r="294" spans="1:33" ht="14.25" customHeight="1" thickTop="1" x14ac:dyDescent="0.3">
      <c r="A294" s="489" t="s">
        <v>239</v>
      </c>
      <c r="B294" s="491"/>
      <c r="C294" s="265">
        <v>0</v>
      </c>
      <c r="D294" s="264">
        <v>0</v>
      </c>
      <c r="E294" s="265">
        <v>0</v>
      </c>
      <c r="F294" s="264">
        <v>0</v>
      </c>
      <c r="G294" s="265">
        <v>0</v>
      </c>
      <c r="H294" s="264">
        <v>0</v>
      </c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22"/>
      <c r="Z294" s="22"/>
      <c r="AA294" s="22"/>
      <c r="AB294" s="22"/>
      <c r="AC294" s="22"/>
    </row>
    <row r="295" spans="1:33" ht="14.25" customHeight="1" x14ac:dyDescent="0.3">
      <c r="A295" s="379" t="s">
        <v>240</v>
      </c>
      <c r="B295" s="607"/>
      <c r="C295" s="262">
        <v>0</v>
      </c>
      <c r="D295" s="233">
        <v>0</v>
      </c>
      <c r="E295" s="265">
        <v>0</v>
      </c>
      <c r="F295" s="264">
        <v>0</v>
      </c>
      <c r="G295" s="262">
        <v>0</v>
      </c>
      <c r="H295" s="233">
        <v>0</v>
      </c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22"/>
      <c r="Z295" s="22"/>
      <c r="AA295" s="22"/>
      <c r="AB295" s="22"/>
      <c r="AC295" s="22"/>
    </row>
    <row r="296" spans="1:33" ht="14.25" customHeight="1" x14ac:dyDescent="0.3">
      <c r="A296" s="356" t="s">
        <v>241</v>
      </c>
      <c r="B296" s="357"/>
      <c r="C296" s="262">
        <v>0</v>
      </c>
      <c r="D296" s="233">
        <v>0</v>
      </c>
      <c r="E296" s="265">
        <v>0</v>
      </c>
      <c r="F296" s="264">
        <v>0</v>
      </c>
      <c r="G296" s="262">
        <v>0</v>
      </c>
      <c r="H296" s="233">
        <v>0</v>
      </c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22"/>
      <c r="Z296" s="22"/>
      <c r="AA296" s="22"/>
      <c r="AB296" s="22"/>
      <c r="AC296" s="22"/>
    </row>
    <row r="297" spans="1:33" ht="14.25" customHeight="1" x14ac:dyDescent="0.3">
      <c r="A297" s="356" t="s">
        <v>242</v>
      </c>
      <c r="B297" s="357"/>
      <c r="C297" s="262">
        <v>0</v>
      </c>
      <c r="D297" s="233">
        <v>0</v>
      </c>
      <c r="E297" s="265">
        <v>0</v>
      </c>
      <c r="F297" s="264">
        <v>0</v>
      </c>
      <c r="G297" s="262">
        <v>0</v>
      </c>
      <c r="H297" s="233">
        <v>0</v>
      </c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22"/>
      <c r="Z297" s="22"/>
      <c r="AA297" s="22"/>
      <c r="AB297" s="22"/>
      <c r="AC297" s="22"/>
    </row>
    <row r="298" spans="1:33" ht="14.25" customHeight="1" x14ac:dyDescent="0.3">
      <c r="A298" s="356" t="s">
        <v>243</v>
      </c>
      <c r="B298" s="357"/>
      <c r="C298" s="262">
        <v>0</v>
      </c>
      <c r="D298" s="261">
        <v>0</v>
      </c>
      <c r="E298" s="265">
        <v>0</v>
      </c>
      <c r="F298" s="264">
        <v>0</v>
      </c>
      <c r="G298" s="262">
        <v>0</v>
      </c>
      <c r="H298" s="233">
        <v>0</v>
      </c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22"/>
      <c r="Z298" s="22"/>
      <c r="AA298" s="22"/>
      <c r="AB298" s="22"/>
      <c r="AC298" s="22"/>
    </row>
    <row r="299" spans="1:33" ht="12" customHeight="1" x14ac:dyDescent="0.3">
      <c r="A299" s="356" t="s">
        <v>244</v>
      </c>
      <c r="B299" s="357"/>
      <c r="C299" s="262">
        <v>0</v>
      </c>
      <c r="D299" s="261">
        <v>0</v>
      </c>
      <c r="E299" s="265">
        <v>0</v>
      </c>
      <c r="F299" s="264">
        <v>0</v>
      </c>
      <c r="G299" s="262">
        <v>0</v>
      </c>
      <c r="H299" s="233">
        <v>0</v>
      </c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22"/>
      <c r="Z299" s="22"/>
      <c r="AA299" s="22"/>
      <c r="AB299" s="22"/>
      <c r="AC299" s="22"/>
    </row>
    <row r="300" spans="1:33" ht="14.5" thickBot="1" x14ac:dyDescent="0.35">
      <c r="A300" s="699" t="s">
        <v>245</v>
      </c>
      <c r="B300" s="700"/>
      <c r="C300" s="299">
        <v>0</v>
      </c>
      <c r="D300" s="300">
        <v>0</v>
      </c>
      <c r="E300" s="299">
        <v>0</v>
      </c>
      <c r="F300" s="300">
        <v>0</v>
      </c>
      <c r="G300" s="299">
        <v>0</v>
      </c>
      <c r="H300" s="301">
        <v>0</v>
      </c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22"/>
      <c r="Z300" s="22"/>
      <c r="AA300" s="22"/>
      <c r="AB300" s="22"/>
      <c r="AC300" s="22"/>
    </row>
    <row r="301" spans="1:33" ht="13.5" customHeight="1" thickTop="1" thickBot="1" x14ac:dyDescent="0.35">
      <c r="A301" s="553" t="s">
        <v>11</v>
      </c>
      <c r="B301" s="554"/>
      <c r="C301" s="195">
        <f t="shared" ref="C301:H301" si="9">SUM(C294:C300)</f>
        <v>0</v>
      </c>
      <c r="D301" s="263">
        <f t="shared" si="9"/>
        <v>0</v>
      </c>
      <c r="E301" s="298">
        <f t="shared" si="9"/>
        <v>0</v>
      </c>
      <c r="F301" s="297">
        <f t="shared" si="9"/>
        <v>0</v>
      </c>
      <c r="G301" s="298">
        <f t="shared" si="9"/>
        <v>0</v>
      </c>
      <c r="H301" s="297">
        <f t="shared" si="9"/>
        <v>0</v>
      </c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22"/>
      <c r="Z301" s="22"/>
      <c r="AA301" s="22"/>
      <c r="AB301" s="22"/>
      <c r="AC301" s="22"/>
    </row>
    <row r="302" spans="1:33" ht="14.5" thickTop="1" x14ac:dyDescent="0.3">
      <c r="A302" s="44"/>
      <c r="B302" s="44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22"/>
      <c r="AD302" s="22"/>
      <c r="AE302" s="22"/>
      <c r="AF302" s="22"/>
      <c r="AG302" s="22"/>
    </row>
    <row r="303" spans="1:33" x14ac:dyDescent="0.3">
      <c r="A303" s="415" t="s">
        <v>246</v>
      </c>
      <c r="B303" s="415"/>
      <c r="C303" s="415"/>
      <c r="D303" s="415"/>
      <c r="E303" s="415"/>
      <c r="F303" s="415"/>
      <c r="G303" s="415"/>
      <c r="H303" s="415"/>
      <c r="I303" s="415"/>
      <c r="J303" s="415"/>
      <c r="K303" s="415"/>
      <c r="L303" s="415"/>
      <c r="M303" s="142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22"/>
      <c r="AD303" s="22"/>
      <c r="AE303" s="22"/>
      <c r="AF303" s="22"/>
      <c r="AG303" s="22"/>
    </row>
    <row r="304" spans="1:33" ht="14.5" thickBot="1" x14ac:dyDescent="0.35">
      <c r="M304" s="142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22"/>
      <c r="AD304" s="22"/>
      <c r="AE304" s="22"/>
      <c r="AF304" s="22"/>
      <c r="AG304" s="22"/>
    </row>
    <row r="305" spans="1:42" ht="32.25" customHeight="1" thickTop="1" x14ac:dyDescent="0.3">
      <c r="A305" s="528" t="s">
        <v>233</v>
      </c>
      <c r="B305" s="529"/>
      <c r="C305" s="697" t="s">
        <v>234</v>
      </c>
      <c r="D305" s="698"/>
      <c r="E305" s="697" t="s">
        <v>235</v>
      </c>
      <c r="F305" s="698"/>
      <c r="G305" s="697" t="s">
        <v>236</v>
      </c>
      <c r="H305" s="698"/>
      <c r="I305" s="142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22"/>
      <c r="Z305" s="22"/>
      <c r="AA305" s="22"/>
      <c r="AB305" s="22"/>
      <c r="AC305" s="22"/>
    </row>
    <row r="306" spans="1:42" ht="27" customHeight="1" thickBot="1" x14ac:dyDescent="0.35">
      <c r="A306" s="764"/>
      <c r="B306" s="765"/>
      <c r="C306" s="277" t="s">
        <v>237</v>
      </c>
      <c r="D306" s="278" t="s">
        <v>238</v>
      </c>
      <c r="E306" s="277" t="s">
        <v>237</v>
      </c>
      <c r="F306" s="278" t="s">
        <v>238</v>
      </c>
      <c r="G306" s="277" t="s">
        <v>237</v>
      </c>
      <c r="H306" s="278" t="s">
        <v>238</v>
      </c>
      <c r="I306" s="142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22"/>
      <c r="Z306" s="22"/>
      <c r="AA306" s="22"/>
      <c r="AB306" s="22"/>
      <c r="AC306" s="22"/>
    </row>
    <row r="307" spans="1:42" ht="14.25" customHeight="1" thickTop="1" x14ac:dyDescent="0.3">
      <c r="A307" s="489" t="s">
        <v>239</v>
      </c>
      <c r="B307" s="491"/>
      <c r="C307" s="265">
        <v>0</v>
      </c>
      <c r="D307" s="264">
        <v>0</v>
      </c>
      <c r="E307" s="265">
        <v>0</v>
      </c>
      <c r="F307" s="264">
        <v>0</v>
      </c>
      <c r="G307" s="265">
        <v>0</v>
      </c>
      <c r="H307" s="264">
        <v>0</v>
      </c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22"/>
      <c r="Z307" s="22"/>
      <c r="AA307" s="22"/>
      <c r="AB307" s="22"/>
      <c r="AC307" s="22"/>
    </row>
    <row r="308" spans="1:42" ht="14.25" customHeight="1" x14ac:dyDescent="0.3">
      <c r="A308" s="379" t="s">
        <v>240</v>
      </c>
      <c r="B308" s="607"/>
      <c r="C308" s="262">
        <v>0</v>
      </c>
      <c r="D308" s="233">
        <v>0</v>
      </c>
      <c r="E308" s="265">
        <v>0</v>
      </c>
      <c r="F308" s="264">
        <v>0</v>
      </c>
      <c r="G308" s="262">
        <v>0</v>
      </c>
      <c r="H308" s="233">
        <v>0</v>
      </c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22"/>
      <c r="Z308" s="22"/>
      <c r="AA308" s="22"/>
      <c r="AB308" s="22"/>
      <c r="AC308" s="22"/>
    </row>
    <row r="309" spans="1:42" ht="14.25" customHeight="1" x14ac:dyDescent="0.3">
      <c r="A309" s="356" t="s">
        <v>241</v>
      </c>
      <c r="B309" s="357"/>
      <c r="C309" s="262">
        <v>0</v>
      </c>
      <c r="D309" s="233">
        <v>0</v>
      </c>
      <c r="E309" s="265">
        <v>0</v>
      </c>
      <c r="F309" s="264">
        <v>0</v>
      </c>
      <c r="G309" s="262">
        <v>0</v>
      </c>
      <c r="H309" s="233">
        <v>0</v>
      </c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22"/>
      <c r="Z309" s="22"/>
      <c r="AA309" s="22"/>
      <c r="AB309" s="22"/>
      <c r="AC309" s="22"/>
    </row>
    <row r="310" spans="1:42" ht="14.25" customHeight="1" x14ac:dyDescent="0.3">
      <c r="A310" s="356" t="s">
        <v>242</v>
      </c>
      <c r="B310" s="358"/>
      <c r="C310" s="262">
        <v>0</v>
      </c>
      <c r="D310" s="233">
        <v>0</v>
      </c>
      <c r="E310" s="265">
        <v>0</v>
      </c>
      <c r="F310" s="264">
        <v>0</v>
      </c>
      <c r="G310" s="262">
        <v>0</v>
      </c>
      <c r="H310" s="233">
        <v>0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22"/>
      <c r="Z310" s="22"/>
      <c r="AA310" s="22"/>
      <c r="AB310" s="22"/>
      <c r="AC310" s="22"/>
    </row>
    <row r="311" spans="1:42" ht="14.25" customHeight="1" x14ac:dyDescent="0.3">
      <c r="A311" s="356" t="s">
        <v>243</v>
      </c>
      <c r="B311" s="357"/>
      <c r="C311" s="262">
        <v>0</v>
      </c>
      <c r="D311" s="261">
        <v>0</v>
      </c>
      <c r="E311" s="265">
        <v>0</v>
      </c>
      <c r="F311" s="264">
        <v>0</v>
      </c>
      <c r="G311" s="262">
        <v>0</v>
      </c>
      <c r="H311" s="233">
        <v>0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22"/>
      <c r="Z311" s="22"/>
      <c r="AA311" s="22"/>
      <c r="AB311" s="22"/>
      <c r="AC311" s="22"/>
    </row>
    <row r="312" spans="1:42" ht="14.25" customHeight="1" x14ac:dyDescent="0.3">
      <c r="A312" s="356" t="s">
        <v>244</v>
      </c>
      <c r="B312" s="357"/>
      <c r="C312" s="262">
        <v>0</v>
      </c>
      <c r="D312" s="261">
        <v>0</v>
      </c>
      <c r="E312" s="265">
        <v>0</v>
      </c>
      <c r="F312" s="264">
        <v>0</v>
      </c>
      <c r="G312" s="262">
        <v>0</v>
      </c>
      <c r="H312" s="233">
        <v>0</v>
      </c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22"/>
      <c r="Z312" s="22"/>
      <c r="AA312" s="22"/>
      <c r="AB312" s="22"/>
      <c r="AC312" s="22"/>
    </row>
    <row r="313" spans="1:42" ht="14.25" customHeight="1" thickBot="1" x14ac:dyDescent="0.35">
      <c r="A313" s="699" t="s">
        <v>245</v>
      </c>
      <c r="B313" s="700"/>
      <c r="C313" s="299">
        <v>0</v>
      </c>
      <c r="D313" s="300">
        <v>0</v>
      </c>
      <c r="E313" s="299">
        <v>0</v>
      </c>
      <c r="F313" s="300">
        <v>0</v>
      </c>
      <c r="G313" s="299">
        <v>0</v>
      </c>
      <c r="H313" s="301">
        <v>0</v>
      </c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22"/>
      <c r="Z313" s="22"/>
      <c r="AA313" s="22"/>
      <c r="AB313" s="22"/>
      <c r="AC313" s="22"/>
    </row>
    <row r="314" spans="1:42" ht="15" thickTop="1" thickBot="1" x14ac:dyDescent="0.35">
      <c r="A314" s="553" t="s">
        <v>11</v>
      </c>
      <c r="B314" s="554"/>
      <c r="C314" s="195">
        <f t="shared" ref="C314:H314" si="10">SUM(C307:C313)</f>
        <v>0</v>
      </c>
      <c r="D314" s="297">
        <f t="shared" si="10"/>
        <v>0</v>
      </c>
      <c r="E314" s="298">
        <f t="shared" si="10"/>
        <v>0</v>
      </c>
      <c r="F314" s="297">
        <f t="shared" si="10"/>
        <v>0</v>
      </c>
      <c r="G314" s="298">
        <f t="shared" si="10"/>
        <v>0</v>
      </c>
      <c r="H314" s="297">
        <f t="shared" si="10"/>
        <v>0</v>
      </c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22"/>
      <c r="Z314" s="22"/>
      <c r="AA314" s="22"/>
      <c r="AB314" s="22"/>
      <c r="AC314" s="22"/>
    </row>
    <row r="315" spans="1:42" ht="14.5" thickTop="1" x14ac:dyDescent="0.3">
      <c r="A315" s="50"/>
      <c r="B315" s="50"/>
      <c r="C315" s="50"/>
      <c r="D315" s="50"/>
      <c r="E315" s="50"/>
      <c r="F315" s="51"/>
      <c r="G315" s="51"/>
      <c r="H315" s="50"/>
      <c r="I315" s="50"/>
      <c r="J315" s="50"/>
      <c r="K315" s="50"/>
      <c r="L315" s="50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142"/>
      <c r="X315" s="142"/>
      <c r="Y315" s="142"/>
      <c r="Z315" s="142"/>
      <c r="AA315" s="142"/>
      <c r="AB315" s="142"/>
      <c r="AC315" s="63"/>
      <c r="AD315" s="63"/>
      <c r="AE315" s="63"/>
      <c r="AF315" s="63"/>
      <c r="AG315" s="63"/>
      <c r="AH315" s="41"/>
      <c r="AI315" s="41"/>
      <c r="AJ315" s="41"/>
      <c r="AK315" s="41"/>
      <c r="AL315" s="41"/>
      <c r="AM315" s="41"/>
      <c r="AN315" s="41"/>
      <c r="AO315" s="41"/>
      <c r="AP315" s="41"/>
    </row>
    <row r="316" spans="1:42" x14ac:dyDescent="0.3">
      <c r="A316" s="590" t="s">
        <v>247</v>
      </c>
      <c r="B316" s="590"/>
      <c r="C316" s="590"/>
      <c r="D316" s="590"/>
      <c r="E316" s="590"/>
      <c r="F316" s="590"/>
      <c r="G316" s="590"/>
      <c r="H316" s="590"/>
      <c r="I316" s="590"/>
      <c r="J316" s="590"/>
      <c r="K316" s="590"/>
      <c r="L316" s="590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22"/>
      <c r="AD316" s="22"/>
      <c r="AE316" s="22"/>
      <c r="AF316" s="22"/>
      <c r="AG316" s="22"/>
    </row>
    <row r="317" spans="1:42" ht="14.25" customHeight="1" x14ac:dyDescent="0.3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22"/>
      <c r="AD317" s="22"/>
      <c r="AE317" s="22"/>
      <c r="AF317" s="22"/>
      <c r="AG317" s="22"/>
    </row>
    <row r="318" spans="1:42" ht="15.75" customHeight="1" x14ac:dyDescent="0.3">
      <c r="A318" s="414" t="s">
        <v>248</v>
      </c>
      <c r="B318" s="414"/>
      <c r="C318" s="414"/>
      <c r="D318" s="414"/>
      <c r="E318" s="414"/>
      <c r="F318" s="414"/>
      <c r="G318" s="414"/>
      <c r="H318" s="414"/>
      <c r="I318" s="414"/>
      <c r="J318" s="414"/>
      <c r="K318" s="414"/>
      <c r="L318" s="414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22"/>
      <c r="AD318" s="22"/>
      <c r="AE318" s="22"/>
      <c r="AF318" s="22"/>
      <c r="AG318" s="22"/>
    </row>
    <row r="319" spans="1:42" ht="12.75" customHeight="1" thickBot="1" x14ac:dyDescent="0.35"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22"/>
      <c r="AD319" s="22"/>
      <c r="AE319" s="22"/>
      <c r="AF319" s="22"/>
      <c r="AG319" s="22"/>
    </row>
    <row r="320" spans="1:42" ht="41.25" customHeight="1" thickTop="1" thickBot="1" x14ac:dyDescent="0.35">
      <c r="A320" s="720" t="s">
        <v>249</v>
      </c>
      <c r="B320" s="721"/>
      <c r="C320" s="722" t="s">
        <v>250</v>
      </c>
      <c r="D320" s="721"/>
      <c r="E320" s="722" t="s">
        <v>251</v>
      </c>
      <c r="F320" s="723"/>
      <c r="G320" s="704"/>
      <c r="H320" s="704"/>
      <c r="I320" s="704"/>
      <c r="J320" s="704"/>
      <c r="K320" s="704"/>
      <c r="L320" s="704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22"/>
      <c r="AD320" s="22"/>
      <c r="AE320" s="22"/>
      <c r="AF320" s="22"/>
      <c r="AG320" s="22"/>
    </row>
    <row r="321" spans="1:33" ht="15" thickTop="1" thickBot="1" x14ac:dyDescent="0.35">
      <c r="A321" s="593">
        <v>0</v>
      </c>
      <c r="B321" s="594"/>
      <c r="C321" s="542">
        <v>0</v>
      </c>
      <c r="D321" s="594"/>
      <c r="E321" s="542">
        <v>0</v>
      </c>
      <c r="F321" s="544"/>
      <c r="G321" s="759"/>
      <c r="H321" s="759"/>
      <c r="I321" s="751"/>
      <c r="J321" s="751"/>
      <c r="K321" s="751"/>
      <c r="L321" s="751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22"/>
      <c r="AD321" s="22"/>
      <c r="AE321" s="22"/>
      <c r="AF321" s="22"/>
      <c r="AG321" s="22"/>
    </row>
    <row r="322" spans="1:33" ht="14.5" thickTop="1" x14ac:dyDescent="0.3"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22"/>
      <c r="AD322" s="22"/>
      <c r="AE322" s="22"/>
      <c r="AF322" s="22"/>
      <c r="AG322" s="22"/>
    </row>
    <row r="323" spans="1:33" ht="14.25" customHeight="1" x14ac:dyDescent="0.3">
      <c r="A323" s="552" t="s">
        <v>252</v>
      </c>
      <c r="B323" s="552"/>
      <c r="C323" s="552"/>
      <c r="D323" s="552"/>
      <c r="E323" s="552"/>
      <c r="F323" s="552"/>
      <c r="G323" s="552"/>
      <c r="H323" s="552"/>
      <c r="I323" s="552"/>
      <c r="J323" s="552"/>
      <c r="K323" s="552"/>
      <c r="L323" s="552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22"/>
      <c r="AD323" s="22"/>
      <c r="AE323" s="22"/>
      <c r="AF323" s="22"/>
      <c r="AG323" s="22"/>
    </row>
    <row r="324" spans="1:33" ht="14.5" thickBot="1" x14ac:dyDescent="0.35">
      <c r="A324" s="25"/>
      <c r="B324" s="21"/>
      <c r="C324" s="21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22"/>
      <c r="AD324" s="22"/>
      <c r="AE324" s="22"/>
      <c r="AF324" s="22"/>
      <c r="AG324" s="22"/>
    </row>
    <row r="325" spans="1:33" ht="14.5" thickTop="1" x14ac:dyDescent="0.3">
      <c r="A325" s="768" t="s">
        <v>253</v>
      </c>
      <c r="B325" s="769"/>
      <c r="C325" s="769"/>
      <c r="D325" s="769"/>
      <c r="E325" s="769"/>
      <c r="F325" s="770"/>
      <c r="G325" s="768" t="s">
        <v>254</v>
      </c>
      <c r="H325" s="769"/>
      <c r="I325" s="769"/>
      <c r="J325" s="769"/>
      <c r="K325" s="769"/>
      <c r="L325" s="770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22"/>
      <c r="AD325" s="22"/>
      <c r="AE325" s="22"/>
      <c r="AF325" s="22"/>
      <c r="AG325" s="22"/>
    </row>
    <row r="326" spans="1:33" ht="67.5" customHeight="1" thickBot="1" x14ac:dyDescent="0.35">
      <c r="A326" s="705" t="s">
        <v>255</v>
      </c>
      <c r="B326" s="706"/>
      <c r="C326" s="707" t="s">
        <v>256</v>
      </c>
      <c r="D326" s="706"/>
      <c r="E326" s="708" t="s">
        <v>257</v>
      </c>
      <c r="F326" s="709"/>
      <c r="G326" s="705" t="s">
        <v>255</v>
      </c>
      <c r="H326" s="706"/>
      <c r="I326" s="707" t="s">
        <v>256</v>
      </c>
      <c r="J326" s="706"/>
      <c r="K326" s="707" t="s">
        <v>258</v>
      </c>
      <c r="L326" s="763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22"/>
      <c r="AD326" s="22"/>
      <c r="AE326" s="22"/>
      <c r="AF326" s="22"/>
      <c r="AG326" s="22"/>
    </row>
    <row r="327" spans="1:33" ht="14.25" customHeight="1" thickTop="1" thickBot="1" x14ac:dyDescent="0.35">
      <c r="A327" s="364">
        <v>0</v>
      </c>
      <c r="B327" s="366"/>
      <c r="C327" s="367">
        <v>0</v>
      </c>
      <c r="D327" s="366"/>
      <c r="E327" s="367">
        <v>0</v>
      </c>
      <c r="F327" s="710"/>
      <c r="G327" s="364">
        <v>0</v>
      </c>
      <c r="H327" s="366"/>
      <c r="I327" s="367">
        <v>0</v>
      </c>
      <c r="J327" s="366"/>
      <c r="K327" s="825">
        <v>0</v>
      </c>
      <c r="L327" s="82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22"/>
      <c r="AD327" s="22"/>
      <c r="AE327" s="22"/>
      <c r="AF327" s="22"/>
      <c r="AG327" s="22"/>
    </row>
    <row r="328" spans="1:33" ht="14.5" thickTop="1" x14ac:dyDescent="0.3"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22"/>
      <c r="AD328" s="22"/>
      <c r="AE328" s="22"/>
      <c r="AF328" s="22"/>
      <c r="AG328" s="22"/>
    </row>
    <row r="329" spans="1:33" ht="14.25" customHeight="1" x14ac:dyDescent="0.3">
      <c r="A329" s="711" t="s">
        <v>259</v>
      </c>
      <c r="B329" s="711"/>
      <c r="C329" s="711"/>
      <c r="D329" s="711"/>
      <c r="E329" s="711"/>
      <c r="F329" s="711"/>
      <c r="G329" s="711"/>
      <c r="H329" s="711"/>
      <c r="I329" s="711"/>
      <c r="J329" s="711"/>
      <c r="K329" s="711"/>
      <c r="L329" s="711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22"/>
      <c r="AD329" s="22"/>
      <c r="AE329" s="22"/>
      <c r="AF329" s="22"/>
      <c r="AG329" s="22"/>
    </row>
    <row r="330" spans="1:33" ht="14.25" customHeight="1" x14ac:dyDescent="0.3"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22"/>
      <c r="AD330" s="22"/>
      <c r="AE330" s="22"/>
      <c r="AF330" s="22"/>
      <c r="AG330" s="22"/>
    </row>
    <row r="331" spans="1:33" x14ac:dyDescent="0.3">
      <c r="A331" s="414" t="s">
        <v>260</v>
      </c>
      <c r="B331" s="414"/>
      <c r="C331" s="414"/>
      <c r="D331" s="414"/>
      <c r="E331" s="414"/>
      <c r="F331" s="414"/>
      <c r="G331" s="414"/>
      <c r="H331" s="414"/>
      <c r="I331" s="414"/>
      <c r="J331" s="414"/>
      <c r="K331" s="414"/>
      <c r="L331" s="414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22"/>
      <c r="AD331" s="22"/>
      <c r="AE331" s="22"/>
      <c r="AF331" s="22"/>
      <c r="AG331" s="22"/>
    </row>
    <row r="332" spans="1:33" ht="14.25" customHeight="1" thickBot="1" x14ac:dyDescent="0.35"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22"/>
      <c r="AD332" s="22"/>
      <c r="AE332" s="22"/>
      <c r="AF332" s="22"/>
      <c r="AG332" s="22"/>
    </row>
    <row r="333" spans="1:33" ht="13.5" customHeight="1" thickTop="1" x14ac:dyDescent="0.3">
      <c r="A333" s="678" t="s">
        <v>261</v>
      </c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80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22"/>
      <c r="AD333" s="22"/>
      <c r="AE333" s="22"/>
      <c r="AF333" s="22"/>
      <c r="AG333" s="22"/>
    </row>
    <row r="334" spans="1:33" ht="16.899999999999999" customHeight="1" thickBot="1" x14ac:dyDescent="0.35">
      <c r="A334" s="752" t="s">
        <v>262</v>
      </c>
      <c r="B334" s="753"/>
      <c r="C334" s="754" t="s">
        <v>263</v>
      </c>
      <c r="D334" s="753"/>
      <c r="E334" s="755" t="s">
        <v>264</v>
      </c>
      <c r="F334" s="756"/>
      <c r="G334" s="754" t="s">
        <v>265</v>
      </c>
      <c r="H334" s="757"/>
      <c r="I334" s="757"/>
      <c r="J334" s="758"/>
      <c r="K334" s="757" t="s">
        <v>11</v>
      </c>
      <c r="L334" s="758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22"/>
      <c r="AD334" s="22"/>
      <c r="AE334" s="22"/>
      <c r="AF334" s="22"/>
      <c r="AG334" s="22"/>
    </row>
    <row r="335" spans="1:33" ht="14.25" customHeight="1" thickTop="1" thickBot="1" x14ac:dyDescent="0.35">
      <c r="A335" s="593">
        <v>0</v>
      </c>
      <c r="B335" s="594"/>
      <c r="C335" s="542">
        <v>0</v>
      </c>
      <c r="D335" s="594"/>
      <c r="E335" s="542">
        <v>0</v>
      </c>
      <c r="F335" s="594"/>
      <c r="G335" s="542">
        <v>0</v>
      </c>
      <c r="H335" s="543"/>
      <c r="I335" s="543"/>
      <c r="J335" s="543"/>
      <c r="K335" s="458">
        <f>SUM(A335:J335)</f>
        <v>0</v>
      </c>
      <c r="L335" s="460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22"/>
      <c r="AD335" s="22"/>
      <c r="AE335" s="22"/>
      <c r="AF335" s="22"/>
      <c r="AG335" s="22"/>
    </row>
    <row r="336" spans="1:33" ht="14.25" customHeight="1" thickTop="1" x14ac:dyDescent="0.3">
      <c r="A336" s="24"/>
      <c r="B336" s="24"/>
      <c r="C336" s="24"/>
      <c r="D336" s="24"/>
      <c r="E336" s="24"/>
      <c r="F336" s="54"/>
      <c r="G336" s="24"/>
      <c r="H336" s="24"/>
      <c r="I336" s="24"/>
      <c r="J336" s="24"/>
      <c r="K336" s="24"/>
      <c r="L336" s="24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22"/>
      <c r="AD336" s="22"/>
      <c r="AE336" s="22"/>
      <c r="AF336" s="22"/>
      <c r="AG336" s="22"/>
    </row>
    <row r="337" spans="1:42" ht="14.25" customHeight="1" x14ac:dyDescent="0.3">
      <c r="A337" s="552" t="s">
        <v>266</v>
      </c>
      <c r="B337" s="552"/>
      <c r="C337" s="552"/>
      <c r="D337" s="552"/>
      <c r="E337" s="552"/>
      <c r="F337" s="552"/>
      <c r="G337" s="552"/>
      <c r="H337" s="552"/>
      <c r="I337" s="552"/>
      <c r="J337" s="552"/>
      <c r="K337" s="552"/>
      <c r="L337" s="552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22"/>
      <c r="AD337" s="22"/>
      <c r="AE337" s="22"/>
      <c r="AF337" s="22"/>
      <c r="AG337" s="22"/>
    </row>
    <row r="338" spans="1:42" ht="14.25" customHeight="1" thickBot="1" x14ac:dyDescent="0.35">
      <c r="A338" s="52"/>
      <c r="B338" s="64"/>
      <c r="C338" s="64"/>
      <c r="D338" s="24"/>
      <c r="E338" s="24"/>
      <c r="F338" s="54"/>
      <c r="G338" s="24"/>
      <c r="H338" s="24"/>
      <c r="I338" s="24"/>
      <c r="J338" s="24"/>
      <c r="K338" s="24"/>
      <c r="L338" s="24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22"/>
      <c r="AD338" s="22"/>
      <c r="AE338" s="22"/>
      <c r="AF338" s="22"/>
      <c r="AG338" s="22"/>
    </row>
    <row r="339" spans="1:42" ht="30" customHeight="1" thickTop="1" thickBot="1" x14ac:dyDescent="0.35">
      <c r="A339" s="545" t="s">
        <v>267</v>
      </c>
      <c r="B339" s="546"/>
      <c r="C339" s="547"/>
      <c r="D339" s="24"/>
      <c r="E339" s="24"/>
      <c r="F339" s="54"/>
      <c r="G339" s="24"/>
      <c r="H339" s="24"/>
      <c r="I339" s="24"/>
      <c r="J339" s="24"/>
      <c r="K339" s="24"/>
      <c r="L339" s="24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22"/>
      <c r="AD339" s="22"/>
      <c r="AE339" s="22"/>
      <c r="AF339" s="22"/>
      <c r="AG339" s="22"/>
    </row>
    <row r="340" spans="1:42" ht="14.25" customHeight="1" thickTop="1" thickBot="1" x14ac:dyDescent="0.35">
      <c r="A340" s="548">
        <v>0</v>
      </c>
      <c r="B340" s="549"/>
      <c r="C340" s="550"/>
      <c r="D340" s="54"/>
      <c r="E340" s="24"/>
      <c r="F340" s="54"/>
      <c r="G340" s="24"/>
      <c r="H340" s="24"/>
      <c r="I340" s="24"/>
      <c r="J340" s="24"/>
      <c r="K340" s="24"/>
      <c r="L340" s="24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22"/>
      <c r="AD340" s="22"/>
      <c r="AE340" s="22"/>
      <c r="AF340" s="22"/>
      <c r="AG340" s="22"/>
    </row>
    <row r="341" spans="1:42" ht="14.25" customHeight="1" thickTop="1" x14ac:dyDescent="0.3">
      <c r="F341" s="19"/>
      <c r="G341" s="19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22"/>
      <c r="AD341" s="22"/>
      <c r="AE341" s="22"/>
      <c r="AF341" s="22"/>
      <c r="AG341" s="22"/>
    </row>
    <row r="342" spans="1:42" ht="14.25" customHeight="1" x14ac:dyDescent="0.3">
      <c r="A342" s="711" t="s">
        <v>268</v>
      </c>
      <c r="B342" s="711"/>
      <c r="C342" s="711"/>
      <c r="D342" s="711"/>
      <c r="E342" s="711"/>
      <c r="F342" s="711"/>
      <c r="G342" s="711"/>
      <c r="H342" s="711"/>
      <c r="I342" s="711"/>
      <c r="J342" s="711"/>
      <c r="K342" s="711"/>
      <c r="L342" s="711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22"/>
      <c r="AD342" s="22"/>
      <c r="AE342" s="22"/>
      <c r="AF342" s="22"/>
      <c r="AG342" s="22"/>
    </row>
    <row r="343" spans="1:42" ht="14.25" customHeight="1" x14ac:dyDescent="0.3"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22"/>
      <c r="AD343" s="22"/>
      <c r="AE343" s="22"/>
      <c r="AF343" s="22"/>
      <c r="AG343" s="22"/>
    </row>
    <row r="344" spans="1:42" ht="14.25" customHeight="1" x14ac:dyDescent="0.3">
      <c r="A344" s="447" t="s">
        <v>269</v>
      </c>
      <c r="B344" s="447"/>
      <c r="C344" s="447"/>
      <c r="D344" s="447"/>
      <c r="E344" s="447"/>
      <c r="F344" s="447"/>
      <c r="G344" s="447"/>
      <c r="H344" s="447"/>
      <c r="I344" s="447"/>
      <c r="J344" s="447"/>
      <c r="K344" s="447"/>
      <c r="L344" s="447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22"/>
      <c r="AD344" s="22"/>
      <c r="AE344" s="22"/>
      <c r="AF344" s="22"/>
      <c r="AG344" s="22"/>
    </row>
    <row r="345" spans="1:42" ht="14.25" customHeight="1" thickBot="1" x14ac:dyDescent="0.3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22"/>
      <c r="AD345" s="22"/>
      <c r="AE345" s="22"/>
      <c r="AF345" s="22"/>
      <c r="AG345" s="22"/>
    </row>
    <row r="346" spans="1:42" ht="14.25" customHeight="1" thickTop="1" thickBot="1" x14ac:dyDescent="0.35">
      <c r="A346" s="416" t="s">
        <v>270</v>
      </c>
      <c r="B346" s="730"/>
      <c r="C346" s="730"/>
      <c r="D346" s="730"/>
      <c r="E346" s="730"/>
      <c r="F346" s="730"/>
      <c r="G346" s="606"/>
      <c r="H346" s="416" t="s">
        <v>206</v>
      </c>
      <c r="I346" s="730"/>
      <c r="J346" s="730"/>
      <c r="K346" s="60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22"/>
      <c r="AD346" s="22"/>
      <c r="AE346" s="22"/>
      <c r="AF346" s="22"/>
      <c r="AG346" s="22"/>
    </row>
    <row r="347" spans="1:42" s="41" customFormat="1" ht="14.25" customHeight="1" thickTop="1" x14ac:dyDescent="0.3">
      <c r="A347" s="489" t="s">
        <v>271</v>
      </c>
      <c r="B347" s="490"/>
      <c r="C347" s="490"/>
      <c r="D347" s="490"/>
      <c r="E347" s="490"/>
      <c r="F347" s="490"/>
      <c r="G347" s="491"/>
      <c r="H347" s="734">
        <v>0</v>
      </c>
      <c r="I347" s="735"/>
      <c r="J347" s="735"/>
      <c r="K347" s="736"/>
      <c r="L347" s="141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46"/>
      <c r="X347" s="46"/>
      <c r="Y347" s="46"/>
      <c r="Z347" s="46"/>
      <c r="AA347" s="46"/>
      <c r="AB347" s="46"/>
      <c r="AC347" s="22"/>
      <c r="AD347" s="22"/>
      <c r="AE347" s="22"/>
      <c r="AF347" s="22"/>
      <c r="AG347" s="22"/>
      <c r="AH347" s="17"/>
      <c r="AI347" s="17"/>
      <c r="AJ347" s="17"/>
      <c r="AK347" s="17"/>
      <c r="AL347" s="17"/>
      <c r="AM347" s="17"/>
      <c r="AN347" s="17"/>
      <c r="AO347" s="17"/>
      <c r="AP347" s="17"/>
    </row>
    <row r="348" spans="1:42" ht="14.25" customHeight="1" x14ac:dyDescent="0.3">
      <c r="A348" s="356" t="s">
        <v>272</v>
      </c>
      <c r="B348" s="357"/>
      <c r="C348" s="357"/>
      <c r="D348" s="357"/>
      <c r="E348" s="357"/>
      <c r="F348" s="357"/>
      <c r="G348" s="358"/>
      <c r="H348" s="731">
        <v>0</v>
      </c>
      <c r="I348" s="732"/>
      <c r="J348" s="732"/>
      <c r="K348" s="733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22"/>
      <c r="AD348" s="22"/>
      <c r="AE348" s="22"/>
      <c r="AF348" s="22"/>
      <c r="AG348" s="22"/>
    </row>
    <row r="349" spans="1:42" ht="14.25" customHeight="1" thickBot="1" x14ac:dyDescent="0.35">
      <c r="A349" s="737" t="s">
        <v>273</v>
      </c>
      <c r="B349" s="738"/>
      <c r="C349" s="738"/>
      <c r="D349" s="738"/>
      <c r="E349" s="738"/>
      <c r="F349" s="738"/>
      <c r="G349" s="739"/>
      <c r="H349" s="740">
        <f>SUM(F350:G351)</f>
        <v>0</v>
      </c>
      <c r="I349" s="740"/>
      <c r="J349" s="740"/>
      <c r="K349" s="741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22"/>
      <c r="AD349" s="22"/>
      <c r="AE349" s="22"/>
      <c r="AF349" s="22"/>
      <c r="AG349" s="22"/>
    </row>
    <row r="350" spans="1:42" ht="14.25" customHeight="1" thickTop="1" x14ac:dyDescent="0.3">
      <c r="A350" s="745" t="s">
        <v>274</v>
      </c>
      <c r="B350" s="746"/>
      <c r="C350" s="746"/>
      <c r="D350" s="746"/>
      <c r="E350" s="747"/>
      <c r="F350" s="734">
        <v>0</v>
      </c>
      <c r="G350" s="736"/>
      <c r="H350" s="712"/>
      <c r="I350" s="713"/>
      <c r="J350" s="713"/>
      <c r="K350" s="714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22"/>
      <c r="AD350" s="22"/>
      <c r="AE350" s="22"/>
      <c r="AF350" s="22"/>
      <c r="AG350" s="22"/>
    </row>
    <row r="351" spans="1:42" ht="14.5" thickBot="1" x14ac:dyDescent="0.35">
      <c r="A351" s="748" t="s">
        <v>275</v>
      </c>
      <c r="B351" s="749"/>
      <c r="C351" s="749"/>
      <c r="D351" s="749"/>
      <c r="E351" s="750"/>
      <c r="F351" s="718">
        <v>0</v>
      </c>
      <c r="G351" s="719"/>
      <c r="H351" s="715"/>
      <c r="I351" s="716"/>
      <c r="J351" s="716"/>
      <c r="K351" s="717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22"/>
      <c r="AD351" s="22"/>
      <c r="AE351" s="22"/>
      <c r="AF351" s="22"/>
      <c r="AG351" s="22"/>
    </row>
    <row r="352" spans="1:42" ht="14.25" customHeight="1" thickTop="1" thickBot="1" x14ac:dyDescent="0.35">
      <c r="A352" s="553" t="s">
        <v>11</v>
      </c>
      <c r="B352" s="554"/>
      <c r="C352" s="554"/>
      <c r="D352" s="554"/>
      <c r="E352" s="554"/>
      <c r="F352" s="554"/>
      <c r="G352" s="555"/>
      <c r="H352" s="701">
        <f>SUM(H347:K349)</f>
        <v>0</v>
      </c>
      <c r="I352" s="702"/>
      <c r="J352" s="702"/>
      <c r="K352" s="703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22"/>
      <c r="AD352" s="22"/>
      <c r="AE352" s="22"/>
      <c r="AF352" s="22"/>
      <c r="AG352" s="22"/>
    </row>
    <row r="353" spans="1:33" ht="14.25" customHeight="1" thickTop="1" x14ac:dyDescent="0.3">
      <c r="A353" s="44"/>
      <c r="B353" s="44"/>
      <c r="C353" s="44"/>
      <c r="D353" s="44"/>
      <c r="E353" s="44"/>
      <c r="F353" s="44"/>
      <c r="G353" s="44"/>
      <c r="H353" s="55"/>
      <c r="I353" s="55"/>
      <c r="J353" s="55"/>
      <c r="K353" s="55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22"/>
      <c r="AD353" s="22"/>
      <c r="AE353" s="22"/>
      <c r="AF353" s="22"/>
      <c r="AG353" s="22"/>
    </row>
    <row r="354" spans="1:33" x14ac:dyDescent="0.3">
      <c r="A354" s="415" t="s">
        <v>276</v>
      </c>
      <c r="B354" s="415"/>
      <c r="C354" s="415"/>
      <c r="D354" s="415"/>
      <c r="E354" s="415"/>
      <c r="F354" s="415"/>
      <c r="G354" s="415"/>
      <c r="H354" s="415"/>
      <c r="I354" s="415"/>
      <c r="J354" s="415"/>
      <c r="K354" s="415"/>
      <c r="L354" s="415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22"/>
      <c r="AD354" s="22"/>
      <c r="AE354" s="22"/>
      <c r="AF354" s="22"/>
      <c r="AG354" s="22"/>
    </row>
    <row r="355" spans="1:33" ht="14.5" thickBot="1" x14ac:dyDescent="0.35"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22"/>
      <c r="AD355" s="22"/>
      <c r="AE355" s="22"/>
      <c r="AF355" s="22"/>
      <c r="AG355" s="22"/>
    </row>
    <row r="356" spans="1:33" ht="41.25" customHeight="1" thickTop="1" thickBot="1" x14ac:dyDescent="0.35">
      <c r="A356" s="494" t="s">
        <v>277</v>
      </c>
      <c r="B356" s="382"/>
      <c r="C356" s="382"/>
      <c r="D356" s="382"/>
      <c r="E356" s="521"/>
      <c r="F356" s="494" t="s">
        <v>278</v>
      </c>
      <c r="G356" s="382"/>
      <c r="H356" s="521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22"/>
      <c r="AD356" s="22"/>
      <c r="AE356" s="22"/>
      <c r="AF356" s="22"/>
      <c r="AG356" s="22"/>
    </row>
    <row r="357" spans="1:33" ht="14.5" thickTop="1" x14ac:dyDescent="0.3">
      <c r="A357" s="489" t="s">
        <v>279</v>
      </c>
      <c r="B357" s="490"/>
      <c r="C357" s="490"/>
      <c r="D357" s="490"/>
      <c r="E357" s="491"/>
      <c r="F357" s="742">
        <v>0</v>
      </c>
      <c r="G357" s="743"/>
      <c r="H357" s="744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22"/>
      <c r="AD357" s="22"/>
      <c r="AE357" s="22"/>
      <c r="AF357" s="22"/>
      <c r="AG357" s="22"/>
    </row>
    <row r="358" spans="1:33" x14ac:dyDescent="0.3">
      <c r="A358" s="356" t="s">
        <v>280</v>
      </c>
      <c r="B358" s="357"/>
      <c r="C358" s="357"/>
      <c r="D358" s="357"/>
      <c r="E358" s="358"/>
      <c r="F358" s="539">
        <v>0</v>
      </c>
      <c r="G358" s="540"/>
      <c r="H358" s="541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22"/>
      <c r="AD358" s="22"/>
      <c r="AE358" s="22"/>
      <c r="AF358" s="22"/>
      <c r="AG358" s="22"/>
    </row>
    <row r="359" spans="1:33" x14ac:dyDescent="0.3">
      <c r="A359" s="356" t="s">
        <v>281</v>
      </c>
      <c r="B359" s="357"/>
      <c r="C359" s="357"/>
      <c r="D359" s="357"/>
      <c r="E359" s="358"/>
      <c r="F359" s="539">
        <v>0</v>
      </c>
      <c r="G359" s="540"/>
      <c r="H359" s="541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22"/>
      <c r="AD359" s="22"/>
      <c r="AE359" s="22"/>
      <c r="AF359" s="22"/>
      <c r="AG359" s="22"/>
    </row>
    <row r="360" spans="1:33" x14ac:dyDescent="0.3">
      <c r="A360" s="356" t="s">
        <v>282</v>
      </c>
      <c r="B360" s="357"/>
      <c r="C360" s="357"/>
      <c r="D360" s="357"/>
      <c r="E360" s="358"/>
      <c r="F360" s="539">
        <v>0</v>
      </c>
      <c r="G360" s="540"/>
      <c r="H360" s="541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22"/>
      <c r="AD360" s="22"/>
      <c r="AE360" s="22"/>
      <c r="AF360" s="22"/>
      <c r="AG360" s="22"/>
    </row>
    <row r="361" spans="1:33" ht="14.5" thickBot="1" x14ac:dyDescent="0.35">
      <c r="A361" s="405" t="s">
        <v>283</v>
      </c>
      <c r="B361" s="406"/>
      <c r="C361" s="406"/>
      <c r="D361" s="406"/>
      <c r="E361" s="407"/>
      <c r="F361" s="724">
        <v>0</v>
      </c>
      <c r="G361" s="725"/>
      <c r="H361" s="72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22"/>
      <c r="AD361" s="22"/>
      <c r="AE361" s="22"/>
      <c r="AF361" s="22"/>
      <c r="AG361" s="22"/>
    </row>
    <row r="362" spans="1:33" ht="15" thickTop="1" thickBot="1" x14ac:dyDescent="0.35">
      <c r="A362" s="553" t="s">
        <v>11</v>
      </c>
      <c r="B362" s="554"/>
      <c r="C362" s="554"/>
      <c r="D362" s="554"/>
      <c r="E362" s="555"/>
      <c r="F362" s="727">
        <f>SUM(F357:H361)</f>
        <v>0</v>
      </c>
      <c r="G362" s="728"/>
      <c r="H362" s="729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22"/>
      <c r="AD362" s="22"/>
      <c r="AE362" s="22"/>
      <c r="AF362" s="22"/>
      <c r="AG362" s="22"/>
    </row>
    <row r="363" spans="1:33" ht="14.5" thickTop="1" x14ac:dyDescent="0.3">
      <c r="A363" s="476" t="s">
        <v>284</v>
      </c>
      <c r="B363" s="476"/>
      <c r="C363" s="476"/>
      <c r="D363" s="476"/>
      <c r="E363" s="47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22"/>
      <c r="AD363" s="22"/>
      <c r="AE363" s="22"/>
      <c r="AF363" s="22"/>
      <c r="AG363" s="22"/>
    </row>
    <row r="364" spans="1:33" ht="14.25" customHeight="1" x14ac:dyDescent="0.3"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22"/>
      <c r="AD364" s="22"/>
      <c r="AE364" s="22"/>
      <c r="AF364" s="22"/>
      <c r="AG364" s="22"/>
    </row>
    <row r="365" spans="1:33" x14ac:dyDescent="0.3"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22"/>
      <c r="AD365" s="22"/>
      <c r="AE365" s="22"/>
      <c r="AF365" s="22"/>
      <c r="AG365" s="22"/>
    </row>
    <row r="366" spans="1:33" x14ac:dyDescent="0.3"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22"/>
      <c r="AD366" s="22"/>
      <c r="AE366" s="22"/>
      <c r="AF366" s="22"/>
      <c r="AG366" s="22"/>
    </row>
  </sheetData>
  <sheetProtection algorithmName="SHA-512" hashValue="naqF5Bqeb3ZMdHhrlCgSY/OQ8XZZ77cxzxtKwd4LJYi9mcAwbjLDQ6X1wELE2YUQO0+xw5l4bQd0GykbZumYVQ==" saltValue="a15UkX+X6PV9Lv04gBveGw==" spinCount="100000" sheet="1" selectLockedCells="1"/>
  <mergeCells count="722">
    <mergeCell ref="D6:I6"/>
    <mergeCell ref="M95:Y95"/>
    <mergeCell ref="M96:Y96"/>
    <mergeCell ref="H79:K79"/>
    <mergeCell ref="I130:J130"/>
    <mergeCell ref="C130:D130"/>
    <mergeCell ref="J103:K103"/>
    <mergeCell ref="A96:D96"/>
    <mergeCell ref="F99:G99"/>
    <mergeCell ref="D103:E103"/>
    <mergeCell ref="G103:H103"/>
    <mergeCell ref="A97:D97"/>
    <mergeCell ref="A77:G77"/>
    <mergeCell ref="K20:R22"/>
    <mergeCell ref="J108:K108"/>
    <mergeCell ref="C125:D125"/>
    <mergeCell ref="G174:S174"/>
    <mergeCell ref="G163:I163"/>
    <mergeCell ref="M274:Y275"/>
    <mergeCell ref="M286:Y286"/>
    <mergeCell ref="M250:Y250"/>
    <mergeCell ref="M248:Y249"/>
    <mergeCell ref="M259:Y259"/>
    <mergeCell ref="M260:Y260"/>
    <mergeCell ref="M261:Y261"/>
    <mergeCell ref="M262:Y262"/>
    <mergeCell ref="M92:Y92"/>
    <mergeCell ref="M97:Y97"/>
    <mergeCell ref="M93:AD93"/>
    <mergeCell ref="M94:AD94"/>
    <mergeCell ref="M139:Z139"/>
    <mergeCell ref="M132:V133"/>
    <mergeCell ref="M134:Z134"/>
    <mergeCell ref="M135:Z135"/>
    <mergeCell ref="M136:Z136"/>
    <mergeCell ref="M137:Z137"/>
    <mergeCell ref="M138:Z138"/>
    <mergeCell ref="M98:T99"/>
    <mergeCell ref="E127:F127"/>
    <mergeCell ref="J115:K115"/>
    <mergeCell ref="G116:H116"/>
    <mergeCell ref="A126:B126"/>
    <mergeCell ref="A120:B120"/>
    <mergeCell ref="G114:H114"/>
    <mergeCell ref="A125:B125"/>
    <mergeCell ref="A116:B116"/>
    <mergeCell ref="A117:B117"/>
    <mergeCell ref="A124:B124"/>
    <mergeCell ref="C124:D124"/>
    <mergeCell ref="I125:J125"/>
    <mergeCell ref="K125:L125"/>
    <mergeCell ref="I124:J124"/>
    <mergeCell ref="K127:L127"/>
    <mergeCell ref="A122:L122"/>
    <mergeCell ref="E125:F125"/>
    <mergeCell ref="M90:Y90"/>
    <mergeCell ref="M91:Y91"/>
    <mergeCell ref="M33:T33"/>
    <mergeCell ref="M44:T44"/>
    <mergeCell ref="M55:Y55"/>
    <mergeCell ref="M63:T63"/>
    <mergeCell ref="M65:W65"/>
    <mergeCell ref="M66:Y66"/>
    <mergeCell ref="M89:Y89"/>
    <mergeCell ref="C68:D68"/>
    <mergeCell ref="E68:F68"/>
    <mergeCell ref="D174:E174"/>
    <mergeCell ref="C179:D179"/>
    <mergeCell ref="E179:F179"/>
    <mergeCell ref="G127:H127"/>
    <mergeCell ref="I127:J127"/>
    <mergeCell ref="E126:F126"/>
    <mergeCell ref="G126:H126"/>
    <mergeCell ref="I126:J126"/>
    <mergeCell ref="I179:J179"/>
    <mergeCell ref="G179:H179"/>
    <mergeCell ref="C166:C167"/>
    <mergeCell ref="D166:E167"/>
    <mergeCell ref="F159:G159"/>
    <mergeCell ref="A162:C162"/>
    <mergeCell ref="A169:B169"/>
    <mergeCell ref="D168:E168"/>
    <mergeCell ref="A166:B167"/>
    <mergeCell ref="A168:B168"/>
    <mergeCell ref="J113:K113"/>
    <mergeCell ref="G115:H115"/>
    <mergeCell ref="D108:E108"/>
    <mergeCell ref="A127:B127"/>
    <mergeCell ref="I156:U156"/>
    <mergeCell ref="I157:U157"/>
    <mergeCell ref="M145:AD145"/>
    <mergeCell ref="G131:H131"/>
    <mergeCell ref="A154:B154"/>
    <mergeCell ref="A143:C143"/>
    <mergeCell ref="A131:B131"/>
    <mergeCell ref="A151:B151"/>
    <mergeCell ref="G181:H181"/>
    <mergeCell ref="M162:Y162"/>
    <mergeCell ref="M143:Y143"/>
    <mergeCell ref="M144:Y144"/>
    <mergeCell ref="I151:U151"/>
    <mergeCell ref="I152:U152"/>
    <mergeCell ref="I153:U153"/>
    <mergeCell ref="I154:U154"/>
    <mergeCell ref="I131:J131"/>
    <mergeCell ref="M163:Y163"/>
    <mergeCell ref="G168:S168"/>
    <mergeCell ref="G169:S169"/>
    <mergeCell ref="G170:S170"/>
    <mergeCell ref="G171:S171"/>
    <mergeCell ref="G172:S172"/>
    <mergeCell ref="G173:S173"/>
    <mergeCell ref="D169:E169"/>
    <mergeCell ref="A171:B171"/>
    <mergeCell ref="D170:E170"/>
    <mergeCell ref="D175:E175"/>
    <mergeCell ref="A172:B172"/>
    <mergeCell ref="A174:B174"/>
    <mergeCell ref="A175:B175"/>
    <mergeCell ref="A170:B170"/>
    <mergeCell ref="D172:E172"/>
    <mergeCell ref="D171:E171"/>
    <mergeCell ref="A173:B173"/>
    <mergeCell ref="G149:H149"/>
    <mergeCell ref="D173:E173"/>
    <mergeCell ref="E221:F222"/>
    <mergeCell ref="G222:H222"/>
    <mergeCell ref="I222:J222"/>
    <mergeCell ref="A54:G54"/>
    <mergeCell ref="A55:G55"/>
    <mergeCell ref="A56:G56"/>
    <mergeCell ref="A156:B156"/>
    <mergeCell ref="A158:B158"/>
    <mergeCell ref="A157:B157"/>
    <mergeCell ref="A108:B108"/>
    <mergeCell ref="G109:H109"/>
    <mergeCell ref="A107:B107"/>
    <mergeCell ref="A128:B128"/>
    <mergeCell ref="A83:L83"/>
    <mergeCell ref="H81:K81"/>
    <mergeCell ref="A75:G75"/>
    <mergeCell ref="A78:G78"/>
    <mergeCell ref="A68:B68"/>
    <mergeCell ref="L80:Y81"/>
    <mergeCell ref="H137:I137"/>
    <mergeCell ref="A110:B110"/>
    <mergeCell ref="K131:L131"/>
    <mergeCell ref="A46:L46"/>
    <mergeCell ref="A47:L47"/>
    <mergeCell ref="A72:L72"/>
    <mergeCell ref="H74:K74"/>
    <mergeCell ref="A109:B109"/>
    <mergeCell ref="A105:B105"/>
    <mergeCell ref="A106:B106"/>
    <mergeCell ref="D106:E106"/>
    <mergeCell ref="J107:K107"/>
    <mergeCell ref="J109:K109"/>
    <mergeCell ref="D109:E109"/>
    <mergeCell ref="E87:L87"/>
    <mergeCell ref="D102:E102"/>
    <mergeCell ref="G102:H102"/>
    <mergeCell ref="A87:D88"/>
    <mergeCell ref="A89:D89"/>
    <mergeCell ref="A90:D90"/>
    <mergeCell ref="J102:K102"/>
    <mergeCell ref="D107:E107"/>
    <mergeCell ref="A91:D91"/>
    <mergeCell ref="A92:D92"/>
    <mergeCell ref="A93:D93"/>
    <mergeCell ref="A94:D94"/>
    <mergeCell ref="A95:D95"/>
    <mergeCell ref="I239:J239"/>
    <mergeCell ref="E242:F242"/>
    <mergeCell ref="A239:D239"/>
    <mergeCell ref="E239:F239"/>
    <mergeCell ref="A240:D240"/>
    <mergeCell ref="E240:F240"/>
    <mergeCell ref="K225:L225"/>
    <mergeCell ref="I229:J229"/>
    <mergeCell ref="G229:H229"/>
    <mergeCell ref="I237:J237"/>
    <mergeCell ref="K237:L237"/>
    <mergeCell ref="I235:J235"/>
    <mergeCell ref="G239:H239"/>
    <mergeCell ref="A241:D241"/>
    <mergeCell ref="E241:F241"/>
    <mergeCell ref="A230:D230"/>
    <mergeCell ref="E230:F230"/>
    <mergeCell ref="A236:D236"/>
    <mergeCell ref="G237:H237"/>
    <mergeCell ref="G230:H230"/>
    <mergeCell ref="A234:D235"/>
    <mergeCell ref="E234:F235"/>
    <mergeCell ref="G234:J234"/>
    <mergeCell ref="A232:L232"/>
    <mergeCell ref="E238:F238"/>
    <mergeCell ref="G238:H238"/>
    <mergeCell ref="I238:J238"/>
    <mergeCell ref="K238:L238"/>
    <mergeCell ref="E236:F236"/>
    <mergeCell ref="G236:H236"/>
    <mergeCell ref="I236:J236"/>
    <mergeCell ref="K236:L236"/>
    <mergeCell ref="E237:F237"/>
    <mergeCell ref="G240:H240"/>
    <mergeCell ref="I240:J240"/>
    <mergeCell ref="G241:H241"/>
    <mergeCell ref="A244:L244"/>
    <mergeCell ref="A246:B247"/>
    <mergeCell ref="K240:L240"/>
    <mergeCell ref="K242:L242"/>
    <mergeCell ref="I246:K246"/>
    <mergeCell ref="C246:E246"/>
    <mergeCell ref="I241:J241"/>
    <mergeCell ref="I242:J242"/>
    <mergeCell ref="G242:H242"/>
    <mergeCell ref="K241:L241"/>
    <mergeCell ref="F246:H246"/>
    <mergeCell ref="F243:G243"/>
    <mergeCell ref="A242:D242"/>
    <mergeCell ref="A254:L254"/>
    <mergeCell ref="A249:B249"/>
    <mergeCell ref="I326:J326"/>
    <mergeCell ref="K326:L326"/>
    <mergeCell ref="A312:B312"/>
    <mergeCell ref="A313:B313"/>
    <mergeCell ref="E292:F292"/>
    <mergeCell ref="A309:B309"/>
    <mergeCell ref="A307:B307"/>
    <mergeCell ref="A305:B306"/>
    <mergeCell ref="A301:B301"/>
    <mergeCell ref="A250:B250"/>
    <mergeCell ref="G325:L325"/>
    <mergeCell ref="G326:H326"/>
    <mergeCell ref="A325:F325"/>
    <mergeCell ref="A308:B308"/>
    <mergeCell ref="G305:H305"/>
    <mergeCell ref="C305:D305"/>
    <mergeCell ref="E305:F305"/>
    <mergeCell ref="A272:D272"/>
    <mergeCell ref="A273:D273"/>
    <mergeCell ref="A278:D279"/>
    <mergeCell ref="A292:B293"/>
    <mergeCell ref="A286:D286"/>
    <mergeCell ref="G327:H327"/>
    <mergeCell ref="I321:J321"/>
    <mergeCell ref="K321:L321"/>
    <mergeCell ref="A316:L316"/>
    <mergeCell ref="C335:D335"/>
    <mergeCell ref="E335:F335"/>
    <mergeCell ref="G335:J335"/>
    <mergeCell ref="K335:L335"/>
    <mergeCell ref="A334:B334"/>
    <mergeCell ref="C334:D334"/>
    <mergeCell ref="E334:F334"/>
    <mergeCell ref="G334:J334"/>
    <mergeCell ref="K334:L334"/>
    <mergeCell ref="G321:H321"/>
    <mergeCell ref="I327:J327"/>
    <mergeCell ref="K327:L327"/>
    <mergeCell ref="F361:H361"/>
    <mergeCell ref="A362:E362"/>
    <mergeCell ref="F362:H362"/>
    <mergeCell ref="A346:G346"/>
    <mergeCell ref="H346:K346"/>
    <mergeCell ref="A348:G348"/>
    <mergeCell ref="H348:K348"/>
    <mergeCell ref="A347:G347"/>
    <mergeCell ref="H347:K347"/>
    <mergeCell ref="A358:E358"/>
    <mergeCell ref="F358:H358"/>
    <mergeCell ref="A349:G349"/>
    <mergeCell ref="H349:K349"/>
    <mergeCell ref="A360:E360"/>
    <mergeCell ref="A361:E361"/>
    <mergeCell ref="F360:H360"/>
    <mergeCell ref="A356:E356"/>
    <mergeCell ref="F356:H356"/>
    <mergeCell ref="A359:E359"/>
    <mergeCell ref="A357:E357"/>
    <mergeCell ref="F357:H357"/>
    <mergeCell ref="A350:E350"/>
    <mergeCell ref="A351:E351"/>
    <mergeCell ref="F350:G350"/>
    <mergeCell ref="A285:D285"/>
    <mergeCell ref="A311:B311"/>
    <mergeCell ref="A352:G352"/>
    <mergeCell ref="H352:K352"/>
    <mergeCell ref="I320:J320"/>
    <mergeCell ref="K320:L320"/>
    <mergeCell ref="A326:B326"/>
    <mergeCell ref="C326:D326"/>
    <mergeCell ref="E326:F326"/>
    <mergeCell ref="A327:B327"/>
    <mergeCell ref="C327:D327"/>
    <mergeCell ref="E327:F327"/>
    <mergeCell ref="A329:L329"/>
    <mergeCell ref="H350:K351"/>
    <mergeCell ref="F351:G351"/>
    <mergeCell ref="A342:L342"/>
    <mergeCell ref="A333:L333"/>
    <mergeCell ref="A335:B335"/>
    <mergeCell ref="C292:D292"/>
    <mergeCell ref="A320:B320"/>
    <mergeCell ref="C320:D320"/>
    <mergeCell ref="E320:F320"/>
    <mergeCell ref="G320:H320"/>
    <mergeCell ref="A314:B314"/>
    <mergeCell ref="A310:B310"/>
    <mergeCell ref="A321:B321"/>
    <mergeCell ref="C321:D321"/>
    <mergeCell ref="E321:F321"/>
    <mergeCell ref="G292:H292"/>
    <mergeCell ref="A300:B300"/>
    <mergeCell ref="A299:B299"/>
    <mergeCell ref="A298:B298"/>
    <mergeCell ref="A297:B297"/>
    <mergeCell ref="A296:B296"/>
    <mergeCell ref="A295:B295"/>
    <mergeCell ref="A294:B294"/>
    <mergeCell ref="A284:D284"/>
    <mergeCell ref="A283:D283"/>
    <mergeCell ref="A43:F43"/>
    <mergeCell ref="G43:J43"/>
    <mergeCell ref="A44:F44"/>
    <mergeCell ref="G44:J44"/>
    <mergeCell ref="A81:G81"/>
    <mergeCell ref="G105:H105"/>
    <mergeCell ref="J105:K105"/>
    <mergeCell ref="A104:B104"/>
    <mergeCell ref="D104:E104"/>
    <mergeCell ref="G104:H104"/>
    <mergeCell ref="J104:K104"/>
    <mergeCell ref="A98:D98"/>
    <mergeCell ref="K129:L129"/>
    <mergeCell ref="C149:D149"/>
    <mergeCell ref="E149:F149"/>
    <mergeCell ref="K128:L128"/>
    <mergeCell ref="K130:L130"/>
    <mergeCell ref="C131:D131"/>
    <mergeCell ref="I128:J128"/>
    <mergeCell ref="H135:I136"/>
    <mergeCell ref="C128:D128"/>
    <mergeCell ref="E128:F128"/>
    <mergeCell ref="A38:F38"/>
    <mergeCell ref="A41:F41"/>
    <mergeCell ref="G41:J41"/>
    <mergeCell ref="A42:F42"/>
    <mergeCell ref="G40:J40"/>
    <mergeCell ref="G42:J42"/>
    <mergeCell ref="A79:G79"/>
    <mergeCell ref="G39:J39"/>
    <mergeCell ref="A40:F40"/>
    <mergeCell ref="A50:G50"/>
    <mergeCell ref="A51:G51"/>
    <mergeCell ref="A52:F52"/>
    <mergeCell ref="A53:F53"/>
    <mergeCell ref="H50:J50"/>
    <mergeCell ref="G38:J38"/>
    <mergeCell ref="A39:F39"/>
    <mergeCell ref="A66:L66"/>
    <mergeCell ref="A59:L59"/>
    <mergeCell ref="H76:K76"/>
    <mergeCell ref="H56:J56"/>
    <mergeCell ref="H49:J49"/>
    <mergeCell ref="A48:L48"/>
    <mergeCell ref="H75:K75"/>
    <mergeCell ref="A61:H61"/>
    <mergeCell ref="A37:F37"/>
    <mergeCell ref="G37:J37"/>
    <mergeCell ref="A33:F33"/>
    <mergeCell ref="G33:J33"/>
    <mergeCell ref="A32:F32"/>
    <mergeCell ref="G32:J32"/>
    <mergeCell ref="A29:F29"/>
    <mergeCell ref="G29:J29"/>
    <mergeCell ref="A30:F30"/>
    <mergeCell ref="G31:J31"/>
    <mergeCell ref="A35:L35"/>
    <mergeCell ref="A4:L4"/>
    <mergeCell ref="A6:C6"/>
    <mergeCell ref="A8:C8"/>
    <mergeCell ref="D8:F8"/>
    <mergeCell ref="H8:J8"/>
    <mergeCell ref="G28:J28"/>
    <mergeCell ref="A21:F21"/>
    <mergeCell ref="A22:F22"/>
    <mergeCell ref="A14:G14"/>
    <mergeCell ref="A15:G15"/>
    <mergeCell ref="H13:J13"/>
    <mergeCell ref="H14:J14"/>
    <mergeCell ref="H15:J15"/>
    <mergeCell ref="H16:J17"/>
    <mergeCell ref="H18:J18"/>
    <mergeCell ref="H19:J19"/>
    <mergeCell ref="H20:J20"/>
    <mergeCell ref="H21:J22"/>
    <mergeCell ref="A18:G18"/>
    <mergeCell ref="A19:G19"/>
    <mergeCell ref="A20:G20"/>
    <mergeCell ref="A16:F16"/>
    <mergeCell ref="A17:F17"/>
    <mergeCell ref="A10:L10"/>
    <mergeCell ref="A129:B129"/>
    <mergeCell ref="C136:D136"/>
    <mergeCell ref="C135:G135"/>
    <mergeCell ref="E130:F130"/>
    <mergeCell ref="G129:H129"/>
    <mergeCell ref="K124:L124"/>
    <mergeCell ref="C126:D126"/>
    <mergeCell ref="J114:K114"/>
    <mergeCell ref="D114:E114"/>
    <mergeCell ref="D115:E115"/>
    <mergeCell ref="A118:B118"/>
    <mergeCell ref="A114:B114"/>
    <mergeCell ref="A115:B115"/>
    <mergeCell ref="A119:B119"/>
    <mergeCell ref="A130:B130"/>
    <mergeCell ref="E131:F131"/>
    <mergeCell ref="I129:J129"/>
    <mergeCell ref="G130:H130"/>
    <mergeCell ref="K126:L126"/>
    <mergeCell ref="D117:E117"/>
    <mergeCell ref="D118:E118"/>
    <mergeCell ref="G124:H124"/>
    <mergeCell ref="E124:F124"/>
    <mergeCell ref="D116:E116"/>
    <mergeCell ref="A271:D271"/>
    <mergeCell ref="A270:D270"/>
    <mergeCell ref="A262:D262"/>
    <mergeCell ref="K260:L260"/>
    <mergeCell ref="A257:D257"/>
    <mergeCell ref="E257:F257"/>
    <mergeCell ref="A260:D260"/>
    <mergeCell ref="I258:J258"/>
    <mergeCell ref="G258:H258"/>
    <mergeCell ref="I257:J257"/>
    <mergeCell ref="G257:H257"/>
    <mergeCell ref="G259:H259"/>
    <mergeCell ref="I259:J259"/>
    <mergeCell ref="K259:L259"/>
    <mergeCell ref="A269:D269"/>
    <mergeCell ref="A261:D261"/>
    <mergeCell ref="E261:F261"/>
    <mergeCell ref="G261:H261"/>
    <mergeCell ref="A266:D267"/>
    <mergeCell ref="E266:L266"/>
    <mergeCell ref="A268:D268"/>
    <mergeCell ref="A264:L264"/>
    <mergeCell ref="F263:G263"/>
    <mergeCell ref="G262:H262"/>
    <mergeCell ref="A248:B248"/>
    <mergeCell ref="J249:K249"/>
    <mergeCell ref="J250:K250"/>
    <mergeCell ref="A256:D256"/>
    <mergeCell ref="A252:L252"/>
    <mergeCell ref="C127:D127"/>
    <mergeCell ref="E260:F260"/>
    <mergeCell ref="G260:H260"/>
    <mergeCell ref="I260:J260"/>
    <mergeCell ref="K257:L257"/>
    <mergeCell ref="E256:F256"/>
    <mergeCell ref="G256:H256"/>
    <mergeCell ref="I256:J256"/>
    <mergeCell ref="G128:H128"/>
    <mergeCell ref="A146:L147"/>
    <mergeCell ref="A144:C144"/>
    <mergeCell ref="D144:F144"/>
    <mergeCell ref="A149:B150"/>
    <mergeCell ref="A135:B136"/>
    <mergeCell ref="A137:B137"/>
    <mergeCell ref="C137:D137"/>
    <mergeCell ref="A155:B155"/>
    <mergeCell ref="A152:B152"/>
    <mergeCell ref="A153:B153"/>
    <mergeCell ref="A210:C210"/>
    <mergeCell ref="A205:L205"/>
    <mergeCell ref="K202:L202"/>
    <mergeCell ref="A187:B187"/>
    <mergeCell ref="A185:B185"/>
    <mergeCell ref="A193:D194"/>
    <mergeCell ref="E258:F258"/>
    <mergeCell ref="A258:D258"/>
    <mergeCell ref="A259:D259"/>
    <mergeCell ref="K258:L258"/>
    <mergeCell ref="K256:L256"/>
    <mergeCell ref="J214:L214"/>
    <mergeCell ref="G214:I214"/>
    <mergeCell ref="J208:L208"/>
    <mergeCell ref="G227:H227"/>
    <mergeCell ref="I227:J227"/>
    <mergeCell ref="K227:L227"/>
    <mergeCell ref="G226:H226"/>
    <mergeCell ref="A238:D238"/>
    <mergeCell ref="D210:F210"/>
    <mergeCell ref="G211:I211"/>
    <mergeCell ref="J209:L209"/>
    <mergeCell ref="A208:C208"/>
    <mergeCell ref="D208:F208"/>
    <mergeCell ref="K234:L235"/>
    <mergeCell ref="G235:H235"/>
    <mergeCell ref="K228:L228"/>
    <mergeCell ref="G210:I210"/>
    <mergeCell ref="J210:L210"/>
    <mergeCell ref="I228:J228"/>
    <mergeCell ref="G228:H228"/>
    <mergeCell ref="E184:F184"/>
    <mergeCell ref="G183:H183"/>
    <mergeCell ref="E183:F183"/>
    <mergeCell ref="E185:F185"/>
    <mergeCell ref="E186:F186"/>
    <mergeCell ref="G221:J221"/>
    <mergeCell ref="K221:L222"/>
    <mergeCell ref="G208:I208"/>
    <mergeCell ref="A217:L217"/>
    <mergeCell ref="A219:L219"/>
    <mergeCell ref="E224:F224"/>
    <mergeCell ref="A224:D224"/>
    <mergeCell ref="J215:L215"/>
    <mergeCell ref="A209:C209"/>
    <mergeCell ref="D209:F209"/>
    <mergeCell ref="G209:I209"/>
    <mergeCell ref="G184:H184"/>
    <mergeCell ref="F359:H359"/>
    <mergeCell ref="A113:B113"/>
    <mergeCell ref="D113:E113"/>
    <mergeCell ref="G144:I144"/>
    <mergeCell ref="A339:C339"/>
    <mergeCell ref="A340:C340"/>
    <mergeCell ref="G113:H113"/>
    <mergeCell ref="A288:L288"/>
    <mergeCell ref="A303:L303"/>
    <mergeCell ref="A318:L318"/>
    <mergeCell ref="A323:L323"/>
    <mergeCell ref="A331:L331"/>
    <mergeCell ref="A337:L337"/>
    <mergeCell ref="A344:L344"/>
    <mergeCell ref="A177:J177"/>
    <mergeCell ref="A215:C215"/>
    <mergeCell ref="D215:F215"/>
    <mergeCell ref="D214:F214"/>
    <mergeCell ref="A223:D223"/>
    <mergeCell ref="E223:F223"/>
    <mergeCell ref="A221:D222"/>
    <mergeCell ref="I186:J186"/>
    <mergeCell ref="C182:D182"/>
    <mergeCell ref="I183:J183"/>
    <mergeCell ref="I184:J184"/>
    <mergeCell ref="G186:H186"/>
    <mergeCell ref="F204:G204"/>
    <mergeCell ref="I203:J203"/>
    <mergeCell ref="G203:H203"/>
    <mergeCell ref="E187:F187"/>
    <mergeCell ref="G207:I207"/>
    <mergeCell ref="A201:D202"/>
    <mergeCell ref="A207:C207"/>
    <mergeCell ref="A189:L189"/>
    <mergeCell ref="E201:L201"/>
    <mergeCell ref="D207:F207"/>
    <mergeCell ref="E196:L196"/>
    <mergeCell ref="J207:L207"/>
    <mergeCell ref="A184:B184"/>
    <mergeCell ref="C186:D186"/>
    <mergeCell ref="A186:B186"/>
    <mergeCell ref="J110:K110"/>
    <mergeCell ref="J106:K106"/>
    <mergeCell ref="E203:F203"/>
    <mergeCell ref="A203:D203"/>
    <mergeCell ref="E193:F194"/>
    <mergeCell ref="E195:F195"/>
    <mergeCell ref="A195:D195"/>
    <mergeCell ref="A191:F191"/>
    <mergeCell ref="C187:D187"/>
    <mergeCell ref="E202:F202"/>
    <mergeCell ref="G202:H202"/>
    <mergeCell ref="I202:J202"/>
    <mergeCell ref="K203:L203"/>
    <mergeCell ref="A199:L199"/>
    <mergeCell ref="A197:M197"/>
    <mergeCell ref="A179:B179"/>
    <mergeCell ref="C181:D181"/>
    <mergeCell ref="A181:B181"/>
    <mergeCell ref="I180:J180"/>
    <mergeCell ref="C184:D184"/>
    <mergeCell ref="A183:B183"/>
    <mergeCell ref="C183:D183"/>
    <mergeCell ref="G182:H182"/>
    <mergeCell ref="G180:H180"/>
    <mergeCell ref="G110:H110"/>
    <mergeCell ref="G107:H107"/>
    <mergeCell ref="G112:H112"/>
    <mergeCell ref="G111:H111"/>
    <mergeCell ref="A102:B102"/>
    <mergeCell ref="G106:H106"/>
    <mergeCell ref="A103:B103"/>
    <mergeCell ref="D112:E112"/>
    <mergeCell ref="D111:E111"/>
    <mergeCell ref="D105:E105"/>
    <mergeCell ref="A111:B111"/>
    <mergeCell ref="D110:E110"/>
    <mergeCell ref="G108:H108"/>
    <mergeCell ref="A112:B112"/>
    <mergeCell ref="A363:E363"/>
    <mergeCell ref="A164:K165"/>
    <mergeCell ref="A141:L141"/>
    <mergeCell ref="A139:L139"/>
    <mergeCell ref="A133:L133"/>
    <mergeCell ref="D247:E247"/>
    <mergeCell ref="G247:H247"/>
    <mergeCell ref="J247:K247"/>
    <mergeCell ref="D248:E248"/>
    <mergeCell ref="D249:E249"/>
    <mergeCell ref="D250:E250"/>
    <mergeCell ref="G248:H248"/>
    <mergeCell ref="G249:H249"/>
    <mergeCell ref="G250:H250"/>
    <mergeCell ref="J248:K248"/>
    <mergeCell ref="K261:L261"/>
    <mergeCell ref="I261:J261"/>
    <mergeCell ref="A282:D282"/>
    <mergeCell ref="A281:D281"/>
    <mergeCell ref="A280:D280"/>
    <mergeCell ref="E225:F225"/>
    <mergeCell ref="A225:D225"/>
    <mergeCell ref="K226:L226"/>
    <mergeCell ref="I226:J226"/>
    <mergeCell ref="A80:G80"/>
    <mergeCell ref="H80:K80"/>
    <mergeCell ref="A76:G76"/>
    <mergeCell ref="H77:K77"/>
    <mergeCell ref="H78:K78"/>
    <mergeCell ref="Z89:AC90"/>
    <mergeCell ref="A12:L12"/>
    <mergeCell ref="M14:AB14"/>
    <mergeCell ref="M15:AB15"/>
    <mergeCell ref="M16:AB16"/>
    <mergeCell ref="M17:AB17"/>
    <mergeCell ref="M18:AB18"/>
    <mergeCell ref="M19:AB19"/>
    <mergeCell ref="H51:J51"/>
    <mergeCell ref="H52:J53"/>
    <mergeCell ref="H54:J54"/>
    <mergeCell ref="H55:J55"/>
    <mergeCell ref="A26:F26"/>
    <mergeCell ref="G26:J26"/>
    <mergeCell ref="A27:F27"/>
    <mergeCell ref="G27:J27"/>
    <mergeCell ref="A28:F28"/>
    <mergeCell ref="G30:J30"/>
    <mergeCell ref="A31:F31"/>
    <mergeCell ref="A85:L85"/>
    <mergeCell ref="A24:L24"/>
    <mergeCell ref="A100:L100"/>
    <mergeCell ref="J112:K112"/>
    <mergeCell ref="J111:K111"/>
    <mergeCell ref="A354:L354"/>
    <mergeCell ref="E259:F259"/>
    <mergeCell ref="E229:F229"/>
    <mergeCell ref="A229:D229"/>
    <mergeCell ref="E228:F228"/>
    <mergeCell ref="A228:D228"/>
    <mergeCell ref="E227:F227"/>
    <mergeCell ref="A227:D227"/>
    <mergeCell ref="E226:F226"/>
    <mergeCell ref="A226:D226"/>
    <mergeCell ref="K229:L229"/>
    <mergeCell ref="K239:L239"/>
    <mergeCell ref="I230:J230"/>
    <mergeCell ref="K230:L230"/>
    <mergeCell ref="A237:D237"/>
    <mergeCell ref="A274:D274"/>
    <mergeCell ref="A276:L276"/>
    <mergeCell ref="A290:L290"/>
    <mergeCell ref="E262:F262"/>
    <mergeCell ref="I262:J262"/>
    <mergeCell ref="K262:L262"/>
    <mergeCell ref="E278:L278"/>
    <mergeCell ref="D162:F162"/>
    <mergeCell ref="G162:I162"/>
    <mergeCell ref="A214:C214"/>
    <mergeCell ref="G215:I215"/>
    <mergeCell ref="I225:J225"/>
    <mergeCell ref="G225:H225"/>
    <mergeCell ref="K224:L224"/>
    <mergeCell ref="I224:J224"/>
    <mergeCell ref="G224:H224"/>
    <mergeCell ref="K223:L223"/>
    <mergeCell ref="I223:J223"/>
    <mergeCell ref="G223:H223"/>
    <mergeCell ref="D213:F213"/>
    <mergeCell ref="A213:C213"/>
    <mergeCell ref="D212:F212"/>
    <mergeCell ref="A212:C212"/>
    <mergeCell ref="J213:L213"/>
    <mergeCell ref="G213:I213"/>
    <mergeCell ref="J212:L212"/>
    <mergeCell ref="G212:I212"/>
    <mergeCell ref="J211:L211"/>
    <mergeCell ref="D211:F211"/>
    <mergeCell ref="A211:C211"/>
    <mergeCell ref="E182:F182"/>
    <mergeCell ref="I181:J181"/>
    <mergeCell ref="E181:F181"/>
    <mergeCell ref="G125:H125"/>
    <mergeCell ref="A163:C163"/>
    <mergeCell ref="D163:F163"/>
    <mergeCell ref="G185:H185"/>
    <mergeCell ref="I185:J185"/>
    <mergeCell ref="I187:J187"/>
    <mergeCell ref="G187:H187"/>
    <mergeCell ref="C185:D185"/>
    <mergeCell ref="A180:B180"/>
    <mergeCell ref="C180:D180"/>
    <mergeCell ref="I182:J182"/>
    <mergeCell ref="E180:F180"/>
    <mergeCell ref="A182:B182"/>
    <mergeCell ref="I155:U155"/>
    <mergeCell ref="D143:F143"/>
    <mergeCell ref="G143:I143"/>
    <mergeCell ref="C129:D129"/>
    <mergeCell ref="E129:F129"/>
    <mergeCell ref="A160:I160"/>
  </mergeCells>
  <dataValidations count="4">
    <dataValidation type="whole" operator="greaterThan" allowBlank="1" showInputMessage="1" showErrorMessage="1" sqref="G36:J36 G23:J23 A340:C340 A335:L335 A327:L327 A321:F321 E280:L286 E268:L274 E257:L262 C248:C250 F248:F250 I248:I250 E236:L242 E223:L230 D208:L215 A203:L203 E193:F194 C180:J187 C168:E175 A163:I163 A144:I144 A137:I137 C125:D130 G125:H131 K125:L131 L103:L115 I103:I116 F103:F118 C103:C120 E89:L98 H75:K81 A63:H63 H50:J56 G52:G53 G38:J45 G27:J34 G21:G22 G16:G17 H14:J15 H18:J20 A70:F70 C151:H158 C294:H301 C307:H314" xr:uid="{00000000-0002-0000-0000-000001000000}">
      <formula1>-1</formula1>
    </dataValidation>
    <dataValidation type="whole" operator="greaterThanOrEqual" allowBlank="1" showInputMessage="1" showErrorMessage="1" sqref="A58:H58 J250 H64 E231:L231 C302:L302 J63:J64 D248:D250 C159:F159 D216:L216 A204:F204 H204:L204 H352:K353 H347:K349 F350:G351 G248 G250 G132:H132 J159:L159 J248 A64:F64 K132:L132 E275:L275 D198:L198 H159 C176:E176 G176:H176" xr:uid="{00000000-0002-0000-0000-000002000000}">
      <formula1>0</formula1>
    </dataValidation>
    <dataValidation type="decimal" operator="greaterThanOrEqual" allowBlank="1" showInputMessage="1" showErrorMessage="1" sqref="F357:H362" xr:uid="{00000000-0002-0000-0000-000004000000}">
      <formula1>0</formula1>
    </dataValidation>
    <dataValidation operator="greaterThanOrEqual" allowBlank="1" showInputMessage="1" showErrorMessage="1" sqref="E263:F263 H263:L263" xr:uid="{00000000-0002-0000-0000-000000000000}"/>
  </dataValidations>
  <pageMargins left="0.25" right="0.25" top="0.75" bottom="0.75" header="0.3" footer="0.3"/>
  <pageSetup scale="90" orientation="portrait" r:id="rId1"/>
  <headerFooter differentOddEven="1" differentFirst="1">
    <oddFooter xml:space="preserve">&amp;C
</oddFooter>
  </headerFooter>
  <rowBreaks count="7" manualBreakCount="7">
    <brk id="65" max="16383" man="1"/>
    <brk id="99" max="16383" man="1"/>
    <brk id="145" max="16383" man="1"/>
    <brk id="188" max="16383" man="1"/>
    <brk id="216" max="16383" man="1"/>
    <brk id="251" max="16383" man="1"/>
    <brk id="28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A71B-DD94-45D7-BC25-3D0DF250A0B5}">
  <sheetPr codeName="Sheet2"/>
  <dimension ref="A2:AO350"/>
  <sheetViews>
    <sheetView showGridLines="0" tabSelected="1" topLeftCell="A295" zoomScaleNormal="100" zoomScalePageLayoutView="90" workbookViewId="0">
      <selection activeCell="L305" sqref="L305"/>
    </sheetView>
  </sheetViews>
  <sheetFormatPr defaultColWidth="9.1796875" defaultRowHeight="14" x14ac:dyDescent="0.3"/>
  <cols>
    <col min="1" max="1" width="8.54296875" style="41" customWidth="1"/>
    <col min="2" max="2" width="8.26953125" style="41" customWidth="1"/>
    <col min="3" max="3" width="9" style="41" customWidth="1"/>
    <col min="4" max="4" width="8" style="41" customWidth="1"/>
    <col min="5" max="5" width="8.81640625" style="41" customWidth="1"/>
    <col min="6" max="6" width="8" style="41" customWidth="1"/>
    <col min="7" max="7" width="9.26953125" style="41" customWidth="1"/>
    <col min="8" max="8" width="7.453125" style="41" customWidth="1"/>
    <col min="9" max="9" width="11.54296875" style="41" customWidth="1"/>
    <col min="10" max="10" width="8" style="41" customWidth="1"/>
    <col min="11" max="11" width="7.26953125" style="41" customWidth="1"/>
    <col min="12" max="12" width="8.453125" style="41" customWidth="1"/>
    <col min="13" max="13" width="7.7265625" style="41" customWidth="1"/>
    <col min="14" max="14" width="9" style="57" customWidth="1"/>
    <col min="15" max="15" width="8.81640625" style="41" customWidth="1"/>
    <col min="16" max="16" width="8.26953125" style="41" customWidth="1"/>
    <col min="17" max="17" width="9.1796875" style="41"/>
    <col min="18" max="18" width="9.26953125" style="41" customWidth="1"/>
    <col min="19" max="16384" width="9.1796875" style="41"/>
  </cols>
  <sheetData>
    <row r="2" spans="1:19" x14ac:dyDescent="0.3">
      <c r="I2" s="56"/>
    </row>
    <row r="4" spans="1:19" ht="18" x14ac:dyDescent="0.4">
      <c r="A4" s="1244" t="s">
        <v>285</v>
      </c>
      <c r="B4" s="1244"/>
      <c r="C4" s="1244"/>
      <c r="D4" s="1244"/>
      <c r="E4" s="1244"/>
      <c r="F4" s="1244"/>
      <c r="G4" s="1244"/>
      <c r="H4" s="1244"/>
      <c r="I4" s="1244"/>
      <c r="J4" s="1244"/>
      <c r="K4" s="1244"/>
      <c r="L4" s="1244"/>
      <c r="M4" s="1244"/>
      <c r="N4" s="1244"/>
      <c r="O4" s="1244"/>
      <c r="P4" s="1244"/>
      <c r="Q4" s="1244"/>
      <c r="R4" s="1244"/>
      <c r="S4" s="1244"/>
    </row>
    <row r="6" spans="1:19" x14ac:dyDescent="0.3">
      <c r="E6" s="552" t="s">
        <v>1</v>
      </c>
      <c r="F6" s="552"/>
      <c r="G6" s="552"/>
      <c r="H6" s="1300"/>
      <c r="I6" s="1300"/>
      <c r="J6" s="1300"/>
      <c r="K6" s="1300"/>
      <c r="L6" s="1300"/>
      <c r="M6" s="1300"/>
      <c r="N6" s="41"/>
      <c r="O6" s="141" t="str">
        <f>IF(H6="", "You must enter an Institution name", "")</f>
        <v>You must enter an Institution name</v>
      </c>
    </row>
    <row r="8" spans="1:19" x14ac:dyDescent="0.3">
      <c r="E8" s="52" t="s">
        <v>2</v>
      </c>
      <c r="F8" s="52"/>
      <c r="G8" s="52"/>
      <c r="H8" s="1245">
        <v>45748</v>
      </c>
      <c r="I8" s="1245"/>
      <c r="J8" s="1245"/>
      <c r="K8" s="58" t="s">
        <v>3</v>
      </c>
      <c r="L8" s="1245">
        <v>46112</v>
      </c>
      <c r="M8" s="1245"/>
      <c r="N8" s="1245"/>
    </row>
    <row r="10" spans="1:19" ht="15.5" x14ac:dyDescent="0.35">
      <c r="A10" s="876" t="s">
        <v>286</v>
      </c>
      <c r="B10" s="876"/>
      <c r="C10" s="876"/>
      <c r="D10" s="876"/>
      <c r="E10" s="876"/>
      <c r="F10" s="876"/>
      <c r="G10" s="876"/>
      <c r="H10" s="876"/>
      <c r="I10" s="876"/>
      <c r="J10" s="876"/>
      <c r="K10" s="876"/>
      <c r="L10" s="876"/>
      <c r="M10" s="876"/>
      <c r="N10" s="876"/>
      <c r="O10" s="876"/>
      <c r="P10" s="876"/>
      <c r="Q10" s="876"/>
      <c r="R10" s="876"/>
      <c r="S10" s="876"/>
    </row>
    <row r="11" spans="1:19" ht="15.5" x14ac:dyDescent="0.3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60"/>
      <c r="Q11" s="61"/>
    </row>
    <row r="12" spans="1:19" x14ac:dyDescent="0.3">
      <c r="A12" s="1115" t="s">
        <v>287</v>
      </c>
      <c r="B12" s="1115"/>
      <c r="C12" s="1115"/>
      <c r="D12" s="1115"/>
      <c r="E12" s="1115"/>
      <c r="F12" s="1115"/>
      <c r="G12" s="1115"/>
      <c r="H12" s="1115"/>
      <c r="I12" s="1115"/>
      <c r="J12" s="1115"/>
    </row>
    <row r="13" spans="1:19" ht="14.5" thickBot="1" x14ac:dyDescent="0.35"/>
    <row r="14" spans="1:19" ht="15" thickTop="1" thickBot="1" x14ac:dyDescent="0.35">
      <c r="H14" s="1247" t="s">
        <v>6</v>
      </c>
      <c r="I14" s="1248"/>
      <c r="J14" s="1249"/>
      <c r="K14" s="53"/>
    </row>
    <row r="15" spans="1:19" ht="14.5" thickTop="1" x14ac:dyDescent="0.3">
      <c r="A15" s="654" t="s">
        <v>7</v>
      </c>
      <c r="B15" s="655"/>
      <c r="C15" s="655"/>
      <c r="D15" s="655"/>
      <c r="E15" s="655"/>
      <c r="F15" s="655"/>
      <c r="G15" s="656"/>
      <c r="H15" s="1250">
        <v>0</v>
      </c>
      <c r="I15" s="1251"/>
      <c r="J15" s="1252"/>
      <c r="K15" s="63"/>
    </row>
    <row r="16" spans="1:19" ht="14.5" thickBot="1" x14ac:dyDescent="0.35">
      <c r="A16" s="657" t="s">
        <v>8</v>
      </c>
      <c r="B16" s="658"/>
      <c r="C16" s="658"/>
      <c r="D16" s="658"/>
      <c r="E16" s="658"/>
      <c r="F16" s="658"/>
      <c r="G16" s="1253"/>
      <c r="H16" s="450">
        <f>SUM(G17:G18)</f>
        <v>0</v>
      </c>
      <c r="I16" s="450"/>
      <c r="J16" s="451"/>
      <c r="K16" s="64"/>
    </row>
    <row r="17" spans="1:41" ht="14.25" customHeight="1" thickTop="1" x14ac:dyDescent="0.3">
      <c r="A17" s="620" t="s">
        <v>9</v>
      </c>
      <c r="B17" s="621"/>
      <c r="C17" s="621"/>
      <c r="D17" s="621"/>
      <c r="E17" s="621"/>
      <c r="F17" s="622"/>
      <c r="G17" s="231">
        <v>0</v>
      </c>
      <c r="H17" s="1280"/>
      <c r="I17" s="1280"/>
      <c r="J17" s="1281"/>
      <c r="K17" s="64"/>
    </row>
    <row r="18" spans="1:41" ht="14.5" thickBot="1" x14ac:dyDescent="0.35">
      <c r="A18" s="1284" t="s">
        <v>10</v>
      </c>
      <c r="B18" s="1285"/>
      <c r="C18" s="1285"/>
      <c r="D18" s="1285"/>
      <c r="E18" s="1285"/>
      <c r="F18" s="1285"/>
      <c r="G18" s="230">
        <v>0</v>
      </c>
      <c r="H18" s="1282"/>
      <c r="I18" s="1282"/>
      <c r="J18" s="1283"/>
      <c r="K18" s="64"/>
    </row>
    <row r="19" spans="1:41" ht="15" thickTop="1" thickBot="1" x14ac:dyDescent="0.35">
      <c r="A19" s="684" t="s">
        <v>11</v>
      </c>
      <c r="B19" s="685"/>
      <c r="C19" s="685"/>
      <c r="D19" s="685"/>
      <c r="E19" s="685"/>
      <c r="F19" s="685"/>
      <c r="G19" s="685"/>
      <c r="H19" s="458">
        <f>SUM(H15:J16)</f>
        <v>0</v>
      </c>
      <c r="I19" s="459"/>
      <c r="J19" s="460"/>
      <c r="K19" s="64"/>
    </row>
    <row r="20" spans="1:41" ht="14.5" thickTop="1" x14ac:dyDescent="0.3">
      <c r="A20" s="666" t="s">
        <v>12</v>
      </c>
      <c r="B20" s="667"/>
      <c r="C20" s="667"/>
      <c r="D20" s="667"/>
      <c r="E20" s="667"/>
      <c r="F20" s="667"/>
      <c r="G20" s="668"/>
      <c r="H20" s="462">
        <v>0</v>
      </c>
      <c r="I20" s="462"/>
      <c r="J20" s="463"/>
      <c r="K20" s="64"/>
    </row>
    <row r="21" spans="1:41" ht="14.5" thickBot="1" x14ac:dyDescent="0.35">
      <c r="A21" s="669" t="s">
        <v>13</v>
      </c>
      <c r="B21" s="670"/>
      <c r="C21" s="670"/>
      <c r="D21" s="670"/>
      <c r="E21" s="670"/>
      <c r="F21" s="670"/>
      <c r="G21" s="1246"/>
      <c r="H21" s="449">
        <f>SUM(G22:G23)</f>
        <v>0</v>
      </c>
      <c r="I21" s="450"/>
      <c r="J21" s="451"/>
      <c r="K21" s="446"/>
      <c r="L21" s="446"/>
      <c r="M21" s="446"/>
      <c r="N21" s="446"/>
      <c r="O21" s="446"/>
      <c r="P21" s="446"/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</row>
    <row r="22" spans="1:41" ht="14.5" thickTop="1" x14ac:dyDescent="0.3">
      <c r="A22" s="620" t="s">
        <v>14</v>
      </c>
      <c r="B22" s="621"/>
      <c r="C22" s="621"/>
      <c r="D22" s="621"/>
      <c r="E22" s="621"/>
      <c r="F22" s="621"/>
      <c r="G22" s="231">
        <v>0</v>
      </c>
      <c r="H22" s="1280"/>
      <c r="I22" s="1280"/>
      <c r="J22" s="1281"/>
      <c r="K22" s="1211" t="str">
        <f>IF(H21&lt;&gt;(H19-H20),"Section 1.1 - The ""Carried over to next reporting period"" must be equal to the ""Total"" minus ""Closed during the reporting period""","")</f>
        <v/>
      </c>
      <c r="L22" s="446"/>
      <c r="M22" s="446"/>
      <c r="N22" s="446"/>
      <c r="O22" s="446"/>
      <c r="P22" s="446"/>
      <c r="Q22" s="446"/>
      <c r="R22" s="446"/>
      <c r="S22" s="96"/>
      <c r="T22" s="96"/>
      <c r="U22" s="96"/>
      <c r="V22" s="96"/>
      <c r="W22" s="96"/>
      <c r="X22" s="96"/>
      <c r="Y22" s="96"/>
      <c r="Z22" s="96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</row>
    <row r="23" spans="1:41" ht="14.5" thickBot="1" x14ac:dyDescent="0.35">
      <c r="A23" s="623" t="s">
        <v>15</v>
      </c>
      <c r="B23" s="624"/>
      <c r="C23" s="624"/>
      <c r="D23" s="624"/>
      <c r="E23" s="624"/>
      <c r="F23" s="624"/>
      <c r="G23" s="230">
        <v>0</v>
      </c>
      <c r="H23" s="1282"/>
      <c r="I23" s="1282"/>
      <c r="J23" s="1283"/>
      <c r="K23" s="1211"/>
      <c r="L23" s="446"/>
      <c r="M23" s="446"/>
      <c r="N23" s="446"/>
      <c r="O23" s="446"/>
      <c r="P23" s="446"/>
      <c r="Q23" s="446"/>
      <c r="R23" s="446"/>
      <c r="S23" s="75"/>
      <c r="T23" s="75"/>
      <c r="U23" s="75"/>
      <c r="V23" s="75"/>
      <c r="W23" s="75"/>
      <c r="X23" s="75"/>
      <c r="Y23" s="75"/>
      <c r="Z23" s="75"/>
    </row>
    <row r="24" spans="1:41" ht="14.5" thickTop="1" x14ac:dyDescent="0.3">
      <c r="A24" s="65"/>
      <c r="B24" s="65"/>
      <c r="C24" s="65"/>
      <c r="D24" s="65"/>
      <c r="E24" s="65"/>
      <c r="F24" s="65"/>
      <c r="G24" s="66"/>
      <c r="H24" s="58"/>
      <c r="I24" s="58"/>
      <c r="J24" s="58"/>
      <c r="K24" s="64"/>
    </row>
    <row r="25" spans="1:41" x14ac:dyDescent="0.3">
      <c r="A25" s="552" t="s">
        <v>288</v>
      </c>
      <c r="B25" s="552"/>
      <c r="C25" s="552"/>
      <c r="D25" s="552"/>
      <c r="E25" s="552"/>
      <c r="F25" s="552"/>
      <c r="G25" s="552"/>
      <c r="H25" s="552"/>
      <c r="I25" s="552"/>
      <c r="J25" s="552"/>
      <c r="K25" s="64"/>
    </row>
    <row r="26" spans="1:41" ht="14.5" thickBot="1" x14ac:dyDescent="0.35">
      <c r="A26" s="67"/>
      <c r="B26" s="67"/>
      <c r="C26" s="67"/>
      <c r="D26" s="67"/>
      <c r="E26" s="67"/>
      <c r="F26" s="67"/>
      <c r="G26" s="64"/>
      <c r="H26" s="64"/>
      <c r="I26" s="64"/>
      <c r="J26" s="64"/>
      <c r="K26" s="64"/>
    </row>
    <row r="27" spans="1:41" ht="15" thickTop="1" thickBot="1" x14ac:dyDescent="0.35">
      <c r="A27" s="647" t="s">
        <v>17</v>
      </c>
      <c r="B27" s="648"/>
      <c r="C27" s="648"/>
      <c r="D27" s="648"/>
      <c r="E27" s="648"/>
      <c r="F27" s="649"/>
      <c r="G27" s="459" t="s">
        <v>6</v>
      </c>
      <c r="H27" s="459"/>
      <c r="I27" s="459"/>
      <c r="J27" s="460"/>
      <c r="K27" s="64"/>
    </row>
    <row r="28" spans="1:41" ht="14.5" thickTop="1" x14ac:dyDescent="0.3">
      <c r="A28" s="666" t="s">
        <v>25</v>
      </c>
      <c r="B28" s="667"/>
      <c r="C28" s="667"/>
      <c r="D28" s="667"/>
      <c r="E28" s="667"/>
      <c r="F28" s="668"/>
      <c r="G28" s="462">
        <v>0</v>
      </c>
      <c r="H28" s="462"/>
      <c r="I28" s="462"/>
      <c r="J28" s="463"/>
      <c r="K28" s="64"/>
    </row>
    <row r="29" spans="1:41" x14ac:dyDescent="0.3">
      <c r="A29" s="669" t="s">
        <v>26</v>
      </c>
      <c r="B29" s="670"/>
      <c r="C29" s="670"/>
      <c r="D29" s="670"/>
      <c r="E29" s="670"/>
      <c r="F29" s="670"/>
      <c r="G29" s="660">
        <v>0</v>
      </c>
      <c r="H29" s="661"/>
      <c r="I29" s="661"/>
      <c r="J29" s="662"/>
      <c r="K29" s="64"/>
    </row>
    <row r="30" spans="1:41" x14ac:dyDescent="0.3">
      <c r="A30" s="669" t="s">
        <v>27</v>
      </c>
      <c r="B30" s="670"/>
      <c r="C30" s="670"/>
      <c r="D30" s="670"/>
      <c r="E30" s="670"/>
      <c r="F30" s="670"/>
      <c r="G30" s="660">
        <v>0</v>
      </c>
      <c r="H30" s="661"/>
      <c r="I30" s="661"/>
      <c r="J30" s="662"/>
      <c r="K30" s="64"/>
    </row>
    <row r="31" spans="1:41" x14ac:dyDescent="0.3">
      <c r="A31" s="669" t="s">
        <v>28</v>
      </c>
      <c r="B31" s="670"/>
      <c r="C31" s="670"/>
      <c r="D31" s="670"/>
      <c r="E31" s="670"/>
      <c r="F31" s="1302"/>
      <c r="G31" s="661">
        <v>0</v>
      </c>
      <c r="H31" s="661"/>
      <c r="I31" s="661"/>
      <c r="J31" s="662"/>
      <c r="K31" s="64"/>
    </row>
    <row r="32" spans="1:41" x14ac:dyDescent="0.3">
      <c r="A32" s="669" t="s">
        <v>29</v>
      </c>
      <c r="B32" s="670"/>
      <c r="C32" s="670"/>
      <c r="D32" s="670"/>
      <c r="E32" s="670"/>
      <c r="F32" s="1302"/>
      <c r="G32" s="661">
        <v>0</v>
      </c>
      <c r="H32" s="661"/>
      <c r="I32" s="661"/>
      <c r="J32" s="662"/>
      <c r="K32" s="64"/>
    </row>
    <row r="33" spans="1:41" ht="14.5" thickBot="1" x14ac:dyDescent="0.35">
      <c r="A33" s="1317" t="s">
        <v>30</v>
      </c>
      <c r="B33" s="1318"/>
      <c r="C33" s="1318"/>
      <c r="D33" s="1318"/>
      <c r="E33" s="1318"/>
      <c r="F33" s="1318"/>
      <c r="G33" s="535">
        <v>0</v>
      </c>
      <c r="H33" s="524"/>
      <c r="I33" s="524"/>
      <c r="J33" s="525"/>
      <c r="K33" s="64"/>
    </row>
    <row r="34" spans="1:41" ht="15" thickTop="1" thickBot="1" x14ac:dyDescent="0.35">
      <c r="A34" s="1319" t="s">
        <v>11</v>
      </c>
      <c r="B34" s="1320"/>
      <c r="C34" s="1320"/>
      <c r="D34" s="1320"/>
      <c r="E34" s="1320"/>
      <c r="F34" s="1321"/>
      <c r="G34" s="459">
        <f>SUM(G28:J33)</f>
        <v>0</v>
      </c>
      <c r="H34" s="459"/>
      <c r="I34" s="459"/>
      <c r="J34" s="460"/>
      <c r="K34" s="446"/>
      <c r="L34" s="446"/>
      <c r="M34" s="446"/>
      <c r="N34" s="446"/>
      <c r="O34" s="446"/>
      <c r="P34" s="446"/>
      <c r="Q34" s="446"/>
      <c r="R34" s="446"/>
      <c r="S34" s="446"/>
      <c r="T34" s="446"/>
      <c r="U34" s="446"/>
      <c r="V34" s="446"/>
      <c r="W34" s="446"/>
      <c r="X34" s="446"/>
      <c r="Y34" s="446"/>
      <c r="Z34" s="446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spans="1:41" ht="14.5" thickTop="1" x14ac:dyDescent="0.3">
      <c r="A35" s="65"/>
      <c r="B35" s="65"/>
      <c r="C35" s="65"/>
      <c r="D35" s="65"/>
      <c r="E35" s="65"/>
      <c r="F35" s="65"/>
      <c r="G35" s="66"/>
      <c r="H35" s="58"/>
      <c r="I35" s="58"/>
      <c r="J35" s="58"/>
      <c r="K35" s="64"/>
    </row>
    <row r="36" spans="1:41" ht="15.5" x14ac:dyDescent="0.35">
      <c r="A36" s="876" t="s">
        <v>289</v>
      </c>
      <c r="B36" s="876"/>
      <c r="C36" s="876"/>
      <c r="D36" s="876"/>
      <c r="E36" s="876"/>
      <c r="F36" s="876"/>
      <c r="G36" s="876"/>
      <c r="H36" s="876"/>
      <c r="I36" s="876"/>
      <c r="J36" s="876"/>
      <c r="K36" s="876"/>
      <c r="L36" s="876"/>
      <c r="M36" s="876"/>
      <c r="N36" s="876"/>
      <c r="O36" s="876"/>
      <c r="P36" s="876"/>
      <c r="Q36" s="876"/>
      <c r="R36" s="876"/>
      <c r="S36" s="876"/>
    </row>
    <row r="37" spans="1:41" ht="14.25" customHeight="1" x14ac:dyDescent="0.3">
      <c r="A37" s="1301"/>
      <c r="B37" s="1301"/>
      <c r="C37" s="1301"/>
      <c r="D37" s="1301"/>
      <c r="E37" s="1301"/>
      <c r="F37" s="1301"/>
      <c r="G37" s="1301"/>
      <c r="H37" s="1301"/>
      <c r="I37" s="1301"/>
      <c r="J37" s="1301"/>
      <c r="K37" s="1301"/>
      <c r="L37" s="1301"/>
      <c r="M37" s="1301"/>
      <c r="N37" s="1301"/>
      <c r="O37" s="1301"/>
      <c r="P37" s="1301"/>
      <c r="Q37" s="1301"/>
      <c r="R37" s="1301"/>
      <c r="S37" s="1301"/>
    </row>
    <row r="38" spans="1:41" ht="14.5" thickBot="1" x14ac:dyDescent="0.35">
      <c r="A38" s="479" t="s">
        <v>32</v>
      </c>
      <c r="B38" s="479"/>
      <c r="C38" s="479"/>
      <c r="D38" s="479"/>
      <c r="E38" s="479"/>
      <c r="F38" s="479"/>
      <c r="G38" s="479"/>
      <c r="H38" s="479"/>
      <c r="I38" s="479"/>
      <c r="J38" s="479"/>
    </row>
    <row r="39" spans="1:41" ht="15" thickTop="1" thickBot="1" x14ac:dyDescent="0.35">
      <c r="A39" s="106"/>
      <c r="B39" s="106"/>
      <c r="C39" s="106"/>
      <c r="D39" s="106"/>
      <c r="E39" s="106"/>
      <c r="F39" s="106"/>
      <c r="G39" s="106"/>
      <c r="H39" s="458" t="s">
        <v>6</v>
      </c>
      <c r="I39" s="459"/>
      <c r="J39" s="460"/>
      <c r="K39" s="53"/>
    </row>
    <row r="40" spans="1:41" ht="14.5" thickTop="1" x14ac:dyDescent="0.3">
      <c r="A40" s="1322" t="s">
        <v>7</v>
      </c>
      <c r="B40" s="1323"/>
      <c r="C40" s="1323"/>
      <c r="D40" s="1323"/>
      <c r="E40" s="1323"/>
      <c r="F40" s="1323"/>
      <c r="G40" s="1324"/>
      <c r="H40" s="462">
        <v>0</v>
      </c>
      <c r="I40" s="462"/>
      <c r="J40" s="463"/>
      <c r="K40" s="63"/>
    </row>
    <row r="41" spans="1:41" ht="14.5" thickBot="1" x14ac:dyDescent="0.35">
      <c r="A41" s="669" t="s">
        <v>8</v>
      </c>
      <c r="B41" s="670"/>
      <c r="C41" s="670"/>
      <c r="D41" s="670"/>
      <c r="E41" s="670"/>
      <c r="F41" s="670"/>
      <c r="G41" s="1246"/>
      <c r="H41" s="449">
        <f>SUM(G42:G43)</f>
        <v>0</v>
      </c>
      <c r="I41" s="450"/>
      <c r="J41" s="451"/>
      <c r="K41" s="63"/>
    </row>
    <row r="42" spans="1:41" ht="14.5" thickTop="1" x14ac:dyDescent="0.3">
      <c r="A42" s="620" t="s">
        <v>9</v>
      </c>
      <c r="B42" s="621"/>
      <c r="C42" s="621"/>
      <c r="D42" s="621"/>
      <c r="E42" s="621"/>
      <c r="F42" s="621"/>
      <c r="G42" s="231">
        <v>0</v>
      </c>
      <c r="H42" s="453"/>
      <c r="I42" s="453"/>
      <c r="J42" s="454"/>
    </row>
    <row r="43" spans="1:41" ht="14.5" thickBot="1" x14ac:dyDescent="0.35">
      <c r="A43" s="1284" t="s">
        <v>10</v>
      </c>
      <c r="B43" s="1285"/>
      <c r="C43" s="1285"/>
      <c r="D43" s="1285"/>
      <c r="E43" s="1285"/>
      <c r="F43" s="1285"/>
      <c r="G43" s="230">
        <v>0</v>
      </c>
      <c r="H43" s="456"/>
      <c r="I43" s="456"/>
      <c r="J43" s="457"/>
    </row>
    <row r="44" spans="1:41" ht="15" thickTop="1" thickBot="1" x14ac:dyDescent="0.35">
      <c r="A44" s="684" t="s">
        <v>11</v>
      </c>
      <c r="B44" s="685"/>
      <c r="C44" s="685"/>
      <c r="D44" s="685"/>
      <c r="E44" s="685"/>
      <c r="F44" s="685"/>
      <c r="G44" s="685"/>
      <c r="H44" s="458">
        <f>SUM(H40:J41)</f>
        <v>0</v>
      </c>
      <c r="I44" s="459"/>
      <c r="J44" s="460"/>
      <c r="K44" s="63"/>
    </row>
    <row r="45" spans="1:41" ht="14.5" thickTop="1" x14ac:dyDescent="0.3">
      <c r="A45" s="1303" t="s">
        <v>12</v>
      </c>
      <c r="B45" s="1304"/>
      <c r="C45" s="1304"/>
      <c r="D45" s="1304"/>
      <c r="E45" s="1304"/>
      <c r="F45" s="1304"/>
      <c r="G45" s="1304"/>
      <c r="H45" s="461">
        <v>0</v>
      </c>
      <c r="I45" s="462"/>
      <c r="J45" s="463"/>
      <c r="K45" s="63"/>
    </row>
    <row r="46" spans="1:41" ht="14.5" thickBot="1" x14ac:dyDescent="0.35">
      <c r="A46" s="681" t="s">
        <v>13</v>
      </c>
      <c r="B46" s="682"/>
      <c r="C46" s="682"/>
      <c r="D46" s="682"/>
      <c r="E46" s="682"/>
      <c r="F46" s="682"/>
      <c r="G46" s="682"/>
      <c r="H46" s="1272">
        <f>H44-H45</f>
        <v>0</v>
      </c>
      <c r="I46" s="1273"/>
      <c r="J46" s="1274"/>
      <c r="K46" s="63"/>
    </row>
    <row r="47" spans="1:41" ht="14.5" thickTop="1" x14ac:dyDescent="0.3">
      <c r="A47" s="98"/>
      <c r="B47" s="98"/>
      <c r="C47" s="98"/>
      <c r="D47" s="98"/>
      <c r="E47" s="98"/>
      <c r="F47" s="98"/>
      <c r="G47" s="98"/>
      <c r="H47" s="64"/>
      <c r="I47" s="64"/>
      <c r="J47" s="64"/>
      <c r="K47" s="63"/>
    </row>
    <row r="48" spans="1:41" s="269" customFormat="1" ht="15.75" customHeight="1" x14ac:dyDescent="0.3">
      <c r="A48" s="673" t="s">
        <v>33</v>
      </c>
      <c r="B48" s="673"/>
      <c r="C48" s="673"/>
      <c r="D48" s="673"/>
      <c r="E48" s="673"/>
      <c r="F48" s="673"/>
      <c r="G48" s="673"/>
      <c r="H48" s="673"/>
    </row>
    <row r="49" spans="1:41" s="17" customFormat="1" ht="14.5" thickBot="1" x14ac:dyDescent="0.35">
      <c r="A49" s="41"/>
      <c r="B49" s="41"/>
      <c r="C49" s="41"/>
      <c r="D49" s="41"/>
      <c r="E49" s="41"/>
      <c r="F49" s="41"/>
      <c r="G49" s="41"/>
      <c r="H49" s="41"/>
    </row>
    <row r="50" spans="1:41" s="17" customFormat="1" ht="15" customHeight="1" thickTop="1" x14ac:dyDescent="0.3">
      <c r="A50" s="768" t="s">
        <v>34</v>
      </c>
      <c r="B50" s="769"/>
      <c r="C50" s="769"/>
      <c r="D50" s="769"/>
      <c r="E50" s="769"/>
      <c r="F50" s="769"/>
      <c r="G50" s="769"/>
      <c r="H50" s="770"/>
      <c r="I50" s="28"/>
      <c r="J50" s="28"/>
    </row>
    <row r="51" spans="1:41" s="17" customFormat="1" ht="50.25" customHeight="1" thickBot="1" x14ac:dyDescent="0.35">
      <c r="A51" s="207" t="s">
        <v>35</v>
      </c>
      <c r="B51" s="107" t="s">
        <v>36</v>
      </c>
      <c r="C51" s="107" t="s">
        <v>37</v>
      </c>
      <c r="D51" s="107" t="s">
        <v>38</v>
      </c>
      <c r="E51" s="107" t="s">
        <v>39</v>
      </c>
      <c r="F51" s="108" t="s">
        <v>40</v>
      </c>
      <c r="G51" s="102" t="s">
        <v>41</v>
      </c>
      <c r="H51" s="188" t="s">
        <v>11</v>
      </c>
      <c r="I51" s="29"/>
    </row>
    <row r="52" spans="1:41" s="17" customFormat="1" ht="15" thickTop="1" thickBot="1" x14ac:dyDescent="0.35">
      <c r="A52" s="208">
        <v>0</v>
      </c>
      <c r="B52" s="209">
        <v>0</v>
      </c>
      <c r="C52" s="209">
        <v>0</v>
      </c>
      <c r="D52" s="209">
        <v>0</v>
      </c>
      <c r="E52" s="209">
        <v>0</v>
      </c>
      <c r="F52" s="210">
        <v>0</v>
      </c>
      <c r="G52" s="211">
        <v>0</v>
      </c>
      <c r="H52" s="212">
        <f>SUM(A52:G52)</f>
        <v>0</v>
      </c>
      <c r="I52" s="446"/>
      <c r="J52" s="446"/>
      <c r="K52" s="446"/>
      <c r="L52" s="446"/>
      <c r="M52" s="446"/>
      <c r="N52" s="446"/>
      <c r="O52" s="446"/>
      <c r="P52" s="446"/>
      <c r="Q52" s="446"/>
      <c r="R52" s="446"/>
      <c r="S52" s="446"/>
      <c r="T52" s="446"/>
      <c r="U52" s="446"/>
      <c r="V52" s="446"/>
      <c r="W52" s="446"/>
      <c r="X52" s="446"/>
      <c r="Y52" s="446"/>
      <c r="Z52" s="446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</row>
    <row r="53" spans="1:41" s="17" customFormat="1" ht="14.5" thickTop="1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142"/>
      <c r="L53" s="30"/>
      <c r="M53" s="141"/>
    </row>
    <row r="54" spans="1:41" s="269" customFormat="1" x14ac:dyDescent="0.3">
      <c r="A54" s="672" t="s">
        <v>290</v>
      </c>
      <c r="B54" s="672"/>
      <c r="C54" s="672"/>
      <c r="D54" s="672"/>
      <c r="E54" s="672"/>
      <c r="F54" s="672"/>
      <c r="G54" s="672"/>
      <c r="H54" s="672"/>
      <c r="I54" s="672"/>
      <c r="J54" s="672"/>
      <c r="K54" s="268"/>
      <c r="L54" s="302"/>
    </row>
    <row r="55" spans="1:41" s="269" customFormat="1" ht="15" customHeight="1" thickBot="1" x14ac:dyDescent="0.35">
      <c r="A55" s="302"/>
      <c r="B55" s="302"/>
      <c r="C55" s="302"/>
      <c r="D55" s="302"/>
      <c r="E55" s="302"/>
      <c r="F55" s="302"/>
      <c r="G55" s="302"/>
      <c r="H55" s="302"/>
      <c r="I55" s="302"/>
      <c r="J55" s="302"/>
      <c r="K55" s="268"/>
      <c r="L55" s="302"/>
    </row>
    <row r="56" spans="1:41" s="269" customFormat="1" ht="32.25" customHeight="1" thickTop="1" x14ac:dyDescent="0.3">
      <c r="A56" s="396" t="s">
        <v>291</v>
      </c>
      <c r="B56" s="398"/>
      <c r="C56" s="396" t="s">
        <v>292</v>
      </c>
      <c r="D56" s="398"/>
      <c r="E56" s="396" t="s">
        <v>293</v>
      </c>
      <c r="F56" s="398"/>
    </row>
    <row r="57" spans="1:41" s="269" customFormat="1" ht="22" thickBot="1" x14ac:dyDescent="0.35">
      <c r="A57" s="272" t="s">
        <v>6</v>
      </c>
      <c r="B57" s="303" t="s">
        <v>294</v>
      </c>
      <c r="C57" s="272" t="s">
        <v>6</v>
      </c>
      <c r="D57" s="303" t="s">
        <v>294</v>
      </c>
      <c r="E57" s="272" t="s">
        <v>6</v>
      </c>
      <c r="F57" s="273" t="s">
        <v>294</v>
      </c>
    </row>
    <row r="58" spans="1:41" s="269" customFormat="1" ht="15" customHeight="1" thickTop="1" thickBot="1" x14ac:dyDescent="0.35">
      <c r="A58" s="274">
        <v>0</v>
      </c>
      <c r="B58" s="275">
        <v>0</v>
      </c>
      <c r="C58" s="304">
        <v>0</v>
      </c>
      <c r="D58" s="276">
        <v>0</v>
      </c>
      <c r="E58" s="274">
        <v>0</v>
      </c>
      <c r="F58" s="276">
        <v>0</v>
      </c>
      <c r="G58" s="868"/>
      <c r="H58" s="381"/>
      <c r="I58" s="381"/>
      <c r="J58" s="381"/>
      <c r="K58" s="381"/>
      <c r="L58" s="381"/>
      <c r="M58" s="381"/>
      <c r="N58" s="381"/>
      <c r="O58" s="381"/>
      <c r="P58" s="381"/>
      <c r="Q58" s="381"/>
      <c r="R58" s="381"/>
      <c r="S58" s="381"/>
      <c r="T58" s="381"/>
      <c r="U58" s="381"/>
      <c r="V58" s="381"/>
    </row>
    <row r="59" spans="1:41" s="17" customFormat="1" ht="14.5" thickTop="1" x14ac:dyDescent="0.3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31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</row>
    <row r="60" spans="1:41" ht="15.5" x14ac:dyDescent="0.35">
      <c r="A60" s="1260" t="s">
        <v>295</v>
      </c>
      <c r="B60" s="1260"/>
      <c r="C60" s="1260"/>
      <c r="D60" s="1260"/>
      <c r="E60" s="1260"/>
      <c r="F60" s="1260"/>
      <c r="G60" s="1260"/>
      <c r="H60" s="1260"/>
      <c r="I60" s="1260"/>
      <c r="J60" s="1260"/>
      <c r="K60" s="1260"/>
      <c r="L60" s="1260"/>
      <c r="M60" s="1260"/>
      <c r="N60" s="1260"/>
      <c r="O60" s="1260"/>
      <c r="P60" s="1260"/>
      <c r="Q60" s="1260"/>
      <c r="R60" s="1260"/>
      <c r="S60" s="1260"/>
    </row>
    <row r="62" spans="1:41" x14ac:dyDescent="0.3">
      <c r="A62" s="1279" t="s">
        <v>296</v>
      </c>
      <c r="B62" s="1279"/>
      <c r="C62" s="1279"/>
      <c r="D62" s="1279"/>
      <c r="E62" s="1279"/>
      <c r="F62" s="1279"/>
      <c r="G62" s="1279"/>
      <c r="H62" s="1279"/>
      <c r="I62" s="1279"/>
      <c r="J62" s="1279"/>
      <c r="K62" s="1279"/>
      <c r="M62" s="57"/>
      <c r="N62" s="41"/>
    </row>
    <row r="63" spans="1:41" ht="14.5" thickBot="1" x14ac:dyDescent="0.35">
      <c r="M63" s="57"/>
      <c r="N63" s="41"/>
    </row>
    <row r="64" spans="1:41" ht="14.5" thickTop="1" x14ac:dyDescent="0.3">
      <c r="A64" s="1254" t="s">
        <v>55</v>
      </c>
      <c r="B64" s="1255"/>
      <c r="C64" s="1256"/>
      <c r="D64" s="768" t="s">
        <v>34</v>
      </c>
      <c r="E64" s="769"/>
      <c r="F64" s="769"/>
      <c r="G64" s="769"/>
      <c r="H64" s="769"/>
      <c r="I64" s="769"/>
      <c r="J64" s="769"/>
      <c r="K64" s="770"/>
      <c r="L64" s="68"/>
      <c r="M64" s="57"/>
      <c r="N64" s="41"/>
    </row>
    <row r="65" spans="1:41" ht="34" thickBot="1" x14ac:dyDescent="0.35">
      <c r="A65" s="1257"/>
      <c r="B65" s="1258"/>
      <c r="C65" s="1259"/>
      <c r="D65" s="216" t="s">
        <v>35</v>
      </c>
      <c r="E65" s="217" t="s">
        <v>36</v>
      </c>
      <c r="F65" s="217" t="s">
        <v>37</v>
      </c>
      <c r="G65" s="217" t="s">
        <v>38</v>
      </c>
      <c r="H65" s="218" t="s">
        <v>39</v>
      </c>
      <c r="I65" s="218" t="s">
        <v>40</v>
      </c>
      <c r="J65" s="219" t="s">
        <v>41</v>
      </c>
      <c r="K65" s="220" t="s">
        <v>11</v>
      </c>
      <c r="M65" s="57"/>
      <c r="N65" s="41"/>
    </row>
    <row r="66" spans="1:41" ht="14.5" thickTop="1" x14ac:dyDescent="0.3">
      <c r="A66" s="1275" t="s">
        <v>56</v>
      </c>
      <c r="B66" s="1276"/>
      <c r="C66" s="1277"/>
      <c r="D66" s="127">
        <v>0</v>
      </c>
      <c r="E66" s="128">
        <v>0</v>
      </c>
      <c r="F66" s="128">
        <v>0</v>
      </c>
      <c r="G66" s="128">
        <v>0</v>
      </c>
      <c r="H66" s="128">
        <v>0</v>
      </c>
      <c r="I66" s="128">
        <v>0</v>
      </c>
      <c r="J66" s="129">
        <v>0</v>
      </c>
      <c r="K66" s="213">
        <f>SUM(D66:J66)</f>
        <v>0</v>
      </c>
      <c r="N66" s="41"/>
    </row>
    <row r="67" spans="1:41" x14ac:dyDescent="0.3">
      <c r="A67" s="877" t="s">
        <v>57</v>
      </c>
      <c r="B67" s="878"/>
      <c r="C67" s="879"/>
      <c r="D67" s="130">
        <v>0</v>
      </c>
      <c r="E67" s="126">
        <v>0</v>
      </c>
      <c r="F67" s="126">
        <v>0</v>
      </c>
      <c r="G67" s="133">
        <v>0</v>
      </c>
      <c r="H67" s="133">
        <v>0</v>
      </c>
      <c r="I67" s="133">
        <v>0</v>
      </c>
      <c r="J67" s="135">
        <v>0</v>
      </c>
      <c r="K67" s="214">
        <f t="shared" ref="K67:K71" si="0">SUM(D67:J67)</f>
        <v>0</v>
      </c>
      <c r="L67" s="141"/>
      <c r="N67" s="41"/>
    </row>
    <row r="68" spans="1:41" x14ac:dyDescent="0.3">
      <c r="A68" s="877" t="s">
        <v>58</v>
      </c>
      <c r="B68" s="878"/>
      <c r="C68" s="879"/>
      <c r="D68" s="131">
        <v>0</v>
      </c>
      <c r="E68" s="132">
        <v>0</v>
      </c>
      <c r="F68" s="132">
        <v>0</v>
      </c>
      <c r="G68" s="133">
        <v>0</v>
      </c>
      <c r="H68" s="126">
        <v>0</v>
      </c>
      <c r="I68" s="133">
        <v>0</v>
      </c>
      <c r="J68" s="135">
        <v>0</v>
      </c>
      <c r="K68" s="214">
        <f t="shared" si="0"/>
        <v>0</v>
      </c>
      <c r="L68" s="141"/>
      <c r="N68" s="41"/>
    </row>
    <row r="69" spans="1:41" ht="15" customHeight="1" x14ac:dyDescent="0.3">
      <c r="A69" s="877" t="s">
        <v>59</v>
      </c>
      <c r="B69" s="878"/>
      <c r="C69" s="879"/>
      <c r="D69" s="130">
        <v>0</v>
      </c>
      <c r="E69" s="133">
        <v>0</v>
      </c>
      <c r="F69" s="133">
        <v>0</v>
      </c>
      <c r="G69" s="126">
        <v>0</v>
      </c>
      <c r="H69" s="132">
        <v>0</v>
      </c>
      <c r="I69" s="133">
        <v>0</v>
      </c>
      <c r="J69" s="135">
        <v>0</v>
      </c>
      <c r="K69" s="214">
        <f t="shared" si="0"/>
        <v>0</v>
      </c>
      <c r="L69" s="141"/>
      <c r="N69" s="41"/>
    </row>
    <row r="70" spans="1:41" x14ac:dyDescent="0.3">
      <c r="A70" s="877" t="s">
        <v>60</v>
      </c>
      <c r="B70" s="878"/>
      <c r="C70" s="879"/>
      <c r="D70" s="131">
        <v>0</v>
      </c>
      <c r="E70" s="133">
        <v>0</v>
      </c>
      <c r="F70" s="126">
        <v>0</v>
      </c>
      <c r="G70" s="132">
        <v>0</v>
      </c>
      <c r="H70" s="133">
        <v>0</v>
      </c>
      <c r="I70" s="126">
        <v>0</v>
      </c>
      <c r="J70" s="136">
        <v>0</v>
      </c>
      <c r="K70" s="214">
        <f t="shared" si="0"/>
        <v>0</v>
      </c>
      <c r="N70" s="41"/>
    </row>
    <row r="71" spans="1:41" x14ac:dyDescent="0.3">
      <c r="A71" s="877" t="s">
        <v>62</v>
      </c>
      <c r="B71" s="878"/>
      <c r="C71" s="879"/>
      <c r="D71" s="130">
        <v>0</v>
      </c>
      <c r="E71" s="133">
        <v>0</v>
      </c>
      <c r="F71" s="132">
        <v>0</v>
      </c>
      <c r="G71" s="133">
        <v>0</v>
      </c>
      <c r="H71" s="126">
        <v>0</v>
      </c>
      <c r="I71" s="132">
        <v>0</v>
      </c>
      <c r="J71" s="137">
        <v>0</v>
      </c>
      <c r="K71" s="214">
        <f t="shared" si="0"/>
        <v>0</v>
      </c>
    </row>
    <row r="72" spans="1:41" ht="14.5" thickBot="1" x14ac:dyDescent="0.35">
      <c r="A72" s="1287" t="s">
        <v>63</v>
      </c>
      <c r="B72" s="1288"/>
      <c r="C72" s="1289"/>
      <c r="D72" s="131">
        <v>0</v>
      </c>
      <c r="E72" s="1">
        <v>0</v>
      </c>
      <c r="F72" s="1">
        <v>0</v>
      </c>
      <c r="G72" s="1">
        <v>0</v>
      </c>
      <c r="H72" s="132">
        <v>0</v>
      </c>
      <c r="I72" s="1">
        <v>0</v>
      </c>
      <c r="J72" s="134">
        <v>0</v>
      </c>
      <c r="K72" s="150">
        <f>SUM(D72:J72)</f>
        <v>0</v>
      </c>
    </row>
    <row r="73" spans="1:41" s="57" customFormat="1" ht="15" thickTop="1" thickBot="1" x14ac:dyDescent="0.35">
      <c r="A73" s="911" t="s">
        <v>11</v>
      </c>
      <c r="B73" s="912"/>
      <c r="C73" s="1278"/>
      <c r="D73" s="203">
        <f t="shared" ref="D73:K73" si="1">SUM(D66:D72)</f>
        <v>0</v>
      </c>
      <c r="E73" s="204">
        <f t="shared" si="1"/>
        <v>0</v>
      </c>
      <c r="F73" s="204">
        <f t="shared" si="1"/>
        <v>0</v>
      </c>
      <c r="G73" s="204">
        <f t="shared" si="1"/>
        <v>0</v>
      </c>
      <c r="H73" s="204">
        <f t="shared" si="1"/>
        <v>0</v>
      </c>
      <c r="I73" s="204">
        <f t="shared" si="1"/>
        <v>0</v>
      </c>
      <c r="J73" s="205">
        <f t="shared" si="1"/>
        <v>0</v>
      </c>
      <c r="K73" s="215">
        <f t="shared" si="1"/>
        <v>0</v>
      </c>
      <c r="L73" s="446" t="str">
        <f>IF(K73&lt;&gt;H20,"Section 3.1 - The Total of the ""Total"" should be equal to ""Closed during reporting period"" of Section 1.1","")</f>
        <v/>
      </c>
      <c r="M73" s="446"/>
      <c r="N73" s="446"/>
      <c r="O73" s="446"/>
      <c r="P73" s="446"/>
      <c r="Q73" s="446"/>
      <c r="R73" s="446"/>
      <c r="S73" s="446"/>
      <c r="T73" s="446"/>
      <c r="U73" s="446"/>
      <c r="V73" s="446"/>
      <c r="W73" s="446"/>
      <c r="X73" s="446"/>
      <c r="Y73" s="446"/>
      <c r="Z73" s="446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</row>
    <row r="74" spans="1:41" ht="14.5" thickTop="1" x14ac:dyDescent="0.3">
      <c r="K74" s="90">
        <f>SUM(K66:K69,K71:K72)</f>
        <v>0</v>
      </c>
    </row>
    <row r="75" spans="1:41" s="57" customFormat="1" x14ac:dyDescent="0.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41"/>
      <c r="O75" s="41"/>
      <c r="P75" s="41"/>
      <c r="Q75" s="41"/>
      <c r="R75" s="41"/>
      <c r="S75" s="41"/>
    </row>
    <row r="76" spans="1:41" s="57" customFormat="1" x14ac:dyDescent="0.3">
      <c r="A76" s="552" t="s">
        <v>297</v>
      </c>
      <c r="B76" s="552"/>
      <c r="C76" s="552"/>
      <c r="D76" s="552"/>
      <c r="E76" s="552"/>
      <c r="F76" s="552"/>
      <c r="G76" s="552"/>
      <c r="H76" s="552"/>
      <c r="I76" s="552"/>
      <c r="J76" s="552"/>
      <c r="K76" s="552"/>
      <c r="L76" s="552"/>
      <c r="N76" s="41"/>
      <c r="O76" s="41"/>
      <c r="P76" s="41"/>
      <c r="Q76" s="41"/>
      <c r="R76" s="41"/>
      <c r="S76" s="41"/>
    </row>
    <row r="77" spans="1:41" s="57" customFormat="1" ht="14.5" thickBot="1" x14ac:dyDescent="0.3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41"/>
      <c r="O77" s="41"/>
      <c r="P77" s="41"/>
      <c r="Q77" s="41"/>
      <c r="R77" s="41"/>
      <c r="S77" s="41"/>
    </row>
    <row r="78" spans="1:41" s="57" customFormat="1" ht="26.25" customHeight="1" thickTop="1" thickBot="1" x14ac:dyDescent="0.35">
      <c r="A78" s="1140" t="s">
        <v>66</v>
      </c>
      <c r="B78" s="1141"/>
      <c r="C78" s="875" t="s">
        <v>6</v>
      </c>
      <c r="D78" s="399"/>
      <c r="E78" s="1140" t="s">
        <v>66</v>
      </c>
      <c r="F78" s="1141"/>
      <c r="G78" s="875" t="s">
        <v>6</v>
      </c>
      <c r="H78" s="399"/>
      <c r="I78" s="1140" t="s">
        <v>66</v>
      </c>
      <c r="J78" s="402"/>
      <c r="K78" s="875" t="s">
        <v>6</v>
      </c>
      <c r="L78" s="1286"/>
      <c r="N78" s="41"/>
      <c r="O78" s="41"/>
      <c r="P78" s="41"/>
      <c r="Q78" s="41"/>
      <c r="R78" s="41"/>
      <c r="S78" s="41"/>
    </row>
    <row r="79" spans="1:41" s="57" customFormat="1" ht="14.5" thickTop="1" x14ac:dyDescent="0.3">
      <c r="A79" s="1240" t="s">
        <v>298</v>
      </c>
      <c r="B79" s="1241"/>
      <c r="C79" s="1242">
        <v>0</v>
      </c>
      <c r="D79" s="1243"/>
      <c r="E79" s="1222" t="s">
        <v>299</v>
      </c>
      <c r="F79" s="1223"/>
      <c r="G79" s="1202">
        <v>0</v>
      </c>
      <c r="H79" s="1224"/>
      <c r="I79" s="1240" t="s">
        <v>300</v>
      </c>
      <c r="J79" s="1241"/>
      <c r="K79" s="1242">
        <v>0</v>
      </c>
      <c r="L79" s="1243"/>
      <c r="M79" s="41"/>
      <c r="N79" s="41"/>
      <c r="O79" s="41"/>
      <c r="P79" s="41"/>
      <c r="Q79" s="41"/>
      <c r="R79" s="41"/>
      <c r="S79" s="41"/>
    </row>
    <row r="80" spans="1:41" s="57" customFormat="1" x14ac:dyDescent="0.3">
      <c r="A80" s="1232" t="s">
        <v>301</v>
      </c>
      <c r="B80" s="1233"/>
      <c r="C80" s="896">
        <v>0</v>
      </c>
      <c r="D80" s="1234"/>
      <c r="E80" s="1232" t="s">
        <v>302</v>
      </c>
      <c r="F80" s="1233"/>
      <c r="G80" s="896">
        <v>0</v>
      </c>
      <c r="H80" s="1234"/>
      <c r="I80" s="1232" t="s">
        <v>303</v>
      </c>
      <c r="J80" s="1233"/>
      <c r="K80" s="896">
        <v>0</v>
      </c>
      <c r="L80" s="1234"/>
      <c r="M80" s="41"/>
      <c r="N80" s="41"/>
      <c r="O80" s="41"/>
      <c r="P80" s="41"/>
      <c r="Q80" s="41"/>
      <c r="R80" s="41"/>
      <c r="S80" s="41"/>
    </row>
    <row r="81" spans="1:20" s="57" customFormat="1" x14ac:dyDescent="0.3">
      <c r="A81" s="1232" t="s">
        <v>304</v>
      </c>
      <c r="B81" s="1233"/>
      <c r="C81" s="896">
        <v>0</v>
      </c>
      <c r="D81" s="1234"/>
      <c r="E81" s="1232" t="s">
        <v>305</v>
      </c>
      <c r="F81" s="1233"/>
      <c r="G81" s="896">
        <v>0</v>
      </c>
      <c r="H81" s="1234"/>
      <c r="I81" s="1232" t="s">
        <v>306</v>
      </c>
      <c r="J81" s="1233"/>
      <c r="K81" s="896">
        <v>0</v>
      </c>
      <c r="L81" s="1234"/>
      <c r="M81" s="41"/>
      <c r="N81" s="41"/>
      <c r="O81" s="41"/>
      <c r="P81" s="41"/>
      <c r="Q81" s="41"/>
      <c r="R81" s="41"/>
      <c r="S81" s="41"/>
    </row>
    <row r="82" spans="1:20" s="57" customFormat="1" x14ac:dyDescent="0.3">
      <c r="A82" s="1232" t="s">
        <v>307</v>
      </c>
      <c r="B82" s="1233"/>
      <c r="C82" s="896">
        <v>0</v>
      </c>
      <c r="D82" s="1234"/>
      <c r="E82" s="1232" t="s">
        <v>308</v>
      </c>
      <c r="F82" s="1233"/>
      <c r="G82" s="896">
        <v>0</v>
      </c>
      <c r="H82" s="1234"/>
      <c r="I82" s="1232" t="s">
        <v>309</v>
      </c>
      <c r="J82" s="1233"/>
      <c r="K82" s="896">
        <v>0</v>
      </c>
      <c r="L82" s="1234"/>
      <c r="M82" s="41"/>
      <c r="N82" s="41"/>
      <c r="O82" s="41"/>
      <c r="P82" s="41"/>
      <c r="Q82" s="41"/>
      <c r="R82" s="41"/>
      <c r="S82" s="41"/>
    </row>
    <row r="83" spans="1:20" s="57" customFormat="1" x14ac:dyDescent="0.3">
      <c r="A83" s="1232" t="s">
        <v>310</v>
      </c>
      <c r="B83" s="1233"/>
      <c r="C83" s="896">
        <v>0</v>
      </c>
      <c r="D83" s="1234"/>
      <c r="E83" s="1232" t="s">
        <v>311</v>
      </c>
      <c r="F83" s="1233"/>
      <c r="G83" s="896">
        <v>0</v>
      </c>
      <c r="H83" s="1234"/>
      <c r="I83" s="1232">
        <v>25</v>
      </c>
      <c r="J83" s="1233"/>
      <c r="K83" s="896">
        <v>0</v>
      </c>
      <c r="L83" s="1234"/>
      <c r="M83" s="41"/>
      <c r="N83" s="41"/>
      <c r="O83" s="41"/>
      <c r="P83" s="41"/>
      <c r="Q83" s="41"/>
      <c r="R83" s="41"/>
      <c r="S83" s="41"/>
    </row>
    <row r="84" spans="1:20" s="57" customFormat="1" x14ac:dyDescent="0.3">
      <c r="A84" s="1232" t="s">
        <v>312</v>
      </c>
      <c r="B84" s="1233"/>
      <c r="C84" s="896">
        <v>0</v>
      </c>
      <c r="D84" s="1234"/>
      <c r="E84" s="1232" t="s">
        <v>313</v>
      </c>
      <c r="F84" s="1233"/>
      <c r="G84" s="896">
        <v>0</v>
      </c>
      <c r="H84" s="1234"/>
      <c r="I84" s="1232">
        <v>26</v>
      </c>
      <c r="J84" s="1233"/>
      <c r="K84" s="896">
        <v>0</v>
      </c>
      <c r="L84" s="1234"/>
      <c r="M84" s="41"/>
      <c r="N84" s="41"/>
      <c r="O84" s="41"/>
      <c r="P84" s="41"/>
      <c r="Q84" s="41"/>
      <c r="R84" s="41"/>
      <c r="S84" s="41"/>
    </row>
    <row r="85" spans="1:20" s="57" customFormat="1" x14ac:dyDescent="0.3">
      <c r="A85" s="1232" t="s">
        <v>314</v>
      </c>
      <c r="B85" s="1233"/>
      <c r="C85" s="896">
        <v>0</v>
      </c>
      <c r="D85" s="1234"/>
      <c r="E85" s="1232">
        <v>22.1</v>
      </c>
      <c r="F85" s="1233"/>
      <c r="G85" s="896">
        <v>0</v>
      </c>
      <c r="H85" s="1234"/>
      <c r="I85" s="1232">
        <v>27</v>
      </c>
      <c r="J85" s="1233"/>
      <c r="K85" s="896">
        <v>0</v>
      </c>
      <c r="L85" s="1234"/>
      <c r="M85" s="41"/>
      <c r="N85" s="41"/>
      <c r="O85" s="41"/>
      <c r="P85" s="41"/>
      <c r="Q85" s="41"/>
      <c r="R85" s="41"/>
      <c r="S85" s="41"/>
    </row>
    <row r="86" spans="1:20" s="57" customFormat="1" x14ac:dyDescent="0.3">
      <c r="A86" s="1232">
        <v>20</v>
      </c>
      <c r="B86" s="1233"/>
      <c r="C86" s="896">
        <v>0</v>
      </c>
      <c r="D86" s="1234"/>
      <c r="E86" s="1232">
        <v>22.2</v>
      </c>
      <c r="F86" s="1233"/>
      <c r="G86" s="896">
        <v>0</v>
      </c>
      <c r="H86" s="1234"/>
      <c r="I86" s="1232">
        <v>27.1</v>
      </c>
      <c r="J86" s="1233"/>
      <c r="K86" s="896">
        <v>0</v>
      </c>
      <c r="L86" s="1234"/>
      <c r="M86" s="41"/>
      <c r="O86" s="41"/>
      <c r="P86" s="41"/>
      <c r="Q86" s="41"/>
      <c r="R86" s="41"/>
      <c r="S86" s="41"/>
      <c r="T86" s="41"/>
    </row>
    <row r="87" spans="1:20" s="57" customFormat="1" ht="14.5" thickBot="1" x14ac:dyDescent="0.35">
      <c r="A87" s="1218">
        <v>21</v>
      </c>
      <c r="B87" s="1219"/>
      <c r="C87" s="1151">
        <v>0</v>
      </c>
      <c r="D87" s="1229"/>
      <c r="E87" s="1230">
        <v>22.3</v>
      </c>
      <c r="F87" s="1231"/>
      <c r="G87" s="896">
        <v>0</v>
      </c>
      <c r="H87" s="1234"/>
      <c r="I87" s="1218">
        <v>28</v>
      </c>
      <c r="J87" s="1219"/>
      <c r="K87" s="1151">
        <v>0</v>
      </c>
      <c r="L87" s="1229"/>
      <c r="M87" s="141"/>
      <c r="O87" s="41"/>
      <c r="P87" s="41"/>
      <c r="Q87" s="41"/>
      <c r="R87" s="41"/>
      <c r="S87" s="41"/>
      <c r="T87" s="41"/>
    </row>
    <row r="88" spans="1:20" ht="15" thickTop="1" thickBot="1" x14ac:dyDescent="0.35">
      <c r="A88" s="69"/>
      <c r="E88" s="1218">
        <v>22.4</v>
      </c>
      <c r="F88" s="1219"/>
      <c r="G88" s="1236">
        <v>0</v>
      </c>
      <c r="H88" s="1237"/>
    </row>
    <row r="89" spans="1:20" s="57" customFormat="1" ht="14.5" thickTop="1" x14ac:dyDescent="0.3">
      <c r="A89" s="69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N89" s="41"/>
      <c r="O89" s="41"/>
      <c r="P89" s="41"/>
      <c r="Q89" s="41"/>
      <c r="R89" s="41"/>
      <c r="S89" s="41"/>
    </row>
    <row r="90" spans="1:20" s="57" customFormat="1" x14ac:dyDescent="0.3">
      <c r="A90" s="479" t="s">
        <v>315</v>
      </c>
      <c r="B90" s="479"/>
      <c r="C90" s="479"/>
      <c r="D90" s="479"/>
      <c r="E90" s="479"/>
      <c r="F90" s="479"/>
      <c r="G90" s="479"/>
      <c r="H90" s="479"/>
      <c r="I90" s="479"/>
      <c r="J90" s="479"/>
      <c r="K90" s="479"/>
      <c r="L90" s="479"/>
      <c r="N90" s="41"/>
      <c r="O90" s="41"/>
      <c r="P90" s="41"/>
      <c r="Q90" s="41"/>
      <c r="R90" s="41"/>
      <c r="S90" s="41"/>
    </row>
    <row r="91" spans="1:20" s="57" customFormat="1" ht="14.5" thickBot="1" x14ac:dyDescent="0.3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N91" s="41"/>
      <c r="O91" s="41"/>
      <c r="P91" s="41"/>
      <c r="Q91" s="41"/>
      <c r="R91" s="41"/>
      <c r="S91" s="41"/>
    </row>
    <row r="92" spans="1:20" s="57" customFormat="1" ht="27.75" customHeight="1" thickTop="1" thickBot="1" x14ac:dyDescent="0.35">
      <c r="A92" s="1238" t="s">
        <v>66</v>
      </c>
      <c r="B92" s="1239"/>
      <c r="C92" s="399" t="s">
        <v>6</v>
      </c>
      <c r="D92" s="547"/>
      <c r="E92" s="1140" t="s">
        <v>66</v>
      </c>
      <c r="F92" s="1141"/>
      <c r="G92" s="399" t="s">
        <v>6</v>
      </c>
      <c r="H92" s="547"/>
      <c r="I92" s="1238" t="s">
        <v>66</v>
      </c>
      <c r="J92" s="1239"/>
      <c r="K92" s="399" t="s">
        <v>6</v>
      </c>
      <c r="L92" s="547"/>
      <c r="N92" s="41"/>
      <c r="O92" s="41"/>
      <c r="P92" s="41"/>
      <c r="Q92" s="41"/>
      <c r="R92" s="41"/>
      <c r="S92" s="41"/>
    </row>
    <row r="93" spans="1:20" s="57" customFormat="1" ht="14.5" thickTop="1" x14ac:dyDescent="0.3">
      <c r="A93" s="1222" t="s">
        <v>122</v>
      </c>
      <c r="B93" s="1223"/>
      <c r="C93" s="1202">
        <v>0</v>
      </c>
      <c r="D93" s="1224"/>
      <c r="E93" s="1225" t="s">
        <v>316</v>
      </c>
      <c r="F93" s="1226"/>
      <c r="G93" s="1227">
        <v>0</v>
      </c>
      <c r="H93" s="1228"/>
      <c r="I93" s="1222" t="s">
        <v>317</v>
      </c>
      <c r="J93" s="1223"/>
      <c r="K93" s="1202">
        <v>0</v>
      </c>
      <c r="L93" s="1224"/>
      <c r="N93" s="41"/>
      <c r="O93" s="41"/>
      <c r="P93" s="41"/>
      <c r="Q93" s="41"/>
      <c r="R93" s="41"/>
      <c r="S93" s="41"/>
    </row>
    <row r="94" spans="1:20" x14ac:dyDescent="0.3">
      <c r="A94" s="1232" t="s">
        <v>125</v>
      </c>
      <c r="B94" s="1233"/>
      <c r="C94" s="896">
        <v>0</v>
      </c>
      <c r="D94" s="1234"/>
      <c r="E94" s="1222" t="s">
        <v>318</v>
      </c>
      <c r="F94" s="1223"/>
      <c r="G94" s="1089">
        <v>0</v>
      </c>
      <c r="H94" s="1235"/>
      <c r="I94" s="1232" t="s">
        <v>319</v>
      </c>
      <c r="J94" s="1233"/>
      <c r="K94" s="896">
        <v>0</v>
      </c>
      <c r="L94" s="1234"/>
    </row>
    <row r="95" spans="1:20" s="57" customFormat="1" ht="14.5" thickBot="1" x14ac:dyDescent="0.35">
      <c r="A95" s="1218">
        <v>69.099999999999994</v>
      </c>
      <c r="B95" s="1219"/>
      <c r="C95" s="1151">
        <v>0</v>
      </c>
      <c r="D95" s="1229"/>
      <c r="E95" s="1230" t="s">
        <v>320</v>
      </c>
      <c r="F95" s="1231"/>
      <c r="G95" s="387">
        <v>0</v>
      </c>
      <c r="H95" s="388"/>
      <c r="I95" s="1232" t="s">
        <v>321</v>
      </c>
      <c r="J95" s="1233"/>
      <c r="K95" s="896">
        <v>0</v>
      </c>
      <c r="L95" s="1234"/>
      <c r="M95" s="41"/>
      <c r="O95" s="41"/>
      <c r="P95" s="41"/>
      <c r="Q95" s="41"/>
      <c r="R95" s="41"/>
      <c r="S95" s="41"/>
      <c r="T95" s="41"/>
    </row>
    <row r="96" spans="1:20" s="57" customFormat="1" ht="15" thickTop="1" thickBot="1" x14ac:dyDescent="0.35">
      <c r="A96" s="70"/>
      <c r="B96" s="70"/>
      <c r="C96" s="70"/>
      <c r="D96" s="70"/>
      <c r="E96" s="1216" t="s">
        <v>322</v>
      </c>
      <c r="F96" s="1217"/>
      <c r="G96" s="394">
        <v>0</v>
      </c>
      <c r="H96" s="395"/>
      <c r="I96" s="1218">
        <v>70.099999999999994</v>
      </c>
      <c r="J96" s="1219"/>
      <c r="K96" s="1151">
        <v>0</v>
      </c>
      <c r="L96" s="1229"/>
      <c r="M96" s="141"/>
      <c r="O96" s="41"/>
      <c r="P96" s="41"/>
      <c r="Q96" s="41"/>
      <c r="R96" s="41"/>
      <c r="S96" s="41"/>
      <c r="T96" s="41"/>
    </row>
    <row r="97" spans="1:41" s="57" customFormat="1" ht="14.25" customHeight="1" thickTop="1" x14ac:dyDescent="0.3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1314"/>
      <c r="N97" s="1314"/>
      <c r="O97" s="1314"/>
      <c r="P97" s="1314"/>
      <c r="Q97" s="1314"/>
      <c r="R97" s="1314"/>
      <c r="S97" s="1314"/>
      <c r="T97" s="1314"/>
      <c r="U97" s="1314"/>
      <c r="V97" s="1314"/>
      <c r="W97" s="1314"/>
      <c r="X97" s="1314"/>
      <c r="Y97" s="1314"/>
      <c r="Z97" s="1314"/>
      <c r="AA97" s="1314"/>
      <c r="AB97" s="1314"/>
      <c r="AC97" s="1314"/>
    </row>
    <row r="98" spans="1:41" s="57" customFormat="1" x14ac:dyDescent="0.3">
      <c r="A98" s="1271" t="s">
        <v>323</v>
      </c>
      <c r="B98" s="1271"/>
      <c r="C98" s="1271"/>
      <c r="D98" s="1271"/>
      <c r="E98" s="1271"/>
      <c r="F98" s="1271"/>
      <c r="G98" s="1271"/>
      <c r="H98" s="1271"/>
      <c r="I98" s="1271"/>
      <c r="J98" s="41"/>
      <c r="K98" s="41"/>
      <c r="L98" s="41"/>
      <c r="M98" s="1314"/>
      <c r="N98" s="1314"/>
      <c r="O98" s="1314"/>
      <c r="P98" s="1314"/>
      <c r="Q98" s="1314"/>
      <c r="R98" s="1314"/>
      <c r="S98" s="1314"/>
      <c r="T98" s="1314"/>
      <c r="U98" s="1314"/>
      <c r="V98" s="1314"/>
      <c r="W98" s="1314"/>
      <c r="X98" s="1314"/>
      <c r="Y98" s="1314"/>
      <c r="Z98" s="1314"/>
      <c r="AA98" s="1314"/>
      <c r="AB98" s="1314"/>
      <c r="AC98" s="1314"/>
    </row>
    <row r="99" spans="1:41" s="57" customFormat="1" ht="14.5" thickBot="1" x14ac:dyDescent="0.35">
      <c r="A99" s="40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1315"/>
      <c r="N99" s="1315"/>
      <c r="O99" s="1315"/>
      <c r="P99" s="1315"/>
      <c r="Q99" s="1315"/>
      <c r="R99" s="1315"/>
      <c r="S99" s="1315"/>
      <c r="T99" s="1315"/>
      <c r="U99" s="1315"/>
      <c r="V99" s="1315"/>
      <c r="W99" s="1315"/>
      <c r="X99" s="1315"/>
      <c r="Y99" s="1315"/>
      <c r="Z99" s="1315"/>
      <c r="AA99" s="1315"/>
      <c r="AB99" s="1315"/>
      <c r="AC99" s="1315"/>
    </row>
    <row r="100" spans="1:41" s="57" customFormat="1" ht="14.5" thickTop="1" x14ac:dyDescent="0.3">
      <c r="A100" s="598" t="s">
        <v>139</v>
      </c>
      <c r="B100" s="602"/>
      <c r="C100" s="1221" t="s">
        <v>140</v>
      </c>
      <c r="D100" s="1221"/>
      <c r="E100" s="1221"/>
      <c r="F100" s="1221"/>
      <c r="G100" s="1221"/>
      <c r="H100" s="529" t="s">
        <v>141</v>
      </c>
      <c r="I100" s="530"/>
      <c r="J100" s="41"/>
      <c r="K100" s="41"/>
      <c r="L100" s="41"/>
      <c r="M100" s="1316"/>
      <c r="N100" s="1316"/>
      <c r="O100" s="1316"/>
      <c r="P100" s="1316"/>
      <c r="Q100" s="1316"/>
      <c r="R100" s="1316"/>
      <c r="S100" s="1316"/>
      <c r="T100" s="1316"/>
      <c r="U100" s="1316"/>
      <c r="V100" s="1316"/>
      <c r="W100" s="1316"/>
      <c r="X100" s="1316"/>
      <c r="Y100" s="1316"/>
      <c r="Z100" s="1316"/>
      <c r="AA100" s="1316"/>
      <c r="AB100" s="1316"/>
      <c r="AC100" s="1316"/>
    </row>
    <row r="101" spans="1:41" s="57" customFormat="1" ht="14.5" thickBot="1" x14ac:dyDescent="0.35">
      <c r="A101" s="600"/>
      <c r="B101" s="603"/>
      <c r="C101" s="609" t="s">
        <v>142</v>
      </c>
      <c r="D101" s="563"/>
      <c r="E101" s="122" t="s">
        <v>143</v>
      </c>
      <c r="F101" s="123" t="s">
        <v>144</v>
      </c>
      <c r="G101" s="124" t="s">
        <v>145</v>
      </c>
      <c r="H101" s="531"/>
      <c r="I101" s="533"/>
      <c r="J101" s="41"/>
      <c r="K101" s="41"/>
      <c r="L101" s="41"/>
      <c r="M101" s="1316"/>
      <c r="N101" s="1316"/>
      <c r="O101" s="1316"/>
      <c r="P101" s="1316"/>
      <c r="Q101" s="1316"/>
      <c r="R101" s="1316"/>
      <c r="S101" s="1316"/>
      <c r="T101" s="1316"/>
      <c r="U101" s="1316"/>
      <c r="V101" s="1316"/>
      <c r="W101" s="1316"/>
      <c r="X101" s="1316"/>
      <c r="Y101" s="1316"/>
      <c r="Z101" s="1316"/>
      <c r="AA101" s="1316"/>
      <c r="AB101" s="1316"/>
      <c r="AC101" s="1316"/>
    </row>
    <row r="102" spans="1:41" s="57" customFormat="1" ht="25.5" customHeight="1" thickTop="1" thickBot="1" x14ac:dyDescent="0.35">
      <c r="A102" s="500">
        <v>0</v>
      </c>
      <c r="B102" s="518"/>
      <c r="C102" s="1214">
        <v>0</v>
      </c>
      <c r="D102" s="1215"/>
      <c r="E102" s="222">
        <v>0</v>
      </c>
      <c r="F102" s="178">
        <v>0</v>
      </c>
      <c r="G102" s="221">
        <v>0</v>
      </c>
      <c r="H102" s="816">
        <v>0</v>
      </c>
      <c r="I102" s="816"/>
      <c r="M102" s="840"/>
      <c r="N102" s="840"/>
      <c r="O102" s="840"/>
      <c r="P102" s="840"/>
      <c r="Q102" s="840"/>
      <c r="R102" s="840"/>
      <c r="S102" s="840"/>
      <c r="T102" s="840"/>
      <c r="U102" s="840"/>
      <c r="V102" s="840"/>
      <c r="W102" s="840"/>
      <c r="X102" s="840"/>
      <c r="Y102" s="840"/>
      <c r="Z102" s="840"/>
      <c r="AA102" s="840"/>
      <c r="AB102" s="840"/>
      <c r="AC102" s="840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</row>
    <row r="103" spans="1:41" s="57" customFormat="1" ht="14.5" thickTop="1" x14ac:dyDescent="0.3">
      <c r="A103" s="40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840"/>
      <c r="N103" s="840"/>
      <c r="O103" s="840"/>
      <c r="P103" s="840"/>
      <c r="Q103" s="840"/>
      <c r="R103" s="840"/>
      <c r="S103" s="840"/>
      <c r="T103" s="840"/>
      <c r="U103" s="840"/>
      <c r="V103" s="840"/>
      <c r="W103" s="840"/>
      <c r="X103" s="840"/>
      <c r="Y103" s="840"/>
      <c r="Z103" s="840"/>
      <c r="AA103" s="840"/>
      <c r="AB103" s="840"/>
      <c r="AC103" s="840"/>
    </row>
    <row r="104" spans="1:41" x14ac:dyDescent="0.3">
      <c r="A104" s="552" t="s">
        <v>324</v>
      </c>
      <c r="B104" s="552"/>
      <c r="C104" s="552"/>
      <c r="D104" s="552"/>
      <c r="E104" s="552"/>
      <c r="F104" s="552"/>
      <c r="G104" s="552"/>
      <c r="H104" s="552"/>
      <c r="I104" s="552"/>
      <c r="M104" s="1316"/>
      <c r="N104" s="1316"/>
      <c r="O104" s="1316"/>
      <c r="P104" s="1316"/>
      <c r="Q104" s="1316"/>
      <c r="R104" s="1316"/>
      <c r="S104" s="1316"/>
      <c r="T104" s="1316"/>
      <c r="U104" s="1316"/>
      <c r="V104" s="1316"/>
      <c r="W104" s="1316"/>
      <c r="X104" s="1316"/>
      <c r="Y104" s="1316"/>
      <c r="Z104" s="1316"/>
      <c r="AA104" s="1316"/>
      <c r="AB104" s="1316"/>
      <c r="AC104" s="1316"/>
    </row>
    <row r="105" spans="1:41" x14ac:dyDescent="0.3">
      <c r="A105" s="71"/>
      <c r="M105" s="141"/>
      <c r="N105" s="41"/>
    </row>
    <row r="106" spans="1:41" ht="17.25" customHeight="1" x14ac:dyDescent="0.3">
      <c r="A106" s="478" t="s">
        <v>325</v>
      </c>
      <c r="B106" s="478"/>
      <c r="C106" s="478"/>
      <c r="D106" s="478"/>
      <c r="E106" s="478"/>
      <c r="F106" s="478"/>
      <c r="G106" s="478"/>
      <c r="H106" s="478"/>
      <c r="I106" s="478"/>
      <c r="J106" s="478"/>
      <c r="M106" s="141"/>
      <c r="N106" s="41"/>
    </row>
    <row r="107" spans="1:41" ht="14.5" thickBot="1" x14ac:dyDescent="0.35">
      <c r="M107" s="142"/>
    </row>
    <row r="108" spans="1:41" ht="30" customHeight="1" thickTop="1" thickBot="1" x14ac:dyDescent="0.35">
      <c r="A108" s="545" t="s">
        <v>326</v>
      </c>
      <c r="B108" s="546"/>
      <c r="C108" s="836"/>
      <c r="D108" s="399" t="s">
        <v>149</v>
      </c>
      <c r="E108" s="546"/>
      <c r="F108" s="836"/>
      <c r="G108" s="399" t="s">
        <v>6</v>
      </c>
      <c r="H108" s="546"/>
      <c r="I108" s="547"/>
      <c r="J108" s="1220"/>
      <c r="K108" s="1220"/>
      <c r="L108" s="1220"/>
    </row>
    <row r="109" spans="1:41" ht="15" customHeight="1" thickTop="1" thickBot="1" x14ac:dyDescent="0.35">
      <c r="A109" s="1205">
        <v>0</v>
      </c>
      <c r="B109" s="1206"/>
      <c r="C109" s="1206"/>
      <c r="D109" s="1207">
        <v>0</v>
      </c>
      <c r="E109" s="1208"/>
      <c r="F109" s="1209"/>
      <c r="G109" s="1206">
        <v>0</v>
      </c>
      <c r="H109" s="1206"/>
      <c r="I109" s="1210"/>
      <c r="J109" s="1211"/>
      <c r="K109" s="446"/>
      <c r="L109" s="446"/>
      <c r="M109" s="446"/>
      <c r="N109" s="446"/>
      <c r="O109" s="446"/>
      <c r="P109" s="446"/>
      <c r="Q109" s="446"/>
      <c r="R109" s="446"/>
      <c r="S109" s="446"/>
      <c r="T109" s="446"/>
      <c r="U109" s="446"/>
      <c r="V109" s="446"/>
      <c r="W109" s="446"/>
      <c r="X109" s="446"/>
      <c r="Y109" s="446"/>
      <c r="Z109" s="446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</row>
    <row r="110" spans="1:41" ht="14.5" thickTop="1" x14ac:dyDescent="0.3">
      <c r="A110" s="67"/>
      <c r="B110" s="67"/>
      <c r="C110" s="67"/>
      <c r="D110" s="64"/>
      <c r="E110" s="64"/>
      <c r="F110" s="64"/>
      <c r="G110" s="64"/>
      <c r="H110" s="64"/>
      <c r="I110" s="64"/>
      <c r="J110" s="866"/>
      <c r="K110" s="866"/>
      <c r="L110" s="866"/>
      <c r="M110" s="866"/>
      <c r="N110" s="866"/>
      <c r="O110" s="866"/>
      <c r="P110" s="866"/>
      <c r="Q110" s="866"/>
      <c r="R110" s="866"/>
      <c r="S110" s="866"/>
      <c r="T110" s="866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</row>
    <row r="111" spans="1:41" s="269" customFormat="1" x14ac:dyDescent="0.3">
      <c r="A111" s="592" t="s">
        <v>327</v>
      </c>
      <c r="B111" s="592"/>
      <c r="C111" s="592"/>
      <c r="D111" s="592"/>
      <c r="E111" s="592"/>
      <c r="F111" s="592"/>
      <c r="G111" s="592"/>
      <c r="H111" s="592"/>
      <c r="I111" s="592"/>
      <c r="J111" s="592"/>
      <c r="K111" s="592"/>
      <c r="L111" s="592"/>
    </row>
    <row r="112" spans="1:41" s="269" customFormat="1" x14ac:dyDescent="0.3">
      <c r="A112" s="592"/>
      <c r="B112" s="592"/>
      <c r="C112" s="592"/>
      <c r="D112" s="592"/>
      <c r="E112" s="592"/>
      <c r="F112" s="592"/>
      <c r="G112" s="592"/>
      <c r="H112" s="592"/>
      <c r="I112" s="592"/>
      <c r="J112" s="592"/>
      <c r="K112" s="592"/>
      <c r="L112" s="592"/>
    </row>
    <row r="113" spans="1:41" ht="14.25" customHeight="1" thickBot="1" x14ac:dyDescent="0.35">
      <c r="M113" s="141"/>
      <c r="N113" s="41"/>
    </row>
    <row r="114" spans="1:41" ht="25.5" customHeight="1" thickTop="1" x14ac:dyDescent="0.3">
      <c r="A114" s="598" t="s">
        <v>151</v>
      </c>
      <c r="B114" s="599"/>
      <c r="C114" s="1049" t="s">
        <v>152</v>
      </c>
      <c r="D114" s="1050"/>
      <c r="E114" s="1049" t="s">
        <v>235</v>
      </c>
      <c r="F114" s="1050"/>
      <c r="G114" s="1049" t="s">
        <v>236</v>
      </c>
      <c r="H114" s="1050"/>
      <c r="I114" s="141"/>
      <c r="N114" s="41"/>
    </row>
    <row r="115" spans="1:41" s="57" customFormat="1" ht="30.75" customHeight="1" thickBot="1" x14ac:dyDescent="0.35">
      <c r="A115" s="600"/>
      <c r="B115" s="601"/>
      <c r="C115" s="305" t="s">
        <v>6</v>
      </c>
      <c r="D115" s="306" t="s">
        <v>155</v>
      </c>
      <c r="E115" s="305" t="s">
        <v>6</v>
      </c>
      <c r="F115" s="306" t="s">
        <v>155</v>
      </c>
      <c r="G115" s="305" t="s">
        <v>6</v>
      </c>
      <c r="H115" s="306" t="s">
        <v>155</v>
      </c>
      <c r="I115" s="141"/>
      <c r="J115" s="41"/>
      <c r="K115" s="41"/>
      <c r="L115" s="41"/>
      <c r="M115" s="41"/>
      <c r="N115" s="41"/>
      <c r="O115" s="41"/>
      <c r="X115" s="114" t="s">
        <v>328</v>
      </c>
      <c r="Y115" s="114" t="s">
        <v>329</v>
      </c>
    </row>
    <row r="116" spans="1:41" s="57" customFormat="1" ht="20.25" customHeight="1" thickTop="1" x14ac:dyDescent="0.3">
      <c r="A116" s="917" t="s">
        <v>56</v>
      </c>
      <c r="B116" s="918"/>
      <c r="C116" s="265">
        <v>0</v>
      </c>
      <c r="D116" s="264">
        <v>0</v>
      </c>
      <c r="E116" s="265">
        <v>0</v>
      </c>
      <c r="F116" s="264">
        <v>0</v>
      </c>
      <c r="G116" s="265">
        <v>0</v>
      </c>
      <c r="H116" s="264">
        <v>0</v>
      </c>
      <c r="I116" s="446"/>
      <c r="J116" s="446"/>
      <c r="K116" s="446"/>
      <c r="L116" s="446"/>
      <c r="M116" s="446"/>
      <c r="N116" s="446"/>
      <c r="O116" s="446"/>
      <c r="P116" s="446"/>
      <c r="Q116" s="446"/>
      <c r="R116" s="446"/>
      <c r="S116" s="446"/>
      <c r="T116" s="446"/>
      <c r="U116" s="446"/>
      <c r="V116" s="446"/>
      <c r="W116" s="446"/>
      <c r="X116" s="115" t="e">
        <f>SUM(C116,#REF!,E116,#REF!,G116)</f>
        <v>#REF!</v>
      </c>
      <c r="Y116" s="115" t="e">
        <f>SUM(X116,Y133,#REF!)</f>
        <v>#REF!</v>
      </c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</row>
    <row r="117" spans="1:41" s="57" customFormat="1" ht="19.5" customHeight="1" x14ac:dyDescent="0.3">
      <c r="A117" s="379" t="s">
        <v>57</v>
      </c>
      <c r="B117" s="380"/>
      <c r="C117" s="265">
        <v>0</v>
      </c>
      <c r="D117" s="233">
        <v>0</v>
      </c>
      <c r="E117" s="265">
        <v>0</v>
      </c>
      <c r="F117" s="233">
        <v>0</v>
      </c>
      <c r="G117" s="265">
        <v>0</v>
      </c>
      <c r="H117" s="233">
        <v>0</v>
      </c>
      <c r="I117" s="446"/>
      <c r="J117" s="446"/>
      <c r="K117" s="446"/>
      <c r="L117" s="446"/>
      <c r="M117" s="446"/>
      <c r="N117" s="446"/>
      <c r="O117" s="446"/>
      <c r="P117" s="446"/>
      <c r="Q117" s="446"/>
      <c r="R117" s="446"/>
      <c r="S117" s="446"/>
      <c r="T117" s="446"/>
      <c r="U117" s="446"/>
      <c r="V117" s="446"/>
      <c r="W117" s="446"/>
      <c r="X117" s="115" t="e">
        <f>SUM(C117,#REF!,E117,#REF!,G117)</f>
        <v>#REF!</v>
      </c>
      <c r="Y117" s="115" t="e">
        <f>SUM(X117,Y134,#REF!)</f>
        <v>#REF!</v>
      </c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</row>
    <row r="118" spans="1:41" s="57" customFormat="1" ht="20.25" customHeight="1" x14ac:dyDescent="0.3">
      <c r="A118" s="936" t="s">
        <v>58</v>
      </c>
      <c r="B118" s="937"/>
      <c r="C118" s="265">
        <v>0</v>
      </c>
      <c r="D118" s="233">
        <v>0</v>
      </c>
      <c r="E118" s="265">
        <v>0</v>
      </c>
      <c r="F118" s="233">
        <v>0</v>
      </c>
      <c r="G118" s="265">
        <v>0</v>
      </c>
      <c r="H118" s="233">
        <v>0</v>
      </c>
      <c r="I118" s="446"/>
      <c r="J118" s="446"/>
      <c r="K118" s="446"/>
      <c r="L118" s="446"/>
      <c r="M118" s="446"/>
      <c r="N118" s="446"/>
      <c r="O118" s="446"/>
      <c r="P118" s="446"/>
      <c r="Q118" s="446"/>
      <c r="R118" s="446"/>
      <c r="S118" s="446"/>
      <c r="T118" s="446"/>
      <c r="U118" s="446"/>
      <c r="V118" s="446"/>
      <c r="W118" s="446"/>
      <c r="X118" s="115" t="e">
        <f>SUM(C118,#REF!,E118,#REF!,G118)</f>
        <v>#REF!</v>
      </c>
      <c r="Y118" s="115" t="e">
        <f>SUM(X118,Y135,#REF!)</f>
        <v>#REF!</v>
      </c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</row>
    <row r="119" spans="1:41" s="57" customFormat="1" ht="19.5" customHeight="1" x14ac:dyDescent="0.3">
      <c r="A119" s="936" t="s">
        <v>59</v>
      </c>
      <c r="B119" s="937"/>
      <c r="C119" s="265">
        <v>0</v>
      </c>
      <c r="D119" s="266">
        <v>0</v>
      </c>
      <c r="E119" s="265">
        <v>0</v>
      </c>
      <c r="F119" s="233">
        <v>0</v>
      </c>
      <c r="G119" s="265">
        <v>0</v>
      </c>
      <c r="H119" s="233">
        <v>0</v>
      </c>
      <c r="I119" s="446"/>
      <c r="J119" s="446"/>
      <c r="K119" s="446"/>
      <c r="L119" s="446"/>
      <c r="M119" s="446"/>
      <c r="N119" s="446"/>
      <c r="O119" s="446"/>
      <c r="P119" s="446"/>
      <c r="Q119" s="446"/>
      <c r="R119" s="446"/>
      <c r="S119" s="446"/>
      <c r="T119" s="446"/>
      <c r="U119" s="446"/>
      <c r="V119" s="446"/>
      <c r="W119" s="43"/>
      <c r="X119" s="115" t="e">
        <f>SUM(C119,#REF!,E119,#REF!,G119)</f>
        <v>#REF!</v>
      </c>
      <c r="Y119" s="115" t="e">
        <f>SUM(X119,Y136,#REF!)</f>
        <v>#REF!</v>
      </c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</row>
    <row r="120" spans="1:41" s="57" customFormat="1" ht="27.75" customHeight="1" x14ac:dyDescent="0.3">
      <c r="A120" s="379" t="s">
        <v>156</v>
      </c>
      <c r="B120" s="380"/>
      <c r="C120" s="265">
        <v>0</v>
      </c>
      <c r="D120" s="233">
        <v>0</v>
      </c>
      <c r="E120" s="265">
        <v>0</v>
      </c>
      <c r="F120" s="233">
        <v>0</v>
      </c>
      <c r="G120" s="265">
        <v>0</v>
      </c>
      <c r="H120" s="233">
        <v>0</v>
      </c>
      <c r="I120" s="446"/>
      <c r="J120" s="446"/>
      <c r="K120" s="446"/>
      <c r="L120" s="446"/>
      <c r="M120" s="446"/>
      <c r="N120" s="446"/>
      <c r="O120" s="446"/>
      <c r="P120" s="446"/>
      <c r="Q120" s="446"/>
      <c r="R120" s="446"/>
      <c r="S120" s="446"/>
      <c r="T120" s="446"/>
      <c r="U120" s="446"/>
      <c r="V120" s="446"/>
      <c r="W120" s="446"/>
      <c r="X120" s="115" t="e">
        <f>SUM(C120,#REF!,E120,#REF!,G120)</f>
        <v>#REF!</v>
      </c>
      <c r="Y120" s="115" t="e">
        <f>SUM(X120,Y137,#REF!)</f>
        <v>#REF!</v>
      </c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</row>
    <row r="121" spans="1:41" s="57" customFormat="1" ht="27.75" customHeight="1" thickBot="1" x14ac:dyDescent="0.35">
      <c r="A121" s="699" t="s">
        <v>63</v>
      </c>
      <c r="B121" s="806"/>
      <c r="C121" s="288">
        <v>0</v>
      </c>
      <c r="D121" s="307">
        <v>0</v>
      </c>
      <c r="E121" s="308">
        <v>0</v>
      </c>
      <c r="F121" s="307">
        <v>0</v>
      </c>
      <c r="G121" s="308">
        <v>0</v>
      </c>
      <c r="H121" s="309">
        <v>0</v>
      </c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96"/>
      <c r="W121" s="43"/>
      <c r="X121" s="115" t="e">
        <f>SUM(C121,#REF!,E121,#REF!,G121)</f>
        <v>#REF!</v>
      </c>
      <c r="Y121" s="115" t="e">
        <f>SUM(X121,Y138,#REF!)</f>
        <v>#REF!</v>
      </c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</row>
    <row r="122" spans="1:41" s="57" customFormat="1" ht="15" thickTop="1" thickBot="1" x14ac:dyDescent="0.35">
      <c r="A122" s="871" t="s">
        <v>11</v>
      </c>
      <c r="B122" s="872"/>
      <c r="C122" s="298">
        <f>SUM(C116:C121)</f>
        <v>0</v>
      </c>
      <c r="D122" s="297">
        <f t="shared" ref="D122:H122" si="2">SUM(D116:D121)</f>
        <v>0</v>
      </c>
      <c r="E122" s="195">
        <f>SUM(E116:E121)</f>
        <v>0</v>
      </c>
      <c r="F122" s="297">
        <f t="shared" si="2"/>
        <v>0</v>
      </c>
      <c r="G122" s="195">
        <f t="shared" si="2"/>
        <v>0</v>
      </c>
      <c r="H122" s="297">
        <f t="shared" si="2"/>
        <v>0</v>
      </c>
      <c r="I122" s="347" t="str">
        <f>IF(G109&lt;&gt;SUM(C122,E122,G122),"Section 3.5.2 - The ""Total"" of ""Number of Requests"" should be equal to the ""Number of Requests"" of Section 3.5.1.","")</f>
        <v/>
      </c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43"/>
      <c r="X122" s="115" t="e">
        <f>SUM(C122,#REF!,E122,#REF!,G122)</f>
        <v>#REF!</v>
      </c>
      <c r="Y122" s="115" t="e">
        <f>SUM(X122,Y139,#REF!)</f>
        <v>#REF!</v>
      </c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</row>
    <row r="123" spans="1:41" s="57" customFormat="1" ht="14.5" thickTop="1" x14ac:dyDescent="0.3">
      <c r="A123" s="72"/>
      <c r="B123" s="72"/>
      <c r="C123" s="66"/>
      <c r="D123" s="66"/>
      <c r="E123" s="66"/>
      <c r="F123" s="66"/>
      <c r="G123" s="66"/>
      <c r="H123" s="66"/>
      <c r="I123" s="350" t="str">
        <f>IF(A109&lt;&gt;SUM(D122,F122,H122),"Section 3.5.2 - The total of Columns of ""Pages Processed"" should be equal to the ""Number of Pages Processed"" of Section 3.5.1.","")</f>
        <v/>
      </c>
      <c r="J123" s="66"/>
      <c r="K123" s="66"/>
      <c r="L123" s="6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  <c r="AA123" s="43"/>
      <c r="AB123" s="117"/>
      <c r="AC123" s="117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</row>
    <row r="124" spans="1:41" s="310" customFormat="1" x14ac:dyDescent="0.3">
      <c r="A124" s="391" t="s">
        <v>330</v>
      </c>
      <c r="B124" s="391"/>
      <c r="C124" s="391"/>
      <c r="D124" s="391"/>
      <c r="E124" s="391"/>
      <c r="F124" s="391"/>
      <c r="G124" s="391"/>
      <c r="H124" s="391"/>
      <c r="I124" s="391"/>
      <c r="J124" s="33"/>
      <c r="K124" s="33"/>
      <c r="L124" s="33"/>
      <c r="M124" s="33"/>
      <c r="O124" s="269"/>
      <c r="P124" s="269"/>
      <c r="Q124" s="269"/>
      <c r="R124" s="269"/>
      <c r="S124" s="269"/>
      <c r="T124" s="269"/>
    </row>
    <row r="125" spans="1:41" s="57" customFormat="1" ht="14.5" thickBot="1" x14ac:dyDescent="0.3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66"/>
      <c r="O125" s="41"/>
      <c r="P125" s="41"/>
      <c r="Q125" s="41"/>
      <c r="R125" s="41"/>
      <c r="S125" s="41"/>
      <c r="T125" s="41"/>
    </row>
    <row r="126" spans="1:41" s="57" customFormat="1" ht="33" customHeight="1" thickTop="1" thickBot="1" x14ac:dyDescent="0.4">
      <c r="A126" s="545" t="s">
        <v>158</v>
      </c>
      <c r="B126" s="546"/>
      <c r="C126" s="836"/>
      <c r="D126" s="399" t="s">
        <v>159</v>
      </c>
      <c r="E126" s="1212"/>
      <c r="F126" s="1213"/>
      <c r="G126" s="402" t="s">
        <v>6</v>
      </c>
      <c r="H126" s="403"/>
      <c r="I126" s="404"/>
      <c r="J126" s="41"/>
      <c r="K126" s="41"/>
      <c r="L126" s="41"/>
      <c r="M126" s="66"/>
      <c r="O126" s="41"/>
      <c r="P126" s="41"/>
      <c r="Q126" s="41"/>
      <c r="R126" s="41"/>
      <c r="S126" s="41"/>
      <c r="T126" s="41"/>
    </row>
    <row r="127" spans="1:41" s="57" customFormat="1" ht="15.5" thickTop="1" thickBot="1" x14ac:dyDescent="0.4">
      <c r="A127" s="1267">
        <v>0</v>
      </c>
      <c r="B127" s="1208"/>
      <c r="C127" s="1209"/>
      <c r="D127" s="1207">
        <v>0</v>
      </c>
      <c r="E127" s="1268"/>
      <c r="F127" s="1269"/>
      <c r="G127" s="1207">
        <v>0</v>
      </c>
      <c r="H127" s="1208"/>
      <c r="I127" s="1270"/>
      <c r="J127" s="866"/>
      <c r="K127" s="866"/>
      <c r="L127" s="866"/>
      <c r="M127" s="866"/>
      <c r="N127" s="866"/>
      <c r="O127" s="866"/>
      <c r="P127" s="866"/>
      <c r="Q127" s="866"/>
      <c r="R127" s="866"/>
      <c r="S127" s="866"/>
      <c r="T127" s="866"/>
    </row>
    <row r="128" spans="1:41" s="57" customFormat="1" ht="14.5" thickTop="1" x14ac:dyDescent="0.3">
      <c r="A128" s="41"/>
      <c r="B128" s="41"/>
      <c r="C128" s="41"/>
      <c r="D128" s="41"/>
      <c r="E128" s="41"/>
      <c r="F128" s="41"/>
      <c r="G128" s="41"/>
      <c r="H128" s="41"/>
      <c r="I128" s="41"/>
      <c r="J128" s="866"/>
      <c r="K128" s="866"/>
      <c r="L128" s="866"/>
      <c r="M128" s="866"/>
      <c r="N128" s="866"/>
      <c r="O128" s="866"/>
      <c r="P128" s="866"/>
      <c r="Q128" s="866"/>
      <c r="R128" s="866"/>
      <c r="S128" s="866"/>
      <c r="T128" s="866"/>
      <c r="U128" s="866"/>
    </row>
    <row r="129" spans="1:35" s="310" customFormat="1" ht="14.25" customHeight="1" x14ac:dyDescent="0.3">
      <c r="A129" s="1305" t="s">
        <v>331</v>
      </c>
      <c r="B129" s="1305"/>
      <c r="C129" s="1305"/>
      <c r="D129" s="1305"/>
      <c r="E129" s="1305"/>
      <c r="F129" s="1305"/>
      <c r="G129" s="1305"/>
      <c r="H129" s="1305"/>
      <c r="I129" s="1305"/>
      <c r="J129" s="1305"/>
      <c r="K129" s="1305"/>
      <c r="L129" s="1305"/>
      <c r="M129" s="1305"/>
      <c r="N129" s="1305"/>
      <c r="O129" s="1305"/>
      <c r="P129" s="1305"/>
      <c r="Q129" s="1305"/>
      <c r="R129" s="1305"/>
      <c r="S129" s="269"/>
      <c r="T129" s="269"/>
    </row>
    <row r="130" spans="1:35" s="310" customFormat="1" ht="14.5" thickBot="1" x14ac:dyDescent="0.35">
      <c r="A130" s="311"/>
      <c r="B130" s="311"/>
      <c r="C130" s="311"/>
      <c r="D130" s="311"/>
      <c r="E130" s="311"/>
      <c r="F130" s="311"/>
      <c r="G130" s="311"/>
      <c r="H130" s="311"/>
      <c r="I130" s="311"/>
      <c r="J130" s="311"/>
      <c r="K130" s="311"/>
      <c r="L130" s="311"/>
      <c r="M130" s="33"/>
      <c r="O130" s="269"/>
      <c r="P130" s="269"/>
      <c r="Q130" s="269"/>
      <c r="R130" s="269"/>
      <c r="S130" s="269"/>
      <c r="T130" s="269"/>
    </row>
    <row r="131" spans="1:35" s="310" customFormat="1" ht="15" customHeight="1" thickTop="1" x14ac:dyDescent="0.3">
      <c r="A131" s="954" t="s">
        <v>151</v>
      </c>
      <c r="B131" s="955"/>
      <c r="C131" s="956"/>
      <c r="D131" s="1310" t="s">
        <v>332</v>
      </c>
      <c r="E131" s="1311"/>
      <c r="F131" s="1311"/>
      <c r="G131" s="1306" t="s">
        <v>161</v>
      </c>
      <c r="H131" s="1307"/>
      <c r="I131" s="269"/>
    </row>
    <row r="132" spans="1:35" s="310" customFormat="1" ht="15.75" customHeight="1" thickBot="1" x14ac:dyDescent="0.35">
      <c r="A132" s="957"/>
      <c r="B132" s="958"/>
      <c r="C132" s="959"/>
      <c r="D132" s="1312"/>
      <c r="E132" s="1313"/>
      <c r="F132" s="1313"/>
      <c r="G132" s="1308"/>
      <c r="H132" s="1309"/>
      <c r="I132" s="269"/>
    </row>
    <row r="133" spans="1:35" s="310" customFormat="1" ht="13" thickTop="1" x14ac:dyDescent="0.25">
      <c r="A133" s="951" t="s">
        <v>56</v>
      </c>
      <c r="B133" s="952"/>
      <c r="C133" s="953"/>
      <c r="D133" s="977">
        <v>0</v>
      </c>
      <c r="E133" s="978"/>
      <c r="F133" s="979"/>
      <c r="G133" s="975">
        <v>0</v>
      </c>
      <c r="H133" s="976"/>
      <c r="I133" s="868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381"/>
    </row>
    <row r="134" spans="1:35" s="310" customFormat="1" ht="12.5" x14ac:dyDescent="0.25">
      <c r="A134" s="963" t="s">
        <v>57</v>
      </c>
      <c r="B134" s="964"/>
      <c r="C134" s="965"/>
      <c r="D134" s="969">
        <v>0</v>
      </c>
      <c r="E134" s="970"/>
      <c r="F134" s="971"/>
      <c r="G134" s="947">
        <v>0</v>
      </c>
      <c r="H134" s="948"/>
      <c r="I134" s="868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381"/>
    </row>
    <row r="135" spans="1:35" s="310" customFormat="1" ht="12.5" x14ac:dyDescent="0.25">
      <c r="A135" s="966" t="s">
        <v>58</v>
      </c>
      <c r="B135" s="967"/>
      <c r="C135" s="968"/>
      <c r="D135" s="969">
        <v>0</v>
      </c>
      <c r="E135" s="970"/>
      <c r="F135" s="971"/>
      <c r="G135" s="947">
        <v>0</v>
      </c>
      <c r="H135" s="948"/>
      <c r="I135" s="868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</row>
    <row r="136" spans="1:35" s="310" customFormat="1" ht="12.5" x14ac:dyDescent="0.25">
      <c r="A136" s="966" t="s">
        <v>59</v>
      </c>
      <c r="B136" s="967"/>
      <c r="C136" s="968"/>
      <c r="D136" s="969">
        <v>0</v>
      </c>
      <c r="E136" s="970"/>
      <c r="F136" s="971"/>
      <c r="G136" s="947">
        <v>0</v>
      </c>
      <c r="H136" s="948"/>
      <c r="I136" s="868"/>
      <c r="J136" s="381"/>
      <c r="K136" s="381"/>
      <c r="L136" s="381"/>
      <c r="M136" s="381"/>
      <c r="N136" s="381"/>
      <c r="O136" s="381"/>
      <c r="P136" s="381"/>
      <c r="Q136" s="381"/>
      <c r="R136" s="381"/>
      <c r="S136" s="381"/>
      <c r="T136" s="381"/>
      <c r="U136" s="381"/>
      <c r="V136" s="381"/>
    </row>
    <row r="137" spans="1:35" s="310" customFormat="1" ht="12.5" x14ac:dyDescent="0.25">
      <c r="A137" s="963" t="s">
        <v>156</v>
      </c>
      <c r="B137" s="964"/>
      <c r="C137" s="965"/>
      <c r="D137" s="969">
        <v>0</v>
      </c>
      <c r="E137" s="970"/>
      <c r="F137" s="971"/>
      <c r="G137" s="947">
        <v>0</v>
      </c>
      <c r="H137" s="948"/>
      <c r="I137" s="868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/>
      <c r="V137" s="381"/>
    </row>
    <row r="138" spans="1:35" s="310" customFormat="1" ht="13" thickBot="1" x14ac:dyDescent="0.3">
      <c r="A138" s="960" t="s">
        <v>63</v>
      </c>
      <c r="B138" s="961"/>
      <c r="C138" s="962"/>
      <c r="D138" s="972">
        <v>0</v>
      </c>
      <c r="E138" s="973"/>
      <c r="F138" s="974"/>
      <c r="G138" s="949">
        <v>0</v>
      </c>
      <c r="H138" s="950"/>
      <c r="I138" s="868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381"/>
      <c r="W138" s="381"/>
      <c r="X138" s="381"/>
    </row>
    <row r="139" spans="1:35" s="310" customFormat="1" ht="16.5" customHeight="1" thickTop="1" thickBot="1" x14ac:dyDescent="0.35">
      <c r="A139" s="931" t="s">
        <v>11</v>
      </c>
      <c r="B139" s="932"/>
      <c r="C139" s="933"/>
      <c r="D139" s="926">
        <f>SUM(D133:F138)</f>
        <v>0</v>
      </c>
      <c r="E139" s="927"/>
      <c r="F139" s="928"/>
      <c r="G139" s="929">
        <f>SUM(G133:H138)</f>
        <v>0</v>
      </c>
      <c r="H139" s="930"/>
      <c r="I139" s="351" t="str">
        <f>IF(G127&lt;&gt;D139,"Section 3.5.4 - The ""Total"" of ""Number of Requests"" should be equal to the ""Number of Requests"" of Section 3.5.3.","")</f>
        <v/>
      </c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</row>
    <row r="140" spans="1:35" s="57" customFormat="1" ht="15" thickTop="1" x14ac:dyDescent="0.35">
      <c r="A140" s="72"/>
      <c r="B140" s="72"/>
      <c r="C140" s="66"/>
      <c r="D140" s="66"/>
      <c r="E140" s="66"/>
      <c r="F140" s="66"/>
      <c r="G140" s="66"/>
      <c r="H140" s="66"/>
      <c r="I140" s="352" t="str">
        <f>IF(G139&lt;&gt;A127,"Section 3.5.4 - The total of Columns of ""Minutes Processed"" should be equal to the ""Number of Minutes Processed"" of Section 3.5.3.","")</f>
        <v/>
      </c>
      <c r="J140" s="73"/>
      <c r="K140" s="73"/>
      <c r="L140" s="73"/>
      <c r="M140" s="66"/>
      <c r="O140" s="41"/>
      <c r="P140" s="41"/>
      <c r="Q140" s="41"/>
      <c r="R140" s="41"/>
      <c r="S140" s="346"/>
      <c r="T140" s="346"/>
      <c r="U140" s="346"/>
      <c r="V140" s="346"/>
      <c r="W140" s="346"/>
      <c r="X140" s="346"/>
      <c r="Y140" s="346"/>
      <c r="Z140" s="346"/>
      <c r="AA140" s="346"/>
      <c r="AB140" s="346"/>
      <c r="AC140" s="346"/>
      <c r="AD140" s="346"/>
      <c r="AE140" s="346"/>
      <c r="AF140" s="346"/>
      <c r="AI140" s="116"/>
    </row>
    <row r="141" spans="1:35" s="57" customFormat="1" x14ac:dyDescent="0.3">
      <c r="A141" s="391" t="s">
        <v>333</v>
      </c>
      <c r="B141" s="391"/>
      <c r="C141" s="391"/>
      <c r="D141" s="391"/>
      <c r="E141" s="391"/>
      <c r="F141" s="391"/>
      <c r="G141" s="391"/>
      <c r="H141" s="391"/>
      <c r="I141" s="391"/>
      <c r="J141" s="391"/>
      <c r="K141" s="391"/>
      <c r="L141" s="391"/>
      <c r="N141" s="41"/>
      <c r="O141" s="41"/>
      <c r="P141" s="41"/>
      <c r="Q141" s="41"/>
      <c r="R141" s="41"/>
      <c r="S141" s="867"/>
      <c r="T141" s="867"/>
      <c r="U141" s="867"/>
      <c r="V141" s="867"/>
      <c r="W141" s="867"/>
      <c r="X141" s="867"/>
      <c r="Y141" s="867"/>
      <c r="Z141" s="867"/>
    </row>
    <row r="142" spans="1:35" s="57" customFormat="1" ht="14.5" thickBot="1" x14ac:dyDescent="0.3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N142" s="41"/>
      <c r="O142" s="41"/>
      <c r="P142" s="41"/>
      <c r="Q142" s="41"/>
      <c r="R142" s="41"/>
      <c r="S142" s="41"/>
    </row>
    <row r="143" spans="1:35" s="57" customFormat="1" ht="30" customHeight="1" thickTop="1" thickBot="1" x14ac:dyDescent="0.35">
      <c r="A143" s="1264" t="s">
        <v>151</v>
      </c>
      <c r="B143" s="399"/>
      <c r="C143" s="1264" t="s">
        <v>164</v>
      </c>
      <c r="D143" s="875"/>
      <c r="E143" s="875" t="s">
        <v>165</v>
      </c>
      <c r="F143" s="875"/>
      <c r="G143" s="875" t="s">
        <v>334</v>
      </c>
      <c r="H143" s="875"/>
      <c r="I143" s="875" t="s">
        <v>141</v>
      </c>
      <c r="J143" s="399"/>
      <c r="K143" s="1264" t="s">
        <v>11</v>
      </c>
      <c r="L143" s="1286"/>
      <c r="N143" s="41"/>
      <c r="O143" s="41"/>
      <c r="P143" s="41"/>
      <c r="Q143" s="41"/>
      <c r="R143" s="41"/>
      <c r="S143" s="41"/>
    </row>
    <row r="144" spans="1:35" s="57" customFormat="1" ht="14.5" thickTop="1" x14ac:dyDescent="0.3">
      <c r="A144" s="1199" t="s">
        <v>56</v>
      </c>
      <c r="B144" s="1200"/>
      <c r="C144" s="1201">
        <v>0</v>
      </c>
      <c r="D144" s="1202"/>
      <c r="E144" s="1202">
        <v>0</v>
      </c>
      <c r="F144" s="1202"/>
      <c r="G144" s="1202">
        <v>0</v>
      </c>
      <c r="H144" s="1202"/>
      <c r="I144" s="1202">
        <v>0</v>
      </c>
      <c r="J144" s="1121"/>
      <c r="K144" s="1203">
        <f t="shared" ref="K144:K149" si="3">SUM(C144:J144)</f>
        <v>0</v>
      </c>
      <c r="L144" s="1204"/>
      <c r="N144" s="41"/>
      <c r="O144" s="41"/>
      <c r="P144" s="41"/>
      <c r="Q144" s="41"/>
      <c r="R144" s="41"/>
      <c r="S144" s="41"/>
    </row>
    <row r="145" spans="1:30" s="57" customFormat="1" x14ac:dyDescent="0.3">
      <c r="A145" s="1194" t="s">
        <v>57</v>
      </c>
      <c r="B145" s="1195"/>
      <c r="C145" s="1196">
        <v>0</v>
      </c>
      <c r="D145" s="896"/>
      <c r="E145" s="896">
        <v>0</v>
      </c>
      <c r="F145" s="896"/>
      <c r="G145" s="896">
        <v>0</v>
      </c>
      <c r="H145" s="896"/>
      <c r="I145" s="896">
        <v>0</v>
      </c>
      <c r="J145" s="359"/>
      <c r="K145" s="914">
        <f t="shared" si="3"/>
        <v>0</v>
      </c>
      <c r="L145" s="916"/>
      <c r="N145" s="41"/>
      <c r="O145" s="41"/>
      <c r="P145" s="41"/>
      <c r="Q145" s="41"/>
      <c r="R145" s="41"/>
      <c r="S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</row>
    <row r="146" spans="1:30" s="57" customFormat="1" x14ac:dyDescent="0.3">
      <c r="A146" s="1194" t="s">
        <v>58</v>
      </c>
      <c r="B146" s="1195"/>
      <c r="C146" s="1196">
        <v>0</v>
      </c>
      <c r="D146" s="896"/>
      <c r="E146" s="896">
        <v>0</v>
      </c>
      <c r="F146" s="896"/>
      <c r="G146" s="896">
        <v>0</v>
      </c>
      <c r="H146" s="896"/>
      <c r="I146" s="896">
        <v>0</v>
      </c>
      <c r="J146" s="359"/>
      <c r="K146" s="914">
        <f t="shared" si="3"/>
        <v>0</v>
      </c>
      <c r="L146" s="916"/>
      <c r="N146" s="41"/>
      <c r="O146" s="41"/>
      <c r="P146" s="41"/>
      <c r="Q146" s="41"/>
      <c r="R146" s="41"/>
      <c r="S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</row>
    <row r="147" spans="1:30" s="57" customFormat="1" x14ac:dyDescent="0.3">
      <c r="A147" s="1197" t="s">
        <v>59</v>
      </c>
      <c r="B147" s="1198"/>
      <c r="C147" s="353">
        <v>0</v>
      </c>
      <c r="D147" s="355"/>
      <c r="E147" s="359">
        <v>0</v>
      </c>
      <c r="F147" s="355"/>
      <c r="G147" s="359">
        <v>0</v>
      </c>
      <c r="H147" s="355"/>
      <c r="I147" s="359">
        <v>0</v>
      </c>
      <c r="J147" s="413"/>
      <c r="K147" s="914">
        <f t="shared" si="3"/>
        <v>0</v>
      </c>
      <c r="L147" s="916"/>
      <c r="N147" s="41"/>
      <c r="O147" s="41"/>
      <c r="P147" s="41"/>
      <c r="Q147" s="41"/>
      <c r="R147" s="41"/>
      <c r="S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</row>
    <row r="148" spans="1:30" ht="27" customHeight="1" x14ac:dyDescent="0.3">
      <c r="A148" s="1194" t="s">
        <v>62</v>
      </c>
      <c r="B148" s="1195"/>
      <c r="C148" s="1196">
        <v>0</v>
      </c>
      <c r="D148" s="896"/>
      <c r="E148" s="896">
        <v>0</v>
      </c>
      <c r="F148" s="896"/>
      <c r="G148" s="896">
        <v>0</v>
      </c>
      <c r="H148" s="896"/>
      <c r="I148" s="896">
        <v>0</v>
      </c>
      <c r="J148" s="359"/>
      <c r="K148" s="914">
        <f t="shared" si="3"/>
        <v>0</v>
      </c>
      <c r="L148" s="916"/>
    </row>
    <row r="149" spans="1:30" ht="27" customHeight="1" thickBot="1" x14ac:dyDescent="0.35">
      <c r="A149" s="1191" t="s">
        <v>63</v>
      </c>
      <c r="B149" s="1192"/>
      <c r="C149" s="1193">
        <v>0</v>
      </c>
      <c r="D149" s="1151"/>
      <c r="E149" s="1151">
        <v>0</v>
      </c>
      <c r="F149" s="1151"/>
      <c r="G149" s="1151">
        <v>0</v>
      </c>
      <c r="H149" s="1151"/>
      <c r="I149" s="1151">
        <v>0</v>
      </c>
      <c r="J149" s="583"/>
      <c r="K149" s="1152">
        <f t="shared" si="3"/>
        <v>0</v>
      </c>
      <c r="L149" s="1154"/>
    </row>
    <row r="150" spans="1:30" ht="15.75" customHeight="1" thickTop="1" thickBot="1" x14ac:dyDescent="0.35">
      <c r="A150" s="911" t="s">
        <v>11</v>
      </c>
      <c r="B150" s="913"/>
      <c r="C150" s="945">
        <f>SUM(C144:D149)</f>
        <v>0</v>
      </c>
      <c r="D150" s="934"/>
      <c r="E150" s="934">
        <f>SUM(E144:F149)</f>
        <v>0</v>
      </c>
      <c r="F150" s="934"/>
      <c r="G150" s="934">
        <f>SUM(G144:H149)</f>
        <v>0</v>
      </c>
      <c r="H150" s="934"/>
      <c r="I150" s="934">
        <f>SUM(I144:J149)</f>
        <v>0</v>
      </c>
      <c r="J150" s="935"/>
      <c r="K150" s="945">
        <f>SUM(K144:L149)</f>
        <v>0</v>
      </c>
      <c r="L150" s="946"/>
    </row>
    <row r="151" spans="1:30" ht="14.5" thickTop="1" x14ac:dyDescent="0.3"/>
    <row r="152" spans="1:30" x14ac:dyDescent="0.3">
      <c r="A152" s="479" t="s">
        <v>335</v>
      </c>
      <c r="B152" s="479"/>
      <c r="C152" s="479"/>
      <c r="D152" s="479"/>
      <c r="E152" s="479"/>
      <c r="F152" s="479"/>
      <c r="G152" s="479"/>
      <c r="H152" s="479"/>
      <c r="I152" s="479"/>
      <c r="J152" s="479"/>
      <c r="K152" s="479"/>
      <c r="L152" s="479"/>
    </row>
    <row r="153" spans="1:30" x14ac:dyDescent="0.3">
      <c r="A153" s="40"/>
    </row>
    <row r="154" spans="1:30" ht="14.25" customHeight="1" x14ac:dyDescent="0.3">
      <c r="A154" s="478" t="s">
        <v>336</v>
      </c>
      <c r="B154" s="478"/>
      <c r="C154" s="478"/>
      <c r="D154" s="478"/>
      <c r="E154" s="478"/>
      <c r="F154" s="478"/>
      <c r="G154" s="478"/>
      <c r="H154" s="478"/>
      <c r="I154" s="478"/>
      <c r="J154" s="478"/>
      <c r="K154" s="478"/>
      <c r="L154" s="478"/>
    </row>
    <row r="155" spans="1:30" ht="13.5" customHeight="1" thickBot="1" x14ac:dyDescent="0.35">
      <c r="A155" s="40"/>
    </row>
    <row r="156" spans="1:30" ht="14.5" thickTop="1" x14ac:dyDescent="0.3">
      <c r="A156" s="1158" t="s">
        <v>337</v>
      </c>
      <c r="B156" s="1159"/>
      <c r="C156" s="1159"/>
      <c r="D156" s="1160"/>
      <c r="E156" s="1164">
        <f>H20-A167</f>
        <v>0</v>
      </c>
      <c r="F156" s="1165"/>
      <c r="G156" s="74"/>
    </row>
    <row r="157" spans="1:30" ht="15" customHeight="1" x14ac:dyDescent="0.3">
      <c r="A157" s="1161"/>
      <c r="B157" s="1162"/>
      <c r="C157" s="1162"/>
      <c r="D157" s="1163"/>
      <c r="E157" s="1166"/>
      <c r="F157" s="1167"/>
      <c r="G157" s="74"/>
      <c r="N157" s="75"/>
    </row>
    <row r="158" spans="1:30" ht="18" customHeight="1" x14ac:dyDescent="0.3">
      <c r="A158" s="1181" t="s">
        <v>169</v>
      </c>
      <c r="B158" s="1182"/>
      <c r="C158" s="1182"/>
      <c r="D158" s="1183"/>
      <c r="E158" s="1187" t="str">
        <f>IF(H20=0,"0",(E156/H20)*100)</f>
        <v>0</v>
      </c>
      <c r="F158" s="1188"/>
      <c r="G158" s="76"/>
      <c r="N158" s="75"/>
    </row>
    <row r="159" spans="1:30" ht="12.75" customHeight="1" thickBot="1" x14ac:dyDescent="0.35">
      <c r="A159" s="1184"/>
      <c r="B159" s="1185"/>
      <c r="C159" s="1185"/>
      <c r="D159" s="1186"/>
      <c r="E159" s="1189"/>
      <c r="F159" s="1190"/>
      <c r="G159" s="76"/>
      <c r="N159" s="75"/>
    </row>
    <row r="160" spans="1:30" ht="15.75" customHeight="1" thickTop="1" x14ac:dyDescent="0.3">
      <c r="A160" s="40"/>
      <c r="E160" s="77"/>
      <c r="F160" s="77"/>
      <c r="G160" s="77"/>
      <c r="N160" s="75"/>
    </row>
    <row r="161" spans="1:30" x14ac:dyDescent="0.3">
      <c r="A161" s="1298" t="s">
        <v>338</v>
      </c>
      <c r="B161" s="1298"/>
      <c r="C161" s="1298"/>
      <c r="D161" s="1298"/>
      <c r="E161" s="1298"/>
      <c r="F161" s="1298"/>
      <c r="G161" s="1298"/>
      <c r="H161" s="1298"/>
      <c r="I161" s="1298"/>
      <c r="J161" s="1298"/>
      <c r="K161" s="1298"/>
      <c r="L161" s="1298"/>
      <c r="M161" s="79"/>
      <c r="N161" s="75"/>
    </row>
    <row r="162" spans="1:30" x14ac:dyDescent="0.3">
      <c r="A162" s="78"/>
      <c r="B162" s="63"/>
      <c r="C162" s="63"/>
      <c r="D162" s="63"/>
      <c r="E162" s="63"/>
      <c r="F162" s="64"/>
      <c r="G162" s="64"/>
      <c r="H162" s="64"/>
      <c r="I162" s="63"/>
      <c r="J162" s="63"/>
      <c r="K162" s="63"/>
      <c r="L162" s="63"/>
      <c r="M162" s="79"/>
      <c r="N162" s="75"/>
    </row>
    <row r="163" spans="1:30" x14ac:dyDescent="0.3">
      <c r="A163" s="1299" t="s">
        <v>339</v>
      </c>
      <c r="B163" s="1299"/>
      <c r="C163" s="1299"/>
      <c r="D163" s="1299"/>
      <c r="E163" s="1299"/>
      <c r="F163" s="1299"/>
      <c r="G163" s="1299"/>
      <c r="H163" s="1299"/>
      <c r="I163" s="1299"/>
      <c r="J163" s="1299"/>
      <c r="K163" s="1299"/>
      <c r="L163" s="1299"/>
      <c r="M163" s="75"/>
      <c r="N163" s="41"/>
    </row>
    <row r="164" spans="1:30" ht="14.25" customHeight="1" thickBot="1" x14ac:dyDescent="0.35">
      <c r="M164" s="75"/>
      <c r="N164" s="41"/>
    </row>
    <row r="165" spans="1:30" ht="14.25" customHeight="1" thickTop="1" x14ac:dyDescent="0.3">
      <c r="A165" s="1168" t="s">
        <v>340</v>
      </c>
      <c r="B165" s="1169"/>
      <c r="C165" s="1169"/>
      <c r="D165" s="1170"/>
      <c r="E165" s="1174" t="s">
        <v>173</v>
      </c>
      <c r="F165" s="1175"/>
      <c r="G165" s="1175"/>
      <c r="H165" s="1175"/>
      <c r="I165" s="1175"/>
      <c r="J165" s="1175"/>
      <c r="K165" s="1175"/>
      <c r="L165" s="1176"/>
      <c r="M165" s="66"/>
      <c r="N165" s="75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 spans="1:30" ht="38.25" customHeight="1" thickBot="1" x14ac:dyDescent="0.35">
      <c r="A166" s="1171"/>
      <c r="B166" s="1172"/>
      <c r="C166" s="1172"/>
      <c r="D166" s="1173"/>
      <c r="E166" s="1177" t="s">
        <v>341</v>
      </c>
      <c r="F166" s="1178"/>
      <c r="G166" s="1179" t="s">
        <v>175</v>
      </c>
      <c r="H166" s="1178"/>
      <c r="I166" s="1179" t="s">
        <v>176</v>
      </c>
      <c r="J166" s="1178"/>
      <c r="K166" s="1179" t="s">
        <v>141</v>
      </c>
      <c r="L166" s="1180"/>
      <c r="N166" s="75"/>
    </row>
    <row r="167" spans="1:30" ht="13.5" customHeight="1" thickTop="1" thickBot="1" x14ac:dyDescent="0.35">
      <c r="A167" s="502">
        <f>SUM(E167:L167)</f>
        <v>0</v>
      </c>
      <c r="B167" s="503"/>
      <c r="C167" s="503"/>
      <c r="D167" s="504"/>
      <c r="E167" s="548">
        <v>0</v>
      </c>
      <c r="F167" s="880"/>
      <c r="G167" s="881">
        <v>0</v>
      </c>
      <c r="H167" s="880"/>
      <c r="I167" s="881">
        <v>0</v>
      </c>
      <c r="J167" s="880"/>
      <c r="K167" s="881">
        <v>0</v>
      </c>
      <c r="L167" s="550"/>
      <c r="N167" s="75"/>
    </row>
    <row r="168" spans="1:30" s="58" customFormat="1" ht="14.5" thickTop="1" x14ac:dyDescent="0.3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80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</row>
    <row r="169" spans="1:30" ht="15.75" customHeight="1" x14ac:dyDescent="0.3">
      <c r="A169" s="478" t="s">
        <v>342</v>
      </c>
      <c r="B169" s="478"/>
      <c r="C169" s="478"/>
      <c r="D169" s="478"/>
      <c r="E169" s="478"/>
      <c r="F169" s="478"/>
      <c r="G169" s="478"/>
      <c r="H169" s="478"/>
      <c r="I169" s="478"/>
      <c r="J169" s="478"/>
      <c r="K169" s="478"/>
      <c r="L169" s="478"/>
      <c r="M169" s="75"/>
      <c r="N169" s="41"/>
    </row>
    <row r="170" spans="1:30" ht="16.5" customHeight="1" thickBot="1" x14ac:dyDescent="0.35">
      <c r="M170" s="75"/>
      <c r="N170" s="41"/>
    </row>
    <row r="171" spans="1:30" ht="41.25" customHeight="1" thickTop="1" thickBot="1" x14ac:dyDescent="0.35">
      <c r="A171" s="545" t="s">
        <v>178</v>
      </c>
      <c r="B171" s="546"/>
      <c r="C171" s="547"/>
      <c r="D171" s="545" t="s">
        <v>179</v>
      </c>
      <c r="E171" s="546"/>
      <c r="F171" s="836"/>
      <c r="G171" s="399" t="s">
        <v>343</v>
      </c>
      <c r="H171" s="546"/>
      <c r="I171" s="547"/>
      <c r="J171" s="545" t="s">
        <v>11</v>
      </c>
      <c r="K171" s="546"/>
      <c r="L171" s="547"/>
      <c r="M171" s="75"/>
      <c r="N171" s="41"/>
    </row>
    <row r="172" spans="1:30" ht="14.25" customHeight="1" thickTop="1" x14ac:dyDescent="0.3">
      <c r="A172" s="882" t="s">
        <v>181</v>
      </c>
      <c r="B172" s="883"/>
      <c r="C172" s="884"/>
      <c r="D172" s="885">
        <v>0</v>
      </c>
      <c r="E172" s="885"/>
      <c r="F172" s="886"/>
      <c r="G172" s="378">
        <v>0</v>
      </c>
      <c r="H172" s="567"/>
      <c r="I172" s="568"/>
      <c r="J172" s="522">
        <f t="shared" ref="J172:J178" si="4">SUM(D172:I172)</f>
        <v>0</v>
      </c>
      <c r="K172" s="585"/>
      <c r="L172" s="523"/>
      <c r="M172" s="75"/>
      <c r="N172" s="41"/>
    </row>
    <row r="173" spans="1:30" ht="15.75" customHeight="1" x14ac:dyDescent="0.3">
      <c r="A173" s="919" t="s">
        <v>182</v>
      </c>
      <c r="B173" s="920"/>
      <c r="C173" s="921"/>
      <c r="D173" s="354">
        <v>0</v>
      </c>
      <c r="E173" s="354"/>
      <c r="F173" s="355"/>
      <c r="G173" s="359">
        <v>0</v>
      </c>
      <c r="H173" s="354"/>
      <c r="I173" s="413"/>
      <c r="J173" s="360">
        <f t="shared" si="4"/>
        <v>0</v>
      </c>
      <c r="K173" s="412"/>
      <c r="L173" s="361"/>
      <c r="M173" s="75"/>
      <c r="N173" s="41"/>
    </row>
    <row r="174" spans="1:30" ht="15.75" customHeight="1" x14ac:dyDescent="0.3">
      <c r="A174" s="919" t="s">
        <v>183</v>
      </c>
      <c r="B174" s="920"/>
      <c r="C174" s="921"/>
      <c r="D174" s="354">
        <v>0</v>
      </c>
      <c r="E174" s="354"/>
      <c r="F174" s="355"/>
      <c r="G174" s="359">
        <v>0</v>
      </c>
      <c r="H174" s="354"/>
      <c r="I174" s="413"/>
      <c r="J174" s="360">
        <f t="shared" si="4"/>
        <v>0</v>
      </c>
      <c r="K174" s="412"/>
      <c r="L174" s="361"/>
      <c r="M174" s="57"/>
      <c r="N174" s="41"/>
    </row>
    <row r="175" spans="1:30" ht="18" customHeight="1" x14ac:dyDescent="0.3">
      <c r="A175" s="877" t="s">
        <v>184</v>
      </c>
      <c r="B175" s="878"/>
      <c r="C175" s="879"/>
      <c r="D175" s="354">
        <v>0</v>
      </c>
      <c r="E175" s="354"/>
      <c r="F175" s="355"/>
      <c r="G175" s="896">
        <v>0</v>
      </c>
      <c r="H175" s="896"/>
      <c r="I175" s="359"/>
      <c r="J175" s="914">
        <f t="shared" si="4"/>
        <v>0</v>
      </c>
      <c r="K175" s="915"/>
      <c r="L175" s="916"/>
      <c r="M175" s="57"/>
      <c r="N175" s="41"/>
    </row>
    <row r="176" spans="1:30" ht="18.75" customHeight="1" x14ac:dyDescent="0.3">
      <c r="A176" s="877" t="s">
        <v>185</v>
      </c>
      <c r="B176" s="878"/>
      <c r="C176" s="879"/>
      <c r="D176" s="354">
        <v>0</v>
      </c>
      <c r="E176" s="354"/>
      <c r="F176" s="355"/>
      <c r="G176" s="896">
        <v>0</v>
      </c>
      <c r="H176" s="896"/>
      <c r="I176" s="359"/>
      <c r="J176" s="914">
        <f t="shared" si="4"/>
        <v>0</v>
      </c>
      <c r="K176" s="915"/>
      <c r="L176" s="916"/>
      <c r="M176" s="57"/>
      <c r="N176" s="41"/>
    </row>
    <row r="177" spans="1:30" ht="18.75" customHeight="1" x14ac:dyDescent="0.3">
      <c r="A177" s="877" t="s">
        <v>186</v>
      </c>
      <c r="B177" s="878"/>
      <c r="C177" s="879"/>
      <c r="D177" s="354">
        <v>0</v>
      </c>
      <c r="E177" s="354"/>
      <c r="F177" s="355"/>
      <c r="G177" s="896">
        <v>0</v>
      </c>
      <c r="H177" s="896"/>
      <c r="I177" s="359"/>
      <c r="J177" s="914">
        <f t="shared" si="4"/>
        <v>0</v>
      </c>
      <c r="K177" s="915"/>
      <c r="L177" s="916"/>
      <c r="M177" s="57"/>
      <c r="N177" s="41"/>
    </row>
    <row r="178" spans="1:30" ht="18.75" customHeight="1" thickBot="1" x14ac:dyDescent="0.35">
      <c r="A178" s="939" t="s">
        <v>187</v>
      </c>
      <c r="B178" s="940"/>
      <c r="C178" s="1263"/>
      <c r="D178" s="557">
        <v>0</v>
      </c>
      <c r="E178" s="557"/>
      <c r="F178" s="558"/>
      <c r="G178" s="1151">
        <v>0</v>
      </c>
      <c r="H178" s="1151"/>
      <c r="I178" s="583"/>
      <c r="J178" s="1152">
        <f t="shared" si="4"/>
        <v>0</v>
      </c>
      <c r="K178" s="1153"/>
      <c r="L178" s="1154"/>
      <c r="M178" s="57"/>
      <c r="N178" s="41"/>
    </row>
    <row r="179" spans="1:30" ht="18.75" customHeight="1" thickTop="1" thickBot="1" x14ac:dyDescent="0.35">
      <c r="A179" s="911" t="s">
        <v>11</v>
      </c>
      <c r="B179" s="912"/>
      <c r="C179" s="913"/>
      <c r="D179" s="1155">
        <f>SUM(D172:F178)</f>
        <v>0</v>
      </c>
      <c r="E179" s="1156"/>
      <c r="F179" s="1157"/>
      <c r="G179" s="934">
        <f>SUM(G172:I178)</f>
        <v>0</v>
      </c>
      <c r="H179" s="934"/>
      <c r="I179" s="935"/>
      <c r="J179" s="945">
        <f>SUM(J172:L178)</f>
        <v>0</v>
      </c>
      <c r="K179" s="934"/>
      <c r="L179" s="946"/>
      <c r="M179" s="347" t="str">
        <f>IF(J179&lt;&gt;A167,"Section 3.7.2 - Total should equal ""Number of requests closed past the legislated timelines"" of Section 3.7.1","")</f>
        <v/>
      </c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30" ht="18.75" customHeight="1" thickTop="1" x14ac:dyDescent="0.3">
      <c r="A180" s="72"/>
      <c r="B180" s="72"/>
      <c r="C180" s="72"/>
      <c r="D180" s="66"/>
      <c r="E180" s="66"/>
      <c r="F180" s="66"/>
      <c r="G180" s="66"/>
      <c r="H180" s="66"/>
      <c r="I180" s="66"/>
      <c r="J180" s="66"/>
      <c r="K180" s="66"/>
      <c r="L180" s="66"/>
      <c r="M180" s="57"/>
      <c r="N180" s="41"/>
    </row>
    <row r="181" spans="1:30" s="57" customFormat="1" x14ac:dyDescent="0.3">
      <c r="A181" s="82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41"/>
      <c r="O181" s="41"/>
      <c r="P181" s="41"/>
      <c r="Q181" s="41"/>
      <c r="R181" s="41"/>
      <c r="S181" s="41"/>
      <c r="T181" s="41"/>
    </row>
    <row r="182" spans="1:30" s="57" customFormat="1" x14ac:dyDescent="0.3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N182" s="41"/>
      <c r="O182" s="41"/>
      <c r="P182" s="41"/>
      <c r="Q182" s="41"/>
      <c r="R182" s="41"/>
      <c r="S182" s="41"/>
    </row>
    <row r="183" spans="1:30" s="57" customFormat="1" ht="18" customHeight="1" x14ac:dyDescent="0.35">
      <c r="A183" s="1262" t="s">
        <v>344</v>
      </c>
      <c r="B183" s="1262"/>
      <c r="C183" s="1262"/>
      <c r="D183" s="1262"/>
      <c r="E183" s="1262"/>
      <c r="F183" s="1262"/>
      <c r="G183" s="1262"/>
      <c r="H183" s="1262"/>
      <c r="I183" s="1262"/>
      <c r="J183" s="1262"/>
      <c r="K183" s="1262"/>
      <c r="L183" s="1262"/>
      <c r="M183" s="1262"/>
      <c r="N183" s="1262"/>
      <c r="O183" s="1262"/>
      <c r="P183" s="1262"/>
      <c r="Q183" s="1262"/>
      <c r="R183" s="1262"/>
      <c r="S183" s="1262"/>
    </row>
    <row r="184" spans="1:30" s="57" customFormat="1" ht="14.5" thickBot="1" x14ac:dyDescent="0.3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O184" s="41"/>
      <c r="P184" s="41"/>
      <c r="Q184" s="41"/>
      <c r="R184" s="41"/>
      <c r="S184" s="41"/>
      <c r="T184" s="41"/>
    </row>
    <row r="185" spans="1:30" s="57" customFormat="1" ht="16.5" thickTop="1" thickBot="1" x14ac:dyDescent="0.4">
      <c r="A185" s="545" t="s">
        <v>345</v>
      </c>
      <c r="B185" s="546"/>
      <c r="C185" s="836"/>
      <c r="D185" s="399" t="s">
        <v>346</v>
      </c>
      <c r="E185" s="546"/>
      <c r="F185" s="546"/>
      <c r="G185" s="399" t="s">
        <v>347</v>
      </c>
      <c r="H185" s="546"/>
      <c r="I185" s="547"/>
      <c r="J185" s="545" t="s">
        <v>11</v>
      </c>
      <c r="K185" s="546"/>
      <c r="L185" s="547"/>
      <c r="M185" s="81"/>
      <c r="O185" s="41"/>
      <c r="P185" s="41"/>
      <c r="Q185" s="41"/>
      <c r="R185" s="41"/>
      <c r="S185" s="41"/>
      <c r="T185" s="41"/>
    </row>
    <row r="186" spans="1:30" s="57" customFormat="1" ht="18.75" customHeight="1" thickTop="1" thickBot="1" x14ac:dyDescent="0.35">
      <c r="A186" s="548">
        <v>0</v>
      </c>
      <c r="B186" s="549"/>
      <c r="C186" s="880"/>
      <c r="D186" s="881">
        <v>0</v>
      </c>
      <c r="E186" s="549"/>
      <c r="F186" s="549"/>
      <c r="G186" s="881">
        <v>0</v>
      </c>
      <c r="H186" s="549"/>
      <c r="I186" s="550"/>
      <c r="J186" s="370">
        <f>SUM(A186:I186)</f>
        <v>0</v>
      </c>
      <c r="K186" s="408"/>
      <c r="L186" s="371"/>
      <c r="M186" s="41"/>
      <c r="O186" s="41"/>
      <c r="P186" s="41"/>
      <c r="Q186" s="41"/>
      <c r="R186" s="41"/>
      <c r="S186" s="41"/>
      <c r="T186" s="41"/>
    </row>
    <row r="187" spans="1:30" s="57" customFormat="1" ht="14.5" thickTop="1" x14ac:dyDescent="0.3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O187" s="41"/>
      <c r="P187" s="41"/>
      <c r="Q187" s="41"/>
      <c r="R187" s="41"/>
      <c r="S187" s="41"/>
      <c r="T187" s="41"/>
    </row>
    <row r="188" spans="1:30" s="57" customFormat="1" ht="15.5" x14ac:dyDescent="0.35">
      <c r="A188" s="1262" t="s">
        <v>348</v>
      </c>
      <c r="B188" s="1262"/>
      <c r="C188" s="1262"/>
      <c r="D188" s="1262"/>
      <c r="E188" s="1262"/>
      <c r="F188" s="1262"/>
      <c r="G188" s="1262"/>
      <c r="H188" s="1262"/>
      <c r="I188" s="1262"/>
      <c r="J188" s="1262"/>
      <c r="K188" s="1262"/>
      <c r="L188" s="1262"/>
      <c r="M188" s="1262"/>
      <c r="N188" s="1262"/>
      <c r="O188" s="1262"/>
      <c r="P188" s="1262"/>
      <c r="Q188" s="1262"/>
      <c r="R188" s="1262"/>
      <c r="S188" s="1262"/>
      <c r="T188" s="41"/>
    </row>
    <row r="189" spans="1:30" s="57" customFormat="1" ht="14.5" thickBot="1" x14ac:dyDescent="0.3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</row>
    <row r="190" spans="1:30" s="57" customFormat="1" ht="15" thickTop="1" thickBot="1" x14ac:dyDescent="0.35">
      <c r="A190" s="206" t="s">
        <v>349</v>
      </c>
      <c r="B190" s="223"/>
      <c r="C190" s="223"/>
      <c r="D190" s="223"/>
      <c r="E190" s="223"/>
      <c r="F190" s="223"/>
      <c r="G190" s="223"/>
      <c r="H190" s="224"/>
      <c r="I190" s="459" t="s">
        <v>350</v>
      </c>
      <c r="J190" s="460"/>
      <c r="K190" s="41"/>
      <c r="L190" s="41"/>
      <c r="M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</row>
    <row r="191" spans="1:30" s="57" customFormat="1" ht="12.75" customHeight="1" thickTop="1" x14ac:dyDescent="0.3">
      <c r="A191" s="180" t="s">
        <v>351</v>
      </c>
      <c r="B191" s="83"/>
      <c r="C191" s="83"/>
      <c r="D191" s="83"/>
      <c r="E191" s="83"/>
      <c r="F191" s="83"/>
      <c r="G191" s="83"/>
      <c r="H191" s="147"/>
      <c r="I191" s="1111">
        <v>0</v>
      </c>
      <c r="J191" s="1112"/>
      <c r="K191" s="41"/>
      <c r="L191" s="41"/>
      <c r="M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</row>
    <row r="192" spans="1:30" ht="16" thickBot="1" x14ac:dyDescent="0.4">
      <c r="A192" s="181" t="s">
        <v>352</v>
      </c>
      <c r="B192" s="84"/>
      <c r="C192" s="84"/>
      <c r="D192" s="84"/>
      <c r="E192" s="84"/>
      <c r="F192" s="84"/>
      <c r="G192" s="84"/>
      <c r="H192" s="158"/>
      <c r="I192" s="1113">
        <v>0</v>
      </c>
      <c r="J192" s="1114"/>
      <c r="M192" s="81"/>
    </row>
    <row r="193" spans="1:20" ht="16.5" thickTop="1" thickBot="1" x14ac:dyDescent="0.4">
      <c r="A193" s="182" t="s">
        <v>11</v>
      </c>
      <c r="B193" s="144"/>
      <c r="C193" s="144"/>
      <c r="D193" s="144"/>
      <c r="E193" s="144"/>
      <c r="F193" s="144"/>
      <c r="G193" s="144"/>
      <c r="H193" s="183"/>
      <c r="I193" s="648">
        <f>SUM(I191:J192)</f>
        <v>0</v>
      </c>
      <c r="J193" s="649"/>
      <c r="M193" s="81"/>
    </row>
    <row r="194" spans="1:20" ht="14.5" thickTop="1" x14ac:dyDescent="0.3"/>
    <row r="195" spans="1:20" ht="15.5" x14ac:dyDescent="0.35">
      <c r="A195" s="1262" t="s">
        <v>353</v>
      </c>
      <c r="B195" s="1262"/>
      <c r="C195" s="1262"/>
      <c r="D195" s="1262"/>
      <c r="E195" s="1262"/>
      <c r="F195" s="1262"/>
      <c r="G195" s="1262"/>
      <c r="H195" s="1262"/>
      <c r="I195" s="1262"/>
      <c r="J195" s="1262"/>
      <c r="K195" s="1262"/>
      <c r="L195" s="1262"/>
      <c r="M195" s="1262"/>
      <c r="N195" s="1262"/>
      <c r="O195" s="1262"/>
      <c r="P195" s="1262"/>
      <c r="Q195" s="1262"/>
      <c r="R195" s="1262"/>
      <c r="S195" s="1262"/>
    </row>
    <row r="196" spans="1:20" ht="13.5" customHeight="1" x14ac:dyDescent="0.35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T196" s="85"/>
    </row>
    <row r="197" spans="1:20" x14ac:dyDescent="0.3">
      <c r="A197" s="1115" t="s">
        <v>354</v>
      </c>
      <c r="B197" s="1115"/>
      <c r="C197" s="1115"/>
      <c r="D197" s="1115"/>
      <c r="E197" s="1115"/>
      <c r="F197" s="1115"/>
      <c r="G197" s="1115"/>
      <c r="H197" s="1115"/>
      <c r="I197" s="1115"/>
      <c r="J197" s="1115"/>
      <c r="K197" s="1115"/>
      <c r="L197" s="1115"/>
      <c r="M197" s="1115"/>
      <c r="N197" s="1115"/>
      <c r="O197" s="1115"/>
      <c r="P197" s="1115"/>
      <c r="Q197" s="1115"/>
      <c r="R197" s="1115"/>
      <c r="S197" s="1115"/>
    </row>
    <row r="198" spans="1:20" ht="15" customHeight="1" thickBot="1" x14ac:dyDescent="0.35"/>
    <row r="199" spans="1:20" ht="15.75" customHeight="1" thickTop="1" x14ac:dyDescent="0.35">
      <c r="A199" s="73"/>
      <c r="B199" s="73"/>
      <c r="C199" s="73"/>
      <c r="D199" s="73"/>
      <c r="E199" s="1144" t="s">
        <v>355</v>
      </c>
      <c r="F199" s="1125"/>
      <c r="G199" s="1125"/>
      <c r="H199" s="1125"/>
      <c r="I199" s="1125"/>
      <c r="J199" s="1125"/>
      <c r="K199" s="1125"/>
      <c r="L199" s="1126"/>
      <c r="M199" s="1145" t="s">
        <v>356</v>
      </c>
      <c r="N199" s="1125"/>
      <c r="O199" s="1125"/>
      <c r="P199" s="1125"/>
      <c r="Q199" s="1126"/>
      <c r="R199" s="1103" t="s">
        <v>357</v>
      </c>
      <c r="S199" s="1104"/>
    </row>
    <row r="200" spans="1:20" ht="15.75" customHeight="1" thickBot="1" x14ac:dyDescent="0.35">
      <c r="E200" s="1130" t="s">
        <v>358</v>
      </c>
      <c r="F200" s="1131"/>
      <c r="G200" s="1135" t="s">
        <v>359</v>
      </c>
      <c r="H200" s="1131"/>
      <c r="I200" s="1135" t="s">
        <v>360</v>
      </c>
      <c r="J200" s="1131"/>
      <c r="K200" s="1135" t="s">
        <v>361</v>
      </c>
      <c r="L200" s="1131"/>
      <c r="M200" s="1135" t="s">
        <v>362</v>
      </c>
      <c r="N200" s="1131"/>
      <c r="O200" s="1146" t="s">
        <v>363</v>
      </c>
      <c r="P200" s="1146" t="s">
        <v>364</v>
      </c>
      <c r="Q200" s="1131"/>
      <c r="R200" s="1106"/>
      <c r="S200" s="1107"/>
    </row>
    <row r="201" spans="1:20" ht="12.75" customHeight="1" thickTop="1" x14ac:dyDescent="0.3">
      <c r="A201" s="1102" t="s">
        <v>365</v>
      </c>
      <c r="B201" s="1103"/>
      <c r="C201" s="1103"/>
      <c r="D201" s="1103"/>
      <c r="E201" s="1132"/>
      <c r="F201" s="1131"/>
      <c r="G201" s="1131"/>
      <c r="H201" s="1131"/>
      <c r="I201" s="1131"/>
      <c r="J201" s="1131"/>
      <c r="K201" s="1131"/>
      <c r="L201" s="1131"/>
      <c r="M201" s="1131"/>
      <c r="N201" s="1131"/>
      <c r="O201" s="1131"/>
      <c r="P201" s="1131"/>
      <c r="Q201" s="1131"/>
      <c r="R201" s="1106"/>
      <c r="S201" s="1107"/>
    </row>
    <row r="202" spans="1:20" ht="26.25" customHeight="1" thickBot="1" x14ac:dyDescent="0.4">
      <c r="A202" s="1108"/>
      <c r="B202" s="1109"/>
      <c r="C202" s="1109"/>
      <c r="D202" s="1109"/>
      <c r="E202" s="1133"/>
      <c r="F202" s="1134"/>
      <c r="G202" s="1134"/>
      <c r="H202" s="1134"/>
      <c r="I202" s="1134"/>
      <c r="J202" s="1134"/>
      <c r="K202" s="1134"/>
      <c r="L202" s="1134"/>
      <c r="M202" s="1134"/>
      <c r="N202" s="1134"/>
      <c r="O202" s="1134"/>
      <c r="P202" s="1134"/>
      <c r="Q202" s="1134"/>
      <c r="R202" s="1109"/>
      <c r="S202" s="1110"/>
      <c r="T202" s="73"/>
    </row>
    <row r="203" spans="1:20" ht="15.5" thickTop="1" thickBot="1" x14ac:dyDescent="0.4">
      <c r="A203" s="1140">
        <f>SUM(E203:S203)</f>
        <v>0</v>
      </c>
      <c r="B203" s="1141"/>
      <c r="C203" s="1141"/>
      <c r="D203" s="402"/>
      <c r="E203" s="1142">
        <v>0</v>
      </c>
      <c r="F203" s="1143"/>
      <c r="G203" s="825">
        <v>0</v>
      </c>
      <c r="H203" s="1143"/>
      <c r="I203" s="825">
        <v>0</v>
      </c>
      <c r="J203" s="1143"/>
      <c r="K203" s="825">
        <v>0</v>
      </c>
      <c r="L203" s="1143"/>
      <c r="M203" s="1147">
        <v>0</v>
      </c>
      <c r="N203" s="1148"/>
      <c r="O203" s="225">
        <v>0</v>
      </c>
      <c r="P203" s="825">
        <v>0</v>
      </c>
      <c r="Q203" s="1143"/>
      <c r="R203" s="1149">
        <v>0</v>
      </c>
      <c r="S203" s="1150"/>
      <c r="T203" s="73"/>
    </row>
    <row r="204" spans="1:20" ht="16.5" customHeight="1" thickTop="1" x14ac:dyDescent="0.3">
      <c r="A204" s="72"/>
      <c r="B204" s="72"/>
      <c r="C204" s="72"/>
      <c r="D204" s="72"/>
      <c r="E204" s="58"/>
      <c r="F204" s="58"/>
      <c r="G204" s="58"/>
      <c r="H204" s="58"/>
      <c r="I204" s="58"/>
      <c r="J204" s="58"/>
      <c r="K204" s="58"/>
      <c r="L204" s="58"/>
      <c r="N204" s="41"/>
      <c r="T204" s="85"/>
    </row>
    <row r="205" spans="1:20" x14ac:dyDescent="0.3">
      <c r="A205" s="1115" t="s">
        <v>366</v>
      </c>
      <c r="B205" s="1115"/>
      <c r="C205" s="1115"/>
      <c r="D205" s="1115"/>
      <c r="E205" s="1115"/>
      <c r="F205" s="1115"/>
      <c r="G205" s="1115"/>
      <c r="H205" s="1115"/>
      <c r="I205" s="1115"/>
      <c r="J205" s="1115"/>
      <c r="K205" s="1115"/>
      <c r="L205" s="1115"/>
      <c r="M205" s="1115"/>
      <c r="N205" s="1115"/>
      <c r="O205" s="1115"/>
      <c r="P205" s="1115"/>
      <c r="Q205" s="1115"/>
      <c r="R205" s="1115"/>
      <c r="S205" s="1115"/>
    </row>
    <row r="206" spans="1:20" ht="15" thickBot="1" x14ac:dyDescent="0.4">
      <c r="A206" s="62"/>
      <c r="E206" s="73"/>
      <c r="F206" s="73"/>
      <c r="G206" s="73"/>
      <c r="H206" s="73"/>
      <c r="I206" s="73"/>
      <c r="J206" s="73"/>
      <c r="K206" s="73"/>
      <c r="L206" s="73"/>
      <c r="N206" s="41"/>
    </row>
    <row r="207" spans="1:20" ht="15.5" thickTop="1" thickBot="1" x14ac:dyDescent="0.4">
      <c r="A207" s="73"/>
      <c r="B207" s="73"/>
      <c r="C207" s="73"/>
      <c r="D207" s="73"/>
      <c r="E207" s="1123" t="s">
        <v>355</v>
      </c>
      <c r="F207" s="1124"/>
      <c r="G207" s="1124"/>
      <c r="H207" s="1124"/>
      <c r="I207" s="1125"/>
      <c r="J207" s="1125"/>
      <c r="K207" s="1125"/>
      <c r="L207" s="1126"/>
      <c r="M207" s="1127" t="s">
        <v>356</v>
      </c>
      <c r="N207" s="1128"/>
      <c r="O207" s="1128"/>
      <c r="P207" s="1128"/>
      <c r="Q207" s="1129"/>
      <c r="R207" s="1103" t="s">
        <v>357</v>
      </c>
      <c r="S207" s="1104"/>
    </row>
    <row r="208" spans="1:20" ht="22.5" customHeight="1" thickTop="1" x14ac:dyDescent="0.3">
      <c r="A208" s="1102" t="s">
        <v>196</v>
      </c>
      <c r="B208" s="1103"/>
      <c r="C208" s="1103"/>
      <c r="D208" s="1104"/>
      <c r="E208" s="1130" t="s">
        <v>358</v>
      </c>
      <c r="F208" s="1131"/>
      <c r="G208" s="1135" t="s">
        <v>359</v>
      </c>
      <c r="H208" s="1131"/>
      <c r="I208" s="1135" t="s">
        <v>360</v>
      </c>
      <c r="J208" s="1131"/>
      <c r="K208" s="1135" t="s">
        <v>361</v>
      </c>
      <c r="L208" s="1131"/>
      <c r="M208" s="1137" t="s">
        <v>362</v>
      </c>
      <c r="N208" s="1138"/>
      <c r="O208" s="1139" t="s">
        <v>363</v>
      </c>
      <c r="P208" s="1139" t="s">
        <v>364</v>
      </c>
      <c r="Q208" s="1138"/>
      <c r="R208" s="1106"/>
      <c r="S208" s="1107"/>
    </row>
    <row r="209" spans="1:30" ht="14.25" customHeight="1" x14ac:dyDescent="0.3">
      <c r="A209" s="1105"/>
      <c r="B209" s="1106"/>
      <c r="C209" s="1106"/>
      <c r="D209" s="1107"/>
      <c r="E209" s="1132"/>
      <c r="F209" s="1131"/>
      <c r="G209" s="1131"/>
      <c r="H209" s="1131"/>
      <c r="I209" s="1131"/>
      <c r="J209" s="1131"/>
      <c r="K209" s="1131"/>
      <c r="L209" s="1131"/>
      <c r="M209" s="1131"/>
      <c r="N209" s="1131"/>
      <c r="O209" s="1131"/>
      <c r="P209" s="1131"/>
      <c r="Q209" s="1131"/>
      <c r="R209" s="1106"/>
      <c r="S209" s="1107"/>
    </row>
    <row r="210" spans="1:30" ht="14.5" thickBot="1" x14ac:dyDescent="0.35">
      <c r="A210" s="1108"/>
      <c r="B210" s="1109"/>
      <c r="C210" s="1109"/>
      <c r="D210" s="1110"/>
      <c r="E210" s="1133"/>
      <c r="F210" s="1134"/>
      <c r="G210" s="1134"/>
      <c r="H210" s="1134"/>
      <c r="I210" s="1134"/>
      <c r="J210" s="1134"/>
      <c r="K210" s="1136"/>
      <c r="L210" s="1136"/>
      <c r="M210" s="1134"/>
      <c r="N210" s="1134"/>
      <c r="O210" s="1134"/>
      <c r="P210" s="1134"/>
      <c r="Q210" s="1134"/>
      <c r="R210" s="1109"/>
      <c r="S210" s="1110"/>
    </row>
    <row r="211" spans="1:30" ht="15.75" customHeight="1" thickTop="1" x14ac:dyDescent="0.3">
      <c r="A211" s="1116" t="s">
        <v>181</v>
      </c>
      <c r="B211" s="1117"/>
      <c r="C211" s="1117"/>
      <c r="D211" s="1118"/>
      <c r="E211" s="376">
        <v>0</v>
      </c>
      <c r="F211" s="377"/>
      <c r="G211" s="1119">
        <v>0</v>
      </c>
      <c r="H211" s="1120"/>
      <c r="I211" s="1121">
        <v>0</v>
      </c>
      <c r="J211" s="886"/>
      <c r="K211" s="378">
        <v>0</v>
      </c>
      <c r="L211" s="377"/>
      <c r="M211" s="1121">
        <v>0</v>
      </c>
      <c r="N211" s="886"/>
      <c r="O211" s="13">
        <v>0</v>
      </c>
      <c r="P211" s="1121">
        <v>0</v>
      </c>
      <c r="Q211" s="886"/>
      <c r="R211" s="885">
        <v>0</v>
      </c>
      <c r="S211" s="1122"/>
    </row>
    <row r="212" spans="1:30" x14ac:dyDescent="0.3">
      <c r="A212" s="1293" t="s">
        <v>182</v>
      </c>
      <c r="B212" s="1294"/>
      <c r="C212" s="1294"/>
      <c r="D212" s="1295"/>
      <c r="E212" s="353">
        <v>0</v>
      </c>
      <c r="F212" s="355"/>
      <c r="G212" s="359">
        <v>0</v>
      </c>
      <c r="H212" s="355"/>
      <c r="I212" s="1296">
        <v>0</v>
      </c>
      <c r="J212" s="1297"/>
      <c r="K212" s="1296">
        <v>0</v>
      </c>
      <c r="L212" s="1297"/>
      <c r="M212" s="1296">
        <v>0</v>
      </c>
      <c r="N212" s="1297"/>
      <c r="O212" s="15">
        <v>0</v>
      </c>
      <c r="P212" s="1296">
        <v>0</v>
      </c>
      <c r="Q212" s="1297"/>
      <c r="R212" s="354">
        <v>0</v>
      </c>
      <c r="S212" s="413"/>
      <c r="T212" s="66"/>
      <c r="U212" s="57"/>
      <c r="V212" s="57"/>
      <c r="W212" s="57"/>
    </row>
    <row r="213" spans="1:30" ht="14.5" thickBot="1" x14ac:dyDescent="0.35">
      <c r="A213" s="980" t="s">
        <v>367</v>
      </c>
      <c r="B213" s="981"/>
      <c r="C213" s="981"/>
      <c r="D213" s="982"/>
      <c r="E213" s="1292">
        <v>0</v>
      </c>
      <c r="F213" s="1266"/>
      <c r="G213" s="1265">
        <v>0</v>
      </c>
      <c r="H213" s="1266"/>
      <c r="I213" s="1265">
        <v>0</v>
      </c>
      <c r="J213" s="1266"/>
      <c r="K213" s="1265">
        <v>0</v>
      </c>
      <c r="L213" s="1266"/>
      <c r="M213" s="1265">
        <v>0</v>
      </c>
      <c r="N213" s="1266"/>
      <c r="O213" s="86">
        <v>0</v>
      </c>
      <c r="P213" s="1265">
        <v>0</v>
      </c>
      <c r="Q213" s="1266"/>
      <c r="R213" s="1290">
        <v>0</v>
      </c>
      <c r="S213" s="1291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 spans="1:30" ht="15" thickTop="1" thickBot="1" x14ac:dyDescent="0.35">
      <c r="A214" s="427" t="s">
        <v>11</v>
      </c>
      <c r="B214" s="428"/>
      <c r="C214" s="428"/>
      <c r="D214" s="429"/>
      <c r="E214" s="370">
        <f>SUM(E211:F212)</f>
        <v>0</v>
      </c>
      <c r="F214" s="373"/>
      <c r="G214" s="372">
        <f>SUM(G211:H212)</f>
        <v>0</v>
      </c>
      <c r="H214" s="373"/>
      <c r="I214" s="372">
        <f>SUM(I211:J212)</f>
        <v>0</v>
      </c>
      <c r="J214" s="373"/>
      <c r="K214" s="372">
        <f>SUM(K211:L212)</f>
        <v>0</v>
      </c>
      <c r="L214" s="373"/>
      <c r="M214" s="372">
        <f>SUM(M211:N212)</f>
        <v>0</v>
      </c>
      <c r="N214" s="373"/>
      <c r="O214" s="193">
        <f>SUM(O211:O212)</f>
        <v>0</v>
      </c>
      <c r="P214" s="372">
        <f>SUM(P211:Q212)</f>
        <v>0</v>
      </c>
      <c r="Q214" s="373"/>
      <c r="R214" s="408">
        <f>SUM(R211:S213)</f>
        <v>0</v>
      </c>
      <c r="S214" s="371"/>
      <c r="T214" s="850" t="str">
        <f>IF(A203&lt;&gt;SUM(E214,G214,I214,K214,M214,O214,P214,R214),"Section 6.2 - The sum of the totals should be equal to the ""Number of extensions taken"" of Section 6.1","")</f>
        <v/>
      </c>
      <c r="U214" s="850"/>
      <c r="V214" s="850"/>
      <c r="W214" s="850"/>
      <c r="X214" s="850"/>
      <c r="Y214" s="850"/>
      <c r="Z214" s="850"/>
      <c r="AA214" s="57"/>
      <c r="AB214" s="57"/>
      <c r="AC214" s="57"/>
      <c r="AD214" s="57"/>
    </row>
    <row r="215" spans="1:30" s="57" customFormat="1" ht="14.5" thickTop="1" x14ac:dyDescent="0.3">
      <c r="A215" s="72"/>
      <c r="B215" s="72"/>
      <c r="C215" s="72"/>
      <c r="D215" s="72"/>
      <c r="E215" s="66"/>
      <c r="F215" s="66"/>
      <c r="G215" s="66"/>
      <c r="H215" s="66"/>
      <c r="I215" s="66"/>
      <c r="J215" s="66"/>
      <c r="K215" s="66"/>
      <c r="L215" s="66"/>
      <c r="M215" s="87"/>
      <c r="O215" s="41"/>
      <c r="P215" s="41"/>
      <c r="Q215" s="41"/>
      <c r="R215" s="41"/>
      <c r="S215" s="90">
        <f>SUM(E214:S214)</f>
        <v>0</v>
      </c>
      <c r="T215" s="850"/>
      <c r="U215" s="850"/>
      <c r="V215" s="850"/>
      <c r="W215" s="850"/>
      <c r="X215" s="850"/>
      <c r="Y215" s="850"/>
      <c r="Z215" s="850"/>
    </row>
    <row r="216" spans="1:30" s="57" customFormat="1" ht="15.5" x14ac:dyDescent="0.35">
      <c r="A216" s="1262" t="s">
        <v>209</v>
      </c>
      <c r="B216" s="1262"/>
      <c r="C216" s="1262"/>
      <c r="D216" s="1262"/>
      <c r="E216" s="1262"/>
      <c r="F216" s="1262"/>
      <c r="G216" s="1262"/>
      <c r="H216" s="1262"/>
      <c r="I216" s="1262"/>
      <c r="J216" s="1262"/>
      <c r="K216" s="1262"/>
      <c r="L216" s="1262"/>
      <c r="M216" s="1262"/>
      <c r="N216" s="1262"/>
      <c r="O216" s="1262"/>
      <c r="P216" s="1262"/>
      <c r="Q216" s="1262"/>
      <c r="R216" s="1262"/>
      <c r="S216" s="1262"/>
      <c r="T216" s="41"/>
    </row>
    <row r="217" spans="1:30" s="57" customFormat="1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N217" s="41"/>
      <c r="O217" s="41"/>
      <c r="P217" s="41"/>
      <c r="Q217" s="41"/>
      <c r="R217" s="41"/>
      <c r="S217" s="41"/>
    </row>
    <row r="218" spans="1:30" s="57" customFormat="1" x14ac:dyDescent="0.2">
      <c r="A218" s="1092" t="s">
        <v>368</v>
      </c>
      <c r="B218" s="1092"/>
      <c r="C218" s="1092"/>
      <c r="D218" s="1092"/>
      <c r="E218" s="1092"/>
      <c r="F218" s="1092"/>
      <c r="G218" s="1092"/>
      <c r="H218" s="1092"/>
      <c r="I218" s="1092"/>
      <c r="J218" s="1092"/>
      <c r="K218" s="1092"/>
      <c r="L218" s="1092"/>
      <c r="M218" s="1092"/>
      <c r="N218" s="1092"/>
      <c r="O218" s="1092"/>
      <c r="P218" s="1092"/>
      <c r="Q218" s="1092"/>
      <c r="R218" s="1092"/>
      <c r="S218" s="1092"/>
    </row>
    <row r="219" spans="1:30" s="57" customFormat="1" ht="14.5" thickBot="1" x14ac:dyDescent="0.3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N219" s="41"/>
      <c r="O219" s="41"/>
      <c r="P219" s="41"/>
      <c r="Q219" s="41"/>
      <c r="R219" s="41"/>
      <c r="S219" s="41"/>
    </row>
    <row r="220" spans="1:30" s="57" customFormat="1" ht="39" customHeight="1" thickTop="1" thickBot="1" x14ac:dyDescent="0.35">
      <c r="A220" s="1099" t="s">
        <v>211</v>
      </c>
      <c r="B220" s="1100"/>
      <c r="C220" s="1100"/>
      <c r="D220" s="527"/>
      <c r="E220" s="1099" t="s">
        <v>212</v>
      </c>
      <c r="F220" s="1100"/>
      <c r="G220" s="1100" t="s">
        <v>213</v>
      </c>
      <c r="H220" s="1101"/>
      <c r="I220" s="1099" t="s">
        <v>214</v>
      </c>
      <c r="J220" s="1100"/>
      <c r="K220" s="1100" t="s">
        <v>213</v>
      </c>
      <c r="L220" s="1101"/>
      <c r="N220" s="41"/>
      <c r="O220" s="41"/>
      <c r="P220" s="41"/>
      <c r="Q220" s="41"/>
      <c r="R220" s="41"/>
      <c r="S220" s="41"/>
    </row>
    <row r="221" spans="1:30" s="57" customFormat="1" ht="15.75" customHeight="1" thickTop="1" x14ac:dyDescent="0.3">
      <c r="A221" s="1086" t="s">
        <v>215</v>
      </c>
      <c r="B221" s="1087"/>
      <c r="C221" s="1087"/>
      <c r="D221" s="1088"/>
      <c r="E221" s="559">
        <v>0</v>
      </c>
      <c r="F221" s="411"/>
      <c r="G221" s="1089">
        <v>0</v>
      </c>
      <c r="H221" s="1090"/>
      <c r="I221" s="1091">
        <v>0</v>
      </c>
      <c r="J221" s="1089"/>
      <c r="K221" s="1089">
        <v>0</v>
      </c>
      <c r="L221" s="1090"/>
      <c r="M221" s="41"/>
      <c r="N221" s="41"/>
      <c r="O221" s="41"/>
      <c r="P221" s="41"/>
      <c r="Q221" s="41"/>
      <c r="R221" s="41"/>
      <c r="S221" s="41"/>
    </row>
    <row r="222" spans="1:30" s="57" customFormat="1" ht="27" customHeight="1" thickBot="1" x14ac:dyDescent="0.35">
      <c r="A222" s="1093" t="s">
        <v>216</v>
      </c>
      <c r="B222" s="1094"/>
      <c r="C222" s="1094"/>
      <c r="D222" s="1095"/>
      <c r="E222" s="392">
        <v>0</v>
      </c>
      <c r="F222" s="393"/>
      <c r="G222" s="1096">
        <v>0</v>
      </c>
      <c r="H222" s="1097"/>
      <c r="I222" s="1098">
        <v>0</v>
      </c>
      <c r="J222" s="1096"/>
      <c r="K222" s="1096">
        <v>0</v>
      </c>
      <c r="L222" s="1097"/>
      <c r="M222" s="41"/>
      <c r="N222" s="41"/>
      <c r="O222" s="41"/>
      <c r="P222" s="41"/>
      <c r="Q222" s="41"/>
      <c r="R222" s="41"/>
      <c r="S222" s="41"/>
    </row>
    <row r="223" spans="1:30" s="57" customFormat="1" ht="25.5" customHeight="1" thickTop="1" thickBot="1" x14ac:dyDescent="0.35">
      <c r="A223" s="1081" t="s">
        <v>11</v>
      </c>
      <c r="B223" s="1082"/>
      <c r="C223" s="1082"/>
      <c r="D223" s="1083"/>
      <c r="E223" s="416">
        <f>SUM(E221:F222)</f>
        <v>0</v>
      </c>
      <c r="F223" s="417"/>
      <c r="G223" s="1084">
        <f>SUM(G221:H222)</f>
        <v>0</v>
      </c>
      <c r="H223" s="1085"/>
      <c r="I223" s="416">
        <f>SUM(I221:J222)</f>
        <v>0</v>
      </c>
      <c r="J223" s="730"/>
      <c r="K223" s="605">
        <f>SUM(K221:L222)</f>
        <v>0</v>
      </c>
      <c r="L223" s="606"/>
      <c r="M223" s="446"/>
      <c r="N223" s="446"/>
      <c r="O223" s="446"/>
      <c r="P223" s="446"/>
      <c r="Q223" s="446"/>
      <c r="R223" s="446"/>
      <c r="S223" s="446"/>
      <c r="T223" s="446"/>
      <c r="U223" s="446"/>
      <c r="V223" s="41"/>
      <c r="W223" s="41"/>
      <c r="X223" s="41"/>
      <c r="Y223" s="41"/>
      <c r="Z223" s="41"/>
      <c r="AA223" s="41"/>
      <c r="AB223" s="41"/>
      <c r="AC223" s="41"/>
      <c r="AD223" s="41"/>
    </row>
    <row r="224" spans="1:30" s="57" customFormat="1" ht="13" thickTop="1" x14ac:dyDescent="0.2">
      <c r="A224" s="1086" t="s">
        <v>217</v>
      </c>
      <c r="B224" s="1087"/>
      <c r="C224" s="1087"/>
      <c r="D224" s="1088"/>
      <c r="E224" s="421">
        <v>0</v>
      </c>
      <c r="F224" s="409"/>
      <c r="G224" s="1089">
        <v>0</v>
      </c>
      <c r="H224" s="1090"/>
      <c r="I224" s="1091">
        <v>0</v>
      </c>
      <c r="J224" s="1089"/>
      <c r="K224" s="1089">
        <v>0</v>
      </c>
      <c r="L224" s="1090"/>
      <c r="M224" s="446"/>
      <c r="N224" s="446"/>
      <c r="O224" s="446"/>
      <c r="P224" s="446"/>
      <c r="Q224" s="446"/>
      <c r="R224" s="446"/>
      <c r="S224" s="446"/>
      <c r="T224" s="446"/>
      <c r="U224" s="446"/>
    </row>
    <row r="225" spans="1:30" s="57" customFormat="1" ht="12.5" x14ac:dyDescent="0.2">
      <c r="A225" s="379" t="s">
        <v>218</v>
      </c>
      <c r="B225" s="607"/>
      <c r="C225" s="607"/>
      <c r="D225" s="380"/>
      <c r="E225" s="421">
        <v>0</v>
      </c>
      <c r="F225" s="409"/>
      <c r="G225" s="492">
        <v>0</v>
      </c>
      <c r="H225" s="493"/>
      <c r="I225" s="1075">
        <v>0</v>
      </c>
      <c r="J225" s="492"/>
      <c r="K225" s="422">
        <v>0</v>
      </c>
      <c r="L225" s="423"/>
      <c r="M225" s="446"/>
      <c r="N225" s="446"/>
      <c r="O225" s="446"/>
      <c r="P225" s="446"/>
      <c r="Q225" s="446"/>
      <c r="R225" s="446"/>
      <c r="S225" s="446"/>
      <c r="T225" s="446"/>
      <c r="U225" s="446"/>
    </row>
    <row r="226" spans="1:30" ht="26.25" customHeight="1" thickBot="1" x14ac:dyDescent="0.35">
      <c r="A226" s="418" t="s">
        <v>219</v>
      </c>
      <c r="B226" s="419"/>
      <c r="C226" s="419"/>
      <c r="D226" s="420"/>
      <c r="E226" s="392">
        <v>0</v>
      </c>
      <c r="F226" s="393"/>
      <c r="G226" s="1076">
        <v>0</v>
      </c>
      <c r="H226" s="1077"/>
      <c r="I226" s="1078">
        <v>0</v>
      </c>
      <c r="J226" s="1076"/>
      <c r="K226" s="1079">
        <v>0</v>
      </c>
      <c r="L226" s="1080"/>
      <c r="M226" s="446"/>
      <c r="N226" s="446"/>
      <c r="O226" s="446"/>
      <c r="P226" s="446"/>
      <c r="Q226" s="446"/>
      <c r="R226" s="446"/>
      <c r="S226" s="446"/>
      <c r="T226" s="446"/>
      <c r="U226" s="446"/>
      <c r="V226" s="57"/>
      <c r="W226" s="57"/>
      <c r="X226" s="57"/>
      <c r="Y226" s="57"/>
      <c r="Z226" s="57"/>
      <c r="AA226" s="57"/>
      <c r="AB226" s="57"/>
      <c r="AC226" s="57"/>
      <c r="AD226" s="57"/>
    </row>
    <row r="227" spans="1:30" s="57" customFormat="1" ht="14.25" customHeight="1" thickTop="1" x14ac:dyDescent="0.3">
      <c r="A227" s="41"/>
      <c r="B227" s="41"/>
      <c r="C227" s="41"/>
      <c r="D227" s="41"/>
      <c r="E227" s="41"/>
      <c r="F227" s="983"/>
      <c r="G227" s="983"/>
      <c r="H227" s="983"/>
      <c r="I227" s="41"/>
      <c r="J227" s="41"/>
      <c r="K227" s="41"/>
      <c r="L227" s="41"/>
      <c r="M227" s="88"/>
      <c r="O227" s="41"/>
      <c r="P227" s="41"/>
      <c r="Q227" s="41"/>
      <c r="R227" s="41"/>
      <c r="S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</row>
    <row r="228" spans="1:30" s="57" customFormat="1" x14ac:dyDescent="0.3">
      <c r="A228" s="1074" t="s">
        <v>220</v>
      </c>
      <c r="B228" s="1074"/>
      <c r="C228" s="1074"/>
      <c r="D228" s="1074"/>
      <c r="E228" s="1074"/>
      <c r="F228" s="1074"/>
      <c r="G228" s="1074"/>
      <c r="H228" s="1074"/>
      <c r="I228" s="1074"/>
      <c r="J228" s="1074"/>
      <c r="K228" s="1074"/>
      <c r="L228" s="1074"/>
      <c r="M228" s="1074"/>
      <c r="N228" s="1074"/>
      <c r="O228" s="1074"/>
      <c r="P228" s="1074"/>
      <c r="Q228" s="1074"/>
      <c r="R228" s="1074"/>
      <c r="S228" s="1074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</row>
    <row r="229" spans="1:30" s="57" customFormat="1" ht="14.5" thickBot="1" x14ac:dyDescent="0.3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N229" s="41"/>
      <c r="O229" s="41"/>
      <c r="P229" s="41"/>
      <c r="Q229" s="41"/>
      <c r="R229" s="41"/>
      <c r="S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</row>
    <row r="230" spans="1:30" ht="14.5" thickTop="1" x14ac:dyDescent="0.3">
      <c r="A230" s="1064" t="s">
        <v>221</v>
      </c>
      <c r="B230" s="1065"/>
      <c r="C230" s="1065"/>
      <c r="D230" s="1066"/>
      <c r="E230" s="1070" t="s">
        <v>222</v>
      </c>
      <c r="F230" s="1071"/>
      <c r="G230" s="1071"/>
      <c r="H230" s="1071"/>
      <c r="I230" s="1071"/>
      <c r="J230" s="1071"/>
      <c r="K230" s="1071"/>
      <c r="L230" s="1072"/>
      <c r="M230" s="57"/>
      <c r="N230" s="41"/>
    </row>
    <row r="231" spans="1:30" ht="49" thickBot="1" x14ac:dyDescent="0.35">
      <c r="A231" s="1067"/>
      <c r="B231" s="1068"/>
      <c r="C231" s="1068"/>
      <c r="D231" s="1069"/>
      <c r="E231" s="226" t="s">
        <v>35</v>
      </c>
      <c r="F231" s="227" t="s">
        <v>36</v>
      </c>
      <c r="G231" s="227" t="s">
        <v>37</v>
      </c>
      <c r="H231" s="227" t="s">
        <v>38</v>
      </c>
      <c r="I231" s="227" t="s">
        <v>223</v>
      </c>
      <c r="J231" s="227" t="s">
        <v>40</v>
      </c>
      <c r="K231" s="228" t="s">
        <v>41</v>
      </c>
      <c r="L231" s="188" t="s">
        <v>11</v>
      </c>
      <c r="M231" s="57"/>
      <c r="N231" s="41"/>
    </row>
    <row r="232" spans="1:30" ht="14.25" customHeight="1" thickTop="1" x14ac:dyDescent="0.3">
      <c r="A232" s="1007" t="s">
        <v>224</v>
      </c>
      <c r="B232" s="1008"/>
      <c r="C232" s="1008"/>
      <c r="D232" s="1073"/>
      <c r="E232" s="14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6">
        <v>0</v>
      </c>
      <c r="L232" s="197">
        <f t="shared" ref="L232:L237" si="5">SUM(E232:K232)</f>
        <v>0</v>
      </c>
      <c r="M232" s="57"/>
      <c r="N232" s="41"/>
    </row>
    <row r="233" spans="1:30" ht="14.5" x14ac:dyDescent="0.35">
      <c r="A233" s="877" t="s">
        <v>225</v>
      </c>
      <c r="B233" s="878"/>
      <c r="C233" s="878"/>
      <c r="D233" s="938"/>
      <c r="E233" s="12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1">
        <v>0</v>
      </c>
      <c r="L233" s="198">
        <f t="shared" si="5"/>
        <v>0</v>
      </c>
      <c r="M233" s="57"/>
      <c r="N233" s="41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</row>
    <row r="234" spans="1:30" ht="14.25" customHeight="1" x14ac:dyDescent="0.3">
      <c r="A234" s="877" t="s">
        <v>226</v>
      </c>
      <c r="B234" s="878"/>
      <c r="C234" s="878"/>
      <c r="D234" s="938"/>
      <c r="E234" s="12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1">
        <v>0</v>
      </c>
      <c r="L234" s="198">
        <f t="shared" si="5"/>
        <v>0</v>
      </c>
      <c r="M234" s="57"/>
      <c r="N234" s="41"/>
    </row>
    <row r="235" spans="1:30" x14ac:dyDescent="0.3">
      <c r="A235" s="877" t="s">
        <v>227</v>
      </c>
      <c r="B235" s="878"/>
      <c r="C235" s="878"/>
      <c r="D235" s="938"/>
      <c r="E235" s="12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1">
        <v>0</v>
      </c>
      <c r="L235" s="198">
        <f t="shared" si="5"/>
        <v>0</v>
      </c>
      <c r="M235" s="57"/>
      <c r="N235" s="41"/>
    </row>
    <row r="236" spans="1:30" s="73" customFormat="1" ht="14.5" x14ac:dyDescent="0.35">
      <c r="A236" s="877" t="s">
        <v>228</v>
      </c>
      <c r="B236" s="878"/>
      <c r="C236" s="878"/>
      <c r="D236" s="938"/>
      <c r="E236" s="12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1">
        <v>0</v>
      </c>
      <c r="L236" s="198">
        <f t="shared" si="5"/>
        <v>0</v>
      </c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</row>
    <row r="237" spans="1:30" ht="14.5" thickBot="1" x14ac:dyDescent="0.35">
      <c r="A237" s="939" t="s">
        <v>141</v>
      </c>
      <c r="B237" s="940"/>
      <c r="C237" s="940"/>
      <c r="D237" s="941"/>
      <c r="E237" s="99">
        <v>0</v>
      </c>
      <c r="F237" s="100">
        <v>0</v>
      </c>
      <c r="G237" s="100">
        <v>0</v>
      </c>
      <c r="H237" s="100">
        <v>0</v>
      </c>
      <c r="I237" s="100">
        <v>0</v>
      </c>
      <c r="J237" s="100">
        <v>0</v>
      </c>
      <c r="K237" s="101">
        <v>0</v>
      </c>
      <c r="L237" s="199">
        <f t="shared" si="5"/>
        <v>0</v>
      </c>
    </row>
    <row r="238" spans="1:30" ht="15" thickTop="1" thickBot="1" x14ac:dyDescent="0.35">
      <c r="A238" s="911" t="s">
        <v>11</v>
      </c>
      <c r="B238" s="912"/>
      <c r="C238" s="912"/>
      <c r="D238" s="913"/>
      <c r="E238" s="191">
        <f t="shared" ref="E238:L238" si="6">SUM(E232:E237)</f>
        <v>0</v>
      </c>
      <c r="F238" s="192">
        <f t="shared" si="6"/>
        <v>0</v>
      </c>
      <c r="G238" s="192">
        <f t="shared" si="6"/>
        <v>0</v>
      </c>
      <c r="H238" s="192">
        <f t="shared" si="6"/>
        <v>0</v>
      </c>
      <c r="I238" s="192">
        <f t="shared" si="6"/>
        <v>0</v>
      </c>
      <c r="J238" s="192">
        <f t="shared" si="6"/>
        <v>0</v>
      </c>
      <c r="K238" s="194">
        <f t="shared" si="6"/>
        <v>0</v>
      </c>
      <c r="L238" s="196">
        <f t="shared" si="6"/>
        <v>0</v>
      </c>
      <c r="M238" s="1261"/>
      <c r="N238" s="1261"/>
      <c r="O238" s="1261"/>
      <c r="P238" s="1261"/>
      <c r="Q238" s="1261"/>
      <c r="R238" s="1261"/>
      <c r="S238" s="1261"/>
      <c r="T238" s="1261"/>
      <c r="U238" s="1261"/>
      <c r="V238" s="1261"/>
      <c r="W238" s="1261"/>
      <c r="X238" s="1261"/>
      <c r="Y238" s="1261"/>
    </row>
    <row r="239" spans="1:30" ht="15" thickTop="1" x14ac:dyDescent="0.3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</row>
    <row r="240" spans="1:30" x14ac:dyDescent="0.3">
      <c r="A240" s="247" t="s">
        <v>229</v>
      </c>
      <c r="B240" s="247"/>
      <c r="C240" s="247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</row>
    <row r="241" spans="1:26" ht="14.5" thickBot="1" x14ac:dyDescent="0.35">
      <c r="M241" s="57"/>
      <c r="N241" s="41"/>
    </row>
    <row r="242" spans="1:26" ht="14.5" thickTop="1" x14ac:dyDescent="0.3">
      <c r="A242" s="1064" t="s">
        <v>221</v>
      </c>
      <c r="B242" s="1065"/>
      <c r="C242" s="1065"/>
      <c r="D242" s="1066"/>
      <c r="E242" s="1070" t="s">
        <v>369</v>
      </c>
      <c r="F242" s="1071"/>
      <c r="G242" s="1071"/>
      <c r="H242" s="1071"/>
      <c r="I242" s="1071"/>
      <c r="J242" s="1071"/>
      <c r="K242" s="1071"/>
      <c r="L242" s="1072"/>
      <c r="M242" s="57"/>
      <c r="N242" s="41"/>
    </row>
    <row r="243" spans="1:26" ht="49" thickBot="1" x14ac:dyDescent="0.35">
      <c r="A243" s="1067"/>
      <c r="B243" s="1068"/>
      <c r="C243" s="1068"/>
      <c r="D243" s="1069"/>
      <c r="E243" s="226" t="s">
        <v>35</v>
      </c>
      <c r="F243" s="227" t="s">
        <v>36</v>
      </c>
      <c r="G243" s="227" t="s">
        <v>37</v>
      </c>
      <c r="H243" s="227" t="s">
        <v>38</v>
      </c>
      <c r="I243" s="227" t="s">
        <v>223</v>
      </c>
      <c r="J243" s="227" t="s">
        <v>40</v>
      </c>
      <c r="K243" s="228" t="s">
        <v>41</v>
      </c>
      <c r="L243" s="188" t="s">
        <v>11</v>
      </c>
      <c r="M243" s="57"/>
      <c r="N243" s="41"/>
    </row>
    <row r="244" spans="1:26" ht="14.25" customHeight="1" thickTop="1" x14ac:dyDescent="0.3">
      <c r="A244" s="1007" t="s">
        <v>224</v>
      </c>
      <c r="B244" s="1008"/>
      <c r="C244" s="1008"/>
      <c r="D244" s="1073"/>
      <c r="E244" s="14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6">
        <v>0</v>
      </c>
      <c r="L244" s="197">
        <f t="shared" ref="L244:L249" si="7">SUM(E244:K244)</f>
        <v>0</v>
      </c>
      <c r="M244" s="57"/>
      <c r="N244" s="41"/>
    </row>
    <row r="245" spans="1:26" ht="14.25" customHeight="1" x14ac:dyDescent="0.3">
      <c r="A245" s="877" t="s">
        <v>225</v>
      </c>
      <c r="B245" s="878"/>
      <c r="C245" s="878"/>
      <c r="D245" s="938"/>
      <c r="E245" s="12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1">
        <v>0</v>
      </c>
      <c r="L245" s="198">
        <f t="shared" si="7"/>
        <v>0</v>
      </c>
      <c r="M245" s="57"/>
      <c r="N245" s="41"/>
    </row>
    <row r="246" spans="1:26" ht="14.25" customHeight="1" x14ac:dyDescent="0.3">
      <c r="A246" s="877" t="s">
        <v>226</v>
      </c>
      <c r="B246" s="878"/>
      <c r="C246" s="878"/>
      <c r="D246" s="938"/>
      <c r="E246" s="12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1">
        <v>0</v>
      </c>
      <c r="L246" s="198">
        <f t="shared" si="7"/>
        <v>0</v>
      </c>
      <c r="M246" s="57"/>
      <c r="N246" s="41"/>
    </row>
    <row r="247" spans="1:26" x14ac:dyDescent="0.3">
      <c r="A247" s="877" t="s">
        <v>227</v>
      </c>
      <c r="B247" s="878"/>
      <c r="C247" s="878"/>
      <c r="D247" s="938"/>
      <c r="E247" s="12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1">
        <v>0</v>
      </c>
      <c r="L247" s="198">
        <f t="shared" si="7"/>
        <v>0</v>
      </c>
      <c r="M247" s="57"/>
      <c r="N247" s="41"/>
    </row>
    <row r="248" spans="1:26" x14ac:dyDescent="0.3">
      <c r="A248" s="877" t="s">
        <v>228</v>
      </c>
      <c r="B248" s="878"/>
      <c r="C248" s="878"/>
      <c r="D248" s="938"/>
      <c r="E248" s="12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1">
        <v>0</v>
      </c>
      <c r="L248" s="198">
        <f t="shared" si="7"/>
        <v>0</v>
      </c>
      <c r="M248" s="58"/>
    </row>
    <row r="249" spans="1:26" ht="16" thickBot="1" x14ac:dyDescent="0.4">
      <c r="A249" s="939" t="s">
        <v>141</v>
      </c>
      <c r="B249" s="940"/>
      <c r="C249" s="940"/>
      <c r="D249" s="941"/>
      <c r="E249" s="99">
        <v>0</v>
      </c>
      <c r="F249" s="100">
        <v>0</v>
      </c>
      <c r="G249" s="100">
        <v>0</v>
      </c>
      <c r="H249" s="100">
        <v>0</v>
      </c>
      <c r="I249" s="100">
        <v>0</v>
      </c>
      <c r="J249" s="100">
        <v>0</v>
      </c>
      <c r="K249" s="101">
        <v>0</v>
      </c>
      <c r="L249" s="199">
        <f t="shared" si="7"/>
        <v>0</v>
      </c>
      <c r="M249" s="89"/>
    </row>
    <row r="250" spans="1:26" ht="15" thickTop="1" thickBot="1" x14ac:dyDescent="0.35">
      <c r="A250" s="942" t="s">
        <v>11</v>
      </c>
      <c r="B250" s="943"/>
      <c r="C250" s="943"/>
      <c r="D250" s="944"/>
      <c r="E250" s="189">
        <f t="shared" ref="E250:K250" si="8">SUM(E244:E249)</f>
        <v>0</v>
      </c>
      <c r="F250" s="201">
        <f t="shared" si="8"/>
        <v>0</v>
      </c>
      <c r="G250" s="201">
        <f t="shared" si="8"/>
        <v>0</v>
      </c>
      <c r="H250" s="201">
        <f t="shared" si="8"/>
        <v>0</v>
      </c>
      <c r="I250" s="201">
        <f t="shared" si="8"/>
        <v>0</v>
      </c>
      <c r="J250" s="201">
        <f t="shared" si="8"/>
        <v>0</v>
      </c>
      <c r="K250" s="190">
        <f t="shared" si="8"/>
        <v>0</v>
      </c>
      <c r="L250" s="229">
        <f t="shared" ref="L250" si="9">SUM(E250:K250)</f>
        <v>0</v>
      </c>
      <c r="M250" s="446"/>
      <c r="N250" s="446"/>
      <c r="O250" s="446"/>
      <c r="P250" s="446"/>
      <c r="Q250" s="446"/>
      <c r="R250" s="446"/>
      <c r="S250" s="446"/>
      <c r="T250" s="446"/>
      <c r="U250" s="446"/>
      <c r="V250" s="446"/>
      <c r="W250" s="446"/>
      <c r="X250" s="446"/>
      <c r="Y250" s="446"/>
      <c r="Z250" s="446"/>
    </row>
    <row r="251" spans="1:26" ht="14.5" thickTop="1" x14ac:dyDescent="0.3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</row>
    <row r="252" spans="1:26" ht="15.5" x14ac:dyDescent="0.35">
      <c r="A252" s="876" t="s">
        <v>231</v>
      </c>
      <c r="B252" s="876"/>
      <c r="C252" s="876"/>
      <c r="D252" s="876"/>
      <c r="E252" s="876"/>
      <c r="F252" s="876"/>
      <c r="G252" s="876"/>
      <c r="H252" s="876"/>
      <c r="I252" s="876"/>
      <c r="J252" s="876"/>
      <c r="K252" s="876"/>
      <c r="L252" s="876"/>
      <c r="M252" s="876"/>
      <c r="N252" s="876"/>
      <c r="O252" s="876"/>
      <c r="P252" s="876"/>
      <c r="Q252" s="876"/>
      <c r="R252" s="876"/>
      <c r="S252" s="876"/>
    </row>
    <row r="253" spans="1:26" x14ac:dyDescent="0.3">
      <c r="M253" s="57"/>
      <c r="N253" s="41"/>
    </row>
    <row r="254" spans="1:26" x14ac:dyDescent="0.3">
      <c r="A254" s="479" t="s">
        <v>232</v>
      </c>
      <c r="B254" s="479"/>
      <c r="C254" s="479"/>
      <c r="D254" s="479"/>
      <c r="E254" s="479"/>
      <c r="F254" s="479"/>
      <c r="G254" s="479"/>
      <c r="H254" s="479"/>
      <c r="I254" s="479"/>
      <c r="J254" s="479"/>
      <c r="K254" s="479"/>
      <c r="L254" s="479"/>
      <c r="M254" s="57"/>
      <c r="N254" s="41"/>
    </row>
    <row r="255" spans="1:26" ht="14.5" thickBot="1" x14ac:dyDescent="0.35">
      <c r="M255" s="57"/>
      <c r="N255" s="41"/>
    </row>
    <row r="256" spans="1:26" ht="31.5" customHeight="1" thickTop="1" x14ac:dyDescent="0.3">
      <c r="A256" s="922" t="s">
        <v>233</v>
      </c>
      <c r="B256" s="923"/>
      <c r="C256" s="1049" t="s">
        <v>234</v>
      </c>
      <c r="D256" s="1050"/>
      <c r="E256" s="1049" t="s">
        <v>235</v>
      </c>
      <c r="F256" s="1050"/>
      <c r="G256" s="1049" t="s">
        <v>370</v>
      </c>
      <c r="H256" s="1050"/>
      <c r="I256" s="57"/>
      <c r="N256" s="41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30.75" customHeight="1" thickBot="1" x14ac:dyDescent="0.35">
      <c r="A257" s="924"/>
      <c r="B257" s="925"/>
      <c r="C257" s="305" t="s">
        <v>237</v>
      </c>
      <c r="D257" s="306" t="s">
        <v>238</v>
      </c>
      <c r="E257" s="305" t="s">
        <v>237</v>
      </c>
      <c r="F257" s="306" t="s">
        <v>238</v>
      </c>
      <c r="G257" s="305" t="s">
        <v>237</v>
      </c>
      <c r="H257" s="306" t="s">
        <v>238</v>
      </c>
      <c r="I257" s="57"/>
      <c r="N257" s="41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4.5" thickTop="1" x14ac:dyDescent="0.3">
      <c r="A258" s="917" t="s">
        <v>239</v>
      </c>
      <c r="B258" s="918"/>
      <c r="C258" s="265">
        <v>0</v>
      </c>
      <c r="D258" s="264">
        <v>0</v>
      </c>
      <c r="E258" s="265">
        <v>0</v>
      </c>
      <c r="F258" s="264">
        <v>0</v>
      </c>
      <c r="G258" s="265">
        <v>0</v>
      </c>
      <c r="H258" s="264">
        <v>0</v>
      </c>
      <c r="I258" s="141"/>
      <c r="N258" s="41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s="57" customFormat="1" x14ac:dyDescent="0.3">
      <c r="A259" s="379" t="s">
        <v>240</v>
      </c>
      <c r="B259" s="380"/>
      <c r="C259" s="262">
        <v>0</v>
      </c>
      <c r="D259" s="233">
        <v>0</v>
      </c>
      <c r="E259" s="262">
        <v>0</v>
      </c>
      <c r="F259" s="233">
        <v>0</v>
      </c>
      <c r="G259" s="262">
        <v>0</v>
      </c>
      <c r="H259" s="233">
        <v>0</v>
      </c>
      <c r="I259" s="141"/>
      <c r="J259" s="41"/>
      <c r="K259" s="41"/>
      <c r="L259" s="41"/>
      <c r="M259" s="41"/>
      <c r="N259" s="41"/>
      <c r="O259" s="41"/>
    </row>
    <row r="260" spans="1:26" s="57" customFormat="1" x14ac:dyDescent="0.3">
      <c r="A260" s="936" t="s">
        <v>241</v>
      </c>
      <c r="B260" s="937"/>
      <c r="C260" s="262">
        <v>0</v>
      </c>
      <c r="D260" s="233">
        <v>0</v>
      </c>
      <c r="E260" s="262">
        <v>0</v>
      </c>
      <c r="F260" s="233">
        <v>0</v>
      </c>
      <c r="G260" s="262">
        <v>0</v>
      </c>
      <c r="H260" s="233">
        <v>0</v>
      </c>
      <c r="I260" s="141"/>
      <c r="J260" s="41"/>
      <c r="K260" s="41"/>
      <c r="L260" s="41"/>
      <c r="M260" s="41"/>
      <c r="N260" s="41"/>
      <c r="O260" s="41"/>
    </row>
    <row r="261" spans="1:26" s="57" customFormat="1" x14ac:dyDescent="0.3">
      <c r="A261" s="936" t="s">
        <v>242</v>
      </c>
      <c r="B261" s="937"/>
      <c r="C261" s="262">
        <v>0</v>
      </c>
      <c r="D261" s="233">
        <v>0</v>
      </c>
      <c r="E261" s="262">
        <v>0</v>
      </c>
      <c r="F261" s="233">
        <v>0</v>
      </c>
      <c r="G261" s="262">
        <v>0</v>
      </c>
      <c r="H261" s="233">
        <v>0</v>
      </c>
      <c r="I261" s="141"/>
      <c r="J261" s="41"/>
      <c r="K261" s="41"/>
      <c r="L261" s="41"/>
      <c r="M261" s="41"/>
      <c r="N261" s="41"/>
      <c r="O261" s="41"/>
    </row>
    <row r="262" spans="1:26" s="57" customFormat="1" x14ac:dyDescent="0.3">
      <c r="A262" s="356" t="s">
        <v>243</v>
      </c>
      <c r="B262" s="358"/>
      <c r="C262" s="262">
        <v>0</v>
      </c>
      <c r="D262" s="261">
        <v>0</v>
      </c>
      <c r="E262" s="262">
        <v>0</v>
      </c>
      <c r="F262" s="261">
        <v>0</v>
      </c>
      <c r="G262" s="262">
        <v>0</v>
      </c>
      <c r="H262" s="233">
        <v>0</v>
      </c>
      <c r="J262" s="41"/>
      <c r="K262" s="41"/>
      <c r="L262" s="41"/>
      <c r="M262" s="41"/>
      <c r="N262" s="41"/>
      <c r="O262" s="41"/>
    </row>
    <row r="263" spans="1:26" s="57" customFormat="1" x14ac:dyDescent="0.3">
      <c r="A263" s="936" t="s">
        <v>244</v>
      </c>
      <c r="B263" s="937"/>
      <c r="C263" s="262">
        <v>0</v>
      </c>
      <c r="D263" s="261">
        <v>0</v>
      </c>
      <c r="E263" s="262">
        <v>0</v>
      </c>
      <c r="F263" s="261">
        <v>0</v>
      </c>
      <c r="G263" s="262">
        <v>0</v>
      </c>
      <c r="H263" s="233">
        <v>0</v>
      </c>
      <c r="I263" s="66"/>
      <c r="K263" s="41"/>
      <c r="L263" s="41"/>
      <c r="M263" s="41"/>
      <c r="N263" s="41"/>
      <c r="O263" s="41"/>
      <c r="P263" s="41"/>
    </row>
    <row r="264" spans="1:26" s="57" customFormat="1" ht="14.5" thickBot="1" x14ac:dyDescent="0.35">
      <c r="A264" s="699" t="s">
        <v>245</v>
      </c>
      <c r="B264" s="806"/>
      <c r="C264" s="299">
        <v>0</v>
      </c>
      <c r="D264" s="300">
        <v>0</v>
      </c>
      <c r="E264" s="299">
        <v>0</v>
      </c>
      <c r="F264" s="300">
        <v>0</v>
      </c>
      <c r="G264" s="299">
        <v>0</v>
      </c>
      <c r="H264" s="301">
        <v>0</v>
      </c>
      <c r="I264" s="66"/>
      <c r="K264" s="41"/>
      <c r="L264" s="41"/>
      <c r="M264" s="41"/>
      <c r="N264" s="41"/>
      <c r="O264" s="41"/>
      <c r="P264" s="41"/>
    </row>
    <row r="265" spans="1:26" s="57" customFormat="1" ht="15" thickTop="1" thickBot="1" x14ac:dyDescent="0.35">
      <c r="A265" s="871" t="s">
        <v>11</v>
      </c>
      <c r="B265" s="872"/>
      <c r="C265" s="298">
        <f t="shared" ref="C265:H265" si="10">SUM(C258:C264)</f>
        <v>0</v>
      </c>
      <c r="D265" s="297">
        <f t="shared" si="10"/>
        <v>0</v>
      </c>
      <c r="E265" s="298">
        <f t="shared" si="10"/>
        <v>0</v>
      </c>
      <c r="F265" s="297">
        <f t="shared" si="10"/>
        <v>0</v>
      </c>
      <c r="G265" s="298">
        <f t="shared" si="10"/>
        <v>0</v>
      </c>
      <c r="H265" s="297">
        <f t="shared" si="10"/>
        <v>0</v>
      </c>
      <c r="I265" s="66"/>
      <c r="K265" s="41"/>
      <c r="L265" s="41"/>
      <c r="M265" s="41"/>
      <c r="N265" s="41"/>
      <c r="O265" s="41"/>
      <c r="P265" s="43"/>
    </row>
    <row r="266" spans="1:26" s="57" customFormat="1" ht="14.5" thickTop="1" x14ac:dyDescent="0.3">
      <c r="A266" s="72"/>
      <c r="B266" s="72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41"/>
      <c r="O266" s="41"/>
      <c r="P266" s="41"/>
      <c r="Q266" s="41"/>
      <c r="R266" s="41"/>
      <c r="S266" s="41"/>
      <c r="T266" s="41"/>
    </row>
    <row r="267" spans="1:26" s="57" customFormat="1" x14ac:dyDescent="0.3">
      <c r="A267" s="479" t="s">
        <v>246</v>
      </c>
      <c r="B267" s="479"/>
      <c r="C267" s="479"/>
      <c r="D267" s="479"/>
      <c r="E267" s="479"/>
      <c r="F267" s="479"/>
      <c r="G267" s="479"/>
      <c r="H267" s="479"/>
      <c r="I267" s="479"/>
      <c r="J267" s="479"/>
      <c r="K267" s="479"/>
      <c r="L267" s="479"/>
      <c r="N267" s="41"/>
      <c r="O267" s="41"/>
      <c r="P267" s="41"/>
      <c r="Q267" s="41"/>
      <c r="R267" s="41"/>
      <c r="S267" s="41"/>
    </row>
    <row r="268" spans="1:26" s="57" customFormat="1" ht="14.5" thickBot="1" x14ac:dyDescent="0.35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N268" s="41"/>
      <c r="O268" s="41"/>
      <c r="P268" s="41"/>
      <c r="Q268" s="41"/>
      <c r="R268" s="41"/>
      <c r="S268" s="41"/>
    </row>
    <row r="269" spans="1:26" s="57" customFormat="1" ht="36" customHeight="1" thickTop="1" x14ac:dyDescent="0.3">
      <c r="A269" s="922" t="s">
        <v>233</v>
      </c>
      <c r="B269" s="923"/>
      <c r="C269" s="1049" t="s">
        <v>234</v>
      </c>
      <c r="D269" s="1050"/>
      <c r="E269" s="1049" t="s">
        <v>235</v>
      </c>
      <c r="F269" s="1050"/>
      <c r="G269" s="1049" t="s">
        <v>370</v>
      </c>
      <c r="H269" s="1050"/>
      <c r="J269" s="41"/>
      <c r="K269" s="41"/>
      <c r="L269" s="41"/>
      <c r="M269" s="41"/>
      <c r="N269" s="41"/>
      <c r="O269" s="41"/>
    </row>
    <row r="270" spans="1:26" s="57" customFormat="1" ht="16.5" thickBot="1" x14ac:dyDescent="0.35">
      <c r="A270" s="924"/>
      <c r="B270" s="925"/>
      <c r="C270" s="312" t="s">
        <v>237</v>
      </c>
      <c r="D270" s="313" t="s">
        <v>238</v>
      </c>
      <c r="E270" s="312" t="s">
        <v>237</v>
      </c>
      <c r="F270" s="313" t="s">
        <v>238</v>
      </c>
      <c r="G270" s="312" t="s">
        <v>237</v>
      </c>
      <c r="H270" s="313" t="s">
        <v>238</v>
      </c>
      <c r="J270" s="41"/>
      <c r="K270" s="41"/>
      <c r="L270" s="41"/>
      <c r="M270" s="41"/>
      <c r="N270" s="41"/>
      <c r="O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s="57" customFormat="1" ht="14.5" thickTop="1" x14ac:dyDescent="0.3">
      <c r="A271" s="917" t="s">
        <v>239</v>
      </c>
      <c r="B271" s="918"/>
      <c r="C271" s="265">
        <v>0</v>
      </c>
      <c r="D271" s="264">
        <v>0</v>
      </c>
      <c r="E271" s="265">
        <v>0</v>
      </c>
      <c r="F271" s="264">
        <v>0</v>
      </c>
      <c r="G271" s="265">
        <v>0</v>
      </c>
      <c r="H271" s="264">
        <v>0</v>
      </c>
      <c r="I271" s="141"/>
      <c r="J271" s="41"/>
      <c r="K271" s="41"/>
      <c r="L271" s="41"/>
      <c r="M271" s="41"/>
      <c r="N271" s="41"/>
      <c r="O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s="57" customFormat="1" x14ac:dyDescent="0.3">
      <c r="A272" s="379" t="s">
        <v>240</v>
      </c>
      <c r="B272" s="380"/>
      <c r="C272" s="262">
        <v>0</v>
      </c>
      <c r="D272" s="233">
        <v>0</v>
      </c>
      <c r="E272" s="262">
        <v>0</v>
      </c>
      <c r="F272" s="233">
        <v>0</v>
      </c>
      <c r="G272" s="262">
        <v>0</v>
      </c>
      <c r="H272" s="233">
        <v>0</v>
      </c>
      <c r="I272" s="141"/>
      <c r="J272" s="41"/>
      <c r="K272" s="41"/>
      <c r="L272" s="41"/>
      <c r="M272" s="41"/>
      <c r="N272" s="41"/>
      <c r="O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30" x14ac:dyDescent="0.3">
      <c r="A273" s="936" t="s">
        <v>241</v>
      </c>
      <c r="B273" s="937"/>
      <c r="C273" s="262">
        <v>0</v>
      </c>
      <c r="D273" s="233">
        <v>0</v>
      </c>
      <c r="E273" s="262">
        <v>0</v>
      </c>
      <c r="F273" s="233">
        <v>0</v>
      </c>
      <c r="G273" s="262">
        <v>0</v>
      </c>
      <c r="H273" s="233">
        <v>0</v>
      </c>
      <c r="I273" s="141"/>
      <c r="N273" s="41"/>
    </row>
    <row r="274" spans="1:30" x14ac:dyDescent="0.3">
      <c r="A274" s="936" t="s">
        <v>242</v>
      </c>
      <c r="B274" s="937"/>
      <c r="C274" s="262">
        <v>0</v>
      </c>
      <c r="D274" s="233">
        <v>0</v>
      </c>
      <c r="E274" s="262">
        <v>0</v>
      </c>
      <c r="F274" s="233">
        <v>0</v>
      </c>
      <c r="G274" s="262">
        <v>0</v>
      </c>
      <c r="H274" s="233">
        <v>0</v>
      </c>
      <c r="I274" s="141"/>
      <c r="N274" s="41"/>
    </row>
    <row r="275" spans="1:30" x14ac:dyDescent="0.3">
      <c r="A275" s="356" t="s">
        <v>243</v>
      </c>
      <c r="B275" s="358"/>
      <c r="C275" s="262">
        <v>0</v>
      </c>
      <c r="D275" s="261">
        <v>0</v>
      </c>
      <c r="E275" s="262">
        <v>0</v>
      </c>
      <c r="F275" s="261">
        <v>0</v>
      </c>
      <c r="G275" s="262">
        <v>0</v>
      </c>
      <c r="H275" s="233">
        <v>0</v>
      </c>
      <c r="I275" s="57"/>
      <c r="N275" s="41"/>
    </row>
    <row r="276" spans="1:30" x14ac:dyDescent="0.3">
      <c r="A276" s="936" t="s">
        <v>244</v>
      </c>
      <c r="B276" s="937"/>
      <c r="C276" s="262">
        <v>0</v>
      </c>
      <c r="D276" s="261">
        <v>0</v>
      </c>
      <c r="E276" s="262">
        <v>0</v>
      </c>
      <c r="F276" s="261">
        <v>0</v>
      </c>
      <c r="G276" s="262">
        <v>0</v>
      </c>
      <c r="H276" s="233">
        <v>0</v>
      </c>
      <c r="I276" s="58"/>
      <c r="J276" s="57"/>
      <c r="N276" s="41"/>
    </row>
    <row r="277" spans="1:30" ht="16" thickBot="1" x14ac:dyDescent="0.4">
      <c r="A277" s="869" t="s">
        <v>245</v>
      </c>
      <c r="B277" s="870"/>
      <c r="C277" s="314">
        <v>0</v>
      </c>
      <c r="D277" s="315">
        <v>0</v>
      </c>
      <c r="E277" s="314">
        <v>0</v>
      </c>
      <c r="F277" s="315">
        <v>0</v>
      </c>
      <c r="G277" s="314">
        <v>0</v>
      </c>
      <c r="H277" s="316">
        <v>0</v>
      </c>
      <c r="I277" s="89"/>
      <c r="J277" s="57"/>
      <c r="N277" s="41"/>
    </row>
    <row r="278" spans="1:30" ht="14.5" thickBot="1" x14ac:dyDescent="0.35">
      <c r="A278" s="871" t="s">
        <v>11</v>
      </c>
      <c r="B278" s="872"/>
      <c r="C278" s="298">
        <f t="shared" ref="C278:H278" si="11">SUM(C271:C277)</f>
        <v>0</v>
      </c>
      <c r="D278" s="297">
        <f t="shared" si="11"/>
        <v>0</v>
      </c>
      <c r="E278" s="298">
        <f t="shared" si="11"/>
        <v>0</v>
      </c>
      <c r="F278" s="297">
        <f t="shared" si="11"/>
        <v>0</v>
      </c>
      <c r="G278" s="298">
        <f t="shared" si="11"/>
        <v>0</v>
      </c>
      <c r="H278" s="297">
        <f t="shared" si="11"/>
        <v>0</v>
      </c>
      <c r="J278" s="57"/>
      <c r="N278" s="41"/>
    </row>
    <row r="279" spans="1:30" ht="14.5" thickTop="1" x14ac:dyDescent="0.3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</row>
    <row r="280" spans="1:30" ht="15.5" x14ac:dyDescent="0.35">
      <c r="A280" s="876" t="s">
        <v>371</v>
      </c>
      <c r="B280" s="876"/>
      <c r="C280" s="876"/>
      <c r="D280" s="876"/>
      <c r="E280" s="876"/>
      <c r="F280" s="876"/>
      <c r="G280" s="876"/>
      <c r="H280" s="876"/>
      <c r="I280" s="876"/>
      <c r="J280" s="876"/>
      <c r="K280" s="876"/>
      <c r="L280" s="876"/>
      <c r="M280" s="876"/>
      <c r="N280" s="876"/>
      <c r="O280" s="876"/>
      <c r="P280" s="876"/>
      <c r="Q280" s="876"/>
      <c r="R280" s="876"/>
      <c r="S280" s="876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</row>
    <row r="281" spans="1:30" ht="14.5" thickBot="1" x14ac:dyDescent="0.35"/>
    <row r="282" spans="1:30" ht="17.25" customHeight="1" thickTop="1" thickBot="1" x14ac:dyDescent="0.4">
      <c r="A282" s="873" t="s">
        <v>372</v>
      </c>
      <c r="B282" s="874"/>
      <c r="C282" s="875" t="s">
        <v>373</v>
      </c>
      <c r="D282" s="875"/>
      <c r="E282" s="875" t="s">
        <v>374</v>
      </c>
      <c r="F282" s="399"/>
      <c r="G282" s="399" t="s">
        <v>375</v>
      </c>
      <c r="H282" s="547"/>
      <c r="I282" s="545" t="s">
        <v>11</v>
      </c>
      <c r="J282" s="547"/>
      <c r="K282" s="85"/>
      <c r="M282" s="89"/>
      <c r="N282" s="89"/>
    </row>
    <row r="283" spans="1:30" s="90" customFormat="1" ht="17.25" customHeight="1" thickTop="1" thickBot="1" x14ac:dyDescent="0.4">
      <c r="A283" s="1060">
        <v>0</v>
      </c>
      <c r="B283" s="1061"/>
      <c r="C283" s="1062">
        <v>0</v>
      </c>
      <c r="D283" s="1062"/>
      <c r="E283" s="1062">
        <v>0</v>
      </c>
      <c r="F283" s="1062"/>
      <c r="G283" s="1021">
        <v>0</v>
      </c>
      <c r="H283" s="1022"/>
      <c r="I283" s="1023">
        <f>SUM(A283:H283)</f>
        <v>0</v>
      </c>
      <c r="J283" s="1024"/>
      <c r="K283" s="66"/>
      <c r="L283" s="41"/>
      <c r="M283" s="89"/>
      <c r="N283" s="89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</row>
    <row r="284" spans="1:30" ht="14.5" thickTop="1" x14ac:dyDescent="0.3"/>
    <row r="285" spans="1:30" ht="15.5" x14ac:dyDescent="0.3">
      <c r="A285" s="1063" t="s">
        <v>376</v>
      </c>
      <c r="B285" s="1063"/>
      <c r="C285" s="1063"/>
      <c r="D285" s="1063"/>
      <c r="E285" s="1063"/>
      <c r="F285" s="1063"/>
      <c r="G285" s="1063"/>
      <c r="H285" s="1063"/>
      <c r="I285" s="1063"/>
      <c r="J285" s="1063"/>
      <c r="K285" s="1063"/>
      <c r="L285" s="1063"/>
      <c r="M285" s="1063"/>
      <c r="N285" s="1063"/>
      <c r="O285" s="1063"/>
      <c r="P285" s="1063"/>
      <c r="Q285" s="1063"/>
      <c r="R285" s="1063"/>
      <c r="S285" s="1063"/>
    </row>
    <row r="286" spans="1:30" ht="15.5" x14ac:dyDescent="0.3">
      <c r="A286" s="254"/>
      <c r="B286" s="254"/>
      <c r="C286" s="254"/>
      <c r="D286" s="254"/>
      <c r="E286" s="254"/>
      <c r="F286" s="254"/>
      <c r="G286" s="254"/>
      <c r="H286" s="254"/>
      <c r="I286" s="254"/>
      <c r="J286" s="254"/>
      <c r="K286" s="254"/>
      <c r="L286" s="254"/>
      <c r="M286" s="254"/>
      <c r="N286" s="254"/>
      <c r="O286" s="254"/>
      <c r="P286" s="254"/>
      <c r="Q286" s="254"/>
      <c r="R286" s="254"/>
      <c r="S286" s="254"/>
    </row>
    <row r="287" spans="1:30" ht="16" thickBot="1" x14ac:dyDescent="0.35">
      <c r="A287" s="267" t="s">
        <v>377</v>
      </c>
      <c r="B287" s="317"/>
      <c r="C287" s="317"/>
      <c r="D287" s="317"/>
      <c r="E287" s="317"/>
      <c r="F287" s="317"/>
      <c r="G287" s="317"/>
      <c r="H287" s="317"/>
      <c r="I287" s="317"/>
      <c r="J287" s="317"/>
      <c r="K287" s="254"/>
      <c r="L287" s="254"/>
      <c r="M287" s="254"/>
      <c r="N287" s="254"/>
      <c r="O287" s="254"/>
      <c r="P287" s="254"/>
      <c r="Q287" s="254"/>
      <c r="R287" s="254"/>
      <c r="S287" s="254"/>
    </row>
    <row r="288" spans="1:30" ht="31.5" customHeight="1" thickTop="1" x14ac:dyDescent="0.3">
      <c r="A288" s="1051" t="s">
        <v>378</v>
      </c>
      <c r="B288" s="1052"/>
      <c r="C288" s="1052"/>
      <c r="D288" s="1052"/>
      <c r="E288" s="1052"/>
      <c r="F288" s="1052"/>
      <c r="G288" s="1052"/>
      <c r="H288" s="1052"/>
      <c r="I288" s="1053"/>
      <c r="J288" s="342">
        <v>0</v>
      </c>
      <c r="K288" s="254"/>
      <c r="L288" s="254"/>
      <c r="M288" s="254"/>
      <c r="N288" s="254"/>
      <c r="O288" s="254"/>
      <c r="P288" s="254"/>
      <c r="Q288" s="254"/>
      <c r="R288" s="254"/>
      <c r="S288" s="254"/>
    </row>
    <row r="289" spans="1:19" ht="31.5" customHeight="1" thickBot="1" x14ac:dyDescent="0.35">
      <c r="A289" s="1054" t="s">
        <v>379</v>
      </c>
      <c r="B289" s="1055"/>
      <c r="C289" s="1055"/>
      <c r="D289" s="1055"/>
      <c r="E289" s="1055"/>
      <c r="F289" s="1055"/>
      <c r="G289" s="1055"/>
      <c r="H289" s="1055"/>
      <c r="I289" s="1056"/>
      <c r="J289" s="343">
        <v>0</v>
      </c>
      <c r="K289" s="254"/>
      <c r="L289" s="254"/>
      <c r="M289" s="254"/>
      <c r="N289" s="254"/>
      <c r="O289" s="254"/>
      <c r="P289" s="254"/>
      <c r="Q289" s="254"/>
      <c r="R289" s="254"/>
      <c r="S289" s="254"/>
    </row>
    <row r="290" spans="1:19" ht="16" thickTop="1" x14ac:dyDescent="0.35">
      <c r="A290" s="253"/>
      <c r="B290" s="253"/>
      <c r="C290" s="253"/>
      <c r="D290" s="253"/>
      <c r="E290" s="253"/>
      <c r="F290" s="253"/>
      <c r="G290" s="253"/>
      <c r="H290" s="253"/>
      <c r="I290" s="253"/>
      <c r="J290" s="253"/>
      <c r="K290" s="253"/>
      <c r="L290" s="253"/>
    </row>
    <row r="291" spans="1:19" ht="14.5" thickBot="1" x14ac:dyDescent="0.35">
      <c r="A291" s="267" t="s">
        <v>380</v>
      </c>
      <c r="B291" s="267"/>
      <c r="C291" s="267"/>
      <c r="D291" s="267"/>
      <c r="E291" s="267"/>
      <c r="F291" s="318"/>
      <c r="G291" s="318"/>
      <c r="H291" s="318"/>
      <c r="I291" s="318"/>
    </row>
    <row r="292" spans="1:19" ht="16" thickTop="1" x14ac:dyDescent="0.3">
      <c r="A292" s="903" t="s">
        <v>381</v>
      </c>
      <c r="B292" s="904"/>
      <c r="C292" s="904"/>
      <c r="D292" s="904"/>
      <c r="E292" s="904"/>
      <c r="F292" s="1057">
        <v>0</v>
      </c>
      <c r="G292" s="1058"/>
      <c r="H292" s="1058"/>
      <c r="I292" s="1059"/>
      <c r="M292" s="91"/>
    </row>
    <row r="293" spans="1:19" x14ac:dyDescent="0.3">
      <c r="A293" s="1027" t="s">
        <v>382</v>
      </c>
      <c r="B293" s="1028"/>
      <c r="C293" s="1028"/>
      <c r="D293" s="1028"/>
      <c r="E293" s="1028"/>
      <c r="F293" s="1046">
        <v>0</v>
      </c>
      <c r="G293" s="1047"/>
      <c r="H293" s="1047"/>
      <c r="I293" s="1048"/>
      <c r="M293" s="57"/>
      <c r="N293" s="41"/>
    </row>
    <row r="294" spans="1:19" ht="31.5" customHeight="1" x14ac:dyDescent="0.3">
      <c r="A294" s="1025" t="s">
        <v>383</v>
      </c>
      <c r="B294" s="1026"/>
      <c r="C294" s="1026"/>
      <c r="D294" s="1026"/>
      <c r="E294" s="1026"/>
      <c r="F294" s="1031">
        <v>0</v>
      </c>
      <c r="G294" s="1032"/>
      <c r="H294" s="1032"/>
      <c r="I294" s="1033"/>
      <c r="M294" s="57"/>
      <c r="N294" s="41"/>
    </row>
    <row r="295" spans="1:19" ht="47.25" customHeight="1" thickBot="1" x14ac:dyDescent="0.35">
      <c r="A295" s="1029" t="s">
        <v>384</v>
      </c>
      <c r="B295" s="1030"/>
      <c r="C295" s="1030"/>
      <c r="D295" s="1030"/>
      <c r="E295" s="1030"/>
      <c r="F295" s="1034">
        <v>0</v>
      </c>
      <c r="G295" s="1035"/>
      <c r="H295" s="1035"/>
      <c r="I295" s="1036"/>
      <c r="M295" s="57"/>
      <c r="N295" s="41"/>
    </row>
    <row r="296" spans="1:19" ht="15.75" customHeight="1" thickTop="1" x14ac:dyDescent="0.3">
      <c r="A296" s="252"/>
      <c r="B296" s="252"/>
      <c r="C296" s="252"/>
      <c r="D296" s="252"/>
      <c r="E296" s="252"/>
      <c r="F296" s="255"/>
      <c r="G296" s="255"/>
      <c r="H296" s="255"/>
      <c r="I296" s="255"/>
      <c r="M296" s="57"/>
      <c r="N296" s="41"/>
    </row>
    <row r="297" spans="1:19" ht="15.75" customHeight="1" thickBot="1" x14ac:dyDescent="0.35">
      <c r="A297" s="260" t="s">
        <v>385</v>
      </c>
      <c r="B297" s="319"/>
      <c r="C297" s="319"/>
      <c r="D297" s="319"/>
      <c r="E297" s="319"/>
      <c r="F297" s="320"/>
      <c r="G297" s="320"/>
      <c r="H297" s="320"/>
      <c r="I297" s="320"/>
      <c r="J297" s="269"/>
      <c r="M297" s="57"/>
      <c r="N297" s="41"/>
    </row>
    <row r="298" spans="1:19" ht="31.5" customHeight="1" thickTop="1" thickBot="1" x14ac:dyDescent="0.35">
      <c r="A298" s="1037" t="s">
        <v>386</v>
      </c>
      <c r="B298" s="1038"/>
      <c r="C298" s="1038"/>
      <c r="D298" s="1038"/>
      <c r="E298" s="1038"/>
      <c r="F298" s="1038"/>
      <c r="G298" s="1038"/>
      <c r="H298" s="1038"/>
      <c r="I298" s="1039"/>
      <c r="J298" s="335">
        <v>0</v>
      </c>
      <c r="M298" s="57"/>
      <c r="N298" s="41"/>
    </row>
    <row r="299" spans="1:19" ht="15.75" customHeight="1" thickTop="1" x14ac:dyDescent="0.3">
      <c r="A299" s="71"/>
      <c r="B299" s="71"/>
      <c r="C299" s="71"/>
      <c r="D299" s="71"/>
      <c r="E299" s="71"/>
      <c r="F299" s="64"/>
      <c r="G299" s="64"/>
      <c r="H299" s="64"/>
      <c r="I299" s="64"/>
      <c r="M299" s="57"/>
      <c r="N299" s="41"/>
    </row>
    <row r="300" spans="1:19" ht="15" thickBot="1" x14ac:dyDescent="0.4">
      <c r="A300" s="673" t="s">
        <v>387</v>
      </c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73"/>
      <c r="M300" s="57"/>
      <c r="N300" s="41"/>
    </row>
    <row r="301" spans="1:19" ht="15.5" thickTop="1" thickBot="1" x14ac:dyDescent="0.4">
      <c r="A301" s="897" t="s">
        <v>388</v>
      </c>
      <c r="B301" s="898"/>
      <c r="C301" s="898"/>
      <c r="D301" s="898"/>
      <c r="E301" s="899"/>
      <c r="F301" s="321" t="s">
        <v>389</v>
      </c>
      <c r="G301" s="322" t="s">
        <v>390</v>
      </c>
      <c r="H301" s="900" t="s">
        <v>391</v>
      </c>
      <c r="I301" s="901"/>
      <c r="J301" s="900" t="s">
        <v>392</v>
      </c>
      <c r="K301" s="902"/>
      <c r="M301" s="57"/>
      <c r="N301" s="41"/>
    </row>
    <row r="302" spans="1:19" ht="14.5" thickTop="1" x14ac:dyDescent="0.3">
      <c r="A302" s="887" t="s">
        <v>393</v>
      </c>
      <c r="B302" s="888"/>
      <c r="C302" s="888"/>
      <c r="D302" s="888"/>
      <c r="E302" s="889"/>
      <c r="F302" s="323">
        <v>0</v>
      </c>
      <c r="G302" s="324">
        <v>0</v>
      </c>
      <c r="H302" s="890">
        <v>0</v>
      </c>
      <c r="I302" s="891"/>
      <c r="J302" s="890">
        <v>0</v>
      </c>
      <c r="K302" s="892"/>
    </row>
    <row r="303" spans="1:19" ht="16" thickBot="1" x14ac:dyDescent="0.4">
      <c r="A303" s="1042" t="s">
        <v>394</v>
      </c>
      <c r="B303" s="1043"/>
      <c r="C303" s="1043"/>
      <c r="D303" s="1043"/>
      <c r="E303" s="1044"/>
      <c r="F303" s="325">
        <v>0</v>
      </c>
      <c r="G303" s="326">
        <v>0</v>
      </c>
      <c r="H303" s="905">
        <v>0</v>
      </c>
      <c r="I303" s="1045"/>
      <c r="J303" s="905">
        <v>0</v>
      </c>
      <c r="K303" s="906"/>
      <c r="M303" s="92"/>
      <c r="N303" s="92"/>
    </row>
    <row r="304" spans="1:19" ht="16.5" thickTop="1" thickBot="1" x14ac:dyDescent="0.4">
      <c r="A304" s="871" t="s">
        <v>11</v>
      </c>
      <c r="B304" s="907"/>
      <c r="C304" s="907"/>
      <c r="D304" s="907"/>
      <c r="E304" s="872"/>
      <c r="F304" s="327">
        <f>SUM(F302:F303)</f>
        <v>0</v>
      </c>
      <c r="G304" s="328">
        <f>SUM(G302:G303)</f>
        <v>0</v>
      </c>
      <c r="H304" s="908">
        <f>SUM(H302:I303)</f>
        <v>0</v>
      </c>
      <c r="I304" s="909"/>
      <c r="J304" s="908">
        <f>SUM(J302:K303)</f>
        <v>0</v>
      </c>
      <c r="K304" s="910"/>
      <c r="L304" s="91"/>
      <c r="M304" s="92"/>
      <c r="N304" s="92"/>
    </row>
    <row r="305" spans="1:33" ht="15.75" customHeight="1" thickTop="1" x14ac:dyDescent="0.35">
      <c r="A305" s="44"/>
      <c r="B305" s="44"/>
      <c r="C305" s="44"/>
      <c r="D305" s="44"/>
      <c r="E305" s="44"/>
      <c r="F305" s="329"/>
      <c r="G305" s="329"/>
      <c r="H305" s="329"/>
      <c r="I305" s="330"/>
      <c r="J305" s="329"/>
      <c r="K305" s="330"/>
      <c r="L305" s="91"/>
      <c r="M305" s="92"/>
      <c r="N305" s="92"/>
    </row>
    <row r="306" spans="1:33" ht="15.75" customHeight="1" thickBot="1" x14ac:dyDescent="0.35">
      <c r="A306" s="260" t="s">
        <v>395</v>
      </c>
      <c r="B306" s="319"/>
      <c r="C306" s="319"/>
      <c r="D306" s="319"/>
      <c r="E306" s="319"/>
      <c r="F306" s="320"/>
      <c r="G306" s="320"/>
      <c r="H306" s="320"/>
      <c r="I306" s="320"/>
      <c r="J306" s="269"/>
      <c r="K306" s="269"/>
      <c r="M306" s="57"/>
      <c r="N306" s="41"/>
    </row>
    <row r="307" spans="1:33" ht="31.5" customHeight="1" thickTop="1" thickBot="1" x14ac:dyDescent="0.35">
      <c r="A307" s="1037" t="s">
        <v>396</v>
      </c>
      <c r="B307" s="1038"/>
      <c r="C307" s="1038"/>
      <c r="D307" s="1038"/>
      <c r="E307" s="1038"/>
      <c r="F307" s="1038"/>
      <c r="G307" s="1038"/>
      <c r="H307" s="1038"/>
      <c r="I307" s="1038"/>
      <c r="J307" s="1040"/>
      <c r="K307" s="1041"/>
      <c r="M307" s="57"/>
      <c r="N307" s="41"/>
    </row>
    <row r="308" spans="1:33" ht="15.75" customHeight="1" thickTop="1" x14ac:dyDescent="0.3">
      <c r="A308" s="252"/>
      <c r="B308" s="252"/>
      <c r="C308" s="252"/>
      <c r="D308" s="252"/>
      <c r="E308" s="252"/>
      <c r="F308" s="252"/>
      <c r="G308" s="252"/>
      <c r="H308" s="252"/>
      <c r="I308" s="252"/>
      <c r="J308" s="256"/>
      <c r="K308" s="256"/>
      <c r="M308" s="57"/>
      <c r="N308" s="41"/>
    </row>
    <row r="309" spans="1:33" s="90" customFormat="1" ht="15.75" customHeight="1" x14ac:dyDescent="0.35">
      <c r="A309" s="876" t="s">
        <v>397</v>
      </c>
      <c r="B309" s="876"/>
      <c r="C309" s="876"/>
      <c r="D309" s="876"/>
      <c r="E309" s="876"/>
      <c r="F309" s="876"/>
      <c r="G309" s="876"/>
      <c r="H309" s="876"/>
      <c r="I309" s="876"/>
      <c r="J309" s="876"/>
      <c r="K309" s="876"/>
      <c r="L309" s="876"/>
      <c r="M309" s="876"/>
      <c r="N309" s="876"/>
      <c r="O309" s="876"/>
      <c r="P309" s="876"/>
      <c r="Q309" s="876"/>
      <c r="R309" s="876"/>
      <c r="S309" s="876"/>
    </row>
    <row r="310" spans="1:33" ht="15.75" customHeight="1" thickBot="1" x14ac:dyDescent="0.35">
      <c r="A310" s="252"/>
      <c r="B310" s="252"/>
      <c r="C310" s="252"/>
      <c r="D310" s="252"/>
      <c r="E310" s="252"/>
      <c r="F310" s="252"/>
      <c r="G310" s="252"/>
      <c r="H310" s="252"/>
      <c r="I310" s="252"/>
      <c r="J310" s="256"/>
      <c r="K310" s="256"/>
      <c r="M310" s="57"/>
      <c r="N310" s="41"/>
    </row>
    <row r="311" spans="1:33" s="269" customFormat="1" ht="15.75" customHeight="1" thickTop="1" thickBot="1" x14ac:dyDescent="0.35">
      <c r="A311" s="1037" t="s">
        <v>398</v>
      </c>
      <c r="B311" s="1038"/>
      <c r="C311" s="1038"/>
      <c r="D311" s="1038"/>
      <c r="E311" s="1038"/>
      <c r="F311" s="1038"/>
      <c r="G311" s="1038"/>
      <c r="H311" s="1038"/>
      <c r="I311" s="1039"/>
      <c r="J311" s="335">
        <v>0</v>
      </c>
      <c r="K311" s="338"/>
      <c r="M311" s="310"/>
    </row>
    <row r="312" spans="1:33" ht="15.75" customHeight="1" thickTop="1" x14ac:dyDescent="0.3">
      <c r="A312" s="71"/>
      <c r="B312" s="71"/>
      <c r="C312" s="71"/>
      <c r="D312" s="71"/>
      <c r="E312" s="71"/>
      <c r="F312" s="58"/>
      <c r="G312" s="58"/>
      <c r="H312" s="58"/>
      <c r="I312" s="58"/>
    </row>
    <row r="313" spans="1:33" s="90" customFormat="1" ht="15" customHeight="1" x14ac:dyDescent="0.35">
      <c r="A313" s="876" t="s">
        <v>399</v>
      </c>
      <c r="B313" s="876"/>
      <c r="C313" s="876"/>
      <c r="D313" s="876"/>
      <c r="E313" s="876"/>
      <c r="F313" s="876"/>
      <c r="G313" s="876"/>
      <c r="H313" s="876"/>
      <c r="I313" s="876"/>
      <c r="J313" s="876"/>
      <c r="K313" s="876"/>
      <c r="L313" s="876"/>
      <c r="M313" s="876"/>
      <c r="N313" s="876"/>
      <c r="O313" s="876"/>
      <c r="P313" s="876"/>
      <c r="Q313" s="876"/>
      <c r="R313" s="876"/>
      <c r="S313" s="876"/>
    </row>
    <row r="314" spans="1:33" ht="15" customHeight="1" x14ac:dyDescent="0.35">
      <c r="A314" s="89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</row>
    <row r="315" spans="1:33" ht="15" customHeight="1" thickBot="1" x14ac:dyDescent="0.35">
      <c r="A315" s="673" t="s">
        <v>400</v>
      </c>
      <c r="B315" s="673"/>
      <c r="C315" s="673"/>
      <c r="D315" s="673"/>
      <c r="E315" s="673"/>
      <c r="F315" s="673"/>
      <c r="G315" s="673"/>
      <c r="H315" s="673"/>
      <c r="I315" s="673"/>
      <c r="J315" s="673"/>
    </row>
    <row r="316" spans="1:33" ht="15" customHeight="1" thickTop="1" x14ac:dyDescent="0.3">
      <c r="A316" s="1018" t="s">
        <v>401</v>
      </c>
      <c r="B316" s="1019"/>
      <c r="C316" s="1019"/>
      <c r="D316" s="1019"/>
      <c r="E316" s="1019"/>
      <c r="F316" s="1019"/>
      <c r="G316" s="1019"/>
      <c r="H316" s="1019"/>
      <c r="I316" s="1020"/>
      <c r="J316" s="331">
        <v>0</v>
      </c>
      <c r="L316" s="91"/>
      <c r="T316" s="446"/>
      <c r="U316" s="446"/>
      <c r="V316" s="446"/>
      <c r="W316" s="446"/>
      <c r="X316" s="446"/>
      <c r="Y316" s="446"/>
      <c r="Z316" s="446"/>
      <c r="AA316" s="446"/>
      <c r="AB316" s="446"/>
      <c r="AC316" s="446"/>
      <c r="AD316" s="446"/>
      <c r="AE316" s="446"/>
      <c r="AF316" s="446"/>
      <c r="AG316" s="446"/>
    </row>
    <row r="317" spans="1:33" ht="15" customHeight="1" thickBot="1" x14ac:dyDescent="0.35">
      <c r="A317" s="893" t="s">
        <v>402</v>
      </c>
      <c r="B317" s="894"/>
      <c r="C317" s="894"/>
      <c r="D317" s="894"/>
      <c r="E317" s="894"/>
      <c r="F317" s="894"/>
      <c r="G317" s="894"/>
      <c r="H317" s="894"/>
      <c r="I317" s="895"/>
      <c r="J317" s="332">
        <v>0</v>
      </c>
    </row>
    <row r="318" spans="1:33" ht="15" customHeight="1" thickTop="1" x14ac:dyDescent="0.3">
      <c r="A318" s="333"/>
      <c r="B318" s="333"/>
      <c r="C318" s="333"/>
      <c r="D318" s="333"/>
      <c r="E318" s="333"/>
      <c r="F318" s="333"/>
      <c r="G318" s="333"/>
      <c r="H318" s="333"/>
      <c r="I318" s="339"/>
      <c r="J318" s="334"/>
    </row>
    <row r="319" spans="1:33" ht="14.5" thickBot="1" x14ac:dyDescent="0.35">
      <c r="A319" s="673" t="s">
        <v>403</v>
      </c>
      <c r="B319" s="673"/>
      <c r="C319" s="673"/>
      <c r="D319" s="673"/>
      <c r="E319" s="673"/>
      <c r="F319" s="673"/>
      <c r="G319" s="673"/>
      <c r="H319" s="673"/>
      <c r="I319" s="673"/>
      <c r="J319" s="673"/>
    </row>
    <row r="320" spans="1:33" ht="16.5" thickTop="1" thickBot="1" x14ac:dyDescent="0.4">
      <c r="A320" s="1012" t="s">
        <v>404</v>
      </c>
      <c r="B320" s="1013"/>
      <c r="C320" s="1013"/>
      <c r="D320" s="1013"/>
      <c r="E320" s="1013"/>
      <c r="F320" s="1013"/>
      <c r="G320" s="1013"/>
      <c r="H320" s="1013"/>
      <c r="I320" s="1014"/>
      <c r="J320" s="335">
        <v>0</v>
      </c>
      <c r="L320" s="91"/>
      <c r="M320" s="81"/>
    </row>
    <row r="321" spans="1:19" ht="15.75" customHeight="1" thickTop="1" x14ac:dyDescent="0.35">
      <c r="A321" s="257"/>
      <c r="B321" s="257"/>
      <c r="C321" s="257"/>
      <c r="D321" s="257"/>
      <c r="E321" s="257"/>
      <c r="F321" s="257"/>
      <c r="G321" s="257"/>
      <c r="H321" s="257"/>
      <c r="I321" s="258"/>
      <c r="J321" s="259"/>
      <c r="L321" s="91"/>
      <c r="M321" s="81"/>
    </row>
    <row r="322" spans="1:19" s="90" customFormat="1" ht="15.75" customHeight="1" x14ac:dyDescent="0.35">
      <c r="A322" s="876" t="s">
        <v>405</v>
      </c>
      <c r="B322" s="876"/>
      <c r="C322" s="876"/>
      <c r="D322" s="876"/>
      <c r="E322" s="876"/>
      <c r="F322" s="876"/>
      <c r="G322" s="876"/>
      <c r="H322" s="876"/>
      <c r="I322" s="876"/>
      <c r="J322" s="876"/>
      <c r="K322" s="876"/>
      <c r="L322" s="876"/>
      <c r="M322" s="876"/>
      <c r="N322" s="876"/>
      <c r="O322" s="876"/>
      <c r="P322" s="876"/>
      <c r="Q322" s="876"/>
      <c r="R322" s="876"/>
      <c r="S322" s="876"/>
    </row>
    <row r="323" spans="1:19" ht="15.75" customHeight="1" thickBot="1" x14ac:dyDescent="0.4">
      <c r="A323" s="336"/>
      <c r="B323" s="336"/>
      <c r="C323" s="336"/>
      <c r="D323" s="336"/>
      <c r="E323" s="336"/>
      <c r="F323" s="336"/>
      <c r="G323" s="336"/>
      <c r="H323" s="336"/>
      <c r="I323" s="340"/>
      <c r="J323" s="337"/>
      <c r="L323" s="91"/>
      <c r="M323" s="81"/>
    </row>
    <row r="324" spans="1:19" ht="15.75" customHeight="1" thickTop="1" thickBot="1" x14ac:dyDescent="0.4">
      <c r="A324" s="1015" t="s">
        <v>406</v>
      </c>
      <c r="B324" s="1016"/>
      <c r="C324" s="1016"/>
      <c r="D324" s="1016"/>
      <c r="E324" s="1016"/>
      <c r="F324" s="1016"/>
      <c r="G324" s="1016"/>
      <c r="H324" s="1016"/>
      <c r="I324" s="1017"/>
      <c r="J324" s="335">
        <v>0</v>
      </c>
      <c r="L324" s="91"/>
      <c r="M324" s="81"/>
    </row>
    <row r="325" spans="1:19" ht="16" thickTop="1" x14ac:dyDescent="0.35">
      <c r="A325" s="94"/>
      <c r="B325" s="94"/>
      <c r="C325" s="94"/>
      <c r="D325" s="94"/>
      <c r="E325" s="94"/>
      <c r="F325" s="94"/>
      <c r="G325" s="94"/>
      <c r="H325" s="94"/>
      <c r="I325" s="73"/>
      <c r="J325" s="93"/>
      <c r="M325" s="81"/>
    </row>
    <row r="326" spans="1:19" s="90" customFormat="1" ht="15.5" x14ac:dyDescent="0.35">
      <c r="A326" s="876" t="s">
        <v>407</v>
      </c>
      <c r="B326" s="876"/>
      <c r="C326" s="876"/>
      <c r="D326" s="876"/>
      <c r="E326" s="876"/>
      <c r="F326" s="876"/>
      <c r="G326" s="876"/>
      <c r="H326" s="876"/>
      <c r="I326" s="876"/>
      <c r="J326" s="876"/>
      <c r="K326" s="876"/>
      <c r="L326" s="876"/>
      <c r="M326" s="876"/>
      <c r="N326" s="876"/>
      <c r="O326" s="876"/>
      <c r="P326" s="876"/>
      <c r="Q326" s="876"/>
      <c r="R326" s="876"/>
      <c r="S326" s="876"/>
    </row>
    <row r="327" spans="1:19" ht="15.5" x14ac:dyDescent="0.35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N327" s="75"/>
    </row>
    <row r="328" spans="1:19" s="269" customFormat="1" ht="15.75" customHeight="1" x14ac:dyDescent="0.3">
      <c r="A328" s="520" t="s">
        <v>408</v>
      </c>
      <c r="B328" s="520"/>
      <c r="C328" s="520"/>
      <c r="D328" s="520"/>
      <c r="E328" s="520"/>
      <c r="F328" s="520"/>
      <c r="G328" s="520"/>
      <c r="H328" s="520"/>
      <c r="I328" s="520"/>
      <c r="J328" s="520"/>
      <c r="K328" s="520"/>
      <c r="L328" s="520"/>
      <c r="N328" s="341"/>
    </row>
    <row r="329" spans="1:19" ht="14.5" thickBot="1" x14ac:dyDescent="0.35">
      <c r="N329" s="75"/>
    </row>
    <row r="330" spans="1:19" ht="15" thickTop="1" thickBot="1" x14ac:dyDescent="0.35">
      <c r="A330" s="1004" t="s">
        <v>270</v>
      </c>
      <c r="B330" s="1005"/>
      <c r="C330" s="1005"/>
      <c r="D330" s="1005"/>
      <c r="E330" s="1005"/>
      <c r="F330" s="1005"/>
      <c r="G330" s="1005"/>
      <c r="H330" s="1006"/>
      <c r="I330" s="408" t="s">
        <v>206</v>
      </c>
      <c r="J330" s="408"/>
      <c r="K330" s="408"/>
      <c r="L330" s="371"/>
      <c r="N330" s="75"/>
    </row>
    <row r="331" spans="1:19" ht="14.5" thickTop="1" x14ac:dyDescent="0.3">
      <c r="A331" s="1007" t="s">
        <v>271</v>
      </c>
      <c r="B331" s="1008"/>
      <c r="C331" s="1008"/>
      <c r="D331" s="1008"/>
      <c r="E331" s="1008"/>
      <c r="F331" s="1008"/>
      <c r="G331" s="1008"/>
      <c r="H331" s="1009"/>
      <c r="I331" s="1010">
        <v>0</v>
      </c>
      <c r="J331" s="1010"/>
      <c r="K331" s="1010"/>
      <c r="L331" s="1011"/>
      <c r="M331" s="141"/>
      <c r="N331" s="75"/>
    </row>
    <row r="332" spans="1:19" x14ac:dyDescent="0.3">
      <c r="A332" s="877" t="s">
        <v>272</v>
      </c>
      <c r="B332" s="878"/>
      <c r="C332" s="878"/>
      <c r="D332" s="878"/>
      <c r="E332" s="878"/>
      <c r="F332" s="878"/>
      <c r="G332" s="878"/>
      <c r="H332" s="879"/>
      <c r="I332" s="984">
        <v>0</v>
      </c>
      <c r="J332" s="984"/>
      <c r="K332" s="984"/>
      <c r="L332" s="985"/>
      <c r="N332" s="75"/>
    </row>
    <row r="333" spans="1:19" ht="14.5" thickBot="1" x14ac:dyDescent="0.35">
      <c r="A333" s="877" t="s">
        <v>273</v>
      </c>
      <c r="B333" s="878"/>
      <c r="C333" s="878"/>
      <c r="D333" s="878"/>
      <c r="E333" s="878"/>
      <c r="F333" s="986"/>
      <c r="G333" s="986"/>
      <c r="H333" s="987"/>
      <c r="I333" s="740">
        <f>SUM(F334:H335)</f>
        <v>0</v>
      </c>
      <c r="J333" s="740"/>
      <c r="K333" s="740"/>
      <c r="L333" s="741"/>
      <c r="N333" s="75"/>
    </row>
    <row r="334" spans="1:19" ht="14.5" thickTop="1" x14ac:dyDescent="0.3">
      <c r="A334" s="988" t="s">
        <v>274</v>
      </c>
      <c r="B334" s="989"/>
      <c r="C334" s="989"/>
      <c r="D334" s="989"/>
      <c r="E334" s="990"/>
      <c r="F334" s="991">
        <v>0</v>
      </c>
      <c r="G334" s="992"/>
      <c r="H334" s="993"/>
      <c r="I334" s="994"/>
      <c r="J334" s="994"/>
      <c r="K334" s="994"/>
      <c r="L334" s="995"/>
      <c r="N334" s="75"/>
    </row>
    <row r="335" spans="1:19" ht="14.5" thickBot="1" x14ac:dyDescent="0.35">
      <c r="A335" s="998" t="s">
        <v>275</v>
      </c>
      <c r="B335" s="999"/>
      <c r="C335" s="999"/>
      <c r="D335" s="999"/>
      <c r="E335" s="1000"/>
      <c r="F335" s="1001">
        <v>0</v>
      </c>
      <c r="G335" s="1002"/>
      <c r="H335" s="1003"/>
      <c r="I335" s="996"/>
      <c r="J335" s="996"/>
      <c r="K335" s="996"/>
      <c r="L335" s="997"/>
      <c r="N335" s="75"/>
    </row>
    <row r="336" spans="1:19" ht="15" thickTop="1" thickBot="1" x14ac:dyDescent="0.35">
      <c r="A336" s="911" t="s">
        <v>11</v>
      </c>
      <c r="B336" s="912"/>
      <c r="C336" s="912"/>
      <c r="D336" s="912"/>
      <c r="E336" s="912"/>
      <c r="F336" s="912"/>
      <c r="G336" s="912"/>
      <c r="H336" s="913"/>
      <c r="I336" s="701">
        <f>SUM(I331:L333)</f>
        <v>0</v>
      </c>
      <c r="J336" s="702"/>
      <c r="K336" s="702"/>
      <c r="L336" s="703"/>
      <c r="N336" s="75"/>
    </row>
    <row r="337" spans="1:14" ht="14.5" thickTop="1" x14ac:dyDescent="0.3">
      <c r="F337" s="983"/>
      <c r="G337" s="983"/>
      <c r="H337" s="983"/>
      <c r="N337" s="75"/>
    </row>
    <row r="338" spans="1:14" s="269" customFormat="1" ht="14.5" thickBot="1" x14ac:dyDescent="0.35">
      <c r="A338" s="520" t="s">
        <v>409</v>
      </c>
      <c r="B338" s="520"/>
      <c r="C338" s="520"/>
      <c r="D338" s="520"/>
      <c r="E338" s="520"/>
      <c r="F338" s="520"/>
      <c r="G338" s="520"/>
      <c r="H338" s="520"/>
      <c r="N338" s="341"/>
    </row>
    <row r="339" spans="1:14" ht="29.25" customHeight="1" thickTop="1" thickBot="1" x14ac:dyDescent="0.35">
      <c r="A339" s="545" t="s">
        <v>277</v>
      </c>
      <c r="B339" s="546"/>
      <c r="C339" s="546"/>
      <c r="D339" s="546"/>
      <c r="E339" s="547"/>
      <c r="F339" s="545" t="s">
        <v>410</v>
      </c>
      <c r="G339" s="546"/>
      <c r="H339" s="547"/>
      <c r="N339" s="75"/>
    </row>
    <row r="340" spans="1:14" ht="14.5" thickTop="1" x14ac:dyDescent="0.3">
      <c r="A340" s="882" t="s">
        <v>279</v>
      </c>
      <c r="B340" s="883"/>
      <c r="C340" s="883"/>
      <c r="D340" s="883"/>
      <c r="E340" s="884"/>
      <c r="F340" s="742">
        <v>0</v>
      </c>
      <c r="G340" s="743"/>
      <c r="H340" s="744"/>
      <c r="N340" s="75"/>
    </row>
    <row r="341" spans="1:14" x14ac:dyDescent="0.3">
      <c r="A341" s="919" t="s">
        <v>280</v>
      </c>
      <c r="B341" s="920"/>
      <c r="C341" s="920"/>
      <c r="D341" s="920"/>
      <c r="E341" s="921"/>
      <c r="F341" s="539">
        <v>0</v>
      </c>
      <c r="G341" s="540"/>
      <c r="H341" s="541"/>
      <c r="N341" s="75"/>
    </row>
    <row r="342" spans="1:14" x14ac:dyDescent="0.3">
      <c r="A342" s="919" t="s">
        <v>281</v>
      </c>
      <c r="B342" s="920"/>
      <c r="C342" s="920"/>
      <c r="D342" s="920"/>
      <c r="E342" s="921"/>
      <c r="F342" s="539">
        <v>0</v>
      </c>
      <c r="G342" s="540"/>
      <c r="H342" s="541"/>
      <c r="N342" s="75"/>
    </row>
    <row r="343" spans="1:14" ht="15.75" customHeight="1" x14ac:dyDescent="0.3">
      <c r="A343" s="919" t="s">
        <v>282</v>
      </c>
      <c r="B343" s="920"/>
      <c r="C343" s="920"/>
      <c r="D343" s="920"/>
      <c r="E343" s="921"/>
      <c r="F343" s="539">
        <v>0</v>
      </c>
      <c r="G343" s="540"/>
      <c r="H343" s="541"/>
      <c r="N343" s="75"/>
    </row>
    <row r="344" spans="1:14" ht="14.5" thickBot="1" x14ac:dyDescent="0.35">
      <c r="A344" s="980" t="s">
        <v>283</v>
      </c>
      <c r="B344" s="981"/>
      <c r="C344" s="981"/>
      <c r="D344" s="981"/>
      <c r="E344" s="982"/>
      <c r="F344" s="724">
        <v>0</v>
      </c>
      <c r="G344" s="725"/>
      <c r="H344" s="726"/>
    </row>
    <row r="345" spans="1:14" ht="15" thickTop="1" thickBot="1" x14ac:dyDescent="0.35">
      <c r="A345" s="427" t="s">
        <v>11</v>
      </c>
      <c r="B345" s="428"/>
      <c r="C345" s="428"/>
      <c r="D345" s="428"/>
      <c r="E345" s="429"/>
      <c r="F345" s="727">
        <f>SUM(F340:H344)</f>
        <v>0</v>
      </c>
      <c r="G345" s="728"/>
      <c r="H345" s="729"/>
    </row>
    <row r="346" spans="1:14" ht="14.5" thickTop="1" x14ac:dyDescent="0.3">
      <c r="A346" s="248" t="s">
        <v>284</v>
      </c>
      <c r="B346" s="249"/>
      <c r="C346" s="249"/>
      <c r="D346" s="249"/>
      <c r="E346" s="249"/>
    </row>
    <row r="347" spans="1:14" ht="41.25" customHeight="1" x14ac:dyDescent="0.3"/>
    <row r="350" spans="1:14" x14ac:dyDescent="0.3">
      <c r="F350" s="58"/>
      <c r="G350" s="58"/>
      <c r="H350" s="58"/>
    </row>
  </sheetData>
  <sheetProtection selectLockedCells="1"/>
  <mergeCells count="615">
    <mergeCell ref="A129:R129"/>
    <mergeCell ref="G131:H132"/>
    <mergeCell ref="D131:F132"/>
    <mergeCell ref="K22:R23"/>
    <mergeCell ref="H39:J39"/>
    <mergeCell ref="M97:AC98"/>
    <mergeCell ref="M99:AC99"/>
    <mergeCell ref="M100:AC100"/>
    <mergeCell ref="M101:AC101"/>
    <mergeCell ref="M102:AC102"/>
    <mergeCell ref="M103:AC103"/>
    <mergeCell ref="M104:AC104"/>
    <mergeCell ref="J127:T127"/>
    <mergeCell ref="A124:I124"/>
    <mergeCell ref="J110:T110"/>
    <mergeCell ref="A33:F33"/>
    <mergeCell ref="G33:J33"/>
    <mergeCell ref="A34:F34"/>
    <mergeCell ref="G34:J34"/>
    <mergeCell ref="A40:G40"/>
    <mergeCell ref="A42:F42"/>
    <mergeCell ref="A25:J25"/>
    <mergeCell ref="A38:J38"/>
    <mergeCell ref="A48:H48"/>
    <mergeCell ref="H6:M6"/>
    <mergeCell ref="H42:J43"/>
    <mergeCell ref="K94:L94"/>
    <mergeCell ref="I92:J92"/>
    <mergeCell ref="K92:L92"/>
    <mergeCell ref="A10:S10"/>
    <mergeCell ref="A36:S36"/>
    <mergeCell ref="A37:S37"/>
    <mergeCell ref="A43:F43"/>
    <mergeCell ref="A44:G44"/>
    <mergeCell ref="H44:J44"/>
    <mergeCell ref="G28:J28"/>
    <mergeCell ref="K21:Z21"/>
    <mergeCell ref="A22:F22"/>
    <mergeCell ref="H40:J40"/>
    <mergeCell ref="A30:F30"/>
    <mergeCell ref="G30:J30"/>
    <mergeCell ref="A31:F31"/>
    <mergeCell ref="G31:J31"/>
    <mergeCell ref="A32:F32"/>
    <mergeCell ref="G32:J32"/>
    <mergeCell ref="A45:G45"/>
    <mergeCell ref="A29:F29"/>
    <mergeCell ref="G29:J29"/>
    <mergeCell ref="A212:D212"/>
    <mergeCell ref="E212:F212"/>
    <mergeCell ref="G212:H212"/>
    <mergeCell ref="I212:J212"/>
    <mergeCell ref="K212:L212"/>
    <mergeCell ref="M212:N212"/>
    <mergeCell ref="P212:Q212"/>
    <mergeCell ref="R212:S212"/>
    <mergeCell ref="A141:L141"/>
    <mergeCell ref="A152:L152"/>
    <mergeCell ref="A154:L154"/>
    <mergeCell ref="A161:L161"/>
    <mergeCell ref="A163:L163"/>
    <mergeCell ref="A169:L169"/>
    <mergeCell ref="K143:L143"/>
    <mergeCell ref="A146:B146"/>
    <mergeCell ref="C146:D146"/>
    <mergeCell ref="E146:F146"/>
    <mergeCell ref="G146:H146"/>
    <mergeCell ref="I146:J146"/>
    <mergeCell ref="K146:L146"/>
    <mergeCell ref="A145:B145"/>
    <mergeCell ref="C145:D145"/>
    <mergeCell ref="E145:F145"/>
    <mergeCell ref="R213:S213"/>
    <mergeCell ref="A214:D214"/>
    <mergeCell ref="E214:F214"/>
    <mergeCell ref="G214:H214"/>
    <mergeCell ref="I214:J214"/>
    <mergeCell ref="K214:L214"/>
    <mergeCell ref="M214:N214"/>
    <mergeCell ref="P214:Q214"/>
    <mergeCell ref="R214:S214"/>
    <mergeCell ref="A213:D213"/>
    <mergeCell ref="E213:F213"/>
    <mergeCell ref="G213:H213"/>
    <mergeCell ref="I213:J213"/>
    <mergeCell ref="K213:L213"/>
    <mergeCell ref="M213:N213"/>
    <mergeCell ref="A54:J54"/>
    <mergeCell ref="A62:K62"/>
    <mergeCell ref="A76:L76"/>
    <mergeCell ref="A90:L90"/>
    <mergeCell ref="H17:J18"/>
    <mergeCell ref="A18:F18"/>
    <mergeCell ref="H22:J23"/>
    <mergeCell ref="A23:F23"/>
    <mergeCell ref="A27:F27"/>
    <mergeCell ref="G27:J27"/>
    <mergeCell ref="A28:F28"/>
    <mergeCell ref="C78:D78"/>
    <mergeCell ref="E78:F78"/>
    <mergeCell ref="G78:H78"/>
    <mergeCell ref="I78:J78"/>
    <mergeCell ref="K78:L78"/>
    <mergeCell ref="A68:C68"/>
    <mergeCell ref="A69:C69"/>
    <mergeCell ref="A70:C70"/>
    <mergeCell ref="A71:C71"/>
    <mergeCell ref="A72:C72"/>
    <mergeCell ref="C80:D80"/>
    <mergeCell ref="E80:F80"/>
    <mergeCell ref="G80:H80"/>
    <mergeCell ref="A127:C127"/>
    <mergeCell ref="D127:F127"/>
    <mergeCell ref="G127:I127"/>
    <mergeCell ref="K34:Z34"/>
    <mergeCell ref="I52:Z52"/>
    <mergeCell ref="G58:V58"/>
    <mergeCell ref="L73:Z73"/>
    <mergeCell ref="I87:J87"/>
    <mergeCell ref="K87:L87"/>
    <mergeCell ref="K96:L96"/>
    <mergeCell ref="K95:L95"/>
    <mergeCell ref="A98:I98"/>
    <mergeCell ref="A104:I104"/>
    <mergeCell ref="A106:J106"/>
    <mergeCell ref="H45:J45"/>
    <mergeCell ref="A46:G46"/>
    <mergeCell ref="H46:J46"/>
    <mergeCell ref="A41:G41"/>
    <mergeCell ref="H41:J41"/>
    <mergeCell ref="A66:C66"/>
    <mergeCell ref="A67:C67"/>
    <mergeCell ref="A78:B78"/>
    <mergeCell ref="A73:C73"/>
    <mergeCell ref="A80:B80"/>
    <mergeCell ref="M224:U224"/>
    <mergeCell ref="M225:U225"/>
    <mergeCell ref="M226:U226"/>
    <mergeCell ref="M238:Y238"/>
    <mergeCell ref="M250:Z250"/>
    <mergeCell ref="I133:V133"/>
    <mergeCell ref="I134:V134"/>
    <mergeCell ref="I135:V135"/>
    <mergeCell ref="I136:V136"/>
    <mergeCell ref="I137:V137"/>
    <mergeCell ref="A183:S183"/>
    <mergeCell ref="A188:S188"/>
    <mergeCell ref="A195:S195"/>
    <mergeCell ref="A178:C178"/>
    <mergeCell ref="D178:F178"/>
    <mergeCell ref="A143:B143"/>
    <mergeCell ref="C143:D143"/>
    <mergeCell ref="E143:F143"/>
    <mergeCell ref="G143:H143"/>
    <mergeCell ref="I143:J143"/>
    <mergeCell ref="T214:Z215"/>
    <mergeCell ref="M223:U223"/>
    <mergeCell ref="A216:S216"/>
    <mergeCell ref="P213:Q213"/>
    <mergeCell ref="A4:S4"/>
    <mergeCell ref="H8:J8"/>
    <mergeCell ref="L8:N8"/>
    <mergeCell ref="E6:G6"/>
    <mergeCell ref="H16:J16"/>
    <mergeCell ref="D64:K64"/>
    <mergeCell ref="A19:G19"/>
    <mergeCell ref="H19:J19"/>
    <mergeCell ref="A20:G20"/>
    <mergeCell ref="H20:J20"/>
    <mergeCell ref="A21:G21"/>
    <mergeCell ref="H21:J21"/>
    <mergeCell ref="H14:J14"/>
    <mergeCell ref="A15:G15"/>
    <mergeCell ref="H15:J15"/>
    <mergeCell ref="A16:G16"/>
    <mergeCell ref="A17:F17"/>
    <mergeCell ref="A64:C65"/>
    <mergeCell ref="A50:H50"/>
    <mergeCell ref="A56:B56"/>
    <mergeCell ref="C56:D56"/>
    <mergeCell ref="E56:F56"/>
    <mergeCell ref="A60:S60"/>
    <mergeCell ref="A12:J12"/>
    <mergeCell ref="I80:J80"/>
    <mergeCell ref="K80:L80"/>
    <mergeCell ref="A79:B79"/>
    <mergeCell ref="C79:D79"/>
    <mergeCell ref="E79:F79"/>
    <mergeCell ref="G79:H79"/>
    <mergeCell ref="I79:J79"/>
    <mergeCell ref="K79:L79"/>
    <mergeCell ref="A82:B82"/>
    <mergeCell ref="C82:D82"/>
    <mergeCell ref="E82:F82"/>
    <mergeCell ref="G82:H82"/>
    <mergeCell ref="I82:J82"/>
    <mergeCell ref="K82:L82"/>
    <mergeCell ref="A81:B81"/>
    <mergeCell ref="C81:D81"/>
    <mergeCell ref="E81:F81"/>
    <mergeCell ref="G81:H81"/>
    <mergeCell ref="I81:J81"/>
    <mergeCell ref="K81:L81"/>
    <mergeCell ref="A84:B84"/>
    <mergeCell ref="C84:D84"/>
    <mergeCell ref="E84:F84"/>
    <mergeCell ref="G84:H84"/>
    <mergeCell ref="I84:J84"/>
    <mergeCell ref="K84:L84"/>
    <mergeCell ref="A83:B83"/>
    <mergeCell ref="C83:D83"/>
    <mergeCell ref="E83:F83"/>
    <mergeCell ref="G83:H83"/>
    <mergeCell ref="I83:J83"/>
    <mergeCell ref="K83:L83"/>
    <mergeCell ref="A86:B86"/>
    <mergeCell ref="C86:D86"/>
    <mergeCell ref="E86:F86"/>
    <mergeCell ref="G86:H86"/>
    <mergeCell ref="I86:J86"/>
    <mergeCell ref="K86:L86"/>
    <mergeCell ref="A85:B85"/>
    <mergeCell ref="C85:D85"/>
    <mergeCell ref="E85:F85"/>
    <mergeCell ref="G85:H85"/>
    <mergeCell ref="I85:J85"/>
    <mergeCell ref="K85:L85"/>
    <mergeCell ref="E88:F88"/>
    <mergeCell ref="G88:H88"/>
    <mergeCell ref="A92:B92"/>
    <mergeCell ref="C92:D92"/>
    <mergeCell ref="E92:F92"/>
    <mergeCell ref="G92:H92"/>
    <mergeCell ref="A87:B87"/>
    <mergeCell ref="C87:D87"/>
    <mergeCell ref="E87:F87"/>
    <mergeCell ref="G87:H87"/>
    <mergeCell ref="A93:B93"/>
    <mergeCell ref="C93:D93"/>
    <mergeCell ref="E93:F93"/>
    <mergeCell ref="G93:H93"/>
    <mergeCell ref="I93:J93"/>
    <mergeCell ref="K93:L93"/>
    <mergeCell ref="A95:B95"/>
    <mergeCell ref="C95:D95"/>
    <mergeCell ref="E95:F95"/>
    <mergeCell ref="G95:H95"/>
    <mergeCell ref="I95:J95"/>
    <mergeCell ref="A94:B94"/>
    <mergeCell ref="C94:D94"/>
    <mergeCell ref="E94:F94"/>
    <mergeCell ref="G94:H94"/>
    <mergeCell ref="I94:J94"/>
    <mergeCell ref="A102:B102"/>
    <mergeCell ref="C102:D102"/>
    <mergeCell ref="H102:I102"/>
    <mergeCell ref="A108:C108"/>
    <mergeCell ref="D108:F108"/>
    <mergeCell ref="G108:I108"/>
    <mergeCell ref="E96:F96"/>
    <mergeCell ref="G96:H96"/>
    <mergeCell ref="I96:J96"/>
    <mergeCell ref="J108:L108"/>
    <mergeCell ref="A100:B101"/>
    <mergeCell ref="C100:G100"/>
    <mergeCell ref="H100:I101"/>
    <mergeCell ref="C101:D101"/>
    <mergeCell ref="A109:C109"/>
    <mergeCell ref="D109:F109"/>
    <mergeCell ref="G109:I109"/>
    <mergeCell ref="A111:L112"/>
    <mergeCell ref="J109:Z109"/>
    <mergeCell ref="A122:B122"/>
    <mergeCell ref="A126:C126"/>
    <mergeCell ref="D126:F126"/>
    <mergeCell ref="G126:I126"/>
    <mergeCell ref="A116:B116"/>
    <mergeCell ref="A117:B117"/>
    <mergeCell ref="A118:B118"/>
    <mergeCell ref="A119:B119"/>
    <mergeCell ref="A120:B120"/>
    <mergeCell ref="A121:B121"/>
    <mergeCell ref="I119:V119"/>
    <mergeCell ref="A114:B115"/>
    <mergeCell ref="C114:D114"/>
    <mergeCell ref="E114:F114"/>
    <mergeCell ref="G114:H114"/>
    <mergeCell ref="I116:W116"/>
    <mergeCell ref="I117:W117"/>
    <mergeCell ref="I118:W118"/>
    <mergeCell ref="G145:H145"/>
    <mergeCell ref="I145:J145"/>
    <mergeCell ref="K145:L145"/>
    <mergeCell ref="A144:B144"/>
    <mergeCell ref="C144:D144"/>
    <mergeCell ref="E144:F144"/>
    <mergeCell ref="G144:H144"/>
    <mergeCell ref="I144:J144"/>
    <mergeCell ref="K144:L144"/>
    <mergeCell ref="A148:B148"/>
    <mergeCell ref="C148:D148"/>
    <mergeCell ref="E148:F148"/>
    <mergeCell ref="G148:H148"/>
    <mergeCell ref="I148:J148"/>
    <mergeCell ref="K148:L148"/>
    <mergeCell ref="A147:B147"/>
    <mergeCell ref="C147:D147"/>
    <mergeCell ref="E147:F147"/>
    <mergeCell ref="G147:H147"/>
    <mergeCell ref="I147:J147"/>
    <mergeCell ref="K147:L147"/>
    <mergeCell ref="A150:B150"/>
    <mergeCell ref="C150:D150"/>
    <mergeCell ref="E150:F150"/>
    <mergeCell ref="G150:H150"/>
    <mergeCell ref="I150:J150"/>
    <mergeCell ref="K150:L150"/>
    <mergeCell ref="A149:B149"/>
    <mergeCell ref="C149:D149"/>
    <mergeCell ref="E149:F149"/>
    <mergeCell ref="G149:H149"/>
    <mergeCell ref="I149:J149"/>
    <mergeCell ref="K149:L149"/>
    <mergeCell ref="A156:D157"/>
    <mergeCell ref="E156:F157"/>
    <mergeCell ref="A165:D166"/>
    <mergeCell ref="E165:L165"/>
    <mergeCell ref="E166:F166"/>
    <mergeCell ref="G166:H166"/>
    <mergeCell ref="I166:J166"/>
    <mergeCell ref="K166:L166"/>
    <mergeCell ref="A158:D159"/>
    <mergeCell ref="E158:F159"/>
    <mergeCell ref="I193:J193"/>
    <mergeCell ref="A185:C185"/>
    <mergeCell ref="D185:F185"/>
    <mergeCell ref="G185:I185"/>
    <mergeCell ref="A177:C177"/>
    <mergeCell ref="D177:F177"/>
    <mergeCell ref="G177:I177"/>
    <mergeCell ref="J177:L177"/>
    <mergeCell ref="A174:C174"/>
    <mergeCell ref="D174:F174"/>
    <mergeCell ref="G174:I174"/>
    <mergeCell ref="J174:L174"/>
    <mergeCell ref="A175:C175"/>
    <mergeCell ref="D175:F175"/>
    <mergeCell ref="G175:I175"/>
    <mergeCell ref="J175:L175"/>
    <mergeCell ref="J185:L185"/>
    <mergeCell ref="A186:C186"/>
    <mergeCell ref="D186:F186"/>
    <mergeCell ref="G186:I186"/>
    <mergeCell ref="J186:L186"/>
    <mergeCell ref="G178:I178"/>
    <mergeCell ref="J178:L178"/>
    <mergeCell ref="D179:F179"/>
    <mergeCell ref="A201:D202"/>
    <mergeCell ref="A203:D203"/>
    <mergeCell ref="E203:F203"/>
    <mergeCell ref="G203:H203"/>
    <mergeCell ref="I203:J203"/>
    <mergeCell ref="K203:L203"/>
    <mergeCell ref="E199:L199"/>
    <mergeCell ref="M199:Q199"/>
    <mergeCell ref="R199:S202"/>
    <mergeCell ref="E200:F202"/>
    <mergeCell ref="G200:H202"/>
    <mergeCell ref="I200:J202"/>
    <mergeCell ref="K200:L202"/>
    <mergeCell ref="M200:N202"/>
    <mergeCell ref="O200:O202"/>
    <mergeCell ref="P200:Q202"/>
    <mergeCell ref="M203:N203"/>
    <mergeCell ref="P203:Q203"/>
    <mergeCell ref="R203:S203"/>
    <mergeCell ref="A208:D210"/>
    <mergeCell ref="I190:J190"/>
    <mergeCell ref="I191:J191"/>
    <mergeCell ref="I192:J192"/>
    <mergeCell ref="A197:S197"/>
    <mergeCell ref="A205:S205"/>
    <mergeCell ref="A211:D211"/>
    <mergeCell ref="E211:F211"/>
    <mergeCell ref="G211:H211"/>
    <mergeCell ref="I211:J211"/>
    <mergeCell ref="K211:L211"/>
    <mergeCell ref="M211:N211"/>
    <mergeCell ref="P211:Q211"/>
    <mergeCell ref="R211:S211"/>
    <mergeCell ref="E207:L207"/>
    <mergeCell ref="M207:Q207"/>
    <mergeCell ref="R207:S210"/>
    <mergeCell ref="E208:F210"/>
    <mergeCell ref="G208:H210"/>
    <mergeCell ref="I208:J210"/>
    <mergeCell ref="K208:L210"/>
    <mergeCell ref="M208:N210"/>
    <mergeCell ref="O208:O210"/>
    <mergeCell ref="P208:Q210"/>
    <mergeCell ref="A221:D221"/>
    <mergeCell ref="E221:F221"/>
    <mergeCell ref="G221:H221"/>
    <mergeCell ref="I221:J221"/>
    <mergeCell ref="K221:L221"/>
    <mergeCell ref="A218:S218"/>
    <mergeCell ref="A222:D222"/>
    <mergeCell ref="E222:F222"/>
    <mergeCell ref="G222:H222"/>
    <mergeCell ref="I222:J222"/>
    <mergeCell ref="K222:L222"/>
    <mergeCell ref="A220:D220"/>
    <mergeCell ref="E220:F220"/>
    <mergeCell ref="G220:H220"/>
    <mergeCell ref="I220:J220"/>
    <mergeCell ref="K220:L220"/>
    <mergeCell ref="A223:D223"/>
    <mergeCell ref="E223:F223"/>
    <mergeCell ref="G223:H223"/>
    <mergeCell ref="I223:J223"/>
    <mergeCell ref="K223:L223"/>
    <mergeCell ref="A224:D224"/>
    <mergeCell ref="E224:F224"/>
    <mergeCell ref="G224:H224"/>
    <mergeCell ref="I224:J224"/>
    <mergeCell ref="K224:L224"/>
    <mergeCell ref="F227:H227"/>
    <mergeCell ref="A230:D231"/>
    <mergeCell ref="E230:L230"/>
    <mergeCell ref="A232:D232"/>
    <mergeCell ref="A233:D233"/>
    <mergeCell ref="A228:S228"/>
    <mergeCell ref="A225:D225"/>
    <mergeCell ref="E225:F225"/>
    <mergeCell ref="G225:H225"/>
    <mergeCell ref="I225:J225"/>
    <mergeCell ref="K225:L225"/>
    <mergeCell ref="A226:D226"/>
    <mergeCell ref="E226:F226"/>
    <mergeCell ref="G226:H226"/>
    <mergeCell ref="I226:J226"/>
    <mergeCell ref="K226:L226"/>
    <mergeCell ref="A242:D243"/>
    <mergeCell ref="E242:L242"/>
    <mergeCell ref="A244:D244"/>
    <mergeCell ref="A245:D245"/>
    <mergeCell ref="A246:D246"/>
    <mergeCell ref="A247:D247"/>
    <mergeCell ref="E256:F256"/>
    <mergeCell ref="G256:H256"/>
    <mergeCell ref="A256:B257"/>
    <mergeCell ref="C256:D256"/>
    <mergeCell ref="A307:I307"/>
    <mergeCell ref="J307:K307"/>
    <mergeCell ref="A309:S309"/>
    <mergeCell ref="A311:I311"/>
    <mergeCell ref="A322:S322"/>
    <mergeCell ref="A303:E303"/>
    <mergeCell ref="H303:I303"/>
    <mergeCell ref="F293:I293"/>
    <mergeCell ref="C269:D269"/>
    <mergeCell ref="E269:F269"/>
    <mergeCell ref="A276:B276"/>
    <mergeCell ref="G269:H269"/>
    <mergeCell ref="A288:I288"/>
    <mergeCell ref="A289:I289"/>
    <mergeCell ref="F292:I292"/>
    <mergeCell ref="A283:B283"/>
    <mergeCell ref="C283:D283"/>
    <mergeCell ref="E283:F283"/>
    <mergeCell ref="A285:S285"/>
    <mergeCell ref="A275:B275"/>
    <mergeCell ref="A271:B271"/>
    <mergeCell ref="A272:B272"/>
    <mergeCell ref="A273:B273"/>
    <mergeCell ref="A274:B274"/>
    <mergeCell ref="G283:H283"/>
    <mergeCell ref="I282:J282"/>
    <mergeCell ref="I283:J283"/>
    <mergeCell ref="A300:K300"/>
    <mergeCell ref="A294:E294"/>
    <mergeCell ref="A293:E293"/>
    <mergeCell ref="A295:E295"/>
    <mergeCell ref="F294:I294"/>
    <mergeCell ref="F295:I295"/>
    <mergeCell ref="A298:I298"/>
    <mergeCell ref="A330:H330"/>
    <mergeCell ref="I330:L330"/>
    <mergeCell ref="A331:H331"/>
    <mergeCell ref="I331:L331"/>
    <mergeCell ref="A326:S326"/>
    <mergeCell ref="A320:I320"/>
    <mergeCell ref="A315:J315"/>
    <mergeCell ref="A319:J319"/>
    <mergeCell ref="A328:L328"/>
    <mergeCell ref="A324:I324"/>
    <mergeCell ref="A316:I316"/>
    <mergeCell ref="I336:L336"/>
    <mergeCell ref="F337:H337"/>
    <mergeCell ref="A339:E339"/>
    <mergeCell ref="F339:H339"/>
    <mergeCell ref="A340:E340"/>
    <mergeCell ref="F340:H340"/>
    <mergeCell ref="A332:H332"/>
    <mergeCell ref="I332:L332"/>
    <mergeCell ref="A333:H333"/>
    <mergeCell ref="I333:L333"/>
    <mergeCell ref="A334:E334"/>
    <mergeCell ref="F334:H334"/>
    <mergeCell ref="I334:L335"/>
    <mergeCell ref="A335:E335"/>
    <mergeCell ref="F335:H335"/>
    <mergeCell ref="A338:H338"/>
    <mergeCell ref="A345:E345"/>
    <mergeCell ref="F345:H345"/>
    <mergeCell ref="A341:E341"/>
    <mergeCell ref="F341:H341"/>
    <mergeCell ref="A343:E343"/>
    <mergeCell ref="F343:H343"/>
    <mergeCell ref="A344:E344"/>
    <mergeCell ref="F344:H344"/>
    <mergeCell ref="A336:H336"/>
    <mergeCell ref="A342:E342"/>
    <mergeCell ref="F342:H342"/>
    <mergeCell ref="G137:H137"/>
    <mergeCell ref="G138:H138"/>
    <mergeCell ref="G136:H136"/>
    <mergeCell ref="A133:C133"/>
    <mergeCell ref="A131:C132"/>
    <mergeCell ref="A138:C138"/>
    <mergeCell ref="A137:C137"/>
    <mergeCell ref="A136:C136"/>
    <mergeCell ref="A135:C135"/>
    <mergeCell ref="A134:C134"/>
    <mergeCell ref="D137:F137"/>
    <mergeCell ref="D138:F138"/>
    <mergeCell ref="D136:F136"/>
    <mergeCell ref="D134:F134"/>
    <mergeCell ref="G134:H134"/>
    <mergeCell ref="G133:H133"/>
    <mergeCell ref="D135:F135"/>
    <mergeCell ref="G135:H135"/>
    <mergeCell ref="D133:F133"/>
    <mergeCell ref="A173:C173"/>
    <mergeCell ref="D173:F173"/>
    <mergeCell ref="G173:I173"/>
    <mergeCell ref="J173:L173"/>
    <mergeCell ref="A265:B265"/>
    <mergeCell ref="A269:B270"/>
    <mergeCell ref="D139:F139"/>
    <mergeCell ref="G139:H139"/>
    <mergeCell ref="A139:C139"/>
    <mergeCell ref="G179:I179"/>
    <mergeCell ref="A260:B260"/>
    <mergeCell ref="A261:B261"/>
    <mergeCell ref="A262:B262"/>
    <mergeCell ref="A263:B263"/>
    <mergeCell ref="A267:L267"/>
    <mergeCell ref="A234:D234"/>
    <mergeCell ref="A235:D235"/>
    <mergeCell ref="A236:D236"/>
    <mergeCell ref="A237:D237"/>
    <mergeCell ref="A238:D238"/>
    <mergeCell ref="A248:D248"/>
    <mergeCell ref="A249:D249"/>
    <mergeCell ref="A250:D250"/>
    <mergeCell ref="J179:L179"/>
    <mergeCell ref="A302:E302"/>
    <mergeCell ref="H302:I302"/>
    <mergeCell ref="J302:K302"/>
    <mergeCell ref="A264:B264"/>
    <mergeCell ref="A317:I317"/>
    <mergeCell ref="A313:S313"/>
    <mergeCell ref="D176:F176"/>
    <mergeCell ref="G176:I176"/>
    <mergeCell ref="T316:AG316"/>
    <mergeCell ref="A301:E301"/>
    <mergeCell ref="H301:I301"/>
    <mergeCell ref="J301:K301"/>
    <mergeCell ref="A292:E292"/>
    <mergeCell ref="J303:K303"/>
    <mergeCell ref="A304:E304"/>
    <mergeCell ref="H304:I304"/>
    <mergeCell ref="J304:K304"/>
    <mergeCell ref="A179:C179"/>
    <mergeCell ref="J176:L176"/>
    <mergeCell ref="A259:B259"/>
    <mergeCell ref="A258:B258"/>
    <mergeCell ref="A254:L254"/>
    <mergeCell ref="A252:S252"/>
    <mergeCell ref="G282:H282"/>
    <mergeCell ref="J128:U128"/>
    <mergeCell ref="S141:Z141"/>
    <mergeCell ref="I138:X138"/>
    <mergeCell ref="I120:W120"/>
    <mergeCell ref="A277:B277"/>
    <mergeCell ref="A278:B278"/>
    <mergeCell ref="A282:B282"/>
    <mergeCell ref="C282:D282"/>
    <mergeCell ref="E282:F282"/>
    <mergeCell ref="A280:S280"/>
    <mergeCell ref="A176:C176"/>
    <mergeCell ref="A167:D167"/>
    <mergeCell ref="E167:F167"/>
    <mergeCell ref="G167:H167"/>
    <mergeCell ref="I167:J167"/>
    <mergeCell ref="K167:L167"/>
    <mergeCell ref="A171:C171"/>
    <mergeCell ref="D171:F171"/>
    <mergeCell ref="G171:I171"/>
    <mergeCell ref="J171:L171"/>
    <mergeCell ref="A172:C172"/>
    <mergeCell ref="D172:F172"/>
    <mergeCell ref="G172:I172"/>
    <mergeCell ref="J172:L172"/>
  </mergeCells>
  <dataValidations count="3">
    <dataValidation type="whole" operator="greaterThan" allowBlank="1" showInputMessage="1" showErrorMessage="1" sqref="M213 K35 K24:K33 I263 T212 E213 K15:K20 E215:L215 P213 G26:J26 H47 F299:I299 H19:J21 G17:G18 H15:J16 G22:G23 G28:J34 H44:J46 G42:G43 H40:J41 A52:H52 D66:K73 C79:D87 G79:H88 K79:L87 C93:D95 G93:H96 K93:L96 A102:I102 A109:I109 A127:I127 C144:L150 E156:F157 A167:L167 D172:L179 A186:L186 I191:J193 A203:S203 E211:S212 R213:S213 E214:S214 E221:L226 E232:L238 E244:L250 A283:K283 F304:K305 F306 J316:J317 F296:F297 C271:H278 J311 J321 A58:F58 C116:H122 D133:H139 C266:L266 C258:H265 J288 J289 F292:I292 F293:I293 F294:I294 F295:I295 J298 F302:I303 J302:K302 J303:K303 J323 J324 J320" xr:uid="{87BAE382-C1A5-45DF-BDA9-4BDD5D9D11C1}">
      <formula1>-1</formula1>
    </dataValidation>
    <dataValidation type="whole" operator="greaterThanOrEqual" allowBlank="1" showInputMessage="1" showErrorMessage="1" sqref="F334:H335 D180 G180:L180 F312:I312 I336:L336 I331:L333 J53 H53 G35 A168:L168 G24 C140:H140 M165 A53:F53" xr:uid="{E1772C56-3D07-480F-801A-94DFDA221695}">
      <formula1>0</formula1>
    </dataValidation>
    <dataValidation type="decimal" operator="greaterThanOrEqual" allowBlank="1" showInputMessage="1" showErrorMessage="1" sqref="F340:H345" xr:uid="{0394659E-4FB7-441B-8BFA-6C0AB79AB6A1}">
      <formula1>0</formula1>
    </dataValidation>
  </dataValidations>
  <pageMargins left="0.25" right="0.25" top="0.75" bottom="0.75" header="0.3" footer="0.3"/>
  <pageSetup paperSize="5" orientation="landscape" r:id="rId1"/>
  <headerFooter differentOddEven="1" differentFirst="1"/>
  <rowBreaks count="9" manualBreakCount="9">
    <brk id="75" max="16383" man="1"/>
    <brk id="127" max="16383" man="1"/>
    <brk id="140" max="16383" man="1"/>
    <brk id="167" max="16383" man="1"/>
    <brk id="186" max="16383" man="1"/>
    <brk id="214" max="16383" man="1"/>
    <brk id="238" max="16383" man="1"/>
    <brk id="265" max="16383" man="1"/>
    <brk id="31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0F7A-2281-494A-83A6-CE962EC80139}">
  <sheetPr codeName="Sheet3"/>
  <dimension ref="A1:C764"/>
  <sheetViews>
    <sheetView zoomScale="130" zoomScaleNormal="130" workbookViewId="0">
      <selection activeCell="B2" sqref="B2"/>
    </sheetView>
  </sheetViews>
  <sheetFormatPr defaultColWidth="9" defaultRowHeight="14.5" x14ac:dyDescent="0.35"/>
  <cols>
    <col min="3" max="3" width="9.1796875" style="3"/>
    <col min="4" max="4" width="18.81640625" customWidth="1"/>
  </cols>
  <sheetData>
    <row r="1" spans="1:3" x14ac:dyDescent="0.35">
      <c r="A1" s="5" t="s">
        <v>411</v>
      </c>
      <c r="B1" s="5">
        <f>ATI!D6</f>
        <v>0</v>
      </c>
      <c r="C1" s="6"/>
    </row>
    <row r="2" spans="1:3" x14ac:dyDescent="0.35">
      <c r="A2" s="5" t="s">
        <v>412</v>
      </c>
      <c r="B2" s="5" t="s">
        <v>413</v>
      </c>
      <c r="C2" s="6"/>
    </row>
    <row r="3" spans="1:3" x14ac:dyDescent="0.35">
      <c r="A3" s="5" t="s">
        <v>414</v>
      </c>
      <c r="B3" s="5">
        <f>ATI!H14</f>
        <v>0</v>
      </c>
      <c r="C3" s="6" t="s">
        <v>415</v>
      </c>
    </row>
    <row r="4" spans="1:3" x14ac:dyDescent="0.35">
      <c r="A4" s="5" t="s">
        <v>416</v>
      </c>
      <c r="B4" s="5">
        <f>ATI!H15</f>
        <v>0</v>
      </c>
      <c r="C4" s="6" t="s">
        <v>415</v>
      </c>
    </row>
    <row r="5" spans="1:3" x14ac:dyDescent="0.35">
      <c r="A5" s="2" t="s">
        <v>417</v>
      </c>
      <c r="B5" s="2">
        <f>ATI!G16</f>
        <v>0</v>
      </c>
      <c r="C5" s="4" t="s">
        <v>415</v>
      </c>
    </row>
    <row r="6" spans="1:3" x14ac:dyDescent="0.35">
      <c r="A6" s="2" t="s">
        <v>418</v>
      </c>
      <c r="B6" s="2">
        <f>ATI!G17</f>
        <v>0</v>
      </c>
      <c r="C6" s="4" t="s">
        <v>415</v>
      </c>
    </row>
    <row r="7" spans="1:3" x14ac:dyDescent="0.35">
      <c r="A7" s="5" t="s">
        <v>419</v>
      </c>
      <c r="B7" s="5">
        <f>ATI!H18</f>
        <v>0</v>
      </c>
      <c r="C7" s="6" t="s">
        <v>415</v>
      </c>
    </row>
    <row r="8" spans="1:3" x14ac:dyDescent="0.35">
      <c r="A8" s="5" t="s">
        <v>420</v>
      </c>
      <c r="B8" s="5">
        <f>ATI!H19</f>
        <v>0</v>
      </c>
      <c r="C8" s="6" t="s">
        <v>415</v>
      </c>
    </row>
    <row r="9" spans="1:3" x14ac:dyDescent="0.35">
      <c r="A9" s="5" t="s">
        <v>421</v>
      </c>
      <c r="B9" s="5">
        <f>ATI!H20</f>
        <v>0</v>
      </c>
      <c r="C9" s="6" t="s">
        <v>415</v>
      </c>
    </row>
    <row r="10" spans="1:3" x14ac:dyDescent="0.35">
      <c r="A10" s="2" t="s">
        <v>422</v>
      </c>
      <c r="B10" s="2">
        <f>ATI!G21</f>
        <v>0</v>
      </c>
      <c r="C10" s="4" t="s">
        <v>415</v>
      </c>
    </row>
    <row r="11" spans="1:3" x14ac:dyDescent="0.35">
      <c r="A11" s="2" t="s">
        <v>423</v>
      </c>
      <c r="B11" s="2">
        <f>ATI!G22</f>
        <v>0</v>
      </c>
      <c r="C11" s="4" t="s">
        <v>415</v>
      </c>
    </row>
    <row r="12" spans="1:3" x14ac:dyDescent="0.35">
      <c r="A12" s="118" t="s">
        <v>424</v>
      </c>
      <c r="B12" s="118">
        <f>ATI!G27</f>
        <v>0</v>
      </c>
      <c r="C12" s="119" t="s">
        <v>425</v>
      </c>
    </row>
    <row r="13" spans="1:3" x14ac:dyDescent="0.35">
      <c r="A13" s="118" t="s">
        <v>426</v>
      </c>
      <c r="B13" s="118">
        <f>ATI!G28</f>
        <v>0</v>
      </c>
      <c r="C13" s="119" t="s">
        <v>425</v>
      </c>
    </row>
    <row r="14" spans="1:3" x14ac:dyDescent="0.35">
      <c r="A14" s="118" t="s">
        <v>427</v>
      </c>
      <c r="B14" s="118">
        <f>ATI!G29</f>
        <v>0</v>
      </c>
      <c r="C14" s="119" t="s">
        <v>425</v>
      </c>
    </row>
    <row r="15" spans="1:3" x14ac:dyDescent="0.35">
      <c r="A15" s="118" t="s">
        <v>428</v>
      </c>
      <c r="B15" s="118">
        <f>ATI!G30</f>
        <v>0</v>
      </c>
      <c r="C15" s="119" t="s">
        <v>425</v>
      </c>
    </row>
    <row r="16" spans="1:3" x14ac:dyDescent="0.35">
      <c r="A16" s="118" t="s">
        <v>429</v>
      </c>
      <c r="B16" s="118">
        <f>ATI!G31</f>
        <v>0</v>
      </c>
      <c r="C16" s="119" t="s">
        <v>425</v>
      </c>
    </row>
    <row r="17" spans="1:3" x14ac:dyDescent="0.35">
      <c r="A17" s="118" t="s">
        <v>430</v>
      </c>
      <c r="B17" s="118">
        <f>ATI!G32</f>
        <v>0</v>
      </c>
      <c r="C17" s="119" t="s">
        <v>425</v>
      </c>
    </row>
    <row r="18" spans="1:3" x14ac:dyDescent="0.35">
      <c r="A18" s="118" t="s">
        <v>431</v>
      </c>
      <c r="B18" s="118">
        <f>ATI!G33</f>
        <v>0</v>
      </c>
      <c r="C18" s="119" t="s">
        <v>425</v>
      </c>
    </row>
    <row r="19" spans="1:3" x14ac:dyDescent="0.35">
      <c r="A19" s="2" t="s">
        <v>432</v>
      </c>
      <c r="B19" s="2">
        <f>ATI!G38</f>
        <v>0</v>
      </c>
      <c r="C19" s="4" t="s">
        <v>433</v>
      </c>
    </row>
    <row r="20" spans="1:3" x14ac:dyDescent="0.35">
      <c r="A20" s="2" t="s">
        <v>434</v>
      </c>
      <c r="B20" s="2">
        <f>ATI!G39</f>
        <v>0</v>
      </c>
      <c r="C20" s="4" t="s">
        <v>433</v>
      </c>
    </row>
    <row r="21" spans="1:3" x14ac:dyDescent="0.35">
      <c r="A21" s="2" t="s">
        <v>435</v>
      </c>
      <c r="B21" s="2">
        <f>ATI!G40</f>
        <v>0</v>
      </c>
      <c r="C21" s="4" t="s">
        <v>433</v>
      </c>
    </row>
    <row r="22" spans="1:3" x14ac:dyDescent="0.35">
      <c r="A22" s="2" t="s">
        <v>436</v>
      </c>
      <c r="B22" s="2">
        <f>ATI!G41</f>
        <v>0</v>
      </c>
      <c r="C22" s="4" t="s">
        <v>433</v>
      </c>
    </row>
    <row r="23" spans="1:3" x14ac:dyDescent="0.35">
      <c r="A23" s="2" t="s">
        <v>437</v>
      </c>
      <c r="B23" s="2">
        <f>ATI!G42</f>
        <v>0</v>
      </c>
      <c r="C23" s="4" t="s">
        <v>433</v>
      </c>
    </row>
    <row r="24" spans="1:3" x14ac:dyDescent="0.35">
      <c r="A24" s="2" t="s">
        <v>438</v>
      </c>
      <c r="B24" s="2">
        <f>ATI!G43</f>
        <v>0</v>
      </c>
      <c r="C24" s="4" t="s">
        <v>433</v>
      </c>
    </row>
    <row r="25" spans="1:3" x14ac:dyDescent="0.35">
      <c r="A25" s="2" t="s">
        <v>439</v>
      </c>
      <c r="B25" s="2">
        <f>ATI!G44</f>
        <v>0</v>
      </c>
      <c r="C25" s="4" t="s">
        <v>433</v>
      </c>
    </row>
    <row r="26" spans="1:3" x14ac:dyDescent="0.35">
      <c r="A26" s="2" t="s">
        <v>440</v>
      </c>
      <c r="B26" s="2">
        <f>ATI!H50</f>
        <v>0</v>
      </c>
      <c r="C26" s="4" t="s">
        <v>441</v>
      </c>
    </row>
    <row r="27" spans="1:3" x14ac:dyDescent="0.35">
      <c r="A27" s="2" t="s">
        <v>442</v>
      </c>
      <c r="B27" s="2">
        <f>ATI!H51</f>
        <v>0</v>
      </c>
      <c r="C27" s="4" t="s">
        <v>441</v>
      </c>
    </row>
    <row r="28" spans="1:3" x14ac:dyDescent="0.35">
      <c r="A28" s="2" t="s">
        <v>443</v>
      </c>
      <c r="B28" s="2">
        <f>ATI!G52</f>
        <v>0</v>
      </c>
      <c r="C28" s="4" t="s">
        <v>441</v>
      </c>
    </row>
    <row r="29" spans="1:3" x14ac:dyDescent="0.35">
      <c r="A29" s="2" t="s">
        <v>444</v>
      </c>
      <c r="B29" s="2">
        <f>ATI!G53</f>
        <v>0</v>
      </c>
      <c r="C29" s="4" t="s">
        <v>441</v>
      </c>
    </row>
    <row r="30" spans="1:3" x14ac:dyDescent="0.35">
      <c r="A30" s="2" t="s">
        <v>445</v>
      </c>
      <c r="B30" s="2">
        <f>ATI!H54</f>
        <v>0</v>
      </c>
      <c r="C30" s="4" t="s">
        <v>441</v>
      </c>
    </row>
    <row r="31" spans="1:3" x14ac:dyDescent="0.35">
      <c r="A31" s="2" t="s">
        <v>446</v>
      </c>
      <c r="B31" s="2">
        <f>ATI!H55</f>
        <v>0</v>
      </c>
      <c r="C31" s="4" t="s">
        <v>441</v>
      </c>
    </row>
    <row r="32" spans="1:3" x14ac:dyDescent="0.35">
      <c r="A32" s="2" t="s">
        <v>447</v>
      </c>
      <c r="B32" s="2">
        <f>ATI!H56</f>
        <v>0</v>
      </c>
      <c r="C32" s="4" t="s">
        <v>441</v>
      </c>
    </row>
    <row r="33" spans="1:3" x14ac:dyDescent="0.35">
      <c r="A33" s="2" t="s">
        <v>448</v>
      </c>
      <c r="B33" s="2" t="e">
        <f>ATI!#REF!</f>
        <v>#REF!</v>
      </c>
      <c r="C33" s="4" t="s">
        <v>449</v>
      </c>
    </row>
    <row r="34" spans="1:3" x14ac:dyDescent="0.35">
      <c r="A34" s="2" t="s">
        <v>450</v>
      </c>
      <c r="B34" s="2" t="e">
        <f>ATI!#REF!</f>
        <v>#REF!</v>
      </c>
      <c r="C34" s="4" t="s">
        <v>449</v>
      </c>
    </row>
    <row r="35" spans="1:3" x14ac:dyDescent="0.35">
      <c r="A35" s="2" t="s">
        <v>451</v>
      </c>
      <c r="B35" s="2" t="e">
        <f>ATI!#REF!</f>
        <v>#REF!</v>
      </c>
      <c r="C35" s="4" t="s">
        <v>449</v>
      </c>
    </row>
    <row r="36" spans="1:3" x14ac:dyDescent="0.35">
      <c r="A36" s="2" t="s">
        <v>452</v>
      </c>
      <c r="B36" s="2" t="e">
        <f>ATI!#REF!</f>
        <v>#REF!</v>
      </c>
      <c r="C36" s="4" t="s">
        <v>449</v>
      </c>
    </row>
    <row r="37" spans="1:3" x14ac:dyDescent="0.35">
      <c r="A37" s="2" t="s">
        <v>453</v>
      </c>
      <c r="B37" s="2" t="e">
        <f>ATI!#REF!</f>
        <v>#REF!</v>
      </c>
      <c r="C37" s="4" t="s">
        <v>449</v>
      </c>
    </row>
    <row r="38" spans="1:3" x14ac:dyDescent="0.35">
      <c r="A38" s="2" t="s">
        <v>454</v>
      </c>
      <c r="B38" s="2" t="e">
        <f>ATI!#REF!</f>
        <v>#REF!</v>
      </c>
      <c r="C38" s="4" t="s">
        <v>449</v>
      </c>
    </row>
    <row r="39" spans="1:3" x14ac:dyDescent="0.35">
      <c r="A39" s="2" t="s">
        <v>455</v>
      </c>
      <c r="B39" s="2" t="e">
        <f>ATI!#REF!</f>
        <v>#REF!</v>
      </c>
      <c r="C39" s="4" t="s">
        <v>449</v>
      </c>
    </row>
    <row r="40" spans="1:3" x14ac:dyDescent="0.35">
      <c r="A40" s="118" t="s">
        <v>456</v>
      </c>
      <c r="B40" s="118">
        <f>ATI!A63</f>
        <v>0</v>
      </c>
      <c r="C40" s="119" t="s">
        <v>457</v>
      </c>
    </row>
    <row r="41" spans="1:3" x14ac:dyDescent="0.35">
      <c r="A41" s="118" t="s">
        <v>458</v>
      </c>
      <c r="B41" s="118">
        <f>ATI!B63</f>
        <v>0</v>
      </c>
      <c r="C41" s="119" t="s">
        <v>457</v>
      </c>
    </row>
    <row r="42" spans="1:3" x14ac:dyDescent="0.35">
      <c r="A42" s="118" t="s">
        <v>459</v>
      </c>
      <c r="B42" s="118">
        <f>ATI!C63</f>
        <v>0</v>
      </c>
      <c r="C42" s="119" t="s">
        <v>457</v>
      </c>
    </row>
    <row r="43" spans="1:3" x14ac:dyDescent="0.35">
      <c r="A43" s="118" t="s">
        <v>460</v>
      </c>
      <c r="B43" s="118">
        <f>ATI!D63</f>
        <v>0</v>
      </c>
      <c r="C43" s="119" t="s">
        <v>457</v>
      </c>
    </row>
    <row r="44" spans="1:3" x14ac:dyDescent="0.35">
      <c r="A44" s="118" t="s">
        <v>461</v>
      </c>
      <c r="B44" s="118">
        <f>ATI!E63</f>
        <v>0</v>
      </c>
      <c r="C44" s="119" t="s">
        <v>457</v>
      </c>
    </row>
    <row r="45" spans="1:3" x14ac:dyDescent="0.35">
      <c r="A45" s="118" t="s">
        <v>462</v>
      </c>
      <c r="B45" s="118">
        <f>ATI!F63</f>
        <v>0</v>
      </c>
      <c r="C45" s="119" t="s">
        <v>457</v>
      </c>
    </row>
    <row r="46" spans="1:3" x14ac:dyDescent="0.35">
      <c r="A46" s="118" t="s">
        <v>463</v>
      </c>
      <c r="B46" s="118">
        <f>ATI!G63</f>
        <v>0</v>
      </c>
      <c r="C46" s="119" t="s">
        <v>457</v>
      </c>
    </row>
    <row r="47" spans="1:3" x14ac:dyDescent="0.35">
      <c r="A47" s="2" t="s">
        <v>464</v>
      </c>
      <c r="B47" s="2" t="e">
        <f>ATI!#REF!</f>
        <v>#REF!</v>
      </c>
      <c r="C47" s="4" t="s">
        <v>465</v>
      </c>
    </row>
    <row r="48" spans="1:3" x14ac:dyDescent="0.35">
      <c r="A48" s="2" t="s">
        <v>466</v>
      </c>
      <c r="B48" s="2" t="e">
        <f>ATI!#REF!</f>
        <v>#REF!</v>
      </c>
      <c r="C48" s="4" t="s">
        <v>465</v>
      </c>
    </row>
    <row r="49" spans="1:3" x14ac:dyDescent="0.35">
      <c r="A49" s="2" t="s">
        <v>467</v>
      </c>
      <c r="B49" s="2" t="e">
        <f>ATI!#REF!</f>
        <v>#REF!</v>
      </c>
      <c r="C49" s="4" t="s">
        <v>465</v>
      </c>
    </row>
    <row r="50" spans="1:3" x14ac:dyDescent="0.35">
      <c r="A50" s="2" t="s">
        <v>468</v>
      </c>
      <c r="B50" s="2" t="e">
        <f>ATI!#REF!</f>
        <v>#REF!</v>
      </c>
      <c r="C50" s="4" t="s">
        <v>465</v>
      </c>
    </row>
    <row r="51" spans="1:3" x14ac:dyDescent="0.35">
      <c r="A51" s="2" t="s">
        <v>469</v>
      </c>
      <c r="B51" s="2" t="e">
        <f>ATI!#REF!</f>
        <v>#REF!</v>
      </c>
      <c r="C51" s="4" t="s">
        <v>465</v>
      </c>
    </row>
    <row r="52" spans="1:3" x14ac:dyDescent="0.35">
      <c r="A52" s="2" t="s">
        <v>470</v>
      </c>
      <c r="B52" s="2" t="e">
        <f>ATI!#REF!</f>
        <v>#REF!</v>
      </c>
      <c r="C52" s="4" t="s">
        <v>465</v>
      </c>
    </row>
    <row r="53" spans="1:3" x14ac:dyDescent="0.35">
      <c r="A53" s="2" t="s">
        <v>471</v>
      </c>
      <c r="B53" s="2" t="e">
        <f>ATI!#REF!</f>
        <v>#REF!</v>
      </c>
      <c r="C53" s="4" t="s">
        <v>465</v>
      </c>
    </row>
    <row r="54" spans="1:3" x14ac:dyDescent="0.35">
      <c r="A54" s="2" t="s">
        <v>472</v>
      </c>
      <c r="B54" s="2" t="e">
        <f>ATI!#REF!</f>
        <v>#REF!</v>
      </c>
      <c r="C54" s="4" t="s">
        <v>465</v>
      </c>
    </row>
    <row r="55" spans="1:3" x14ac:dyDescent="0.35">
      <c r="A55" s="2" t="s">
        <v>473</v>
      </c>
      <c r="B55" s="2" t="e">
        <f>ATI!#REF!</f>
        <v>#REF!</v>
      </c>
      <c r="C55" s="4" t="s">
        <v>465</v>
      </c>
    </row>
    <row r="56" spans="1:3" x14ac:dyDescent="0.35">
      <c r="A56" s="2" t="s">
        <v>474</v>
      </c>
      <c r="B56" s="2" t="e">
        <f>ATI!#REF!</f>
        <v>#REF!</v>
      </c>
      <c r="C56" s="4" t="s">
        <v>465</v>
      </c>
    </row>
    <row r="57" spans="1:3" x14ac:dyDescent="0.35">
      <c r="A57" s="2" t="s">
        <v>475</v>
      </c>
      <c r="B57" s="2">
        <f>ATI!A70</f>
        <v>0</v>
      </c>
      <c r="C57" s="4" t="s">
        <v>476</v>
      </c>
    </row>
    <row r="58" spans="1:3" x14ac:dyDescent="0.35">
      <c r="A58" s="2" t="s">
        <v>477</v>
      </c>
      <c r="B58" s="2">
        <f>ATI!B70</f>
        <v>0</v>
      </c>
      <c r="C58" s="4" t="s">
        <v>476</v>
      </c>
    </row>
    <row r="59" spans="1:3" x14ac:dyDescent="0.35">
      <c r="A59" s="2" t="s">
        <v>478</v>
      </c>
      <c r="B59" s="2" t="e">
        <f>ATI!#REF!</f>
        <v>#REF!</v>
      </c>
      <c r="C59" s="4" t="s">
        <v>476</v>
      </c>
    </row>
    <row r="60" spans="1:3" x14ac:dyDescent="0.35">
      <c r="A60" s="2" t="s">
        <v>479</v>
      </c>
      <c r="B60" s="2" t="e">
        <f>ATI!#REF!</f>
        <v>#REF!</v>
      </c>
      <c r="C60" s="4" t="s">
        <v>476</v>
      </c>
    </row>
    <row r="61" spans="1:3" x14ac:dyDescent="0.35">
      <c r="A61" s="2" t="s">
        <v>480</v>
      </c>
      <c r="B61" s="2">
        <f>ATI!C70</f>
        <v>0</v>
      </c>
      <c r="C61" s="4" t="s">
        <v>476</v>
      </c>
    </row>
    <row r="62" spans="1:3" x14ac:dyDescent="0.35">
      <c r="A62" s="2" t="s">
        <v>481</v>
      </c>
      <c r="B62" s="2">
        <f>ATI!D70</f>
        <v>0</v>
      </c>
      <c r="C62" s="4" t="s">
        <v>476</v>
      </c>
    </row>
    <row r="63" spans="1:3" x14ac:dyDescent="0.35">
      <c r="A63" s="2" t="s">
        <v>482</v>
      </c>
      <c r="B63" s="2" t="e">
        <f>ATI!#REF!</f>
        <v>#REF!</v>
      </c>
      <c r="C63" s="4" t="s">
        <v>476</v>
      </c>
    </row>
    <row r="64" spans="1:3" x14ac:dyDescent="0.35">
      <c r="A64" s="2" t="s">
        <v>483</v>
      </c>
      <c r="B64" s="2" t="e">
        <f>ATI!#REF!</f>
        <v>#REF!</v>
      </c>
      <c r="C64" s="4" t="s">
        <v>476</v>
      </c>
    </row>
    <row r="65" spans="1:3" x14ac:dyDescent="0.35">
      <c r="A65" s="2" t="s">
        <v>484</v>
      </c>
      <c r="B65" s="2">
        <f>ATI!E70</f>
        <v>0</v>
      </c>
      <c r="C65" s="4" t="s">
        <v>476</v>
      </c>
    </row>
    <row r="66" spans="1:3" x14ac:dyDescent="0.35">
      <c r="A66" s="2" t="s">
        <v>485</v>
      </c>
      <c r="B66" s="2">
        <f>ATI!F70</f>
        <v>0</v>
      </c>
      <c r="C66" s="4" t="s">
        <v>476</v>
      </c>
    </row>
    <row r="67" spans="1:3" x14ac:dyDescent="0.35">
      <c r="A67" s="5" t="s">
        <v>486</v>
      </c>
      <c r="B67" s="5">
        <f>ATI!H75</f>
        <v>0</v>
      </c>
      <c r="C67" s="6">
        <v>3</v>
      </c>
    </row>
    <row r="68" spans="1:3" x14ac:dyDescent="0.35">
      <c r="A68" s="5" t="s">
        <v>487</v>
      </c>
      <c r="B68" s="5">
        <f>ATI!H76</f>
        <v>0</v>
      </c>
      <c r="C68" s="6">
        <v>3</v>
      </c>
    </row>
    <row r="69" spans="1:3" x14ac:dyDescent="0.35">
      <c r="A69" s="5" t="s">
        <v>488</v>
      </c>
      <c r="B69" s="5">
        <f>ATI!H77</f>
        <v>0</v>
      </c>
      <c r="C69" s="6">
        <v>3</v>
      </c>
    </row>
    <row r="70" spans="1:3" x14ac:dyDescent="0.35">
      <c r="A70" s="5" t="s">
        <v>489</v>
      </c>
      <c r="B70" s="5">
        <f>ATI!H78</f>
        <v>0</v>
      </c>
      <c r="C70" s="6">
        <v>3</v>
      </c>
    </row>
    <row r="71" spans="1:3" x14ac:dyDescent="0.35">
      <c r="A71" s="5" t="s">
        <v>490</v>
      </c>
      <c r="B71" s="5">
        <f>ATI!H79</f>
        <v>0</v>
      </c>
      <c r="C71" s="6">
        <v>3</v>
      </c>
    </row>
    <row r="72" spans="1:3" x14ac:dyDescent="0.35">
      <c r="A72" s="2" t="s">
        <v>491</v>
      </c>
      <c r="B72" s="2">
        <f>ATI!H80</f>
        <v>0</v>
      </c>
      <c r="C72" s="4">
        <v>3</v>
      </c>
    </row>
    <row r="73" spans="1:3" x14ac:dyDescent="0.35">
      <c r="A73" s="5" t="s">
        <v>492</v>
      </c>
      <c r="B73" s="5">
        <f>ATI!H81</f>
        <v>0</v>
      </c>
      <c r="C73" s="6">
        <v>3</v>
      </c>
    </row>
    <row r="74" spans="1:3" x14ac:dyDescent="0.35">
      <c r="A74" s="5" t="s">
        <v>493</v>
      </c>
      <c r="B74" s="5">
        <f>ATI!E89</f>
        <v>0</v>
      </c>
      <c r="C74" s="6" t="s">
        <v>494</v>
      </c>
    </row>
    <row r="75" spans="1:3" x14ac:dyDescent="0.35">
      <c r="A75" s="5" t="s">
        <v>495</v>
      </c>
      <c r="B75" s="5">
        <f>ATI!F89</f>
        <v>0</v>
      </c>
      <c r="C75" s="6" t="s">
        <v>494</v>
      </c>
    </row>
    <row r="76" spans="1:3" x14ac:dyDescent="0.35">
      <c r="A76" s="5" t="s">
        <v>496</v>
      </c>
      <c r="B76" s="5">
        <f>ATI!G89</f>
        <v>0</v>
      </c>
      <c r="C76" s="6" t="s">
        <v>494</v>
      </c>
    </row>
    <row r="77" spans="1:3" x14ac:dyDescent="0.35">
      <c r="A77" s="5" t="s">
        <v>497</v>
      </c>
      <c r="B77" s="5">
        <f>ATI!H89</f>
        <v>0</v>
      </c>
      <c r="C77" s="6" t="s">
        <v>494</v>
      </c>
    </row>
    <row r="78" spans="1:3" x14ac:dyDescent="0.35">
      <c r="A78" s="5" t="s">
        <v>498</v>
      </c>
      <c r="B78" s="5">
        <f>ATI!I89</f>
        <v>0</v>
      </c>
      <c r="C78" s="6" t="s">
        <v>494</v>
      </c>
    </row>
    <row r="79" spans="1:3" x14ac:dyDescent="0.35">
      <c r="A79" s="5" t="s">
        <v>499</v>
      </c>
      <c r="B79" s="5">
        <f>ATI!J89</f>
        <v>0</v>
      </c>
      <c r="C79" s="6" t="s">
        <v>494</v>
      </c>
    </row>
    <row r="80" spans="1:3" x14ac:dyDescent="0.35">
      <c r="A80" s="5" t="s">
        <v>500</v>
      </c>
      <c r="B80" s="5">
        <f>ATI!K89</f>
        <v>0</v>
      </c>
      <c r="C80" s="6" t="s">
        <v>494</v>
      </c>
    </row>
    <row r="81" spans="1:3" x14ac:dyDescent="0.35">
      <c r="A81" s="5" t="s">
        <v>501</v>
      </c>
      <c r="B81" s="5">
        <f>ATI!E90</f>
        <v>0</v>
      </c>
      <c r="C81" s="6" t="s">
        <v>494</v>
      </c>
    </row>
    <row r="82" spans="1:3" x14ac:dyDescent="0.35">
      <c r="A82" s="5" t="s">
        <v>502</v>
      </c>
      <c r="B82" s="5">
        <f>ATI!F90</f>
        <v>0</v>
      </c>
      <c r="C82" s="6" t="s">
        <v>494</v>
      </c>
    </row>
    <row r="83" spans="1:3" x14ac:dyDescent="0.35">
      <c r="A83" s="5" t="s">
        <v>503</v>
      </c>
      <c r="B83" s="5">
        <f>ATI!G90</f>
        <v>0</v>
      </c>
      <c r="C83" s="6" t="s">
        <v>494</v>
      </c>
    </row>
    <row r="84" spans="1:3" x14ac:dyDescent="0.35">
      <c r="A84" s="5" t="s">
        <v>504</v>
      </c>
      <c r="B84" s="5">
        <f>ATI!H90</f>
        <v>0</v>
      </c>
      <c r="C84" s="6" t="s">
        <v>494</v>
      </c>
    </row>
    <row r="85" spans="1:3" x14ac:dyDescent="0.35">
      <c r="A85" s="5" t="s">
        <v>505</v>
      </c>
      <c r="B85" s="5">
        <f>ATI!I90</f>
        <v>0</v>
      </c>
      <c r="C85" s="6" t="s">
        <v>494</v>
      </c>
    </row>
    <row r="86" spans="1:3" x14ac:dyDescent="0.35">
      <c r="A86" s="5" t="s">
        <v>506</v>
      </c>
      <c r="B86" s="5">
        <f>ATI!J90</f>
        <v>0</v>
      </c>
      <c r="C86" s="6" t="s">
        <v>494</v>
      </c>
    </row>
    <row r="87" spans="1:3" x14ac:dyDescent="0.35">
      <c r="A87" s="5" t="s">
        <v>507</v>
      </c>
      <c r="B87" s="5">
        <f>ATI!K90</f>
        <v>0</v>
      </c>
      <c r="C87" s="6" t="s">
        <v>494</v>
      </c>
    </row>
    <row r="88" spans="1:3" x14ac:dyDescent="0.35">
      <c r="A88" s="5" t="s">
        <v>508</v>
      </c>
      <c r="B88" s="5">
        <f>ATI!E91</f>
        <v>0</v>
      </c>
      <c r="C88" s="6" t="s">
        <v>494</v>
      </c>
    </row>
    <row r="89" spans="1:3" x14ac:dyDescent="0.35">
      <c r="A89" s="5" t="s">
        <v>509</v>
      </c>
      <c r="B89" s="5">
        <f>ATI!F91</f>
        <v>0</v>
      </c>
      <c r="C89" s="6" t="s">
        <v>494</v>
      </c>
    </row>
    <row r="90" spans="1:3" x14ac:dyDescent="0.35">
      <c r="A90" s="5" t="s">
        <v>510</v>
      </c>
      <c r="B90" s="5">
        <f>ATI!G91</f>
        <v>0</v>
      </c>
      <c r="C90" s="6" t="s">
        <v>494</v>
      </c>
    </row>
    <row r="91" spans="1:3" x14ac:dyDescent="0.35">
      <c r="A91" s="5" t="s">
        <v>511</v>
      </c>
      <c r="B91" s="5">
        <f>ATI!H91</f>
        <v>0</v>
      </c>
      <c r="C91" s="6" t="s">
        <v>494</v>
      </c>
    </row>
    <row r="92" spans="1:3" x14ac:dyDescent="0.35">
      <c r="A92" s="5" t="s">
        <v>512</v>
      </c>
      <c r="B92" s="5">
        <f>ATI!I91</f>
        <v>0</v>
      </c>
      <c r="C92" s="6" t="s">
        <v>494</v>
      </c>
    </row>
    <row r="93" spans="1:3" x14ac:dyDescent="0.35">
      <c r="A93" s="5" t="s">
        <v>513</v>
      </c>
      <c r="B93" s="5">
        <f>ATI!J91</f>
        <v>0</v>
      </c>
      <c r="C93" s="6" t="s">
        <v>494</v>
      </c>
    </row>
    <row r="94" spans="1:3" x14ac:dyDescent="0.35">
      <c r="A94" s="5" t="s">
        <v>514</v>
      </c>
      <c r="B94" s="5">
        <f>ATI!K91</f>
        <v>0</v>
      </c>
      <c r="C94" s="6" t="s">
        <v>494</v>
      </c>
    </row>
    <row r="95" spans="1:3" x14ac:dyDescent="0.35">
      <c r="A95" s="5" t="s">
        <v>515</v>
      </c>
      <c r="B95" s="5">
        <f>ATI!E92</f>
        <v>0</v>
      </c>
      <c r="C95" s="6" t="s">
        <v>494</v>
      </c>
    </row>
    <row r="96" spans="1:3" x14ac:dyDescent="0.35">
      <c r="A96" s="5" t="s">
        <v>516</v>
      </c>
      <c r="B96" s="5">
        <f>ATI!F92</f>
        <v>0</v>
      </c>
      <c r="C96" s="6" t="s">
        <v>494</v>
      </c>
    </row>
    <row r="97" spans="1:3" x14ac:dyDescent="0.35">
      <c r="A97" s="5" t="s">
        <v>517</v>
      </c>
      <c r="B97" s="5">
        <f>ATI!G92</f>
        <v>0</v>
      </c>
      <c r="C97" s="6" t="s">
        <v>494</v>
      </c>
    </row>
    <row r="98" spans="1:3" x14ac:dyDescent="0.35">
      <c r="A98" s="5" t="s">
        <v>518</v>
      </c>
      <c r="B98" s="5">
        <f>ATI!H92</f>
        <v>0</v>
      </c>
      <c r="C98" s="6" t="s">
        <v>494</v>
      </c>
    </row>
    <row r="99" spans="1:3" x14ac:dyDescent="0.35">
      <c r="A99" s="5" t="s">
        <v>519</v>
      </c>
      <c r="B99" s="5">
        <f>ATI!I92</f>
        <v>0</v>
      </c>
      <c r="C99" s="6" t="s">
        <v>494</v>
      </c>
    </row>
    <row r="100" spans="1:3" x14ac:dyDescent="0.35">
      <c r="A100" s="5" t="s">
        <v>520</v>
      </c>
      <c r="B100" s="5">
        <f>ATI!J92</f>
        <v>0</v>
      </c>
      <c r="C100" s="6" t="s">
        <v>494</v>
      </c>
    </row>
    <row r="101" spans="1:3" x14ac:dyDescent="0.35">
      <c r="A101" s="5" t="s">
        <v>521</v>
      </c>
      <c r="B101" s="5">
        <f>ATI!K92</f>
        <v>0</v>
      </c>
      <c r="C101" s="6" t="s">
        <v>494</v>
      </c>
    </row>
    <row r="102" spans="1:3" x14ac:dyDescent="0.35">
      <c r="A102" s="5" t="s">
        <v>522</v>
      </c>
      <c r="B102" s="5">
        <f>ATI!E93</f>
        <v>0</v>
      </c>
      <c r="C102" s="6" t="s">
        <v>494</v>
      </c>
    </row>
    <row r="103" spans="1:3" x14ac:dyDescent="0.35">
      <c r="A103" s="5" t="s">
        <v>523</v>
      </c>
      <c r="B103" s="5">
        <f>ATI!F93</f>
        <v>0</v>
      </c>
      <c r="C103" s="6" t="s">
        <v>494</v>
      </c>
    </row>
    <row r="104" spans="1:3" x14ac:dyDescent="0.35">
      <c r="A104" s="5" t="s">
        <v>524</v>
      </c>
      <c r="B104" s="5">
        <f>ATI!G93</f>
        <v>0</v>
      </c>
      <c r="C104" s="6" t="s">
        <v>494</v>
      </c>
    </row>
    <row r="105" spans="1:3" x14ac:dyDescent="0.35">
      <c r="A105" s="5" t="s">
        <v>525</v>
      </c>
      <c r="B105" s="5">
        <f>ATI!H93</f>
        <v>0</v>
      </c>
      <c r="C105" s="6" t="s">
        <v>494</v>
      </c>
    </row>
    <row r="106" spans="1:3" x14ac:dyDescent="0.35">
      <c r="A106" s="5" t="s">
        <v>526</v>
      </c>
      <c r="B106" s="5">
        <f>ATI!I93</f>
        <v>0</v>
      </c>
      <c r="C106" s="6" t="s">
        <v>494</v>
      </c>
    </row>
    <row r="107" spans="1:3" x14ac:dyDescent="0.35">
      <c r="A107" s="5" t="s">
        <v>527</v>
      </c>
      <c r="B107" s="5">
        <f>ATI!J93</f>
        <v>0</v>
      </c>
      <c r="C107" s="6" t="s">
        <v>494</v>
      </c>
    </row>
    <row r="108" spans="1:3" x14ac:dyDescent="0.35">
      <c r="A108" s="5" t="s">
        <v>528</v>
      </c>
      <c r="B108" s="5">
        <f>ATI!K93</f>
        <v>0</v>
      </c>
      <c r="C108" s="6" t="s">
        <v>494</v>
      </c>
    </row>
    <row r="109" spans="1:3" x14ac:dyDescent="0.35">
      <c r="A109" s="5" t="s">
        <v>529</v>
      </c>
      <c r="B109" s="5">
        <f>ATI!E94</f>
        <v>0</v>
      </c>
      <c r="C109" s="6" t="s">
        <v>494</v>
      </c>
    </row>
    <row r="110" spans="1:3" x14ac:dyDescent="0.35">
      <c r="A110" s="5" t="s">
        <v>530</v>
      </c>
      <c r="B110" s="5">
        <f>ATI!F94</f>
        <v>0</v>
      </c>
      <c r="C110" s="6" t="s">
        <v>494</v>
      </c>
    </row>
    <row r="111" spans="1:3" x14ac:dyDescent="0.35">
      <c r="A111" s="5" t="s">
        <v>531</v>
      </c>
      <c r="B111" s="5">
        <f>ATI!G94</f>
        <v>0</v>
      </c>
      <c r="C111" s="6" t="s">
        <v>494</v>
      </c>
    </row>
    <row r="112" spans="1:3" x14ac:dyDescent="0.35">
      <c r="A112" s="5" t="s">
        <v>532</v>
      </c>
      <c r="B112" s="5">
        <f>ATI!H94</f>
        <v>0</v>
      </c>
      <c r="C112" s="6" t="s">
        <v>494</v>
      </c>
    </row>
    <row r="113" spans="1:3" x14ac:dyDescent="0.35">
      <c r="A113" s="5" t="s">
        <v>533</v>
      </c>
      <c r="B113" s="5">
        <f>ATI!I94</f>
        <v>0</v>
      </c>
      <c r="C113" s="6" t="s">
        <v>494</v>
      </c>
    </row>
    <row r="114" spans="1:3" x14ac:dyDescent="0.35">
      <c r="A114" s="5" t="s">
        <v>534</v>
      </c>
      <c r="B114" s="5">
        <f>ATI!J94</f>
        <v>0</v>
      </c>
      <c r="C114" s="6" t="s">
        <v>494</v>
      </c>
    </row>
    <row r="115" spans="1:3" x14ac:dyDescent="0.35">
      <c r="A115" s="5" t="s">
        <v>535</v>
      </c>
      <c r="B115" s="5">
        <f>ATI!K94</f>
        <v>0</v>
      </c>
      <c r="C115" s="6" t="s">
        <v>494</v>
      </c>
    </row>
    <row r="116" spans="1:3" x14ac:dyDescent="0.35">
      <c r="A116" s="5" t="s">
        <v>536</v>
      </c>
      <c r="B116" s="5">
        <f>ATI!E95</f>
        <v>0</v>
      </c>
      <c r="C116" s="6" t="s">
        <v>494</v>
      </c>
    </row>
    <row r="117" spans="1:3" x14ac:dyDescent="0.35">
      <c r="A117" s="5" t="s">
        <v>537</v>
      </c>
      <c r="B117" s="5">
        <f>ATI!F95</f>
        <v>0</v>
      </c>
      <c r="C117" s="6" t="s">
        <v>494</v>
      </c>
    </row>
    <row r="118" spans="1:3" x14ac:dyDescent="0.35">
      <c r="A118" s="5" t="s">
        <v>538</v>
      </c>
      <c r="B118" s="5">
        <f>ATI!G95</f>
        <v>0</v>
      </c>
      <c r="C118" s="6" t="s">
        <v>494</v>
      </c>
    </row>
    <row r="119" spans="1:3" x14ac:dyDescent="0.35">
      <c r="A119" s="5" t="s">
        <v>539</v>
      </c>
      <c r="B119" s="5">
        <f>ATI!H95</f>
        <v>0</v>
      </c>
      <c r="C119" s="6" t="s">
        <v>494</v>
      </c>
    </row>
    <row r="120" spans="1:3" x14ac:dyDescent="0.35">
      <c r="A120" s="5" t="s">
        <v>540</v>
      </c>
      <c r="B120" s="5">
        <f>ATI!I95</f>
        <v>0</v>
      </c>
      <c r="C120" s="6" t="s">
        <v>494</v>
      </c>
    </row>
    <row r="121" spans="1:3" x14ac:dyDescent="0.35">
      <c r="A121" s="5" t="s">
        <v>541</v>
      </c>
      <c r="B121" s="5">
        <f>ATI!J95</f>
        <v>0</v>
      </c>
      <c r="C121" s="6" t="s">
        <v>494</v>
      </c>
    </row>
    <row r="122" spans="1:3" x14ac:dyDescent="0.35">
      <c r="A122" s="5" t="s">
        <v>542</v>
      </c>
      <c r="B122" s="5">
        <f>ATI!K95</f>
        <v>0</v>
      </c>
      <c r="C122" s="6" t="s">
        <v>494</v>
      </c>
    </row>
    <row r="123" spans="1:3" x14ac:dyDescent="0.35">
      <c r="A123" s="5" t="s">
        <v>543</v>
      </c>
      <c r="B123" s="5">
        <f>ATI!E96</f>
        <v>0</v>
      </c>
      <c r="C123" s="6" t="s">
        <v>494</v>
      </c>
    </row>
    <row r="124" spans="1:3" x14ac:dyDescent="0.35">
      <c r="A124" s="5" t="s">
        <v>544</v>
      </c>
      <c r="B124" s="5">
        <f>ATI!F96</f>
        <v>0</v>
      </c>
      <c r="C124" s="6" t="s">
        <v>494</v>
      </c>
    </row>
    <row r="125" spans="1:3" x14ac:dyDescent="0.35">
      <c r="A125" s="5" t="s">
        <v>545</v>
      </c>
      <c r="B125" s="5">
        <f>ATI!G96</f>
        <v>0</v>
      </c>
      <c r="C125" s="6" t="s">
        <v>494</v>
      </c>
    </row>
    <row r="126" spans="1:3" x14ac:dyDescent="0.35">
      <c r="A126" s="5" t="s">
        <v>546</v>
      </c>
      <c r="B126" s="5">
        <f>ATI!H96</f>
        <v>0</v>
      </c>
      <c r="C126" s="6" t="s">
        <v>494</v>
      </c>
    </row>
    <row r="127" spans="1:3" x14ac:dyDescent="0.35">
      <c r="A127" s="5" t="s">
        <v>547</v>
      </c>
      <c r="B127" s="5">
        <f>ATI!I96</f>
        <v>0</v>
      </c>
      <c r="C127" s="6" t="s">
        <v>494</v>
      </c>
    </row>
    <row r="128" spans="1:3" x14ac:dyDescent="0.35">
      <c r="A128" s="5" t="s">
        <v>548</v>
      </c>
      <c r="B128" s="5">
        <f>ATI!J96</f>
        <v>0</v>
      </c>
      <c r="C128" s="6" t="s">
        <v>494</v>
      </c>
    </row>
    <row r="129" spans="1:3" x14ac:dyDescent="0.35">
      <c r="A129" s="5" t="s">
        <v>549</v>
      </c>
      <c r="B129" s="5">
        <f>ATI!K96</f>
        <v>0</v>
      </c>
      <c r="C129" s="6" t="s">
        <v>494</v>
      </c>
    </row>
    <row r="130" spans="1:3" x14ac:dyDescent="0.35">
      <c r="A130" s="5" t="s">
        <v>550</v>
      </c>
      <c r="B130" s="5">
        <f>ATI!E97</f>
        <v>0</v>
      </c>
      <c r="C130" s="6" t="s">
        <v>494</v>
      </c>
    </row>
    <row r="131" spans="1:3" x14ac:dyDescent="0.35">
      <c r="A131" s="5" t="s">
        <v>551</v>
      </c>
      <c r="B131" s="5">
        <f>ATI!F97</f>
        <v>0</v>
      </c>
      <c r="C131" s="6" t="s">
        <v>494</v>
      </c>
    </row>
    <row r="132" spans="1:3" x14ac:dyDescent="0.35">
      <c r="A132" s="5" t="s">
        <v>552</v>
      </c>
      <c r="B132" s="5">
        <f>ATI!G97</f>
        <v>0</v>
      </c>
      <c r="C132" s="6" t="s">
        <v>494</v>
      </c>
    </row>
    <row r="133" spans="1:3" x14ac:dyDescent="0.35">
      <c r="A133" s="5" t="s">
        <v>553</v>
      </c>
      <c r="B133" s="5">
        <f>ATI!H97</f>
        <v>0</v>
      </c>
      <c r="C133" s="6" t="s">
        <v>494</v>
      </c>
    </row>
    <row r="134" spans="1:3" x14ac:dyDescent="0.35">
      <c r="A134" s="5" t="s">
        <v>554</v>
      </c>
      <c r="B134" s="5">
        <f>ATI!I97</f>
        <v>0</v>
      </c>
      <c r="C134" s="6" t="s">
        <v>494</v>
      </c>
    </row>
    <row r="135" spans="1:3" x14ac:dyDescent="0.35">
      <c r="A135" s="5" t="s">
        <v>555</v>
      </c>
      <c r="B135" s="5">
        <f>ATI!J97</f>
        <v>0</v>
      </c>
      <c r="C135" s="6" t="s">
        <v>494</v>
      </c>
    </row>
    <row r="136" spans="1:3" x14ac:dyDescent="0.35">
      <c r="A136" s="5" t="s">
        <v>556</v>
      </c>
      <c r="B136" s="5">
        <f>ATI!K97</f>
        <v>0</v>
      </c>
      <c r="C136" s="6" t="s">
        <v>494</v>
      </c>
    </row>
    <row r="137" spans="1:3" x14ac:dyDescent="0.35">
      <c r="A137" s="118" t="s">
        <v>557</v>
      </c>
      <c r="B137" s="118">
        <f>ATI!C103</f>
        <v>0</v>
      </c>
      <c r="C137" s="119" t="s">
        <v>558</v>
      </c>
    </row>
    <row r="138" spans="1:3" x14ac:dyDescent="0.35">
      <c r="A138" s="118" t="s">
        <v>559</v>
      </c>
      <c r="B138" s="118">
        <f>ATI!C104</f>
        <v>0</v>
      </c>
      <c r="C138" s="119" t="s">
        <v>558</v>
      </c>
    </row>
    <row r="139" spans="1:3" x14ac:dyDescent="0.35">
      <c r="A139" s="118" t="s">
        <v>560</v>
      </c>
      <c r="B139" s="118">
        <f>ATI!C105</f>
        <v>0</v>
      </c>
      <c r="C139" s="119" t="s">
        <v>558</v>
      </c>
    </row>
    <row r="140" spans="1:3" x14ac:dyDescent="0.35">
      <c r="A140" s="118" t="s">
        <v>561</v>
      </c>
      <c r="B140" s="118">
        <f>ATI!C106</f>
        <v>0</v>
      </c>
      <c r="C140" s="119" t="s">
        <v>558</v>
      </c>
    </row>
    <row r="141" spans="1:3" x14ac:dyDescent="0.35">
      <c r="A141" s="118" t="s">
        <v>562</v>
      </c>
      <c r="B141" s="118">
        <f>ATI!C107</f>
        <v>0</v>
      </c>
      <c r="C141" s="119" t="s">
        <v>558</v>
      </c>
    </row>
    <row r="142" spans="1:3" x14ac:dyDescent="0.35">
      <c r="A142" s="118" t="s">
        <v>563</v>
      </c>
      <c r="B142" s="118">
        <f>ATI!C108</f>
        <v>0</v>
      </c>
      <c r="C142" s="119" t="s">
        <v>558</v>
      </c>
    </row>
    <row r="143" spans="1:3" x14ac:dyDescent="0.35">
      <c r="A143" s="118" t="s">
        <v>564</v>
      </c>
      <c r="B143" s="118">
        <f>ATI!C109</f>
        <v>0</v>
      </c>
      <c r="C143" s="119" t="s">
        <v>558</v>
      </c>
    </row>
    <row r="144" spans="1:3" x14ac:dyDescent="0.35">
      <c r="A144" s="118" t="s">
        <v>565</v>
      </c>
      <c r="B144" s="118">
        <f>ATI!C110</f>
        <v>0</v>
      </c>
      <c r="C144" s="119" t="s">
        <v>558</v>
      </c>
    </row>
    <row r="145" spans="1:3" x14ac:dyDescent="0.35">
      <c r="A145" s="118" t="s">
        <v>566</v>
      </c>
      <c r="B145" s="118">
        <f>ATI!C111</f>
        <v>0</v>
      </c>
      <c r="C145" s="119" t="s">
        <v>558</v>
      </c>
    </row>
    <row r="146" spans="1:3" x14ac:dyDescent="0.35">
      <c r="A146" s="118" t="s">
        <v>567</v>
      </c>
      <c r="B146" s="118">
        <f>ATI!C112</f>
        <v>0</v>
      </c>
      <c r="C146" s="119" t="s">
        <v>558</v>
      </c>
    </row>
    <row r="147" spans="1:3" x14ac:dyDescent="0.35">
      <c r="A147" s="118" t="s">
        <v>568</v>
      </c>
      <c r="B147" s="118">
        <f>ATI!C113</f>
        <v>0</v>
      </c>
      <c r="C147" s="119" t="s">
        <v>558</v>
      </c>
    </row>
    <row r="148" spans="1:3" x14ac:dyDescent="0.35">
      <c r="A148" s="118" t="s">
        <v>569</v>
      </c>
      <c r="B148" s="118">
        <f>ATI!C114</f>
        <v>0</v>
      </c>
      <c r="C148" s="119" t="s">
        <v>558</v>
      </c>
    </row>
    <row r="149" spans="1:3" x14ac:dyDescent="0.35">
      <c r="A149" s="118" t="s">
        <v>570</v>
      </c>
      <c r="B149" s="118">
        <f>ATI!C115</f>
        <v>0</v>
      </c>
      <c r="C149" s="119" t="s">
        <v>558</v>
      </c>
    </row>
    <row r="150" spans="1:3" x14ac:dyDescent="0.35">
      <c r="A150" s="118" t="s">
        <v>571</v>
      </c>
      <c r="B150" s="118">
        <f>ATI!C116</f>
        <v>0</v>
      </c>
      <c r="C150" s="119" t="s">
        <v>558</v>
      </c>
    </row>
    <row r="151" spans="1:3" x14ac:dyDescent="0.35">
      <c r="A151" s="118" t="s">
        <v>572</v>
      </c>
      <c r="B151" s="118">
        <f>ATI!C117</f>
        <v>0</v>
      </c>
      <c r="C151" s="119" t="s">
        <v>558</v>
      </c>
    </row>
    <row r="152" spans="1:3" x14ac:dyDescent="0.35">
      <c r="A152" s="118" t="s">
        <v>573</v>
      </c>
      <c r="B152" s="118">
        <f>ATI!C118</f>
        <v>0</v>
      </c>
      <c r="C152" s="119" t="s">
        <v>558</v>
      </c>
    </row>
    <row r="153" spans="1:3" x14ac:dyDescent="0.35">
      <c r="A153" s="118" t="s">
        <v>574</v>
      </c>
      <c r="B153" s="118">
        <f>ATI!C119</f>
        <v>0</v>
      </c>
      <c r="C153" s="119" t="s">
        <v>558</v>
      </c>
    </row>
    <row r="154" spans="1:3" x14ac:dyDescent="0.35">
      <c r="A154" s="118" t="s">
        <v>575</v>
      </c>
      <c r="B154" s="118">
        <f>ATI!C120</f>
        <v>0</v>
      </c>
      <c r="C154" s="119" t="s">
        <v>558</v>
      </c>
    </row>
    <row r="155" spans="1:3" x14ac:dyDescent="0.35">
      <c r="A155" s="118" t="s">
        <v>576</v>
      </c>
      <c r="B155" s="118">
        <f>ATI!F103</f>
        <v>0</v>
      </c>
      <c r="C155" s="119" t="s">
        <v>558</v>
      </c>
    </row>
    <row r="156" spans="1:3" x14ac:dyDescent="0.35">
      <c r="A156" s="118" t="s">
        <v>577</v>
      </c>
      <c r="B156" s="118">
        <f>ATI!F104</f>
        <v>0</v>
      </c>
      <c r="C156" s="119" t="s">
        <v>558</v>
      </c>
    </row>
    <row r="157" spans="1:3" x14ac:dyDescent="0.35">
      <c r="A157" s="118" t="s">
        <v>578</v>
      </c>
      <c r="B157" s="118">
        <f>ATI!F105</f>
        <v>0</v>
      </c>
      <c r="C157" s="119" t="s">
        <v>558</v>
      </c>
    </row>
    <row r="158" spans="1:3" x14ac:dyDescent="0.35">
      <c r="A158" s="118" t="s">
        <v>579</v>
      </c>
      <c r="B158" s="118">
        <f>ATI!F106</f>
        <v>0</v>
      </c>
      <c r="C158" s="119" t="s">
        <v>558</v>
      </c>
    </row>
    <row r="159" spans="1:3" x14ac:dyDescent="0.35">
      <c r="A159" s="118" t="s">
        <v>580</v>
      </c>
      <c r="B159" s="118">
        <f>ATI!F107</f>
        <v>0</v>
      </c>
      <c r="C159" s="119" t="s">
        <v>558</v>
      </c>
    </row>
    <row r="160" spans="1:3" x14ac:dyDescent="0.35">
      <c r="A160" s="118" t="s">
        <v>581</v>
      </c>
      <c r="B160" s="118">
        <f>ATI!F108</f>
        <v>0</v>
      </c>
      <c r="C160" s="119" t="s">
        <v>558</v>
      </c>
    </row>
    <row r="161" spans="1:3" x14ac:dyDescent="0.35">
      <c r="A161" s="118" t="s">
        <v>582</v>
      </c>
      <c r="B161" s="118">
        <f>ATI!F109</f>
        <v>0</v>
      </c>
      <c r="C161" s="119" t="s">
        <v>558</v>
      </c>
    </row>
    <row r="162" spans="1:3" x14ac:dyDescent="0.35">
      <c r="A162" s="118" t="s">
        <v>583</v>
      </c>
      <c r="B162" s="118">
        <f>ATI!F110</f>
        <v>0</v>
      </c>
      <c r="C162" s="119" t="s">
        <v>558</v>
      </c>
    </row>
    <row r="163" spans="1:3" x14ac:dyDescent="0.35">
      <c r="A163" s="118" t="s">
        <v>584</v>
      </c>
      <c r="B163" s="118">
        <f>ATI!F111</f>
        <v>0</v>
      </c>
      <c r="C163" s="119" t="s">
        <v>558</v>
      </c>
    </row>
    <row r="164" spans="1:3" x14ac:dyDescent="0.35">
      <c r="A164" s="118" t="s">
        <v>585</v>
      </c>
      <c r="B164" s="118">
        <f>ATI!F112</f>
        <v>0</v>
      </c>
      <c r="C164" s="119" t="s">
        <v>558</v>
      </c>
    </row>
    <row r="165" spans="1:3" x14ac:dyDescent="0.35">
      <c r="A165" s="118" t="s">
        <v>586</v>
      </c>
      <c r="B165" s="118">
        <f>ATI!F113</f>
        <v>0</v>
      </c>
      <c r="C165" s="119" t="s">
        <v>558</v>
      </c>
    </row>
    <row r="166" spans="1:3" x14ac:dyDescent="0.35">
      <c r="A166" s="118" t="s">
        <v>587</v>
      </c>
      <c r="B166" s="118">
        <f>ATI!F114</f>
        <v>0</v>
      </c>
      <c r="C166" s="119" t="s">
        <v>558</v>
      </c>
    </row>
    <row r="167" spans="1:3" x14ac:dyDescent="0.35">
      <c r="A167" s="118" t="s">
        <v>588</v>
      </c>
      <c r="B167" s="118">
        <f>ATI!F115</f>
        <v>0</v>
      </c>
      <c r="C167" s="119" t="s">
        <v>558</v>
      </c>
    </row>
    <row r="168" spans="1:3" x14ac:dyDescent="0.35">
      <c r="A168" s="118" t="s">
        <v>589</v>
      </c>
      <c r="B168" s="118">
        <f>ATI!F116</f>
        <v>0</v>
      </c>
      <c r="C168" s="119" t="s">
        <v>558</v>
      </c>
    </row>
    <row r="169" spans="1:3" x14ac:dyDescent="0.35">
      <c r="A169" s="118" t="s">
        <v>590</v>
      </c>
      <c r="B169" s="118">
        <f>ATI!F117</f>
        <v>0</v>
      </c>
      <c r="C169" s="119" t="s">
        <v>558</v>
      </c>
    </row>
    <row r="170" spans="1:3" x14ac:dyDescent="0.35">
      <c r="A170" s="118" t="s">
        <v>591</v>
      </c>
      <c r="B170" s="118">
        <f>ATI!F118</f>
        <v>0</v>
      </c>
      <c r="C170" s="119" t="s">
        <v>558</v>
      </c>
    </row>
    <row r="171" spans="1:3" x14ac:dyDescent="0.35">
      <c r="A171" s="118" t="s">
        <v>592</v>
      </c>
      <c r="B171" s="118">
        <f>ATI!I103</f>
        <v>0</v>
      </c>
      <c r="C171" s="119" t="s">
        <v>558</v>
      </c>
    </row>
    <row r="172" spans="1:3" x14ac:dyDescent="0.35">
      <c r="A172" s="118" t="s">
        <v>593</v>
      </c>
      <c r="B172" s="118">
        <f>ATI!I104</f>
        <v>0</v>
      </c>
      <c r="C172" s="119" t="s">
        <v>558</v>
      </c>
    </row>
    <row r="173" spans="1:3" x14ac:dyDescent="0.35">
      <c r="A173" s="118" t="s">
        <v>594</v>
      </c>
      <c r="B173" s="118">
        <f>ATI!I105</f>
        <v>0</v>
      </c>
      <c r="C173" s="119" t="s">
        <v>558</v>
      </c>
    </row>
    <row r="174" spans="1:3" x14ac:dyDescent="0.35">
      <c r="A174" s="118" t="s">
        <v>595</v>
      </c>
      <c r="B174" s="118">
        <f>ATI!I106</f>
        <v>0</v>
      </c>
      <c r="C174" s="119" t="s">
        <v>558</v>
      </c>
    </row>
    <row r="175" spans="1:3" x14ac:dyDescent="0.35">
      <c r="A175" s="118" t="s">
        <v>596</v>
      </c>
      <c r="B175" s="118">
        <f>ATI!I107</f>
        <v>0</v>
      </c>
      <c r="C175" s="119" t="s">
        <v>558</v>
      </c>
    </row>
    <row r="176" spans="1:3" x14ac:dyDescent="0.35">
      <c r="A176" s="118" t="s">
        <v>597</v>
      </c>
      <c r="B176" s="118">
        <f>ATI!I108</f>
        <v>0</v>
      </c>
      <c r="C176" s="119" t="s">
        <v>558</v>
      </c>
    </row>
    <row r="177" spans="1:3" x14ac:dyDescent="0.35">
      <c r="A177" s="118" t="s">
        <v>598</v>
      </c>
      <c r="B177" s="118">
        <f>ATI!I109</f>
        <v>0</v>
      </c>
      <c r="C177" s="119" t="s">
        <v>558</v>
      </c>
    </row>
    <row r="178" spans="1:3" x14ac:dyDescent="0.35">
      <c r="A178" s="118" t="s">
        <v>599</v>
      </c>
      <c r="B178" s="118">
        <f>ATI!I110</f>
        <v>0</v>
      </c>
      <c r="C178" s="119" t="s">
        <v>558</v>
      </c>
    </row>
    <row r="179" spans="1:3" x14ac:dyDescent="0.35">
      <c r="A179" s="118" t="s">
        <v>600</v>
      </c>
      <c r="B179" s="118">
        <f>ATI!I111</f>
        <v>0</v>
      </c>
      <c r="C179" s="119" t="s">
        <v>558</v>
      </c>
    </row>
    <row r="180" spans="1:3" x14ac:dyDescent="0.35">
      <c r="A180" s="118" t="s">
        <v>601</v>
      </c>
      <c r="B180" s="118">
        <f>ATI!I112</f>
        <v>0</v>
      </c>
      <c r="C180" s="119" t="s">
        <v>558</v>
      </c>
    </row>
    <row r="181" spans="1:3" x14ac:dyDescent="0.35">
      <c r="A181" s="118" t="s">
        <v>602</v>
      </c>
      <c r="B181" s="118">
        <f>ATI!I113</f>
        <v>0</v>
      </c>
      <c r="C181" s="119" t="s">
        <v>558</v>
      </c>
    </row>
    <row r="182" spans="1:3" x14ac:dyDescent="0.35">
      <c r="A182" s="118" t="s">
        <v>603</v>
      </c>
      <c r="B182" s="118">
        <f>ATI!I114</f>
        <v>0</v>
      </c>
      <c r="C182" s="119" t="s">
        <v>558</v>
      </c>
    </row>
    <row r="183" spans="1:3" x14ac:dyDescent="0.35">
      <c r="A183" s="118" t="s">
        <v>604</v>
      </c>
      <c r="B183" s="118">
        <f>ATI!I115</f>
        <v>0</v>
      </c>
      <c r="C183" s="119" t="s">
        <v>558</v>
      </c>
    </row>
    <row r="184" spans="1:3" x14ac:dyDescent="0.35">
      <c r="A184" s="118" t="s">
        <v>605</v>
      </c>
      <c r="B184" s="118">
        <f>ATI!I116</f>
        <v>0</v>
      </c>
      <c r="C184" s="119" t="s">
        <v>558</v>
      </c>
    </row>
    <row r="185" spans="1:3" x14ac:dyDescent="0.35">
      <c r="A185" s="118" t="s">
        <v>606</v>
      </c>
      <c r="B185" s="118">
        <f>ATI!L103</f>
        <v>0</v>
      </c>
      <c r="C185" s="119" t="s">
        <v>558</v>
      </c>
    </row>
    <row r="186" spans="1:3" x14ac:dyDescent="0.35">
      <c r="A186" s="118" t="s">
        <v>607</v>
      </c>
      <c r="B186" s="118">
        <f>ATI!L104</f>
        <v>0</v>
      </c>
      <c r="C186" s="119" t="s">
        <v>558</v>
      </c>
    </row>
    <row r="187" spans="1:3" x14ac:dyDescent="0.35">
      <c r="A187" s="118" t="s">
        <v>608</v>
      </c>
      <c r="B187" s="118">
        <f>ATI!L105</f>
        <v>0</v>
      </c>
      <c r="C187" s="119" t="s">
        <v>558</v>
      </c>
    </row>
    <row r="188" spans="1:3" x14ac:dyDescent="0.35">
      <c r="A188" s="118" t="s">
        <v>609</v>
      </c>
      <c r="B188" s="118">
        <f>ATI!L106</f>
        <v>0</v>
      </c>
      <c r="C188" s="119" t="s">
        <v>558</v>
      </c>
    </row>
    <row r="189" spans="1:3" x14ac:dyDescent="0.35">
      <c r="A189" s="118" t="s">
        <v>610</v>
      </c>
      <c r="B189" s="118">
        <f>ATI!L107</f>
        <v>0</v>
      </c>
      <c r="C189" s="119" t="s">
        <v>558</v>
      </c>
    </row>
    <row r="190" spans="1:3" x14ac:dyDescent="0.35">
      <c r="A190" s="118" t="s">
        <v>611</v>
      </c>
      <c r="B190" s="118">
        <f>ATI!L108</f>
        <v>0</v>
      </c>
      <c r="C190" s="119" t="s">
        <v>558</v>
      </c>
    </row>
    <row r="191" spans="1:3" x14ac:dyDescent="0.35">
      <c r="A191" s="118" t="s">
        <v>612</v>
      </c>
      <c r="B191" s="118">
        <f>ATI!L109</f>
        <v>0</v>
      </c>
      <c r="C191" s="119" t="s">
        <v>558</v>
      </c>
    </row>
    <row r="192" spans="1:3" x14ac:dyDescent="0.35">
      <c r="A192" s="118" t="s">
        <v>613</v>
      </c>
      <c r="B192" s="118">
        <f>ATI!L110</f>
        <v>0</v>
      </c>
      <c r="C192" s="119" t="s">
        <v>558</v>
      </c>
    </row>
    <row r="193" spans="1:3" x14ac:dyDescent="0.35">
      <c r="A193" s="118" t="s">
        <v>614</v>
      </c>
      <c r="B193" s="118">
        <f>ATI!L111</f>
        <v>0</v>
      </c>
      <c r="C193" s="119" t="s">
        <v>558</v>
      </c>
    </row>
    <row r="194" spans="1:3" x14ac:dyDescent="0.35">
      <c r="A194" s="118" t="s">
        <v>615</v>
      </c>
      <c r="B194" s="118">
        <f>ATI!L112</f>
        <v>0</v>
      </c>
      <c r="C194" s="119" t="s">
        <v>558</v>
      </c>
    </row>
    <row r="195" spans="1:3" x14ac:dyDescent="0.35">
      <c r="A195" s="118" t="s">
        <v>616</v>
      </c>
      <c r="B195" s="118">
        <f>ATI!L113</f>
        <v>0</v>
      </c>
      <c r="C195" s="119" t="s">
        <v>558</v>
      </c>
    </row>
    <row r="196" spans="1:3" x14ac:dyDescent="0.35">
      <c r="A196" s="118" t="s">
        <v>617</v>
      </c>
      <c r="B196" s="118">
        <f>ATI!L114</f>
        <v>0</v>
      </c>
      <c r="C196" s="119" t="s">
        <v>558</v>
      </c>
    </row>
    <row r="197" spans="1:3" x14ac:dyDescent="0.35">
      <c r="A197" s="118" t="s">
        <v>618</v>
      </c>
      <c r="B197" s="118">
        <f>ATI!L115</f>
        <v>0</v>
      </c>
      <c r="C197" s="119" t="s">
        <v>558</v>
      </c>
    </row>
    <row r="198" spans="1:3" x14ac:dyDescent="0.35">
      <c r="A198" s="118" t="s">
        <v>619</v>
      </c>
      <c r="B198" s="118">
        <f>ATI!C125</f>
        <v>0</v>
      </c>
      <c r="C198" s="119" t="s">
        <v>620</v>
      </c>
    </row>
    <row r="199" spans="1:3" x14ac:dyDescent="0.35">
      <c r="A199" s="118" t="s">
        <v>621</v>
      </c>
      <c r="B199" s="118">
        <f>ATI!C126</f>
        <v>0</v>
      </c>
      <c r="C199" s="119" t="s">
        <v>620</v>
      </c>
    </row>
    <row r="200" spans="1:3" x14ac:dyDescent="0.35">
      <c r="A200" s="118" t="s">
        <v>622</v>
      </c>
      <c r="B200" s="118">
        <f>ATI!C127</f>
        <v>0</v>
      </c>
      <c r="C200" s="119" t="s">
        <v>620</v>
      </c>
    </row>
    <row r="201" spans="1:3" x14ac:dyDescent="0.35">
      <c r="A201" s="118" t="s">
        <v>623</v>
      </c>
      <c r="B201" s="118">
        <f>ATI!C128</f>
        <v>0</v>
      </c>
      <c r="C201" s="119" t="s">
        <v>620</v>
      </c>
    </row>
    <row r="202" spans="1:3" x14ac:dyDescent="0.35">
      <c r="A202" s="118" t="s">
        <v>624</v>
      </c>
      <c r="B202" s="118">
        <f>ATI!C129</f>
        <v>0</v>
      </c>
      <c r="C202" s="119" t="s">
        <v>620</v>
      </c>
    </row>
    <row r="203" spans="1:3" x14ac:dyDescent="0.35">
      <c r="A203" s="118" t="s">
        <v>625</v>
      </c>
      <c r="B203" s="118">
        <f>ATI!C130</f>
        <v>0</v>
      </c>
      <c r="C203" s="119" t="s">
        <v>620</v>
      </c>
    </row>
    <row r="204" spans="1:3" x14ac:dyDescent="0.35">
      <c r="A204" s="118" t="s">
        <v>626</v>
      </c>
      <c r="B204" s="118">
        <f>ATI!G125</f>
        <v>0</v>
      </c>
      <c r="C204" s="119" t="s">
        <v>620</v>
      </c>
    </row>
    <row r="205" spans="1:3" x14ac:dyDescent="0.35">
      <c r="A205" s="118" t="s">
        <v>627</v>
      </c>
      <c r="B205" s="118">
        <f>ATI!G126</f>
        <v>0</v>
      </c>
      <c r="C205" s="119" t="s">
        <v>620</v>
      </c>
    </row>
    <row r="206" spans="1:3" x14ac:dyDescent="0.35">
      <c r="A206" s="118" t="s">
        <v>628</v>
      </c>
      <c r="B206" s="118">
        <f>ATI!G127</f>
        <v>0</v>
      </c>
      <c r="C206" s="119" t="s">
        <v>620</v>
      </c>
    </row>
    <row r="207" spans="1:3" x14ac:dyDescent="0.35">
      <c r="A207" s="118" t="s">
        <v>629</v>
      </c>
      <c r="B207" s="118">
        <f>ATI!G128</f>
        <v>0</v>
      </c>
      <c r="C207" s="119" t="s">
        <v>620</v>
      </c>
    </row>
    <row r="208" spans="1:3" x14ac:dyDescent="0.35">
      <c r="A208" s="118" t="s">
        <v>630</v>
      </c>
      <c r="B208" s="118">
        <f>ATI!G129</f>
        <v>0</v>
      </c>
      <c r="C208" s="119" t="s">
        <v>620</v>
      </c>
    </row>
    <row r="209" spans="1:3" x14ac:dyDescent="0.35">
      <c r="A209" s="118" t="s">
        <v>631</v>
      </c>
      <c r="B209" s="118">
        <f>ATI!G130</f>
        <v>0</v>
      </c>
      <c r="C209" s="119" t="s">
        <v>620</v>
      </c>
    </row>
    <row r="210" spans="1:3" x14ac:dyDescent="0.35">
      <c r="A210" s="118" t="s">
        <v>632</v>
      </c>
      <c r="B210" s="118">
        <f>ATI!G131</f>
        <v>0</v>
      </c>
      <c r="C210" s="119" t="s">
        <v>620</v>
      </c>
    </row>
    <row r="211" spans="1:3" x14ac:dyDescent="0.35">
      <c r="A211" s="118" t="s">
        <v>633</v>
      </c>
      <c r="B211" s="118">
        <f>ATI!K125</f>
        <v>0</v>
      </c>
      <c r="C211" s="119" t="s">
        <v>620</v>
      </c>
    </row>
    <row r="212" spans="1:3" x14ac:dyDescent="0.35">
      <c r="A212" s="118" t="s">
        <v>634</v>
      </c>
      <c r="B212" s="118">
        <f>ATI!K126</f>
        <v>0</v>
      </c>
      <c r="C212" s="119" t="s">
        <v>620</v>
      </c>
    </row>
    <row r="213" spans="1:3" x14ac:dyDescent="0.35">
      <c r="A213" s="118" t="s">
        <v>635</v>
      </c>
      <c r="B213" s="118">
        <f>ATI!K127</f>
        <v>0</v>
      </c>
      <c r="C213" s="119" t="s">
        <v>620</v>
      </c>
    </row>
    <row r="214" spans="1:3" x14ac:dyDescent="0.35">
      <c r="A214" s="118" t="s">
        <v>636</v>
      </c>
      <c r="B214" s="118">
        <f>ATI!K128</f>
        <v>0</v>
      </c>
      <c r="C214" s="119" t="s">
        <v>620</v>
      </c>
    </row>
    <row r="215" spans="1:3" x14ac:dyDescent="0.35">
      <c r="A215" s="118" t="s">
        <v>637</v>
      </c>
      <c r="B215" s="118">
        <f>ATI!K129</f>
        <v>0</v>
      </c>
      <c r="C215" s="119" t="s">
        <v>620</v>
      </c>
    </row>
    <row r="216" spans="1:3" x14ac:dyDescent="0.35">
      <c r="A216" s="118" t="s">
        <v>638</v>
      </c>
      <c r="B216" s="118">
        <f>ATI!K130</f>
        <v>0</v>
      </c>
      <c r="C216" s="119" t="s">
        <v>620</v>
      </c>
    </row>
    <row r="217" spans="1:3" x14ac:dyDescent="0.35">
      <c r="A217" s="118" t="s">
        <v>639</v>
      </c>
      <c r="B217" s="118">
        <f>ATI!K131</f>
        <v>0</v>
      </c>
      <c r="C217" s="119" t="s">
        <v>620</v>
      </c>
    </row>
    <row r="218" spans="1:3" x14ac:dyDescent="0.35">
      <c r="A218" s="5" t="s">
        <v>640</v>
      </c>
      <c r="B218" s="5">
        <f>ATI!A137</f>
        <v>0</v>
      </c>
      <c r="C218" s="6" t="s">
        <v>641</v>
      </c>
    </row>
    <row r="219" spans="1:3" x14ac:dyDescent="0.35">
      <c r="A219" s="2" t="s">
        <v>642</v>
      </c>
      <c r="B219" s="2">
        <f>ATI!C137</f>
        <v>0</v>
      </c>
      <c r="C219" s="4" t="s">
        <v>641</v>
      </c>
    </row>
    <row r="220" spans="1:3" x14ac:dyDescent="0.35">
      <c r="A220" s="2" t="s">
        <v>643</v>
      </c>
      <c r="B220" s="2">
        <f>ATI!E137</f>
        <v>0</v>
      </c>
      <c r="C220" s="4" t="s">
        <v>641</v>
      </c>
    </row>
    <row r="221" spans="1:3" x14ac:dyDescent="0.35">
      <c r="A221" s="2" t="s">
        <v>644</v>
      </c>
      <c r="B221" s="2">
        <f>ATI!F137</f>
        <v>0</v>
      </c>
      <c r="C221" s="4" t="s">
        <v>641</v>
      </c>
    </row>
    <row r="222" spans="1:3" x14ac:dyDescent="0.35">
      <c r="A222" s="2" t="s">
        <v>645</v>
      </c>
      <c r="B222" s="2">
        <f>ATI!G137</f>
        <v>0</v>
      </c>
      <c r="C222" s="4" t="s">
        <v>641</v>
      </c>
    </row>
    <row r="223" spans="1:3" x14ac:dyDescent="0.35">
      <c r="A223" s="5" t="s">
        <v>646</v>
      </c>
      <c r="B223" s="5">
        <f>ATI!H137</f>
        <v>0</v>
      </c>
      <c r="C223" s="6" t="s">
        <v>641</v>
      </c>
    </row>
    <row r="224" spans="1:3" x14ac:dyDescent="0.35">
      <c r="A224" s="2" t="s">
        <v>647</v>
      </c>
      <c r="B224" s="2">
        <f>ATI!A144</f>
        <v>0</v>
      </c>
      <c r="C224" s="4" t="s">
        <v>648</v>
      </c>
    </row>
    <row r="225" spans="1:3" x14ac:dyDescent="0.35">
      <c r="A225" s="2" t="s">
        <v>649</v>
      </c>
      <c r="B225" s="2">
        <f>ATI!D144</f>
        <v>0</v>
      </c>
      <c r="C225" s="4" t="s">
        <v>648</v>
      </c>
    </row>
    <row r="226" spans="1:3" x14ac:dyDescent="0.35">
      <c r="A226" s="2" t="s">
        <v>650</v>
      </c>
      <c r="B226" s="2">
        <f>ATI!G144</f>
        <v>0</v>
      </c>
      <c r="C226" s="4" t="s">
        <v>648</v>
      </c>
    </row>
    <row r="227" spans="1:3" x14ac:dyDescent="0.35">
      <c r="A227" s="2" t="s">
        <v>651</v>
      </c>
      <c r="B227" s="2" cm="1">
        <f t="array" ref="B227:B232">TRANSPOSE(ATI!C151:H151)</f>
        <v>0</v>
      </c>
      <c r="C227" s="4" t="s">
        <v>652</v>
      </c>
    </row>
    <row r="228" spans="1:3" x14ac:dyDescent="0.35">
      <c r="A228" s="2" t="s">
        <v>653</v>
      </c>
      <c r="B228" s="2">
        <v>0</v>
      </c>
      <c r="C228" s="4" t="s">
        <v>652</v>
      </c>
    </row>
    <row r="229" spans="1:3" x14ac:dyDescent="0.35">
      <c r="A229" s="2" t="s">
        <v>654</v>
      </c>
      <c r="B229" s="2">
        <v>0</v>
      </c>
      <c r="C229" s="4" t="s">
        <v>652</v>
      </c>
    </row>
    <row r="230" spans="1:3" x14ac:dyDescent="0.35">
      <c r="A230" s="2" t="s">
        <v>655</v>
      </c>
      <c r="B230" s="2">
        <v>0</v>
      </c>
      <c r="C230" s="4" t="s">
        <v>652</v>
      </c>
    </row>
    <row r="231" spans="1:3" x14ac:dyDescent="0.35">
      <c r="A231" s="2" t="s">
        <v>656</v>
      </c>
      <c r="B231" s="2">
        <v>0</v>
      </c>
      <c r="C231" s="4" t="s">
        <v>652</v>
      </c>
    </row>
    <row r="232" spans="1:3" x14ac:dyDescent="0.35">
      <c r="A232" s="2" t="s">
        <v>657</v>
      </c>
      <c r="B232" s="2">
        <v>0</v>
      </c>
      <c r="C232" s="4" t="s">
        <v>652</v>
      </c>
    </row>
    <row r="233" spans="1:3" x14ac:dyDescent="0.35">
      <c r="A233" s="2" t="s">
        <v>658</v>
      </c>
      <c r="B233" s="2"/>
      <c r="C233" s="4" t="s">
        <v>652</v>
      </c>
    </row>
    <row r="234" spans="1:3" x14ac:dyDescent="0.35">
      <c r="A234" s="2" t="s">
        <v>659</v>
      </c>
      <c r="B234" s="2"/>
      <c r="C234" s="4" t="s">
        <v>652</v>
      </c>
    </row>
    <row r="235" spans="1:3" x14ac:dyDescent="0.35">
      <c r="A235" s="2" t="s">
        <v>660</v>
      </c>
      <c r="B235" s="2"/>
      <c r="C235" s="4" t="s">
        <v>652</v>
      </c>
    </row>
    <row r="236" spans="1:3" x14ac:dyDescent="0.35">
      <c r="A236" s="2" t="s">
        <v>661</v>
      </c>
      <c r="B236" s="2"/>
      <c r="C236" s="4" t="s">
        <v>652</v>
      </c>
    </row>
    <row r="237" spans="1:3" x14ac:dyDescent="0.35">
      <c r="A237" s="2" t="s">
        <v>662</v>
      </c>
      <c r="B237" s="2" cm="1">
        <f t="array" ref="B237:B242">TRANSPOSE(ATI!C152:H152)</f>
        <v>0</v>
      </c>
      <c r="C237" s="4" t="s">
        <v>652</v>
      </c>
    </row>
    <row r="238" spans="1:3" x14ac:dyDescent="0.35">
      <c r="A238" s="2" t="s">
        <v>663</v>
      </c>
      <c r="B238" s="2">
        <v>0</v>
      </c>
      <c r="C238" s="4" t="s">
        <v>652</v>
      </c>
    </row>
    <row r="239" spans="1:3" x14ac:dyDescent="0.35">
      <c r="A239" s="2" t="s">
        <v>664</v>
      </c>
      <c r="B239" s="2">
        <v>0</v>
      </c>
      <c r="C239" s="4" t="s">
        <v>652</v>
      </c>
    </row>
    <row r="240" spans="1:3" x14ac:dyDescent="0.35">
      <c r="A240" s="2" t="s">
        <v>665</v>
      </c>
      <c r="B240" s="2">
        <v>0</v>
      </c>
      <c r="C240" s="4" t="s">
        <v>652</v>
      </c>
    </row>
    <row r="241" spans="1:3" x14ac:dyDescent="0.35">
      <c r="A241" s="2" t="s">
        <v>666</v>
      </c>
      <c r="B241" s="2">
        <v>0</v>
      </c>
      <c r="C241" s="4" t="s">
        <v>652</v>
      </c>
    </row>
    <row r="242" spans="1:3" x14ac:dyDescent="0.35">
      <c r="A242" s="2" t="s">
        <v>667</v>
      </c>
      <c r="B242" s="2">
        <v>0</v>
      </c>
      <c r="C242" s="4" t="s">
        <v>652</v>
      </c>
    </row>
    <row r="243" spans="1:3" x14ac:dyDescent="0.35">
      <c r="A243" s="2" t="s">
        <v>668</v>
      </c>
      <c r="B243" s="2"/>
      <c r="C243" s="4" t="s">
        <v>652</v>
      </c>
    </row>
    <row r="244" spans="1:3" x14ac:dyDescent="0.35">
      <c r="A244" s="2" t="s">
        <v>669</v>
      </c>
      <c r="B244" s="2"/>
      <c r="C244" s="4" t="s">
        <v>652</v>
      </c>
    </row>
    <row r="245" spans="1:3" x14ac:dyDescent="0.35">
      <c r="A245" s="2" t="s">
        <v>670</v>
      </c>
      <c r="B245" s="2"/>
      <c r="C245" s="4" t="s">
        <v>652</v>
      </c>
    </row>
    <row r="246" spans="1:3" x14ac:dyDescent="0.35">
      <c r="A246" s="2" t="s">
        <v>671</v>
      </c>
      <c r="B246" s="2"/>
      <c r="C246" s="4" t="s">
        <v>652</v>
      </c>
    </row>
    <row r="247" spans="1:3" x14ac:dyDescent="0.35">
      <c r="A247" s="2" t="s">
        <v>672</v>
      </c>
      <c r="B247" s="2" cm="1">
        <f t="array" ref="B247:B252">TRANSPOSE(ATI!C153:H153)</f>
        <v>0</v>
      </c>
      <c r="C247" s="4" t="s">
        <v>652</v>
      </c>
    </row>
    <row r="248" spans="1:3" x14ac:dyDescent="0.35">
      <c r="A248" s="2" t="s">
        <v>673</v>
      </c>
      <c r="B248" s="2">
        <v>0</v>
      </c>
      <c r="C248" s="4" t="s">
        <v>652</v>
      </c>
    </row>
    <row r="249" spans="1:3" x14ac:dyDescent="0.35">
      <c r="A249" s="2" t="s">
        <v>674</v>
      </c>
      <c r="B249" s="2">
        <v>0</v>
      </c>
      <c r="C249" s="4" t="s">
        <v>652</v>
      </c>
    </row>
    <row r="250" spans="1:3" x14ac:dyDescent="0.35">
      <c r="A250" s="2" t="s">
        <v>675</v>
      </c>
      <c r="B250" s="2">
        <v>0</v>
      </c>
      <c r="C250" s="4" t="s">
        <v>652</v>
      </c>
    </row>
    <row r="251" spans="1:3" x14ac:dyDescent="0.35">
      <c r="A251" s="2" t="s">
        <v>676</v>
      </c>
      <c r="B251" s="2">
        <v>0</v>
      </c>
      <c r="C251" s="4" t="s">
        <v>652</v>
      </c>
    </row>
    <row r="252" spans="1:3" x14ac:dyDescent="0.35">
      <c r="A252" s="2" t="s">
        <v>677</v>
      </c>
      <c r="B252" s="2">
        <v>0</v>
      </c>
      <c r="C252" s="4" t="s">
        <v>652</v>
      </c>
    </row>
    <row r="253" spans="1:3" x14ac:dyDescent="0.35">
      <c r="A253" s="2" t="s">
        <v>678</v>
      </c>
      <c r="B253" s="2"/>
      <c r="C253" s="4" t="s">
        <v>652</v>
      </c>
    </row>
    <row r="254" spans="1:3" x14ac:dyDescent="0.35">
      <c r="A254" s="2" t="s">
        <v>679</v>
      </c>
      <c r="B254" s="2"/>
      <c r="C254" s="4" t="s">
        <v>652</v>
      </c>
    </row>
    <row r="255" spans="1:3" x14ac:dyDescent="0.35">
      <c r="A255" s="2" t="s">
        <v>680</v>
      </c>
      <c r="B255" s="2"/>
      <c r="C255" s="4" t="s">
        <v>652</v>
      </c>
    </row>
    <row r="256" spans="1:3" x14ac:dyDescent="0.35">
      <c r="A256" s="2" t="s">
        <v>681</v>
      </c>
      <c r="B256" s="2"/>
      <c r="C256" s="4" t="s">
        <v>652</v>
      </c>
    </row>
    <row r="257" spans="1:3" x14ac:dyDescent="0.35">
      <c r="A257" s="2" t="s">
        <v>682</v>
      </c>
      <c r="B257" s="2" cm="1">
        <f t="array" ref="B257:B262">TRANSPOSE(ATI!C154:H154)</f>
        <v>0</v>
      </c>
      <c r="C257" s="4" t="s">
        <v>652</v>
      </c>
    </row>
    <row r="258" spans="1:3" x14ac:dyDescent="0.35">
      <c r="A258" s="2" t="s">
        <v>683</v>
      </c>
      <c r="B258" s="2">
        <v>0</v>
      </c>
      <c r="C258" s="4" t="s">
        <v>652</v>
      </c>
    </row>
    <row r="259" spans="1:3" x14ac:dyDescent="0.35">
      <c r="A259" s="2" t="s">
        <v>684</v>
      </c>
      <c r="B259" s="2">
        <v>0</v>
      </c>
      <c r="C259" s="4" t="s">
        <v>652</v>
      </c>
    </row>
    <row r="260" spans="1:3" x14ac:dyDescent="0.35">
      <c r="A260" s="2" t="s">
        <v>685</v>
      </c>
      <c r="B260" s="2">
        <v>0</v>
      </c>
      <c r="C260" s="4" t="s">
        <v>652</v>
      </c>
    </row>
    <row r="261" spans="1:3" x14ac:dyDescent="0.35">
      <c r="A261" s="2" t="s">
        <v>686</v>
      </c>
      <c r="B261" s="2">
        <v>0</v>
      </c>
      <c r="C261" s="4" t="s">
        <v>652</v>
      </c>
    </row>
    <row r="262" spans="1:3" x14ac:dyDescent="0.35">
      <c r="A262" s="2" t="s">
        <v>687</v>
      </c>
      <c r="B262" s="2">
        <v>0</v>
      </c>
      <c r="C262" s="4" t="s">
        <v>652</v>
      </c>
    </row>
    <row r="263" spans="1:3" x14ac:dyDescent="0.35">
      <c r="A263" s="2" t="s">
        <v>688</v>
      </c>
      <c r="B263" s="2"/>
      <c r="C263" s="4" t="s">
        <v>652</v>
      </c>
    </row>
    <row r="264" spans="1:3" x14ac:dyDescent="0.35">
      <c r="A264" s="2" t="s">
        <v>689</v>
      </c>
      <c r="B264" s="2"/>
      <c r="C264" s="4" t="s">
        <v>652</v>
      </c>
    </row>
    <row r="265" spans="1:3" x14ac:dyDescent="0.35">
      <c r="A265" s="2" t="s">
        <v>690</v>
      </c>
      <c r="B265" s="2"/>
      <c r="C265" s="4" t="s">
        <v>652</v>
      </c>
    </row>
    <row r="266" spans="1:3" x14ac:dyDescent="0.35">
      <c r="A266" s="2" t="s">
        <v>691</v>
      </c>
      <c r="B266" s="2"/>
      <c r="C266" s="4" t="s">
        <v>652</v>
      </c>
    </row>
    <row r="267" spans="1:3" x14ac:dyDescent="0.35">
      <c r="A267" s="2" t="s">
        <v>692</v>
      </c>
      <c r="B267" s="2" cm="1">
        <f t="array" ref="B267:B272">TRANSPOSE(ATI!C155:H155)</f>
        <v>0</v>
      </c>
      <c r="C267" s="4" t="s">
        <v>652</v>
      </c>
    </row>
    <row r="268" spans="1:3" x14ac:dyDescent="0.35">
      <c r="A268" s="2" t="s">
        <v>693</v>
      </c>
      <c r="B268" s="2">
        <v>0</v>
      </c>
      <c r="C268" s="4" t="s">
        <v>652</v>
      </c>
    </row>
    <row r="269" spans="1:3" x14ac:dyDescent="0.35">
      <c r="A269" s="2" t="s">
        <v>694</v>
      </c>
      <c r="B269" s="2">
        <v>0</v>
      </c>
      <c r="C269" s="4" t="s">
        <v>652</v>
      </c>
    </row>
    <row r="270" spans="1:3" x14ac:dyDescent="0.35">
      <c r="A270" s="2" t="s">
        <v>695</v>
      </c>
      <c r="B270" s="2">
        <v>0</v>
      </c>
      <c r="C270" s="4" t="s">
        <v>652</v>
      </c>
    </row>
    <row r="271" spans="1:3" x14ac:dyDescent="0.35">
      <c r="A271" s="2" t="s">
        <v>696</v>
      </c>
      <c r="B271" s="2">
        <v>0</v>
      </c>
      <c r="C271" s="4" t="s">
        <v>652</v>
      </c>
    </row>
    <row r="272" spans="1:3" x14ac:dyDescent="0.35">
      <c r="A272" s="2" t="s">
        <v>697</v>
      </c>
      <c r="B272" s="2">
        <v>0</v>
      </c>
      <c r="C272" s="4" t="s">
        <v>652</v>
      </c>
    </row>
    <row r="273" spans="1:3" x14ac:dyDescent="0.35">
      <c r="A273" s="2" t="s">
        <v>698</v>
      </c>
      <c r="B273" s="2"/>
      <c r="C273" s="4" t="s">
        <v>652</v>
      </c>
    </row>
    <row r="274" spans="1:3" x14ac:dyDescent="0.35">
      <c r="A274" s="2" t="s">
        <v>699</v>
      </c>
      <c r="B274" s="2"/>
      <c r="C274" s="4" t="s">
        <v>652</v>
      </c>
    </row>
    <row r="275" spans="1:3" x14ac:dyDescent="0.35">
      <c r="A275" s="2" t="s">
        <v>700</v>
      </c>
      <c r="B275" s="2"/>
      <c r="C275" s="4" t="s">
        <v>652</v>
      </c>
    </row>
    <row r="276" spans="1:3" x14ac:dyDescent="0.35">
      <c r="A276" s="2" t="s">
        <v>701</v>
      </c>
      <c r="B276" s="2"/>
      <c r="C276" s="4" t="s">
        <v>652</v>
      </c>
    </row>
    <row r="277" spans="1:3" x14ac:dyDescent="0.35">
      <c r="A277" s="2" t="s">
        <v>702</v>
      </c>
      <c r="B277" s="2" cm="1">
        <f t="array" ref="B277:B282">TRANSPOSE(ATI!C156:H156)</f>
        <v>0</v>
      </c>
      <c r="C277" s="4" t="s">
        <v>652</v>
      </c>
    </row>
    <row r="278" spans="1:3" x14ac:dyDescent="0.35">
      <c r="A278" s="2" t="s">
        <v>703</v>
      </c>
      <c r="B278" s="2">
        <v>0</v>
      </c>
      <c r="C278" s="4" t="s">
        <v>652</v>
      </c>
    </row>
    <row r="279" spans="1:3" x14ac:dyDescent="0.35">
      <c r="A279" s="2" t="s">
        <v>704</v>
      </c>
      <c r="B279" s="2">
        <v>0</v>
      </c>
      <c r="C279" s="4" t="s">
        <v>652</v>
      </c>
    </row>
    <row r="280" spans="1:3" x14ac:dyDescent="0.35">
      <c r="A280" s="2" t="s">
        <v>705</v>
      </c>
      <c r="B280" s="2">
        <v>0</v>
      </c>
      <c r="C280" s="4" t="s">
        <v>652</v>
      </c>
    </row>
    <row r="281" spans="1:3" x14ac:dyDescent="0.35">
      <c r="A281" s="2" t="s">
        <v>706</v>
      </c>
      <c r="B281" s="2">
        <v>0</v>
      </c>
      <c r="C281" s="4" t="s">
        <v>652</v>
      </c>
    </row>
    <row r="282" spans="1:3" x14ac:dyDescent="0.35">
      <c r="A282" s="2" t="s">
        <v>707</v>
      </c>
      <c r="B282" s="2">
        <v>0</v>
      </c>
      <c r="C282" s="4" t="s">
        <v>652</v>
      </c>
    </row>
    <row r="283" spans="1:3" x14ac:dyDescent="0.35">
      <c r="A283" s="2" t="s">
        <v>708</v>
      </c>
      <c r="B283" s="2"/>
      <c r="C283" s="4" t="s">
        <v>652</v>
      </c>
    </row>
    <row r="284" spans="1:3" x14ac:dyDescent="0.35">
      <c r="A284" s="2" t="s">
        <v>709</v>
      </c>
      <c r="B284" s="2"/>
      <c r="C284" s="4" t="s">
        <v>652</v>
      </c>
    </row>
    <row r="285" spans="1:3" x14ac:dyDescent="0.35">
      <c r="A285" s="2" t="s">
        <v>710</v>
      </c>
      <c r="B285" s="2"/>
      <c r="C285" s="4" t="s">
        <v>652</v>
      </c>
    </row>
    <row r="286" spans="1:3" x14ac:dyDescent="0.35">
      <c r="A286" s="2" t="s">
        <v>711</v>
      </c>
      <c r="B286" s="2"/>
      <c r="C286" s="4" t="s">
        <v>652</v>
      </c>
    </row>
    <row r="287" spans="1:3" x14ac:dyDescent="0.35">
      <c r="A287" s="2" t="s">
        <v>712</v>
      </c>
      <c r="B287" s="2" cm="1">
        <f t="array" ref="B287:B292">TRANSPOSE(ATI!C157:H157)</f>
        <v>0</v>
      </c>
      <c r="C287" s="4" t="s">
        <v>652</v>
      </c>
    </row>
    <row r="288" spans="1:3" x14ac:dyDescent="0.35">
      <c r="A288" s="2" t="s">
        <v>713</v>
      </c>
      <c r="B288" s="2">
        <v>0</v>
      </c>
      <c r="C288" s="4" t="s">
        <v>652</v>
      </c>
    </row>
    <row r="289" spans="1:3" x14ac:dyDescent="0.35">
      <c r="A289" s="2" t="s">
        <v>714</v>
      </c>
      <c r="B289" s="2">
        <v>0</v>
      </c>
      <c r="C289" s="4" t="s">
        <v>652</v>
      </c>
    </row>
    <row r="290" spans="1:3" x14ac:dyDescent="0.35">
      <c r="A290" s="2" t="s">
        <v>715</v>
      </c>
      <c r="B290" s="2">
        <v>0</v>
      </c>
      <c r="C290" s="4" t="s">
        <v>652</v>
      </c>
    </row>
    <row r="291" spans="1:3" x14ac:dyDescent="0.35">
      <c r="A291" s="2" t="s">
        <v>716</v>
      </c>
      <c r="B291" s="2">
        <v>0</v>
      </c>
      <c r="C291" s="4" t="s">
        <v>652</v>
      </c>
    </row>
    <row r="292" spans="1:3" x14ac:dyDescent="0.35">
      <c r="A292" s="2" t="s">
        <v>717</v>
      </c>
      <c r="B292" s="2">
        <v>0</v>
      </c>
      <c r="C292" s="4" t="s">
        <v>652</v>
      </c>
    </row>
    <row r="293" spans="1:3" x14ac:dyDescent="0.35">
      <c r="A293" s="2" t="s">
        <v>718</v>
      </c>
      <c r="B293" s="2"/>
      <c r="C293" s="4" t="s">
        <v>652</v>
      </c>
    </row>
    <row r="294" spans="1:3" x14ac:dyDescent="0.35">
      <c r="A294" s="2" t="s">
        <v>719</v>
      </c>
      <c r="B294" s="2"/>
      <c r="C294" s="4" t="s">
        <v>652</v>
      </c>
    </row>
    <row r="295" spans="1:3" x14ac:dyDescent="0.35">
      <c r="A295" s="2" t="s">
        <v>720</v>
      </c>
      <c r="B295" s="2"/>
      <c r="C295" s="4" t="s">
        <v>652</v>
      </c>
    </row>
    <row r="296" spans="1:3" x14ac:dyDescent="0.35">
      <c r="A296" s="2" t="s">
        <v>721</v>
      </c>
      <c r="B296" s="2"/>
      <c r="C296" s="4" t="s">
        <v>652</v>
      </c>
    </row>
    <row r="297" spans="1:3" x14ac:dyDescent="0.35">
      <c r="A297" s="2" t="s">
        <v>722</v>
      </c>
      <c r="B297" s="2">
        <f>ATI!A163</f>
        <v>0</v>
      </c>
      <c r="C297" s="4" t="s">
        <v>723</v>
      </c>
    </row>
    <row r="298" spans="1:3" x14ac:dyDescent="0.35">
      <c r="A298" s="2" t="s">
        <v>724</v>
      </c>
      <c r="B298" s="2">
        <f>ATI!D163</f>
        <v>0</v>
      </c>
      <c r="C298" s="4" t="s">
        <v>723</v>
      </c>
    </row>
    <row r="299" spans="1:3" x14ac:dyDescent="0.35">
      <c r="A299" s="2" t="s">
        <v>725</v>
      </c>
      <c r="B299" s="2">
        <f>ATI!G163</f>
        <v>0</v>
      </c>
      <c r="C299" s="4" t="s">
        <v>723</v>
      </c>
    </row>
    <row r="300" spans="1:3" x14ac:dyDescent="0.35">
      <c r="A300" s="2" t="s">
        <v>726</v>
      </c>
      <c r="B300" s="2">
        <f>ATI!C168</f>
        <v>0</v>
      </c>
      <c r="C300" s="4" t="s">
        <v>727</v>
      </c>
    </row>
    <row r="301" spans="1:3" x14ac:dyDescent="0.35">
      <c r="A301" s="2" t="s">
        <v>728</v>
      </c>
      <c r="B301" s="2">
        <f>ATI!D168</f>
        <v>0</v>
      </c>
      <c r="C301" s="4" t="s">
        <v>727</v>
      </c>
    </row>
    <row r="302" spans="1:3" x14ac:dyDescent="0.35">
      <c r="A302" s="2" t="s">
        <v>729</v>
      </c>
      <c r="B302" s="2" t="e">
        <f>ATI!#REF!</f>
        <v>#REF!</v>
      </c>
      <c r="C302" s="4" t="s">
        <v>727</v>
      </c>
    </row>
    <row r="303" spans="1:3" x14ac:dyDescent="0.35">
      <c r="A303" s="2" t="s">
        <v>730</v>
      </c>
      <c r="B303" s="2" t="e">
        <f>ATI!#REF!</f>
        <v>#REF!</v>
      </c>
      <c r="C303" s="4" t="s">
        <v>727</v>
      </c>
    </row>
    <row r="304" spans="1:3" x14ac:dyDescent="0.35">
      <c r="A304" s="2" t="s">
        <v>731</v>
      </c>
      <c r="B304" s="2" t="e">
        <f>ATI!#REF!</f>
        <v>#REF!</v>
      </c>
      <c r="C304" s="4" t="s">
        <v>727</v>
      </c>
    </row>
    <row r="305" spans="1:3" x14ac:dyDescent="0.35">
      <c r="A305" s="2" t="s">
        <v>732</v>
      </c>
      <c r="B305" s="2" t="e">
        <f>ATI!#REF!</f>
        <v>#REF!</v>
      </c>
      <c r="C305" s="4" t="s">
        <v>727</v>
      </c>
    </row>
    <row r="306" spans="1:3" x14ac:dyDescent="0.35">
      <c r="A306" s="2" t="s">
        <v>733</v>
      </c>
      <c r="B306" s="2">
        <f>ATI!C169</f>
        <v>0</v>
      </c>
      <c r="C306" s="4" t="s">
        <v>727</v>
      </c>
    </row>
    <row r="307" spans="1:3" x14ac:dyDescent="0.35">
      <c r="A307" s="2" t="s">
        <v>734</v>
      </c>
      <c r="B307" s="120">
        <f>ATI!D169</f>
        <v>0</v>
      </c>
      <c r="C307" s="4" t="s">
        <v>727</v>
      </c>
    </row>
    <row r="308" spans="1:3" x14ac:dyDescent="0.35">
      <c r="A308" s="2" t="s">
        <v>735</v>
      </c>
      <c r="B308" s="2" t="e">
        <f>ATI!#REF!</f>
        <v>#REF!</v>
      </c>
      <c r="C308" s="4" t="s">
        <v>727</v>
      </c>
    </row>
    <row r="309" spans="1:3" x14ac:dyDescent="0.35">
      <c r="A309" s="2" t="s">
        <v>736</v>
      </c>
      <c r="B309" s="2" t="e">
        <f>ATI!#REF!</f>
        <v>#REF!</v>
      </c>
      <c r="C309" s="4" t="s">
        <v>727</v>
      </c>
    </row>
    <row r="310" spans="1:3" x14ac:dyDescent="0.35">
      <c r="A310" s="2" t="s">
        <v>737</v>
      </c>
      <c r="B310" s="2" t="e">
        <f>ATI!#REF!</f>
        <v>#REF!</v>
      </c>
      <c r="C310" s="4" t="s">
        <v>727</v>
      </c>
    </row>
    <row r="311" spans="1:3" x14ac:dyDescent="0.35">
      <c r="A311" s="2" t="s">
        <v>738</v>
      </c>
      <c r="B311" s="2" t="e">
        <f>ATI!#REF!</f>
        <v>#REF!</v>
      </c>
      <c r="C311" s="4" t="s">
        <v>727</v>
      </c>
    </row>
    <row r="312" spans="1:3" x14ac:dyDescent="0.35">
      <c r="A312" s="2" t="s">
        <v>739</v>
      </c>
      <c r="B312" s="2">
        <f>ATI!C170</f>
        <v>0</v>
      </c>
      <c r="C312" s="4" t="s">
        <v>727</v>
      </c>
    </row>
    <row r="313" spans="1:3" x14ac:dyDescent="0.35">
      <c r="A313" s="2" t="s">
        <v>740</v>
      </c>
      <c r="B313" s="2">
        <f>ATI!D170</f>
        <v>0</v>
      </c>
      <c r="C313" s="4" t="s">
        <v>727</v>
      </c>
    </row>
    <row r="314" spans="1:3" x14ac:dyDescent="0.35">
      <c r="A314" s="2" t="s">
        <v>741</v>
      </c>
      <c r="B314" s="2" t="e">
        <f>ATI!#REF!</f>
        <v>#REF!</v>
      </c>
      <c r="C314" s="4" t="s">
        <v>727</v>
      </c>
    </row>
    <row r="315" spans="1:3" x14ac:dyDescent="0.35">
      <c r="A315" s="2" t="s">
        <v>742</v>
      </c>
      <c r="B315" s="2" t="e">
        <f>ATI!#REF!</f>
        <v>#REF!</v>
      </c>
      <c r="C315" s="4" t="s">
        <v>727</v>
      </c>
    </row>
    <row r="316" spans="1:3" x14ac:dyDescent="0.35">
      <c r="A316" s="2" t="s">
        <v>743</v>
      </c>
      <c r="B316" s="2" t="e">
        <f>ATI!#REF!</f>
        <v>#REF!</v>
      </c>
      <c r="C316" s="4" t="s">
        <v>727</v>
      </c>
    </row>
    <row r="317" spans="1:3" x14ac:dyDescent="0.35">
      <c r="A317" s="2" t="s">
        <v>744</v>
      </c>
      <c r="B317" s="2" t="e">
        <f>ATI!#REF!</f>
        <v>#REF!</v>
      </c>
      <c r="C317" s="4" t="s">
        <v>727</v>
      </c>
    </row>
    <row r="318" spans="1:3" x14ac:dyDescent="0.35">
      <c r="A318" s="2" t="s">
        <v>745</v>
      </c>
      <c r="B318" s="2">
        <f>ATI!C171</f>
        <v>0</v>
      </c>
      <c r="C318" s="4" t="s">
        <v>727</v>
      </c>
    </row>
    <row r="319" spans="1:3" x14ac:dyDescent="0.35">
      <c r="A319" s="2" t="s">
        <v>746</v>
      </c>
      <c r="B319" s="2">
        <f>ATI!D171</f>
        <v>0</v>
      </c>
      <c r="C319" s="4" t="s">
        <v>727</v>
      </c>
    </row>
    <row r="320" spans="1:3" x14ac:dyDescent="0.35">
      <c r="A320" s="2" t="s">
        <v>747</v>
      </c>
      <c r="B320" s="2" t="e">
        <f>ATI!#REF!</f>
        <v>#REF!</v>
      </c>
      <c r="C320" s="4" t="s">
        <v>727</v>
      </c>
    </row>
    <row r="321" spans="1:3" x14ac:dyDescent="0.35">
      <c r="A321" s="2" t="s">
        <v>748</v>
      </c>
      <c r="B321" s="2" t="e">
        <f>ATI!#REF!</f>
        <v>#REF!</v>
      </c>
      <c r="C321" s="4" t="s">
        <v>727</v>
      </c>
    </row>
    <row r="322" spans="1:3" x14ac:dyDescent="0.35">
      <c r="A322" s="2" t="s">
        <v>749</v>
      </c>
      <c r="B322" s="2" t="e">
        <f>ATI!#REF!</f>
        <v>#REF!</v>
      </c>
      <c r="C322" s="4" t="s">
        <v>727</v>
      </c>
    </row>
    <row r="323" spans="1:3" x14ac:dyDescent="0.35">
      <c r="A323" s="2" t="s">
        <v>750</v>
      </c>
      <c r="B323" s="2" t="e">
        <f>ATI!#REF!</f>
        <v>#REF!</v>
      </c>
      <c r="C323" s="4" t="s">
        <v>727</v>
      </c>
    </row>
    <row r="324" spans="1:3" x14ac:dyDescent="0.35">
      <c r="A324" s="2" t="s">
        <v>751</v>
      </c>
      <c r="B324" s="2">
        <f>ATI!C172</f>
        <v>0</v>
      </c>
      <c r="C324" s="4" t="s">
        <v>727</v>
      </c>
    </row>
    <row r="325" spans="1:3" x14ac:dyDescent="0.35">
      <c r="A325" s="2" t="s">
        <v>752</v>
      </c>
      <c r="B325" s="2">
        <f>ATI!D172</f>
        <v>0</v>
      </c>
      <c r="C325" s="4" t="s">
        <v>727</v>
      </c>
    </row>
    <row r="326" spans="1:3" x14ac:dyDescent="0.35">
      <c r="A326" s="2" t="s">
        <v>753</v>
      </c>
      <c r="B326" s="2" t="e">
        <f>ATI!#REF!</f>
        <v>#REF!</v>
      </c>
      <c r="C326" s="4" t="s">
        <v>727</v>
      </c>
    </row>
    <row r="327" spans="1:3" x14ac:dyDescent="0.35">
      <c r="A327" s="2" t="s">
        <v>754</v>
      </c>
      <c r="B327" s="2" t="e">
        <f>ATI!#REF!</f>
        <v>#REF!</v>
      </c>
      <c r="C327" s="4" t="s">
        <v>727</v>
      </c>
    </row>
    <row r="328" spans="1:3" x14ac:dyDescent="0.35">
      <c r="A328" s="2" t="s">
        <v>755</v>
      </c>
      <c r="B328" s="2" t="e">
        <f>ATI!#REF!</f>
        <v>#REF!</v>
      </c>
      <c r="C328" s="4" t="s">
        <v>727</v>
      </c>
    </row>
    <row r="329" spans="1:3" x14ac:dyDescent="0.35">
      <c r="A329" s="2" t="s">
        <v>756</v>
      </c>
      <c r="B329" s="2" t="e">
        <f>ATI!#REF!</f>
        <v>#REF!</v>
      </c>
      <c r="C329" s="4" t="s">
        <v>727</v>
      </c>
    </row>
    <row r="330" spans="1:3" x14ac:dyDescent="0.35">
      <c r="A330" s="2" t="s">
        <v>757</v>
      </c>
      <c r="B330" s="2">
        <f>ATI!C173</f>
        <v>0</v>
      </c>
      <c r="C330" s="4" t="s">
        <v>727</v>
      </c>
    </row>
    <row r="331" spans="1:3" x14ac:dyDescent="0.35">
      <c r="A331" s="2" t="s">
        <v>758</v>
      </c>
      <c r="B331" s="2">
        <f>ATI!D173</f>
        <v>0</v>
      </c>
      <c r="C331" s="4" t="s">
        <v>727</v>
      </c>
    </row>
    <row r="332" spans="1:3" x14ac:dyDescent="0.35">
      <c r="A332" s="2" t="s">
        <v>759</v>
      </c>
      <c r="B332" s="2" t="e">
        <f>ATI!#REF!</f>
        <v>#REF!</v>
      </c>
      <c r="C332" s="4" t="s">
        <v>727</v>
      </c>
    </row>
    <row r="333" spans="1:3" x14ac:dyDescent="0.35">
      <c r="A333" s="2" t="s">
        <v>760</v>
      </c>
      <c r="B333" s="2" t="e">
        <f>ATI!#REF!</f>
        <v>#REF!</v>
      </c>
      <c r="C333" s="4" t="s">
        <v>727</v>
      </c>
    </row>
    <row r="334" spans="1:3" x14ac:dyDescent="0.35">
      <c r="A334" s="2" t="s">
        <v>761</v>
      </c>
      <c r="B334" s="2" t="e">
        <f>ATI!#REF!</f>
        <v>#REF!</v>
      </c>
      <c r="C334" s="4" t="s">
        <v>727</v>
      </c>
    </row>
    <row r="335" spans="1:3" x14ac:dyDescent="0.35">
      <c r="A335" s="2" t="s">
        <v>762</v>
      </c>
      <c r="B335" s="2" t="e">
        <f>ATI!#REF!</f>
        <v>#REF!</v>
      </c>
      <c r="C335" s="4" t="s">
        <v>727</v>
      </c>
    </row>
    <row r="336" spans="1:3" x14ac:dyDescent="0.35">
      <c r="A336" s="2" t="s">
        <v>763</v>
      </c>
      <c r="B336" s="2">
        <f>ATI!C174</f>
        <v>0</v>
      </c>
      <c r="C336" s="4" t="s">
        <v>727</v>
      </c>
    </row>
    <row r="337" spans="1:3" x14ac:dyDescent="0.35">
      <c r="A337" s="2" t="s">
        <v>764</v>
      </c>
      <c r="B337" s="2">
        <f>ATI!D174</f>
        <v>0</v>
      </c>
      <c r="C337" s="4" t="s">
        <v>727</v>
      </c>
    </row>
    <row r="338" spans="1:3" x14ac:dyDescent="0.35">
      <c r="A338" s="2" t="s">
        <v>765</v>
      </c>
      <c r="B338" s="2" t="e">
        <f>ATI!#REF!</f>
        <v>#REF!</v>
      </c>
      <c r="C338" s="4" t="s">
        <v>727</v>
      </c>
    </row>
    <row r="339" spans="1:3" x14ac:dyDescent="0.35">
      <c r="A339" s="2" t="s">
        <v>766</v>
      </c>
      <c r="B339" s="2" t="e">
        <f>ATI!#REF!</f>
        <v>#REF!</v>
      </c>
      <c r="C339" s="4" t="s">
        <v>727</v>
      </c>
    </row>
    <row r="340" spans="1:3" x14ac:dyDescent="0.35">
      <c r="A340" s="2" t="s">
        <v>767</v>
      </c>
      <c r="B340" s="2" t="e">
        <f>ATI!#REF!</f>
        <v>#REF!</v>
      </c>
      <c r="C340" s="4" t="s">
        <v>727</v>
      </c>
    </row>
    <row r="341" spans="1:3" x14ac:dyDescent="0.35">
      <c r="A341" s="2" t="s">
        <v>768</v>
      </c>
      <c r="B341" s="2" t="e">
        <f>ATI!#REF!</f>
        <v>#REF!</v>
      </c>
      <c r="C341" s="4" t="s">
        <v>727</v>
      </c>
    </row>
    <row r="342" spans="1:3" x14ac:dyDescent="0.35">
      <c r="A342" s="2" t="s">
        <v>769</v>
      </c>
      <c r="B342" s="2" t="e">
        <f>ATI!#REF!</f>
        <v>#REF!</v>
      </c>
      <c r="C342" s="4" t="s">
        <v>770</v>
      </c>
    </row>
    <row r="343" spans="1:3" x14ac:dyDescent="0.35">
      <c r="A343" s="2" t="s">
        <v>771</v>
      </c>
      <c r="B343" s="2" t="e">
        <f>ATI!#REF!</f>
        <v>#REF!</v>
      </c>
      <c r="C343" s="4" t="s">
        <v>770</v>
      </c>
    </row>
    <row r="344" spans="1:3" x14ac:dyDescent="0.35">
      <c r="A344" s="2" t="s">
        <v>772</v>
      </c>
      <c r="B344" s="2" t="e">
        <f>ATI!#REF!</f>
        <v>#REF!</v>
      </c>
      <c r="C344" s="4" t="s">
        <v>770</v>
      </c>
    </row>
    <row r="345" spans="1:3" x14ac:dyDescent="0.35">
      <c r="A345" s="2" t="s">
        <v>773</v>
      </c>
      <c r="B345" s="2" t="e">
        <f>ATI!#REF!</f>
        <v>#REF!</v>
      </c>
      <c r="C345" s="4" t="s">
        <v>774</v>
      </c>
    </row>
    <row r="346" spans="1:3" x14ac:dyDescent="0.35">
      <c r="A346" s="2" t="s">
        <v>775</v>
      </c>
      <c r="B346" s="2" t="e">
        <f>ATI!#REF!</f>
        <v>#REF!</v>
      </c>
      <c r="C346" s="4" t="s">
        <v>774</v>
      </c>
    </row>
    <row r="347" spans="1:3" x14ac:dyDescent="0.35">
      <c r="A347" s="2" t="s">
        <v>776</v>
      </c>
      <c r="B347" s="2" t="e">
        <f>ATI!#REF!</f>
        <v>#REF!</v>
      </c>
      <c r="C347" s="4" t="s">
        <v>774</v>
      </c>
    </row>
    <row r="348" spans="1:3" x14ac:dyDescent="0.35">
      <c r="A348" s="2" t="s">
        <v>777</v>
      </c>
      <c r="B348" s="2" t="e">
        <f>ATI!#REF!</f>
        <v>#REF!</v>
      </c>
      <c r="C348" s="4" t="s">
        <v>774</v>
      </c>
    </row>
    <row r="349" spans="1:3" x14ac:dyDescent="0.35">
      <c r="A349" s="2" t="s">
        <v>778</v>
      </c>
      <c r="B349" s="2" t="e">
        <f>ATI!#REF!</f>
        <v>#REF!</v>
      </c>
      <c r="C349" s="4" t="s">
        <v>774</v>
      </c>
    </row>
    <row r="350" spans="1:3" x14ac:dyDescent="0.35">
      <c r="A350" s="2" t="s">
        <v>779</v>
      </c>
      <c r="B350" s="2" t="e">
        <f>ATI!#REF!</f>
        <v>#REF!</v>
      </c>
      <c r="C350" s="4" t="s">
        <v>774</v>
      </c>
    </row>
    <row r="351" spans="1:3" x14ac:dyDescent="0.35">
      <c r="A351" s="2" t="s">
        <v>780</v>
      </c>
      <c r="B351" s="2" t="e">
        <f>ATI!#REF!</f>
        <v>#REF!</v>
      </c>
      <c r="C351" s="4" t="s">
        <v>774</v>
      </c>
    </row>
    <row r="352" spans="1:3" x14ac:dyDescent="0.35">
      <c r="A352" s="2" t="s">
        <v>781</v>
      </c>
      <c r="B352" s="2" t="e">
        <f>ATI!#REF!</f>
        <v>#REF!</v>
      </c>
      <c r="C352" s="4" t="s">
        <v>774</v>
      </c>
    </row>
    <row r="353" spans="1:3" x14ac:dyDescent="0.35">
      <c r="A353" s="2" t="s">
        <v>782</v>
      </c>
      <c r="B353" s="2" t="e">
        <f>ATI!#REF!</f>
        <v>#REF!</v>
      </c>
      <c r="C353" s="4" t="s">
        <v>774</v>
      </c>
    </row>
    <row r="354" spans="1:3" x14ac:dyDescent="0.35">
      <c r="A354" s="2" t="s">
        <v>783</v>
      </c>
      <c r="B354" s="2" t="e">
        <f>ATI!#REF!</f>
        <v>#REF!</v>
      </c>
      <c r="C354" s="4" t="s">
        <v>774</v>
      </c>
    </row>
    <row r="355" spans="1:3" x14ac:dyDescent="0.35">
      <c r="A355" s="2" t="s">
        <v>784</v>
      </c>
      <c r="B355" s="2" t="e">
        <f>ATI!#REF!</f>
        <v>#REF!</v>
      </c>
      <c r="C355" s="4" t="s">
        <v>774</v>
      </c>
    </row>
    <row r="356" spans="1:3" x14ac:dyDescent="0.35">
      <c r="A356" s="2" t="s">
        <v>785</v>
      </c>
      <c r="B356" s="2" t="e">
        <f>ATI!#REF!</f>
        <v>#REF!</v>
      </c>
      <c r="C356" s="4" t="s">
        <v>774</v>
      </c>
    </row>
    <row r="357" spans="1:3" x14ac:dyDescent="0.35">
      <c r="A357" s="2" t="s">
        <v>786</v>
      </c>
      <c r="B357" s="2" t="e">
        <f>ATI!#REF!</f>
        <v>#REF!</v>
      </c>
      <c r="C357" s="4" t="s">
        <v>774</v>
      </c>
    </row>
    <row r="358" spans="1:3" x14ac:dyDescent="0.35">
      <c r="A358" s="2" t="s">
        <v>787</v>
      </c>
      <c r="B358" s="2" t="e">
        <f>ATI!#REF!</f>
        <v>#REF!</v>
      </c>
      <c r="C358" s="4" t="s">
        <v>774</v>
      </c>
    </row>
    <row r="359" spans="1:3" x14ac:dyDescent="0.35">
      <c r="A359" s="2" t="s">
        <v>788</v>
      </c>
      <c r="B359" s="2" t="e">
        <f>ATI!#REF!</f>
        <v>#REF!</v>
      </c>
      <c r="C359" s="4" t="s">
        <v>774</v>
      </c>
    </row>
    <row r="360" spans="1:3" x14ac:dyDescent="0.35">
      <c r="A360" s="2" t="s">
        <v>789</v>
      </c>
      <c r="B360" s="2" t="e">
        <f>ATI!#REF!</f>
        <v>#REF!</v>
      </c>
      <c r="C360" s="4" t="s">
        <v>774</v>
      </c>
    </row>
    <row r="361" spans="1:3" x14ac:dyDescent="0.35">
      <c r="A361" s="2" t="s">
        <v>790</v>
      </c>
      <c r="B361" s="2" t="e">
        <f>ATI!#REF!</f>
        <v>#REF!</v>
      </c>
      <c r="C361" s="4" t="s">
        <v>774</v>
      </c>
    </row>
    <row r="362" spans="1:3" x14ac:dyDescent="0.35">
      <c r="A362" s="2" t="s">
        <v>791</v>
      </c>
      <c r="B362" s="2" t="e">
        <f>ATI!#REF!</f>
        <v>#REF!</v>
      </c>
      <c r="C362" s="4" t="s">
        <v>774</v>
      </c>
    </row>
    <row r="363" spans="1:3" x14ac:dyDescent="0.35">
      <c r="A363" s="2" t="s">
        <v>792</v>
      </c>
      <c r="B363" s="2" t="e">
        <f>ATI!#REF!</f>
        <v>#REF!</v>
      </c>
      <c r="C363" s="4" t="s">
        <v>774</v>
      </c>
    </row>
    <row r="364" spans="1:3" x14ac:dyDescent="0.35">
      <c r="A364" s="2" t="s">
        <v>793</v>
      </c>
      <c r="B364" s="2" t="e">
        <f>ATI!#REF!</f>
        <v>#REF!</v>
      </c>
      <c r="C364" s="4" t="s">
        <v>774</v>
      </c>
    </row>
    <row r="365" spans="1:3" x14ac:dyDescent="0.35">
      <c r="A365" s="2" t="s">
        <v>794</v>
      </c>
      <c r="B365" s="2" t="e">
        <f>ATI!#REF!</f>
        <v>#REF!</v>
      </c>
      <c r="C365" s="4" t="s">
        <v>774</v>
      </c>
    </row>
    <row r="366" spans="1:3" x14ac:dyDescent="0.35">
      <c r="A366" s="2" t="s">
        <v>795</v>
      </c>
      <c r="B366" s="2" t="e">
        <f>ATI!#REF!</f>
        <v>#REF!</v>
      </c>
      <c r="C366" s="4" t="s">
        <v>774</v>
      </c>
    </row>
    <row r="367" spans="1:3" x14ac:dyDescent="0.35">
      <c r="A367" s="2" t="s">
        <v>796</v>
      </c>
      <c r="B367" s="2" t="e">
        <f>ATI!#REF!</f>
        <v>#REF!</v>
      </c>
      <c r="C367" s="4" t="s">
        <v>774</v>
      </c>
    </row>
    <row r="368" spans="1:3" x14ac:dyDescent="0.35">
      <c r="A368" s="2" t="s">
        <v>797</v>
      </c>
      <c r="B368" s="2" t="e">
        <f>ATI!#REF!</f>
        <v>#REF!</v>
      </c>
      <c r="C368" s="4" t="s">
        <v>774</v>
      </c>
    </row>
    <row r="369" spans="1:3" x14ac:dyDescent="0.35">
      <c r="A369" s="2" t="s">
        <v>798</v>
      </c>
      <c r="B369" s="2" t="e">
        <f>ATI!#REF!</f>
        <v>#REF!</v>
      </c>
      <c r="C369" s="4" t="s">
        <v>774</v>
      </c>
    </row>
    <row r="370" spans="1:3" x14ac:dyDescent="0.35">
      <c r="A370" s="2" t="s">
        <v>799</v>
      </c>
      <c r="B370" s="2" t="e">
        <f>ATI!#REF!</f>
        <v>#REF!</v>
      </c>
      <c r="C370" s="4" t="s">
        <v>774</v>
      </c>
    </row>
    <row r="371" spans="1:3" x14ac:dyDescent="0.35">
      <c r="A371" s="2" t="s">
        <v>800</v>
      </c>
      <c r="B371" s="2" t="e">
        <f>ATI!#REF!</f>
        <v>#REF!</v>
      </c>
      <c r="C371" s="4" t="s">
        <v>774</v>
      </c>
    </row>
    <row r="372" spans="1:3" x14ac:dyDescent="0.35">
      <c r="A372" s="2" t="s">
        <v>801</v>
      </c>
      <c r="B372" s="2" t="e">
        <f>ATI!#REF!</f>
        <v>#REF!</v>
      </c>
      <c r="C372" s="4" t="s">
        <v>774</v>
      </c>
    </row>
    <row r="373" spans="1:3" x14ac:dyDescent="0.35">
      <c r="A373" s="2" t="s">
        <v>802</v>
      </c>
      <c r="B373" s="2" t="e">
        <f>ATI!#REF!</f>
        <v>#REF!</v>
      </c>
      <c r="C373" s="4" t="s">
        <v>774</v>
      </c>
    </row>
    <row r="374" spans="1:3" x14ac:dyDescent="0.35">
      <c r="A374" s="2" t="s">
        <v>803</v>
      </c>
      <c r="B374" s="2" t="e">
        <f>ATI!#REF!</f>
        <v>#REF!</v>
      </c>
      <c r="C374" s="4" t="s">
        <v>774</v>
      </c>
    </row>
    <row r="375" spans="1:3" x14ac:dyDescent="0.35">
      <c r="A375" s="2" t="s">
        <v>804</v>
      </c>
      <c r="B375" s="2" t="e">
        <f>ATI!#REF!</f>
        <v>#REF!</v>
      </c>
      <c r="C375" s="4" t="s">
        <v>774</v>
      </c>
    </row>
    <row r="376" spans="1:3" x14ac:dyDescent="0.35">
      <c r="A376" s="2" t="s">
        <v>805</v>
      </c>
      <c r="B376" s="2" t="e">
        <f>ATI!#REF!</f>
        <v>#REF!</v>
      </c>
      <c r="C376" s="4" t="s">
        <v>774</v>
      </c>
    </row>
    <row r="377" spans="1:3" x14ac:dyDescent="0.35">
      <c r="A377" s="2" t="s">
        <v>806</v>
      </c>
      <c r="B377" s="2" t="e">
        <f>ATI!#REF!</f>
        <v>#REF!</v>
      </c>
      <c r="C377" s="4" t="s">
        <v>774</v>
      </c>
    </row>
    <row r="378" spans="1:3" x14ac:dyDescent="0.35">
      <c r="A378" s="2" t="s">
        <v>807</v>
      </c>
      <c r="B378" s="2" t="e">
        <f>ATI!#REF!</f>
        <v>#REF!</v>
      </c>
      <c r="C378" s="4" t="s">
        <v>774</v>
      </c>
    </row>
    <row r="379" spans="1:3" x14ac:dyDescent="0.35">
      <c r="A379" s="2" t="s">
        <v>808</v>
      </c>
      <c r="B379" s="2" t="e">
        <f>ATI!#REF!</f>
        <v>#REF!</v>
      </c>
      <c r="C379" s="4" t="s">
        <v>774</v>
      </c>
    </row>
    <row r="380" spans="1:3" x14ac:dyDescent="0.35">
      <c r="A380" s="2" t="s">
        <v>809</v>
      </c>
      <c r="B380" s="2" t="e">
        <f>ATI!#REF!</f>
        <v>#REF!</v>
      </c>
      <c r="C380" s="4" t="s">
        <v>774</v>
      </c>
    </row>
    <row r="381" spans="1:3" x14ac:dyDescent="0.35">
      <c r="A381" s="2" t="s">
        <v>810</v>
      </c>
      <c r="B381" s="2" t="e">
        <f>ATI!#REF!</f>
        <v>#REF!</v>
      </c>
      <c r="C381" s="4" t="s">
        <v>774</v>
      </c>
    </row>
    <row r="382" spans="1:3" x14ac:dyDescent="0.35">
      <c r="A382" s="2" t="s">
        <v>811</v>
      </c>
      <c r="B382" s="2" t="e">
        <f>ATI!#REF!</f>
        <v>#REF!</v>
      </c>
      <c r="C382" s="4" t="s">
        <v>774</v>
      </c>
    </row>
    <row r="383" spans="1:3" x14ac:dyDescent="0.35">
      <c r="A383" s="2" t="s">
        <v>812</v>
      </c>
      <c r="B383" s="2" t="e">
        <f>ATI!#REF!</f>
        <v>#REF!</v>
      </c>
      <c r="C383" s="4" t="s">
        <v>774</v>
      </c>
    </row>
    <row r="384" spans="1:3" x14ac:dyDescent="0.35">
      <c r="A384" s="2" t="s">
        <v>813</v>
      </c>
      <c r="B384" s="2" t="e">
        <f>ATI!#REF!</f>
        <v>#REF!</v>
      </c>
      <c r="C384" s="4" t="s">
        <v>774</v>
      </c>
    </row>
    <row r="385" spans="1:3" x14ac:dyDescent="0.35">
      <c r="A385" s="2" t="s">
        <v>814</v>
      </c>
      <c r="B385" s="2" t="e">
        <f>ATI!#REF!</f>
        <v>#REF!</v>
      </c>
      <c r="C385" s="4" t="s">
        <v>774</v>
      </c>
    </row>
    <row r="386" spans="1:3" x14ac:dyDescent="0.35">
      <c r="A386" s="2" t="s">
        <v>815</v>
      </c>
      <c r="B386" s="2" t="e">
        <f>ATI!#REF!</f>
        <v>#REF!</v>
      </c>
      <c r="C386" s="4" t="s">
        <v>774</v>
      </c>
    </row>
    <row r="387" spans="1:3" x14ac:dyDescent="0.35">
      <c r="A387" s="5" t="s">
        <v>816</v>
      </c>
      <c r="B387" s="5">
        <f>ATI!C180</f>
        <v>0</v>
      </c>
      <c r="C387" s="6" t="s">
        <v>817</v>
      </c>
    </row>
    <row r="388" spans="1:3" x14ac:dyDescent="0.35">
      <c r="A388" s="5" t="s">
        <v>818</v>
      </c>
      <c r="B388" s="5">
        <f>ATI!E180</f>
        <v>0</v>
      </c>
      <c r="C388" s="6" t="s">
        <v>817</v>
      </c>
    </row>
    <row r="389" spans="1:3" x14ac:dyDescent="0.35">
      <c r="A389" s="5" t="s">
        <v>819</v>
      </c>
      <c r="B389" s="5">
        <f>ATI!G180</f>
        <v>0</v>
      </c>
      <c r="C389" s="6" t="s">
        <v>817</v>
      </c>
    </row>
    <row r="390" spans="1:3" x14ac:dyDescent="0.35">
      <c r="A390" s="5" t="s">
        <v>820</v>
      </c>
      <c r="B390" s="5">
        <f>ATI!C181</f>
        <v>0</v>
      </c>
      <c r="C390" s="6" t="s">
        <v>817</v>
      </c>
    </row>
    <row r="391" spans="1:3" x14ac:dyDescent="0.35">
      <c r="A391" s="5" t="s">
        <v>821</v>
      </c>
      <c r="B391" s="5">
        <f>ATI!E181</f>
        <v>0</v>
      </c>
      <c r="C391" s="6" t="s">
        <v>817</v>
      </c>
    </row>
    <row r="392" spans="1:3" x14ac:dyDescent="0.35">
      <c r="A392" s="5" t="s">
        <v>822</v>
      </c>
      <c r="B392" s="5">
        <f>ATI!G181</f>
        <v>0</v>
      </c>
      <c r="C392" s="6" t="s">
        <v>817</v>
      </c>
    </row>
    <row r="393" spans="1:3" x14ac:dyDescent="0.35">
      <c r="A393" s="5" t="s">
        <v>823</v>
      </c>
      <c r="B393" s="5">
        <f>ATI!C182</f>
        <v>0</v>
      </c>
      <c r="C393" s="6" t="s">
        <v>817</v>
      </c>
    </row>
    <row r="394" spans="1:3" x14ac:dyDescent="0.35">
      <c r="A394" s="5" t="s">
        <v>824</v>
      </c>
      <c r="B394" s="5">
        <f>ATI!E182</f>
        <v>0</v>
      </c>
      <c r="C394" s="6" t="s">
        <v>817</v>
      </c>
    </row>
    <row r="395" spans="1:3" x14ac:dyDescent="0.35">
      <c r="A395" s="5" t="s">
        <v>825</v>
      </c>
      <c r="B395" s="5">
        <f>ATI!G182</f>
        <v>0</v>
      </c>
      <c r="C395" s="6" t="s">
        <v>817</v>
      </c>
    </row>
    <row r="396" spans="1:3" x14ac:dyDescent="0.35">
      <c r="A396" s="5" t="s">
        <v>826</v>
      </c>
      <c r="B396" s="5">
        <f>ATI!C183</f>
        <v>0</v>
      </c>
      <c r="C396" s="6" t="s">
        <v>817</v>
      </c>
    </row>
    <row r="397" spans="1:3" x14ac:dyDescent="0.35">
      <c r="A397" s="5" t="s">
        <v>827</v>
      </c>
      <c r="B397" s="5">
        <f>ATI!E183</f>
        <v>0</v>
      </c>
      <c r="C397" s="6" t="s">
        <v>817</v>
      </c>
    </row>
    <row r="398" spans="1:3" x14ac:dyDescent="0.35">
      <c r="A398" s="5" t="s">
        <v>828</v>
      </c>
      <c r="B398" s="5">
        <f>ATI!G183</f>
        <v>0</v>
      </c>
      <c r="C398" s="6" t="s">
        <v>817</v>
      </c>
    </row>
    <row r="399" spans="1:3" x14ac:dyDescent="0.35">
      <c r="A399" s="5" t="s">
        <v>829</v>
      </c>
      <c r="B399" s="5">
        <f>ATI!C184</f>
        <v>0</v>
      </c>
      <c r="C399" s="6" t="s">
        <v>817</v>
      </c>
    </row>
    <row r="400" spans="1:3" x14ac:dyDescent="0.35">
      <c r="A400" s="5" t="s">
        <v>830</v>
      </c>
      <c r="B400" s="5">
        <f>ATI!E184</f>
        <v>0</v>
      </c>
      <c r="C400" s="6" t="s">
        <v>817</v>
      </c>
    </row>
    <row r="401" spans="1:3" x14ac:dyDescent="0.35">
      <c r="A401" s="5" t="s">
        <v>831</v>
      </c>
      <c r="B401" s="5">
        <f>ATI!G184</f>
        <v>0</v>
      </c>
      <c r="C401" s="6" t="s">
        <v>817</v>
      </c>
    </row>
    <row r="402" spans="1:3" x14ac:dyDescent="0.35">
      <c r="A402" s="5" t="s">
        <v>832</v>
      </c>
      <c r="B402" s="5">
        <f>ATI!C185</f>
        <v>0</v>
      </c>
      <c r="C402" s="6" t="s">
        <v>817</v>
      </c>
    </row>
    <row r="403" spans="1:3" x14ac:dyDescent="0.35">
      <c r="A403" s="5" t="s">
        <v>833</v>
      </c>
      <c r="B403" s="5">
        <f>ATI!E185</f>
        <v>0</v>
      </c>
      <c r="C403" s="6" t="s">
        <v>817</v>
      </c>
    </row>
    <row r="404" spans="1:3" x14ac:dyDescent="0.35">
      <c r="A404" s="5" t="s">
        <v>834</v>
      </c>
      <c r="B404" s="5">
        <f>ATI!G185</f>
        <v>0</v>
      </c>
      <c r="C404" s="6" t="s">
        <v>817</v>
      </c>
    </row>
    <row r="405" spans="1:3" x14ac:dyDescent="0.35">
      <c r="A405" s="5" t="s">
        <v>835</v>
      </c>
      <c r="B405" s="5">
        <f>ATI!C186</f>
        <v>0</v>
      </c>
      <c r="C405" s="6" t="s">
        <v>817</v>
      </c>
    </row>
    <row r="406" spans="1:3" x14ac:dyDescent="0.35">
      <c r="A406" s="5" t="s">
        <v>836</v>
      </c>
      <c r="B406" s="5">
        <f>ATI!E186</f>
        <v>0</v>
      </c>
      <c r="C406" s="6" t="s">
        <v>817</v>
      </c>
    </row>
    <row r="407" spans="1:3" x14ac:dyDescent="0.35">
      <c r="A407" s="5" t="s">
        <v>837</v>
      </c>
      <c r="B407" s="5">
        <f>ATI!G186</f>
        <v>0</v>
      </c>
      <c r="C407" s="6" t="s">
        <v>817</v>
      </c>
    </row>
    <row r="408" spans="1:3" x14ac:dyDescent="0.35">
      <c r="A408" s="5" t="s">
        <v>838</v>
      </c>
      <c r="B408" s="5">
        <f>ATI!E193</f>
        <v>0</v>
      </c>
      <c r="C408" s="6" t="s">
        <v>839</v>
      </c>
    </row>
    <row r="409" spans="1:3" x14ac:dyDescent="0.35">
      <c r="A409" s="5" t="s">
        <v>840</v>
      </c>
      <c r="B409" s="5" t="str">
        <f>ATI!E195</f>
        <v>0</v>
      </c>
      <c r="C409" s="6" t="s">
        <v>839</v>
      </c>
    </row>
    <row r="410" spans="1:3" x14ac:dyDescent="0.35">
      <c r="A410" s="5" t="s">
        <v>841</v>
      </c>
      <c r="B410" s="5">
        <f>ATI!A203</f>
        <v>0</v>
      </c>
      <c r="C410" s="6" t="s">
        <v>842</v>
      </c>
    </row>
    <row r="411" spans="1:3" x14ac:dyDescent="0.35">
      <c r="A411" s="5" t="s">
        <v>843</v>
      </c>
      <c r="B411" s="5">
        <f>ATI!E203</f>
        <v>0</v>
      </c>
      <c r="C411" s="6" t="s">
        <v>842</v>
      </c>
    </row>
    <row r="412" spans="1:3" x14ac:dyDescent="0.35">
      <c r="A412" s="5" t="s">
        <v>844</v>
      </c>
      <c r="B412" s="5">
        <f>ATI!G203</f>
        <v>0</v>
      </c>
      <c r="C412" s="6" t="s">
        <v>842</v>
      </c>
    </row>
    <row r="413" spans="1:3" x14ac:dyDescent="0.35">
      <c r="A413" s="5" t="s">
        <v>845</v>
      </c>
      <c r="B413" s="5">
        <f>ATI!I203</f>
        <v>0</v>
      </c>
      <c r="C413" s="6" t="s">
        <v>842</v>
      </c>
    </row>
    <row r="414" spans="1:3" x14ac:dyDescent="0.35">
      <c r="A414" s="5" t="s">
        <v>846</v>
      </c>
      <c r="B414" s="5">
        <f>ATI!K203</f>
        <v>0</v>
      </c>
      <c r="C414" s="6" t="s">
        <v>842</v>
      </c>
    </row>
    <row r="415" spans="1:3" x14ac:dyDescent="0.35">
      <c r="A415" s="5" t="s">
        <v>847</v>
      </c>
      <c r="B415" s="5">
        <f>ATI!D208</f>
        <v>0</v>
      </c>
      <c r="C415" s="6" t="s">
        <v>848</v>
      </c>
    </row>
    <row r="416" spans="1:3" x14ac:dyDescent="0.35">
      <c r="A416" s="5" t="s">
        <v>849</v>
      </c>
      <c r="B416" s="5">
        <f>ATI!G208</f>
        <v>0</v>
      </c>
      <c r="C416" s="6" t="s">
        <v>848</v>
      </c>
    </row>
    <row r="417" spans="1:3" x14ac:dyDescent="0.35">
      <c r="A417" s="5" t="s">
        <v>850</v>
      </c>
      <c r="B417" s="5">
        <f>ATI!D209</f>
        <v>0</v>
      </c>
      <c r="C417" s="6" t="s">
        <v>848</v>
      </c>
    </row>
    <row r="418" spans="1:3" x14ac:dyDescent="0.35">
      <c r="A418" s="5" t="s">
        <v>851</v>
      </c>
      <c r="B418" s="5">
        <f>ATI!G209</f>
        <v>0</v>
      </c>
      <c r="C418" s="6" t="s">
        <v>848</v>
      </c>
    </row>
    <row r="419" spans="1:3" x14ac:dyDescent="0.35">
      <c r="A419" s="5" t="s">
        <v>852</v>
      </c>
      <c r="B419" s="5">
        <f>ATI!D210</f>
        <v>0</v>
      </c>
      <c r="C419" s="6" t="s">
        <v>848</v>
      </c>
    </row>
    <row r="420" spans="1:3" x14ac:dyDescent="0.35">
      <c r="A420" s="5" t="s">
        <v>853</v>
      </c>
      <c r="B420" s="5">
        <f>ATI!G210</f>
        <v>0</v>
      </c>
      <c r="C420" s="6" t="s">
        <v>848</v>
      </c>
    </row>
    <row r="421" spans="1:3" x14ac:dyDescent="0.35">
      <c r="A421" s="5" t="s">
        <v>854</v>
      </c>
      <c r="B421" s="5">
        <f>ATI!D211</f>
        <v>0</v>
      </c>
      <c r="C421" s="6" t="s">
        <v>848</v>
      </c>
    </row>
    <row r="422" spans="1:3" x14ac:dyDescent="0.35">
      <c r="A422" s="5" t="s">
        <v>855</v>
      </c>
      <c r="B422" s="5">
        <f>ATI!G211</f>
        <v>0</v>
      </c>
      <c r="C422" s="6" t="s">
        <v>848</v>
      </c>
    </row>
    <row r="423" spans="1:3" x14ac:dyDescent="0.35">
      <c r="A423" s="5" t="s">
        <v>856</v>
      </c>
      <c r="B423" s="5">
        <f>ATI!D212</f>
        <v>0</v>
      </c>
      <c r="C423" s="6" t="s">
        <v>848</v>
      </c>
    </row>
    <row r="424" spans="1:3" x14ac:dyDescent="0.35">
      <c r="A424" s="5" t="s">
        <v>857</v>
      </c>
      <c r="B424" s="5">
        <f>ATI!G212</f>
        <v>0</v>
      </c>
      <c r="C424" s="6" t="s">
        <v>848</v>
      </c>
    </row>
    <row r="425" spans="1:3" x14ac:dyDescent="0.35">
      <c r="A425" s="5" t="s">
        <v>858</v>
      </c>
      <c r="B425" s="5">
        <f>ATI!D213</f>
        <v>0</v>
      </c>
      <c r="C425" s="6" t="s">
        <v>848</v>
      </c>
    </row>
    <row r="426" spans="1:3" x14ac:dyDescent="0.35">
      <c r="A426" s="5" t="s">
        <v>859</v>
      </c>
      <c r="B426" s="5">
        <f>ATI!G213</f>
        <v>0</v>
      </c>
      <c r="C426" s="6" t="s">
        <v>848</v>
      </c>
    </row>
    <row r="427" spans="1:3" x14ac:dyDescent="0.35">
      <c r="A427" s="5" t="s">
        <v>860</v>
      </c>
      <c r="B427" s="5">
        <f>ATI!D214</f>
        <v>0</v>
      </c>
      <c r="C427" s="6" t="s">
        <v>848</v>
      </c>
    </row>
    <row r="428" spans="1:3" x14ac:dyDescent="0.35">
      <c r="A428" s="5" t="s">
        <v>861</v>
      </c>
      <c r="B428" s="5">
        <f>ATI!G214</f>
        <v>0</v>
      </c>
      <c r="C428" s="6" t="s">
        <v>848</v>
      </c>
    </row>
    <row r="429" spans="1:3" x14ac:dyDescent="0.35">
      <c r="A429" s="5" t="s">
        <v>862</v>
      </c>
      <c r="B429" s="5" t="e">
        <f>ATI!#REF!</f>
        <v>#REF!</v>
      </c>
      <c r="C429" s="6" t="s">
        <v>863</v>
      </c>
    </row>
    <row r="430" spans="1:3" x14ac:dyDescent="0.35">
      <c r="A430" s="5" t="s">
        <v>864</v>
      </c>
      <c r="B430" s="5" t="e">
        <f>ATI!#REF!</f>
        <v>#REF!</v>
      </c>
      <c r="C430" s="6" t="s">
        <v>863</v>
      </c>
    </row>
    <row r="431" spans="1:3" x14ac:dyDescent="0.35">
      <c r="A431" s="5" t="s">
        <v>865</v>
      </c>
      <c r="B431" s="5" t="e">
        <f>ATI!#REF!</f>
        <v>#REF!</v>
      </c>
      <c r="C431" s="6" t="s">
        <v>863</v>
      </c>
    </row>
    <row r="432" spans="1:3" x14ac:dyDescent="0.35">
      <c r="A432" s="5" t="s">
        <v>866</v>
      </c>
      <c r="B432" s="5" t="e">
        <f>ATI!#REF!</f>
        <v>#REF!</v>
      </c>
      <c r="C432" s="6" t="s">
        <v>863</v>
      </c>
    </row>
    <row r="433" spans="1:3" x14ac:dyDescent="0.35">
      <c r="A433" s="5" t="s">
        <v>867</v>
      </c>
      <c r="B433" s="5">
        <f>ATI!E223</f>
        <v>0</v>
      </c>
      <c r="C433" s="6" t="s">
        <v>868</v>
      </c>
    </row>
    <row r="434" spans="1:3" x14ac:dyDescent="0.35">
      <c r="A434" s="5" t="s">
        <v>869</v>
      </c>
      <c r="B434" s="5">
        <f>ATI!G223</f>
        <v>0</v>
      </c>
      <c r="C434" s="6" t="s">
        <v>868</v>
      </c>
    </row>
    <row r="435" spans="1:3" x14ac:dyDescent="0.35">
      <c r="A435" s="5" t="s">
        <v>870</v>
      </c>
      <c r="B435" s="5">
        <f>ATI!I223</f>
        <v>0</v>
      </c>
      <c r="C435" s="6" t="s">
        <v>868</v>
      </c>
    </row>
    <row r="436" spans="1:3" x14ac:dyDescent="0.35">
      <c r="A436" s="5" t="s">
        <v>871</v>
      </c>
      <c r="B436" s="5">
        <f>ATI!K223</f>
        <v>0</v>
      </c>
      <c r="C436" s="6" t="s">
        <v>868</v>
      </c>
    </row>
    <row r="437" spans="1:3" x14ac:dyDescent="0.35">
      <c r="A437" s="5" t="s">
        <v>872</v>
      </c>
      <c r="B437" s="5">
        <f>ATI!E224</f>
        <v>0</v>
      </c>
      <c r="C437" s="6" t="s">
        <v>868</v>
      </c>
    </row>
    <row r="438" spans="1:3" x14ac:dyDescent="0.35">
      <c r="A438" s="5" t="s">
        <v>873</v>
      </c>
      <c r="B438" s="5">
        <f>ATI!G224</f>
        <v>0</v>
      </c>
      <c r="C438" s="6" t="s">
        <v>868</v>
      </c>
    </row>
    <row r="439" spans="1:3" x14ac:dyDescent="0.35">
      <c r="A439" s="5" t="s">
        <v>874</v>
      </c>
      <c r="B439" s="5">
        <f>ATI!I224</f>
        <v>0</v>
      </c>
      <c r="C439" s="6" t="s">
        <v>868</v>
      </c>
    </row>
    <row r="440" spans="1:3" x14ac:dyDescent="0.35">
      <c r="A440" s="5" t="s">
        <v>875</v>
      </c>
      <c r="B440" s="5">
        <f>ATI!K224</f>
        <v>0</v>
      </c>
      <c r="C440" s="6" t="s">
        <v>868</v>
      </c>
    </row>
    <row r="441" spans="1:3" x14ac:dyDescent="0.35">
      <c r="A441" s="5" t="s">
        <v>876</v>
      </c>
      <c r="B441" s="5">
        <f>ATI!E225</f>
        <v>0</v>
      </c>
      <c r="C441" s="6" t="s">
        <v>868</v>
      </c>
    </row>
    <row r="442" spans="1:3" x14ac:dyDescent="0.35">
      <c r="A442" s="5" t="s">
        <v>877</v>
      </c>
      <c r="B442" s="5">
        <f>ATI!G225</f>
        <v>0</v>
      </c>
      <c r="C442" s="6" t="s">
        <v>868</v>
      </c>
    </row>
    <row r="443" spans="1:3" x14ac:dyDescent="0.35">
      <c r="A443" s="5" t="s">
        <v>878</v>
      </c>
      <c r="B443" s="5">
        <f>ATI!I225</f>
        <v>0</v>
      </c>
      <c r="C443" s="6" t="s">
        <v>868</v>
      </c>
    </row>
    <row r="444" spans="1:3" x14ac:dyDescent="0.35">
      <c r="A444" s="5" t="s">
        <v>879</v>
      </c>
      <c r="B444" s="5">
        <f>ATI!K225</f>
        <v>0</v>
      </c>
      <c r="C444" s="6" t="s">
        <v>868</v>
      </c>
    </row>
    <row r="445" spans="1:3" x14ac:dyDescent="0.35">
      <c r="A445" s="5" t="s">
        <v>880</v>
      </c>
      <c r="B445" s="5">
        <f>ATI!E226</f>
        <v>0</v>
      </c>
      <c r="C445" s="6" t="s">
        <v>868</v>
      </c>
    </row>
    <row r="446" spans="1:3" x14ac:dyDescent="0.35">
      <c r="A446" s="5" t="s">
        <v>881</v>
      </c>
      <c r="B446" s="5">
        <f>ATI!G226</f>
        <v>0</v>
      </c>
      <c r="C446" s="6" t="s">
        <v>868</v>
      </c>
    </row>
    <row r="447" spans="1:3" x14ac:dyDescent="0.35">
      <c r="A447" s="5" t="s">
        <v>882</v>
      </c>
      <c r="B447" s="5">
        <f>ATI!I226</f>
        <v>0</v>
      </c>
      <c r="C447" s="6" t="s">
        <v>868</v>
      </c>
    </row>
    <row r="448" spans="1:3" x14ac:dyDescent="0.35">
      <c r="A448" s="5" t="s">
        <v>883</v>
      </c>
      <c r="B448" s="5">
        <f>ATI!K226</f>
        <v>0</v>
      </c>
      <c r="C448" s="6" t="s">
        <v>868</v>
      </c>
    </row>
    <row r="449" spans="1:3" x14ac:dyDescent="0.35">
      <c r="A449" s="5" t="s">
        <v>884</v>
      </c>
      <c r="B449" s="5">
        <f>ATI!E227</f>
        <v>0</v>
      </c>
      <c r="C449" s="6" t="s">
        <v>868</v>
      </c>
    </row>
    <row r="450" spans="1:3" x14ac:dyDescent="0.35">
      <c r="A450" s="5" t="s">
        <v>885</v>
      </c>
      <c r="B450" s="5">
        <f>ATI!G227</f>
        <v>0</v>
      </c>
      <c r="C450" s="6" t="s">
        <v>868</v>
      </c>
    </row>
    <row r="451" spans="1:3" x14ac:dyDescent="0.35">
      <c r="A451" s="5" t="s">
        <v>886</v>
      </c>
      <c r="B451" s="5">
        <f>ATI!I227</f>
        <v>0</v>
      </c>
      <c r="C451" s="6" t="s">
        <v>868</v>
      </c>
    </row>
    <row r="452" spans="1:3" x14ac:dyDescent="0.35">
      <c r="A452" s="5" t="s">
        <v>887</v>
      </c>
      <c r="B452" s="5">
        <f>ATI!K227</f>
        <v>0</v>
      </c>
      <c r="C452" s="6" t="s">
        <v>868</v>
      </c>
    </row>
    <row r="453" spans="1:3" x14ac:dyDescent="0.35">
      <c r="A453" s="5" t="s">
        <v>888</v>
      </c>
      <c r="B453" s="5">
        <f>ATI!E228</f>
        <v>0</v>
      </c>
      <c r="C453" s="6" t="s">
        <v>868</v>
      </c>
    </row>
    <row r="454" spans="1:3" x14ac:dyDescent="0.35">
      <c r="A454" s="5" t="s">
        <v>889</v>
      </c>
      <c r="B454" s="5">
        <f>ATI!G228</f>
        <v>0</v>
      </c>
      <c r="C454" s="6" t="s">
        <v>868</v>
      </c>
    </row>
    <row r="455" spans="1:3" x14ac:dyDescent="0.35">
      <c r="A455" s="5" t="s">
        <v>890</v>
      </c>
      <c r="B455" s="5">
        <f>ATI!I228</f>
        <v>0</v>
      </c>
      <c r="C455" s="6" t="s">
        <v>868</v>
      </c>
    </row>
    <row r="456" spans="1:3" x14ac:dyDescent="0.35">
      <c r="A456" s="5" t="s">
        <v>891</v>
      </c>
      <c r="B456" s="5">
        <f>ATI!K228</f>
        <v>0</v>
      </c>
      <c r="C456" s="6" t="s">
        <v>868</v>
      </c>
    </row>
    <row r="457" spans="1:3" x14ac:dyDescent="0.35">
      <c r="A457" s="5" t="s">
        <v>892</v>
      </c>
      <c r="B457" s="5">
        <f>ATI!E229</f>
        <v>0</v>
      </c>
      <c r="C457" s="6" t="s">
        <v>868</v>
      </c>
    </row>
    <row r="458" spans="1:3" x14ac:dyDescent="0.35">
      <c r="A458" s="5" t="s">
        <v>893</v>
      </c>
      <c r="B458" s="5">
        <f>ATI!G229</f>
        <v>0</v>
      </c>
      <c r="C458" s="6" t="s">
        <v>868</v>
      </c>
    </row>
    <row r="459" spans="1:3" x14ac:dyDescent="0.35">
      <c r="A459" s="5" t="s">
        <v>894</v>
      </c>
      <c r="B459" s="5">
        <f>ATI!I229</f>
        <v>0</v>
      </c>
      <c r="C459" s="6" t="s">
        <v>868</v>
      </c>
    </row>
    <row r="460" spans="1:3" x14ac:dyDescent="0.35">
      <c r="A460" s="5" t="s">
        <v>895</v>
      </c>
      <c r="B460" s="5">
        <f>ATI!K229</f>
        <v>0</v>
      </c>
      <c r="C460" s="6" t="s">
        <v>868</v>
      </c>
    </row>
    <row r="461" spans="1:3" x14ac:dyDescent="0.35">
      <c r="A461" s="5" t="s">
        <v>896</v>
      </c>
      <c r="B461" s="5">
        <f>ATI!E236</f>
        <v>0</v>
      </c>
      <c r="C461" s="6" t="s">
        <v>897</v>
      </c>
    </row>
    <row r="462" spans="1:3" x14ac:dyDescent="0.35">
      <c r="A462" s="5" t="s">
        <v>898</v>
      </c>
      <c r="B462" s="5">
        <f>ATI!G236</f>
        <v>0</v>
      </c>
      <c r="C462" s="6" t="s">
        <v>897</v>
      </c>
    </row>
    <row r="463" spans="1:3" x14ac:dyDescent="0.35">
      <c r="A463" s="5" t="s">
        <v>899</v>
      </c>
      <c r="B463" s="5">
        <f>ATI!I236</f>
        <v>0</v>
      </c>
      <c r="C463" s="6" t="s">
        <v>897</v>
      </c>
    </row>
    <row r="464" spans="1:3" x14ac:dyDescent="0.35">
      <c r="A464" s="5" t="s">
        <v>900</v>
      </c>
      <c r="B464" s="5">
        <f>ATI!K236</f>
        <v>0</v>
      </c>
      <c r="C464" s="6" t="s">
        <v>897</v>
      </c>
    </row>
    <row r="465" spans="1:3" x14ac:dyDescent="0.35">
      <c r="A465" s="5" t="s">
        <v>901</v>
      </c>
      <c r="B465" s="5">
        <f>ATI!E237</f>
        <v>0</v>
      </c>
      <c r="C465" s="6" t="s">
        <v>897</v>
      </c>
    </row>
    <row r="466" spans="1:3" x14ac:dyDescent="0.35">
      <c r="A466" s="5" t="s">
        <v>902</v>
      </c>
      <c r="B466" s="5">
        <f>ATI!G237</f>
        <v>0</v>
      </c>
      <c r="C466" s="6" t="s">
        <v>897</v>
      </c>
    </row>
    <row r="467" spans="1:3" x14ac:dyDescent="0.35">
      <c r="A467" s="5" t="s">
        <v>903</v>
      </c>
      <c r="B467" s="5">
        <f>ATI!I237</f>
        <v>0</v>
      </c>
      <c r="C467" s="6" t="s">
        <v>897</v>
      </c>
    </row>
    <row r="468" spans="1:3" x14ac:dyDescent="0.35">
      <c r="A468" s="5" t="s">
        <v>904</v>
      </c>
      <c r="B468" s="5">
        <f>ATI!K237</f>
        <v>0</v>
      </c>
      <c r="C468" s="6" t="s">
        <v>897</v>
      </c>
    </row>
    <row r="469" spans="1:3" x14ac:dyDescent="0.35">
      <c r="A469" s="5" t="s">
        <v>905</v>
      </c>
      <c r="B469" s="5">
        <f>ATI!E238</f>
        <v>0</v>
      </c>
      <c r="C469" s="6" t="s">
        <v>897</v>
      </c>
    </row>
    <row r="470" spans="1:3" x14ac:dyDescent="0.35">
      <c r="A470" s="5" t="s">
        <v>906</v>
      </c>
      <c r="B470" s="5">
        <f>ATI!G238</f>
        <v>0</v>
      </c>
      <c r="C470" s="6" t="s">
        <v>897</v>
      </c>
    </row>
    <row r="471" spans="1:3" x14ac:dyDescent="0.35">
      <c r="A471" s="5" t="s">
        <v>907</v>
      </c>
      <c r="B471" s="5">
        <f>ATI!I238</f>
        <v>0</v>
      </c>
      <c r="C471" s="6" t="s">
        <v>897</v>
      </c>
    </row>
    <row r="472" spans="1:3" x14ac:dyDescent="0.35">
      <c r="A472" s="5" t="s">
        <v>908</v>
      </c>
      <c r="B472" s="5">
        <f>ATI!K238</f>
        <v>0</v>
      </c>
      <c r="C472" s="6" t="s">
        <v>897</v>
      </c>
    </row>
    <row r="473" spans="1:3" x14ac:dyDescent="0.35">
      <c r="A473" s="5" t="s">
        <v>909</v>
      </c>
      <c r="B473" s="5">
        <f>ATI!E239</f>
        <v>0</v>
      </c>
      <c r="C473" s="6" t="s">
        <v>897</v>
      </c>
    </row>
    <row r="474" spans="1:3" x14ac:dyDescent="0.35">
      <c r="A474" s="5" t="s">
        <v>910</v>
      </c>
      <c r="B474" s="5">
        <f>ATI!G239</f>
        <v>0</v>
      </c>
      <c r="C474" s="6" t="s">
        <v>897</v>
      </c>
    </row>
    <row r="475" spans="1:3" x14ac:dyDescent="0.35">
      <c r="A475" s="5" t="s">
        <v>911</v>
      </c>
      <c r="B475" s="5">
        <f>ATI!I239</f>
        <v>0</v>
      </c>
      <c r="C475" s="6" t="s">
        <v>897</v>
      </c>
    </row>
    <row r="476" spans="1:3" x14ac:dyDescent="0.35">
      <c r="A476" s="5" t="s">
        <v>912</v>
      </c>
      <c r="B476" s="5">
        <f>ATI!K239</f>
        <v>0</v>
      </c>
      <c r="C476" s="6" t="s">
        <v>897</v>
      </c>
    </row>
    <row r="477" spans="1:3" x14ac:dyDescent="0.35">
      <c r="A477" s="5" t="s">
        <v>913</v>
      </c>
      <c r="B477" s="5">
        <f>ATI!E240</f>
        <v>0</v>
      </c>
      <c r="C477" s="6" t="s">
        <v>897</v>
      </c>
    </row>
    <row r="478" spans="1:3" x14ac:dyDescent="0.35">
      <c r="A478" s="5" t="s">
        <v>914</v>
      </c>
      <c r="B478" s="5">
        <f>ATI!G240</f>
        <v>0</v>
      </c>
      <c r="C478" s="6" t="s">
        <v>897</v>
      </c>
    </row>
    <row r="479" spans="1:3" x14ac:dyDescent="0.35">
      <c r="A479" s="5" t="s">
        <v>915</v>
      </c>
      <c r="B479" s="5">
        <f>ATI!I240</f>
        <v>0</v>
      </c>
      <c r="C479" s="6" t="s">
        <v>897</v>
      </c>
    </row>
    <row r="480" spans="1:3" x14ac:dyDescent="0.35">
      <c r="A480" s="5" t="s">
        <v>916</v>
      </c>
      <c r="B480" s="5">
        <f>ATI!K240</f>
        <v>0</v>
      </c>
      <c r="C480" s="6" t="s">
        <v>897</v>
      </c>
    </row>
    <row r="481" spans="1:3" x14ac:dyDescent="0.35">
      <c r="A481" s="5" t="s">
        <v>917</v>
      </c>
      <c r="B481" s="5">
        <f>ATI!E241</f>
        <v>0</v>
      </c>
      <c r="C481" s="6" t="s">
        <v>897</v>
      </c>
    </row>
    <row r="482" spans="1:3" x14ac:dyDescent="0.35">
      <c r="A482" s="5" t="s">
        <v>918</v>
      </c>
      <c r="B482" s="5">
        <f>ATI!G241</f>
        <v>0</v>
      </c>
      <c r="C482" s="6" t="s">
        <v>897</v>
      </c>
    </row>
    <row r="483" spans="1:3" x14ac:dyDescent="0.35">
      <c r="A483" s="5" t="s">
        <v>919</v>
      </c>
      <c r="B483" s="5">
        <f>ATI!I241</f>
        <v>0</v>
      </c>
      <c r="C483" s="6" t="s">
        <v>897</v>
      </c>
    </row>
    <row r="484" spans="1:3" x14ac:dyDescent="0.35">
      <c r="A484" s="5" t="s">
        <v>920</v>
      </c>
      <c r="B484" s="5">
        <f>ATI!K241</f>
        <v>0</v>
      </c>
      <c r="C484" s="6" t="s">
        <v>897</v>
      </c>
    </row>
    <row r="485" spans="1:3" x14ac:dyDescent="0.35">
      <c r="A485" s="5" t="s">
        <v>921</v>
      </c>
      <c r="B485" s="5">
        <f>ATI!C248</f>
        <v>0</v>
      </c>
      <c r="C485" s="6">
        <v>6</v>
      </c>
    </row>
    <row r="486" spans="1:3" x14ac:dyDescent="0.35">
      <c r="A486" s="5" t="s">
        <v>922</v>
      </c>
      <c r="B486" s="5">
        <f>ATI!D248</f>
        <v>0</v>
      </c>
      <c r="C486" s="6">
        <v>6</v>
      </c>
    </row>
    <row r="487" spans="1:3" x14ac:dyDescent="0.35">
      <c r="A487" s="2" t="s">
        <v>923</v>
      </c>
      <c r="B487" s="2">
        <f>ATI!F248</f>
        <v>0</v>
      </c>
      <c r="C487" s="4">
        <v>6</v>
      </c>
    </row>
    <row r="488" spans="1:3" x14ac:dyDescent="0.35">
      <c r="A488" s="2" t="s">
        <v>924</v>
      </c>
      <c r="B488" s="2">
        <f>ATI!G248</f>
        <v>0</v>
      </c>
      <c r="C488" s="4">
        <v>6</v>
      </c>
    </row>
    <row r="489" spans="1:3" x14ac:dyDescent="0.35">
      <c r="A489" s="2" t="s">
        <v>925</v>
      </c>
      <c r="B489" s="2">
        <f>ATI!I248</f>
        <v>0</v>
      </c>
      <c r="C489" s="4">
        <v>6</v>
      </c>
    </row>
    <row r="490" spans="1:3" x14ac:dyDescent="0.35">
      <c r="A490" s="2" t="s">
        <v>926</v>
      </c>
      <c r="B490" s="2">
        <f>ATI!J248</f>
        <v>0</v>
      </c>
      <c r="C490" s="4">
        <v>6</v>
      </c>
    </row>
    <row r="491" spans="1:3" x14ac:dyDescent="0.35">
      <c r="A491" s="5" t="s">
        <v>927</v>
      </c>
      <c r="B491" s="5">
        <f>ATI!C249</f>
        <v>0</v>
      </c>
      <c r="C491" s="6">
        <v>6</v>
      </c>
    </row>
    <row r="492" spans="1:3" x14ac:dyDescent="0.35">
      <c r="A492" s="5" t="s">
        <v>928</v>
      </c>
      <c r="B492" s="5">
        <f>ATI!D249</f>
        <v>0</v>
      </c>
      <c r="C492" s="6">
        <v>6</v>
      </c>
    </row>
    <row r="493" spans="1:3" x14ac:dyDescent="0.35">
      <c r="A493" s="2" t="s">
        <v>929</v>
      </c>
      <c r="B493" s="2">
        <f>ATI!F249</f>
        <v>0</v>
      </c>
      <c r="C493" s="4">
        <v>6</v>
      </c>
    </row>
    <row r="494" spans="1:3" x14ac:dyDescent="0.35">
      <c r="A494" s="2" t="s">
        <v>930</v>
      </c>
      <c r="B494" s="2">
        <f>ATI!G249</f>
        <v>0</v>
      </c>
      <c r="C494" s="4">
        <v>6</v>
      </c>
    </row>
    <row r="495" spans="1:3" x14ac:dyDescent="0.35">
      <c r="A495" s="2" t="s">
        <v>931</v>
      </c>
      <c r="B495" s="2">
        <f>ATI!I249</f>
        <v>0</v>
      </c>
      <c r="C495" s="4">
        <v>6</v>
      </c>
    </row>
    <row r="496" spans="1:3" x14ac:dyDescent="0.35">
      <c r="A496" s="2" t="s">
        <v>932</v>
      </c>
      <c r="B496" s="2">
        <f>ATI!J249</f>
        <v>0</v>
      </c>
      <c r="C496" s="4">
        <v>6</v>
      </c>
    </row>
    <row r="497" spans="1:3" x14ac:dyDescent="0.35">
      <c r="A497" s="5" t="s">
        <v>933</v>
      </c>
      <c r="B497" s="5">
        <f>ATI!E257</f>
        <v>0</v>
      </c>
      <c r="C497" s="6" t="s">
        <v>934</v>
      </c>
    </row>
    <row r="498" spans="1:3" x14ac:dyDescent="0.35">
      <c r="A498" s="5" t="s">
        <v>935</v>
      </c>
      <c r="B498" s="5">
        <f>ATI!G257</f>
        <v>0</v>
      </c>
      <c r="C498" s="6" t="s">
        <v>934</v>
      </c>
    </row>
    <row r="499" spans="1:3" x14ac:dyDescent="0.35">
      <c r="A499" s="5" t="s">
        <v>936</v>
      </c>
      <c r="B499" s="5">
        <f>ATI!I257</f>
        <v>0</v>
      </c>
      <c r="C499" s="6" t="s">
        <v>934</v>
      </c>
    </row>
    <row r="500" spans="1:3" x14ac:dyDescent="0.35">
      <c r="A500" s="5" t="s">
        <v>937</v>
      </c>
      <c r="B500" s="5">
        <f>ATI!K257</f>
        <v>0</v>
      </c>
      <c r="C500" s="6" t="s">
        <v>934</v>
      </c>
    </row>
    <row r="501" spans="1:3" x14ac:dyDescent="0.35">
      <c r="A501" s="5" t="s">
        <v>938</v>
      </c>
      <c r="B501" s="5">
        <f>ATI!E258</f>
        <v>0</v>
      </c>
      <c r="C501" s="6" t="s">
        <v>934</v>
      </c>
    </row>
    <row r="502" spans="1:3" x14ac:dyDescent="0.35">
      <c r="A502" s="5" t="s">
        <v>939</v>
      </c>
      <c r="B502" s="5">
        <f>ATI!G258</f>
        <v>0</v>
      </c>
      <c r="C502" s="6" t="s">
        <v>934</v>
      </c>
    </row>
    <row r="503" spans="1:3" x14ac:dyDescent="0.35">
      <c r="A503" s="5" t="s">
        <v>940</v>
      </c>
      <c r="B503" s="5">
        <f>ATI!I258</f>
        <v>0</v>
      </c>
      <c r="C503" s="6" t="s">
        <v>934</v>
      </c>
    </row>
    <row r="504" spans="1:3" x14ac:dyDescent="0.35">
      <c r="A504" s="5" t="s">
        <v>941</v>
      </c>
      <c r="B504" s="5">
        <f>ATI!K258</f>
        <v>0</v>
      </c>
      <c r="C504" s="6" t="s">
        <v>934</v>
      </c>
    </row>
    <row r="505" spans="1:3" x14ac:dyDescent="0.35">
      <c r="A505" s="5" t="s">
        <v>942</v>
      </c>
      <c r="B505" s="5">
        <f>ATI!E260</f>
        <v>0</v>
      </c>
      <c r="C505" s="6" t="s">
        <v>934</v>
      </c>
    </row>
    <row r="506" spans="1:3" x14ac:dyDescent="0.35">
      <c r="A506" s="5" t="s">
        <v>943</v>
      </c>
      <c r="B506" s="5">
        <f>ATI!G260</f>
        <v>0</v>
      </c>
      <c r="C506" s="6" t="s">
        <v>934</v>
      </c>
    </row>
    <row r="507" spans="1:3" x14ac:dyDescent="0.35">
      <c r="A507" s="5" t="s">
        <v>944</v>
      </c>
      <c r="B507" s="5">
        <f>ATI!I260</f>
        <v>0</v>
      </c>
      <c r="C507" s="6" t="s">
        <v>934</v>
      </c>
    </row>
    <row r="508" spans="1:3" x14ac:dyDescent="0.35">
      <c r="A508" s="5" t="s">
        <v>945</v>
      </c>
      <c r="B508" s="5">
        <f>ATI!K260</f>
        <v>0</v>
      </c>
      <c r="C508" s="6" t="s">
        <v>934</v>
      </c>
    </row>
    <row r="509" spans="1:3" x14ac:dyDescent="0.35">
      <c r="A509" s="2" t="s">
        <v>946</v>
      </c>
      <c r="B509" s="2">
        <f>ATI!E261</f>
        <v>0</v>
      </c>
      <c r="C509" s="4" t="s">
        <v>934</v>
      </c>
    </row>
    <row r="510" spans="1:3" x14ac:dyDescent="0.35">
      <c r="A510" s="2" t="s">
        <v>947</v>
      </c>
      <c r="B510" s="2">
        <f>ATI!G261</f>
        <v>0</v>
      </c>
      <c r="C510" s="4" t="s">
        <v>934</v>
      </c>
    </row>
    <row r="511" spans="1:3" x14ac:dyDescent="0.35">
      <c r="A511" s="2" t="s">
        <v>948</v>
      </c>
      <c r="B511" s="2">
        <f>ATI!I261</f>
        <v>0</v>
      </c>
      <c r="C511" s="4" t="s">
        <v>934</v>
      </c>
    </row>
    <row r="512" spans="1:3" x14ac:dyDescent="0.35">
      <c r="A512" s="2" t="s">
        <v>949</v>
      </c>
      <c r="B512" s="2">
        <f>ATI!K261</f>
        <v>0</v>
      </c>
      <c r="C512" s="4" t="s">
        <v>934</v>
      </c>
    </row>
    <row r="513" spans="1:3" x14ac:dyDescent="0.35">
      <c r="A513" s="2" t="s">
        <v>950</v>
      </c>
      <c r="B513" s="2">
        <f>ATI!E262</f>
        <v>0</v>
      </c>
      <c r="C513" s="4" t="s">
        <v>934</v>
      </c>
    </row>
    <row r="514" spans="1:3" x14ac:dyDescent="0.35">
      <c r="A514" s="2" t="s">
        <v>951</v>
      </c>
      <c r="B514" s="2">
        <f>ATI!G262</f>
        <v>0</v>
      </c>
      <c r="C514" s="4" t="s">
        <v>934</v>
      </c>
    </row>
    <row r="515" spans="1:3" x14ac:dyDescent="0.35">
      <c r="A515" s="2" t="s">
        <v>952</v>
      </c>
      <c r="B515" s="2">
        <f>ATI!I262</f>
        <v>0</v>
      </c>
      <c r="C515" s="4" t="s">
        <v>934</v>
      </c>
    </row>
    <row r="516" spans="1:3" x14ac:dyDescent="0.35">
      <c r="A516" s="2" t="s">
        <v>953</v>
      </c>
      <c r="B516" s="2">
        <f>ATI!K262</f>
        <v>0</v>
      </c>
      <c r="C516" s="4" t="s">
        <v>934</v>
      </c>
    </row>
    <row r="517" spans="1:3" x14ac:dyDescent="0.35">
      <c r="A517" s="5" t="s">
        <v>954</v>
      </c>
      <c r="B517" s="5">
        <f>ATI!E268</f>
        <v>0</v>
      </c>
      <c r="C517" s="6" t="s">
        <v>955</v>
      </c>
    </row>
    <row r="518" spans="1:3" x14ac:dyDescent="0.35">
      <c r="A518" s="5" t="s">
        <v>956</v>
      </c>
      <c r="B518" s="5">
        <f>ATI!F268</f>
        <v>0</v>
      </c>
      <c r="C518" s="6" t="s">
        <v>955</v>
      </c>
    </row>
    <row r="519" spans="1:3" x14ac:dyDescent="0.35">
      <c r="A519" s="5" t="s">
        <v>957</v>
      </c>
      <c r="B519" s="5">
        <f>ATI!G268</f>
        <v>0</v>
      </c>
      <c r="C519" s="6" t="s">
        <v>955</v>
      </c>
    </row>
    <row r="520" spans="1:3" x14ac:dyDescent="0.35">
      <c r="A520" s="5" t="s">
        <v>958</v>
      </c>
      <c r="B520" s="5">
        <f>ATI!H268</f>
        <v>0</v>
      </c>
      <c r="C520" s="6" t="s">
        <v>955</v>
      </c>
    </row>
    <row r="521" spans="1:3" x14ac:dyDescent="0.35">
      <c r="A521" s="5" t="s">
        <v>959</v>
      </c>
      <c r="B521" s="5">
        <f>ATI!I268</f>
        <v>0</v>
      </c>
      <c r="C521" s="6" t="s">
        <v>955</v>
      </c>
    </row>
    <row r="522" spans="1:3" x14ac:dyDescent="0.35">
      <c r="A522" s="5" t="s">
        <v>960</v>
      </c>
      <c r="B522" s="5">
        <f>ATI!J268</f>
        <v>0</v>
      </c>
      <c r="C522" s="6" t="s">
        <v>955</v>
      </c>
    </row>
    <row r="523" spans="1:3" x14ac:dyDescent="0.35">
      <c r="A523" s="5" t="s">
        <v>961</v>
      </c>
      <c r="B523" s="5">
        <f>ATI!K268</f>
        <v>0</v>
      </c>
      <c r="C523" s="6" t="s">
        <v>955</v>
      </c>
    </row>
    <row r="524" spans="1:3" x14ac:dyDescent="0.35">
      <c r="A524" s="5" t="s">
        <v>962</v>
      </c>
      <c r="B524" s="5">
        <f>ATI!E269</f>
        <v>0</v>
      </c>
      <c r="C524" s="6" t="s">
        <v>955</v>
      </c>
    </row>
    <row r="525" spans="1:3" x14ac:dyDescent="0.35">
      <c r="A525" s="5" t="s">
        <v>963</v>
      </c>
      <c r="B525" s="5">
        <f>ATI!F269</f>
        <v>0</v>
      </c>
      <c r="C525" s="6" t="s">
        <v>955</v>
      </c>
    </row>
    <row r="526" spans="1:3" x14ac:dyDescent="0.35">
      <c r="A526" s="5" t="s">
        <v>964</v>
      </c>
      <c r="B526" s="5">
        <f>ATI!G269</f>
        <v>0</v>
      </c>
      <c r="C526" s="6" t="s">
        <v>955</v>
      </c>
    </row>
    <row r="527" spans="1:3" x14ac:dyDescent="0.35">
      <c r="A527" s="5" t="s">
        <v>965</v>
      </c>
      <c r="B527" s="5">
        <f>ATI!H269</f>
        <v>0</v>
      </c>
      <c r="C527" s="6" t="s">
        <v>955</v>
      </c>
    </row>
    <row r="528" spans="1:3" x14ac:dyDescent="0.35">
      <c r="A528" s="5" t="s">
        <v>966</v>
      </c>
      <c r="B528" s="5">
        <f>ATI!I269</f>
        <v>0</v>
      </c>
      <c r="C528" s="6" t="s">
        <v>955</v>
      </c>
    </row>
    <row r="529" spans="1:3" x14ac:dyDescent="0.35">
      <c r="A529" s="5" t="s">
        <v>967</v>
      </c>
      <c r="B529" s="5">
        <f>ATI!J269</f>
        <v>0</v>
      </c>
      <c r="C529" s="6" t="s">
        <v>955</v>
      </c>
    </row>
    <row r="530" spans="1:3" x14ac:dyDescent="0.35">
      <c r="A530" s="5" t="s">
        <v>968</v>
      </c>
      <c r="B530" s="5">
        <f>ATI!K269</f>
        <v>0</v>
      </c>
      <c r="C530" s="6" t="s">
        <v>955</v>
      </c>
    </row>
    <row r="531" spans="1:3" x14ac:dyDescent="0.35">
      <c r="A531" s="5" t="s">
        <v>969</v>
      </c>
      <c r="B531" s="5">
        <f>ATI!E270</f>
        <v>0</v>
      </c>
      <c r="C531" s="6" t="s">
        <v>955</v>
      </c>
    </row>
    <row r="532" spans="1:3" x14ac:dyDescent="0.35">
      <c r="A532" s="5" t="s">
        <v>970</v>
      </c>
      <c r="B532" s="5">
        <f>ATI!F270</f>
        <v>0</v>
      </c>
      <c r="C532" s="6" t="s">
        <v>955</v>
      </c>
    </row>
    <row r="533" spans="1:3" x14ac:dyDescent="0.35">
      <c r="A533" s="5" t="s">
        <v>971</v>
      </c>
      <c r="B533" s="5">
        <f>ATI!G270</f>
        <v>0</v>
      </c>
      <c r="C533" s="6" t="s">
        <v>955</v>
      </c>
    </row>
    <row r="534" spans="1:3" x14ac:dyDescent="0.35">
      <c r="A534" s="5" t="s">
        <v>972</v>
      </c>
      <c r="B534" s="5">
        <f>ATI!H270</f>
        <v>0</v>
      </c>
      <c r="C534" s="6" t="s">
        <v>955</v>
      </c>
    </row>
    <row r="535" spans="1:3" x14ac:dyDescent="0.35">
      <c r="A535" s="5" t="s">
        <v>973</v>
      </c>
      <c r="B535" s="5">
        <f>ATI!I270</f>
        <v>0</v>
      </c>
      <c r="C535" s="6" t="s">
        <v>955</v>
      </c>
    </row>
    <row r="536" spans="1:3" x14ac:dyDescent="0.35">
      <c r="A536" s="5" t="s">
        <v>974</v>
      </c>
      <c r="B536" s="5">
        <f>ATI!J270</f>
        <v>0</v>
      </c>
      <c r="C536" s="6" t="s">
        <v>955</v>
      </c>
    </row>
    <row r="537" spans="1:3" x14ac:dyDescent="0.35">
      <c r="A537" s="5" t="s">
        <v>975</v>
      </c>
      <c r="B537" s="5">
        <f>ATI!K270</f>
        <v>0</v>
      </c>
      <c r="C537" s="6" t="s">
        <v>955</v>
      </c>
    </row>
    <row r="538" spans="1:3" x14ac:dyDescent="0.35">
      <c r="A538" s="5" t="s">
        <v>976</v>
      </c>
      <c r="B538" s="5">
        <f>ATI!E271</f>
        <v>0</v>
      </c>
      <c r="C538" s="6" t="s">
        <v>955</v>
      </c>
    </row>
    <row r="539" spans="1:3" x14ac:dyDescent="0.35">
      <c r="A539" s="5" t="s">
        <v>977</v>
      </c>
      <c r="B539" s="5">
        <f>ATI!F271</f>
        <v>0</v>
      </c>
      <c r="C539" s="6" t="s">
        <v>955</v>
      </c>
    </row>
    <row r="540" spans="1:3" x14ac:dyDescent="0.35">
      <c r="A540" s="5" t="s">
        <v>978</v>
      </c>
      <c r="B540" s="5">
        <f>ATI!G271</f>
        <v>0</v>
      </c>
      <c r="C540" s="6" t="s">
        <v>955</v>
      </c>
    </row>
    <row r="541" spans="1:3" x14ac:dyDescent="0.35">
      <c r="A541" s="5" t="s">
        <v>979</v>
      </c>
      <c r="B541" s="5">
        <f>ATI!H271</f>
        <v>0</v>
      </c>
      <c r="C541" s="6" t="s">
        <v>955</v>
      </c>
    </row>
    <row r="542" spans="1:3" x14ac:dyDescent="0.35">
      <c r="A542" s="5" t="s">
        <v>980</v>
      </c>
      <c r="B542" s="5">
        <f>ATI!I271</f>
        <v>0</v>
      </c>
      <c r="C542" s="6" t="s">
        <v>955</v>
      </c>
    </row>
    <row r="543" spans="1:3" x14ac:dyDescent="0.35">
      <c r="A543" s="5" t="s">
        <v>981</v>
      </c>
      <c r="B543" s="5">
        <f>ATI!J271</f>
        <v>0</v>
      </c>
      <c r="C543" s="6" t="s">
        <v>955</v>
      </c>
    </row>
    <row r="544" spans="1:3" x14ac:dyDescent="0.35">
      <c r="A544" s="5" t="s">
        <v>982</v>
      </c>
      <c r="B544" s="5">
        <f>ATI!K271</f>
        <v>0</v>
      </c>
      <c r="C544" s="6" t="s">
        <v>955</v>
      </c>
    </row>
    <row r="545" spans="1:3" x14ac:dyDescent="0.35">
      <c r="A545" s="5" t="s">
        <v>983</v>
      </c>
      <c r="B545" s="5">
        <f>ATI!E272</f>
        <v>0</v>
      </c>
      <c r="C545" s="6" t="s">
        <v>955</v>
      </c>
    </row>
    <row r="546" spans="1:3" x14ac:dyDescent="0.35">
      <c r="A546" s="5" t="s">
        <v>984</v>
      </c>
      <c r="B546" s="5">
        <f>ATI!F272</f>
        <v>0</v>
      </c>
      <c r="C546" s="6" t="s">
        <v>955</v>
      </c>
    </row>
    <row r="547" spans="1:3" x14ac:dyDescent="0.35">
      <c r="A547" s="5" t="s">
        <v>985</v>
      </c>
      <c r="B547" s="5">
        <f>ATI!G272</f>
        <v>0</v>
      </c>
      <c r="C547" s="6" t="s">
        <v>955</v>
      </c>
    </row>
    <row r="548" spans="1:3" x14ac:dyDescent="0.35">
      <c r="A548" s="5" t="s">
        <v>986</v>
      </c>
      <c r="B548" s="5">
        <f>ATI!H272</f>
        <v>0</v>
      </c>
      <c r="C548" s="6" t="s">
        <v>955</v>
      </c>
    </row>
    <row r="549" spans="1:3" x14ac:dyDescent="0.35">
      <c r="A549" s="5" t="s">
        <v>987</v>
      </c>
      <c r="B549" s="5">
        <f>ATI!I272</f>
        <v>0</v>
      </c>
      <c r="C549" s="6" t="s">
        <v>955</v>
      </c>
    </row>
    <row r="550" spans="1:3" x14ac:dyDescent="0.35">
      <c r="A550" s="5" t="s">
        <v>988</v>
      </c>
      <c r="B550" s="5">
        <f>ATI!J272</f>
        <v>0</v>
      </c>
      <c r="C550" s="6" t="s">
        <v>955</v>
      </c>
    </row>
    <row r="551" spans="1:3" x14ac:dyDescent="0.35">
      <c r="A551" s="5" t="s">
        <v>989</v>
      </c>
      <c r="B551" s="5">
        <f>ATI!K272</f>
        <v>0</v>
      </c>
      <c r="C551" s="6" t="s">
        <v>955</v>
      </c>
    </row>
    <row r="552" spans="1:3" x14ac:dyDescent="0.35">
      <c r="A552" s="5" t="s">
        <v>990</v>
      </c>
      <c r="B552" s="5">
        <f>ATI!E273</f>
        <v>0</v>
      </c>
      <c r="C552" s="6" t="s">
        <v>955</v>
      </c>
    </row>
    <row r="553" spans="1:3" x14ac:dyDescent="0.35">
      <c r="A553" s="5" t="s">
        <v>991</v>
      </c>
      <c r="B553" s="5">
        <f>ATI!F273</f>
        <v>0</v>
      </c>
      <c r="C553" s="6" t="s">
        <v>955</v>
      </c>
    </row>
    <row r="554" spans="1:3" x14ac:dyDescent="0.35">
      <c r="A554" s="5" t="s">
        <v>992</v>
      </c>
      <c r="B554" s="5">
        <f>ATI!G273</f>
        <v>0</v>
      </c>
      <c r="C554" s="6" t="s">
        <v>955</v>
      </c>
    </row>
    <row r="555" spans="1:3" x14ac:dyDescent="0.35">
      <c r="A555" s="5" t="s">
        <v>993</v>
      </c>
      <c r="B555" s="5">
        <f>ATI!H273</f>
        <v>0</v>
      </c>
      <c r="C555" s="6" t="s">
        <v>955</v>
      </c>
    </row>
    <row r="556" spans="1:3" x14ac:dyDescent="0.35">
      <c r="A556" s="5" t="s">
        <v>994</v>
      </c>
      <c r="B556" s="5">
        <f>ATI!I273</f>
        <v>0</v>
      </c>
      <c r="C556" s="6" t="s">
        <v>955</v>
      </c>
    </row>
    <row r="557" spans="1:3" x14ac:dyDescent="0.35">
      <c r="A557" s="5" t="s">
        <v>995</v>
      </c>
      <c r="B557" s="5">
        <f>ATI!J273</f>
        <v>0</v>
      </c>
      <c r="C557" s="6" t="s">
        <v>955</v>
      </c>
    </row>
    <row r="558" spans="1:3" x14ac:dyDescent="0.35">
      <c r="A558" s="5" t="s">
        <v>996</v>
      </c>
      <c r="B558" s="5">
        <f>ATI!K273</f>
        <v>0</v>
      </c>
      <c r="C558" s="6" t="s">
        <v>955</v>
      </c>
    </row>
    <row r="559" spans="1:3" x14ac:dyDescent="0.35">
      <c r="A559" s="5" t="s">
        <v>997</v>
      </c>
      <c r="B559" s="5">
        <f>ATI!E280</f>
        <v>0</v>
      </c>
      <c r="C559" s="6" t="s">
        <v>998</v>
      </c>
    </row>
    <row r="560" spans="1:3" x14ac:dyDescent="0.35">
      <c r="A560" s="5" t="s">
        <v>999</v>
      </c>
      <c r="B560" s="5">
        <f>ATI!F280</f>
        <v>0</v>
      </c>
      <c r="C560" s="6" t="s">
        <v>998</v>
      </c>
    </row>
    <row r="561" spans="1:3" x14ac:dyDescent="0.35">
      <c r="A561" s="5" t="s">
        <v>1000</v>
      </c>
      <c r="B561" s="5">
        <f>ATI!G280</f>
        <v>0</v>
      </c>
      <c r="C561" s="6" t="s">
        <v>998</v>
      </c>
    </row>
    <row r="562" spans="1:3" x14ac:dyDescent="0.35">
      <c r="A562" s="5" t="s">
        <v>1001</v>
      </c>
      <c r="B562" s="5">
        <f>ATI!H280</f>
        <v>0</v>
      </c>
      <c r="C562" s="6" t="s">
        <v>998</v>
      </c>
    </row>
    <row r="563" spans="1:3" x14ac:dyDescent="0.35">
      <c r="A563" s="5" t="s">
        <v>1002</v>
      </c>
      <c r="B563" s="5">
        <f>ATI!I280</f>
        <v>0</v>
      </c>
      <c r="C563" s="6" t="s">
        <v>998</v>
      </c>
    </row>
    <row r="564" spans="1:3" x14ac:dyDescent="0.35">
      <c r="A564" s="5" t="s">
        <v>1003</v>
      </c>
      <c r="B564" s="5">
        <f>ATI!J280</f>
        <v>0</v>
      </c>
      <c r="C564" s="6" t="s">
        <v>998</v>
      </c>
    </row>
    <row r="565" spans="1:3" x14ac:dyDescent="0.35">
      <c r="A565" s="5" t="s">
        <v>1004</v>
      </c>
      <c r="B565" s="5">
        <f>ATI!K280</f>
        <v>0</v>
      </c>
      <c r="C565" s="6" t="s">
        <v>998</v>
      </c>
    </row>
    <row r="566" spans="1:3" x14ac:dyDescent="0.35">
      <c r="A566" s="5" t="s">
        <v>1005</v>
      </c>
      <c r="B566" s="5">
        <f>ATI!E281</f>
        <v>0</v>
      </c>
      <c r="C566" s="6" t="s">
        <v>998</v>
      </c>
    </row>
    <row r="567" spans="1:3" x14ac:dyDescent="0.35">
      <c r="A567" s="5" t="s">
        <v>1006</v>
      </c>
      <c r="B567" s="5">
        <f>ATI!F281</f>
        <v>0</v>
      </c>
      <c r="C567" s="6" t="s">
        <v>998</v>
      </c>
    </row>
    <row r="568" spans="1:3" x14ac:dyDescent="0.35">
      <c r="A568" s="5" t="s">
        <v>1007</v>
      </c>
      <c r="B568" s="5">
        <f>ATI!G281</f>
        <v>0</v>
      </c>
      <c r="C568" s="6" t="s">
        <v>998</v>
      </c>
    </row>
    <row r="569" spans="1:3" x14ac:dyDescent="0.35">
      <c r="A569" s="5" t="s">
        <v>1008</v>
      </c>
      <c r="B569" s="5">
        <f>ATI!H281</f>
        <v>0</v>
      </c>
      <c r="C569" s="6" t="s">
        <v>998</v>
      </c>
    </row>
    <row r="570" spans="1:3" x14ac:dyDescent="0.35">
      <c r="A570" s="5" t="s">
        <v>1009</v>
      </c>
      <c r="B570" s="5">
        <f>ATI!I281</f>
        <v>0</v>
      </c>
      <c r="C570" s="6" t="s">
        <v>998</v>
      </c>
    </row>
    <row r="571" spans="1:3" x14ac:dyDescent="0.35">
      <c r="A571" s="5" t="s">
        <v>1010</v>
      </c>
      <c r="B571" s="5">
        <f>ATI!J281</f>
        <v>0</v>
      </c>
      <c r="C571" s="6" t="s">
        <v>998</v>
      </c>
    </row>
    <row r="572" spans="1:3" x14ac:dyDescent="0.35">
      <c r="A572" s="5" t="s">
        <v>1011</v>
      </c>
      <c r="B572" s="5">
        <f>ATI!K281</f>
        <v>0</v>
      </c>
      <c r="C572" s="6" t="s">
        <v>998</v>
      </c>
    </row>
    <row r="573" spans="1:3" x14ac:dyDescent="0.35">
      <c r="A573" s="5" t="s">
        <v>1012</v>
      </c>
      <c r="B573" s="5">
        <f>ATI!E282</f>
        <v>0</v>
      </c>
      <c r="C573" s="6" t="s">
        <v>998</v>
      </c>
    </row>
    <row r="574" spans="1:3" x14ac:dyDescent="0.35">
      <c r="A574" s="5" t="s">
        <v>1013</v>
      </c>
      <c r="B574" s="5">
        <f>ATI!F282</f>
        <v>0</v>
      </c>
      <c r="C574" s="6" t="s">
        <v>998</v>
      </c>
    </row>
    <row r="575" spans="1:3" x14ac:dyDescent="0.35">
      <c r="A575" s="5" t="s">
        <v>1014</v>
      </c>
      <c r="B575" s="5">
        <f>ATI!G282</f>
        <v>0</v>
      </c>
      <c r="C575" s="6" t="s">
        <v>998</v>
      </c>
    </row>
    <row r="576" spans="1:3" x14ac:dyDescent="0.35">
      <c r="A576" s="5" t="s">
        <v>1015</v>
      </c>
      <c r="B576" s="5">
        <f>ATI!H282</f>
        <v>0</v>
      </c>
      <c r="C576" s="6" t="s">
        <v>998</v>
      </c>
    </row>
    <row r="577" spans="1:3" x14ac:dyDescent="0.35">
      <c r="A577" s="5" t="s">
        <v>1016</v>
      </c>
      <c r="B577" s="5">
        <f>ATI!I282</f>
        <v>0</v>
      </c>
      <c r="C577" s="6" t="s">
        <v>998</v>
      </c>
    </row>
    <row r="578" spans="1:3" x14ac:dyDescent="0.35">
      <c r="A578" s="5" t="s">
        <v>1017</v>
      </c>
      <c r="B578" s="5">
        <f>ATI!J282</f>
        <v>0</v>
      </c>
      <c r="C578" s="6" t="s">
        <v>998</v>
      </c>
    </row>
    <row r="579" spans="1:3" x14ac:dyDescent="0.35">
      <c r="A579" s="5" t="s">
        <v>1018</v>
      </c>
      <c r="B579" s="5">
        <f>ATI!K282</f>
        <v>0</v>
      </c>
      <c r="C579" s="6" t="s">
        <v>998</v>
      </c>
    </row>
    <row r="580" spans="1:3" x14ac:dyDescent="0.35">
      <c r="A580" s="5" t="s">
        <v>1019</v>
      </c>
      <c r="B580" s="5">
        <f>ATI!E283</f>
        <v>0</v>
      </c>
      <c r="C580" s="6" t="s">
        <v>998</v>
      </c>
    </row>
    <row r="581" spans="1:3" x14ac:dyDescent="0.35">
      <c r="A581" s="5" t="s">
        <v>1020</v>
      </c>
      <c r="B581" s="5">
        <f>ATI!F283</f>
        <v>0</v>
      </c>
      <c r="C581" s="6" t="s">
        <v>998</v>
      </c>
    </row>
    <row r="582" spans="1:3" x14ac:dyDescent="0.35">
      <c r="A582" s="5" t="s">
        <v>1021</v>
      </c>
      <c r="B582" s="5">
        <f>ATI!G283</f>
        <v>0</v>
      </c>
      <c r="C582" s="6" t="s">
        <v>998</v>
      </c>
    </row>
    <row r="583" spans="1:3" x14ac:dyDescent="0.35">
      <c r="A583" s="5" t="s">
        <v>1022</v>
      </c>
      <c r="B583" s="5">
        <f>ATI!H283</f>
        <v>0</v>
      </c>
      <c r="C583" s="6" t="s">
        <v>998</v>
      </c>
    </row>
    <row r="584" spans="1:3" x14ac:dyDescent="0.35">
      <c r="A584" s="5" t="s">
        <v>1023</v>
      </c>
      <c r="B584" s="5">
        <f>ATI!I283</f>
        <v>0</v>
      </c>
      <c r="C584" s="6" t="s">
        <v>998</v>
      </c>
    </row>
    <row r="585" spans="1:3" x14ac:dyDescent="0.35">
      <c r="A585" s="5" t="s">
        <v>1024</v>
      </c>
      <c r="B585" s="5">
        <f>ATI!J283</f>
        <v>0</v>
      </c>
      <c r="C585" s="6" t="s">
        <v>998</v>
      </c>
    </row>
    <row r="586" spans="1:3" x14ac:dyDescent="0.35">
      <c r="A586" s="5" t="s">
        <v>1025</v>
      </c>
      <c r="B586" s="5">
        <f>ATI!K283</f>
        <v>0</v>
      </c>
      <c r="C586" s="6" t="s">
        <v>998</v>
      </c>
    </row>
    <row r="587" spans="1:3" x14ac:dyDescent="0.35">
      <c r="A587" s="5" t="s">
        <v>1026</v>
      </c>
      <c r="B587" s="5">
        <f>ATI!E284</f>
        <v>0</v>
      </c>
      <c r="C587" s="6" t="s">
        <v>998</v>
      </c>
    </row>
    <row r="588" spans="1:3" x14ac:dyDescent="0.35">
      <c r="A588" s="5" t="s">
        <v>1027</v>
      </c>
      <c r="B588" s="5">
        <f>ATI!F284</f>
        <v>0</v>
      </c>
      <c r="C588" s="6" t="s">
        <v>998</v>
      </c>
    </row>
    <row r="589" spans="1:3" x14ac:dyDescent="0.35">
      <c r="A589" s="5" t="s">
        <v>1028</v>
      </c>
      <c r="B589" s="5">
        <f>ATI!G284</f>
        <v>0</v>
      </c>
      <c r="C589" s="6" t="s">
        <v>998</v>
      </c>
    </row>
    <row r="590" spans="1:3" x14ac:dyDescent="0.35">
      <c r="A590" s="5" t="s">
        <v>1029</v>
      </c>
      <c r="B590" s="5">
        <f>ATI!H284</f>
        <v>0</v>
      </c>
      <c r="C590" s="6" t="s">
        <v>998</v>
      </c>
    </row>
    <row r="591" spans="1:3" x14ac:dyDescent="0.35">
      <c r="A591" s="5" t="s">
        <v>1030</v>
      </c>
      <c r="B591" s="5">
        <f>ATI!I284</f>
        <v>0</v>
      </c>
      <c r="C591" s="6" t="s">
        <v>998</v>
      </c>
    </row>
    <row r="592" spans="1:3" x14ac:dyDescent="0.35">
      <c r="A592" s="5" t="s">
        <v>1031</v>
      </c>
      <c r="B592" s="5">
        <f>ATI!J284</f>
        <v>0</v>
      </c>
      <c r="C592" s="6" t="s">
        <v>998</v>
      </c>
    </row>
    <row r="593" spans="1:3" x14ac:dyDescent="0.35">
      <c r="A593" s="5" t="s">
        <v>1032</v>
      </c>
      <c r="B593" s="5">
        <f>ATI!K284</f>
        <v>0</v>
      </c>
      <c r="C593" s="6" t="s">
        <v>998</v>
      </c>
    </row>
    <row r="594" spans="1:3" x14ac:dyDescent="0.35">
      <c r="A594" s="5" t="s">
        <v>1033</v>
      </c>
      <c r="B594" s="5">
        <f>ATI!E285</f>
        <v>0</v>
      </c>
      <c r="C594" s="6" t="s">
        <v>998</v>
      </c>
    </row>
    <row r="595" spans="1:3" x14ac:dyDescent="0.35">
      <c r="A595" s="5" t="s">
        <v>1034</v>
      </c>
      <c r="B595" s="5">
        <f>ATI!F285</f>
        <v>0</v>
      </c>
      <c r="C595" s="6" t="s">
        <v>998</v>
      </c>
    </row>
    <row r="596" spans="1:3" x14ac:dyDescent="0.35">
      <c r="A596" s="5" t="s">
        <v>1035</v>
      </c>
      <c r="B596" s="5">
        <f>ATI!G285</f>
        <v>0</v>
      </c>
      <c r="C596" s="6" t="s">
        <v>998</v>
      </c>
    </row>
    <row r="597" spans="1:3" x14ac:dyDescent="0.35">
      <c r="A597" s="5" t="s">
        <v>1036</v>
      </c>
      <c r="B597" s="5">
        <f>ATI!H285</f>
        <v>0</v>
      </c>
      <c r="C597" s="6" t="s">
        <v>998</v>
      </c>
    </row>
    <row r="598" spans="1:3" x14ac:dyDescent="0.35">
      <c r="A598" s="5" t="s">
        <v>1037</v>
      </c>
      <c r="B598" s="5">
        <f>ATI!I285</f>
        <v>0</v>
      </c>
      <c r="C598" s="6" t="s">
        <v>998</v>
      </c>
    </row>
    <row r="599" spans="1:3" x14ac:dyDescent="0.35">
      <c r="A599" s="5" t="s">
        <v>1038</v>
      </c>
      <c r="B599" s="5">
        <f>ATI!J285</f>
        <v>0</v>
      </c>
      <c r="C599" s="6" t="s">
        <v>998</v>
      </c>
    </row>
    <row r="600" spans="1:3" x14ac:dyDescent="0.35">
      <c r="A600" s="5" t="s">
        <v>1039</v>
      </c>
      <c r="B600" s="5">
        <f>ATI!K285</f>
        <v>0</v>
      </c>
      <c r="C600" s="6" t="s">
        <v>998</v>
      </c>
    </row>
    <row r="601" spans="1:3" x14ac:dyDescent="0.35">
      <c r="A601" s="5" t="s">
        <v>1040</v>
      </c>
      <c r="B601" s="5">
        <f>ATI!C294</f>
        <v>0</v>
      </c>
      <c r="C601" s="6" t="s">
        <v>1041</v>
      </c>
    </row>
    <row r="602" spans="1:3" x14ac:dyDescent="0.35">
      <c r="A602" s="5" t="s">
        <v>1042</v>
      </c>
      <c r="B602" s="5">
        <f>ATI!D294</f>
        <v>0</v>
      </c>
      <c r="C602" s="6" t="s">
        <v>1041</v>
      </c>
    </row>
    <row r="603" spans="1:3" x14ac:dyDescent="0.35">
      <c r="A603" s="5" t="s">
        <v>1043</v>
      </c>
      <c r="B603" s="5" t="e">
        <f>ATI!#REF!</f>
        <v>#REF!</v>
      </c>
      <c r="C603" s="6" t="s">
        <v>1041</v>
      </c>
    </row>
    <row r="604" spans="1:3" x14ac:dyDescent="0.35">
      <c r="A604" s="5" t="s">
        <v>1044</v>
      </c>
      <c r="B604" s="5" t="e">
        <f>ATI!#REF!</f>
        <v>#REF!</v>
      </c>
      <c r="C604" s="6" t="s">
        <v>1041</v>
      </c>
    </row>
    <row r="605" spans="1:3" x14ac:dyDescent="0.35">
      <c r="A605" s="5" t="s">
        <v>1045</v>
      </c>
      <c r="B605" s="5">
        <f>ATI!E294</f>
        <v>0</v>
      </c>
      <c r="C605" s="6" t="s">
        <v>1041</v>
      </c>
    </row>
    <row r="606" spans="1:3" x14ac:dyDescent="0.35">
      <c r="A606" s="5" t="s">
        <v>1046</v>
      </c>
      <c r="B606" s="5">
        <f>ATI!F294</f>
        <v>0</v>
      </c>
      <c r="C606" s="6" t="s">
        <v>1041</v>
      </c>
    </row>
    <row r="607" spans="1:3" x14ac:dyDescent="0.35">
      <c r="A607" s="5" t="s">
        <v>1047</v>
      </c>
      <c r="B607" s="5" t="e">
        <f>ATI!#REF!</f>
        <v>#REF!</v>
      </c>
      <c r="C607" s="6" t="s">
        <v>1041</v>
      </c>
    </row>
    <row r="608" spans="1:3" x14ac:dyDescent="0.35">
      <c r="A608" s="5" t="s">
        <v>1048</v>
      </c>
      <c r="B608" s="5" t="e">
        <f>ATI!#REF!</f>
        <v>#REF!</v>
      </c>
      <c r="C608" s="6" t="s">
        <v>1041</v>
      </c>
    </row>
    <row r="609" spans="1:3" x14ac:dyDescent="0.35">
      <c r="A609" s="5" t="s">
        <v>1049</v>
      </c>
      <c r="B609" s="5">
        <f>ATI!G294</f>
        <v>0</v>
      </c>
      <c r="C609" s="6" t="s">
        <v>1041</v>
      </c>
    </row>
    <row r="610" spans="1:3" x14ac:dyDescent="0.35">
      <c r="A610" s="5" t="s">
        <v>1050</v>
      </c>
      <c r="B610" s="5">
        <f>ATI!H294</f>
        <v>0</v>
      </c>
      <c r="C610" s="6" t="s">
        <v>1041</v>
      </c>
    </row>
    <row r="611" spans="1:3" x14ac:dyDescent="0.35">
      <c r="A611" s="5" t="s">
        <v>1051</v>
      </c>
      <c r="B611" s="5">
        <f>ATI!C295</f>
        <v>0</v>
      </c>
      <c r="C611" s="6" t="s">
        <v>1041</v>
      </c>
    </row>
    <row r="612" spans="1:3" x14ac:dyDescent="0.35">
      <c r="A612" s="5" t="s">
        <v>1052</v>
      </c>
      <c r="B612" s="5">
        <f>ATI!D295</f>
        <v>0</v>
      </c>
      <c r="C612" s="6" t="s">
        <v>1041</v>
      </c>
    </row>
    <row r="613" spans="1:3" x14ac:dyDescent="0.35">
      <c r="A613" s="5" t="s">
        <v>1053</v>
      </c>
      <c r="B613" s="5" t="e">
        <f>ATI!#REF!</f>
        <v>#REF!</v>
      </c>
      <c r="C613" s="6" t="s">
        <v>1041</v>
      </c>
    </row>
    <row r="614" spans="1:3" x14ac:dyDescent="0.35">
      <c r="A614" s="5" t="s">
        <v>1054</v>
      </c>
      <c r="B614" s="5" t="e">
        <f>ATI!#REF!</f>
        <v>#REF!</v>
      </c>
      <c r="C614" s="6" t="s">
        <v>1041</v>
      </c>
    </row>
    <row r="615" spans="1:3" x14ac:dyDescent="0.35">
      <c r="A615" s="5" t="s">
        <v>1055</v>
      </c>
      <c r="B615" s="5">
        <f>ATI!E295</f>
        <v>0</v>
      </c>
      <c r="C615" s="6" t="s">
        <v>1041</v>
      </c>
    </row>
    <row r="616" spans="1:3" x14ac:dyDescent="0.35">
      <c r="A616" s="5" t="s">
        <v>1056</v>
      </c>
      <c r="B616" s="5">
        <f>ATI!F295</f>
        <v>0</v>
      </c>
      <c r="C616" s="6" t="s">
        <v>1041</v>
      </c>
    </row>
    <row r="617" spans="1:3" x14ac:dyDescent="0.35">
      <c r="A617" s="5" t="s">
        <v>1057</v>
      </c>
      <c r="B617" s="5" t="e">
        <f>ATI!#REF!</f>
        <v>#REF!</v>
      </c>
      <c r="C617" s="6" t="s">
        <v>1041</v>
      </c>
    </row>
    <row r="618" spans="1:3" x14ac:dyDescent="0.35">
      <c r="A618" s="5" t="s">
        <v>1058</v>
      </c>
      <c r="B618" s="5" t="e">
        <f>ATI!#REF!</f>
        <v>#REF!</v>
      </c>
      <c r="C618" s="6" t="s">
        <v>1041</v>
      </c>
    </row>
    <row r="619" spans="1:3" x14ac:dyDescent="0.35">
      <c r="A619" s="5" t="s">
        <v>1059</v>
      </c>
      <c r="B619" s="5">
        <f>ATI!G295</f>
        <v>0</v>
      </c>
      <c r="C619" s="6" t="s">
        <v>1041</v>
      </c>
    </row>
    <row r="620" spans="1:3" x14ac:dyDescent="0.35">
      <c r="A620" s="5" t="s">
        <v>1060</v>
      </c>
      <c r="B620" s="5">
        <f>ATI!H295</f>
        <v>0</v>
      </c>
      <c r="C620" s="6" t="s">
        <v>1041</v>
      </c>
    </row>
    <row r="621" spans="1:3" x14ac:dyDescent="0.35">
      <c r="A621" s="5" t="s">
        <v>1061</v>
      </c>
      <c r="B621" s="5">
        <f>ATI!C296</f>
        <v>0</v>
      </c>
      <c r="C621" s="6" t="s">
        <v>1041</v>
      </c>
    </row>
    <row r="622" spans="1:3" x14ac:dyDescent="0.35">
      <c r="A622" s="5" t="s">
        <v>1062</v>
      </c>
      <c r="B622" s="5">
        <f>ATI!D296</f>
        <v>0</v>
      </c>
      <c r="C622" s="6" t="s">
        <v>1041</v>
      </c>
    </row>
    <row r="623" spans="1:3" x14ac:dyDescent="0.35">
      <c r="A623" s="5" t="s">
        <v>1063</v>
      </c>
      <c r="B623" s="5" t="e">
        <f>ATI!#REF!</f>
        <v>#REF!</v>
      </c>
      <c r="C623" s="6" t="s">
        <v>1041</v>
      </c>
    </row>
    <row r="624" spans="1:3" x14ac:dyDescent="0.35">
      <c r="A624" s="5" t="s">
        <v>1064</v>
      </c>
      <c r="B624" s="5" t="e">
        <f>ATI!#REF!</f>
        <v>#REF!</v>
      </c>
      <c r="C624" s="6" t="s">
        <v>1041</v>
      </c>
    </row>
    <row r="625" spans="1:3" x14ac:dyDescent="0.35">
      <c r="A625" s="5" t="s">
        <v>1065</v>
      </c>
      <c r="B625" s="5">
        <f>ATI!E296</f>
        <v>0</v>
      </c>
      <c r="C625" s="6" t="s">
        <v>1041</v>
      </c>
    </row>
    <row r="626" spans="1:3" x14ac:dyDescent="0.35">
      <c r="A626" s="5" t="s">
        <v>1066</v>
      </c>
      <c r="B626" s="5">
        <f>ATI!F296</f>
        <v>0</v>
      </c>
      <c r="C626" s="6" t="s">
        <v>1041</v>
      </c>
    </row>
    <row r="627" spans="1:3" x14ac:dyDescent="0.35">
      <c r="A627" s="5" t="s">
        <v>1067</v>
      </c>
      <c r="B627" s="5" t="e">
        <f>ATI!#REF!</f>
        <v>#REF!</v>
      </c>
      <c r="C627" s="6" t="s">
        <v>1041</v>
      </c>
    </row>
    <row r="628" spans="1:3" x14ac:dyDescent="0.35">
      <c r="A628" s="5" t="s">
        <v>1068</v>
      </c>
      <c r="B628" s="5" t="e">
        <f>ATI!#REF!</f>
        <v>#REF!</v>
      </c>
      <c r="C628" s="6" t="s">
        <v>1041</v>
      </c>
    </row>
    <row r="629" spans="1:3" x14ac:dyDescent="0.35">
      <c r="A629" s="5" t="s">
        <v>1069</v>
      </c>
      <c r="B629" s="5">
        <f>ATI!G296</f>
        <v>0</v>
      </c>
      <c r="C629" s="6" t="s">
        <v>1041</v>
      </c>
    </row>
    <row r="630" spans="1:3" x14ac:dyDescent="0.35">
      <c r="A630" s="5" t="s">
        <v>1070</v>
      </c>
      <c r="B630" s="5">
        <f>ATI!H296</f>
        <v>0</v>
      </c>
      <c r="C630" s="6" t="s">
        <v>1041</v>
      </c>
    </row>
    <row r="631" spans="1:3" x14ac:dyDescent="0.35">
      <c r="A631" s="5" t="s">
        <v>1071</v>
      </c>
      <c r="B631" s="5">
        <f>ATI!C297</f>
        <v>0</v>
      </c>
      <c r="C631" s="6" t="s">
        <v>1041</v>
      </c>
    </row>
    <row r="632" spans="1:3" x14ac:dyDescent="0.35">
      <c r="A632" s="5" t="s">
        <v>1072</v>
      </c>
      <c r="B632" s="5">
        <f>ATI!D297</f>
        <v>0</v>
      </c>
      <c r="C632" s="6" t="s">
        <v>1041</v>
      </c>
    </row>
    <row r="633" spans="1:3" x14ac:dyDescent="0.35">
      <c r="A633" s="5" t="s">
        <v>1073</v>
      </c>
      <c r="B633" s="5" t="e">
        <f>ATI!#REF!</f>
        <v>#REF!</v>
      </c>
      <c r="C633" s="6" t="s">
        <v>1041</v>
      </c>
    </row>
    <row r="634" spans="1:3" x14ac:dyDescent="0.35">
      <c r="A634" s="5" t="s">
        <v>1074</v>
      </c>
      <c r="B634" s="5" t="e">
        <f>ATI!#REF!</f>
        <v>#REF!</v>
      </c>
      <c r="C634" s="6" t="s">
        <v>1041</v>
      </c>
    </row>
    <row r="635" spans="1:3" x14ac:dyDescent="0.35">
      <c r="A635" s="5" t="s">
        <v>1075</v>
      </c>
      <c r="B635" s="5">
        <f>ATI!E297</f>
        <v>0</v>
      </c>
      <c r="C635" s="6" t="s">
        <v>1041</v>
      </c>
    </row>
    <row r="636" spans="1:3" x14ac:dyDescent="0.35">
      <c r="A636" s="5" t="s">
        <v>1076</v>
      </c>
      <c r="B636" s="5">
        <f>ATI!F297</f>
        <v>0</v>
      </c>
      <c r="C636" s="6" t="s">
        <v>1041</v>
      </c>
    </row>
    <row r="637" spans="1:3" x14ac:dyDescent="0.35">
      <c r="A637" s="5" t="s">
        <v>1077</v>
      </c>
      <c r="B637" s="5" t="e">
        <f>ATI!#REF!</f>
        <v>#REF!</v>
      </c>
      <c r="C637" s="6" t="s">
        <v>1041</v>
      </c>
    </row>
    <row r="638" spans="1:3" x14ac:dyDescent="0.35">
      <c r="A638" s="5" t="s">
        <v>1078</v>
      </c>
      <c r="B638" s="5" t="e">
        <f>ATI!#REF!</f>
        <v>#REF!</v>
      </c>
      <c r="C638" s="6" t="s">
        <v>1041</v>
      </c>
    </row>
    <row r="639" spans="1:3" x14ac:dyDescent="0.35">
      <c r="A639" s="5" t="s">
        <v>1079</v>
      </c>
      <c r="B639" s="5">
        <f>ATI!G297</f>
        <v>0</v>
      </c>
      <c r="C639" s="6" t="s">
        <v>1041</v>
      </c>
    </row>
    <row r="640" spans="1:3" x14ac:dyDescent="0.35">
      <c r="A640" s="5" t="s">
        <v>1080</v>
      </c>
      <c r="B640" s="5">
        <f>ATI!H297</f>
        <v>0</v>
      </c>
      <c r="C640" s="6" t="s">
        <v>1041</v>
      </c>
    </row>
    <row r="641" spans="1:3" x14ac:dyDescent="0.35">
      <c r="A641" s="5" t="s">
        <v>1081</v>
      </c>
      <c r="B641" s="5">
        <f>ATI!C298</f>
        <v>0</v>
      </c>
      <c r="C641" s="6" t="s">
        <v>1041</v>
      </c>
    </row>
    <row r="642" spans="1:3" x14ac:dyDescent="0.35">
      <c r="A642" s="5" t="s">
        <v>1082</v>
      </c>
      <c r="B642" s="5">
        <f>ATI!D298</f>
        <v>0</v>
      </c>
      <c r="C642" s="6" t="s">
        <v>1041</v>
      </c>
    </row>
    <row r="643" spans="1:3" x14ac:dyDescent="0.35">
      <c r="A643" s="5" t="s">
        <v>1083</v>
      </c>
      <c r="B643" s="5" t="e">
        <f>ATI!#REF!</f>
        <v>#REF!</v>
      </c>
      <c r="C643" s="6" t="s">
        <v>1041</v>
      </c>
    </row>
    <row r="644" spans="1:3" x14ac:dyDescent="0.35">
      <c r="A644" s="5" t="s">
        <v>1084</v>
      </c>
      <c r="B644" s="5" t="e">
        <f>ATI!#REF!</f>
        <v>#REF!</v>
      </c>
      <c r="C644" s="6" t="s">
        <v>1041</v>
      </c>
    </row>
    <row r="645" spans="1:3" x14ac:dyDescent="0.35">
      <c r="A645" s="5" t="s">
        <v>1085</v>
      </c>
      <c r="B645" s="5">
        <f>ATI!E298</f>
        <v>0</v>
      </c>
      <c r="C645" s="6" t="s">
        <v>1041</v>
      </c>
    </row>
    <row r="646" spans="1:3" x14ac:dyDescent="0.35">
      <c r="A646" s="5" t="s">
        <v>1086</v>
      </c>
      <c r="B646" s="5">
        <f>ATI!F298</f>
        <v>0</v>
      </c>
      <c r="C646" s="6" t="s">
        <v>1041</v>
      </c>
    </row>
    <row r="647" spans="1:3" x14ac:dyDescent="0.35">
      <c r="A647" s="5" t="s">
        <v>1087</v>
      </c>
      <c r="B647" s="5" t="e">
        <f>ATI!#REF!</f>
        <v>#REF!</v>
      </c>
      <c r="C647" s="6" t="s">
        <v>1041</v>
      </c>
    </row>
    <row r="648" spans="1:3" x14ac:dyDescent="0.35">
      <c r="A648" s="5" t="s">
        <v>1088</v>
      </c>
      <c r="B648" s="5" t="e">
        <f>ATI!#REF!</f>
        <v>#REF!</v>
      </c>
      <c r="C648" s="6" t="s">
        <v>1041</v>
      </c>
    </row>
    <row r="649" spans="1:3" x14ac:dyDescent="0.35">
      <c r="A649" s="5" t="s">
        <v>1089</v>
      </c>
      <c r="B649" s="5">
        <f>ATI!G298</f>
        <v>0</v>
      </c>
      <c r="C649" s="6" t="s">
        <v>1041</v>
      </c>
    </row>
    <row r="650" spans="1:3" x14ac:dyDescent="0.35">
      <c r="A650" s="5" t="s">
        <v>1090</v>
      </c>
      <c r="B650" s="5">
        <f>ATI!H298</f>
        <v>0</v>
      </c>
      <c r="C650" s="6" t="s">
        <v>1041</v>
      </c>
    </row>
    <row r="651" spans="1:3" x14ac:dyDescent="0.35">
      <c r="A651" s="5" t="s">
        <v>1091</v>
      </c>
      <c r="B651" s="5">
        <f>ATI!C299</f>
        <v>0</v>
      </c>
      <c r="C651" s="6" t="s">
        <v>1041</v>
      </c>
    </row>
    <row r="652" spans="1:3" x14ac:dyDescent="0.35">
      <c r="A652" s="5" t="s">
        <v>1092</v>
      </c>
      <c r="B652" s="5">
        <f>ATI!D299</f>
        <v>0</v>
      </c>
      <c r="C652" s="6" t="s">
        <v>1041</v>
      </c>
    </row>
    <row r="653" spans="1:3" x14ac:dyDescent="0.35">
      <c r="A653" s="5" t="s">
        <v>1093</v>
      </c>
      <c r="B653" s="5" t="e">
        <f>ATI!#REF!</f>
        <v>#REF!</v>
      </c>
      <c r="C653" s="6" t="s">
        <v>1041</v>
      </c>
    </row>
    <row r="654" spans="1:3" x14ac:dyDescent="0.35">
      <c r="A654" s="5" t="s">
        <v>1094</v>
      </c>
      <c r="B654" s="5" t="e">
        <f>ATI!#REF!</f>
        <v>#REF!</v>
      </c>
      <c r="C654" s="6" t="s">
        <v>1041</v>
      </c>
    </row>
    <row r="655" spans="1:3" x14ac:dyDescent="0.35">
      <c r="A655" s="5" t="s">
        <v>1095</v>
      </c>
      <c r="B655" s="5">
        <f>ATI!E299</f>
        <v>0</v>
      </c>
      <c r="C655" s="6" t="s">
        <v>1041</v>
      </c>
    </row>
    <row r="656" spans="1:3" x14ac:dyDescent="0.35">
      <c r="A656" s="5" t="s">
        <v>1096</v>
      </c>
      <c r="B656" s="5">
        <f>ATI!F299</f>
        <v>0</v>
      </c>
      <c r="C656" s="6" t="s">
        <v>1041</v>
      </c>
    </row>
    <row r="657" spans="1:3" x14ac:dyDescent="0.35">
      <c r="A657" s="5" t="s">
        <v>1097</v>
      </c>
      <c r="B657" s="5" t="e">
        <f>ATI!#REF!</f>
        <v>#REF!</v>
      </c>
      <c r="C657" s="6" t="s">
        <v>1041</v>
      </c>
    </row>
    <row r="658" spans="1:3" x14ac:dyDescent="0.35">
      <c r="A658" s="5" t="s">
        <v>1098</v>
      </c>
      <c r="B658" s="5" t="e">
        <f>ATI!#REF!</f>
        <v>#REF!</v>
      </c>
      <c r="C658" s="6" t="s">
        <v>1041</v>
      </c>
    </row>
    <row r="659" spans="1:3" x14ac:dyDescent="0.35">
      <c r="A659" s="5" t="s">
        <v>1099</v>
      </c>
      <c r="B659" s="5">
        <f>ATI!G299</f>
        <v>0</v>
      </c>
      <c r="C659" s="6" t="s">
        <v>1041</v>
      </c>
    </row>
    <row r="660" spans="1:3" x14ac:dyDescent="0.35">
      <c r="A660" s="5" t="s">
        <v>1100</v>
      </c>
      <c r="B660" s="5">
        <f>ATI!H299</f>
        <v>0</v>
      </c>
      <c r="C660" s="6" t="s">
        <v>1041</v>
      </c>
    </row>
    <row r="661" spans="1:3" x14ac:dyDescent="0.35">
      <c r="A661" s="5" t="s">
        <v>1101</v>
      </c>
      <c r="B661" s="5">
        <f>ATI!C300</f>
        <v>0</v>
      </c>
      <c r="C661" s="6" t="s">
        <v>1041</v>
      </c>
    </row>
    <row r="662" spans="1:3" x14ac:dyDescent="0.35">
      <c r="A662" s="5" t="s">
        <v>1102</v>
      </c>
      <c r="B662" s="5">
        <f>ATI!D300</f>
        <v>0</v>
      </c>
      <c r="C662" s="6" t="s">
        <v>1041</v>
      </c>
    </row>
    <row r="663" spans="1:3" x14ac:dyDescent="0.35">
      <c r="A663" s="5" t="s">
        <v>1103</v>
      </c>
      <c r="B663" s="5" t="e">
        <f>ATI!#REF!</f>
        <v>#REF!</v>
      </c>
      <c r="C663" s="6" t="s">
        <v>1041</v>
      </c>
    </row>
    <row r="664" spans="1:3" x14ac:dyDescent="0.35">
      <c r="A664" s="5" t="s">
        <v>1104</v>
      </c>
      <c r="B664" s="5" t="e">
        <f>ATI!#REF!</f>
        <v>#REF!</v>
      </c>
      <c r="C664" s="6" t="s">
        <v>1041</v>
      </c>
    </row>
    <row r="665" spans="1:3" x14ac:dyDescent="0.35">
      <c r="A665" s="5" t="s">
        <v>1105</v>
      </c>
      <c r="B665" s="5">
        <f>ATI!E300</f>
        <v>0</v>
      </c>
      <c r="C665" s="6" t="s">
        <v>1041</v>
      </c>
    </row>
    <row r="666" spans="1:3" x14ac:dyDescent="0.35">
      <c r="A666" s="5" t="s">
        <v>1106</v>
      </c>
      <c r="B666" s="5">
        <f>ATI!F300</f>
        <v>0</v>
      </c>
      <c r="C666" s="6" t="s">
        <v>1041</v>
      </c>
    </row>
    <row r="667" spans="1:3" x14ac:dyDescent="0.35">
      <c r="A667" s="5" t="s">
        <v>1107</v>
      </c>
      <c r="B667" s="5" t="e">
        <f>ATI!#REF!</f>
        <v>#REF!</v>
      </c>
      <c r="C667" s="6" t="s">
        <v>1041</v>
      </c>
    </row>
    <row r="668" spans="1:3" x14ac:dyDescent="0.35">
      <c r="A668" s="5" t="s">
        <v>1108</v>
      </c>
      <c r="B668" s="5" t="e">
        <f>ATI!#REF!</f>
        <v>#REF!</v>
      </c>
      <c r="C668" s="6" t="s">
        <v>1041</v>
      </c>
    </row>
    <row r="669" spans="1:3" x14ac:dyDescent="0.35">
      <c r="A669" s="5" t="s">
        <v>1109</v>
      </c>
      <c r="B669" s="5">
        <f>ATI!G300</f>
        <v>0</v>
      </c>
      <c r="C669" s="6" t="s">
        <v>1041</v>
      </c>
    </row>
    <row r="670" spans="1:3" x14ac:dyDescent="0.35">
      <c r="A670" s="5" t="s">
        <v>1110</v>
      </c>
      <c r="B670" s="5">
        <f>ATI!H300</f>
        <v>0</v>
      </c>
      <c r="C670" s="6" t="s">
        <v>1041</v>
      </c>
    </row>
    <row r="671" spans="1:3" x14ac:dyDescent="0.35">
      <c r="A671" s="5" t="s">
        <v>1111</v>
      </c>
      <c r="B671" s="5">
        <f>ATI!C307</f>
        <v>0</v>
      </c>
      <c r="C671" s="6" t="s">
        <v>1112</v>
      </c>
    </row>
    <row r="672" spans="1:3" x14ac:dyDescent="0.35">
      <c r="A672" s="5" t="s">
        <v>1113</v>
      </c>
      <c r="B672" s="5">
        <f>ATI!D307</f>
        <v>0</v>
      </c>
      <c r="C672" s="6" t="s">
        <v>1112</v>
      </c>
    </row>
    <row r="673" spans="1:3" x14ac:dyDescent="0.35">
      <c r="A673" s="5" t="s">
        <v>1114</v>
      </c>
      <c r="B673" s="5" t="e">
        <f>ATI!#REF!</f>
        <v>#REF!</v>
      </c>
      <c r="C673" s="6" t="s">
        <v>1112</v>
      </c>
    </row>
    <row r="674" spans="1:3" x14ac:dyDescent="0.35">
      <c r="A674" s="5" t="s">
        <v>1115</v>
      </c>
      <c r="B674" s="5" t="e">
        <f>ATI!#REF!</f>
        <v>#REF!</v>
      </c>
      <c r="C674" s="6" t="s">
        <v>1112</v>
      </c>
    </row>
    <row r="675" spans="1:3" x14ac:dyDescent="0.35">
      <c r="A675" s="5" t="s">
        <v>1116</v>
      </c>
      <c r="B675" s="5">
        <f>ATI!E307</f>
        <v>0</v>
      </c>
      <c r="C675" s="6" t="s">
        <v>1112</v>
      </c>
    </row>
    <row r="676" spans="1:3" x14ac:dyDescent="0.35">
      <c r="A676" s="5" t="s">
        <v>1117</v>
      </c>
      <c r="B676" s="5">
        <f>ATI!F307</f>
        <v>0</v>
      </c>
      <c r="C676" s="6" t="s">
        <v>1112</v>
      </c>
    </row>
    <row r="677" spans="1:3" x14ac:dyDescent="0.35">
      <c r="A677" s="5" t="s">
        <v>1118</v>
      </c>
      <c r="B677" s="5" t="e">
        <f>ATI!#REF!</f>
        <v>#REF!</v>
      </c>
      <c r="C677" s="6" t="s">
        <v>1112</v>
      </c>
    </row>
    <row r="678" spans="1:3" x14ac:dyDescent="0.35">
      <c r="A678" s="5" t="s">
        <v>1119</v>
      </c>
      <c r="B678" s="5" t="e">
        <f>ATI!#REF!</f>
        <v>#REF!</v>
      </c>
      <c r="C678" s="6" t="s">
        <v>1112</v>
      </c>
    </row>
    <row r="679" spans="1:3" x14ac:dyDescent="0.35">
      <c r="A679" s="5" t="s">
        <v>1120</v>
      </c>
      <c r="B679" s="5">
        <f>ATI!G307</f>
        <v>0</v>
      </c>
      <c r="C679" s="6" t="s">
        <v>1112</v>
      </c>
    </row>
    <row r="680" spans="1:3" x14ac:dyDescent="0.35">
      <c r="A680" s="5" t="s">
        <v>1121</v>
      </c>
      <c r="B680" s="5">
        <f>ATI!H307</f>
        <v>0</v>
      </c>
      <c r="C680" s="6" t="s">
        <v>1112</v>
      </c>
    </row>
    <row r="681" spans="1:3" x14ac:dyDescent="0.35">
      <c r="A681" s="5" t="s">
        <v>1122</v>
      </c>
      <c r="B681" s="5">
        <f>ATI!C308</f>
        <v>0</v>
      </c>
      <c r="C681" s="6" t="s">
        <v>1112</v>
      </c>
    </row>
    <row r="682" spans="1:3" x14ac:dyDescent="0.35">
      <c r="A682" s="5" t="s">
        <v>1123</v>
      </c>
      <c r="B682" s="5">
        <f>ATI!D308</f>
        <v>0</v>
      </c>
      <c r="C682" s="6" t="s">
        <v>1112</v>
      </c>
    </row>
    <row r="683" spans="1:3" x14ac:dyDescent="0.35">
      <c r="A683" s="5" t="s">
        <v>1124</v>
      </c>
      <c r="B683" s="5" t="e">
        <f>ATI!#REF!</f>
        <v>#REF!</v>
      </c>
      <c r="C683" s="6" t="s">
        <v>1112</v>
      </c>
    </row>
    <row r="684" spans="1:3" x14ac:dyDescent="0.35">
      <c r="A684" s="5" t="s">
        <v>1125</v>
      </c>
      <c r="B684" s="5" t="e">
        <f>ATI!#REF!</f>
        <v>#REF!</v>
      </c>
      <c r="C684" s="6" t="s">
        <v>1112</v>
      </c>
    </row>
    <row r="685" spans="1:3" x14ac:dyDescent="0.35">
      <c r="A685" s="5" t="s">
        <v>1126</v>
      </c>
      <c r="B685" s="5">
        <f>ATI!E308</f>
        <v>0</v>
      </c>
      <c r="C685" s="6" t="s">
        <v>1112</v>
      </c>
    </row>
    <row r="686" spans="1:3" x14ac:dyDescent="0.35">
      <c r="A686" s="5" t="s">
        <v>1127</v>
      </c>
      <c r="B686" s="5">
        <f>ATI!F308</f>
        <v>0</v>
      </c>
      <c r="C686" s="6" t="s">
        <v>1112</v>
      </c>
    </row>
    <row r="687" spans="1:3" x14ac:dyDescent="0.35">
      <c r="A687" s="5" t="s">
        <v>1128</v>
      </c>
      <c r="B687" s="5" t="e">
        <f>ATI!#REF!</f>
        <v>#REF!</v>
      </c>
      <c r="C687" s="6" t="s">
        <v>1112</v>
      </c>
    </row>
    <row r="688" spans="1:3" x14ac:dyDescent="0.35">
      <c r="A688" s="5" t="s">
        <v>1129</v>
      </c>
      <c r="B688" s="5" t="e">
        <f>ATI!#REF!</f>
        <v>#REF!</v>
      </c>
      <c r="C688" s="6" t="s">
        <v>1112</v>
      </c>
    </row>
    <row r="689" spans="1:3" x14ac:dyDescent="0.35">
      <c r="A689" s="5" t="s">
        <v>1130</v>
      </c>
      <c r="B689" s="5">
        <f>ATI!G308</f>
        <v>0</v>
      </c>
      <c r="C689" s="6" t="s">
        <v>1112</v>
      </c>
    </row>
    <row r="690" spans="1:3" x14ac:dyDescent="0.35">
      <c r="A690" s="5" t="s">
        <v>1131</v>
      </c>
      <c r="B690" s="5">
        <f>ATI!H308</f>
        <v>0</v>
      </c>
      <c r="C690" s="6" t="s">
        <v>1112</v>
      </c>
    </row>
    <row r="691" spans="1:3" x14ac:dyDescent="0.35">
      <c r="A691" s="5" t="s">
        <v>1132</v>
      </c>
      <c r="B691" s="5">
        <f>ATI!C309</f>
        <v>0</v>
      </c>
      <c r="C691" s="6" t="s">
        <v>1112</v>
      </c>
    </row>
    <row r="692" spans="1:3" x14ac:dyDescent="0.35">
      <c r="A692" s="5" t="s">
        <v>1133</v>
      </c>
      <c r="B692" s="5">
        <f>ATI!D309</f>
        <v>0</v>
      </c>
      <c r="C692" s="6" t="s">
        <v>1112</v>
      </c>
    </row>
    <row r="693" spans="1:3" x14ac:dyDescent="0.35">
      <c r="A693" s="5" t="s">
        <v>1134</v>
      </c>
      <c r="B693" s="5" t="e">
        <f>ATI!#REF!</f>
        <v>#REF!</v>
      </c>
      <c r="C693" s="6" t="s">
        <v>1112</v>
      </c>
    </row>
    <row r="694" spans="1:3" x14ac:dyDescent="0.35">
      <c r="A694" s="5" t="s">
        <v>1135</v>
      </c>
      <c r="B694" s="5" t="e">
        <f>ATI!#REF!</f>
        <v>#REF!</v>
      </c>
      <c r="C694" s="6" t="s">
        <v>1112</v>
      </c>
    </row>
    <row r="695" spans="1:3" x14ac:dyDescent="0.35">
      <c r="A695" s="5" t="s">
        <v>1136</v>
      </c>
      <c r="B695" s="5">
        <f>ATI!E309</f>
        <v>0</v>
      </c>
      <c r="C695" s="6" t="s">
        <v>1112</v>
      </c>
    </row>
    <row r="696" spans="1:3" x14ac:dyDescent="0.35">
      <c r="A696" s="5" t="s">
        <v>1137</v>
      </c>
      <c r="B696" s="5">
        <f>ATI!F309</f>
        <v>0</v>
      </c>
      <c r="C696" s="6" t="s">
        <v>1112</v>
      </c>
    </row>
    <row r="697" spans="1:3" x14ac:dyDescent="0.35">
      <c r="A697" s="5" t="s">
        <v>1138</v>
      </c>
      <c r="B697" s="5" t="e">
        <f>ATI!#REF!</f>
        <v>#REF!</v>
      </c>
      <c r="C697" s="6" t="s">
        <v>1112</v>
      </c>
    </row>
    <row r="698" spans="1:3" x14ac:dyDescent="0.35">
      <c r="A698" s="5" t="s">
        <v>1139</v>
      </c>
      <c r="B698" s="5" t="e">
        <f>ATI!#REF!</f>
        <v>#REF!</v>
      </c>
      <c r="C698" s="6" t="s">
        <v>1112</v>
      </c>
    </row>
    <row r="699" spans="1:3" x14ac:dyDescent="0.35">
      <c r="A699" s="5" t="s">
        <v>1140</v>
      </c>
      <c r="B699" s="5">
        <f>ATI!G309</f>
        <v>0</v>
      </c>
      <c r="C699" s="6" t="s">
        <v>1112</v>
      </c>
    </row>
    <row r="700" spans="1:3" x14ac:dyDescent="0.35">
      <c r="A700" s="5" t="s">
        <v>1141</v>
      </c>
      <c r="B700" s="5">
        <f>ATI!H309</f>
        <v>0</v>
      </c>
      <c r="C700" s="6" t="s">
        <v>1112</v>
      </c>
    </row>
    <row r="701" spans="1:3" x14ac:dyDescent="0.35">
      <c r="A701" s="5" t="s">
        <v>1142</v>
      </c>
      <c r="B701" s="5">
        <f>ATI!C310</f>
        <v>0</v>
      </c>
      <c r="C701" s="6" t="s">
        <v>1112</v>
      </c>
    </row>
    <row r="702" spans="1:3" x14ac:dyDescent="0.35">
      <c r="A702" s="5" t="s">
        <v>1143</v>
      </c>
      <c r="B702" s="5">
        <f>ATI!D310</f>
        <v>0</v>
      </c>
      <c r="C702" s="6" t="s">
        <v>1112</v>
      </c>
    </row>
    <row r="703" spans="1:3" x14ac:dyDescent="0.35">
      <c r="A703" s="5" t="s">
        <v>1144</v>
      </c>
      <c r="B703" s="5" t="e">
        <f>ATI!#REF!</f>
        <v>#REF!</v>
      </c>
      <c r="C703" s="6" t="s">
        <v>1112</v>
      </c>
    </row>
    <row r="704" spans="1:3" x14ac:dyDescent="0.35">
      <c r="A704" s="5" t="s">
        <v>1145</v>
      </c>
      <c r="B704" s="5" t="e">
        <f>ATI!#REF!</f>
        <v>#REF!</v>
      </c>
      <c r="C704" s="6" t="s">
        <v>1112</v>
      </c>
    </row>
    <row r="705" spans="1:3" x14ac:dyDescent="0.35">
      <c r="A705" s="5" t="s">
        <v>1146</v>
      </c>
      <c r="B705" s="5">
        <f>ATI!E310</f>
        <v>0</v>
      </c>
      <c r="C705" s="6" t="s">
        <v>1112</v>
      </c>
    </row>
    <row r="706" spans="1:3" x14ac:dyDescent="0.35">
      <c r="A706" s="5" t="s">
        <v>1147</v>
      </c>
      <c r="B706" s="5">
        <f>ATI!F310</f>
        <v>0</v>
      </c>
      <c r="C706" s="6" t="s">
        <v>1112</v>
      </c>
    </row>
    <row r="707" spans="1:3" x14ac:dyDescent="0.35">
      <c r="A707" s="5" t="s">
        <v>1148</v>
      </c>
      <c r="B707" s="5" t="e">
        <f>ATI!#REF!</f>
        <v>#REF!</v>
      </c>
      <c r="C707" s="6" t="s">
        <v>1112</v>
      </c>
    </row>
    <row r="708" spans="1:3" x14ac:dyDescent="0.35">
      <c r="A708" s="5" t="s">
        <v>1149</v>
      </c>
      <c r="B708" s="5" t="e">
        <f>ATI!#REF!</f>
        <v>#REF!</v>
      </c>
      <c r="C708" s="6" t="s">
        <v>1112</v>
      </c>
    </row>
    <row r="709" spans="1:3" x14ac:dyDescent="0.35">
      <c r="A709" s="5" t="s">
        <v>1150</v>
      </c>
      <c r="B709" s="5">
        <f>ATI!G310</f>
        <v>0</v>
      </c>
      <c r="C709" s="6" t="s">
        <v>1112</v>
      </c>
    </row>
    <row r="710" spans="1:3" x14ac:dyDescent="0.35">
      <c r="A710" s="5" t="s">
        <v>1151</v>
      </c>
      <c r="B710" s="5">
        <f>ATI!H310</f>
        <v>0</v>
      </c>
      <c r="C710" s="6" t="s">
        <v>1112</v>
      </c>
    </row>
    <row r="711" spans="1:3" x14ac:dyDescent="0.35">
      <c r="A711" s="5" t="s">
        <v>1152</v>
      </c>
      <c r="B711" s="5">
        <f>ATI!C311</f>
        <v>0</v>
      </c>
      <c r="C711" s="6" t="s">
        <v>1112</v>
      </c>
    </row>
    <row r="712" spans="1:3" x14ac:dyDescent="0.35">
      <c r="A712" s="5" t="s">
        <v>1153</v>
      </c>
      <c r="B712" s="5">
        <f>ATI!D311</f>
        <v>0</v>
      </c>
      <c r="C712" s="6" t="s">
        <v>1112</v>
      </c>
    </row>
    <row r="713" spans="1:3" x14ac:dyDescent="0.35">
      <c r="A713" s="5" t="s">
        <v>1154</v>
      </c>
      <c r="B713" s="5" t="e">
        <f>ATI!#REF!</f>
        <v>#REF!</v>
      </c>
      <c r="C713" s="6" t="s">
        <v>1112</v>
      </c>
    </row>
    <row r="714" spans="1:3" x14ac:dyDescent="0.35">
      <c r="A714" s="5" t="s">
        <v>1155</v>
      </c>
      <c r="B714" s="5" t="e">
        <f>ATI!#REF!</f>
        <v>#REF!</v>
      </c>
      <c r="C714" s="6" t="s">
        <v>1112</v>
      </c>
    </row>
    <row r="715" spans="1:3" x14ac:dyDescent="0.35">
      <c r="A715" s="5" t="s">
        <v>1156</v>
      </c>
      <c r="B715" s="5">
        <f>ATI!E311</f>
        <v>0</v>
      </c>
      <c r="C715" s="6" t="s">
        <v>1112</v>
      </c>
    </row>
    <row r="716" spans="1:3" x14ac:dyDescent="0.35">
      <c r="A716" s="5" t="s">
        <v>1157</v>
      </c>
      <c r="B716" s="5">
        <f>ATI!F311</f>
        <v>0</v>
      </c>
      <c r="C716" s="6" t="s">
        <v>1112</v>
      </c>
    </row>
    <row r="717" spans="1:3" x14ac:dyDescent="0.35">
      <c r="A717" s="5" t="s">
        <v>1158</v>
      </c>
      <c r="B717" s="5" t="e">
        <f>ATI!#REF!</f>
        <v>#REF!</v>
      </c>
      <c r="C717" s="6" t="s">
        <v>1112</v>
      </c>
    </row>
    <row r="718" spans="1:3" x14ac:dyDescent="0.35">
      <c r="A718" s="5" t="s">
        <v>1159</v>
      </c>
      <c r="B718" s="5" t="e">
        <f>ATI!#REF!</f>
        <v>#REF!</v>
      </c>
      <c r="C718" s="6" t="s">
        <v>1112</v>
      </c>
    </row>
    <row r="719" spans="1:3" x14ac:dyDescent="0.35">
      <c r="A719" s="5" t="s">
        <v>1160</v>
      </c>
      <c r="B719" s="5">
        <f>ATI!G311</f>
        <v>0</v>
      </c>
      <c r="C719" s="6" t="s">
        <v>1112</v>
      </c>
    </row>
    <row r="720" spans="1:3" x14ac:dyDescent="0.35">
      <c r="A720" s="5" t="s">
        <v>1161</v>
      </c>
      <c r="B720" s="5">
        <f>ATI!H311</f>
        <v>0</v>
      </c>
      <c r="C720" s="6" t="s">
        <v>1112</v>
      </c>
    </row>
    <row r="721" spans="1:3" x14ac:dyDescent="0.35">
      <c r="A721" s="5" t="s">
        <v>1162</v>
      </c>
      <c r="B721" s="5">
        <f>ATI!C312</f>
        <v>0</v>
      </c>
      <c r="C721" s="6" t="s">
        <v>1112</v>
      </c>
    </row>
    <row r="722" spans="1:3" x14ac:dyDescent="0.35">
      <c r="A722" s="5" t="s">
        <v>1163</v>
      </c>
      <c r="B722" s="5">
        <f>ATI!D312</f>
        <v>0</v>
      </c>
      <c r="C722" s="6" t="s">
        <v>1112</v>
      </c>
    </row>
    <row r="723" spans="1:3" x14ac:dyDescent="0.35">
      <c r="A723" s="5" t="s">
        <v>1164</v>
      </c>
      <c r="B723" s="5" t="e">
        <f>ATI!#REF!</f>
        <v>#REF!</v>
      </c>
      <c r="C723" s="6" t="s">
        <v>1112</v>
      </c>
    </row>
    <row r="724" spans="1:3" x14ac:dyDescent="0.35">
      <c r="A724" s="5" t="s">
        <v>1165</v>
      </c>
      <c r="B724" s="5" t="e">
        <f>ATI!#REF!</f>
        <v>#REF!</v>
      </c>
      <c r="C724" s="6" t="s">
        <v>1112</v>
      </c>
    </row>
    <row r="725" spans="1:3" x14ac:dyDescent="0.35">
      <c r="A725" s="5" t="s">
        <v>1166</v>
      </c>
      <c r="B725" s="5">
        <f>ATI!E312</f>
        <v>0</v>
      </c>
      <c r="C725" s="6" t="s">
        <v>1112</v>
      </c>
    </row>
    <row r="726" spans="1:3" x14ac:dyDescent="0.35">
      <c r="A726" s="5" t="s">
        <v>1167</v>
      </c>
      <c r="B726" s="5">
        <f>ATI!F312</f>
        <v>0</v>
      </c>
      <c r="C726" s="6" t="s">
        <v>1112</v>
      </c>
    </row>
    <row r="727" spans="1:3" x14ac:dyDescent="0.35">
      <c r="A727" s="5" t="s">
        <v>1168</v>
      </c>
      <c r="B727" s="5" t="e">
        <f>ATI!#REF!</f>
        <v>#REF!</v>
      </c>
      <c r="C727" s="6" t="s">
        <v>1112</v>
      </c>
    </row>
    <row r="728" spans="1:3" x14ac:dyDescent="0.35">
      <c r="A728" s="5" t="s">
        <v>1169</v>
      </c>
      <c r="B728" s="5" t="e">
        <f>ATI!#REF!</f>
        <v>#REF!</v>
      </c>
      <c r="C728" s="6" t="s">
        <v>1112</v>
      </c>
    </row>
    <row r="729" spans="1:3" x14ac:dyDescent="0.35">
      <c r="A729" s="5" t="s">
        <v>1170</v>
      </c>
      <c r="B729" s="5">
        <f>ATI!G312</f>
        <v>0</v>
      </c>
      <c r="C729" s="6" t="s">
        <v>1112</v>
      </c>
    </row>
    <row r="730" spans="1:3" x14ac:dyDescent="0.35">
      <c r="A730" s="5" t="s">
        <v>1171</v>
      </c>
      <c r="B730" s="5">
        <f>ATI!H312</f>
        <v>0</v>
      </c>
      <c r="C730" s="6" t="s">
        <v>1112</v>
      </c>
    </row>
    <row r="731" spans="1:3" x14ac:dyDescent="0.35">
      <c r="A731" s="5" t="s">
        <v>1172</v>
      </c>
      <c r="B731" s="5">
        <f>ATI!C313</f>
        <v>0</v>
      </c>
      <c r="C731" s="6" t="s">
        <v>1112</v>
      </c>
    </row>
    <row r="732" spans="1:3" x14ac:dyDescent="0.35">
      <c r="A732" s="5" t="s">
        <v>1173</v>
      </c>
      <c r="B732" s="5">
        <f>ATI!D313</f>
        <v>0</v>
      </c>
      <c r="C732" s="6" t="s">
        <v>1112</v>
      </c>
    </row>
    <row r="733" spans="1:3" x14ac:dyDescent="0.35">
      <c r="A733" s="5" t="s">
        <v>1174</v>
      </c>
      <c r="B733" s="5" t="e">
        <f>ATI!#REF!</f>
        <v>#REF!</v>
      </c>
      <c r="C733" s="6" t="s">
        <v>1112</v>
      </c>
    </row>
    <row r="734" spans="1:3" x14ac:dyDescent="0.35">
      <c r="A734" s="5" t="s">
        <v>1175</v>
      </c>
      <c r="B734" s="5" t="e">
        <f>ATI!#REF!</f>
        <v>#REF!</v>
      </c>
      <c r="C734" s="6" t="s">
        <v>1112</v>
      </c>
    </row>
    <row r="735" spans="1:3" x14ac:dyDescent="0.35">
      <c r="A735" s="5" t="s">
        <v>1176</v>
      </c>
      <c r="B735" s="5">
        <f>ATI!E313</f>
        <v>0</v>
      </c>
      <c r="C735" s="6" t="s">
        <v>1112</v>
      </c>
    </row>
    <row r="736" spans="1:3" x14ac:dyDescent="0.35">
      <c r="A736" s="5" t="s">
        <v>1177</v>
      </c>
      <c r="B736" s="5">
        <f>ATI!F313</f>
        <v>0</v>
      </c>
      <c r="C736" s="6" t="s">
        <v>1112</v>
      </c>
    </row>
    <row r="737" spans="1:3" x14ac:dyDescent="0.35">
      <c r="A737" s="5" t="s">
        <v>1178</v>
      </c>
      <c r="B737" s="5" t="e">
        <f>ATI!#REF!</f>
        <v>#REF!</v>
      </c>
      <c r="C737" s="6" t="s">
        <v>1112</v>
      </c>
    </row>
    <row r="738" spans="1:3" x14ac:dyDescent="0.35">
      <c r="A738" s="5" t="s">
        <v>1179</v>
      </c>
      <c r="B738" s="5" t="e">
        <f>ATI!#REF!</f>
        <v>#REF!</v>
      </c>
      <c r="C738" s="6" t="s">
        <v>1112</v>
      </c>
    </row>
    <row r="739" spans="1:3" x14ac:dyDescent="0.35">
      <c r="A739" s="5" t="s">
        <v>1180</v>
      </c>
      <c r="B739" s="5">
        <f>ATI!G313</f>
        <v>0</v>
      </c>
      <c r="C739" s="6" t="s">
        <v>1112</v>
      </c>
    </row>
    <row r="740" spans="1:3" x14ac:dyDescent="0.35">
      <c r="A740" s="5" t="s">
        <v>1181</v>
      </c>
      <c r="B740" s="5">
        <f>ATI!H313</f>
        <v>0</v>
      </c>
      <c r="C740" s="6" t="s">
        <v>1112</v>
      </c>
    </row>
    <row r="741" spans="1:3" x14ac:dyDescent="0.35">
      <c r="A741" s="5" t="s">
        <v>1182</v>
      </c>
      <c r="B741" s="5">
        <f>ATI!A321</f>
        <v>0</v>
      </c>
      <c r="C741" s="6" t="s">
        <v>1183</v>
      </c>
    </row>
    <row r="742" spans="1:3" x14ac:dyDescent="0.35">
      <c r="A742" s="5" t="s">
        <v>1184</v>
      </c>
      <c r="B742" s="5">
        <f>ATI!C321</f>
        <v>0</v>
      </c>
      <c r="C742" s="6" t="s">
        <v>1183</v>
      </c>
    </row>
    <row r="743" spans="1:3" x14ac:dyDescent="0.35">
      <c r="A743" s="5" t="s">
        <v>1185</v>
      </c>
      <c r="B743" s="5">
        <f>ATI!E321</f>
        <v>0</v>
      </c>
      <c r="C743" s="6" t="s">
        <v>1183</v>
      </c>
    </row>
    <row r="744" spans="1:3" x14ac:dyDescent="0.35">
      <c r="A744" s="5" t="s">
        <v>1186</v>
      </c>
      <c r="B744" s="5">
        <f>ATI!A327</f>
        <v>0</v>
      </c>
      <c r="C744" s="6" t="s">
        <v>1187</v>
      </c>
    </row>
    <row r="745" spans="1:3" x14ac:dyDescent="0.35">
      <c r="A745" s="5" t="s">
        <v>1188</v>
      </c>
      <c r="B745" s="5">
        <f>ATI!C327</f>
        <v>0</v>
      </c>
      <c r="C745" s="6" t="s">
        <v>1187</v>
      </c>
    </row>
    <row r="746" spans="1:3" x14ac:dyDescent="0.35">
      <c r="A746" s="5" t="s">
        <v>1189</v>
      </c>
      <c r="B746" s="5">
        <f>ATI!E327</f>
        <v>0</v>
      </c>
      <c r="C746" s="6" t="s">
        <v>1187</v>
      </c>
    </row>
    <row r="747" spans="1:3" x14ac:dyDescent="0.35">
      <c r="A747" s="2" t="s">
        <v>1190</v>
      </c>
      <c r="B747" s="2">
        <f>ATI!G327</f>
        <v>0</v>
      </c>
      <c r="C747" s="4" t="s">
        <v>1187</v>
      </c>
    </row>
    <row r="748" spans="1:3" x14ac:dyDescent="0.35">
      <c r="A748" s="2" t="s">
        <v>1191</v>
      </c>
      <c r="B748" s="2">
        <f>ATI!I327</f>
        <v>0</v>
      </c>
      <c r="C748" s="4" t="s">
        <v>1187</v>
      </c>
    </row>
    <row r="749" spans="1:3" x14ac:dyDescent="0.35">
      <c r="A749" s="2" t="s">
        <v>1192</v>
      </c>
      <c r="B749" s="2">
        <f>ATI!K327</f>
        <v>0</v>
      </c>
      <c r="C749" s="4" t="s">
        <v>1187</v>
      </c>
    </row>
    <row r="750" spans="1:3" x14ac:dyDescent="0.35">
      <c r="A750" s="5" t="s">
        <v>1193</v>
      </c>
      <c r="B750" s="5">
        <f>ATI!A335</f>
        <v>0</v>
      </c>
      <c r="C750" s="6" t="s">
        <v>1194</v>
      </c>
    </row>
    <row r="751" spans="1:3" x14ac:dyDescent="0.35">
      <c r="A751" s="5" t="s">
        <v>1195</v>
      </c>
      <c r="B751" s="5">
        <f>ATI!C335</f>
        <v>0</v>
      </c>
      <c r="C751" s="6" t="s">
        <v>1194</v>
      </c>
    </row>
    <row r="752" spans="1:3" x14ac:dyDescent="0.35">
      <c r="A752" s="5" t="s">
        <v>1196</v>
      </c>
      <c r="B752" s="5">
        <f>ATI!E335</f>
        <v>0</v>
      </c>
      <c r="C752" s="6" t="s">
        <v>1194</v>
      </c>
    </row>
    <row r="753" spans="1:3" x14ac:dyDescent="0.35">
      <c r="A753" s="5" t="s">
        <v>1197</v>
      </c>
      <c r="B753" s="5">
        <f>ATI!G335</f>
        <v>0</v>
      </c>
      <c r="C753" s="6" t="s">
        <v>1194</v>
      </c>
    </row>
    <row r="754" spans="1:3" x14ac:dyDescent="0.35">
      <c r="A754" s="2" t="s">
        <v>1198</v>
      </c>
      <c r="B754" s="2">
        <f>ATI!A340</f>
        <v>0</v>
      </c>
      <c r="C754" s="4" t="s">
        <v>1199</v>
      </c>
    </row>
    <row r="755" spans="1:3" x14ac:dyDescent="0.35">
      <c r="A755" s="5" t="s">
        <v>1200</v>
      </c>
      <c r="B755" s="5">
        <f>ATI!H347</f>
        <v>0</v>
      </c>
      <c r="C755" s="6" t="s">
        <v>1201</v>
      </c>
    </row>
    <row r="756" spans="1:3" x14ac:dyDescent="0.35">
      <c r="A756" s="5" t="s">
        <v>1202</v>
      </c>
      <c r="B756" s="5">
        <f>ATI!H348</f>
        <v>0</v>
      </c>
      <c r="C756" s="6" t="s">
        <v>1201</v>
      </c>
    </row>
    <row r="757" spans="1:3" x14ac:dyDescent="0.35">
      <c r="A757" s="5" t="s">
        <v>1203</v>
      </c>
      <c r="B757" s="5">
        <f>ATI!H349</f>
        <v>0</v>
      </c>
      <c r="C757" s="6" t="s">
        <v>1201</v>
      </c>
    </row>
    <row r="758" spans="1:3" x14ac:dyDescent="0.35">
      <c r="A758" s="5" t="s">
        <v>1204</v>
      </c>
      <c r="B758" s="5">
        <f>ATI!F350</f>
        <v>0</v>
      </c>
      <c r="C758" s="6" t="s">
        <v>1201</v>
      </c>
    </row>
    <row r="759" spans="1:3" x14ac:dyDescent="0.35">
      <c r="A759" s="5" t="s">
        <v>1205</v>
      </c>
      <c r="B759" s="5">
        <f>ATI!F351</f>
        <v>0</v>
      </c>
      <c r="C759" s="6" t="s">
        <v>1201</v>
      </c>
    </row>
    <row r="760" spans="1:3" x14ac:dyDescent="0.35">
      <c r="A760" s="2" t="s">
        <v>1206</v>
      </c>
      <c r="B760" s="2">
        <f>ATI!F357</f>
        <v>0</v>
      </c>
      <c r="C760" s="4" t="s">
        <v>1207</v>
      </c>
    </row>
    <row r="761" spans="1:3" x14ac:dyDescent="0.35">
      <c r="A761" s="2" t="s">
        <v>1208</v>
      </c>
      <c r="B761" s="2">
        <f>ATI!F358</f>
        <v>0</v>
      </c>
      <c r="C761" s="4" t="s">
        <v>1207</v>
      </c>
    </row>
    <row r="762" spans="1:3" x14ac:dyDescent="0.35">
      <c r="A762" s="2" t="s">
        <v>1209</v>
      </c>
      <c r="B762" s="2">
        <f>ATI!F359</f>
        <v>0</v>
      </c>
      <c r="C762" s="4" t="s">
        <v>1207</v>
      </c>
    </row>
    <row r="763" spans="1:3" x14ac:dyDescent="0.35">
      <c r="A763" s="2" t="s">
        <v>1210</v>
      </c>
      <c r="B763" s="2">
        <f>ATI!F360</f>
        <v>0</v>
      </c>
      <c r="C763" s="4" t="s">
        <v>1207</v>
      </c>
    </row>
    <row r="764" spans="1:3" x14ac:dyDescent="0.35">
      <c r="A764" s="2" t="s">
        <v>1211</v>
      </c>
      <c r="B764" s="2">
        <f>ATI!F361</f>
        <v>0</v>
      </c>
      <c r="C764" s="4" t="s">
        <v>1207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1847-A542-4EEA-948F-4F47BDC65B12}">
  <sheetPr codeName="Sheet4"/>
  <dimension ref="A1:D673"/>
  <sheetViews>
    <sheetView workbookViewId="0"/>
  </sheetViews>
  <sheetFormatPr defaultColWidth="9" defaultRowHeight="14.5" x14ac:dyDescent="0.35"/>
  <cols>
    <col min="3" max="3" width="9.1796875" style="3"/>
  </cols>
  <sheetData>
    <row r="1" spans="1:3" x14ac:dyDescent="0.35">
      <c r="A1" s="5" t="s">
        <v>411</v>
      </c>
      <c r="B1" s="5">
        <f>Priv!H6</f>
        <v>0</v>
      </c>
    </row>
    <row r="2" spans="1:3" x14ac:dyDescent="0.35">
      <c r="A2" s="5" t="s">
        <v>412</v>
      </c>
      <c r="B2" s="5" t="s">
        <v>413</v>
      </c>
    </row>
    <row r="3" spans="1:3" x14ac:dyDescent="0.35">
      <c r="A3" s="5" t="s">
        <v>414</v>
      </c>
      <c r="B3" s="5">
        <f>Priv!H15</f>
        <v>0</v>
      </c>
      <c r="C3" s="6" t="s">
        <v>415</v>
      </c>
    </row>
    <row r="4" spans="1:3" x14ac:dyDescent="0.35">
      <c r="A4" s="5" t="s">
        <v>416</v>
      </c>
      <c r="B4" s="5">
        <f>Priv!H16</f>
        <v>0</v>
      </c>
      <c r="C4" s="6" t="s">
        <v>415</v>
      </c>
    </row>
    <row r="5" spans="1:3" x14ac:dyDescent="0.35">
      <c r="A5" s="2" t="s">
        <v>417</v>
      </c>
      <c r="B5" s="2">
        <f>Priv!G17</f>
        <v>0</v>
      </c>
      <c r="C5" s="4" t="s">
        <v>415</v>
      </c>
    </row>
    <row r="6" spans="1:3" x14ac:dyDescent="0.35">
      <c r="A6" s="2" t="s">
        <v>418</v>
      </c>
      <c r="B6" s="2">
        <f>Priv!G18</f>
        <v>0</v>
      </c>
      <c r="C6" s="4" t="s">
        <v>415</v>
      </c>
    </row>
    <row r="7" spans="1:3" x14ac:dyDescent="0.35">
      <c r="A7" s="5" t="s">
        <v>419</v>
      </c>
      <c r="B7" s="5">
        <f>Priv!H19</f>
        <v>0</v>
      </c>
      <c r="C7" s="6" t="s">
        <v>415</v>
      </c>
    </row>
    <row r="8" spans="1:3" x14ac:dyDescent="0.35">
      <c r="A8" s="5" t="s">
        <v>420</v>
      </c>
      <c r="B8" s="5">
        <f>Priv!H20</f>
        <v>0</v>
      </c>
      <c r="C8" s="6" t="s">
        <v>415</v>
      </c>
    </row>
    <row r="9" spans="1:3" x14ac:dyDescent="0.35">
      <c r="A9" s="5" t="s">
        <v>421</v>
      </c>
      <c r="B9" s="5">
        <f>Priv!H21</f>
        <v>0</v>
      </c>
      <c r="C9" s="6" t="s">
        <v>415</v>
      </c>
    </row>
    <row r="10" spans="1:3" x14ac:dyDescent="0.35">
      <c r="A10" s="2" t="s">
        <v>422</v>
      </c>
      <c r="B10" s="2">
        <f>Priv!G22</f>
        <v>0</v>
      </c>
      <c r="C10" s="4" t="s">
        <v>415</v>
      </c>
    </row>
    <row r="11" spans="1:3" x14ac:dyDescent="0.35">
      <c r="A11" s="2" t="s">
        <v>423</v>
      </c>
      <c r="B11" s="2">
        <f>Priv!G23</f>
        <v>0</v>
      </c>
      <c r="C11" s="4" t="s">
        <v>415</v>
      </c>
    </row>
    <row r="12" spans="1:3" x14ac:dyDescent="0.35">
      <c r="A12" s="2" t="s">
        <v>424</v>
      </c>
      <c r="B12" s="2">
        <f>Priv!G28</f>
        <v>0</v>
      </c>
      <c r="C12" s="4" t="s">
        <v>425</v>
      </c>
    </row>
    <row r="13" spans="1:3" x14ac:dyDescent="0.35">
      <c r="A13" s="140" t="s">
        <v>426</v>
      </c>
      <c r="B13" s="2">
        <f>Priv!G29</f>
        <v>0</v>
      </c>
      <c r="C13" s="4" t="s">
        <v>425</v>
      </c>
    </row>
    <row r="14" spans="1:3" x14ac:dyDescent="0.35">
      <c r="A14" s="140" t="s">
        <v>427</v>
      </c>
      <c r="B14" s="2">
        <f>Priv!G30</f>
        <v>0</v>
      </c>
      <c r="C14" s="4" t="s">
        <v>425</v>
      </c>
    </row>
    <row r="15" spans="1:3" x14ac:dyDescent="0.35">
      <c r="A15" s="140" t="s">
        <v>428</v>
      </c>
      <c r="B15" s="2">
        <f>Priv!G31</f>
        <v>0</v>
      </c>
      <c r="C15" s="4" t="s">
        <v>425</v>
      </c>
    </row>
    <row r="16" spans="1:3" x14ac:dyDescent="0.35">
      <c r="A16" s="140" t="s">
        <v>429</v>
      </c>
      <c r="B16" s="2">
        <f>Priv!G32</f>
        <v>0</v>
      </c>
      <c r="C16" s="4" t="s">
        <v>425</v>
      </c>
    </row>
    <row r="17" spans="1:3" x14ac:dyDescent="0.35">
      <c r="A17" s="140" t="s">
        <v>430</v>
      </c>
      <c r="B17" s="2">
        <f>Priv!G33</f>
        <v>0</v>
      </c>
      <c r="C17" s="4" t="s">
        <v>425</v>
      </c>
    </row>
    <row r="18" spans="1:3" x14ac:dyDescent="0.35">
      <c r="A18" s="140" t="s">
        <v>431</v>
      </c>
      <c r="B18" s="2">
        <f>Priv!G34</f>
        <v>0</v>
      </c>
      <c r="C18" s="4" t="s">
        <v>425</v>
      </c>
    </row>
    <row r="19" spans="1:3" x14ac:dyDescent="0.35">
      <c r="A19" s="2" t="s">
        <v>432</v>
      </c>
      <c r="B19" s="2">
        <f>Priv!H40</f>
        <v>0</v>
      </c>
      <c r="C19" s="4" t="s">
        <v>441</v>
      </c>
    </row>
    <row r="20" spans="1:3" x14ac:dyDescent="0.35">
      <c r="A20" s="8" t="s">
        <v>434</v>
      </c>
      <c r="B20" s="2">
        <f>Priv!H41</f>
        <v>0</v>
      </c>
      <c r="C20" s="4" t="s">
        <v>441</v>
      </c>
    </row>
    <row r="21" spans="1:3" x14ac:dyDescent="0.35">
      <c r="A21" s="8" t="s">
        <v>435</v>
      </c>
      <c r="B21" s="2">
        <f>Priv!G42</f>
        <v>0</v>
      </c>
      <c r="C21" s="4" t="s">
        <v>441</v>
      </c>
    </row>
    <row r="22" spans="1:3" x14ac:dyDescent="0.35">
      <c r="A22" s="8" t="s">
        <v>436</v>
      </c>
      <c r="B22" s="2">
        <f>Priv!G43</f>
        <v>0</v>
      </c>
      <c r="C22" s="4" t="s">
        <v>441</v>
      </c>
    </row>
    <row r="23" spans="1:3" x14ac:dyDescent="0.35">
      <c r="A23" s="8" t="s">
        <v>437</v>
      </c>
      <c r="B23" s="2">
        <f>Priv!H44</f>
        <v>0</v>
      </c>
      <c r="C23" s="4" t="s">
        <v>441</v>
      </c>
    </row>
    <row r="24" spans="1:3" x14ac:dyDescent="0.35">
      <c r="A24" s="8" t="s">
        <v>438</v>
      </c>
      <c r="B24" s="2">
        <f>Priv!H45</f>
        <v>0</v>
      </c>
      <c r="C24" s="4" t="s">
        <v>441</v>
      </c>
    </row>
    <row r="25" spans="1:3" x14ac:dyDescent="0.35">
      <c r="A25" s="8" t="s">
        <v>439</v>
      </c>
      <c r="B25" s="2">
        <f>Priv!H46</f>
        <v>0</v>
      </c>
      <c r="C25" s="4" t="s">
        <v>441</v>
      </c>
    </row>
    <row r="26" spans="1:3" x14ac:dyDescent="0.35">
      <c r="A26" s="2" t="s">
        <v>440</v>
      </c>
      <c r="B26" s="2" t="e">
        <f>Priv!#REF!</f>
        <v>#REF!</v>
      </c>
      <c r="C26" s="4" t="s">
        <v>449</v>
      </c>
    </row>
    <row r="27" spans="1:3" x14ac:dyDescent="0.35">
      <c r="A27" s="8" t="s">
        <v>442</v>
      </c>
      <c r="B27" s="2" t="e">
        <f>Priv!#REF!</f>
        <v>#REF!</v>
      </c>
      <c r="C27" s="4" t="s">
        <v>449</v>
      </c>
    </row>
    <row r="28" spans="1:3" x14ac:dyDescent="0.35">
      <c r="A28" s="8" t="s">
        <v>443</v>
      </c>
      <c r="B28" s="2" t="e">
        <f>Priv!#REF!</f>
        <v>#REF!</v>
      </c>
      <c r="C28" s="4" t="s">
        <v>449</v>
      </c>
    </row>
    <row r="29" spans="1:3" x14ac:dyDescent="0.35">
      <c r="A29" s="8" t="s">
        <v>444</v>
      </c>
      <c r="B29" s="2" t="e">
        <f>Priv!#REF!</f>
        <v>#REF!</v>
      </c>
      <c r="C29" s="4" t="s">
        <v>449</v>
      </c>
    </row>
    <row r="30" spans="1:3" x14ac:dyDescent="0.35">
      <c r="A30" s="8" t="s">
        <v>445</v>
      </c>
      <c r="B30" s="2" t="e">
        <f>Priv!#REF!</f>
        <v>#REF!</v>
      </c>
      <c r="C30" s="4" t="s">
        <v>449</v>
      </c>
    </row>
    <row r="31" spans="1:3" x14ac:dyDescent="0.35">
      <c r="A31" s="8" t="s">
        <v>446</v>
      </c>
      <c r="B31" s="2" t="e">
        <f>Priv!#REF!</f>
        <v>#REF!</v>
      </c>
      <c r="C31" s="4" t="s">
        <v>449</v>
      </c>
    </row>
    <row r="32" spans="1:3" x14ac:dyDescent="0.35">
      <c r="A32" s="8" t="s">
        <v>447</v>
      </c>
      <c r="B32" s="2" t="e">
        <f>Priv!#REF!</f>
        <v>#REF!</v>
      </c>
      <c r="C32" s="4" t="s">
        <v>449</v>
      </c>
    </row>
    <row r="33" spans="1:3" x14ac:dyDescent="0.35">
      <c r="A33" s="2" t="s">
        <v>448</v>
      </c>
      <c r="B33" s="2">
        <f>Priv!A52</f>
        <v>0</v>
      </c>
      <c r="C33" s="4" t="s">
        <v>457</v>
      </c>
    </row>
    <row r="34" spans="1:3" x14ac:dyDescent="0.35">
      <c r="A34" s="2" t="s">
        <v>1212</v>
      </c>
      <c r="B34" s="2">
        <f>Priv!B52</f>
        <v>0</v>
      </c>
      <c r="C34" s="4" t="s">
        <v>457</v>
      </c>
    </row>
    <row r="35" spans="1:3" x14ac:dyDescent="0.35">
      <c r="A35" s="2" t="s">
        <v>1213</v>
      </c>
      <c r="B35" s="2">
        <f>Priv!C52</f>
        <v>0</v>
      </c>
      <c r="C35" s="4" t="s">
        <v>457</v>
      </c>
    </row>
    <row r="36" spans="1:3" x14ac:dyDescent="0.35">
      <c r="A36" s="2" t="s">
        <v>1214</v>
      </c>
      <c r="B36" s="2">
        <f>Priv!D52</f>
        <v>0</v>
      </c>
      <c r="C36" s="4" t="s">
        <v>457</v>
      </c>
    </row>
    <row r="37" spans="1:3" x14ac:dyDescent="0.35">
      <c r="A37" s="2" t="s">
        <v>1215</v>
      </c>
      <c r="B37" s="2">
        <f>Priv!E52</f>
        <v>0</v>
      </c>
      <c r="C37" s="4" t="s">
        <v>457</v>
      </c>
    </row>
    <row r="38" spans="1:3" x14ac:dyDescent="0.35">
      <c r="A38" s="2" t="s">
        <v>1216</v>
      </c>
      <c r="B38" s="2">
        <f>Priv!F52</f>
        <v>0</v>
      </c>
      <c r="C38" s="4" t="s">
        <v>457</v>
      </c>
    </row>
    <row r="39" spans="1:3" x14ac:dyDescent="0.35">
      <c r="A39" s="2" t="s">
        <v>1217</v>
      </c>
      <c r="B39" s="2">
        <f>Priv!G52</f>
        <v>0</v>
      </c>
      <c r="C39" s="4" t="s">
        <v>457</v>
      </c>
    </row>
    <row r="40" spans="1:3" x14ac:dyDescent="0.35">
      <c r="A40" s="2" t="s">
        <v>456</v>
      </c>
      <c r="B40" s="2">
        <f>Priv!A58</f>
        <v>0</v>
      </c>
      <c r="C40" s="4" t="s">
        <v>465</v>
      </c>
    </row>
    <row r="41" spans="1:3" x14ac:dyDescent="0.35">
      <c r="A41" s="140" t="s">
        <v>458</v>
      </c>
      <c r="B41" s="2">
        <f>Priv!B58</f>
        <v>0</v>
      </c>
      <c r="C41" s="4" t="s">
        <v>465</v>
      </c>
    </row>
    <row r="42" spans="1:3" x14ac:dyDescent="0.35">
      <c r="A42" s="140" t="s">
        <v>459</v>
      </c>
      <c r="B42" s="2" t="e">
        <f>Priv!#REF!</f>
        <v>#REF!</v>
      </c>
      <c r="C42" s="4" t="s">
        <v>465</v>
      </c>
    </row>
    <row r="43" spans="1:3" x14ac:dyDescent="0.35">
      <c r="A43" s="140" t="s">
        <v>460</v>
      </c>
      <c r="B43" s="2" t="e">
        <f>Priv!#REF!</f>
        <v>#REF!</v>
      </c>
      <c r="C43" s="4" t="s">
        <v>465</v>
      </c>
    </row>
    <row r="44" spans="1:3" x14ac:dyDescent="0.35">
      <c r="A44" s="140" t="s">
        <v>461</v>
      </c>
      <c r="B44" s="2">
        <f>Priv!C58</f>
        <v>0</v>
      </c>
      <c r="C44" s="4" t="s">
        <v>465</v>
      </c>
    </row>
    <row r="45" spans="1:3" x14ac:dyDescent="0.35">
      <c r="A45" s="140" t="s">
        <v>462</v>
      </c>
      <c r="B45" s="2">
        <f>Priv!D58</f>
        <v>0</v>
      </c>
      <c r="C45" s="4" t="s">
        <v>465</v>
      </c>
    </row>
    <row r="46" spans="1:3" x14ac:dyDescent="0.35">
      <c r="A46" s="140" t="s">
        <v>463</v>
      </c>
      <c r="B46" s="2" t="e">
        <f>Priv!#REF!</f>
        <v>#REF!</v>
      </c>
      <c r="C46" s="4" t="s">
        <v>465</v>
      </c>
    </row>
    <row r="47" spans="1:3" x14ac:dyDescent="0.35">
      <c r="A47" s="140" t="s">
        <v>1218</v>
      </c>
      <c r="B47" s="2" t="e">
        <f>Priv!#REF!</f>
        <v>#REF!</v>
      </c>
      <c r="C47" s="4" t="s">
        <v>465</v>
      </c>
    </row>
    <row r="48" spans="1:3" x14ac:dyDescent="0.35">
      <c r="A48" s="140" t="s">
        <v>1219</v>
      </c>
      <c r="B48" s="2">
        <f>Priv!E58</f>
        <v>0</v>
      </c>
      <c r="C48" s="4" t="s">
        <v>465</v>
      </c>
    </row>
    <row r="49" spans="1:3" x14ac:dyDescent="0.35">
      <c r="A49" s="140" t="s">
        <v>1220</v>
      </c>
      <c r="B49" s="2">
        <f>Priv!F58</f>
        <v>0</v>
      </c>
      <c r="C49" s="4" t="s">
        <v>465</v>
      </c>
    </row>
    <row r="50" spans="1:3" x14ac:dyDescent="0.35">
      <c r="A50" s="5" t="s">
        <v>464</v>
      </c>
      <c r="B50" s="5">
        <f>Priv!D66</f>
        <v>0</v>
      </c>
      <c r="C50" s="6" t="s">
        <v>1221</v>
      </c>
    </row>
    <row r="51" spans="1:3" x14ac:dyDescent="0.35">
      <c r="A51" s="9" t="s">
        <v>466</v>
      </c>
      <c r="B51" s="5">
        <f>Priv!E66</f>
        <v>0</v>
      </c>
      <c r="C51" s="6" t="s">
        <v>1221</v>
      </c>
    </row>
    <row r="52" spans="1:3" x14ac:dyDescent="0.35">
      <c r="A52" s="9" t="s">
        <v>467</v>
      </c>
      <c r="B52" s="5">
        <f>Priv!F66</f>
        <v>0</v>
      </c>
      <c r="C52" s="6" t="s">
        <v>1221</v>
      </c>
    </row>
    <row r="53" spans="1:3" x14ac:dyDescent="0.35">
      <c r="A53" s="9" t="s">
        <v>468</v>
      </c>
      <c r="B53" s="5">
        <f>Priv!G66</f>
        <v>0</v>
      </c>
      <c r="C53" s="6" t="s">
        <v>1221</v>
      </c>
    </row>
    <row r="54" spans="1:3" x14ac:dyDescent="0.35">
      <c r="A54" s="9" t="s">
        <v>469</v>
      </c>
      <c r="B54" s="5">
        <f>Priv!H66</f>
        <v>0</v>
      </c>
      <c r="C54" s="6" t="s">
        <v>1221</v>
      </c>
    </row>
    <row r="55" spans="1:3" x14ac:dyDescent="0.35">
      <c r="A55" s="9" t="s">
        <v>470</v>
      </c>
      <c r="B55" s="5">
        <f>Priv!I66</f>
        <v>0</v>
      </c>
      <c r="C55" s="6" t="s">
        <v>1221</v>
      </c>
    </row>
    <row r="56" spans="1:3" x14ac:dyDescent="0.35">
      <c r="A56" s="9" t="s">
        <v>471</v>
      </c>
      <c r="B56" s="5">
        <f>Priv!J66</f>
        <v>0</v>
      </c>
      <c r="C56" s="6" t="s">
        <v>1221</v>
      </c>
    </row>
    <row r="57" spans="1:3" x14ac:dyDescent="0.35">
      <c r="A57" s="5" t="s">
        <v>1222</v>
      </c>
      <c r="B57" s="5">
        <f>Priv!D67</f>
        <v>0</v>
      </c>
      <c r="C57" s="6" t="s">
        <v>1221</v>
      </c>
    </row>
    <row r="58" spans="1:3" x14ac:dyDescent="0.35">
      <c r="A58" s="9" t="s">
        <v>1223</v>
      </c>
      <c r="B58" s="5">
        <f>Priv!E67</f>
        <v>0</v>
      </c>
      <c r="C58" s="6" t="s">
        <v>1221</v>
      </c>
    </row>
    <row r="59" spans="1:3" x14ac:dyDescent="0.35">
      <c r="A59" s="9" t="s">
        <v>1224</v>
      </c>
      <c r="B59" s="5">
        <f>Priv!F67</f>
        <v>0</v>
      </c>
      <c r="C59" s="6" t="s">
        <v>1221</v>
      </c>
    </row>
    <row r="60" spans="1:3" x14ac:dyDescent="0.35">
      <c r="A60" s="9" t="s">
        <v>1225</v>
      </c>
      <c r="B60" s="5">
        <f>Priv!G67</f>
        <v>0</v>
      </c>
      <c r="C60" s="6" t="s">
        <v>1221</v>
      </c>
    </row>
    <row r="61" spans="1:3" x14ac:dyDescent="0.35">
      <c r="A61" s="9" t="s">
        <v>1226</v>
      </c>
      <c r="B61" s="5">
        <f>Priv!H67</f>
        <v>0</v>
      </c>
      <c r="C61" s="6" t="s">
        <v>1221</v>
      </c>
    </row>
    <row r="62" spans="1:3" x14ac:dyDescent="0.35">
      <c r="A62" s="9" t="s">
        <v>1227</v>
      </c>
      <c r="B62" s="5">
        <f>Priv!I67</f>
        <v>0</v>
      </c>
      <c r="C62" s="6" t="s">
        <v>1221</v>
      </c>
    </row>
    <row r="63" spans="1:3" x14ac:dyDescent="0.35">
      <c r="A63" s="9" t="s">
        <v>1228</v>
      </c>
      <c r="B63" s="5">
        <f>Priv!J67</f>
        <v>0</v>
      </c>
      <c r="C63" s="6" t="s">
        <v>1221</v>
      </c>
    </row>
    <row r="64" spans="1:3" x14ac:dyDescent="0.35">
      <c r="A64" s="5" t="s">
        <v>1229</v>
      </c>
      <c r="B64" s="5">
        <f>Priv!D68</f>
        <v>0</v>
      </c>
      <c r="C64" s="6" t="s">
        <v>1221</v>
      </c>
    </row>
    <row r="65" spans="1:3" x14ac:dyDescent="0.35">
      <c r="A65" s="9" t="s">
        <v>1230</v>
      </c>
      <c r="B65" s="5">
        <f>Priv!E68</f>
        <v>0</v>
      </c>
      <c r="C65" s="6" t="s">
        <v>1221</v>
      </c>
    </row>
    <row r="66" spans="1:3" x14ac:dyDescent="0.35">
      <c r="A66" s="9" t="s">
        <v>1231</v>
      </c>
      <c r="B66" s="5">
        <f>Priv!F68</f>
        <v>0</v>
      </c>
      <c r="C66" s="6" t="s">
        <v>1221</v>
      </c>
    </row>
    <row r="67" spans="1:3" x14ac:dyDescent="0.35">
      <c r="A67" s="9" t="s">
        <v>1232</v>
      </c>
      <c r="B67" s="5">
        <f>Priv!G68</f>
        <v>0</v>
      </c>
      <c r="C67" s="6" t="s">
        <v>1221</v>
      </c>
    </row>
    <row r="68" spans="1:3" x14ac:dyDescent="0.35">
      <c r="A68" s="9" t="s">
        <v>1233</v>
      </c>
      <c r="B68" s="5">
        <f>Priv!H68</f>
        <v>0</v>
      </c>
      <c r="C68" s="6" t="s">
        <v>1221</v>
      </c>
    </row>
    <row r="69" spans="1:3" x14ac:dyDescent="0.35">
      <c r="A69" s="9" t="s">
        <v>1234</v>
      </c>
      <c r="B69" s="5">
        <f>Priv!I68</f>
        <v>0</v>
      </c>
      <c r="C69" s="6" t="s">
        <v>1221</v>
      </c>
    </row>
    <row r="70" spans="1:3" x14ac:dyDescent="0.35">
      <c r="A70" s="9" t="s">
        <v>1228</v>
      </c>
      <c r="B70" s="5">
        <f>Priv!J68</f>
        <v>0</v>
      </c>
      <c r="C70" s="6" t="s">
        <v>1221</v>
      </c>
    </row>
    <row r="71" spans="1:3" x14ac:dyDescent="0.35">
      <c r="A71" s="5" t="s">
        <v>1235</v>
      </c>
      <c r="B71" s="5">
        <f>Priv!D69</f>
        <v>0</v>
      </c>
      <c r="C71" s="6" t="s">
        <v>1221</v>
      </c>
    </row>
    <row r="72" spans="1:3" x14ac:dyDescent="0.35">
      <c r="A72" s="9" t="s">
        <v>1236</v>
      </c>
      <c r="B72" s="5">
        <f>Priv!E69</f>
        <v>0</v>
      </c>
      <c r="C72" s="6" t="s">
        <v>1221</v>
      </c>
    </row>
    <row r="73" spans="1:3" x14ac:dyDescent="0.35">
      <c r="A73" s="9" t="s">
        <v>1237</v>
      </c>
      <c r="B73" s="5">
        <f>Priv!F69</f>
        <v>0</v>
      </c>
      <c r="C73" s="6" t="s">
        <v>1221</v>
      </c>
    </row>
    <row r="74" spans="1:3" x14ac:dyDescent="0.35">
      <c r="A74" s="9" t="s">
        <v>1238</v>
      </c>
      <c r="B74" s="5">
        <f>Priv!G69</f>
        <v>0</v>
      </c>
      <c r="C74" s="6" t="s">
        <v>1221</v>
      </c>
    </row>
    <row r="75" spans="1:3" x14ac:dyDescent="0.35">
      <c r="A75" s="9" t="s">
        <v>1239</v>
      </c>
      <c r="B75" s="5">
        <f>Priv!H69</f>
        <v>0</v>
      </c>
      <c r="C75" s="6" t="s">
        <v>1221</v>
      </c>
    </row>
    <row r="76" spans="1:3" x14ac:dyDescent="0.35">
      <c r="A76" s="9" t="s">
        <v>1240</v>
      </c>
      <c r="B76" s="5">
        <f>Priv!I69</f>
        <v>0</v>
      </c>
      <c r="C76" s="6" t="s">
        <v>1221</v>
      </c>
    </row>
    <row r="77" spans="1:3" x14ac:dyDescent="0.35">
      <c r="A77" s="9" t="s">
        <v>1241</v>
      </c>
      <c r="B77" s="5">
        <f>Priv!J69</f>
        <v>0</v>
      </c>
      <c r="C77" s="6" t="s">
        <v>1221</v>
      </c>
    </row>
    <row r="78" spans="1:3" x14ac:dyDescent="0.35">
      <c r="A78" s="5" t="s">
        <v>1242</v>
      </c>
      <c r="B78" s="5">
        <f>Priv!D70</f>
        <v>0</v>
      </c>
      <c r="C78" s="6" t="s">
        <v>1221</v>
      </c>
    </row>
    <row r="79" spans="1:3" x14ac:dyDescent="0.35">
      <c r="A79" s="9" t="s">
        <v>1243</v>
      </c>
      <c r="B79" s="5">
        <f>Priv!E70</f>
        <v>0</v>
      </c>
      <c r="C79" s="6" t="s">
        <v>1221</v>
      </c>
    </row>
    <row r="80" spans="1:3" x14ac:dyDescent="0.35">
      <c r="A80" s="9" t="s">
        <v>1244</v>
      </c>
      <c r="B80" s="5">
        <f>Priv!F70</f>
        <v>0</v>
      </c>
      <c r="C80" s="6" t="s">
        <v>1221</v>
      </c>
    </row>
    <row r="81" spans="1:3" x14ac:dyDescent="0.35">
      <c r="A81" s="9" t="s">
        <v>1245</v>
      </c>
      <c r="B81" s="5">
        <f>Priv!G70</f>
        <v>0</v>
      </c>
      <c r="C81" s="6" t="s">
        <v>1221</v>
      </c>
    </row>
    <row r="82" spans="1:3" x14ac:dyDescent="0.35">
      <c r="A82" s="9" t="s">
        <v>1246</v>
      </c>
      <c r="B82" s="5">
        <f>Priv!H70</f>
        <v>0</v>
      </c>
      <c r="C82" s="6" t="s">
        <v>1221</v>
      </c>
    </row>
    <row r="83" spans="1:3" x14ac:dyDescent="0.35">
      <c r="A83" s="9" t="s">
        <v>1247</v>
      </c>
      <c r="B83" s="5">
        <f>Priv!I70</f>
        <v>0</v>
      </c>
      <c r="C83" s="6" t="s">
        <v>1221</v>
      </c>
    </row>
    <row r="84" spans="1:3" x14ac:dyDescent="0.35">
      <c r="A84" s="9" t="s">
        <v>1248</v>
      </c>
      <c r="B84" s="5">
        <f>Priv!J70</f>
        <v>0</v>
      </c>
      <c r="C84" s="6" t="s">
        <v>1221</v>
      </c>
    </row>
    <row r="85" spans="1:3" x14ac:dyDescent="0.35">
      <c r="A85" s="5" t="s">
        <v>1249</v>
      </c>
      <c r="B85" s="5">
        <f>Priv!D71</f>
        <v>0</v>
      </c>
      <c r="C85" s="6" t="s">
        <v>1221</v>
      </c>
    </row>
    <row r="86" spans="1:3" x14ac:dyDescent="0.35">
      <c r="A86" s="9" t="s">
        <v>1250</v>
      </c>
      <c r="B86" s="5">
        <f>Priv!E71</f>
        <v>0</v>
      </c>
      <c r="C86" s="6" t="s">
        <v>1221</v>
      </c>
    </row>
    <row r="87" spans="1:3" x14ac:dyDescent="0.35">
      <c r="A87" s="9" t="s">
        <v>1251</v>
      </c>
      <c r="B87" s="5">
        <f>Priv!F71</f>
        <v>0</v>
      </c>
      <c r="C87" s="6" t="s">
        <v>1221</v>
      </c>
    </row>
    <row r="88" spans="1:3" x14ac:dyDescent="0.35">
      <c r="A88" s="9" t="s">
        <v>1252</v>
      </c>
      <c r="B88" s="5">
        <f>Priv!G71</f>
        <v>0</v>
      </c>
      <c r="C88" s="6" t="s">
        <v>1221</v>
      </c>
    </row>
    <row r="89" spans="1:3" x14ac:dyDescent="0.35">
      <c r="A89" s="9" t="s">
        <v>1253</v>
      </c>
      <c r="B89" s="5">
        <f>Priv!H71</f>
        <v>0</v>
      </c>
      <c r="C89" s="6" t="s">
        <v>1221</v>
      </c>
    </row>
    <row r="90" spans="1:3" x14ac:dyDescent="0.35">
      <c r="A90" s="9" t="s">
        <v>1254</v>
      </c>
      <c r="B90" s="5">
        <f>Priv!I71</f>
        <v>0</v>
      </c>
      <c r="C90" s="6" t="s">
        <v>1221</v>
      </c>
    </row>
    <row r="91" spans="1:3" x14ac:dyDescent="0.35">
      <c r="A91" s="9" t="s">
        <v>1255</v>
      </c>
      <c r="B91" s="5">
        <f>Priv!J71</f>
        <v>0</v>
      </c>
      <c r="C91" s="6" t="s">
        <v>1221</v>
      </c>
    </row>
    <row r="92" spans="1:3" x14ac:dyDescent="0.35">
      <c r="A92" s="5" t="s">
        <v>1256</v>
      </c>
      <c r="B92" s="5">
        <f>Priv!D72</f>
        <v>0</v>
      </c>
      <c r="C92" s="6" t="s">
        <v>1221</v>
      </c>
    </row>
    <row r="93" spans="1:3" x14ac:dyDescent="0.35">
      <c r="A93" s="9" t="s">
        <v>1257</v>
      </c>
      <c r="B93" s="5">
        <f>Priv!E72</f>
        <v>0</v>
      </c>
      <c r="C93" s="6" t="s">
        <v>1221</v>
      </c>
    </row>
    <row r="94" spans="1:3" x14ac:dyDescent="0.35">
      <c r="A94" s="9" t="s">
        <v>1258</v>
      </c>
      <c r="B94" s="5">
        <f>Priv!F72</f>
        <v>0</v>
      </c>
      <c r="C94" s="6" t="s">
        <v>1221</v>
      </c>
    </row>
    <row r="95" spans="1:3" x14ac:dyDescent="0.35">
      <c r="A95" s="9" t="s">
        <v>1259</v>
      </c>
      <c r="B95" s="5">
        <f>Priv!G72</f>
        <v>0</v>
      </c>
      <c r="C95" s="6" t="s">
        <v>1221</v>
      </c>
    </row>
    <row r="96" spans="1:3" x14ac:dyDescent="0.35">
      <c r="A96" s="9" t="s">
        <v>1260</v>
      </c>
      <c r="B96" s="5">
        <f>Priv!H72</f>
        <v>0</v>
      </c>
      <c r="C96" s="6" t="s">
        <v>1221</v>
      </c>
    </row>
    <row r="97" spans="1:3" x14ac:dyDescent="0.35">
      <c r="A97" s="9" t="s">
        <v>1261</v>
      </c>
      <c r="B97" s="5">
        <f>Priv!I72</f>
        <v>0</v>
      </c>
      <c r="C97" s="6" t="s">
        <v>1221</v>
      </c>
    </row>
    <row r="98" spans="1:3" x14ac:dyDescent="0.35">
      <c r="A98" s="9" t="s">
        <v>1262</v>
      </c>
      <c r="B98" s="5">
        <f>Priv!J72</f>
        <v>0</v>
      </c>
      <c r="C98" s="6" t="s">
        <v>1221</v>
      </c>
    </row>
    <row r="99" spans="1:3" x14ac:dyDescent="0.35">
      <c r="A99" s="5" t="s">
        <v>475</v>
      </c>
      <c r="B99" s="5">
        <f>Priv!C79</f>
        <v>0</v>
      </c>
      <c r="C99" s="6" t="s">
        <v>1263</v>
      </c>
    </row>
    <row r="100" spans="1:3" x14ac:dyDescent="0.35">
      <c r="A100" s="5" t="s">
        <v>1264</v>
      </c>
      <c r="B100" s="5">
        <f>Priv!C80</f>
        <v>0</v>
      </c>
      <c r="C100" s="6" t="s">
        <v>1263</v>
      </c>
    </row>
    <row r="101" spans="1:3" x14ac:dyDescent="0.35">
      <c r="A101" s="5" t="s">
        <v>1265</v>
      </c>
      <c r="B101" s="5">
        <f>Priv!C81</f>
        <v>0</v>
      </c>
      <c r="C101" s="6" t="s">
        <v>1263</v>
      </c>
    </row>
    <row r="102" spans="1:3" x14ac:dyDescent="0.35">
      <c r="A102" s="5" t="s">
        <v>1266</v>
      </c>
      <c r="B102" s="5">
        <f>Priv!C82</f>
        <v>0</v>
      </c>
      <c r="C102" s="6" t="s">
        <v>1263</v>
      </c>
    </row>
    <row r="103" spans="1:3" x14ac:dyDescent="0.35">
      <c r="A103" s="5" t="s">
        <v>1267</v>
      </c>
      <c r="B103" s="5">
        <f>Priv!C83</f>
        <v>0</v>
      </c>
      <c r="C103" s="6" t="s">
        <v>1263</v>
      </c>
    </row>
    <row r="104" spans="1:3" x14ac:dyDescent="0.35">
      <c r="A104" s="5" t="s">
        <v>1268</v>
      </c>
      <c r="B104" s="5">
        <f>Priv!C84</f>
        <v>0</v>
      </c>
      <c r="C104" s="6" t="s">
        <v>1263</v>
      </c>
    </row>
    <row r="105" spans="1:3" x14ac:dyDescent="0.35">
      <c r="A105" s="5" t="s">
        <v>1269</v>
      </c>
      <c r="B105" s="5">
        <f>Priv!C85</f>
        <v>0</v>
      </c>
      <c r="C105" s="6" t="s">
        <v>1263</v>
      </c>
    </row>
    <row r="106" spans="1:3" x14ac:dyDescent="0.35">
      <c r="A106" s="5" t="s">
        <v>1270</v>
      </c>
      <c r="B106" s="5">
        <f>Priv!C86</f>
        <v>0</v>
      </c>
      <c r="C106" s="6" t="s">
        <v>1263</v>
      </c>
    </row>
    <row r="107" spans="1:3" x14ac:dyDescent="0.35">
      <c r="A107" s="5" t="s">
        <v>1271</v>
      </c>
      <c r="B107" s="5">
        <f>Priv!C87</f>
        <v>0</v>
      </c>
      <c r="C107" s="6" t="s">
        <v>1263</v>
      </c>
    </row>
    <row r="108" spans="1:3" x14ac:dyDescent="0.35">
      <c r="A108" s="5" t="s">
        <v>1272</v>
      </c>
      <c r="B108" s="5">
        <f>Priv!G79</f>
        <v>0</v>
      </c>
      <c r="C108" s="6" t="s">
        <v>1263</v>
      </c>
    </row>
    <row r="109" spans="1:3" x14ac:dyDescent="0.35">
      <c r="A109" s="5" t="s">
        <v>1273</v>
      </c>
      <c r="B109" s="5">
        <f>Priv!G80</f>
        <v>0</v>
      </c>
      <c r="C109" s="6" t="s">
        <v>1263</v>
      </c>
    </row>
    <row r="110" spans="1:3" x14ac:dyDescent="0.35">
      <c r="A110" s="5" t="s">
        <v>1274</v>
      </c>
      <c r="B110" s="5">
        <f>Priv!G81</f>
        <v>0</v>
      </c>
      <c r="C110" s="6" t="s">
        <v>1263</v>
      </c>
    </row>
    <row r="111" spans="1:3" x14ac:dyDescent="0.35">
      <c r="A111" s="5" t="s">
        <v>1275</v>
      </c>
      <c r="B111" s="5">
        <f>Priv!G82</f>
        <v>0</v>
      </c>
      <c r="C111" s="6" t="s">
        <v>1263</v>
      </c>
    </row>
    <row r="112" spans="1:3" x14ac:dyDescent="0.35">
      <c r="A112" s="5" t="s">
        <v>1276</v>
      </c>
      <c r="B112" s="5">
        <f>Priv!G83</f>
        <v>0</v>
      </c>
      <c r="C112" s="6" t="s">
        <v>1263</v>
      </c>
    </row>
    <row r="113" spans="1:3" x14ac:dyDescent="0.35">
      <c r="A113" s="5" t="s">
        <v>1277</v>
      </c>
      <c r="B113" s="5">
        <f>Priv!G84</f>
        <v>0</v>
      </c>
      <c r="C113" s="6" t="s">
        <v>1263</v>
      </c>
    </row>
    <row r="114" spans="1:3" x14ac:dyDescent="0.35">
      <c r="A114" s="5" t="s">
        <v>1278</v>
      </c>
      <c r="B114" s="5">
        <f>Priv!G85</f>
        <v>0</v>
      </c>
      <c r="C114" s="6" t="s">
        <v>1263</v>
      </c>
    </row>
    <row r="115" spans="1:3" x14ac:dyDescent="0.35">
      <c r="A115" s="5" t="s">
        <v>1279</v>
      </c>
      <c r="B115" s="5">
        <f>Priv!G86</f>
        <v>0</v>
      </c>
      <c r="C115" s="6" t="s">
        <v>1263</v>
      </c>
    </row>
    <row r="116" spans="1:3" x14ac:dyDescent="0.35">
      <c r="A116" s="5" t="s">
        <v>1280</v>
      </c>
      <c r="B116" s="5">
        <f>Priv!G87</f>
        <v>0</v>
      </c>
      <c r="C116" s="6" t="s">
        <v>1263</v>
      </c>
    </row>
    <row r="117" spans="1:3" x14ac:dyDescent="0.35">
      <c r="A117" s="5" t="s">
        <v>1281</v>
      </c>
      <c r="B117" s="5">
        <f>Priv!G88</f>
        <v>0</v>
      </c>
      <c r="C117" s="6" t="s">
        <v>1263</v>
      </c>
    </row>
    <row r="118" spans="1:3" x14ac:dyDescent="0.35">
      <c r="A118" s="5" t="s">
        <v>1282</v>
      </c>
      <c r="B118" s="5">
        <f>Priv!K79</f>
        <v>0</v>
      </c>
      <c r="C118" s="6" t="s">
        <v>1263</v>
      </c>
    </row>
    <row r="119" spans="1:3" x14ac:dyDescent="0.35">
      <c r="A119" s="5" t="s">
        <v>1283</v>
      </c>
      <c r="B119" s="5">
        <f>Priv!K80</f>
        <v>0</v>
      </c>
      <c r="C119" s="6" t="s">
        <v>1263</v>
      </c>
    </row>
    <row r="120" spans="1:3" x14ac:dyDescent="0.35">
      <c r="A120" s="5" t="s">
        <v>1284</v>
      </c>
      <c r="B120" s="5">
        <f>Priv!K81</f>
        <v>0</v>
      </c>
      <c r="C120" s="6" t="s">
        <v>1263</v>
      </c>
    </row>
    <row r="121" spans="1:3" x14ac:dyDescent="0.35">
      <c r="A121" s="5" t="s">
        <v>1285</v>
      </c>
      <c r="B121" s="5">
        <f>Priv!K82</f>
        <v>0</v>
      </c>
      <c r="C121" s="6" t="s">
        <v>1263</v>
      </c>
    </row>
    <row r="122" spans="1:3" x14ac:dyDescent="0.35">
      <c r="A122" s="5" t="s">
        <v>1286</v>
      </c>
      <c r="B122" s="5">
        <f>Priv!K83</f>
        <v>0</v>
      </c>
      <c r="C122" s="6" t="s">
        <v>1263</v>
      </c>
    </row>
    <row r="123" spans="1:3" x14ac:dyDescent="0.35">
      <c r="A123" s="5" t="s">
        <v>1287</v>
      </c>
      <c r="B123" s="5">
        <f>Priv!K84</f>
        <v>0</v>
      </c>
      <c r="C123" s="6" t="s">
        <v>1263</v>
      </c>
    </row>
    <row r="124" spans="1:3" x14ac:dyDescent="0.35">
      <c r="A124" s="5" t="s">
        <v>1288</v>
      </c>
      <c r="B124" s="5">
        <f>Priv!K85</f>
        <v>0</v>
      </c>
      <c r="C124" s="6" t="s">
        <v>1263</v>
      </c>
    </row>
    <row r="125" spans="1:3" x14ac:dyDescent="0.35">
      <c r="A125" s="5" t="s">
        <v>1289</v>
      </c>
      <c r="B125" s="5">
        <f>Priv!K86</f>
        <v>0</v>
      </c>
      <c r="C125" s="6" t="s">
        <v>1263</v>
      </c>
    </row>
    <row r="126" spans="1:3" x14ac:dyDescent="0.35">
      <c r="A126" s="5" t="s">
        <v>1290</v>
      </c>
      <c r="B126" s="5">
        <f>Priv!K87</f>
        <v>0</v>
      </c>
      <c r="C126" s="6" t="s">
        <v>1263</v>
      </c>
    </row>
    <row r="127" spans="1:3" x14ac:dyDescent="0.35">
      <c r="A127" s="5" t="s">
        <v>486</v>
      </c>
      <c r="B127" s="5">
        <f>Priv!C93</f>
        <v>0</v>
      </c>
      <c r="C127" s="6" t="s">
        <v>1291</v>
      </c>
    </row>
    <row r="128" spans="1:3" x14ac:dyDescent="0.35">
      <c r="A128" s="9" t="s">
        <v>487</v>
      </c>
      <c r="B128" s="5">
        <f>Priv!C94</f>
        <v>0</v>
      </c>
      <c r="C128" s="6" t="s">
        <v>1291</v>
      </c>
    </row>
    <row r="129" spans="1:3" x14ac:dyDescent="0.35">
      <c r="A129" s="9" t="s">
        <v>488</v>
      </c>
      <c r="B129" s="5">
        <f>Priv!C95</f>
        <v>0</v>
      </c>
      <c r="C129" s="6" t="s">
        <v>1291</v>
      </c>
    </row>
    <row r="130" spans="1:3" x14ac:dyDescent="0.35">
      <c r="A130" s="9" t="s">
        <v>489</v>
      </c>
      <c r="B130" s="5">
        <f>Priv!G93</f>
        <v>0</v>
      </c>
      <c r="C130" s="6" t="s">
        <v>1291</v>
      </c>
    </row>
    <row r="131" spans="1:3" x14ac:dyDescent="0.35">
      <c r="A131" s="9" t="s">
        <v>490</v>
      </c>
      <c r="B131" s="5">
        <f>Priv!G94</f>
        <v>0</v>
      </c>
      <c r="C131" s="6" t="s">
        <v>1291</v>
      </c>
    </row>
    <row r="132" spans="1:3" x14ac:dyDescent="0.35">
      <c r="A132" s="9" t="s">
        <v>491</v>
      </c>
      <c r="B132" s="5">
        <f>Priv!G95</f>
        <v>0</v>
      </c>
      <c r="C132" s="6" t="s">
        <v>1291</v>
      </c>
    </row>
    <row r="133" spans="1:3" x14ac:dyDescent="0.35">
      <c r="A133" s="9" t="s">
        <v>492</v>
      </c>
      <c r="B133" s="5">
        <f>Priv!G96</f>
        <v>0</v>
      </c>
      <c r="C133" s="6" t="s">
        <v>1291</v>
      </c>
    </row>
    <row r="134" spans="1:3" x14ac:dyDescent="0.35">
      <c r="A134" s="9" t="s">
        <v>1292</v>
      </c>
      <c r="B134" s="5">
        <f>Priv!K93</f>
        <v>0</v>
      </c>
      <c r="C134" s="6" t="s">
        <v>1291</v>
      </c>
    </row>
    <row r="135" spans="1:3" x14ac:dyDescent="0.35">
      <c r="A135" s="9" t="s">
        <v>1293</v>
      </c>
      <c r="B135" s="5">
        <f>Priv!K94</f>
        <v>0</v>
      </c>
      <c r="C135" s="6" t="s">
        <v>1291</v>
      </c>
    </row>
    <row r="136" spans="1:3" x14ac:dyDescent="0.35">
      <c r="A136" s="9" t="s">
        <v>1294</v>
      </c>
      <c r="B136" s="5">
        <f>Priv!K95</f>
        <v>0</v>
      </c>
      <c r="C136" s="6" t="s">
        <v>1291</v>
      </c>
    </row>
    <row r="137" spans="1:3" x14ac:dyDescent="0.35">
      <c r="A137" s="9" t="s">
        <v>1295</v>
      </c>
      <c r="B137" s="5">
        <f>Priv!K96</f>
        <v>0</v>
      </c>
      <c r="C137" s="6" t="s">
        <v>1291</v>
      </c>
    </row>
    <row r="138" spans="1:3" x14ac:dyDescent="0.35">
      <c r="A138" s="5" t="s">
        <v>493</v>
      </c>
      <c r="B138" s="5">
        <f>Priv!A102</f>
        <v>0</v>
      </c>
      <c r="C138" s="6" t="s">
        <v>1296</v>
      </c>
    </row>
    <row r="139" spans="1:3" x14ac:dyDescent="0.35">
      <c r="A139" s="2" t="s">
        <v>495</v>
      </c>
      <c r="B139" s="2">
        <f>Priv!C102</f>
        <v>0</v>
      </c>
      <c r="C139" s="4" t="s">
        <v>1296</v>
      </c>
    </row>
    <row r="140" spans="1:3" x14ac:dyDescent="0.35">
      <c r="A140" s="2" t="s">
        <v>496</v>
      </c>
      <c r="B140" s="2">
        <f>Priv!E102</f>
        <v>0</v>
      </c>
      <c r="C140" s="4" t="s">
        <v>1296</v>
      </c>
    </row>
    <row r="141" spans="1:3" x14ac:dyDescent="0.35">
      <c r="A141" s="2" t="s">
        <v>497</v>
      </c>
      <c r="B141" s="2">
        <f>Priv!F102</f>
        <v>0</v>
      </c>
      <c r="C141" s="4" t="s">
        <v>1296</v>
      </c>
    </row>
    <row r="142" spans="1:3" x14ac:dyDescent="0.35">
      <c r="A142" s="2" t="s">
        <v>498</v>
      </c>
      <c r="B142" s="2">
        <f>Priv!G102</f>
        <v>0</v>
      </c>
      <c r="C142" s="4" t="s">
        <v>1296</v>
      </c>
    </row>
    <row r="143" spans="1:3" x14ac:dyDescent="0.35">
      <c r="A143" s="5" t="s">
        <v>499</v>
      </c>
      <c r="B143" s="5">
        <f>Priv!H102</f>
        <v>0</v>
      </c>
      <c r="C143" s="6" t="s">
        <v>1296</v>
      </c>
    </row>
    <row r="144" spans="1:3" x14ac:dyDescent="0.35">
      <c r="A144" s="5" t="s">
        <v>557</v>
      </c>
      <c r="B144" s="5">
        <f>Priv!A109</f>
        <v>0</v>
      </c>
      <c r="C144" s="6" t="s">
        <v>1297</v>
      </c>
    </row>
    <row r="145" spans="1:3" x14ac:dyDescent="0.35">
      <c r="A145" s="5" t="s">
        <v>1298</v>
      </c>
      <c r="B145" s="5">
        <f>Priv!D109</f>
        <v>0</v>
      </c>
      <c r="C145" s="6" t="s">
        <v>1297</v>
      </c>
    </row>
    <row r="146" spans="1:3" x14ac:dyDescent="0.35">
      <c r="A146" s="5" t="s">
        <v>1299</v>
      </c>
      <c r="B146" s="5">
        <f>Priv!G109</f>
        <v>0</v>
      </c>
      <c r="C146" s="6" t="s">
        <v>1297</v>
      </c>
    </row>
    <row r="147" spans="1:3" x14ac:dyDescent="0.35">
      <c r="A147" s="2" t="s">
        <v>619</v>
      </c>
      <c r="B147" s="2">
        <f>Priv!C116</f>
        <v>0</v>
      </c>
      <c r="C147" s="4" t="s">
        <v>1300</v>
      </c>
    </row>
    <row r="148" spans="1:3" x14ac:dyDescent="0.35">
      <c r="A148" s="2" t="s">
        <v>1301</v>
      </c>
      <c r="B148" s="2">
        <f>Priv!D116</f>
        <v>0</v>
      </c>
      <c r="C148" s="4" t="s">
        <v>1300</v>
      </c>
    </row>
    <row r="149" spans="1:3" x14ac:dyDescent="0.35">
      <c r="A149" s="2" t="s">
        <v>1302</v>
      </c>
      <c r="B149" s="2" t="e">
        <f>Priv!#REF!</f>
        <v>#REF!</v>
      </c>
      <c r="C149" s="4" t="s">
        <v>1300</v>
      </c>
    </row>
    <row r="150" spans="1:3" x14ac:dyDescent="0.35">
      <c r="A150" s="2" t="s">
        <v>1303</v>
      </c>
      <c r="B150" s="2" t="e">
        <f>Priv!#REF!</f>
        <v>#REF!</v>
      </c>
      <c r="C150" s="4" t="s">
        <v>1300</v>
      </c>
    </row>
    <row r="151" spans="1:3" x14ac:dyDescent="0.35">
      <c r="A151" s="2" t="s">
        <v>1304</v>
      </c>
      <c r="B151" s="2">
        <f>Priv!E116</f>
        <v>0</v>
      </c>
      <c r="C151" s="4" t="s">
        <v>1300</v>
      </c>
    </row>
    <row r="152" spans="1:3" x14ac:dyDescent="0.35">
      <c r="A152" s="2" t="s">
        <v>1305</v>
      </c>
      <c r="B152" s="2">
        <f>Priv!F116</f>
        <v>0</v>
      </c>
      <c r="C152" s="4" t="s">
        <v>1300</v>
      </c>
    </row>
    <row r="153" spans="1:3" x14ac:dyDescent="0.35">
      <c r="A153" s="2" t="s">
        <v>1306</v>
      </c>
      <c r="B153" s="2" t="e">
        <f>Priv!#REF!</f>
        <v>#REF!</v>
      </c>
      <c r="C153" s="4" t="s">
        <v>1300</v>
      </c>
    </row>
    <row r="154" spans="1:3" x14ac:dyDescent="0.35">
      <c r="A154" s="2" t="s">
        <v>1307</v>
      </c>
      <c r="B154" s="2" t="e">
        <f>Priv!#REF!</f>
        <v>#REF!</v>
      </c>
      <c r="C154" s="4" t="s">
        <v>1300</v>
      </c>
    </row>
    <row r="155" spans="1:3" x14ac:dyDescent="0.35">
      <c r="A155" s="2" t="s">
        <v>1308</v>
      </c>
      <c r="B155" s="2">
        <f>Priv!G116</f>
        <v>0</v>
      </c>
      <c r="C155" s="4" t="s">
        <v>1300</v>
      </c>
    </row>
    <row r="156" spans="1:3" x14ac:dyDescent="0.35">
      <c r="A156" s="2" t="s">
        <v>1309</v>
      </c>
      <c r="B156" s="2">
        <f>Priv!H116</f>
        <v>0</v>
      </c>
      <c r="C156" s="4" t="s">
        <v>1300</v>
      </c>
    </row>
    <row r="157" spans="1:3" x14ac:dyDescent="0.35">
      <c r="A157" s="2" t="s">
        <v>621</v>
      </c>
      <c r="B157" s="2">
        <f>Priv!C117</f>
        <v>0</v>
      </c>
      <c r="C157" s="4" t="s">
        <v>1300</v>
      </c>
    </row>
    <row r="158" spans="1:3" x14ac:dyDescent="0.35">
      <c r="A158" s="2" t="s">
        <v>1310</v>
      </c>
      <c r="B158" s="2">
        <f>Priv!D117</f>
        <v>0</v>
      </c>
      <c r="C158" s="4" t="s">
        <v>1300</v>
      </c>
    </row>
    <row r="159" spans="1:3" x14ac:dyDescent="0.35">
      <c r="A159" s="2" t="s">
        <v>1311</v>
      </c>
      <c r="B159" s="2" t="e">
        <f>Priv!#REF!</f>
        <v>#REF!</v>
      </c>
      <c r="C159" s="4" t="s">
        <v>1300</v>
      </c>
    </row>
    <row r="160" spans="1:3" x14ac:dyDescent="0.35">
      <c r="A160" s="2" t="s">
        <v>1312</v>
      </c>
      <c r="B160" s="2" t="e">
        <f>Priv!#REF!</f>
        <v>#REF!</v>
      </c>
      <c r="C160" s="4" t="s">
        <v>1300</v>
      </c>
    </row>
    <row r="161" spans="1:3" x14ac:dyDescent="0.35">
      <c r="A161" s="2" t="s">
        <v>1313</v>
      </c>
      <c r="B161" s="2">
        <f>Priv!E117</f>
        <v>0</v>
      </c>
      <c r="C161" s="4" t="s">
        <v>1300</v>
      </c>
    </row>
    <row r="162" spans="1:3" x14ac:dyDescent="0.35">
      <c r="A162" s="2" t="s">
        <v>1314</v>
      </c>
      <c r="B162" s="2">
        <f>Priv!F117</f>
        <v>0</v>
      </c>
      <c r="C162" s="4" t="s">
        <v>1300</v>
      </c>
    </row>
    <row r="163" spans="1:3" x14ac:dyDescent="0.35">
      <c r="A163" s="2" t="s">
        <v>1315</v>
      </c>
      <c r="B163" s="2" t="e">
        <f>Priv!#REF!</f>
        <v>#REF!</v>
      </c>
      <c r="C163" s="4" t="s">
        <v>1300</v>
      </c>
    </row>
    <row r="164" spans="1:3" x14ac:dyDescent="0.35">
      <c r="A164" s="2" t="s">
        <v>1316</v>
      </c>
      <c r="B164" s="2" t="e">
        <f>Priv!#REF!</f>
        <v>#REF!</v>
      </c>
      <c r="C164" s="4" t="s">
        <v>1300</v>
      </c>
    </row>
    <row r="165" spans="1:3" x14ac:dyDescent="0.35">
      <c r="A165" s="2" t="s">
        <v>1317</v>
      </c>
      <c r="B165" s="2">
        <f>Priv!G117</f>
        <v>0</v>
      </c>
      <c r="C165" s="4" t="s">
        <v>1300</v>
      </c>
    </row>
    <row r="166" spans="1:3" x14ac:dyDescent="0.35">
      <c r="A166" s="2" t="s">
        <v>1318</v>
      </c>
      <c r="B166" s="2">
        <f>Priv!H117</f>
        <v>0</v>
      </c>
      <c r="C166" s="4" t="s">
        <v>1300</v>
      </c>
    </row>
    <row r="167" spans="1:3" x14ac:dyDescent="0.35">
      <c r="A167" s="2" t="s">
        <v>622</v>
      </c>
      <c r="B167" s="2">
        <f>Priv!C118</f>
        <v>0</v>
      </c>
      <c r="C167" s="4" t="s">
        <v>1300</v>
      </c>
    </row>
    <row r="168" spans="1:3" x14ac:dyDescent="0.35">
      <c r="A168" s="2" t="s">
        <v>1319</v>
      </c>
      <c r="B168" s="2">
        <f>Priv!D118</f>
        <v>0</v>
      </c>
      <c r="C168" s="4" t="s">
        <v>1300</v>
      </c>
    </row>
    <row r="169" spans="1:3" x14ac:dyDescent="0.35">
      <c r="A169" s="2" t="s">
        <v>1320</v>
      </c>
      <c r="B169" s="2" t="e">
        <f>Priv!#REF!</f>
        <v>#REF!</v>
      </c>
      <c r="C169" s="4" t="s">
        <v>1300</v>
      </c>
    </row>
    <row r="170" spans="1:3" x14ac:dyDescent="0.35">
      <c r="A170" s="2" t="s">
        <v>1321</v>
      </c>
      <c r="B170" s="2" t="e">
        <f>Priv!#REF!</f>
        <v>#REF!</v>
      </c>
      <c r="C170" s="4" t="s">
        <v>1300</v>
      </c>
    </row>
    <row r="171" spans="1:3" x14ac:dyDescent="0.35">
      <c r="A171" s="2" t="s">
        <v>1322</v>
      </c>
      <c r="B171" s="2">
        <f>Priv!E118</f>
        <v>0</v>
      </c>
      <c r="C171" s="4" t="s">
        <v>1300</v>
      </c>
    </row>
    <row r="172" spans="1:3" x14ac:dyDescent="0.35">
      <c r="A172" s="2" t="s">
        <v>1323</v>
      </c>
      <c r="B172" s="2">
        <f>Priv!F118</f>
        <v>0</v>
      </c>
      <c r="C172" s="4" t="s">
        <v>1300</v>
      </c>
    </row>
    <row r="173" spans="1:3" x14ac:dyDescent="0.35">
      <c r="A173" s="2" t="s">
        <v>1324</v>
      </c>
      <c r="B173" s="2" t="e">
        <f>Priv!#REF!</f>
        <v>#REF!</v>
      </c>
      <c r="C173" s="4" t="s">
        <v>1300</v>
      </c>
    </row>
    <row r="174" spans="1:3" x14ac:dyDescent="0.35">
      <c r="A174" s="2" t="s">
        <v>1325</v>
      </c>
      <c r="B174" s="2" t="e">
        <f>Priv!#REF!</f>
        <v>#REF!</v>
      </c>
      <c r="C174" s="4" t="s">
        <v>1300</v>
      </c>
    </row>
    <row r="175" spans="1:3" x14ac:dyDescent="0.35">
      <c r="A175" s="2" t="s">
        <v>1326</v>
      </c>
      <c r="B175" s="2">
        <f>Priv!G118</f>
        <v>0</v>
      </c>
      <c r="C175" s="4" t="s">
        <v>1300</v>
      </c>
    </row>
    <row r="176" spans="1:3" x14ac:dyDescent="0.35">
      <c r="A176" s="2" t="s">
        <v>1327</v>
      </c>
      <c r="B176" s="2">
        <f>Priv!H118</f>
        <v>0</v>
      </c>
      <c r="C176" s="4" t="s">
        <v>1300</v>
      </c>
    </row>
    <row r="177" spans="1:3" x14ac:dyDescent="0.35">
      <c r="A177" s="2" t="s">
        <v>623</v>
      </c>
      <c r="B177" s="2">
        <f>Priv!C119</f>
        <v>0</v>
      </c>
      <c r="C177" s="4" t="s">
        <v>1300</v>
      </c>
    </row>
    <row r="178" spans="1:3" x14ac:dyDescent="0.35">
      <c r="A178" s="2" t="s">
        <v>1328</v>
      </c>
      <c r="B178" s="2">
        <f>Priv!D119</f>
        <v>0</v>
      </c>
      <c r="C178" s="4" t="s">
        <v>1300</v>
      </c>
    </row>
    <row r="179" spans="1:3" x14ac:dyDescent="0.35">
      <c r="A179" s="2" t="s">
        <v>1329</v>
      </c>
      <c r="B179" s="2" t="e">
        <f>Priv!#REF!</f>
        <v>#REF!</v>
      </c>
      <c r="C179" s="4" t="s">
        <v>1300</v>
      </c>
    </row>
    <row r="180" spans="1:3" x14ac:dyDescent="0.35">
      <c r="A180" s="2" t="s">
        <v>1330</v>
      </c>
      <c r="B180" s="2" t="e">
        <f>Priv!#REF!</f>
        <v>#REF!</v>
      </c>
      <c r="C180" s="4" t="s">
        <v>1300</v>
      </c>
    </row>
    <row r="181" spans="1:3" x14ac:dyDescent="0.35">
      <c r="A181" s="2" t="s">
        <v>1331</v>
      </c>
      <c r="B181" s="2">
        <f>Priv!E119</f>
        <v>0</v>
      </c>
      <c r="C181" s="4" t="s">
        <v>1300</v>
      </c>
    </row>
    <row r="182" spans="1:3" x14ac:dyDescent="0.35">
      <c r="A182" s="2" t="s">
        <v>1332</v>
      </c>
      <c r="B182" s="2">
        <f>Priv!F119</f>
        <v>0</v>
      </c>
      <c r="C182" s="4" t="s">
        <v>1300</v>
      </c>
    </row>
    <row r="183" spans="1:3" x14ac:dyDescent="0.35">
      <c r="A183" s="2" t="s">
        <v>1333</v>
      </c>
      <c r="B183" s="2" t="e">
        <f>Priv!#REF!</f>
        <v>#REF!</v>
      </c>
      <c r="C183" s="4" t="s">
        <v>1300</v>
      </c>
    </row>
    <row r="184" spans="1:3" x14ac:dyDescent="0.35">
      <c r="A184" s="2" t="s">
        <v>1334</v>
      </c>
      <c r="B184" s="2" t="e">
        <f>Priv!#REF!</f>
        <v>#REF!</v>
      </c>
      <c r="C184" s="4" t="s">
        <v>1300</v>
      </c>
    </row>
    <row r="185" spans="1:3" x14ac:dyDescent="0.35">
      <c r="A185" s="2" t="s">
        <v>1335</v>
      </c>
      <c r="B185" s="2">
        <f>Priv!G119</f>
        <v>0</v>
      </c>
      <c r="C185" s="4" t="s">
        <v>1300</v>
      </c>
    </row>
    <row r="186" spans="1:3" x14ac:dyDescent="0.35">
      <c r="A186" s="2" t="s">
        <v>1336</v>
      </c>
      <c r="B186" s="2">
        <f>Priv!H119</f>
        <v>0</v>
      </c>
      <c r="C186" s="4" t="s">
        <v>1300</v>
      </c>
    </row>
    <row r="187" spans="1:3" x14ac:dyDescent="0.35">
      <c r="A187" s="2" t="s">
        <v>624</v>
      </c>
      <c r="B187" s="2">
        <f>Priv!C120</f>
        <v>0</v>
      </c>
      <c r="C187" s="4" t="s">
        <v>1300</v>
      </c>
    </row>
    <row r="188" spans="1:3" x14ac:dyDescent="0.35">
      <c r="A188" s="2" t="s">
        <v>1337</v>
      </c>
      <c r="B188" s="2">
        <f>Priv!D120</f>
        <v>0</v>
      </c>
      <c r="C188" s="4" t="s">
        <v>1300</v>
      </c>
    </row>
    <row r="189" spans="1:3" x14ac:dyDescent="0.35">
      <c r="A189" s="2" t="s">
        <v>1338</v>
      </c>
      <c r="B189" s="2" t="e">
        <f>Priv!#REF!</f>
        <v>#REF!</v>
      </c>
      <c r="C189" s="4" t="s">
        <v>1300</v>
      </c>
    </row>
    <row r="190" spans="1:3" x14ac:dyDescent="0.35">
      <c r="A190" s="2" t="s">
        <v>1339</v>
      </c>
      <c r="B190" s="2" t="e">
        <f>Priv!#REF!</f>
        <v>#REF!</v>
      </c>
      <c r="C190" s="4" t="s">
        <v>1300</v>
      </c>
    </row>
    <row r="191" spans="1:3" x14ac:dyDescent="0.35">
      <c r="A191" s="2" t="s">
        <v>1340</v>
      </c>
      <c r="B191" s="2">
        <f>Priv!E120</f>
        <v>0</v>
      </c>
      <c r="C191" s="4" t="s">
        <v>1300</v>
      </c>
    </row>
    <row r="192" spans="1:3" x14ac:dyDescent="0.35">
      <c r="A192" s="2" t="s">
        <v>1341</v>
      </c>
      <c r="B192" s="2">
        <f>Priv!F120</f>
        <v>0</v>
      </c>
      <c r="C192" s="4" t="s">
        <v>1300</v>
      </c>
    </row>
    <row r="193" spans="1:3" x14ac:dyDescent="0.35">
      <c r="A193" s="2" t="s">
        <v>1342</v>
      </c>
      <c r="B193" s="2" t="e">
        <f>Priv!#REF!</f>
        <v>#REF!</v>
      </c>
      <c r="C193" s="4" t="s">
        <v>1300</v>
      </c>
    </row>
    <row r="194" spans="1:3" x14ac:dyDescent="0.35">
      <c r="A194" s="2" t="s">
        <v>1343</v>
      </c>
      <c r="B194" s="2" t="e">
        <f>Priv!#REF!</f>
        <v>#REF!</v>
      </c>
      <c r="C194" s="4" t="s">
        <v>1300</v>
      </c>
    </row>
    <row r="195" spans="1:3" x14ac:dyDescent="0.35">
      <c r="A195" s="2" t="s">
        <v>1344</v>
      </c>
      <c r="B195" s="2">
        <f>Priv!G120</f>
        <v>0</v>
      </c>
      <c r="C195" s="4" t="s">
        <v>1300</v>
      </c>
    </row>
    <row r="196" spans="1:3" x14ac:dyDescent="0.35">
      <c r="A196" s="2" t="s">
        <v>1345</v>
      </c>
      <c r="B196" s="2">
        <f>Priv!H120</f>
        <v>0</v>
      </c>
      <c r="C196" s="4" t="s">
        <v>1300</v>
      </c>
    </row>
    <row r="197" spans="1:3" x14ac:dyDescent="0.35">
      <c r="A197" s="2" t="s">
        <v>625</v>
      </c>
      <c r="B197" s="2">
        <f>Priv!C121</f>
        <v>0</v>
      </c>
      <c r="C197" s="4" t="s">
        <v>1300</v>
      </c>
    </row>
    <row r="198" spans="1:3" x14ac:dyDescent="0.35">
      <c r="A198" s="2" t="s">
        <v>1346</v>
      </c>
      <c r="B198" s="2">
        <f>Priv!D121</f>
        <v>0</v>
      </c>
      <c r="C198" s="4" t="s">
        <v>1300</v>
      </c>
    </row>
    <row r="199" spans="1:3" x14ac:dyDescent="0.35">
      <c r="A199" s="2" t="s">
        <v>1347</v>
      </c>
      <c r="B199" s="2" t="e">
        <f>Priv!#REF!</f>
        <v>#REF!</v>
      </c>
      <c r="C199" s="4" t="s">
        <v>1300</v>
      </c>
    </row>
    <row r="200" spans="1:3" x14ac:dyDescent="0.35">
      <c r="A200" s="2" t="s">
        <v>1348</v>
      </c>
      <c r="B200" s="2" t="e">
        <f>Priv!#REF!</f>
        <v>#REF!</v>
      </c>
      <c r="C200" s="4" t="s">
        <v>1300</v>
      </c>
    </row>
    <row r="201" spans="1:3" x14ac:dyDescent="0.35">
      <c r="A201" s="2" t="s">
        <v>1349</v>
      </c>
      <c r="B201" s="2">
        <f>Priv!E121</f>
        <v>0</v>
      </c>
      <c r="C201" s="4" t="s">
        <v>1300</v>
      </c>
    </row>
    <row r="202" spans="1:3" x14ac:dyDescent="0.35">
      <c r="A202" s="2" t="s">
        <v>1350</v>
      </c>
      <c r="B202" s="2">
        <f>Priv!F121</f>
        <v>0</v>
      </c>
      <c r="C202" s="4" t="s">
        <v>1300</v>
      </c>
    </row>
    <row r="203" spans="1:3" x14ac:dyDescent="0.35">
      <c r="A203" s="2" t="s">
        <v>1351</v>
      </c>
      <c r="B203" s="2" t="e">
        <f>Priv!#REF!</f>
        <v>#REF!</v>
      </c>
      <c r="C203" s="4" t="s">
        <v>1300</v>
      </c>
    </row>
    <row r="204" spans="1:3" x14ac:dyDescent="0.35">
      <c r="A204" s="2" t="s">
        <v>1352</v>
      </c>
      <c r="B204" s="2" t="e">
        <f>Priv!#REF!</f>
        <v>#REF!</v>
      </c>
      <c r="C204" s="4" t="s">
        <v>1300</v>
      </c>
    </row>
    <row r="205" spans="1:3" x14ac:dyDescent="0.35">
      <c r="A205" s="2" t="s">
        <v>1353</v>
      </c>
      <c r="B205" s="2">
        <f>Priv!G121</f>
        <v>0</v>
      </c>
      <c r="C205" s="4" t="s">
        <v>1300</v>
      </c>
    </row>
    <row r="206" spans="1:3" x14ac:dyDescent="0.35">
      <c r="A206" s="2" t="s">
        <v>1354</v>
      </c>
      <c r="B206" s="2">
        <f>Priv!H121</f>
        <v>0</v>
      </c>
      <c r="C206" s="4" t="s">
        <v>1300</v>
      </c>
    </row>
    <row r="207" spans="1:3" x14ac:dyDescent="0.35">
      <c r="A207" s="2" t="s">
        <v>640</v>
      </c>
      <c r="B207" s="2">
        <f>Priv!A127</f>
        <v>0</v>
      </c>
      <c r="C207" s="4" t="s">
        <v>1355</v>
      </c>
    </row>
    <row r="208" spans="1:3" x14ac:dyDescent="0.35">
      <c r="A208" s="2" t="s">
        <v>642</v>
      </c>
      <c r="B208" s="2">
        <f>Priv!D127</f>
        <v>0</v>
      </c>
      <c r="C208" s="4" t="s">
        <v>1355</v>
      </c>
    </row>
    <row r="209" spans="1:3" x14ac:dyDescent="0.35">
      <c r="A209" s="2" t="s">
        <v>643</v>
      </c>
      <c r="B209" s="2">
        <f>Priv!G127</f>
        <v>0</v>
      </c>
      <c r="C209" s="4" t="s">
        <v>1355</v>
      </c>
    </row>
    <row r="210" spans="1:3" x14ac:dyDescent="0.35">
      <c r="A210" s="2" t="s">
        <v>647</v>
      </c>
      <c r="B210" s="2">
        <f>Priv!D133</f>
        <v>0</v>
      </c>
      <c r="C210" s="4" t="s">
        <v>1356</v>
      </c>
    </row>
    <row r="211" spans="1:3" x14ac:dyDescent="0.35">
      <c r="A211" s="2" t="s">
        <v>649</v>
      </c>
      <c r="B211" s="2">
        <f>Priv!G133</f>
        <v>0</v>
      </c>
      <c r="C211" s="4" t="s">
        <v>1356</v>
      </c>
    </row>
    <row r="212" spans="1:3" x14ac:dyDescent="0.35">
      <c r="A212" s="2" t="s">
        <v>650</v>
      </c>
      <c r="B212" s="2" t="e">
        <f>Priv!#REF!</f>
        <v>#REF!</v>
      </c>
      <c r="C212" s="4" t="s">
        <v>1356</v>
      </c>
    </row>
    <row r="213" spans="1:3" x14ac:dyDescent="0.35">
      <c r="A213" s="2" t="s">
        <v>1357</v>
      </c>
      <c r="B213" s="2" t="e">
        <f>Priv!#REF!</f>
        <v>#REF!</v>
      </c>
      <c r="C213" s="4" t="s">
        <v>1356</v>
      </c>
    </row>
    <row r="214" spans="1:3" x14ac:dyDescent="0.35">
      <c r="A214" s="2" t="s">
        <v>1358</v>
      </c>
      <c r="B214" s="2" t="e">
        <f>Priv!#REF!</f>
        <v>#REF!</v>
      </c>
      <c r="C214" s="4" t="s">
        <v>1356</v>
      </c>
    </row>
    <row r="215" spans="1:3" x14ac:dyDescent="0.35">
      <c r="A215" s="2" t="s">
        <v>1359</v>
      </c>
      <c r="B215" s="2" t="e">
        <f>Priv!#REF!</f>
        <v>#REF!</v>
      </c>
      <c r="C215" s="4" t="s">
        <v>1356</v>
      </c>
    </row>
    <row r="216" spans="1:3" x14ac:dyDescent="0.35">
      <c r="A216" s="2" t="s">
        <v>1360</v>
      </c>
      <c r="B216" s="2">
        <f>Priv!D134</f>
        <v>0</v>
      </c>
      <c r="C216" s="4" t="s">
        <v>1356</v>
      </c>
    </row>
    <row r="217" spans="1:3" x14ac:dyDescent="0.35">
      <c r="A217" s="2" t="s">
        <v>1361</v>
      </c>
      <c r="B217" s="2">
        <f>Priv!G134</f>
        <v>0</v>
      </c>
      <c r="C217" s="4" t="s">
        <v>1356</v>
      </c>
    </row>
    <row r="218" spans="1:3" x14ac:dyDescent="0.35">
      <c r="A218" s="2" t="s">
        <v>1362</v>
      </c>
      <c r="B218" s="2" t="e">
        <f>Priv!#REF!</f>
        <v>#REF!</v>
      </c>
      <c r="C218" s="4" t="s">
        <v>1356</v>
      </c>
    </row>
    <row r="219" spans="1:3" x14ac:dyDescent="0.35">
      <c r="A219" s="2" t="s">
        <v>1363</v>
      </c>
      <c r="B219" s="2" t="e">
        <f>Priv!#REF!</f>
        <v>#REF!</v>
      </c>
      <c r="C219" s="4" t="s">
        <v>1356</v>
      </c>
    </row>
    <row r="220" spans="1:3" x14ac:dyDescent="0.35">
      <c r="A220" s="2" t="s">
        <v>1364</v>
      </c>
      <c r="B220" s="2" t="e">
        <f>Priv!#REF!</f>
        <v>#REF!</v>
      </c>
      <c r="C220" s="4" t="s">
        <v>1356</v>
      </c>
    </row>
    <row r="221" spans="1:3" x14ac:dyDescent="0.35">
      <c r="A221" s="2" t="s">
        <v>1365</v>
      </c>
      <c r="B221" s="2" t="e">
        <f>Priv!#REF!</f>
        <v>#REF!</v>
      </c>
      <c r="C221" s="4" t="s">
        <v>1356</v>
      </c>
    </row>
    <row r="222" spans="1:3" x14ac:dyDescent="0.35">
      <c r="A222" s="2" t="s">
        <v>1366</v>
      </c>
      <c r="B222" s="2">
        <f>Priv!D135</f>
        <v>0</v>
      </c>
      <c r="C222" s="4" t="s">
        <v>1356</v>
      </c>
    </row>
    <row r="223" spans="1:3" x14ac:dyDescent="0.35">
      <c r="A223" s="2" t="s">
        <v>1367</v>
      </c>
      <c r="B223" s="2">
        <f>Priv!G135</f>
        <v>0</v>
      </c>
      <c r="C223" s="4" t="s">
        <v>1356</v>
      </c>
    </row>
    <row r="224" spans="1:3" x14ac:dyDescent="0.35">
      <c r="A224" s="2" t="s">
        <v>1368</v>
      </c>
      <c r="B224" s="2" t="e">
        <f>Priv!#REF!</f>
        <v>#REF!</v>
      </c>
      <c r="C224" s="4" t="s">
        <v>1356</v>
      </c>
    </row>
    <row r="225" spans="1:3" x14ac:dyDescent="0.35">
      <c r="A225" s="2" t="s">
        <v>1369</v>
      </c>
      <c r="B225" s="2" t="e">
        <f>Priv!#REF!</f>
        <v>#REF!</v>
      </c>
      <c r="C225" s="4" t="s">
        <v>1356</v>
      </c>
    </row>
    <row r="226" spans="1:3" x14ac:dyDescent="0.35">
      <c r="A226" s="2" t="s">
        <v>1370</v>
      </c>
      <c r="B226" s="2" t="e">
        <f>Priv!#REF!</f>
        <v>#REF!</v>
      </c>
      <c r="C226" s="4" t="s">
        <v>1356</v>
      </c>
    </row>
    <row r="227" spans="1:3" x14ac:dyDescent="0.35">
      <c r="A227" s="2" t="s">
        <v>1371</v>
      </c>
      <c r="B227" s="2" t="e">
        <f>Priv!#REF!</f>
        <v>#REF!</v>
      </c>
      <c r="C227" s="4" t="s">
        <v>1356</v>
      </c>
    </row>
    <row r="228" spans="1:3" x14ac:dyDescent="0.35">
      <c r="A228" s="2" t="s">
        <v>1372</v>
      </c>
      <c r="B228" s="2">
        <f>Priv!D136</f>
        <v>0</v>
      </c>
      <c r="C228" s="4" t="s">
        <v>1356</v>
      </c>
    </row>
    <row r="229" spans="1:3" x14ac:dyDescent="0.35">
      <c r="A229" s="2" t="s">
        <v>1373</v>
      </c>
      <c r="B229" s="2">
        <f>Priv!G136</f>
        <v>0</v>
      </c>
      <c r="C229" s="4" t="s">
        <v>1356</v>
      </c>
    </row>
    <row r="230" spans="1:3" x14ac:dyDescent="0.35">
      <c r="A230" s="2" t="s">
        <v>1374</v>
      </c>
      <c r="B230" s="2" t="e">
        <f>Priv!#REF!</f>
        <v>#REF!</v>
      </c>
      <c r="C230" s="4" t="s">
        <v>1356</v>
      </c>
    </row>
    <row r="231" spans="1:3" x14ac:dyDescent="0.35">
      <c r="A231" s="2" t="s">
        <v>1375</v>
      </c>
      <c r="B231" s="2" t="e">
        <f>Priv!#REF!</f>
        <v>#REF!</v>
      </c>
      <c r="C231" s="4" t="s">
        <v>1356</v>
      </c>
    </row>
    <row r="232" spans="1:3" x14ac:dyDescent="0.35">
      <c r="A232" s="2" t="s">
        <v>1376</v>
      </c>
      <c r="B232" s="2" t="e">
        <f>Priv!#REF!</f>
        <v>#REF!</v>
      </c>
      <c r="C232" s="4" t="s">
        <v>1356</v>
      </c>
    </row>
    <row r="233" spans="1:3" x14ac:dyDescent="0.35">
      <c r="A233" s="2" t="s">
        <v>1377</v>
      </c>
      <c r="B233" s="2" t="e">
        <f>Priv!#REF!</f>
        <v>#REF!</v>
      </c>
      <c r="C233" s="4" t="s">
        <v>1356</v>
      </c>
    </row>
    <row r="234" spans="1:3" x14ac:dyDescent="0.35">
      <c r="A234" s="2" t="s">
        <v>1378</v>
      </c>
      <c r="B234" s="2">
        <f>Priv!D137</f>
        <v>0</v>
      </c>
      <c r="C234" s="4" t="s">
        <v>1356</v>
      </c>
    </row>
    <row r="235" spans="1:3" x14ac:dyDescent="0.35">
      <c r="A235" s="2" t="s">
        <v>1379</v>
      </c>
      <c r="B235" s="2">
        <f>Priv!G137</f>
        <v>0</v>
      </c>
      <c r="C235" s="4" t="s">
        <v>1356</v>
      </c>
    </row>
    <row r="236" spans="1:3" x14ac:dyDescent="0.35">
      <c r="A236" s="2" t="s">
        <v>1380</v>
      </c>
      <c r="B236" s="2" t="e">
        <f>Priv!#REF!</f>
        <v>#REF!</v>
      </c>
      <c r="C236" s="4" t="s">
        <v>1356</v>
      </c>
    </row>
    <row r="237" spans="1:3" x14ac:dyDescent="0.35">
      <c r="A237" s="2" t="s">
        <v>1381</v>
      </c>
      <c r="B237" s="2" t="e">
        <f>Priv!#REF!</f>
        <v>#REF!</v>
      </c>
      <c r="C237" s="4" t="s">
        <v>1356</v>
      </c>
    </row>
    <row r="238" spans="1:3" x14ac:dyDescent="0.35">
      <c r="A238" s="2" t="s">
        <v>1382</v>
      </c>
      <c r="B238" s="2" t="e">
        <f>Priv!#REF!</f>
        <v>#REF!</v>
      </c>
      <c r="C238" s="4" t="s">
        <v>1356</v>
      </c>
    </row>
    <row r="239" spans="1:3" x14ac:dyDescent="0.35">
      <c r="A239" s="2" t="s">
        <v>1383</v>
      </c>
      <c r="B239" s="2" t="e">
        <f>Priv!#REF!</f>
        <v>#REF!</v>
      </c>
      <c r="C239" s="4" t="s">
        <v>1356</v>
      </c>
    </row>
    <row r="240" spans="1:3" x14ac:dyDescent="0.35">
      <c r="A240" s="2" t="s">
        <v>1384</v>
      </c>
      <c r="B240" s="2">
        <f>Priv!D138</f>
        <v>0</v>
      </c>
      <c r="C240" s="4" t="s">
        <v>1356</v>
      </c>
    </row>
    <row r="241" spans="1:3" x14ac:dyDescent="0.35">
      <c r="A241" s="2" t="s">
        <v>1385</v>
      </c>
      <c r="B241" s="2">
        <f>Priv!G138</f>
        <v>0</v>
      </c>
      <c r="C241" s="4" t="s">
        <v>1356</v>
      </c>
    </row>
    <row r="242" spans="1:3" x14ac:dyDescent="0.35">
      <c r="A242" s="2" t="s">
        <v>1386</v>
      </c>
      <c r="B242" s="2" t="e">
        <f>Priv!#REF!</f>
        <v>#REF!</v>
      </c>
      <c r="C242" s="4" t="s">
        <v>1356</v>
      </c>
    </row>
    <row r="243" spans="1:3" x14ac:dyDescent="0.35">
      <c r="A243" s="2" t="s">
        <v>1387</v>
      </c>
      <c r="B243" s="2" t="e">
        <f>Priv!#REF!</f>
        <v>#REF!</v>
      </c>
      <c r="C243" s="4" t="s">
        <v>1356</v>
      </c>
    </row>
    <row r="244" spans="1:3" x14ac:dyDescent="0.35">
      <c r="A244" s="2" t="s">
        <v>1388</v>
      </c>
      <c r="B244" s="2" t="e">
        <f>Priv!#REF!</f>
        <v>#REF!</v>
      </c>
      <c r="C244" s="4" t="s">
        <v>1356</v>
      </c>
    </row>
    <row r="245" spans="1:3" x14ac:dyDescent="0.35">
      <c r="A245" s="2" t="s">
        <v>1389</v>
      </c>
      <c r="B245" s="2" t="e">
        <f>Priv!#REF!</f>
        <v>#REF!</v>
      </c>
      <c r="C245" s="4" t="s">
        <v>1356</v>
      </c>
    </row>
    <row r="246" spans="1:3" x14ac:dyDescent="0.35">
      <c r="A246" s="2" t="s">
        <v>651</v>
      </c>
      <c r="B246" s="2" t="e">
        <f>Priv!#REF!</f>
        <v>#REF!</v>
      </c>
      <c r="C246" s="4" t="s">
        <v>1390</v>
      </c>
    </row>
    <row r="247" spans="1:3" x14ac:dyDescent="0.35">
      <c r="A247" s="2" t="s">
        <v>653</v>
      </c>
      <c r="B247" s="2" t="e">
        <f>Priv!#REF!</f>
        <v>#REF!</v>
      </c>
      <c r="C247" s="4" t="s">
        <v>1390</v>
      </c>
    </row>
    <row r="248" spans="1:3" x14ac:dyDescent="0.35">
      <c r="A248" s="2" t="s">
        <v>654</v>
      </c>
      <c r="B248" s="2" t="e">
        <f>Priv!#REF!</f>
        <v>#REF!</v>
      </c>
      <c r="C248" s="4" t="s">
        <v>1390</v>
      </c>
    </row>
    <row r="249" spans="1:3" x14ac:dyDescent="0.35">
      <c r="A249" s="2" t="s">
        <v>722</v>
      </c>
      <c r="B249" s="2" t="e">
        <f>Priv!#REF!</f>
        <v>#REF!</v>
      </c>
      <c r="C249" s="4" t="s">
        <v>1391</v>
      </c>
    </row>
    <row r="250" spans="1:3" x14ac:dyDescent="0.35">
      <c r="A250" s="2" t="s">
        <v>724</v>
      </c>
      <c r="B250" s="2" t="e">
        <f>Priv!#REF!</f>
        <v>#REF!</v>
      </c>
      <c r="C250" s="4" t="s">
        <v>1391</v>
      </c>
    </row>
    <row r="251" spans="1:3" x14ac:dyDescent="0.35">
      <c r="A251" s="2" t="s">
        <v>725</v>
      </c>
      <c r="B251" s="2" t="e">
        <f>Priv!#REF!</f>
        <v>#REF!</v>
      </c>
      <c r="C251" s="4" t="s">
        <v>1391</v>
      </c>
    </row>
    <row r="252" spans="1:3" x14ac:dyDescent="0.35">
      <c r="A252" s="2" t="s">
        <v>1392</v>
      </c>
      <c r="B252" s="2" t="e">
        <f>Priv!#REF!</f>
        <v>#REF!</v>
      </c>
      <c r="C252" s="4" t="s">
        <v>1391</v>
      </c>
    </row>
    <row r="253" spans="1:3" x14ac:dyDescent="0.35">
      <c r="A253" s="2" t="s">
        <v>1393</v>
      </c>
      <c r="B253" s="2" t="e">
        <f>Priv!#REF!</f>
        <v>#REF!</v>
      </c>
      <c r="C253" s="4" t="s">
        <v>1391</v>
      </c>
    </row>
    <row r="254" spans="1:3" x14ac:dyDescent="0.35">
      <c r="A254" s="2" t="s">
        <v>1394</v>
      </c>
      <c r="B254" s="2" t="e">
        <f>Priv!#REF!</f>
        <v>#REF!</v>
      </c>
      <c r="C254" s="4" t="s">
        <v>1391</v>
      </c>
    </row>
    <row r="255" spans="1:3" x14ac:dyDescent="0.35">
      <c r="A255" s="2" t="s">
        <v>1395</v>
      </c>
      <c r="B255" s="2" t="e">
        <f>Priv!#REF!</f>
        <v>#REF!</v>
      </c>
      <c r="C255" s="4" t="s">
        <v>1391</v>
      </c>
    </row>
    <row r="256" spans="1:3" x14ac:dyDescent="0.35">
      <c r="A256" s="2" t="s">
        <v>1396</v>
      </c>
      <c r="B256" s="2" t="e">
        <f>Priv!#REF!</f>
        <v>#REF!</v>
      </c>
      <c r="C256" s="4" t="s">
        <v>1391</v>
      </c>
    </row>
    <row r="257" spans="1:3" x14ac:dyDescent="0.35">
      <c r="A257" s="2" t="s">
        <v>1397</v>
      </c>
      <c r="B257" s="2" t="e">
        <f>Priv!#REF!</f>
        <v>#REF!</v>
      </c>
      <c r="C257" s="4" t="s">
        <v>1391</v>
      </c>
    </row>
    <row r="258" spans="1:3" x14ac:dyDescent="0.35">
      <c r="A258" s="2" t="s">
        <v>1398</v>
      </c>
      <c r="B258" s="2" t="e">
        <f>Priv!#REF!</f>
        <v>#REF!</v>
      </c>
      <c r="C258" s="4" t="s">
        <v>1391</v>
      </c>
    </row>
    <row r="259" spans="1:3" x14ac:dyDescent="0.35">
      <c r="A259" s="2" t="s">
        <v>1399</v>
      </c>
      <c r="B259" s="2" t="e">
        <f>Priv!#REF!</f>
        <v>#REF!</v>
      </c>
      <c r="C259" s="4" t="s">
        <v>1391</v>
      </c>
    </row>
    <row r="260" spans="1:3" x14ac:dyDescent="0.35">
      <c r="A260" s="2" t="s">
        <v>1400</v>
      </c>
      <c r="B260" s="2" t="e">
        <f>Priv!#REF!</f>
        <v>#REF!</v>
      </c>
      <c r="C260" s="4" t="s">
        <v>1391</v>
      </c>
    </row>
    <row r="261" spans="1:3" x14ac:dyDescent="0.35">
      <c r="A261" s="2" t="s">
        <v>1401</v>
      </c>
      <c r="B261" s="2" t="e">
        <f>Priv!#REF!</f>
        <v>#REF!</v>
      </c>
      <c r="C261" s="4" t="s">
        <v>1391</v>
      </c>
    </row>
    <row r="262" spans="1:3" x14ac:dyDescent="0.35">
      <c r="A262" s="2" t="s">
        <v>1402</v>
      </c>
      <c r="B262" s="2" t="e">
        <f>Priv!#REF!</f>
        <v>#REF!</v>
      </c>
      <c r="C262" s="4" t="s">
        <v>1391</v>
      </c>
    </row>
    <row r="263" spans="1:3" x14ac:dyDescent="0.35">
      <c r="A263" s="2" t="s">
        <v>1403</v>
      </c>
      <c r="B263" s="2" t="e">
        <f>Priv!#REF!</f>
        <v>#REF!</v>
      </c>
      <c r="C263" s="4" t="s">
        <v>1391</v>
      </c>
    </row>
    <row r="264" spans="1:3" x14ac:dyDescent="0.35">
      <c r="A264" s="2" t="s">
        <v>1404</v>
      </c>
      <c r="B264" s="2" t="e">
        <f>Priv!#REF!</f>
        <v>#REF!</v>
      </c>
      <c r="C264" s="4" t="s">
        <v>1391</v>
      </c>
    </row>
    <row r="265" spans="1:3" x14ac:dyDescent="0.35">
      <c r="A265" s="2" t="s">
        <v>1405</v>
      </c>
      <c r="B265" s="2" t="e">
        <f>Priv!#REF!</f>
        <v>#REF!</v>
      </c>
      <c r="C265" s="4" t="s">
        <v>1391</v>
      </c>
    </row>
    <row r="266" spans="1:3" x14ac:dyDescent="0.35">
      <c r="A266" s="2" t="s">
        <v>1406</v>
      </c>
      <c r="B266" s="2" t="e">
        <f>Priv!#REF!</f>
        <v>#REF!</v>
      </c>
      <c r="C266" s="4" t="s">
        <v>1391</v>
      </c>
    </row>
    <row r="267" spans="1:3" x14ac:dyDescent="0.35">
      <c r="A267" s="2" t="s">
        <v>1407</v>
      </c>
      <c r="B267" s="2" t="e">
        <f>Priv!#REF!</f>
        <v>#REF!</v>
      </c>
      <c r="C267" s="4" t="s">
        <v>1391</v>
      </c>
    </row>
    <row r="268" spans="1:3" x14ac:dyDescent="0.35">
      <c r="A268" s="2" t="s">
        <v>1408</v>
      </c>
      <c r="B268" s="2" t="e">
        <f>Priv!#REF!</f>
        <v>#REF!</v>
      </c>
      <c r="C268" s="4" t="s">
        <v>1391</v>
      </c>
    </row>
    <row r="269" spans="1:3" x14ac:dyDescent="0.35">
      <c r="A269" s="2" t="s">
        <v>1409</v>
      </c>
      <c r="B269" s="2" t="e">
        <f>Priv!#REF!</f>
        <v>#REF!</v>
      </c>
      <c r="C269" s="4" t="s">
        <v>1391</v>
      </c>
    </row>
    <row r="270" spans="1:3" x14ac:dyDescent="0.35">
      <c r="A270" s="2" t="s">
        <v>1410</v>
      </c>
      <c r="B270" s="2" t="e">
        <f>Priv!#REF!</f>
        <v>#REF!</v>
      </c>
      <c r="C270" s="4" t="s">
        <v>1391</v>
      </c>
    </row>
    <row r="271" spans="1:3" x14ac:dyDescent="0.35">
      <c r="A271" s="2" t="s">
        <v>1411</v>
      </c>
      <c r="B271" s="2" t="e">
        <f>Priv!#REF!</f>
        <v>#REF!</v>
      </c>
      <c r="C271" s="4" t="s">
        <v>1391</v>
      </c>
    </row>
    <row r="272" spans="1:3" x14ac:dyDescent="0.35">
      <c r="A272" s="2" t="s">
        <v>1412</v>
      </c>
      <c r="B272" s="2" t="e">
        <f>Priv!#REF!</f>
        <v>#REF!</v>
      </c>
      <c r="C272" s="4" t="s">
        <v>1391</v>
      </c>
    </row>
    <row r="273" spans="1:3" x14ac:dyDescent="0.35">
      <c r="A273" s="2" t="s">
        <v>1413</v>
      </c>
      <c r="B273" s="2" t="e">
        <f>Priv!#REF!</f>
        <v>#REF!</v>
      </c>
      <c r="C273" s="4" t="s">
        <v>1391</v>
      </c>
    </row>
    <row r="274" spans="1:3" x14ac:dyDescent="0.35">
      <c r="A274" s="2" t="s">
        <v>1414</v>
      </c>
      <c r="B274" s="2" t="e">
        <f>Priv!#REF!</f>
        <v>#REF!</v>
      </c>
      <c r="C274" s="4" t="s">
        <v>1391</v>
      </c>
    </row>
    <row r="275" spans="1:3" x14ac:dyDescent="0.35">
      <c r="A275" s="2" t="s">
        <v>1415</v>
      </c>
      <c r="B275" s="2" t="e">
        <f>Priv!#REF!</f>
        <v>#REF!</v>
      </c>
      <c r="C275" s="4" t="s">
        <v>1391</v>
      </c>
    </row>
    <row r="276" spans="1:3" x14ac:dyDescent="0.35">
      <c r="A276" s="2" t="s">
        <v>1416</v>
      </c>
      <c r="B276" s="2" t="e">
        <f>Priv!#REF!</f>
        <v>#REF!</v>
      </c>
      <c r="C276" s="4" t="s">
        <v>1391</v>
      </c>
    </row>
    <row r="277" spans="1:3" x14ac:dyDescent="0.35">
      <c r="A277" s="2" t="s">
        <v>1417</v>
      </c>
      <c r="B277" s="2" t="e">
        <f>Priv!#REF!</f>
        <v>#REF!</v>
      </c>
      <c r="C277" s="4" t="s">
        <v>1391</v>
      </c>
    </row>
    <row r="278" spans="1:3" x14ac:dyDescent="0.35">
      <c r="A278" s="2" t="s">
        <v>1418</v>
      </c>
      <c r="B278" s="2" t="e">
        <f>Priv!#REF!</f>
        <v>#REF!</v>
      </c>
      <c r="C278" s="4" t="s">
        <v>1391</v>
      </c>
    </row>
    <row r="279" spans="1:3" x14ac:dyDescent="0.35">
      <c r="A279" s="2" t="s">
        <v>1419</v>
      </c>
      <c r="B279" s="2" t="e">
        <f>Priv!#REF!</f>
        <v>#REF!</v>
      </c>
      <c r="C279" s="4" t="s">
        <v>1391</v>
      </c>
    </row>
    <row r="280" spans="1:3" x14ac:dyDescent="0.35">
      <c r="A280" s="2" t="s">
        <v>1420</v>
      </c>
      <c r="B280" s="2" t="e">
        <f>Priv!#REF!</f>
        <v>#REF!</v>
      </c>
      <c r="C280" s="4" t="s">
        <v>1391</v>
      </c>
    </row>
    <row r="281" spans="1:3" x14ac:dyDescent="0.35">
      <c r="A281" s="2" t="s">
        <v>1421</v>
      </c>
      <c r="B281" s="2" t="e">
        <f>Priv!#REF!</f>
        <v>#REF!</v>
      </c>
      <c r="C281" s="4" t="s">
        <v>1391</v>
      </c>
    </row>
    <row r="282" spans="1:3" x14ac:dyDescent="0.35">
      <c r="A282" s="2" t="s">
        <v>1422</v>
      </c>
      <c r="B282" s="2" t="e">
        <f>Priv!#REF!</f>
        <v>#REF!</v>
      </c>
      <c r="C282" s="4" t="s">
        <v>1391</v>
      </c>
    </row>
    <row r="283" spans="1:3" x14ac:dyDescent="0.35">
      <c r="A283" s="2" t="s">
        <v>1423</v>
      </c>
      <c r="B283" s="2" t="e">
        <f>Priv!#REF!</f>
        <v>#REF!</v>
      </c>
      <c r="C283" s="4" t="s">
        <v>1391</v>
      </c>
    </row>
    <row r="284" spans="1:3" x14ac:dyDescent="0.35">
      <c r="A284" s="2" t="s">
        <v>1424</v>
      </c>
      <c r="B284" s="2" t="e">
        <f>Priv!#REF!</f>
        <v>#REF!</v>
      </c>
      <c r="C284" s="4" t="s">
        <v>1391</v>
      </c>
    </row>
    <row r="285" spans="1:3" x14ac:dyDescent="0.35">
      <c r="A285" s="5" t="s">
        <v>726</v>
      </c>
      <c r="B285" s="5">
        <f>Priv!C144</f>
        <v>0</v>
      </c>
      <c r="C285" s="6" t="s">
        <v>1425</v>
      </c>
    </row>
    <row r="286" spans="1:3" x14ac:dyDescent="0.35">
      <c r="A286" s="5" t="s">
        <v>728</v>
      </c>
      <c r="B286" s="5">
        <f>Priv!E144</f>
        <v>0</v>
      </c>
      <c r="C286" s="6" t="s">
        <v>1425</v>
      </c>
    </row>
    <row r="287" spans="1:3" x14ac:dyDescent="0.35">
      <c r="A287" s="5" t="s">
        <v>729</v>
      </c>
      <c r="B287" s="5">
        <f>Priv!G144</f>
        <v>0</v>
      </c>
      <c r="C287" s="6" t="s">
        <v>1425</v>
      </c>
    </row>
    <row r="288" spans="1:3" x14ac:dyDescent="0.35">
      <c r="A288" s="5" t="s">
        <v>730</v>
      </c>
      <c r="B288" s="5">
        <f>Priv!I144</f>
        <v>0</v>
      </c>
      <c r="C288" s="6" t="s">
        <v>1425</v>
      </c>
    </row>
    <row r="289" spans="1:3" x14ac:dyDescent="0.35">
      <c r="A289" s="5" t="s">
        <v>733</v>
      </c>
      <c r="B289" s="5">
        <f>Priv!C145</f>
        <v>0</v>
      </c>
      <c r="C289" s="6" t="s">
        <v>1425</v>
      </c>
    </row>
    <row r="290" spans="1:3" x14ac:dyDescent="0.35">
      <c r="A290" s="5" t="s">
        <v>734</v>
      </c>
      <c r="B290" s="5">
        <f>Priv!E145</f>
        <v>0</v>
      </c>
      <c r="C290" s="6" t="s">
        <v>1425</v>
      </c>
    </row>
    <row r="291" spans="1:3" x14ac:dyDescent="0.35">
      <c r="A291" s="5" t="s">
        <v>735</v>
      </c>
      <c r="B291" s="5">
        <f>Priv!G145</f>
        <v>0</v>
      </c>
      <c r="C291" s="6" t="s">
        <v>1425</v>
      </c>
    </row>
    <row r="292" spans="1:3" x14ac:dyDescent="0.35">
      <c r="A292" s="5" t="s">
        <v>736</v>
      </c>
      <c r="B292" s="5">
        <f>Priv!I145</f>
        <v>0</v>
      </c>
      <c r="C292" s="6" t="s">
        <v>1425</v>
      </c>
    </row>
    <row r="293" spans="1:3" x14ac:dyDescent="0.35">
      <c r="A293" s="5" t="s">
        <v>739</v>
      </c>
      <c r="B293" s="5">
        <f>Priv!C146</f>
        <v>0</v>
      </c>
      <c r="C293" s="6" t="s">
        <v>1425</v>
      </c>
    </row>
    <row r="294" spans="1:3" x14ac:dyDescent="0.35">
      <c r="A294" s="5" t="s">
        <v>740</v>
      </c>
      <c r="B294" s="5">
        <f>Priv!E146</f>
        <v>0</v>
      </c>
      <c r="C294" s="6" t="s">
        <v>1425</v>
      </c>
    </row>
    <row r="295" spans="1:3" x14ac:dyDescent="0.35">
      <c r="A295" s="5" t="s">
        <v>741</v>
      </c>
      <c r="B295" s="5">
        <f>Priv!G146</f>
        <v>0</v>
      </c>
      <c r="C295" s="6" t="s">
        <v>1425</v>
      </c>
    </row>
    <row r="296" spans="1:3" x14ac:dyDescent="0.35">
      <c r="A296" s="5" t="s">
        <v>742</v>
      </c>
      <c r="B296" s="5">
        <f>Priv!I146</f>
        <v>0</v>
      </c>
      <c r="C296" s="6" t="s">
        <v>1425</v>
      </c>
    </row>
    <row r="297" spans="1:3" x14ac:dyDescent="0.35">
      <c r="A297" s="5" t="s">
        <v>745</v>
      </c>
      <c r="B297" s="5">
        <f>Priv!C147</f>
        <v>0</v>
      </c>
      <c r="C297" s="6" t="s">
        <v>1425</v>
      </c>
    </row>
    <row r="298" spans="1:3" x14ac:dyDescent="0.35">
      <c r="A298" s="5" t="s">
        <v>746</v>
      </c>
      <c r="B298" s="5">
        <f>Priv!E147</f>
        <v>0</v>
      </c>
      <c r="C298" s="6" t="s">
        <v>1425</v>
      </c>
    </row>
    <row r="299" spans="1:3" x14ac:dyDescent="0.35">
      <c r="A299" s="5" t="s">
        <v>747</v>
      </c>
      <c r="B299" s="5">
        <f>Priv!G147</f>
        <v>0</v>
      </c>
      <c r="C299" s="6" t="s">
        <v>1425</v>
      </c>
    </row>
    <row r="300" spans="1:3" x14ac:dyDescent="0.35">
      <c r="A300" s="5" t="s">
        <v>748</v>
      </c>
      <c r="B300" s="5">
        <f>Priv!I147</f>
        <v>0</v>
      </c>
      <c r="C300" s="6" t="s">
        <v>1425</v>
      </c>
    </row>
    <row r="301" spans="1:3" x14ac:dyDescent="0.35">
      <c r="A301" s="5" t="s">
        <v>751</v>
      </c>
      <c r="B301" s="5">
        <f>Priv!C148</f>
        <v>0</v>
      </c>
      <c r="C301" s="6" t="s">
        <v>1425</v>
      </c>
    </row>
    <row r="302" spans="1:3" x14ac:dyDescent="0.35">
      <c r="A302" s="5" t="s">
        <v>752</v>
      </c>
      <c r="B302" s="5">
        <f>Priv!E148</f>
        <v>0</v>
      </c>
      <c r="C302" s="6" t="s">
        <v>1425</v>
      </c>
    </row>
    <row r="303" spans="1:3" x14ac:dyDescent="0.35">
      <c r="A303" s="5" t="s">
        <v>753</v>
      </c>
      <c r="B303" s="5">
        <f>Priv!G148</f>
        <v>0</v>
      </c>
      <c r="C303" s="6" t="s">
        <v>1425</v>
      </c>
    </row>
    <row r="304" spans="1:3" x14ac:dyDescent="0.35">
      <c r="A304" s="5" t="s">
        <v>754</v>
      </c>
      <c r="B304" s="5">
        <f>Priv!I148</f>
        <v>0</v>
      </c>
      <c r="C304" s="6" t="s">
        <v>1425</v>
      </c>
    </row>
    <row r="305" spans="1:3" x14ac:dyDescent="0.35">
      <c r="A305" s="5" t="s">
        <v>757</v>
      </c>
      <c r="B305" s="5">
        <f>Priv!C149</f>
        <v>0</v>
      </c>
      <c r="C305" s="6" t="s">
        <v>1425</v>
      </c>
    </row>
    <row r="306" spans="1:3" x14ac:dyDescent="0.35">
      <c r="A306" s="5" t="s">
        <v>758</v>
      </c>
      <c r="B306" s="5">
        <f>Priv!E149</f>
        <v>0</v>
      </c>
      <c r="C306" s="6" t="s">
        <v>1425</v>
      </c>
    </row>
    <row r="307" spans="1:3" x14ac:dyDescent="0.35">
      <c r="A307" s="5" t="s">
        <v>759</v>
      </c>
      <c r="B307" s="5">
        <f>Priv!G149</f>
        <v>0</v>
      </c>
      <c r="C307" s="6" t="s">
        <v>1425</v>
      </c>
    </row>
    <row r="308" spans="1:3" x14ac:dyDescent="0.35">
      <c r="A308" s="5" t="s">
        <v>760</v>
      </c>
      <c r="B308" s="5">
        <f>Priv!I149</f>
        <v>0</v>
      </c>
      <c r="C308" s="6" t="s">
        <v>1425</v>
      </c>
    </row>
    <row r="309" spans="1:3" x14ac:dyDescent="0.35">
      <c r="A309" s="5" t="s">
        <v>769</v>
      </c>
      <c r="B309" s="5">
        <f>Priv!E156</f>
        <v>0</v>
      </c>
      <c r="C309" s="6" t="s">
        <v>1426</v>
      </c>
    </row>
    <row r="310" spans="1:3" x14ac:dyDescent="0.35">
      <c r="A310" s="5" t="s">
        <v>1427</v>
      </c>
      <c r="B310" s="5" t="str">
        <f>Priv!E158</f>
        <v>0</v>
      </c>
      <c r="C310" s="6" t="s">
        <v>1426</v>
      </c>
    </row>
    <row r="311" spans="1:3" x14ac:dyDescent="0.35">
      <c r="A311" s="5" t="s">
        <v>773</v>
      </c>
      <c r="B311" s="5">
        <f>Priv!A167</f>
        <v>0</v>
      </c>
      <c r="C311" s="6" t="s">
        <v>1428</v>
      </c>
    </row>
    <row r="312" spans="1:3" x14ac:dyDescent="0.35">
      <c r="A312" s="5" t="s">
        <v>775</v>
      </c>
      <c r="B312" s="5">
        <f>Priv!E167</f>
        <v>0</v>
      </c>
      <c r="C312" s="6" t="s">
        <v>1428</v>
      </c>
    </row>
    <row r="313" spans="1:3" x14ac:dyDescent="0.35">
      <c r="A313" s="5" t="s">
        <v>776</v>
      </c>
      <c r="B313" s="5">
        <f>Priv!G167</f>
        <v>0</v>
      </c>
      <c r="C313" s="6" t="s">
        <v>1428</v>
      </c>
    </row>
    <row r="314" spans="1:3" x14ac:dyDescent="0.35">
      <c r="A314" s="5" t="s">
        <v>777</v>
      </c>
      <c r="B314" s="5">
        <f>Priv!I167</f>
        <v>0</v>
      </c>
      <c r="C314" s="6" t="s">
        <v>1428</v>
      </c>
    </row>
    <row r="315" spans="1:3" x14ac:dyDescent="0.35">
      <c r="A315" s="5" t="s">
        <v>778</v>
      </c>
      <c r="B315" s="5">
        <f>Priv!K167</f>
        <v>0</v>
      </c>
      <c r="C315" s="6" t="s">
        <v>1428</v>
      </c>
    </row>
    <row r="316" spans="1:3" x14ac:dyDescent="0.35">
      <c r="A316" s="5" t="s">
        <v>816</v>
      </c>
      <c r="B316" s="5">
        <f>Priv!D172</f>
        <v>0</v>
      </c>
      <c r="C316" s="6" t="s">
        <v>1429</v>
      </c>
    </row>
    <row r="317" spans="1:3" x14ac:dyDescent="0.35">
      <c r="A317" s="5" t="s">
        <v>818</v>
      </c>
      <c r="B317" s="5">
        <f>Priv!G172</f>
        <v>0</v>
      </c>
      <c r="C317" s="6" t="s">
        <v>1429</v>
      </c>
    </row>
    <row r="318" spans="1:3" x14ac:dyDescent="0.35">
      <c r="A318" s="5" t="s">
        <v>820</v>
      </c>
      <c r="B318" s="5">
        <f>Priv!D173</f>
        <v>0</v>
      </c>
      <c r="C318" s="6" t="s">
        <v>1429</v>
      </c>
    </row>
    <row r="319" spans="1:3" x14ac:dyDescent="0.35">
      <c r="A319" s="5" t="s">
        <v>821</v>
      </c>
      <c r="B319" s="5">
        <f>Priv!G173</f>
        <v>0</v>
      </c>
      <c r="C319" s="6" t="s">
        <v>1429</v>
      </c>
    </row>
    <row r="320" spans="1:3" x14ac:dyDescent="0.35">
      <c r="A320" s="5" t="s">
        <v>823</v>
      </c>
      <c r="B320" s="5">
        <f>Priv!D174</f>
        <v>0</v>
      </c>
      <c r="C320" s="6" t="s">
        <v>1429</v>
      </c>
    </row>
    <row r="321" spans="1:3" x14ac:dyDescent="0.35">
      <c r="A321" s="5" t="s">
        <v>824</v>
      </c>
      <c r="B321" s="5">
        <f>Priv!G174</f>
        <v>0</v>
      </c>
      <c r="C321" s="6" t="s">
        <v>1429</v>
      </c>
    </row>
    <row r="322" spans="1:3" x14ac:dyDescent="0.35">
      <c r="A322" s="5" t="s">
        <v>826</v>
      </c>
      <c r="B322" s="5">
        <f>Priv!D175</f>
        <v>0</v>
      </c>
      <c r="C322" s="6" t="s">
        <v>1429</v>
      </c>
    </row>
    <row r="323" spans="1:3" x14ac:dyDescent="0.35">
      <c r="A323" s="5" t="s">
        <v>827</v>
      </c>
      <c r="B323" s="5">
        <f>Priv!G175</f>
        <v>0</v>
      </c>
      <c r="C323" s="6" t="s">
        <v>1429</v>
      </c>
    </row>
    <row r="324" spans="1:3" x14ac:dyDescent="0.35">
      <c r="A324" s="5" t="s">
        <v>829</v>
      </c>
      <c r="B324" s="5">
        <f>Priv!D176</f>
        <v>0</v>
      </c>
      <c r="C324" s="6" t="s">
        <v>1429</v>
      </c>
    </row>
    <row r="325" spans="1:3" x14ac:dyDescent="0.35">
      <c r="A325" s="5" t="s">
        <v>830</v>
      </c>
      <c r="B325" s="5">
        <f>Priv!G176</f>
        <v>0</v>
      </c>
      <c r="C325" s="6" t="s">
        <v>1429</v>
      </c>
    </row>
    <row r="326" spans="1:3" x14ac:dyDescent="0.35">
      <c r="A326" s="5" t="s">
        <v>832</v>
      </c>
      <c r="B326" s="5">
        <f>Priv!D177</f>
        <v>0</v>
      </c>
      <c r="C326" s="6" t="s">
        <v>1429</v>
      </c>
    </row>
    <row r="327" spans="1:3" x14ac:dyDescent="0.35">
      <c r="A327" s="5" t="s">
        <v>833</v>
      </c>
      <c r="B327" s="5">
        <f>Priv!G177</f>
        <v>0</v>
      </c>
      <c r="C327" s="6" t="s">
        <v>1429</v>
      </c>
    </row>
    <row r="328" spans="1:3" x14ac:dyDescent="0.35">
      <c r="A328" s="5" t="s">
        <v>835</v>
      </c>
      <c r="B328" s="5">
        <f>Priv!D178</f>
        <v>0</v>
      </c>
      <c r="C328" s="6" t="s">
        <v>1429</v>
      </c>
    </row>
    <row r="329" spans="1:3" x14ac:dyDescent="0.35">
      <c r="A329" s="5" t="s">
        <v>836</v>
      </c>
      <c r="B329" s="5">
        <f>Priv!G178</f>
        <v>0</v>
      </c>
      <c r="C329" s="6" t="s">
        <v>1429</v>
      </c>
    </row>
    <row r="330" spans="1:3" x14ac:dyDescent="0.35">
      <c r="A330" s="5" t="s">
        <v>838</v>
      </c>
      <c r="B330" s="5" t="e">
        <f>Priv!#REF!</f>
        <v>#REF!</v>
      </c>
      <c r="C330" s="6" t="s">
        <v>1430</v>
      </c>
    </row>
    <row r="331" spans="1:3" x14ac:dyDescent="0.35">
      <c r="A331" s="5" t="s">
        <v>1431</v>
      </c>
      <c r="B331" s="5" t="e">
        <f>Priv!#REF!</f>
        <v>#REF!</v>
      </c>
      <c r="C331" s="6" t="s">
        <v>1430</v>
      </c>
    </row>
    <row r="332" spans="1:3" x14ac:dyDescent="0.35">
      <c r="A332" s="5" t="s">
        <v>840</v>
      </c>
      <c r="B332" s="5" t="e">
        <f>Priv!#REF!</f>
        <v>#REF!</v>
      </c>
      <c r="C332" s="6" t="s">
        <v>1430</v>
      </c>
    </row>
    <row r="333" spans="1:3" x14ac:dyDescent="0.35">
      <c r="A333" s="5" t="s">
        <v>1432</v>
      </c>
      <c r="B333" s="5" t="e">
        <f>Priv!#REF!</f>
        <v>#REF!</v>
      </c>
      <c r="C333" s="6" t="s">
        <v>1430</v>
      </c>
    </row>
    <row r="334" spans="1:3" x14ac:dyDescent="0.35">
      <c r="A334" s="5" t="s">
        <v>841</v>
      </c>
      <c r="B334" s="5">
        <f>Priv!A186</f>
        <v>0</v>
      </c>
      <c r="C334" s="6">
        <v>4</v>
      </c>
    </row>
    <row r="335" spans="1:3" x14ac:dyDescent="0.35">
      <c r="A335" s="5" t="s">
        <v>843</v>
      </c>
      <c r="B335" s="5">
        <f>Priv!D186</f>
        <v>0</v>
      </c>
      <c r="C335" s="6">
        <v>4</v>
      </c>
    </row>
    <row r="336" spans="1:3" x14ac:dyDescent="0.35">
      <c r="A336" s="5" t="s">
        <v>844</v>
      </c>
      <c r="B336" s="5">
        <f>Priv!G186</f>
        <v>0</v>
      </c>
      <c r="C336" s="6">
        <v>4</v>
      </c>
    </row>
    <row r="337" spans="1:3" x14ac:dyDescent="0.35">
      <c r="A337" s="5" t="s">
        <v>847</v>
      </c>
      <c r="B337" s="5">
        <f>Priv!I191</f>
        <v>0</v>
      </c>
      <c r="C337" s="6">
        <v>5</v>
      </c>
    </row>
    <row r="338" spans="1:3" x14ac:dyDescent="0.35">
      <c r="A338" s="5" t="s">
        <v>850</v>
      </c>
      <c r="B338" s="5">
        <f>Priv!I192</f>
        <v>0</v>
      </c>
      <c r="C338" s="6">
        <v>5</v>
      </c>
    </row>
    <row r="339" spans="1:3" x14ac:dyDescent="0.35">
      <c r="A339" s="5" t="s">
        <v>862</v>
      </c>
      <c r="B339" s="5">
        <f>Priv!E203</f>
        <v>0</v>
      </c>
      <c r="C339" s="6" t="s">
        <v>1433</v>
      </c>
    </row>
    <row r="340" spans="1:3" x14ac:dyDescent="0.35">
      <c r="A340" s="5" t="s">
        <v>864</v>
      </c>
      <c r="B340" s="5">
        <f>Priv!G203</f>
        <v>0</v>
      </c>
      <c r="C340" s="6" t="s">
        <v>1433</v>
      </c>
    </row>
    <row r="341" spans="1:3" x14ac:dyDescent="0.35">
      <c r="A341" s="5" t="s">
        <v>1434</v>
      </c>
      <c r="B341" s="5">
        <f>Priv!I203</f>
        <v>0</v>
      </c>
      <c r="C341" s="6" t="s">
        <v>1433</v>
      </c>
    </row>
    <row r="342" spans="1:3" x14ac:dyDescent="0.35">
      <c r="A342" s="5" t="s">
        <v>1435</v>
      </c>
      <c r="B342" s="5">
        <f>Priv!K203</f>
        <v>0</v>
      </c>
      <c r="C342" s="6" t="s">
        <v>1433</v>
      </c>
    </row>
    <row r="343" spans="1:3" x14ac:dyDescent="0.35">
      <c r="A343" s="5" t="s">
        <v>1436</v>
      </c>
      <c r="B343" s="5">
        <f>Priv!M203</f>
        <v>0</v>
      </c>
      <c r="C343" s="6" t="s">
        <v>1433</v>
      </c>
    </row>
    <row r="344" spans="1:3" x14ac:dyDescent="0.35">
      <c r="A344" s="5" t="s">
        <v>1437</v>
      </c>
      <c r="B344" s="5">
        <f>Priv!O203</f>
        <v>0</v>
      </c>
      <c r="C344" s="6" t="s">
        <v>1433</v>
      </c>
    </row>
    <row r="345" spans="1:3" x14ac:dyDescent="0.35">
      <c r="A345" s="5" t="s">
        <v>1438</v>
      </c>
      <c r="B345" s="5">
        <f>Priv!P203</f>
        <v>0</v>
      </c>
      <c r="C345" s="6" t="s">
        <v>1433</v>
      </c>
    </row>
    <row r="346" spans="1:3" x14ac:dyDescent="0.35">
      <c r="A346" s="5" t="s">
        <v>1439</v>
      </c>
      <c r="B346" s="5">
        <f>Priv!R203</f>
        <v>0</v>
      </c>
      <c r="C346" s="6" t="s">
        <v>1433</v>
      </c>
    </row>
    <row r="347" spans="1:3" x14ac:dyDescent="0.35">
      <c r="A347" s="5" t="s">
        <v>867</v>
      </c>
      <c r="B347" s="5">
        <f>Priv!E211</f>
        <v>0</v>
      </c>
      <c r="C347" s="6" t="s">
        <v>1440</v>
      </c>
    </row>
    <row r="348" spans="1:3" x14ac:dyDescent="0.35">
      <c r="A348" s="5" t="s">
        <v>869</v>
      </c>
      <c r="B348" s="5">
        <f>Priv!G211</f>
        <v>0</v>
      </c>
      <c r="C348" s="6" t="s">
        <v>1440</v>
      </c>
    </row>
    <row r="349" spans="1:3" x14ac:dyDescent="0.35">
      <c r="A349" s="5" t="s">
        <v>870</v>
      </c>
      <c r="B349" s="5">
        <f>Priv!I211</f>
        <v>0</v>
      </c>
      <c r="C349" s="6" t="s">
        <v>1440</v>
      </c>
    </row>
    <row r="350" spans="1:3" x14ac:dyDescent="0.35">
      <c r="A350" s="5" t="s">
        <v>871</v>
      </c>
      <c r="B350" s="5">
        <f>Priv!K211</f>
        <v>0</v>
      </c>
      <c r="C350" s="6" t="s">
        <v>1440</v>
      </c>
    </row>
    <row r="351" spans="1:3" x14ac:dyDescent="0.35">
      <c r="A351" s="5" t="s">
        <v>1441</v>
      </c>
      <c r="B351" s="5">
        <f>Priv!M211</f>
        <v>0</v>
      </c>
      <c r="C351" s="6" t="s">
        <v>1440</v>
      </c>
    </row>
    <row r="352" spans="1:3" x14ac:dyDescent="0.35">
      <c r="A352" s="5" t="s">
        <v>1442</v>
      </c>
      <c r="B352" s="5">
        <f>Priv!O211</f>
        <v>0</v>
      </c>
      <c r="C352" s="6" t="s">
        <v>1440</v>
      </c>
    </row>
    <row r="353" spans="1:4" x14ac:dyDescent="0.35">
      <c r="A353" s="5" t="s">
        <v>1443</v>
      </c>
      <c r="B353" s="5">
        <f>Priv!P211</f>
        <v>0</v>
      </c>
      <c r="C353" s="6" t="s">
        <v>1440</v>
      </c>
    </row>
    <row r="354" spans="1:4" x14ac:dyDescent="0.35">
      <c r="A354" s="5" t="s">
        <v>1444</v>
      </c>
      <c r="B354" s="5">
        <f>Priv!R211</f>
        <v>0</v>
      </c>
      <c r="C354" s="6" t="s">
        <v>1440</v>
      </c>
    </row>
    <row r="355" spans="1:4" x14ac:dyDescent="0.35">
      <c r="A355" s="5" t="s">
        <v>872</v>
      </c>
      <c r="B355" s="5">
        <f>Priv!E212</f>
        <v>0</v>
      </c>
      <c r="C355" s="6" t="s">
        <v>1440</v>
      </c>
    </row>
    <row r="356" spans="1:4" x14ac:dyDescent="0.35">
      <c r="A356" s="5" t="s">
        <v>873</v>
      </c>
      <c r="B356" s="5">
        <f>Priv!G212</f>
        <v>0</v>
      </c>
      <c r="C356" s="6" t="s">
        <v>1440</v>
      </c>
    </row>
    <row r="357" spans="1:4" x14ac:dyDescent="0.35">
      <c r="A357" s="5" t="s">
        <v>874</v>
      </c>
      <c r="B357" s="5">
        <f>Priv!I212</f>
        <v>0</v>
      </c>
      <c r="C357" s="6" t="s">
        <v>1440</v>
      </c>
    </row>
    <row r="358" spans="1:4" x14ac:dyDescent="0.35">
      <c r="A358" s="5" t="s">
        <v>875</v>
      </c>
      <c r="B358" s="5">
        <f>Priv!K212</f>
        <v>0</v>
      </c>
      <c r="C358" s="6" t="s">
        <v>1440</v>
      </c>
    </row>
    <row r="359" spans="1:4" x14ac:dyDescent="0.35">
      <c r="A359" s="5" t="s">
        <v>1445</v>
      </c>
      <c r="B359" s="5">
        <f>Priv!M212</f>
        <v>0</v>
      </c>
      <c r="C359" s="6" t="s">
        <v>1440</v>
      </c>
    </row>
    <row r="360" spans="1:4" x14ac:dyDescent="0.35">
      <c r="A360" s="5" t="s">
        <v>1446</v>
      </c>
      <c r="B360" s="5">
        <f>Priv!O212</f>
        <v>0</v>
      </c>
      <c r="C360" s="6" t="s">
        <v>1440</v>
      </c>
    </row>
    <row r="361" spans="1:4" x14ac:dyDescent="0.35">
      <c r="A361" s="5" t="s">
        <v>1447</v>
      </c>
      <c r="B361" s="5">
        <f>Priv!P212</f>
        <v>0</v>
      </c>
      <c r="C361" s="6" t="s">
        <v>1440</v>
      </c>
    </row>
    <row r="362" spans="1:4" x14ac:dyDescent="0.35">
      <c r="A362" s="5" t="s">
        <v>1448</v>
      </c>
      <c r="B362" s="5">
        <f>Priv!R212</f>
        <v>0</v>
      </c>
      <c r="C362" s="6" t="s">
        <v>1440</v>
      </c>
    </row>
    <row r="363" spans="1:4" x14ac:dyDescent="0.35">
      <c r="A363" s="5" t="s">
        <v>876</v>
      </c>
      <c r="B363" s="5">
        <v>0</v>
      </c>
      <c r="C363" s="6" t="s">
        <v>1440</v>
      </c>
      <c r="D363" s="7" t="s">
        <v>1449</v>
      </c>
    </row>
    <row r="364" spans="1:4" x14ac:dyDescent="0.35">
      <c r="A364" s="5" t="s">
        <v>877</v>
      </c>
      <c r="B364" s="5">
        <v>0</v>
      </c>
      <c r="C364" s="6" t="s">
        <v>1440</v>
      </c>
      <c r="D364" s="7" t="s">
        <v>1449</v>
      </c>
    </row>
    <row r="365" spans="1:4" x14ac:dyDescent="0.35">
      <c r="A365" s="5" t="s">
        <v>878</v>
      </c>
      <c r="B365" s="5">
        <v>0</v>
      </c>
      <c r="C365" s="6" t="s">
        <v>1440</v>
      </c>
      <c r="D365" s="7" t="s">
        <v>1449</v>
      </c>
    </row>
    <row r="366" spans="1:4" x14ac:dyDescent="0.35">
      <c r="A366" s="5" t="s">
        <v>879</v>
      </c>
      <c r="B366" s="5">
        <v>0</v>
      </c>
      <c r="C366" s="6" t="s">
        <v>1440</v>
      </c>
      <c r="D366" s="7" t="s">
        <v>1449</v>
      </c>
    </row>
    <row r="367" spans="1:4" x14ac:dyDescent="0.35">
      <c r="A367" s="5" t="s">
        <v>1450</v>
      </c>
      <c r="B367" s="5">
        <v>0</v>
      </c>
      <c r="C367" s="6" t="s">
        <v>1440</v>
      </c>
      <c r="D367" s="7" t="s">
        <v>1449</v>
      </c>
    </row>
    <row r="368" spans="1:4" x14ac:dyDescent="0.35">
      <c r="A368" s="5" t="s">
        <v>1451</v>
      </c>
      <c r="B368" s="5">
        <v>0</v>
      </c>
      <c r="C368" s="6" t="s">
        <v>1440</v>
      </c>
      <c r="D368" s="7" t="s">
        <v>1449</v>
      </c>
    </row>
    <row r="369" spans="1:4" x14ac:dyDescent="0.35">
      <c r="A369" s="5" t="s">
        <v>1452</v>
      </c>
      <c r="B369" s="5">
        <v>0</v>
      </c>
      <c r="C369" s="6" t="s">
        <v>1440</v>
      </c>
      <c r="D369" s="7" t="s">
        <v>1449</v>
      </c>
    </row>
    <row r="370" spans="1:4" x14ac:dyDescent="0.35">
      <c r="A370" s="5" t="s">
        <v>1453</v>
      </c>
      <c r="B370" s="5">
        <f>Priv!R213</f>
        <v>0</v>
      </c>
      <c r="C370" s="6" t="s">
        <v>1440</v>
      </c>
    </row>
    <row r="371" spans="1:4" x14ac:dyDescent="0.35">
      <c r="A371" s="5" t="s">
        <v>896</v>
      </c>
      <c r="B371" s="5">
        <f>Priv!E221</f>
        <v>0</v>
      </c>
      <c r="C371" s="6" t="s">
        <v>934</v>
      </c>
    </row>
    <row r="372" spans="1:4" x14ac:dyDescent="0.35">
      <c r="A372" s="5" t="s">
        <v>898</v>
      </c>
      <c r="B372" s="5">
        <f>Priv!G221</f>
        <v>0</v>
      </c>
      <c r="C372" s="6" t="s">
        <v>934</v>
      </c>
    </row>
    <row r="373" spans="1:4" x14ac:dyDescent="0.35">
      <c r="A373" s="5" t="s">
        <v>899</v>
      </c>
      <c r="B373" s="5">
        <f>Priv!I221</f>
        <v>0</v>
      </c>
      <c r="C373" s="6" t="s">
        <v>934</v>
      </c>
    </row>
    <row r="374" spans="1:4" x14ac:dyDescent="0.35">
      <c r="A374" s="5" t="s">
        <v>900</v>
      </c>
      <c r="B374" s="5">
        <f>Priv!K221</f>
        <v>0</v>
      </c>
      <c r="C374" s="6" t="s">
        <v>934</v>
      </c>
    </row>
    <row r="375" spans="1:4" x14ac:dyDescent="0.35">
      <c r="A375" s="5" t="s">
        <v>901</v>
      </c>
      <c r="B375" s="5">
        <f>Priv!E222</f>
        <v>0</v>
      </c>
      <c r="C375" s="6" t="s">
        <v>934</v>
      </c>
    </row>
    <row r="376" spans="1:4" x14ac:dyDescent="0.35">
      <c r="A376" s="5" t="s">
        <v>902</v>
      </c>
      <c r="B376" s="5">
        <f>Priv!G222</f>
        <v>0</v>
      </c>
      <c r="C376" s="6" t="s">
        <v>934</v>
      </c>
    </row>
    <row r="377" spans="1:4" x14ac:dyDescent="0.35">
      <c r="A377" s="5" t="s">
        <v>903</v>
      </c>
      <c r="B377" s="5">
        <f>Priv!I222</f>
        <v>0</v>
      </c>
      <c r="C377" s="6" t="s">
        <v>934</v>
      </c>
    </row>
    <row r="378" spans="1:4" x14ac:dyDescent="0.35">
      <c r="A378" s="5" t="s">
        <v>904</v>
      </c>
      <c r="B378" s="5">
        <f>Priv!K222</f>
        <v>0</v>
      </c>
      <c r="C378" s="6" t="s">
        <v>934</v>
      </c>
    </row>
    <row r="379" spans="1:4" x14ac:dyDescent="0.35">
      <c r="A379" s="5" t="s">
        <v>905</v>
      </c>
      <c r="B379" s="5">
        <f>Priv!E223</f>
        <v>0</v>
      </c>
      <c r="C379" s="6" t="s">
        <v>934</v>
      </c>
    </row>
    <row r="380" spans="1:4" x14ac:dyDescent="0.35">
      <c r="A380" s="5" t="s">
        <v>906</v>
      </c>
      <c r="B380" s="5">
        <f>Priv!G223</f>
        <v>0</v>
      </c>
      <c r="C380" s="6" t="s">
        <v>934</v>
      </c>
    </row>
    <row r="381" spans="1:4" x14ac:dyDescent="0.35">
      <c r="A381" s="5" t="s">
        <v>907</v>
      </c>
      <c r="B381" s="5">
        <f>Priv!I223</f>
        <v>0</v>
      </c>
      <c r="C381" s="6" t="s">
        <v>934</v>
      </c>
    </row>
    <row r="382" spans="1:4" x14ac:dyDescent="0.35">
      <c r="A382" s="5" t="s">
        <v>908</v>
      </c>
      <c r="B382" s="5">
        <f>Priv!K223</f>
        <v>0</v>
      </c>
      <c r="C382" s="6" t="s">
        <v>934</v>
      </c>
    </row>
    <row r="383" spans="1:4" x14ac:dyDescent="0.35">
      <c r="A383" s="5" t="s">
        <v>909</v>
      </c>
      <c r="B383" s="5">
        <f>Priv!E224</f>
        <v>0</v>
      </c>
      <c r="C383" s="6" t="s">
        <v>934</v>
      </c>
    </row>
    <row r="384" spans="1:4" x14ac:dyDescent="0.35">
      <c r="A384" s="5" t="s">
        <v>910</v>
      </c>
      <c r="B384" s="5">
        <f>Priv!G224</f>
        <v>0</v>
      </c>
      <c r="C384" s="6" t="s">
        <v>934</v>
      </c>
    </row>
    <row r="385" spans="1:3" x14ac:dyDescent="0.35">
      <c r="A385" s="5" t="s">
        <v>911</v>
      </c>
      <c r="B385" s="5">
        <f>Priv!I224</f>
        <v>0</v>
      </c>
      <c r="C385" s="6" t="s">
        <v>934</v>
      </c>
    </row>
    <row r="386" spans="1:3" x14ac:dyDescent="0.35">
      <c r="A386" s="5" t="s">
        <v>912</v>
      </c>
      <c r="B386" s="5">
        <f>Priv!K224</f>
        <v>0</v>
      </c>
      <c r="C386" s="6" t="s">
        <v>934</v>
      </c>
    </row>
    <row r="387" spans="1:3" x14ac:dyDescent="0.35">
      <c r="A387" s="2" t="s">
        <v>913</v>
      </c>
      <c r="B387" s="2">
        <f>Priv!E225</f>
        <v>0</v>
      </c>
      <c r="C387" s="4" t="s">
        <v>934</v>
      </c>
    </row>
    <row r="388" spans="1:3" x14ac:dyDescent="0.35">
      <c r="A388" s="2" t="s">
        <v>914</v>
      </c>
      <c r="B388" s="2">
        <f>Priv!G225</f>
        <v>0</v>
      </c>
      <c r="C388" s="4" t="s">
        <v>934</v>
      </c>
    </row>
    <row r="389" spans="1:3" x14ac:dyDescent="0.35">
      <c r="A389" s="2" t="s">
        <v>915</v>
      </c>
      <c r="B389" s="2">
        <f>Priv!I225</f>
        <v>0</v>
      </c>
      <c r="C389" s="4" t="s">
        <v>934</v>
      </c>
    </row>
    <row r="390" spans="1:3" x14ac:dyDescent="0.35">
      <c r="A390" s="2" t="s">
        <v>916</v>
      </c>
      <c r="B390" s="2">
        <f>Priv!K225</f>
        <v>0</v>
      </c>
      <c r="C390" s="4" t="s">
        <v>934</v>
      </c>
    </row>
    <row r="391" spans="1:3" x14ac:dyDescent="0.35">
      <c r="A391" s="2" t="s">
        <v>917</v>
      </c>
      <c r="B391" s="2">
        <f>Priv!E226</f>
        <v>0</v>
      </c>
      <c r="C391" s="4" t="s">
        <v>934</v>
      </c>
    </row>
    <row r="392" spans="1:3" x14ac:dyDescent="0.35">
      <c r="A392" s="2" t="s">
        <v>918</v>
      </c>
      <c r="B392" s="2">
        <f>Priv!G226</f>
        <v>0</v>
      </c>
      <c r="C392" s="4" t="s">
        <v>934</v>
      </c>
    </row>
    <row r="393" spans="1:3" x14ac:dyDescent="0.35">
      <c r="A393" s="2" t="s">
        <v>919</v>
      </c>
      <c r="B393" s="2">
        <f>Priv!I226</f>
        <v>0</v>
      </c>
      <c r="C393" s="4" t="s">
        <v>934</v>
      </c>
    </row>
    <row r="394" spans="1:3" x14ac:dyDescent="0.35">
      <c r="A394" s="2" t="s">
        <v>920</v>
      </c>
      <c r="B394" s="2">
        <f>Priv!K226</f>
        <v>0</v>
      </c>
      <c r="C394" s="4" t="s">
        <v>934</v>
      </c>
    </row>
    <row r="395" spans="1:3" x14ac:dyDescent="0.35">
      <c r="A395" s="5" t="s">
        <v>921</v>
      </c>
      <c r="B395" s="5">
        <f>Priv!E232</f>
        <v>0</v>
      </c>
      <c r="C395" s="6" t="s">
        <v>955</v>
      </c>
    </row>
    <row r="396" spans="1:3" x14ac:dyDescent="0.35">
      <c r="A396" s="5" t="s">
        <v>922</v>
      </c>
      <c r="B396" s="5">
        <f>Priv!F232</f>
        <v>0</v>
      </c>
      <c r="C396" s="6" t="s">
        <v>955</v>
      </c>
    </row>
    <row r="397" spans="1:3" x14ac:dyDescent="0.35">
      <c r="A397" s="5" t="s">
        <v>923</v>
      </c>
      <c r="B397" s="5">
        <f>Priv!G232</f>
        <v>0</v>
      </c>
      <c r="C397" s="6" t="s">
        <v>955</v>
      </c>
    </row>
    <row r="398" spans="1:3" x14ac:dyDescent="0.35">
      <c r="A398" s="5" t="s">
        <v>924</v>
      </c>
      <c r="B398" s="5">
        <f>Priv!H232</f>
        <v>0</v>
      </c>
      <c r="C398" s="6" t="s">
        <v>955</v>
      </c>
    </row>
    <row r="399" spans="1:3" x14ac:dyDescent="0.35">
      <c r="A399" s="5" t="s">
        <v>925</v>
      </c>
      <c r="B399" s="5">
        <f>Priv!I232</f>
        <v>0</v>
      </c>
      <c r="C399" s="6" t="s">
        <v>955</v>
      </c>
    </row>
    <row r="400" spans="1:3" x14ac:dyDescent="0.35">
      <c r="A400" s="5" t="s">
        <v>926</v>
      </c>
      <c r="B400" s="5">
        <f>Priv!J232</f>
        <v>0</v>
      </c>
      <c r="C400" s="6" t="s">
        <v>955</v>
      </c>
    </row>
    <row r="401" spans="1:3" x14ac:dyDescent="0.35">
      <c r="A401" s="5" t="s">
        <v>1454</v>
      </c>
      <c r="B401" s="5">
        <f>Priv!K232</f>
        <v>0</v>
      </c>
      <c r="C401" s="6" t="s">
        <v>955</v>
      </c>
    </row>
    <row r="402" spans="1:3" x14ac:dyDescent="0.35">
      <c r="A402" s="5" t="s">
        <v>1455</v>
      </c>
      <c r="B402" s="5">
        <f>Priv!L232</f>
        <v>0</v>
      </c>
      <c r="C402" s="6" t="s">
        <v>955</v>
      </c>
    </row>
    <row r="403" spans="1:3" x14ac:dyDescent="0.35">
      <c r="A403" s="5" t="s">
        <v>927</v>
      </c>
      <c r="B403" s="5">
        <f>Priv!E233</f>
        <v>0</v>
      </c>
      <c r="C403" s="6" t="s">
        <v>955</v>
      </c>
    </row>
    <row r="404" spans="1:3" x14ac:dyDescent="0.35">
      <c r="A404" s="5" t="s">
        <v>928</v>
      </c>
      <c r="B404" s="5">
        <f>Priv!F233</f>
        <v>0</v>
      </c>
      <c r="C404" s="6" t="s">
        <v>955</v>
      </c>
    </row>
    <row r="405" spans="1:3" x14ac:dyDescent="0.35">
      <c r="A405" s="5" t="s">
        <v>929</v>
      </c>
      <c r="B405" s="5">
        <f>Priv!G233</f>
        <v>0</v>
      </c>
      <c r="C405" s="6" t="s">
        <v>955</v>
      </c>
    </row>
    <row r="406" spans="1:3" x14ac:dyDescent="0.35">
      <c r="A406" s="5" t="s">
        <v>930</v>
      </c>
      <c r="B406" s="5">
        <f>Priv!H233</f>
        <v>0</v>
      </c>
      <c r="C406" s="6" t="s">
        <v>955</v>
      </c>
    </row>
    <row r="407" spans="1:3" x14ac:dyDescent="0.35">
      <c r="A407" s="5" t="s">
        <v>931</v>
      </c>
      <c r="B407" s="5">
        <f>Priv!I233</f>
        <v>0</v>
      </c>
      <c r="C407" s="6" t="s">
        <v>955</v>
      </c>
    </row>
    <row r="408" spans="1:3" x14ac:dyDescent="0.35">
      <c r="A408" s="5" t="s">
        <v>932</v>
      </c>
      <c r="B408" s="5">
        <f>Priv!J233</f>
        <v>0</v>
      </c>
      <c r="C408" s="6" t="s">
        <v>955</v>
      </c>
    </row>
    <row r="409" spans="1:3" x14ac:dyDescent="0.35">
      <c r="A409" s="5" t="s">
        <v>1456</v>
      </c>
      <c r="B409" s="5">
        <f>Priv!K233</f>
        <v>0</v>
      </c>
      <c r="C409" s="6" t="s">
        <v>955</v>
      </c>
    </row>
    <row r="410" spans="1:3" x14ac:dyDescent="0.35">
      <c r="A410" s="5" t="s">
        <v>1457</v>
      </c>
      <c r="B410" s="5">
        <f>Priv!L233</f>
        <v>0</v>
      </c>
      <c r="C410" s="6" t="s">
        <v>955</v>
      </c>
    </row>
    <row r="411" spans="1:3" x14ac:dyDescent="0.35">
      <c r="A411" s="5" t="s">
        <v>1458</v>
      </c>
      <c r="B411" s="5">
        <f>Priv!E234</f>
        <v>0</v>
      </c>
      <c r="C411" s="6" t="s">
        <v>955</v>
      </c>
    </row>
    <row r="412" spans="1:3" x14ac:dyDescent="0.35">
      <c r="A412" s="5" t="s">
        <v>1459</v>
      </c>
      <c r="B412" s="5">
        <f>Priv!F234</f>
        <v>0</v>
      </c>
      <c r="C412" s="6" t="s">
        <v>955</v>
      </c>
    </row>
    <row r="413" spans="1:3" x14ac:dyDescent="0.35">
      <c r="A413" s="5" t="s">
        <v>1460</v>
      </c>
      <c r="B413" s="5">
        <f>Priv!G234</f>
        <v>0</v>
      </c>
      <c r="C413" s="6" t="s">
        <v>955</v>
      </c>
    </row>
    <row r="414" spans="1:3" x14ac:dyDescent="0.35">
      <c r="A414" s="5" t="s">
        <v>1461</v>
      </c>
      <c r="B414" s="5">
        <f>Priv!H234</f>
        <v>0</v>
      </c>
      <c r="C414" s="6" t="s">
        <v>955</v>
      </c>
    </row>
    <row r="415" spans="1:3" x14ac:dyDescent="0.35">
      <c r="A415" s="5" t="s">
        <v>1462</v>
      </c>
      <c r="B415" s="5">
        <f>Priv!I234</f>
        <v>0</v>
      </c>
      <c r="C415" s="6" t="s">
        <v>955</v>
      </c>
    </row>
    <row r="416" spans="1:3" x14ac:dyDescent="0.35">
      <c r="A416" s="5" t="s">
        <v>1463</v>
      </c>
      <c r="B416" s="5">
        <f>Priv!J234</f>
        <v>0</v>
      </c>
      <c r="C416" s="6" t="s">
        <v>955</v>
      </c>
    </row>
    <row r="417" spans="1:3" x14ac:dyDescent="0.35">
      <c r="A417" s="5" t="s">
        <v>1464</v>
      </c>
      <c r="B417" s="5">
        <f>Priv!K234</f>
        <v>0</v>
      </c>
      <c r="C417" s="6" t="s">
        <v>955</v>
      </c>
    </row>
    <row r="418" spans="1:3" x14ac:dyDescent="0.35">
      <c r="A418" s="5" t="s">
        <v>1465</v>
      </c>
      <c r="B418" s="5">
        <f>Priv!L234</f>
        <v>0</v>
      </c>
      <c r="C418" s="6" t="s">
        <v>955</v>
      </c>
    </row>
    <row r="419" spans="1:3" x14ac:dyDescent="0.35">
      <c r="A419" s="5" t="s">
        <v>1466</v>
      </c>
      <c r="B419" s="5">
        <f>Priv!E235</f>
        <v>0</v>
      </c>
      <c r="C419" s="6" t="s">
        <v>955</v>
      </c>
    </row>
    <row r="420" spans="1:3" x14ac:dyDescent="0.35">
      <c r="A420" s="5" t="s">
        <v>1467</v>
      </c>
      <c r="B420" s="5">
        <f>Priv!F235</f>
        <v>0</v>
      </c>
      <c r="C420" s="6" t="s">
        <v>955</v>
      </c>
    </row>
    <row r="421" spans="1:3" x14ac:dyDescent="0.35">
      <c r="A421" s="5" t="s">
        <v>1468</v>
      </c>
      <c r="B421" s="5">
        <f>Priv!G235</f>
        <v>0</v>
      </c>
      <c r="C421" s="6" t="s">
        <v>955</v>
      </c>
    </row>
    <row r="422" spans="1:3" x14ac:dyDescent="0.35">
      <c r="A422" s="5" t="s">
        <v>1469</v>
      </c>
      <c r="B422" s="5">
        <f>Priv!H235</f>
        <v>0</v>
      </c>
      <c r="C422" s="6" t="s">
        <v>955</v>
      </c>
    </row>
    <row r="423" spans="1:3" x14ac:dyDescent="0.35">
      <c r="A423" s="5" t="s">
        <v>1470</v>
      </c>
      <c r="B423" s="5">
        <f>Priv!I235</f>
        <v>0</v>
      </c>
      <c r="C423" s="6" t="s">
        <v>955</v>
      </c>
    </row>
    <row r="424" spans="1:3" x14ac:dyDescent="0.35">
      <c r="A424" s="5" t="s">
        <v>1471</v>
      </c>
      <c r="B424" s="5">
        <f>Priv!J235</f>
        <v>0</v>
      </c>
      <c r="C424" s="6" t="s">
        <v>955</v>
      </c>
    </row>
    <row r="425" spans="1:3" x14ac:dyDescent="0.35">
      <c r="A425" s="5" t="s">
        <v>1472</v>
      </c>
      <c r="B425" s="5">
        <f>Priv!K235</f>
        <v>0</v>
      </c>
      <c r="C425" s="6" t="s">
        <v>955</v>
      </c>
    </row>
    <row r="426" spans="1:3" x14ac:dyDescent="0.35">
      <c r="A426" s="5" t="s">
        <v>1473</v>
      </c>
      <c r="B426" s="5">
        <f>Priv!L235</f>
        <v>0</v>
      </c>
      <c r="C426" s="6" t="s">
        <v>955</v>
      </c>
    </row>
    <row r="427" spans="1:3" x14ac:dyDescent="0.35">
      <c r="A427" s="5" t="s">
        <v>1474</v>
      </c>
      <c r="B427" s="5">
        <f>Priv!E236</f>
        <v>0</v>
      </c>
      <c r="C427" s="6" t="s">
        <v>955</v>
      </c>
    </row>
    <row r="428" spans="1:3" x14ac:dyDescent="0.35">
      <c r="A428" s="5" t="s">
        <v>1475</v>
      </c>
      <c r="B428" s="5">
        <f>Priv!F236</f>
        <v>0</v>
      </c>
      <c r="C428" s="6" t="s">
        <v>955</v>
      </c>
    </row>
    <row r="429" spans="1:3" x14ac:dyDescent="0.35">
      <c r="A429" s="5" t="s">
        <v>1476</v>
      </c>
      <c r="B429" s="5">
        <f>Priv!G236</f>
        <v>0</v>
      </c>
      <c r="C429" s="6" t="s">
        <v>955</v>
      </c>
    </row>
    <row r="430" spans="1:3" x14ac:dyDescent="0.35">
      <c r="A430" s="5" t="s">
        <v>1477</v>
      </c>
      <c r="B430" s="5">
        <f>Priv!H236</f>
        <v>0</v>
      </c>
      <c r="C430" s="6" t="s">
        <v>955</v>
      </c>
    </row>
    <row r="431" spans="1:3" x14ac:dyDescent="0.35">
      <c r="A431" s="5" t="s">
        <v>1478</v>
      </c>
      <c r="B431" s="5">
        <f>Priv!I236</f>
        <v>0</v>
      </c>
      <c r="C431" s="6" t="s">
        <v>955</v>
      </c>
    </row>
    <row r="432" spans="1:3" x14ac:dyDescent="0.35">
      <c r="A432" s="5" t="s">
        <v>1479</v>
      </c>
      <c r="B432" s="5">
        <f>Priv!J236</f>
        <v>0</v>
      </c>
      <c r="C432" s="6" t="s">
        <v>955</v>
      </c>
    </row>
    <row r="433" spans="1:3" x14ac:dyDescent="0.35">
      <c r="A433" s="5" t="s">
        <v>1480</v>
      </c>
      <c r="B433" s="5">
        <f>Priv!K236</f>
        <v>0</v>
      </c>
      <c r="C433" s="6" t="s">
        <v>955</v>
      </c>
    </row>
    <row r="434" spans="1:3" x14ac:dyDescent="0.35">
      <c r="A434" s="5" t="s">
        <v>1481</v>
      </c>
      <c r="B434" s="5">
        <f>Priv!L236</f>
        <v>0</v>
      </c>
      <c r="C434" s="6" t="s">
        <v>955</v>
      </c>
    </row>
    <row r="435" spans="1:3" x14ac:dyDescent="0.35">
      <c r="A435" s="5" t="s">
        <v>1482</v>
      </c>
      <c r="B435" s="5">
        <f>Priv!E237</f>
        <v>0</v>
      </c>
      <c r="C435" s="6" t="s">
        <v>955</v>
      </c>
    </row>
    <row r="436" spans="1:3" x14ac:dyDescent="0.35">
      <c r="A436" s="5" t="s">
        <v>1483</v>
      </c>
      <c r="B436" s="5">
        <f>Priv!F237</f>
        <v>0</v>
      </c>
      <c r="C436" s="6" t="s">
        <v>955</v>
      </c>
    </row>
    <row r="437" spans="1:3" x14ac:dyDescent="0.35">
      <c r="A437" s="5" t="s">
        <v>1484</v>
      </c>
      <c r="B437" s="5">
        <f>Priv!G237</f>
        <v>0</v>
      </c>
      <c r="C437" s="6" t="s">
        <v>955</v>
      </c>
    </row>
    <row r="438" spans="1:3" x14ac:dyDescent="0.35">
      <c r="A438" s="5" t="s">
        <v>1485</v>
      </c>
      <c r="B438" s="5">
        <f>Priv!H237</f>
        <v>0</v>
      </c>
      <c r="C438" s="6" t="s">
        <v>955</v>
      </c>
    </row>
    <row r="439" spans="1:3" x14ac:dyDescent="0.35">
      <c r="A439" s="5" t="s">
        <v>1486</v>
      </c>
      <c r="B439" s="5">
        <f>Priv!I237</f>
        <v>0</v>
      </c>
      <c r="C439" s="6" t="s">
        <v>955</v>
      </c>
    </row>
    <row r="440" spans="1:3" x14ac:dyDescent="0.35">
      <c r="A440" s="5" t="s">
        <v>1487</v>
      </c>
      <c r="B440" s="5">
        <f>Priv!J237</f>
        <v>0</v>
      </c>
      <c r="C440" s="6" t="s">
        <v>955</v>
      </c>
    </row>
    <row r="441" spans="1:3" x14ac:dyDescent="0.35">
      <c r="A441" s="5" t="s">
        <v>1488</v>
      </c>
      <c r="B441" s="5">
        <f>Priv!K237</f>
        <v>0</v>
      </c>
      <c r="C441" s="6" t="s">
        <v>955</v>
      </c>
    </row>
    <row r="442" spans="1:3" x14ac:dyDescent="0.35">
      <c r="A442" s="5" t="s">
        <v>1489</v>
      </c>
      <c r="B442" s="5">
        <f>Priv!L237</f>
        <v>0</v>
      </c>
      <c r="C442" s="6" t="s">
        <v>955</v>
      </c>
    </row>
    <row r="443" spans="1:3" x14ac:dyDescent="0.35">
      <c r="A443" s="5" t="s">
        <v>1490</v>
      </c>
      <c r="B443" s="5">
        <f>Priv!E238</f>
        <v>0</v>
      </c>
      <c r="C443" s="6" t="s">
        <v>955</v>
      </c>
    </row>
    <row r="444" spans="1:3" x14ac:dyDescent="0.35">
      <c r="A444" s="5" t="s">
        <v>1491</v>
      </c>
      <c r="B444" s="5">
        <f>Priv!F238</f>
        <v>0</v>
      </c>
      <c r="C444" s="6" t="s">
        <v>955</v>
      </c>
    </row>
    <row r="445" spans="1:3" x14ac:dyDescent="0.35">
      <c r="A445" s="5" t="s">
        <v>1492</v>
      </c>
      <c r="B445" s="5">
        <f>Priv!G238</f>
        <v>0</v>
      </c>
      <c r="C445" s="6" t="s">
        <v>955</v>
      </c>
    </row>
    <row r="446" spans="1:3" x14ac:dyDescent="0.35">
      <c r="A446" s="5" t="s">
        <v>1493</v>
      </c>
      <c r="B446" s="5">
        <f>Priv!H238</f>
        <v>0</v>
      </c>
      <c r="C446" s="6" t="s">
        <v>955</v>
      </c>
    </row>
    <row r="447" spans="1:3" x14ac:dyDescent="0.35">
      <c r="A447" s="5" t="s">
        <v>1494</v>
      </c>
      <c r="B447" s="5">
        <f>Priv!I238</f>
        <v>0</v>
      </c>
      <c r="C447" s="6" t="s">
        <v>955</v>
      </c>
    </row>
    <row r="448" spans="1:3" x14ac:dyDescent="0.35">
      <c r="A448" s="5" t="s">
        <v>1495</v>
      </c>
      <c r="B448" s="5">
        <f>Priv!J238</f>
        <v>0</v>
      </c>
      <c r="C448" s="6" t="s">
        <v>955</v>
      </c>
    </row>
    <row r="449" spans="1:3" x14ac:dyDescent="0.35">
      <c r="A449" s="5" t="s">
        <v>1496</v>
      </c>
      <c r="B449" s="5">
        <f>Priv!K238</f>
        <v>0</v>
      </c>
      <c r="C449" s="6" t="s">
        <v>955</v>
      </c>
    </row>
    <row r="450" spans="1:3" x14ac:dyDescent="0.35">
      <c r="A450" s="5" t="s">
        <v>1497</v>
      </c>
      <c r="B450" s="5">
        <f>Priv!L238</f>
        <v>0</v>
      </c>
      <c r="C450" s="6" t="s">
        <v>955</v>
      </c>
    </row>
    <row r="451" spans="1:3" x14ac:dyDescent="0.35">
      <c r="A451" s="5" t="s">
        <v>933</v>
      </c>
      <c r="B451" s="5">
        <f>Priv!E244</f>
        <v>0</v>
      </c>
      <c r="C451" s="6" t="s">
        <v>998</v>
      </c>
    </row>
    <row r="452" spans="1:3" x14ac:dyDescent="0.35">
      <c r="A452" s="5" t="s">
        <v>935</v>
      </c>
      <c r="B452" s="5">
        <f>Priv!F244</f>
        <v>0</v>
      </c>
      <c r="C452" s="6" t="s">
        <v>998</v>
      </c>
    </row>
    <row r="453" spans="1:3" x14ac:dyDescent="0.35">
      <c r="A453" s="5" t="s">
        <v>936</v>
      </c>
      <c r="B453" s="5">
        <f>Priv!G244</f>
        <v>0</v>
      </c>
      <c r="C453" s="6" t="s">
        <v>998</v>
      </c>
    </row>
    <row r="454" spans="1:3" x14ac:dyDescent="0.35">
      <c r="A454" s="5" t="s">
        <v>937</v>
      </c>
      <c r="B454" s="5">
        <f>Priv!H244</f>
        <v>0</v>
      </c>
      <c r="C454" s="6" t="s">
        <v>998</v>
      </c>
    </row>
    <row r="455" spans="1:3" x14ac:dyDescent="0.35">
      <c r="A455" s="5" t="s">
        <v>1498</v>
      </c>
      <c r="B455" s="5">
        <f>Priv!I244</f>
        <v>0</v>
      </c>
      <c r="C455" s="6" t="s">
        <v>998</v>
      </c>
    </row>
    <row r="456" spans="1:3" x14ac:dyDescent="0.35">
      <c r="A456" s="5" t="s">
        <v>1499</v>
      </c>
      <c r="B456" s="5">
        <f>Priv!J244</f>
        <v>0</v>
      </c>
      <c r="C456" s="6" t="s">
        <v>998</v>
      </c>
    </row>
    <row r="457" spans="1:3" x14ac:dyDescent="0.35">
      <c r="A457" s="5" t="s">
        <v>1500</v>
      </c>
      <c r="B457" s="5">
        <f>Priv!K244</f>
        <v>0</v>
      </c>
      <c r="C457" s="6" t="s">
        <v>998</v>
      </c>
    </row>
    <row r="458" spans="1:3" x14ac:dyDescent="0.35">
      <c r="A458" s="5" t="s">
        <v>1501</v>
      </c>
      <c r="B458" s="5">
        <f>Priv!L244</f>
        <v>0</v>
      </c>
      <c r="C458" s="6" t="s">
        <v>998</v>
      </c>
    </row>
    <row r="459" spans="1:3" x14ac:dyDescent="0.35">
      <c r="A459" s="5" t="s">
        <v>938</v>
      </c>
      <c r="B459" s="5">
        <f>Priv!E245</f>
        <v>0</v>
      </c>
      <c r="C459" s="6" t="s">
        <v>998</v>
      </c>
    </row>
    <row r="460" spans="1:3" x14ac:dyDescent="0.35">
      <c r="A460" s="5" t="s">
        <v>939</v>
      </c>
      <c r="B460" s="5">
        <f>Priv!F245</f>
        <v>0</v>
      </c>
      <c r="C460" s="6" t="s">
        <v>998</v>
      </c>
    </row>
    <row r="461" spans="1:3" x14ac:dyDescent="0.35">
      <c r="A461" s="5" t="s">
        <v>940</v>
      </c>
      <c r="B461" s="5">
        <f>Priv!G245</f>
        <v>0</v>
      </c>
      <c r="C461" s="6" t="s">
        <v>998</v>
      </c>
    </row>
    <row r="462" spans="1:3" x14ac:dyDescent="0.35">
      <c r="A462" s="5" t="s">
        <v>941</v>
      </c>
      <c r="B462" s="5">
        <f>Priv!H245</f>
        <v>0</v>
      </c>
      <c r="C462" s="6" t="s">
        <v>998</v>
      </c>
    </row>
    <row r="463" spans="1:3" x14ac:dyDescent="0.35">
      <c r="A463" s="5" t="s">
        <v>1502</v>
      </c>
      <c r="B463" s="5">
        <f>Priv!I245</f>
        <v>0</v>
      </c>
      <c r="C463" s="6" t="s">
        <v>998</v>
      </c>
    </row>
    <row r="464" spans="1:3" x14ac:dyDescent="0.35">
      <c r="A464" s="5" t="s">
        <v>1503</v>
      </c>
      <c r="B464" s="5">
        <f>Priv!J245</f>
        <v>0</v>
      </c>
      <c r="C464" s="6" t="s">
        <v>998</v>
      </c>
    </row>
    <row r="465" spans="1:3" x14ac:dyDescent="0.35">
      <c r="A465" s="5" t="s">
        <v>1504</v>
      </c>
      <c r="B465" s="5">
        <f>Priv!K245</f>
        <v>0</v>
      </c>
      <c r="C465" s="6" t="s">
        <v>998</v>
      </c>
    </row>
    <row r="466" spans="1:3" x14ac:dyDescent="0.35">
      <c r="A466" s="5" t="s">
        <v>1505</v>
      </c>
      <c r="B466" s="5">
        <f>Priv!L245</f>
        <v>0</v>
      </c>
      <c r="C466" s="6" t="s">
        <v>998</v>
      </c>
    </row>
    <row r="467" spans="1:3" x14ac:dyDescent="0.35">
      <c r="A467" s="5" t="s">
        <v>942</v>
      </c>
      <c r="B467" s="5">
        <f>Priv!E246</f>
        <v>0</v>
      </c>
      <c r="C467" s="6" t="s">
        <v>998</v>
      </c>
    </row>
    <row r="468" spans="1:3" x14ac:dyDescent="0.35">
      <c r="A468" s="5" t="s">
        <v>943</v>
      </c>
      <c r="B468" s="5">
        <f>Priv!F246</f>
        <v>0</v>
      </c>
      <c r="C468" s="6" t="s">
        <v>998</v>
      </c>
    </row>
    <row r="469" spans="1:3" x14ac:dyDescent="0.35">
      <c r="A469" s="5" t="s">
        <v>944</v>
      </c>
      <c r="B469" s="5">
        <f>Priv!G246</f>
        <v>0</v>
      </c>
      <c r="C469" s="6" t="s">
        <v>998</v>
      </c>
    </row>
    <row r="470" spans="1:3" x14ac:dyDescent="0.35">
      <c r="A470" s="5" t="s">
        <v>945</v>
      </c>
      <c r="B470" s="5">
        <f>Priv!H246</f>
        <v>0</v>
      </c>
      <c r="C470" s="6" t="s">
        <v>998</v>
      </c>
    </row>
    <row r="471" spans="1:3" x14ac:dyDescent="0.35">
      <c r="A471" s="5" t="s">
        <v>1506</v>
      </c>
      <c r="B471" s="5">
        <f>Priv!I246</f>
        <v>0</v>
      </c>
      <c r="C471" s="6" t="s">
        <v>998</v>
      </c>
    </row>
    <row r="472" spans="1:3" x14ac:dyDescent="0.35">
      <c r="A472" s="5" t="s">
        <v>1507</v>
      </c>
      <c r="B472" s="5">
        <f>Priv!J246</f>
        <v>0</v>
      </c>
      <c r="C472" s="6" t="s">
        <v>998</v>
      </c>
    </row>
    <row r="473" spans="1:3" x14ac:dyDescent="0.35">
      <c r="A473" s="5" t="s">
        <v>1508</v>
      </c>
      <c r="B473" s="5">
        <f>Priv!K246</f>
        <v>0</v>
      </c>
      <c r="C473" s="6" t="s">
        <v>998</v>
      </c>
    </row>
    <row r="474" spans="1:3" x14ac:dyDescent="0.35">
      <c r="A474" s="5" t="s">
        <v>1509</v>
      </c>
      <c r="B474" s="5">
        <f>Priv!L246</f>
        <v>0</v>
      </c>
      <c r="C474" s="6" t="s">
        <v>998</v>
      </c>
    </row>
    <row r="475" spans="1:3" x14ac:dyDescent="0.35">
      <c r="A475" s="5" t="s">
        <v>946</v>
      </c>
      <c r="B475" s="5">
        <f>Priv!E247</f>
        <v>0</v>
      </c>
      <c r="C475" s="6" t="s">
        <v>998</v>
      </c>
    </row>
    <row r="476" spans="1:3" x14ac:dyDescent="0.35">
      <c r="A476" s="5" t="s">
        <v>947</v>
      </c>
      <c r="B476" s="5">
        <f>Priv!F247</f>
        <v>0</v>
      </c>
      <c r="C476" s="6" t="s">
        <v>998</v>
      </c>
    </row>
    <row r="477" spans="1:3" x14ac:dyDescent="0.35">
      <c r="A477" s="5" t="s">
        <v>948</v>
      </c>
      <c r="B477" s="5">
        <f>Priv!G247</f>
        <v>0</v>
      </c>
      <c r="C477" s="6" t="s">
        <v>998</v>
      </c>
    </row>
    <row r="478" spans="1:3" x14ac:dyDescent="0.35">
      <c r="A478" s="5" t="s">
        <v>949</v>
      </c>
      <c r="B478" s="5">
        <f>Priv!H247</f>
        <v>0</v>
      </c>
      <c r="C478" s="6" t="s">
        <v>998</v>
      </c>
    </row>
    <row r="479" spans="1:3" x14ac:dyDescent="0.35">
      <c r="A479" s="5" t="s">
        <v>1510</v>
      </c>
      <c r="B479" s="5">
        <f>Priv!I247</f>
        <v>0</v>
      </c>
      <c r="C479" s="6" t="s">
        <v>998</v>
      </c>
    </row>
    <row r="480" spans="1:3" x14ac:dyDescent="0.35">
      <c r="A480" s="5" t="s">
        <v>1511</v>
      </c>
      <c r="B480" s="5">
        <f>Priv!J247</f>
        <v>0</v>
      </c>
      <c r="C480" s="6" t="s">
        <v>998</v>
      </c>
    </row>
    <row r="481" spans="1:3" x14ac:dyDescent="0.35">
      <c r="A481" s="5" t="s">
        <v>1512</v>
      </c>
      <c r="B481" s="5">
        <f>Priv!K247</f>
        <v>0</v>
      </c>
      <c r="C481" s="6" t="s">
        <v>998</v>
      </c>
    </row>
    <row r="482" spans="1:3" x14ac:dyDescent="0.35">
      <c r="A482" s="5" t="s">
        <v>1513</v>
      </c>
      <c r="B482" s="5">
        <f>Priv!L247</f>
        <v>0</v>
      </c>
      <c r="C482" s="6" t="s">
        <v>998</v>
      </c>
    </row>
    <row r="483" spans="1:3" x14ac:dyDescent="0.35">
      <c r="A483" s="5" t="s">
        <v>950</v>
      </c>
      <c r="B483" s="5">
        <f>Priv!E248</f>
        <v>0</v>
      </c>
      <c r="C483" s="6" t="s">
        <v>998</v>
      </c>
    </row>
    <row r="484" spans="1:3" x14ac:dyDescent="0.35">
      <c r="A484" s="5" t="s">
        <v>951</v>
      </c>
      <c r="B484" s="5">
        <f>Priv!F248</f>
        <v>0</v>
      </c>
      <c r="C484" s="6" t="s">
        <v>998</v>
      </c>
    </row>
    <row r="485" spans="1:3" x14ac:dyDescent="0.35">
      <c r="A485" s="5" t="s">
        <v>952</v>
      </c>
      <c r="B485" s="5">
        <f>Priv!G248</f>
        <v>0</v>
      </c>
      <c r="C485" s="6" t="s">
        <v>998</v>
      </c>
    </row>
    <row r="486" spans="1:3" x14ac:dyDescent="0.35">
      <c r="A486" s="5" t="s">
        <v>953</v>
      </c>
      <c r="B486" s="5">
        <f>Priv!H248</f>
        <v>0</v>
      </c>
      <c r="C486" s="6" t="s">
        <v>998</v>
      </c>
    </row>
    <row r="487" spans="1:3" x14ac:dyDescent="0.35">
      <c r="A487" s="5" t="s">
        <v>1514</v>
      </c>
      <c r="B487" s="5">
        <f>Priv!I248</f>
        <v>0</v>
      </c>
      <c r="C487" s="6" t="s">
        <v>998</v>
      </c>
    </row>
    <row r="488" spans="1:3" x14ac:dyDescent="0.35">
      <c r="A488" s="5" t="s">
        <v>1515</v>
      </c>
      <c r="B488" s="5">
        <f>Priv!J248</f>
        <v>0</v>
      </c>
      <c r="C488" s="6" t="s">
        <v>998</v>
      </c>
    </row>
    <row r="489" spans="1:3" x14ac:dyDescent="0.35">
      <c r="A489" s="5" t="s">
        <v>1516</v>
      </c>
      <c r="B489" s="5">
        <f>Priv!K248</f>
        <v>0</v>
      </c>
      <c r="C489" s="6" t="s">
        <v>998</v>
      </c>
    </row>
    <row r="490" spans="1:3" x14ac:dyDescent="0.35">
      <c r="A490" s="5" t="s">
        <v>1517</v>
      </c>
      <c r="B490" s="5">
        <f>Priv!L248</f>
        <v>0</v>
      </c>
      <c r="C490" s="6" t="s">
        <v>998</v>
      </c>
    </row>
    <row r="491" spans="1:3" x14ac:dyDescent="0.35">
      <c r="A491" s="5" t="s">
        <v>1518</v>
      </c>
      <c r="B491" s="5">
        <f>Priv!E249</f>
        <v>0</v>
      </c>
      <c r="C491" s="6" t="s">
        <v>998</v>
      </c>
    </row>
    <row r="492" spans="1:3" x14ac:dyDescent="0.35">
      <c r="A492" s="5" t="s">
        <v>1519</v>
      </c>
      <c r="B492" s="5">
        <f>Priv!F249</f>
        <v>0</v>
      </c>
      <c r="C492" s="6" t="s">
        <v>998</v>
      </c>
    </row>
    <row r="493" spans="1:3" x14ac:dyDescent="0.35">
      <c r="A493" s="5" t="s">
        <v>1520</v>
      </c>
      <c r="B493" s="5">
        <f>Priv!G249</f>
        <v>0</v>
      </c>
      <c r="C493" s="6" t="s">
        <v>998</v>
      </c>
    </row>
    <row r="494" spans="1:3" x14ac:dyDescent="0.35">
      <c r="A494" s="5" t="s">
        <v>1521</v>
      </c>
      <c r="B494" s="5">
        <f>Priv!H249</f>
        <v>0</v>
      </c>
      <c r="C494" s="6" t="s">
        <v>998</v>
      </c>
    </row>
    <row r="495" spans="1:3" x14ac:dyDescent="0.35">
      <c r="A495" s="5" t="s">
        <v>1522</v>
      </c>
      <c r="B495" s="5">
        <f>Priv!I249</f>
        <v>0</v>
      </c>
      <c r="C495" s="6" t="s">
        <v>998</v>
      </c>
    </row>
    <row r="496" spans="1:3" x14ac:dyDescent="0.35">
      <c r="A496" s="5" t="s">
        <v>1523</v>
      </c>
      <c r="B496" s="5">
        <f>Priv!J249</f>
        <v>0</v>
      </c>
      <c r="C496" s="6" t="s">
        <v>998</v>
      </c>
    </row>
    <row r="497" spans="1:3" x14ac:dyDescent="0.35">
      <c r="A497" s="5" t="s">
        <v>1524</v>
      </c>
      <c r="B497" s="5">
        <f>Priv!K249</f>
        <v>0</v>
      </c>
      <c r="C497" s="6" t="s">
        <v>998</v>
      </c>
    </row>
    <row r="498" spans="1:3" x14ac:dyDescent="0.35">
      <c r="A498" s="5" t="s">
        <v>1525</v>
      </c>
      <c r="B498" s="5">
        <f>Priv!L249</f>
        <v>0</v>
      </c>
      <c r="C498" s="6" t="s">
        <v>998</v>
      </c>
    </row>
    <row r="499" spans="1:3" x14ac:dyDescent="0.35">
      <c r="A499" s="5" t="s">
        <v>1526</v>
      </c>
      <c r="B499" s="5">
        <f>Priv!E250</f>
        <v>0</v>
      </c>
      <c r="C499" s="6" t="s">
        <v>998</v>
      </c>
    </row>
    <row r="500" spans="1:3" x14ac:dyDescent="0.35">
      <c r="A500" s="5" t="s">
        <v>1527</v>
      </c>
      <c r="B500" s="5">
        <f>Priv!F250</f>
        <v>0</v>
      </c>
      <c r="C500" s="6" t="s">
        <v>998</v>
      </c>
    </row>
    <row r="501" spans="1:3" x14ac:dyDescent="0.35">
      <c r="A501" s="5" t="s">
        <v>1528</v>
      </c>
      <c r="B501" s="5">
        <f>Priv!G250</f>
        <v>0</v>
      </c>
      <c r="C501" s="6" t="s">
        <v>998</v>
      </c>
    </row>
    <row r="502" spans="1:3" x14ac:dyDescent="0.35">
      <c r="A502" s="5" t="s">
        <v>1529</v>
      </c>
      <c r="B502" s="5">
        <f>Priv!H250</f>
        <v>0</v>
      </c>
      <c r="C502" s="6" t="s">
        <v>998</v>
      </c>
    </row>
    <row r="503" spans="1:3" x14ac:dyDescent="0.35">
      <c r="A503" s="5" t="s">
        <v>1530</v>
      </c>
      <c r="B503" s="5">
        <f>Priv!I250</f>
        <v>0</v>
      </c>
      <c r="C503" s="6" t="s">
        <v>998</v>
      </c>
    </row>
    <row r="504" spans="1:3" x14ac:dyDescent="0.35">
      <c r="A504" s="5" t="s">
        <v>1531</v>
      </c>
      <c r="B504" s="5">
        <f>Priv!J250</f>
        <v>0</v>
      </c>
      <c r="C504" s="6" t="s">
        <v>998</v>
      </c>
    </row>
    <row r="505" spans="1:3" x14ac:dyDescent="0.35">
      <c r="A505" s="5" t="s">
        <v>1532</v>
      </c>
      <c r="B505" s="5">
        <f>Priv!K250</f>
        <v>0</v>
      </c>
      <c r="C505" s="6" t="s">
        <v>998</v>
      </c>
    </row>
    <row r="506" spans="1:3" x14ac:dyDescent="0.35">
      <c r="A506" s="5" t="s">
        <v>1533</v>
      </c>
      <c r="B506" s="5">
        <f>Priv!L250</f>
        <v>0</v>
      </c>
      <c r="C506" s="6" t="s">
        <v>998</v>
      </c>
    </row>
    <row r="507" spans="1:3" x14ac:dyDescent="0.35">
      <c r="A507" s="5" t="s">
        <v>954</v>
      </c>
      <c r="B507" s="5">
        <f>Priv!C258</f>
        <v>0</v>
      </c>
      <c r="C507" s="6" t="s">
        <v>1041</v>
      </c>
    </row>
    <row r="508" spans="1:3" x14ac:dyDescent="0.35">
      <c r="A508" s="5" t="s">
        <v>956</v>
      </c>
      <c r="B508" s="5">
        <f>Priv!D258</f>
        <v>0</v>
      </c>
      <c r="C508" s="6" t="s">
        <v>1041</v>
      </c>
    </row>
    <row r="509" spans="1:3" x14ac:dyDescent="0.35">
      <c r="A509" s="5" t="s">
        <v>957</v>
      </c>
      <c r="B509" s="5" t="e">
        <f>Priv!#REF!</f>
        <v>#REF!</v>
      </c>
      <c r="C509" s="6" t="s">
        <v>1041</v>
      </c>
    </row>
    <row r="510" spans="1:3" x14ac:dyDescent="0.35">
      <c r="A510" s="5" t="s">
        <v>958</v>
      </c>
      <c r="B510" s="5" t="e">
        <f>Priv!#REF!</f>
        <v>#REF!</v>
      </c>
      <c r="C510" s="6" t="s">
        <v>1041</v>
      </c>
    </row>
    <row r="511" spans="1:3" x14ac:dyDescent="0.35">
      <c r="A511" s="5" t="s">
        <v>959</v>
      </c>
      <c r="B511" s="5">
        <f>Priv!E258</f>
        <v>0</v>
      </c>
      <c r="C511" s="6" t="s">
        <v>1041</v>
      </c>
    </row>
    <row r="512" spans="1:3" x14ac:dyDescent="0.35">
      <c r="A512" s="5" t="s">
        <v>960</v>
      </c>
      <c r="B512" s="5">
        <f>Priv!F258</f>
        <v>0</v>
      </c>
      <c r="C512" s="6" t="s">
        <v>1041</v>
      </c>
    </row>
    <row r="513" spans="1:3" x14ac:dyDescent="0.35">
      <c r="A513" s="5" t="s">
        <v>961</v>
      </c>
      <c r="B513" s="5" t="e">
        <f>Priv!#REF!</f>
        <v>#REF!</v>
      </c>
      <c r="C513" s="6" t="s">
        <v>1041</v>
      </c>
    </row>
    <row r="514" spans="1:3" x14ac:dyDescent="0.35">
      <c r="A514" s="5" t="s">
        <v>1534</v>
      </c>
      <c r="B514" s="5" t="e">
        <f>Priv!#REF!</f>
        <v>#REF!</v>
      </c>
      <c r="C514" s="6" t="s">
        <v>1041</v>
      </c>
    </row>
    <row r="515" spans="1:3" x14ac:dyDescent="0.35">
      <c r="A515" s="5" t="s">
        <v>1535</v>
      </c>
      <c r="B515" s="5">
        <f>Priv!G258</f>
        <v>0</v>
      </c>
      <c r="C515" s="6" t="s">
        <v>1041</v>
      </c>
    </row>
    <row r="516" spans="1:3" x14ac:dyDescent="0.35">
      <c r="A516" s="5" t="s">
        <v>1536</v>
      </c>
      <c r="B516" s="5">
        <f>Priv!H258</f>
        <v>0</v>
      </c>
      <c r="C516" s="6" t="s">
        <v>1041</v>
      </c>
    </row>
    <row r="517" spans="1:3" x14ac:dyDescent="0.35">
      <c r="A517" s="5" t="s">
        <v>962</v>
      </c>
      <c r="B517" s="5">
        <f>Priv!C259</f>
        <v>0</v>
      </c>
      <c r="C517" s="6" t="s">
        <v>1041</v>
      </c>
    </row>
    <row r="518" spans="1:3" x14ac:dyDescent="0.35">
      <c r="A518" s="5" t="s">
        <v>963</v>
      </c>
      <c r="B518" s="5">
        <f>Priv!D259</f>
        <v>0</v>
      </c>
      <c r="C518" s="6" t="s">
        <v>1041</v>
      </c>
    </row>
    <row r="519" spans="1:3" x14ac:dyDescent="0.35">
      <c r="A519" s="5" t="s">
        <v>964</v>
      </c>
      <c r="B519" s="5" t="e">
        <f>Priv!#REF!</f>
        <v>#REF!</v>
      </c>
      <c r="C519" s="6" t="s">
        <v>1041</v>
      </c>
    </row>
    <row r="520" spans="1:3" x14ac:dyDescent="0.35">
      <c r="A520" s="5" t="s">
        <v>965</v>
      </c>
      <c r="B520" s="5" t="e">
        <f>Priv!#REF!</f>
        <v>#REF!</v>
      </c>
      <c r="C520" s="6" t="s">
        <v>1041</v>
      </c>
    </row>
    <row r="521" spans="1:3" x14ac:dyDescent="0.35">
      <c r="A521" s="5" t="s">
        <v>966</v>
      </c>
      <c r="B521" s="5">
        <f>Priv!E259</f>
        <v>0</v>
      </c>
      <c r="C521" s="6" t="s">
        <v>1041</v>
      </c>
    </row>
    <row r="522" spans="1:3" x14ac:dyDescent="0.35">
      <c r="A522" s="5" t="s">
        <v>967</v>
      </c>
      <c r="B522" s="5">
        <f>Priv!F259</f>
        <v>0</v>
      </c>
      <c r="C522" s="6" t="s">
        <v>1041</v>
      </c>
    </row>
    <row r="523" spans="1:3" x14ac:dyDescent="0.35">
      <c r="A523" s="5" t="s">
        <v>968</v>
      </c>
      <c r="B523" s="5" t="e">
        <f>Priv!#REF!</f>
        <v>#REF!</v>
      </c>
      <c r="C523" s="6" t="s">
        <v>1041</v>
      </c>
    </row>
    <row r="524" spans="1:3" x14ac:dyDescent="0.35">
      <c r="A524" s="5" t="s">
        <v>1537</v>
      </c>
      <c r="B524" s="5" t="e">
        <f>Priv!#REF!</f>
        <v>#REF!</v>
      </c>
      <c r="C524" s="6" t="s">
        <v>1041</v>
      </c>
    </row>
    <row r="525" spans="1:3" x14ac:dyDescent="0.35">
      <c r="A525" s="5" t="s">
        <v>1538</v>
      </c>
      <c r="B525" s="5">
        <f>Priv!G259</f>
        <v>0</v>
      </c>
      <c r="C525" s="6" t="s">
        <v>1041</v>
      </c>
    </row>
    <row r="526" spans="1:3" x14ac:dyDescent="0.35">
      <c r="A526" s="5" t="s">
        <v>1539</v>
      </c>
      <c r="B526" s="5">
        <f>Priv!H259</f>
        <v>0</v>
      </c>
      <c r="C526" s="6" t="s">
        <v>1041</v>
      </c>
    </row>
    <row r="527" spans="1:3" x14ac:dyDescent="0.35">
      <c r="A527" s="5" t="s">
        <v>969</v>
      </c>
      <c r="B527" s="5">
        <f>Priv!C260</f>
        <v>0</v>
      </c>
      <c r="C527" s="6" t="s">
        <v>1041</v>
      </c>
    </row>
    <row r="528" spans="1:3" x14ac:dyDescent="0.35">
      <c r="A528" s="5" t="s">
        <v>970</v>
      </c>
      <c r="B528" s="5">
        <f>Priv!D260</f>
        <v>0</v>
      </c>
      <c r="C528" s="6" t="s">
        <v>1041</v>
      </c>
    </row>
    <row r="529" spans="1:3" x14ac:dyDescent="0.35">
      <c r="A529" s="5" t="s">
        <v>971</v>
      </c>
      <c r="B529" s="5" t="e">
        <f>Priv!#REF!</f>
        <v>#REF!</v>
      </c>
      <c r="C529" s="6" t="s">
        <v>1041</v>
      </c>
    </row>
    <row r="530" spans="1:3" x14ac:dyDescent="0.35">
      <c r="A530" s="5" t="s">
        <v>972</v>
      </c>
      <c r="B530" s="5" t="e">
        <f>Priv!#REF!</f>
        <v>#REF!</v>
      </c>
      <c r="C530" s="6" t="s">
        <v>1041</v>
      </c>
    </row>
    <row r="531" spans="1:3" x14ac:dyDescent="0.35">
      <c r="A531" s="5" t="s">
        <v>973</v>
      </c>
      <c r="B531" s="5">
        <f>Priv!E260</f>
        <v>0</v>
      </c>
      <c r="C531" s="6" t="s">
        <v>1041</v>
      </c>
    </row>
    <row r="532" spans="1:3" x14ac:dyDescent="0.35">
      <c r="A532" s="5" t="s">
        <v>974</v>
      </c>
      <c r="B532" s="5">
        <f>Priv!F260</f>
        <v>0</v>
      </c>
      <c r="C532" s="6" t="s">
        <v>1041</v>
      </c>
    </row>
    <row r="533" spans="1:3" x14ac:dyDescent="0.35">
      <c r="A533" s="5" t="s">
        <v>975</v>
      </c>
      <c r="B533" s="5" t="e">
        <f>Priv!#REF!</f>
        <v>#REF!</v>
      </c>
      <c r="C533" s="6" t="s">
        <v>1041</v>
      </c>
    </row>
    <row r="534" spans="1:3" x14ac:dyDescent="0.35">
      <c r="A534" s="5" t="s">
        <v>1540</v>
      </c>
      <c r="B534" s="5" t="e">
        <f>Priv!#REF!</f>
        <v>#REF!</v>
      </c>
      <c r="C534" s="6" t="s">
        <v>1041</v>
      </c>
    </row>
    <row r="535" spans="1:3" x14ac:dyDescent="0.35">
      <c r="A535" s="5" t="s">
        <v>1541</v>
      </c>
      <c r="B535" s="5">
        <f>Priv!G260</f>
        <v>0</v>
      </c>
      <c r="C535" s="6" t="s">
        <v>1041</v>
      </c>
    </row>
    <row r="536" spans="1:3" x14ac:dyDescent="0.35">
      <c r="A536" s="5" t="s">
        <v>1542</v>
      </c>
      <c r="B536" s="5">
        <f>Priv!H260</f>
        <v>0</v>
      </c>
      <c r="C536" s="6" t="s">
        <v>1041</v>
      </c>
    </row>
    <row r="537" spans="1:3" x14ac:dyDescent="0.35">
      <c r="A537" s="5" t="s">
        <v>976</v>
      </c>
      <c r="B537" s="5">
        <f>Priv!C261</f>
        <v>0</v>
      </c>
      <c r="C537" s="6" t="s">
        <v>1041</v>
      </c>
    </row>
    <row r="538" spans="1:3" x14ac:dyDescent="0.35">
      <c r="A538" s="5" t="s">
        <v>977</v>
      </c>
      <c r="B538" s="5">
        <f>Priv!D261</f>
        <v>0</v>
      </c>
      <c r="C538" s="6" t="s">
        <v>1041</v>
      </c>
    </row>
    <row r="539" spans="1:3" x14ac:dyDescent="0.35">
      <c r="A539" s="5" t="s">
        <v>978</v>
      </c>
      <c r="B539" s="5" t="e">
        <f>Priv!#REF!</f>
        <v>#REF!</v>
      </c>
      <c r="C539" s="6" t="s">
        <v>1041</v>
      </c>
    </row>
    <row r="540" spans="1:3" x14ac:dyDescent="0.35">
      <c r="A540" s="5" t="s">
        <v>979</v>
      </c>
      <c r="B540" s="5" t="e">
        <f>Priv!#REF!</f>
        <v>#REF!</v>
      </c>
      <c r="C540" s="6" t="s">
        <v>1041</v>
      </c>
    </row>
    <row r="541" spans="1:3" x14ac:dyDescent="0.35">
      <c r="A541" s="5" t="s">
        <v>980</v>
      </c>
      <c r="B541" s="5">
        <f>Priv!E261</f>
        <v>0</v>
      </c>
      <c r="C541" s="6" t="s">
        <v>1041</v>
      </c>
    </row>
    <row r="542" spans="1:3" x14ac:dyDescent="0.35">
      <c r="A542" s="5" t="s">
        <v>981</v>
      </c>
      <c r="B542" s="5">
        <f>Priv!F261</f>
        <v>0</v>
      </c>
      <c r="C542" s="6" t="s">
        <v>1041</v>
      </c>
    </row>
    <row r="543" spans="1:3" x14ac:dyDescent="0.35">
      <c r="A543" s="5" t="s">
        <v>982</v>
      </c>
      <c r="B543" s="5" t="e">
        <f>Priv!#REF!</f>
        <v>#REF!</v>
      </c>
      <c r="C543" s="6" t="s">
        <v>1041</v>
      </c>
    </row>
    <row r="544" spans="1:3" x14ac:dyDescent="0.35">
      <c r="A544" s="5" t="s">
        <v>1543</v>
      </c>
      <c r="B544" s="5" t="e">
        <f>Priv!#REF!</f>
        <v>#REF!</v>
      </c>
      <c r="C544" s="6" t="s">
        <v>1041</v>
      </c>
    </row>
    <row r="545" spans="1:3" x14ac:dyDescent="0.35">
      <c r="A545" s="5" t="s">
        <v>1544</v>
      </c>
      <c r="B545" s="5">
        <f>Priv!G261</f>
        <v>0</v>
      </c>
      <c r="C545" s="6" t="s">
        <v>1041</v>
      </c>
    </row>
    <row r="546" spans="1:3" x14ac:dyDescent="0.35">
      <c r="A546" s="5" t="s">
        <v>1545</v>
      </c>
      <c r="B546" s="5">
        <f>Priv!H261</f>
        <v>0</v>
      </c>
      <c r="C546" s="6" t="s">
        <v>1041</v>
      </c>
    </row>
    <row r="547" spans="1:3" x14ac:dyDescent="0.35">
      <c r="A547" s="5" t="s">
        <v>983</v>
      </c>
      <c r="B547" s="5">
        <f>Priv!C262</f>
        <v>0</v>
      </c>
      <c r="C547" s="6" t="s">
        <v>1041</v>
      </c>
    </row>
    <row r="548" spans="1:3" x14ac:dyDescent="0.35">
      <c r="A548" s="5" t="s">
        <v>984</v>
      </c>
      <c r="B548" s="5">
        <f>Priv!D262</f>
        <v>0</v>
      </c>
      <c r="C548" s="6" t="s">
        <v>1041</v>
      </c>
    </row>
    <row r="549" spans="1:3" x14ac:dyDescent="0.35">
      <c r="A549" s="5" t="s">
        <v>985</v>
      </c>
      <c r="B549" s="5" t="e">
        <f>Priv!#REF!</f>
        <v>#REF!</v>
      </c>
      <c r="C549" s="6" t="s">
        <v>1041</v>
      </c>
    </row>
    <row r="550" spans="1:3" x14ac:dyDescent="0.35">
      <c r="A550" s="5" t="s">
        <v>986</v>
      </c>
      <c r="B550" s="5" t="e">
        <f>Priv!#REF!</f>
        <v>#REF!</v>
      </c>
      <c r="C550" s="6" t="s">
        <v>1041</v>
      </c>
    </row>
    <row r="551" spans="1:3" x14ac:dyDescent="0.35">
      <c r="A551" s="5" t="s">
        <v>987</v>
      </c>
      <c r="B551" s="5">
        <f>Priv!E262</f>
        <v>0</v>
      </c>
      <c r="C551" s="6" t="s">
        <v>1041</v>
      </c>
    </row>
    <row r="552" spans="1:3" x14ac:dyDescent="0.35">
      <c r="A552" s="5" t="s">
        <v>988</v>
      </c>
      <c r="B552" s="5">
        <f>Priv!F262</f>
        <v>0</v>
      </c>
      <c r="C552" s="6" t="s">
        <v>1041</v>
      </c>
    </row>
    <row r="553" spans="1:3" x14ac:dyDescent="0.35">
      <c r="A553" s="5" t="s">
        <v>989</v>
      </c>
      <c r="B553" s="5" t="e">
        <f>Priv!#REF!</f>
        <v>#REF!</v>
      </c>
      <c r="C553" s="6" t="s">
        <v>1041</v>
      </c>
    </row>
    <row r="554" spans="1:3" x14ac:dyDescent="0.35">
      <c r="A554" s="5" t="s">
        <v>1546</v>
      </c>
      <c r="B554" s="5" t="e">
        <f>Priv!#REF!</f>
        <v>#REF!</v>
      </c>
      <c r="C554" s="6" t="s">
        <v>1041</v>
      </c>
    </row>
    <row r="555" spans="1:3" x14ac:dyDescent="0.35">
      <c r="A555" s="5" t="s">
        <v>1547</v>
      </c>
      <c r="B555" s="5">
        <f>Priv!G262</f>
        <v>0</v>
      </c>
      <c r="C555" s="6" t="s">
        <v>1041</v>
      </c>
    </row>
    <row r="556" spans="1:3" x14ac:dyDescent="0.35">
      <c r="A556" s="5" t="s">
        <v>1548</v>
      </c>
      <c r="B556" s="5">
        <f>Priv!H262</f>
        <v>0</v>
      </c>
      <c r="C556" s="6" t="s">
        <v>1041</v>
      </c>
    </row>
    <row r="557" spans="1:3" x14ac:dyDescent="0.35">
      <c r="A557" s="5" t="s">
        <v>990</v>
      </c>
      <c r="B557" s="5">
        <f>Priv!C263</f>
        <v>0</v>
      </c>
      <c r="C557" s="6" t="s">
        <v>1041</v>
      </c>
    </row>
    <row r="558" spans="1:3" x14ac:dyDescent="0.35">
      <c r="A558" s="5" t="s">
        <v>991</v>
      </c>
      <c r="B558" s="5">
        <f>Priv!D263</f>
        <v>0</v>
      </c>
      <c r="C558" s="6" t="s">
        <v>1041</v>
      </c>
    </row>
    <row r="559" spans="1:3" x14ac:dyDescent="0.35">
      <c r="A559" s="5" t="s">
        <v>992</v>
      </c>
      <c r="B559" s="5" t="e">
        <f>Priv!#REF!</f>
        <v>#REF!</v>
      </c>
      <c r="C559" s="6" t="s">
        <v>1041</v>
      </c>
    </row>
    <row r="560" spans="1:3" x14ac:dyDescent="0.35">
      <c r="A560" s="5" t="s">
        <v>993</v>
      </c>
      <c r="B560" s="5" t="e">
        <f>Priv!#REF!</f>
        <v>#REF!</v>
      </c>
      <c r="C560" s="6" t="s">
        <v>1041</v>
      </c>
    </row>
    <row r="561" spans="1:3" x14ac:dyDescent="0.35">
      <c r="A561" s="5" t="s">
        <v>994</v>
      </c>
      <c r="B561" s="5">
        <f>Priv!E263</f>
        <v>0</v>
      </c>
      <c r="C561" s="6" t="s">
        <v>1041</v>
      </c>
    </row>
    <row r="562" spans="1:3" x14ac:dyDescent="0.35">
      <c r="A562" s="5" t="s">
        <v>995</v>
      </c>
      <c r="B562" s="5">
        <f>Priv!F263</f>
        <v>0</v>
      </c>
      <c r="C562" s="6" t="s">
        <v>1041</v>
      </c>
    </row>
    <row r="563" spans="1:3" x14ac:dyDescent="0.35">
      <c r="A563" s="5" t="s">
        <v>996</v>
      </c>
      <c r="B563" s="5" t="e">
        <f>Priv!#REF!</f>
        <v>#REF!</v>
      </c>
      <c r="C563" s="6" t="s">
        <v>1041</v>
      </c>
    </row>
    <row r="564" spans="1:3" x14ac:dyDescent="0.35">
      <c r="A564" s="5" t="s">
        <v>1549</v>
      </c>
      <c r="B564" s="5" t="e">
        <f>Priv!#REF!</f>
        <v>#REF!</v>
      </c>
      <c r="C564" s="6" t="s">
        <v>1041</v>
      </c>
    </row>
    <row r="565" spans="1:3" x14ac:dyDescent="0.35">
      <c r="A565" s="5" t="s">
        <v>1550</v>
      </c>
      <c r="B565" s="5">
        <f>Priv!G263</f>
        <v>0</v>
      </c>
      <c r="C565" s="6" t="s">
        <v>1041</v>
      </c>
    </row>
    <row r="566" spans="1:3" x14ac:dyDescent="0.35">
      <c r="A566" s="5" t="s">
        <v>1551</v>
      </c>
      <c r="B566" s="5">
        <f>Priv!H263</f>
        <v>0</v>
      </c>
      <c r="C566" s="6" t="s">
        <v>1041</v>
      </c>
    </row>
    <row r="567" spans="1:3" x14ac:dyDescent="0.35">
      <c r="A567" s="5" t="s">
        <v>1552</v>
      </c>
      <c r="B567" s="5">
        <f>Priv!C264</f>
        <v>0</v>
      </c>
      <c r="C567" s="6" t="s">
        <v>1041</v>
      </c>
    </row>
    <row r="568" spans="1:3" x14ac:dyDescent="0.35">
      <c r="A568" s="5" t="s">
        <v>1553</v>
      </c>
      <c r="B568" s="5">
        <f>Priv!D264</f>
        <v>0</v>
      </c>
      <c r="C568" s="6" t="s">
        <v>1041</v>
      </c>
    </row>
    <row r="569" spans="1:3" x14ac:dyDescent="0.35">
      <c r="A569" s="5" t="s">
        <v>1554</v>
      </c>
      <c r="B569" s="5" t="e">
        <f>Priv!#REF!</f>
        <v>#REF!</v>
      </c>
      <c r="C569" s="6" t="s">
        <v>1041</v>
      </c>
    </row>
    <row r="570" spans="1:3" x14ac:dyDescent="0.35">
      <c r="A570" s="5" t="s">
        <v>1555</v>
      </c>
      <c r="B570" s="5" t="e">
        <f>Priv!#REF!</f>
        <v>#REF!</v>
      </c>
      <c r="C570" s="6" t="s">
        <v>1041</v>
      </c>
    </row>
    <row r="571" spans="1:3" x14ac:dyDescent="0.35">
      <c r="A571" s="5" t="s">
        <v>1556</v>
      </c>
      <c r="B571" s="5">
        <f>Priv!E264</f>
        <v>0</v>
      </c>
      <c r="C571" s="6" t="s">
        <v>1041</v>
      </c>
    </row>
    <row r="572" spans="1:3" x14ac:dyDescent="0.35">
      <c r="A572" s="5" t="s">
        <v>1557</v>
      </c>
      <c r="B572" s="5">
        <f>Priv!F264</f>
        <v>0</v>
      </c>
      <c r="C572" s="6" t="s">
        <v>1041</v>
      </c>
    </row>
    <row r="573" spans="1:3" x14ac:dyDescent="0.35">
      <c r="A573" s="5" t="s">
        <v>1558</v>
      </c>
      <c r="B573" s="5" t="e">
        <f>Priv!#REF!</f>
        <v>#REF!</v>
      </c>
      <c r="C573" s="6" t="s">
        <v>1041</v>
      </c>
    </row>
    <row r="574" spans="1:3" x14ac:dyDescent="0.35">
      <c r="A574" s="5" t="s">
        <v>1559</v>
      </c>
      <c r="B574" s="5" t="e">
        <f>Priv!#REF!</f>
        <v>#REF!</v>
      </c>
      <c r="C574" s="6" t="s">
        <v>1041</v>
      </c>
    </row>
    <row r="575" spans="1:3" x14ac:dyDescent="0.35">
      <c r="A575" s="5" t="s">
        <v>1560</v>
      </c>
      <c r="B575" s="5">
        <f>Priv!G264</f>
        <v>0</v>
      </c>
      <c r="C575" s="6" t="s">
        <v>1041</v>
      </c>
    </row>
    <row r="576" spans="1:3" x14ac:dyDescent="0.35">
      <c r="A576" s="5" t="s">
        <v>1561</v>
      </c>
      <c r="B576" s="5">
        <f>Priv!H264</f>
        <v>0</v>
      </c>
      <c r="C576" s="6" t="s">
        <v>1041</v>
      </c>
    </row>
    <row r="577" spans="1:3" x14ac:dyDescent="0.35">
      <c r="A577" s="5" t="s">
        <v>997</v>
      </c>
      <c r="B577" s="5">
        <f>Priv!C271</f>
        <v>0</v>
      </c>
      <c r="C577" s="6" t="s">
        <v>1112</v>
      </c>
    </row>
    <row r="578" spans="1:3" x14ac:dyDescent="0.35">
      <c r="A578" s="5" t="s">
        <v>999</v>
      </c>
      <c r="B578" s="5">
        <f>Priv!D271</f>
        <v>0</v>
      </c>
      <c r="C578" s="6" t="s">
        <v>1112</v>
      </c>
    </row>
    <row r="579" spans="1:3" x14ac:dyDescent="0.35">
      <c r="A579" s="5" t="s">
        <v>1000</v>
      </c>
      <c r="B579" s="5" t="e">
        <f>Priv!#REF!</f>
        <v>#REF!</v>
      </c>
      <c r="C579" s="6" t="s">
        <v>1112</v>
      </c>
    </row>
    <row r="580" spans="1:3" x14ac:dyDescent="0.35">
      <c r="A580" s="5" t="s">
        <v>1001</v>
      </c>
      <c r="B580" s="5" t="e">
        <f>Priv!#REF!</f>
        <v>#REF!</v>
      </c>
      <c r="C580" s="6" t="s">
        <v>1112</v>
      </c>
    </row>
    <row r="581" spans="1:3" x14ac:dyDescent="0.35">
      <c r="A581" s="5" t="s">
        <v>1002</v>
      </c>
      <c r="B581" s="5">
        <f>Priv!E271</f>
        <v>0</v>
      </c>
      <c r="C581" s="6" t="s">
        <v>1112</v>
      </c>
    </row>
    <row r="582" spans="1:3" x14ac:dyDescent="0.35">
      <c r="A582" s="5" t="s">
        <v>1003</v>
      </c>
      <c r="B582" s="5">
        <f>Priv!F271</f>
        <v>0</v>
      </c>
      <c r="C582" s="6" t="s">
        <v>1112</v>
      </c>
    </row>
    <row r="583" spans="1:3" x14ac:dyDescent="0.35">
      <c r="A583" s="5" t="s">
        <v>1004</v>
      </c>
      <c r="B583" s="5" t="e">
        <f>Priv!#REF!</f>
        <v>#REF!</v>
      </c>
      <c r="C583" s="6" t="s">
        <v>1112</v>
      </c>
    </row>
    <row r="584" spans="1:3" x14ac:dyDescent="0.35">
      <c r="A584" s="5" t="s">
        <v>1562</v>
      </c>
      <c r="B584" s="5" t="e">
        <f>Priv!#REF!</f>
        <v>#REF!</v>
      </c>
      <c r="C584" s="6" t="s">
        <v>1112</v>
      </c>
    </row>
    <row r="585" spans="1:3" x14ac:dyDescent="0.35">
      <c r="A585" s="5" t="s">
        <v>1563</v>
      </c>
      <c r="B585" s="5">
        <f>Priv!G271</f>
        <v>0</v>
      </c>
      <c r="C585" s="6" t="s">
        <v>1112</v>
      </c>
    </row>
    <row r="586" spans="1:3" x14ac:dyDescent="0.35">
      <c r="A586" s="5" t="s">
        <v>1564</v>
      </c>
      <c r="B586" s="5">
        <f>Priv!H271</f>
        <v>0</v>
      </c>
      <c r="C586" s="6" t="s">
        <v>1112</v>
      </c>
    </row>
    <row r="587" spans="1:3" x14ac:dyDescent="0.35">
      <c r="A587" s="5" t="s">
        <v>1005</v>
      </c>
      <c r="B587" s="5">
        <f>Priv!C272</f>
        <v>0</v>
      </c>
      <c r="C587" s="6" t="s">
        <v>1112</v>
      </c>
    </row>
    <row r="588" spans="1:3" x14ac:dyDescent="0.35">
      <c r="A588" s="5" t="s">
        <v>1006</v>
      </c>
      <c r="B588" s="5">
        <f>Priv!D272</f>
        <v>0</v>
      </c>
      <c r="C588" s="6" t="s">
        <v>1112</v>
      </c>
    </row>
    <row r="589" spans="1:3" x14ac:dyDescent="0.35">
      <c r="A589" s="5" t="s">
        <v>1007</v>
      </c>
      <c r="B589" s="5" t="e">
        <f>Priv!#REF!</f>
        <v>#REF!</v>
      </c>
      <c r="C589" s="6" t="s">
        <v>1112</v>
      </c>
    </row>
    <row r="590" spans="1:3" x14ac:dyDescent="0.35">
      <c r="A590" s="5" t="s">
        <v>1008</v>
      </c>
      <c r="B590" s="5" t="e">
        <f>Priv!#REF!</f>
        <v>#REF!</v>
      </c>
      <c r="C590" s="6" t="s">
        <v>1112</v>
      </c>
    </row>
    <row r="591" spans="1:3" x14ac:dyDescent="0.35">
      <c r="A591" s="5" t="s">
        <v>1009</v>
      </c>
      <c r="B591" s="5">
        <f>Priv!E272</f>
        <v>0</v>
      </c>
      <c r="C591" s="6" t="s">
        <v>1112</v>
      </c>
    </row>
    <row r="592" spans="1:3" x14ac:dyDescent="0.35">
      <c r="A592" s="5" t="s">
        <v>1010</v>
      </c>
      <c r="B592" s="5">
        <f>Priv!F272</f>
        <v>0</v>
      </c>
      <c r="C592" s="6" t="s">
        <v>1112</v>
      </c>
    </row>
    <row r="593" spans="1:3" x14ac:dyDescent="0.35">
      <c r="A593" s="5" t="s">
        <v>1011</v>
      </c>
      <c r="B593" s="5" t="e">
        <f>Priv!#REF!</f>
        <v>#REF!</v>
      </c>
      <c r="C593" s="6" t="s">
        <v>1112</v>
      </c>
    </row>
    <row r="594" spans="1:3" x14ac:dyDescent="0.35">
      <c r="A594" s="5" t="s">
        <v>1565</v>
      </c>
      <c r="B594" s="5" t="e">
        <f>Priv!#REF!</f>
        <v>#REF!</v>
      </c>
      <c r="C594" s="6" t="s">
        <v>1112</v>
      </c>
    </row>
    <row r="595" spans="1:3" x14ac:dyDescent="0.35">
      <c r="A595" s="5" t="s">
        <v>1566</v>
      </c>
      <c r="B595" s="5">
        <f>Priv!G272</f>
        <v>0</v>
      </c>
      <c r="C595" s="6" t="s">
        <v>1112</v>
      </c>
    </row>
    <row r="596" spans="1:3" x14ac:dyDescent="0.35">
      <c r="A596" s="5" t="s">
        <v>1567</v>
      </c>
      <c r="B596" s="5">
        <f>Priv!H272</f>
        <v>0</v>
      </c>
      <c r="C596" s="6" t="s">
        <v>1112</v>
      </c>
    </row>
    <row r="597" spans="1:3" x14ac:dyDescent="0.35">
      <c r="A597" s="5" t="s">
        <v>1012</v>
      </c>
      <c r="B597" s="5">
        <f>Priv!C273</f>
        <v>0</v>
      </c>
      <c r="C597" s="6" t="s">
        <v>1112</v>
      </c>
    </row>
    <row r="598" spans="1:3" x14ac:dyDescent="0.35">
      <c r="A598" s="5" t="s">
        <v>1013</v>
      </c>
      <c r="B598" s="5">
        <f>Priv!D273</f>
        <v>0</v>
      </c>
      <c r="C598" s="6" t="s">
        <v>1112</v>
      </c>
    </row>
    <row r="599" spans="1:3" x14ac:dyDescent="0.35">
      <c r="A599" s="5" t="s">
        <v>1014</v>
      </c>
      <c r="B599" s="5" t="e">
        <f>Priv!#REF!</f>
        <v>#REF!</v>
      </c>
      <c r="C599" s="6" t="s">
        <v>1112</v>
      </c>
    </row>
    <row r="600" spans="1:3" x14ac:dyDescent="0.35">
      <c r="A600" s="5" t="s">
        <v>1015</v>
      </c>
      <c r="B600" s="5" t="e">
        <f>Priv!#REF!</f>
        <v>#REF!</v>
      </c>
      <c r="C600" s="6" t="s">
        <v>1112</v>
      </c>
    </row>
    <row r="601" spans="1:3" x14ac:dyDescent="0.35">
      <c r="A601" s="5" t="s">
        <v>1016</v>
      </c>
      <c r="B601" s="5">
        <f>Priv!E273</f>
        <v>0</v>
      </c>
      <c r="C601" s="6" t="s">
        <v>1112</v>
      </c>
    </row>
    <row r="602" spans="1:3" x14ac:dyDescent="0.35">
      <c r="A602" s="5" t="s">
        <v>1017</v>
      </c>
      <c r="B602" s="5">
        <f>Priv!F273</f>
        <v>0</v>
      </c>
      <c r="C602" s="6" t="s">
        <v>1112</v>
      </c>
    </row>
    <row r="603" spans="1:3" x14ac:dyDescent="0.35">
      <c r="A603" s="5" t="s">
        <v>1018</v>
      </c>
      <c r="B603" s="5" t="e">
        <f>Priv!#REF!</f>
        <v>#REF!</v>
      </c>
      <c r="C603" s="6" t="s">
        <v>1112</v>
      </c>
    </row>
    <row r="604" spans="1:3" x14ac:dyDescent="0.35">
      <c r="A604" s="5" t="s">
        <v>1568</v>
      </c>
      <c r="B604" s="5" t="e">
        <f>Priv!#REF!</f>
        <v>#REF!</v>
      </c>
      <c r="C604" s="6" t="s">
        <v>1112</v>
      </c>
    </row>
    <row r="605" spans="1:3" x14ac:dyDescent="0.35">
      <c r="A605" s="5" t="s">
        <v>1569</v>
      </c>
      <c r="B605" s="5">
        <f>Priv!G273</f>
        <v>0</v>
      </c>
      <c r="C605" s="6" t="s">
        <v>1112</v>
      </c>
    </row>
    <row r="606" spans="1:3" x14ac:dyDescent="0.35">
      <c r="A606" s="5" t="s">
        <v>1570</v>
      </c>
      <c r="B606" s="5">
        <f>Priv!H273</f>
        <v>0</v>
      </c>
      <c r="C606" s="6" t="s">
        <v>1112</v>
      </c>
    </row>
    <row r="607" spans="1:3" x14ac:dyDescent="0.35">
      <c r="A607" s="5" t="s">
        <v>1019</v>
      </c>
      <c r="B607" s="5">
        <f>Priv!C274</f>
        <v>0</v>
      </c>
      <c r="C607" s="6" t="s">
        <v>1112</v>
      </c>
    </row>
    <row r="608" spans="1:3" x14ac:dyDescent="0.35">
      <c r="A608" s="5" t="s">
        <v>1020</v>
      </c>
      <c r="B608" s="5">
        <f>Priv!D274</f>
        <v>0</v>
      </c>
      <c r="C608" s="6" t="s">
        <v>1112</v>
      </c>
    </row>
    <row r="609" spans="1:3" x14ac:dyDescent="0.35">
      <c r="A609" s="5" t="s">
        <v>1021</v>
      </c>
      <c r="B609" s="5" t="e">
        <f>Priv!#REF!</f>
        <v>#REF!</v>
      </c>
      <c r="C609" s="6" t="s">
        <v>1112</v>
      </c>
    </row>
    <row r="610" spans="1:3" x14ac:dyDescent="0.35">
      <c r="A610" s="5" t="s">
        <v>1022</v>
      </c>
      <c r="B610" s="5" t="e">
        <f>Priv!#REF!</f>
        <v>#REF!</v>
      </c>
      <c r="C610" s="6" t="s">
        <v>1112</v>
      </c>
    </row>
    <row r="611" spans="1:3" x14ac:dyDescent="0.35">
      <c r="A611" s="5" t="s">
        <v>1023</v>
      </c>
      <c r="B611" s="5">
        <f>Priv!E274</f>
        <v>0</v>
      </c>
      <c r="C611" s="6" t="s">
        <v>1112</v>
      </c>
    </row>
    <row r="612" spans="1:3" x14ac:dyDescent="0.35">
      <c r="A612" s="5" t="s">
        <v>1024</v>
      </c>
      <c r="B612" s="5">
        <f>Priv!F274</f>
        <v>0</v>
      </c>
      <c r="C612" s="6" t="s">
        <v>1112</v>
      </c>
    </row>
    <row r="613" spans="1:3" x14ac:dyDescent="0.35">
      <c r="A613" s="5" t="s">
        <v>1025</v>
      </c>
      <c r="B613" s="5" t="e">
        <f>Priv!#REF!</f>
        <v>#REF!</v>
      </c>
      <c r="C613" s="6" t="s">
        <v>1112</v>
      </c>
    </row>
    <row r="614" spans="1:3" x14ac:dyDescent="0.35">
      <c r="A614" s="5" t="s">
        <v>1571</v>
      </c>
      <c r="B614" s="5" t="e">
        <f>Priv!#REF!</f>
        <v>#REF!</v>
      </c>
      <c r="C614" s="6" t="s">
        <v>1112</v>
      </c>
    </row>
    <row r="615" spans="1:3" x14ac:dyDescent="0.35">
      <c r="A615" s="5" t="s">
        <v>1572</v>
      </c>
      <c r="B615" s="5">
        <f>Priv!G274</f>
        <v>0</v>
      </c>
      <c r="C615" s="6" t="s">
        <v>1112</v>
      </c>
    </row>
    <row r="616" spans="1:3" x14ac:dyDescent="0.35">
      <c r="A616" s="5" t="s">
        <v>1573</v>
      </c>
      <c r="B616" s="5">
        <f>Priv!H274</f>
        <v>0</v>
      </c>
      <c r="C616" s="6" t="s">
        <v>1112</v>
      </c>
    </row>
    <row r="617" spans="1:3" x14ac:dyDescent="0.35">
      <c r="A617" s="5" t="s">
        <v>1026</v>
      </c>
      <c r="B617" s="5">
        <f>Priv!C275</f>
        <v>0</v>
      </c>
      <c r="C617" s="6" t="s">
        <v>1112</v>
      </c>
    </row>
    <row r="618" spans="1:3" x14ac:dyDescent="0.35">
      <c r="A618" s="5" t="s">
        <v>1027</v>
      </c>
      <c r="B618" s="5">
        <f>Priv!D275</f>
        <v>0</v>
      </c>
      <c r="C618" s="6" t="s">
        <v>1112</v>
      </c>
    </row>
    <row r="619" spans="1:3" x14ac:dyDescent="0.35">
      <c r="A619" s="5" t="s">
        <v>1028</v>
      </c>
      <c r="B619" s="5" t="e">
        <f>Priv!#REF!</f>
        <v>#REF!</v>
      </c>
      <c r="C619" s="6" t="s">
        <v>1112</v>
      </c>
    </row>
    <row r="620" spans="1:3" x14ac:dyDescent="0.35">
      <c r="A620" s="5" t="s">
        <v>1029</v>
      </c>
      <c r="B620" s="5" t="e">
        <f>Priv!#REF!</f>
        <v>#REF!</v>
      </c>
      <c r="C620" s="6" t="s">
        <v>1112</v>
      </c>
    </row>
    <row r="621" spans="1:3" x14ac:dyDescent="0.35">
      <c r="A621" s="5" t="s">
        <v>1030</v>
      </c>
      <c r="B621" s="5">
        <f>Priv!E275</f>
        <v>0</v>
      </c>
      <c r="C621" s="6" t="s">
        <v>1112</v>
      </c>
    </row>
    <row r="622" spans="1:3" x14ac:dyDescent="0.35">
      <c r="A622" s="5" t="s">
        <v>1031</v>
      </c>
      <c r="B622" s="5">
        <f>Priv!F275</f>
        <v>0</v>
      </c>
      <c r="C622" s="6" t="s">
        <v>1112</v>
      </c>
    </row>
    <row r="623" spans="1:3" x14ac:dyDescent="0.35">
      <c r="A623" s="5" t="s">
        <v>1032</v>
      </c>
      <c r="B623" s="5" t="e">
        <f>Priv!#REF!</f>
        <v>#REF!</v>
      </c>
      <c r="C623" s="6" t="s">
        <v>1112</v>
      </c>
    </row>
    <row r="624" spans="1:3" x14ac:dyDescent="0.35">
      <c r="A624" s="5" t="s">
        <v>1574</v>
      </c>
      <c r="B624" s="5" t="e">
        <f>Priv!#REF!</f>
        <v>#REF!</v>
      </c>
      <c r="C624" s="6" t="s">
        <v>1112</v>
      </c>
    </row>
    <row r="625" spans="1:3" x14ac:dyDescent="0.35">
      <c r="A625" s="5" t="s">
        <v>1575</v>
      </c>
      <c r="B625" s="5">
        <f>Priv!G275</f>
        <v>0</v>
      </c>
      <c r="C625" s="6" t="s">
        <v>1112</v>
      </c>
    </row>
    <row r="626" spans="1:3" x14ac:dyDescent="0.35">
      <c r="A626" s="5" t="s">
        <v>1576</v>
      </c>
      <c r="B626" s="5">
        <f>Priv!H275</f>
        <v>0</v>
      </c>
      <c r="C626" s="6" t="s">
        <v>1112</v>
      </c>
    </row>
    <row r="627" spans="1:3" x14ac:dyDescent="0.35">
      <c r="A627" s="5" t="s">
        <v>1033</v>
      </c>
      <c r="B627" s="5">
        <f>Priv!C276</f>
        <v>0</v>
      </c>
      <c r="C627" s="6" t="s">
        <v>1112</v>
      </c>
    </row>
    <row r="628" spans="1:3" x14ac:dyDescent="0.35">
      <c r="A628" s="5" t="s">
        <v>1034</v>
      </c>
      <c r="B628" s="5">
        <f>Priv!D276</f>
        <v>0</v>
      </c>
      <c r="C628" s="6" t="s">
        <v>1112</v>
      </c>
    </row>
    <row r="629" spans="1:3" x14ac:dyDescent="0.35">
      <c r="A629" s="5" t="s">
        <v>1035</v>
      </c>
      <c r="B629" s="5" t="e">
        <f>Priv!#REF!</f>
        <v>#REF!</v>
      </c>
      <c r="C629" s="6" t="s">
        <v>1112</v>
      </c>
    </row>
    <row r="630" spans="1:3" x14ac:dyDescent="0.35">
      <c r="A630" s="5" t="s">
        <v>1036</v>
      </c>
      <c r="B630" s="5" t="e">
        <f>Priv!#REF!</f>
        <v>#REF!</v>
      </c>
      <c r="C630" s="6" t="s">
        <v>1112</v>
      </c>
    </row>
    <row r="631" spans="1:3" x14ac:dyDescent="0.35">
      <c r="A631" s="5" t="s">
        <v>1037</v>
      </c>
      <c r="B631" s="5">
        <f>Priv!E276</f>
        <v>0</v>
      </c>
      <c r="C631" s="6" t="s">
        <v>1112</v>
      </c>
    </row>
    <row r="632" spans="1:3" x14ac:dyDescent="0.35">
      <c r="A632" s="5" t="s">
        <v>1038</v>
      </c>
      <c r="B632" s="5">
        <f>Priv!F276</f>
        <v>0</v>
      </c>
      <c r="C632" s="6" t="s">
        <v>1112</v>
      </c>
    </row>
    <row r="633" spans="1:3" x14ac:dyDescent="0.35">
      <c r="A633" s="5" t="s">
        <v>1039</v>
      </c>
      <c r="B633" s="5" t="e">
        <f>Priv!#REF!</f>
        <v>#REF!</v>
      </c>
      <c r="C633" s="6" t="s">
        <v>1112</v>
      </c>
    </row>
    <row r="634" spans="1:3" x14ac:dyDescent="0.35">
      <c r="A634" s="5" t="s">
        <v>1577</v>
      </c>
      <c r="B634" s="5" t="e">
        <f>Priv!#REF!</f>
        <v>#REF!</v>
      </c>
      <c r="C634" s="6" t="s">
        <v>1112</v>
      </c>
    </row>
    <row r="635" spans="1:3" x14ac:dyDescent="0.35">
      <c r="A635" s="5" t="s">
        <v>1578</v>
      </c>
      <c r="B635" s="5">
        <f>Priv!G276</f>
        <v>0</v>
      </c>
      <c r="C635" s="6" t="s">
        <v>1112</v>
      </c>
    </row>
    <row r="636" spans="1:3" x14ac:dyDescent="0.35">
      <c r="A636" s="5" t="s">
        <v>1579</v>
      </c>
      <c r="B636" s="5">
        <f>Priv!H276</f>
        <v>0</v>
      </c>
      <c r="C636" s="6" t="s">
        <v>1112</v>
      </c>
    </row>
    <row r="637" spans="1:3" x14ac:dyDescent="0.35">
      <c r="A637" s="5" t="s">
        <v>1580</v>
      </c>
      <c r="B637" s="5">
        <f>Priv!C277</f>
        <v>0</v>
      </c>
      <c r="C637" s="6" t="s">
        <v>1112</v>
      </c>
    </row>
    <row r="638" spans="1:3" x14ac:dyDescent="0.35">
      <c r="A638" s="5" t="s">
        <v>1581</v>
      </c>
      <c r="B638" s="5">
        <f>Priv!D277</f>
        <v>0</v>
      </c>
      <c r="C638" s="6" t="s">
        <v>1112</v>
      </c>
    </row>
    <row r="639" spans="1:3" x14ac:dyDescent="0.35">
      <c r="A639" s="5" t="s">
        <v>1582</v>
      </c>
      <c r="B639" s="5" t="e">
        <f>Priv!#REF!</f>
        <v>#REF!</v>
      </c>
      <c r="C639" s="6" t="s">
        <v>1112</v>
      </c>
    </row>
    <row r="640" spans="1:3" x14ac:dyDescent="0.35">
      <c r="A640" s="5" t="s">
        <v>1583</v>
      </c>
      <c r="B640" s="5" t="e">
        <f>Priv!#REF!</f>
        <v>#REF!</v>
      </c>
      <c r="C640" s="6" t="s">
        <v>1112</v>
      </c>
    </row>
    <row r="641" spans="1:3" x14ac:dyDescent="0.35">
      <c r="A641" s="5" t="s">
        <v>1584</v>
      </c>
      <c r="B641" s="5">
        <f>Priv!E277</f>
        <v>0</v>
      </c>
      <c r="C641" s="6" t="s">
        <v>1112</v>
      </c>
    </row>
    <row r="642" spans="1:3" x14ac:dyDescent="0.35">
      <c r="A642" s="5" t="s">
        <v>1585</v>
      </c>
      <c r="B642" s="5">
        <f>Priv!F277</f>
        <v>0</v>
      </c>
      <c r="C642" s="6" t="s">
        <v>1112</v>
      </c>
    </row>
    <row r="643" spans="1:3" x14ac:dyDescent="0.35">
      <c r="A643" s="5" t="s">
        <v>1586</v>
      </c>
      <c r="B643" s="5" t="e">
        <f>Priv!#REF!</f>
        <v>#REF!</v>
      </c>
      <c r="C643" s="6" t="s">
        <v>1112</v>
      </c>
    </row>
    <row r="644" spans="1:3" x14ac:dyDescent="0.35">
      <c r="A644" s="5" t="s">
        <v>1587</v>
      </c>
      <c r="B644" s="5" t="e">
        <f>Priv!#REF!</f>
        <v>#REF!</v>
      </c>
      <c r="C644" s="6" t="s">
        <v>1112</v>
      </c>
    </row>
    <row r="645" spans="1:3" x14ac:dyDescent="0.35">
      <c r="A645" s="5" t="s">
        <v>1588</v>
      </c>
      <c r="B645" s="5">
        <f>Priv!G277</f>
        <v>0</v>
      </c>
      <c r="C645" s="6" t="s">
        <v>1112</v>
      </c>
    </row>
    <row r="646" spans="1:3" x14ac:dyDescent="0.35">
      <c r="A646" s="5" t="s">
        <v>1589</v>
      </c>
      <c r="B646" s="5">
        <f>Priv!H277</f>
        <v>0</v>
      </c>
      <c r="C646" s="6" t="s">
        <v>1112</v>
      </c>
    </row>
    <row r="647" spans="1:3" x14ac:dyDescent="0.35">
      <c r="A647" s="5" t="s">
        <v>1040</v>
      </c>
      <c r="B647" s="5">
        <f>Priv!A283</f>
        <v>0</v>
      </c>
      <c r="C647" s="6">
        <v>9</v>
      </c>
    </row>
    <row r="648" spans="1:3" x14ac:dyDescent="0.35">
      <c r="A648" s="5" t="s">
        <v>1042</v>
      </c>
      <c r="B648" s="5">
        <f>Priv!C283</f>
        <v>0</v>
      </c>
      <c r="C648" s="6">
        <v>9</v>
      </c>
    </row>
    <row r="649" spans="1:3" x14ac:dyDescent="0.35">
      <c r="A649" s="5" t="s">
        <v>1043</v>
      </c>
      <c r="B649" s="5">
        <f>Priv!E283</f>
        <v>0</v>
      </c>
      <c r="C649" s="6">
        <v>9</v>
      </c>
    </row>
    <row r="650" spans="1:3" x14ac:dyDescent="0.35">
      <c r="A650" s="5" t="s">
        <v>1044</v>
      </c>
      <c r="B650" s="5">
        <f>Priv!G283</f>
        <v>0</v>
      </c>
      <c r="C650" s="6">
        <v>9</v>
      </c>
    </row>
    <row r="651" spans="1:3" x14ac:dyDescent="0.35">
      <c r="A651" s="5" t="s">
        <v>1111</v>
      </c>
      <c r="B651" s="5">
        <f>Priv!F292</f>
        <v>0</v>
      </c>
      <c r="C651" s="6" t="s">
        <v>1194</v>
      </c>
    </row>
    <row r="652" spans="1:3" x14ac:dyDescent="0.35">
      <c r="A652" s="2" t="s">
        <v>1122</v>
      </c>
      <c r="B652" s="2">
        <f>Priv!F293</f>
        <v>0</v>
      </c>
      <c r="C652" s="4" t="s">
        <v>1194</v>
      </c>
    </row>
    <row r="653" spans="1:3" x14ac:dyDescent="0.35">
      <c r="A653" s="2" t="s">
        <v>1182</v>
      </c>
      <c r="B653" s="2">
        <f>Priv!F302</f>
        <v>0</v>
      </c>
      <c r="C653" s="4" t="s">
        <v>1199</v>
      </c>
    </row>
    <row r="654" spans="1:3" x14ac:dyDescent="0.35">
      <c r="A654" s="2" t="s">
        <v>1184</v>
      </c>
      <c r="B654" s="2">
        <f>Priv!G302</f>
        <v>0</v>
      </c>
      <c r="C654" s="4" t="s">
        <v>1199</v>
      </c>
    </row>
    <row r="655" spans="1:3" x14ac:dyDescent="0.35">
      <c r="A655" s="2" t="s">
        <v>1185</v>
      </c>
      <c r="B655" s="2">
        <f>Priv!H302</f>
        <v>0</v>
      </c>
      <c r="C655" s="4" t="s">
        <v>1199</v>
      </c>
    </row>
    <row r="656" spans="1:3" x14ac:dyDescent="0.35">
      <c r="A656" s="2" t="s">
        <v>1590</v>
      </c>
      <c r="B656" s="2">
        <f>Priv!J302</f>
        <v>0</v>
      </c>
      <c r="C656" s="4" t="s">
        <v>1199</v>
      </c>
    </row>
    <row r="657" spans="1:3" x14ac:dyDescent="0.35">
      <c r="A657" s="2" t="s">
        <v>1591</v>
      </c>
      <c r="B657" s="2">
        <f>Priv!F303</f>
        <v>0</v>
      </c>
      <c r="C657" s="4" t="s">
        <v>1199</v>
      </c>
    </row>
    <row r="658" spans="1:3" x14ac:dyDescent="0.35">
      <c r="A658" s="2" t="s">
        <v>1592</v>
      </c>
      <c r="B658" s="2">
        <f>Priv!G303</f>
        <v>0</v>
      </c>
      <c r="C658" s="4" t="s">
        <v>1199</v>
      </c>
    </row>
    <row r="659" spans="1:3" x14ac:dyDescent="0.35">
      <c r="A659" s="2" t="s">
        <v>1593</v>
      </c>
      <c r="B659" s="2">
        <f>Priv!H303</f>
        <v>0</v>
      </c>
      <c r="C659" s="4" t="s">
        <v>1199</v>
      </c>
    </row>
    <row r="660" spans="1:3" x14ac:dyDescent="0.35">
      <c r="A660" s="2" t="s">
        <v>1594</v>
      </c>
      <c r="B660" s="2">
        <f>Priv!J303</f>
        <v>0</v>
      </c>
      <c r="C660" s="4" t="s">
        <v>1199</v>
      </c>
    </row>
    <row r="661" spans="1:3" x14ac:dyDescent="0.35">
      <c r="A661" s="5" t="s">
        <v>1186</v>
      </c>
      <c r="B661" s="5">
        <f>Priv!J316</f>
        <v>0</v>
      </c>
      <c r="C661" s="6" t="s">
        <v>1201</v>
      </c>
    </row>
    <row r="662" spans="1:3" x14ac:dyDescent="0.35">
      <c r="A662" s="5" t="s">
        <v>1595</v>
      </c>
      <c r="B662" s="5">
        <f>Priv!J317</f>
        <v>0</v>
      </c>
      <c r="C662" s="6" t="s">
        <v>1201</v>
      </c>
    </row>
    <row r="663" spans="1:3" x14ac:dyDescent="0.35">
      <c r="A663" s="2" t="s">
        <v>1193</v>
      </c>
      <c r="B663" s="2">
        <f>Priv!J320</f>
        <v>0</v>
      </c>
      <c r="C663" s="4" t="s">
        <v>1207</v>
      </c>
    </row>
    <row r="664" spans="1:3" x14ac:dyDescent="0.35">
      <c r="A664" s="5" t="s">
        <v>1198</v>
      </c>
      <c r="B664" s="5">
        <f>Priv!I331</f>
        <v>0</v>
      </c>
      <c r="C664" s="6" t="s">
        <v>1596</v>
      </c>
    </row>
    <row r="665" spans="1:3" x14ac:dyDescent="0.35">
      <c r="A665" s="5" t="s">
        <v>1597</v>
      </c>
      <c r="B665" s="5">
        <f>Priv!I332</f>
        <v>0</v>
      </c>
      <c r="C665" s="6" t="s">
        <v>1596</v>
      </c>
    </row>
    <row r="666" spans="1:3" x14ac:dyDescent="0.35">
      <c r="A666" s="5" t="s">
        <v>1598</v>
      </c>
      <c r="B666" s="5">
        <f>Priv!I333</f>
        <v>0</v>
      </c>
      <c r="C666" s="6" t="s">
        <v>1596</v>
      </c>
    </row>
    <row r="667" spans="1:3" x14ac:dyDescent="0.35">
      <c r="A667" s="5" t="s">
        <v>1599</v>
      </c>
      <c r="B667" s="5">
        <f>Priv!F334</f>
        <v>0</v>
      </c>
      <c r="C667" s="6" t="s">
        <v>1596</v>
      </c>
    </row>
    <row r="668" spans="1:3" x14ac:dyDescent="0.35">
      <c r="A668" s="5" t="s">
        <v>1600</v>
      </c>
      <c r="B668" s="5">
        <f>Priv!F335</f>
        <v>0</v>
      </c>
      <c r="C668" s="6" t="s">
        <v>1596</v>
      </c>
    </row>
    <row r="669" spans="1:3" x14ac:dyDescent="0.35">
      <c r="A669" s="2" t="s">
        <v>1200</v>
      </c>
      <c r="B669" s="2">
        <f>Priv!F340</f>
        <v>0</v>
      </c>
      <c r="C669" s="4" t="s">
        <v>1601</v>
      </c>
    </row>
    <row r="670" spans="1:3" x14ac:dyDescent="0.35">
      <c r="A670" s="2" t="s">
        <v>1202</v>
      </c>
      <c r="B670" s="2">
        <f>Priv!F341</f>
        <v>0</v>
      </c>
      <c r="C670" s="4" t="s">
        <v>1601</v>
      </c>
    </row>
    <row r="671" spans="1:3" x14ac:dyDescent="0.35">
      <c r="A671" s="2" t="s">
        <v>1203</v>
      </c>
      <c r="B671" s="2">
        <f>Priv!F342</f>
        <v>0</v>
      </c>
      <c r="C671" s="4" t="s">
        <v>1601</v>
      </c>
    </row>
    <row r="672" spans="1:3" x14ac:dyDescent="0.35">
      <c r="A672" s="2" t="s">
        <v>1204</v>
      </c>
      <c r="B672" s="2">
        <f>Priv!F343</f>
        <v>0</v>
      </c>
      <c r="C672" s="4" t="s">
        <v>1601</v>
      </c>
    </row>
    <row r="673" spans="1:3" x14ac:dyDescent="0.35">
      <c r="A673" s="2" t="s">
        <v>1205</v>
      </c>
      <c r="B673" s="2">
        <f>Priv!F344</f>
        <v>0</v>
      </c>
      <c r="C673" s="4" t="s">
        <v>1601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a663b-4b8a-469d-b5ee-90eaa0e315d8" xsi:nil="true"/>
    <lcf76f155ced4ddcb4097134ff3c332f xmlns="98a1368e-d07b-4654-8962-d7870efb807b">
      <Terms xmlns="http://schemas.microsoft.com/office/infopath/2007/PartnerControls"/>
    </lcf76f155ced4ddcb4097134ff3c332f>
    <_dlc_DocId xmlns="83aa663b-4b8a-469d-b5ee-90eaa0e315d8">4RWRPJAYJ72E-25897711-209174</_dlc_DocId>
    <_dlc_DocIdUrl xmlns="83aa663b-4b8a-469d-b5ee-90eaa0e315d8">
      <Url>https://056gc.sharepoint.com/sites/OCIO-DDP-_BDPI-SDPN/_layouts/15/DocIdRedir.aspx?ID=4RWRPJAYJ72E-25897711-209174</Url>
      <Description>4RWRPJAYJ72E-25897711-209174</Description>
    </_dlc_DocIdUrl>
    <_Flow_SignoffStatus xmlns="98a1368e-d07b-4654-8962-d7870efb807b" xsi:nil="true"/>
    <Status xmlns="98a1368e-d07b-4654-8962-d7870efb807b" xsi:nil="true"/>
    <MediaLengthInSeconds xmlns="98a1368e-d07b-4654-8962-d7870efb807b" xsi:nil="true"/>
    <SharedWithUsers xmlns="83aa663b-4b8a-469d-b5ee-90eaa0e315d8">
      <UserInfo>
        <DisplayName>Vincelette, Augustin</DisplayName>
        <AccountId>846</AccountId>
        <AccountType/>
      </UserInfo>
    </SharedWithUsers>
    <_dlc_DocIdPersistId xmlns="83aa663b-4b8a-469d-b5ee-90eaa0e315d8">false</_dlc_DocIdPersistId>
    <IconOverlay xmlns="http://schemas.microsoft.com/sharepoint/v4" xsi:nil="true"/>
    <Frenchversion xmlns="98a1368e-d07b-4654-8962-d7870efb807b">false</Frenchversion>
    <Infosourceduedate xmlns="98a1368e-d07b-4654-8962-d7870efb807b" xsi:nil="true"/>
    <DatePublished xmlns="98a1368e-d07b-4654-8962-d7870efb807b" xsi:nil="true"/>
    <Document_x0020_Type xmlns="98a1368e-d07b-4654-8962-d7870efb807b" xsi:nil="true"/>
    <Consult xmlns="98a1368e-d07b-4654-8962-d7870efb807b" xsi:nil="true"/>
    <IDGReviewTags xmlns="98a1368e-d07b-4654-8962-d7870efb807b" xsi:nil="true"/>
    <Language xmlns="98a1368e-d07b-4654-8962-d7870efb807b" xsi:nil="true"/>
    <MetaData1 xmlns="98a1368e-d07b-4654-8962-d7870efb807b">Forms</MetaData1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A7348FF32FD4983FEBC65875BD8E7" ma:contentTypeVersion="32" ma:contentTypeDescription="Create a new document." ma:contentTypeScope="" ma:versionID="fde51bdf98357f6a5356e8cffbacfc7c">
  <xsd:schema xmlns:xsd="http://www.w3.org/2001/XMLSchema" xmlns:xs="http://www.w3.org/2001/XMLSchema" xmlns:p="http://schemas.microsoft.com/office/2006/metadata/properties" xmlns:ns1="http://schemas.microsoft.com/sharepoint/v3" xmlns:ns2="83aa663b-4b8a-469d-b5ee-90eaa0e315d8" xmlns:ns3="98a1368e-d07b-4654-8962-d7870efb807b" xmlns:ns4="http://schemas.microsoft.com/sharepoint/v4" targetNamespace="http://schemas.microsoft.com/office/2006/metadata/properties" ma:root="true" ma:fieldsID="756fd53fbe337007bb3be312aac9fe5b" ns1:_="" ns2:_="" ns3:_="" ns4:_="">
    <xsd:import namespace="http://schemas.microsoft.com/sharepoint/v3"/>
    <xsd:import namespace="83aa663b-4b8a-469d-b5ee-90eaa0e315d8"/>
    <xsd:import namespace="98a1368e-d07b-4654-8962-d7870efb807b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Statu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Frenchversion" minOccurs="0"/>
                <xsd:element ref="ns3:Infosourceduedate" minOccurs="0"/>
                <xsd:element ref="ns3:DatePublished" minOccurs="0"/>
                <xsd:element ref="ns3:MediaServiceBillingMetadata" minOccurs="0"/>
                <xsd:element ref="ns3:Consult" minOccurs="0"/>
                <xsd:element ref="ns3:Document_x0020_Type" minOccurs="0"/>
                <xsd:element ref="ns3:IDGReviewTags" minOccurs="0"/>
                <xsd:element ref="ns3:Language" minOccurs="0"/>
                <xsd:element ref="ns3:MetaData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9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0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a663b-4b8a-469d-b5ee-90eaa0e315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017eb2-65c3-4c7c-bb0f-e7e8039ce12a}" ma:internalName="TaxCatchAll" ma:showField="CatchAllData" ma:web="83aa663b-4b8a-469d-b5ee-90eaa0e315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1368e-d07b-4654-8962-d7870efb8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f3204f-aabd-4e28-9088-5d29a8bce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Status" ma:index="27" nillable="true" ma:displayName="Status" ma:format="Dropdown" ma:internalName="Status">
      <xsd:simpleType>
        <xsd:restriction base="dms:Choice">
          <xsd:enumeration value="Working Copy"/>
          <xsd:enumeration value="Final"/>
          <xsd:enumeration value="Draft"/>
        </xsd:restriction>
      </xsd:simpleType>
    </xsd:element>
    <xsd:element name="Frenchversion" ma:index="31" nillable="true" ma:displayName="French version" ma:default="0" ma:format="Dropdown" ma:internalName="Frenchversion">
      <xsd:simpleType>
        <xsd:restriction base="dms:Boolean"/>
      </xsd:simpleType>
    </xsd:element>
    <xsd:element name="Infosourceduedate" ma:index="32" nillable="true" ma:displayName="Info source due date" ma:description="For documents discussing or following up on Info Source updates that were due on a particular date" ma:format="Dropdown" ma:internalName="Infosourceduedate">
      <xsd:simpleType>
        <xsd:restriction base="dms:Text">
          <xsd:maxLength value="255"/>
        </xsd:restriction>
      </xsd:simpleType>
    </xsd:element>
    <xsd:element name="DatePublished" ma:index="33" nillable="true" ma:displayName="Date Published" ma:description="The date upon which the content was originally published on GCconnex" ma:format="DateOnly" ma:indexed="true" ma:internalName="DatePublished">
      <xsd:simpleType>
        <xsd:restriction base="dms:DateTim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sult" ma:index="35" nillable="true" ma:displayName="Consult" ma:description="Identify whose comments are included in the draft" ma:format="Dropdown" ma:indexed="true" ma:internalName="Consult">
      <xsd:simpleType>
        <xsd:restriction base="dms:Text">
          <xsd:maxLength value="255"/>
        </xsd:restriction>
      </xsd:simpleType>
    </xsd:element>
    <xsd:element name="Document_x0020_Type" ma:index="36" nillable="true" ma:displayName="Document Type" ma:format="Dropdown" ma:indexed="true" ma:internalName="Document_x0020_Type">
      <xsd:simpleType>
        <xsd:union memberTypes="dms:Text">
          <xsd:simpleType>
            <xsd:restriction base="dms:Choice">
              <xsd:enumeration value="Meeting Agenda"/>
              <xsd:enumeration value="Record of Discussion"/>
            </xsd:restriction>
          </xsd:simpleType>
        </xsd:union>
      </xsd:simpleType>
    </xsd:element>
    <xsd:element name="IDGReviewTags" ma:index="37" nillable="true" ma:displayName="IDG Review Tags" ma:description="List of tags assigned from each of the PSD, Digital Ambition, Data Strategy and associated instruments" ma:format="Dropdown" ma:internalName="IDGReviewTa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igital Ambition"/>
                    <xsd:enumeration value="Data"/>
                    <xsd:enumeration value="Choice 3"/>
                    <xsd:enumeration value="Choice 4"/>
                  </xsd:restriction>
                </xsd:simpleType>
              </xsd:element>
            </xsd:sequence>
          </xsd:extension>
        </xsd:complexContent>
      </xsd:complexType>
    </xsd:element>
    <xsd:element name="Language" ma:index="38" nillable="true" ma:displayName="Language" ma:format="Dropdown" ma:internalName="Language">
      <xsd:simpleType>
        <xsd:restriction base="dms:Text">
          <xsd:maxLength value="255"/>
        </xsd:restriction>
      </xsd:simpleType>
    </xsd:element>
    <xsd:element name="MetaData1" ma:index="39" nillable="true" ma:displayName="MetaData1" ma:default="Forms" ma:format="Dropdown" ma:internalName="MetaData1">
      <xsd:simpleType>
        <xsd:union memberTypes="dms:Text">
          <xsd:simpleType>
            <xsd:restriction base="dms:Choice">
              <xsd:enumeration value="Forms"/>
              <xsd:enumeration value="Fingerprint"/>
              <xsd:enumeration value="CSIS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100E4-680E-4481-B98D-C25CE09BDC9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9817EF4-FAF4-444D-A151-89BD73986D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FD9FCF-DA49-42D0-80EA-42CCD70648FA}">
  <ds:schemaRefs>
    <ds:schemaRef ds:uri="http://schemas.microsoft.com/office/2006/metadata/properties"/>
    <ds:schemaRef ds:uri="http://schemas.microsoft.com/office/infopath/2007/PartnerControls"/>
    <ds:schemaRef ds:uri="83aa663b-4b8a-469d-b5ee-90eaa0e315d8"/>
    <ds:schemaRef ds:uri="98a1368e-d07b-4654-8962-d7870efb807b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C018B381-201E-4DFA-A3A7-73ACDC8EF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aa663b-4b8a-469d-b5ee-90eaa0e315d8"/>
    <ds:schemaRef ds:uri="98a1368e-d07b-4654-8962-d7870efb807b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ATI</vt:lpstr>
      <vt:lpstr>Priv</vt:lpstr>
      <vt:lpstr>Privacy_ForConsumption</vt:lpstr>
      <vt:lpstr>ATI!Print_Area</vt:lpstr>
      <vt:lpstr>Priv!Print_Area</vt:lpstr>
    </vt:vector>
  </TitlesOfParts>
  <Manager/>
  <Company>TBS-SCT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Denault, Ronald</dc:creator>
  <cp:keywords/>
  <dc:description/>
  <cp:lastModifiedBy>Viau, Jennifer</cp:lastModifiedBy>
  <cp:revision/>
  <dcterms:created xsi:type="dcterms:W3CDTF">2019-02-13T15:18:41Z</dcterms:created>
  <dcterms:modified xsi:type="dcterms:W3CDTF">2026-05-01T17:34:56Z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90f4d19b-4b24-4e66-8199-a01f9cd2d955</vt:lpwstr>
  </property>
  <property fmtid="{D5CDD505-2E9C-101B-9397-08002B2CF9AE}" pid="3" name="SECCLASS">
    <vt:lpwstr>CLASSU</vt:lpwstr>
  </property>
  <property fmtid="{D5CDD505-2E9C-101B-9397-08002B2CF9AE}" pid="4" name="TBSSCTCLASSIFICATION">
    <vt:lpwstr>UNCLASSIFIED</vt:lpwstr>
  </property>
  <property fmtid="{D5CDD505-2E9C-101B-9397-08002B2CF9AE}" pid="5" name="TBSSCTVISUALMARKINGNO">
    <vt:lpwstr>NO</vt:lpwstr>
  </property>
  <property fmtid="{D5CDD505-2E9C-101B-9397-08002B2CF9AE}" pid="6" name="MSIP_Label_dd4203d7-225b-41a9-8c54-a31e0ceca5df_Enabled">
    <vt:lpwstr>True</vt:lpwstr>
  </property>
  <property fmtid="{D5CDD505-2E9C-101B-9397-08002B2CF9AE}" pid="7" name="MSIP_Label_dd4203d7-225b-41a9-8c54-a31e0ceca5df_SiteId">
    <vt:lpwstr>6397df10-4595-4047-9c4f-03311282152b</vt:lpwstr>
  </property>
  <property fmtid="{D5CDD505-2E9C-101B-9397-08002B2CF9AE}" pid="8" name="MSIP_Label_dd4203d7-225b-41a9-8c54-a31e0ceca5df_Owner">
    <vt:lpwstr>BDUNDAS@tbs-sct.gc.ca</vt:lpwstr>
  </property>
  <property fmtid="{D5CDD505-2E9C-101B-9397-08002B2CF9AE}" pid="9" name="MSIP_Label_dd4203d7-225b-41a9-8c54-a31e0ceca5df_SetDate">
    <vt:lpwstr>2021-01-29T12:40:58.7195499Z</vt:lpwstr>
  </property>
  <property fmtid="{D5CDD505-2E9C-101B-9397-08002B2CF9AE}" pid="10" name="MSIP_Label_dd4203d7-225b-41a9-8c54-a31e0ceca5df_Name">
    <vt:lpwstr>NO MARKING VISIBLE</vt:lpwstr>
  </property>
  <property fmtid="{D5CDD505-2E9C-101B-9397-08002B2CF9AE}" pid="11" name="MSIP_Label_dd4203d7-225b-41a9-8c54-a31e0ceca5df_Application">
    <vt:lpwstr>Microsoft Azure Information Protection</vt:lpwstr>
  </property>
  <property fmtid="{D5CDD505-2E9C-101B-9397-08002B2CF9AE}" pid="12" name="MSIP_Label_dd4203d7-225b-41a9-8c54-a31e0ceca5df_ActionId">
    <vt:lpwstr>a5b9da52-3f63-49e7-8cb3-3c98aa9e02c5</vt:lpwstr>
  </property>
  <property fmtid="{D5CDD505-2E9C-101B-9397-08002B2CF9AE}" pid="13" name="MSIP_Label_dd4203d7-225b-41a9-8c54-a31e0ceca5df_Extended_MSFT_Method">
    <vt:lpwstr>Automatic</vt:lpwstr>
  </property>
  <property fmtid="{D5CDD505-2E9C-101B-9397-08002B2CF9AE}" pid="14" name="MSIP_Label_3515d617-256d-4284-aedb-1064be1c4b48_Enabled">
    <vt:lpwstr>true</vt:lpwstr>
  </property>
  <property fmtid="{D5CDD505-2E9C-101B-9397-08002B2CF9AE}" pid="15" name="MSIP_Label_3515d617-256d-4284-aedb-1064be1c4b48_SetDate">
    <vt:lpwstr>2022-04-08T01:01:47Z</vt:lpwstr>
  </property>
  <property fmtid="{D5CDD505-2E9C-101B-9397-08002B2CF9AE}" pid="16" name="MSIP_Label_3515d617-256d-4284-aedb-1064be1c4b48_Method">
    <vt:lpwstr>Standard</vt:lpwstr>
  </property>
  <property fmtid="{D5CDD505-2E9C-101B-9397-08002B2CF9AE}" pid="17" name="MSIP_Label_3515d617-256d-4284-aedb-1064be1c4b48_Name">
    <vt:lpwstr>3515d617-256d-4284-aedb-1064be1c4b48</vt:lpwstr>
  </property>
  <property fmtid="{D5CDD505-2E9C-101B-9397-08002B2CF9AE}" pid="18" name="MSIP_Label_3515d617-256d-4284-aedb-1064be1c4b48_SiteId">
    <vt:lpwstr>6397df10-4595-4047-9c4f-03311282152b</vt:lpwstr>
  </property>
  <property fmtid="{D5CDD505-2E9C-101B-9397-08002B2CF9AE}" pid="19" name="MSIP_Label_3515d617-256d-4284-aedb-1064be1c4b48_ActionId">
    <vt:lpwstr>a5b9da52-3f63-49e7-8cb3-3c98aa9e02c5</vt:lpwstr>
  </property>
  <property fmtid="{D5CDD505-2E9C-101B-9397-08002B2CF9AE}" pid="20" name="MSIP_Label_3515d617-256d-4284-aedb-1064be1c4b48_ContentBits">
    <vt:lpwstr>0</vt:lpwstr>
  </property>
  <property fmtid="{D5CDD505-2E9C-101B-9397-08002B2CF9AE}" pid="21" name="ContentTypeId">
    <vt:lpwstr>0x0101005C2A7348FF32FD4983FEBC65875BD8E7</vt:lpwstr>
  </property>
  <property fmtid="{D5CDD505-2E9C-101B-9397-08002B2CF9AE}" pid="22" name="TaxKeyword">
    <vt:lpwstr/>
  </property>
  <property fmtid="{D5CDD505-2E9C-101B-9397-08002B2CF9AE}" pid="23" name="_dlc_DocIdItemGuid">
    <vt:lpwstr>c777ec54-6a25-42cb-ac8c-b19beeb33c14</vt:lpwstr>
  </property>
  <property fmtid="{D5CDD505-2E9C-101B-9397-08002B2CF9AE}" pid="24" name="MediaServiceImageTags">
    <vt:lpwstr/>
  </property>
  <property fmtid="{D5CDD505-2E9C-101B-9397-08002B2CF9AE}" pid="25" name="xd_ProgID">
    <vt:lpwstr/>
  </property>
  <property fmtid="{D5CDD505-2E9C-101B-9397-08002B2CF9AE}" pid="26" name="Approved">
    <vt:bool>false</vt:bool>
  </property>
  <property fmtid="{D5CDD505-2E9C-101B-9397-08002B2CF9AE}" pid="27" name="ComplianceAssetId">
    <vt:lpwstr/>
  </property>
  <property fmtid="{D5CDD505-2E9C-101B-9397-08002B2CF9AE}" pid="28" name="TemplateUrl">
    <vt:lpwstr/>
  </property>
  <property fmtid="{D5CDD505-2E9C-101B-9397-08002B2CF9AE}" pid="29" name="_ExtendedDescription">
    <vt:lpwstr/>
  </property>
  <property fmtid="{D5CDD505-2E9C-101B-9397-08002B2CF9AE}" pid="30" name="xd_Signature">
    <vt:bool>false</vt:bool>
  </property>
  <property fmtid="{D5CDD505-2E9C-101B-9397-08002B2CF9AE}" pid="31" name="TriggerFlowInfo">
    <vt:lpwstr/>
  </property>
  <property fmtid="{D5CDD505-2E9C-101B-9397-08002B2CF9AE}" pid="32" name="XREF">
    <vt:lpwstr>, </vt:lpwstr>
  </property>
</Properties>
</file>