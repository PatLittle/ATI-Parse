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Secrétariat du Conseil du Trésor du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45017</v>
      </c>
      <c r="I8" s="1371" t="n"/>
      <c r="J8" s="1371" t="n"/>
      <c r="K8" s="42" t="inlineStr">
        <is>
          <t>au</t>
        </is>
      </c>
      <c r="L8" s="1216" t="n">
        <v>45382</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191</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17</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1</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184</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17</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8</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172</v>
      </c>
      <c r="H28" s="1377" t="n"/>
      <c r="I28" s="1377" t="n"/>
      <c r="J28" s="1397" t="n"/>
      <c r="L28" s="28" t="n"/>
    </row>
    <row r="29" ht="15" customHeight="1">
      <c r="A29" s="505" t="inlineStr">
        <is>
          <t>Courriel</t>
        </is>
      </c>
      <c r="B29" s="1379" t="n"/>
      <c r="C29" s="1379" t="n"/>
      <c r="D29" s="1379" t="n"/>
      <c r="E29" s="1379" t="n"/>
      <c r="F29" s="1382" t="n"/>
      <c r="G29" s="553" t="n">
        <v>11</v>
      </c>
      <c r="H29" s="1398" t="n"/>
      <c r="I29" s="1398" t="n"/>
      <c r="J29" s="1399" t="n"/>
      <c r="L29" s="28" t="n"/>
    </row>
    <row r="30" ht="15" customHeight="1">
      <c r="A30" s="505" t="inlineStr">
        <is>
          <t>Poste</t>
        </is>
      </c>
      <c r="B30" s="1379" t="n"/>
      <c r="C30" s="1379" t="n"/>
      <c r="D30" s="1379" t="n"/>
      <c r="E30" s="1379" t="n"/>
      <c r="F30" s="1382" t="n"/>
      <c r="G30" s="553" t="n">
        <v>7</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1</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4</v>
      </c>
      <c r="E80" s="164" t="n">
        <v>9</v>
      </c>
      <c r="F80" s="164" t="n">
        <v>1</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14</v>
      </c>
      <c r="E81" s="167" t="n">
        <v>0</v>
      </c>
      <c r="F81" s="167" t="n">
        <v>1</v>
      </c>
      <c r="G81" s="167" t="n">
        <v>9</v>
      </c>
      <c r="H81" s="167" t="n">
        <v>4</v>
      </c>
      <c r="I81" s="167" t="n">
        <v>2</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v>
      </c>
      <c r="E82" s="167" t="n">
        <v>17</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6</v>
      </c>
      <c r="I84" s="167" t="n">
        <v>12</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0</v>
      </c>
      <c r="E85" s="167" t="n">
        <v>0</v>
      </c>
      <c r="F85" s="167" t="n">
        <v>0</v>
      </c>
      <c r="G85" s="167" t="n">
        <v>0</v>
      </c>
      <c r="H85" s="167" t="n">
        <v>18</v>
      </c>
      <c r="I85" s="167" t="n">
        <v>126</v>
      </c>
      <c r="J85" s="168" t="n">
        <v>4</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5</v>
      </c>
      <c r="E86" s="334" t="n">
        <v>0</v>
      </c>
      <c r="F86" s="334" t="n">
        <v>0</v>
      </c>
      <c r="G86" s="334" t="n">
        <v>0</v>
      </c>
      <c r="H86" s="334" t="n">
        <v>0</v>
      </c>
      <c r="I86" s="334" t="n">
        <v>135</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0</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0</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17</v>
      </c>
      <c r="L98" s="1399" t="n"/>
    </row>
    <row r="99">
      <c r="A99" s="1029" t="inlineStr">
        <is>
          <t>19(1)f)</t>
        </is>
      </c>
      <c r="B99" s="1382" t="n"/>
      <c r="C99" s="386" t="n">
        <v>0</v>
      </c>
      <c r="D99" s="1399" t="n"/>
      <c r="E99" s="1029" t="n">
        <v>22.1</v>
      </c>
      <c r="F99" s="1382" t="n"/>
      <c r="G99" s="386" t="n">
        <v>0</v>
      </c>
      <c r="H99" s="1399" t="n"/>
      <c r="I99" s="1029" t="n">
        <v>27</v>
      </c>
      <c r="J99" s="1382" t="n"/>
      <c r="K99" s="386" t="n">
        <v>4</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0</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3</v>
      </c>
      <c r="B116" s="1429" t="n"/>
      <c r="C116" s="861" t="n">
        <v>28</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19663</v>
      </c>
      <c r="B123" s="1428" t="n"/>
      <c r="C123" s="1430" t="n"/>
      <c r="D123" s="413" t="n">
        <v>8829</v>
      </c>
      <c r="E123" s="1428" t="n"/>
      <c r="F123" s="1430" t="n"/>
      <c r="G123" s="413" t="n">
        <v>166</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10</v>
      </c>
      <c r="D130" s="421" t="n">
        <v>508</v>
      </c>
      <c r="E130" s="1154" t="n">
        <v>4</v>
      </c>
      <c r="F130" s="597" t="n">
        <v>918</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6</v>
      </c>
      <c r="D131" s="345" t="n">
        <v>291</v>
      </c>
      <c r="E131" s="357" t="n">
        <v>3</v>
      </c>
      <c r="F131" s="358" t="n">
        <v>999</v>
      </c>
      <c r="G131" s="681" t="n">
        <v>2</v>
      </c>
      <c r="H131" s="345" t="n">
        <v>1445</v>
      </c>
      <c r="I131" s="357" t="n">
        <v>5</v>
      </c>
      <c r="J131" s="358" t="n">
        <v>9305</v>
      </c>
      <c r="K131" s="681" t="n">
        <v>1</v>
      </c>
      <c r="L131" s="345" t="n">
        <v>5373</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134</v>
      </c>
      <c r="D134" s="358" t="n">
        <v>81</v>
      </c>
      <c r="E134" s="681" t="n">
        <v>0</v>
      </c>
      <c r="F134" s="358" t="n">
        <v>0</v>
      </c>
      <c r="G134" s="681" t="n">
        <v>1</v>
      </c>
      <c r="H134" s="358" t="n">
        <v>743</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0</v>
      </c>
      <c r="D176" s="1399" t="n"/>
      <c r="E176" s="344" t="n">
        <v>0</v>
      </c>
      <c r="F176" s="1399" t="n"/>
      <c r="G176" s="344" t="n">
        <v>1</v>
      </c>
      <c r="H176" s="1399" t="n"/>
      <c r="I176" s="344" t="n">
        <v>0</v>
      </c>
      <c r="J176" s="1399" t="n"/>
      <c r="K176" s="414">
        <f>SUM(C176:J176)</f>
        <v/>
      </c>
      <c r="L176" s="1382" t="n"/>
      <c r="M176" s="26" t="n"/>
      <c r="T176" s="32" t="n"/>
    </row>
    <row r="177" ht="15" customHeight="1">
      <c r="A177" s="1446" t="inlineStr">
        <is>
          <t>Exception totale</t>
        </is>
      </c>
      <c r="B177" s="1381" t="n"/>
      <c r="C177" s="681" t="n">
        <v>3</v>
      </c>
      <c r="D177" s="1399" t="n"/>
      <c r="E177" s="344" t="n">
        <v>4</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5</v>
      </c>
      <c r="F198" s="1457" t="n"/>
      <c r="G198" s="327" t="n">
        <v>0</v>
      </c>
      <c r="H198" s="1457" t="n"/>
      <c r="I198" s="327" t="n">
        <v>0</v>
      </c>
      <c r="J198" s="1457" t="n"/>
      <c r="K198" s="327" t="n">
        <v>6</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1</v>
      </c>
      <c r="E203" s="1370" t="n"/>
      <c r="F203" s="1405" t="n"/>
      <c r="G203" s="420" t="n">
        <v>1</v>
      </c>
      <c r="H203" s="1370" t="n"/>
      <c r="I203" s="1405" t="n"/>
      <c r="J203" s="433">
        <f>SUM(D203:I203)</f>
        <v/>
      </c>
      <c r="K203" s="1371" t="n"/>
      <c r="L203" s="1396" t="n"/>
      <c r="M203" s="26" t="n"/>
      <c r="T203" s="32" t="n"/>
    </row>
    <row r="204">
      <c r="A204" s="1462" t="inlineStr">
        <is>
          <t>16 à 30 jours</t>
        </is>
      </c>
      <c r="B204" s="1379" t="n"/>
      <c r="C204" s="1381" t="n"/>
      <c r="D204" s="681" t="n">
        <v>2</v>
      </c>
      <c r="E204" s="1398" t="n"/>
      <c r="F204" s="1399" t="n"/>
      <c r="G204" s="344" t="n">
        <v>3</v>
      </c>
      <c r="H204" s="1398" t="n"/>
      <c r="I204" s="1399" t="n"/>
      <c r="J204" s="414">
        <f>SUM(D204:I204)</f>
        <v/>
      </c>
      <c r="K204" s="1379" t="n"/>
      <c r="L204" s="1382" t="n"/>
      <c r="M204" s="26" t="n"/>
      <c r="T204" s="32" t="n"/>
    </row>
    <row r="205">
      <c r="A205" s="1462" t="inlineStr">
        <is>
          <t>31 à 60 jours</t>
        </is>
      </c>
      <c r="B205" s="1379" t="n"/>
      <c r="C205" s="1381" t="n"/>
      <c r="D205" s="681" t="n">
        <v>2</v>
      </c>
      <c r="E205" s="1398" t="n"/>
      <c r="F205" s="1399" t="n"/>
      <c r="G205" s="344" t="n">
        <v>5</v>
      </c>
      <c r="H205" s="1398" t="n"/>
      <c r="I205" s="1399" t="n"/>
      <c r="J205" s="414">
        <f>SUM(D205:I205)</f>
        <v/>
      </c>
      <c r="K205" s="1379" t="n"/>
      <c r="L205" s="1382" t="n"/>
      <c r="M205" s="26" t="n"/>
      <c r="T205" s="32" t="n"/>
    </row>
    <row r="206">
      <c r="A206" s="1462" t="inlineStr">
        <is>
          <t>61 à 120 jours</t>
        </is>
      </c>
      <c r="B206" s="1379" t="n"/>
      <c r="C206" s="1381" t="n"/>
      <c r="D206" s="681" t="n">
        <v>0</v>
      </c>
      <c r="E206" s="1398" t="n"/>
      <c r="F206" s="1399" t="n"/>
      <c r="G206" s="344" t="n">
        <v>0</v>
      </c>
      <c r="H206" s="1398" t="n"/>
      <c r="I206" s="1399" t="n"/>
      <c r="J206" s="414">
        <f>SUM(D206:I206)</f>
        <v/>
      </c>
      <c r="K206" s="1379" t="n"/>
      <c r="L206" s="1382" t="n"/>
      <c r="M206" s="26" t="n"/>
      <c r="T206" s="32" t="n"/>
    </row>
    <row r="207">
      <c r="A207" s="1462" t="inlineStr">
        <is>
          <t>121 à 180 jours</t>
        </is>
      </c>
      <c r="B207" s="1379" t="n"/>
      <c r="C207" s="1381" t="n"/>
      <c r="D207" s="681" t="n">
        <v>0</v>
      </c>
      <c r="E207" s="1398" t="n"/>
      <c r="F207" s="1399" t="n"/>
      <c r="G207" s="344" t="n">
        <v>1</v>
      </c>
      <c r="H207" s="1398" t="n"/>
      <c r="I207" s="1399" t="n"/>
      <c r="J207" s="414">
        <f>SUM(D207:I207)</f>
        <v/>
      </c>
      <c r="K207" s="1379" t="n"/>
      <c r="L207" s="1382" t="n"/>
      <c r="M207" s="26" t="n"/>
      <c r="T207" s="32" t="n"/>
    </row>
    <row r="208">
      <c r="A208" s="1462" t="inlineStr">
        <is>
          <t>181 à 365 jours</t>
        </is>
      </c>
      <c r="B208" s="1379" t="n"/>
      <c r="C208" s="1381" t="n"/>
      <c r="D208" s="681" t="n">
        <v>1</v>
      </c>
      <c r="E208" s="1398" t="n"/>
      <c r="F208" s="1399" t="n"/>
      <c r="G208" s="344" t="n">
        <v>2</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1</v>
      </c>
      <c r="E209" s="1406" t="n"/>
      <c r="F209" s="1407" t="n"/>
      <c r="G209" s="533" t="n">
        <v>0</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0</v>
      </c>
      <c r="B223" s="1496" t="n"/>
      <c r="C223" s="1457" t="n"/>
      <c r="D223" s="327" t="n">
        <v>0</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13</v>
      </c>
      <c r="F240" s="1457" t="n"/>
      <c r="G240" s="296" t="n">
        <v>2</v>
      </c>
      <c r="H240" s="1457" t="n"/>
      <c r="I240" s="296" t="n">
        <v>5</v>
      </c>
      <c r="J240" s="1457" t="n"/>
      <c r="K240" s="296" t="n">
        <v>3</v>
      </c>
      <c r="L240" s="1457" t="n"/>
      <c r="M240" s="1545" t="n">
        <v>1</v>
      </c>
      <c r="N240" s="1457" t="n"/>
      <c r="O240" s="296" t="n">
        <v>0</v>
      </c>
      <c r="P240" s="296" t="n">
        <v>1</v>
      </c>
      <c r="Q240" s="1457" t="n"/>
      <c r="R240" s="221" t="n">
        <v>1</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2</v>
      </c>
      <c r="F249" s="1402" t="n"/>
      <c r="G249" s="638" t="n">
        <v>5</v>
      </c>
      <c r="H249" s="1402" t="n"/>
      <c r="I249" s="638" t="n">
        <v>3</v>
      </c>
      <c r="J249" s="1402" t="n"/>
      <c r="K249" s="638" t="n">
        <v>1</v>
      </c>
      <c r="L249" s="1402" t="n"/>
      <c r="M249" s="638" t="n">
        <v>0</v>
      </c>
      <c r="N249" s="1402" t="n"/>
      <c r="O249" s="638" t="n">
        <v>1</v>
      </c>
      <c r="P249" s="638" t="n">
        <v>1</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1</v>
      </c>
      <c r="F258" s="1397" t="n"/>
      <c r="G258" s="754" t="n">
        <v>15</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0</v>
      </c>
      <c r="F259" s="1407" t="n"/>
      <c r="G259" s="1035" t="n">
        <v>0</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1</v>
      </c>
      <c r="F261" s="1397" t="n"/>
      <c r="G261" s="420" t="n">
        <v>15</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0</v>
      </c>
      <c r="F269" s="420" t="n">
        <v>0</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1</v>
      </c>
      <c r="F270" s="344" t="n">
        <v>0</v>
      </c>
      <c r="G270" s="344" t="n">
        <v>0</v>
      </c>
      <c r="H270" s="344" t="n">
        <v>0</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7</v>
      </c>
      <c r="B320" s="1430" t="n"/>
      <c r="C320" s="413" t="n">
        <v>4</v>
      </c>
      <c r="D320" s="1430" t="n"/>
      <c r="E320" s="413" t="n">
        <v>5</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3</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5</v>
      </c>
      <c r="G330" s="1297" t="n">
        <v>0</v>
      </c>
      <c r="H330" s="1297" t="n">
        <v>3</v>
      </c>
      <c r="I330" s="1405" t="n"/>
      <c r="J330" s="1297" t="n">
        <v>1</v>
      </c>
      <c r="K330" s="1405" t="n"/>
      <c r="T330" s="32" t="n"/>
    </row>
    <row r="331" ht="15.75" customHeight="1" thickBot="1">
      <c r="A331" s="1291" t="inlineStr">
        <is>
          <t>Centraux</t>
        </is>
      </c>
      <c r="B331" s="1386" t="n"/>
      <c r="C331" s="1386" t="n"/>
      <c r="D331" s="1386" t="n"/>
      <c r="E331" s="1394" t="n"/>
      <c r="F331" s="299" t="n">
        <v>35</v>
      </c>
      <c r="G331" s="171" t="n">
        <v>1</v>
      </c>
      <c r="H331" s="1298" t="n">
        <v>2</v>
      </c>
      <c r="I331" s="1402" t="n"/>
      <c r="J331" s="1298" t="n">
        <v>7</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1</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1</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5</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880114</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0</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0</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0</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6.68</v>
      </c>
      <c r="G357" s="1377" t="n"/>
      <c r="H357" s="1378" t="n"/>
      <c r="N357" s="60" t="n"/>
    </row>
    <row r="358" ht="14.25" customFormat="1" customHeight="1" s="32">
      <c r="A358" s="1462" t="inlineStr">
        <is>
          <t>Employés à temps partiel et occasionnels</t>
        </is>
      </c>
      <c r="B358" s="1379" t="n"/>
      <c r="C358" s="1379" t="n"/>
      <c r="D358" s="1379" t="n"/>
      <c r="E358" s="1381" t="n"/>
      <c r="F358" s="1517" t="n">
        <v>0.96</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0</v>
      </c>
      <c r="G360" s="1398" t="n"/>
      <c r="H360" s="1419" t="n"/>
      <c r="N360" s="60" t="n"/>
    </row>
    <row r="361" customFormat="1" s="32" thickBot="1">
      <c r="A361" s="1466" t="inlineStr">
        <is>
          <t>Étudiants</t>
        </is>
      </c>
      <c r="B361" s="1386" t="n"/>
      <c r="C361" s="1386" t="n"/>
      <c r="D361" s="1386" t="n"/>
      <c r="E361" s="1387" t="n"/>
      <c r="F361" s="1565" t="n">
        <v>0.07000000000000001</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2026-01-02T13:47:18+00:00Z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