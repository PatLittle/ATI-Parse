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ODaTfBaUqiJ2jOCgYAGLNGhDkd9UguE34DX5AWakBVYs0gj9/SOQl8O89ORxqqG8s+tYnTuNHCJjMIqFim3efQ==" workbookSaltValue="xN/6umtvQXg3H21Ky70r1Q==" workbookSpinCount="100000"/>
  <bookViews>
    <workbookView visibility="visible" minimized="0" showHorizontalScroll="1" showVerticalScroll="1" showSheetTabs="1" xWindow="-120" yWindow="-120" windowWidth="29040" windowHeight="15840" tabRatio="600" firstSheet="0" activeTab="1" autoFilterDateGrouping="1"/>
  </bookViews>
  <sheets>
    <sheet xmlns:r="http://schemas.openxmlformats.org/officeDocument/2006/relationships" name="LAI" sheetId="1" state="visible" r:id="rId1"/>
    <sheet xmlns:r="http://schemas.openxmlformats.org/officeDocument/2006/relationships" name="LPRP" sheetId="2" state="visible" r:id="rId2"/>
    <sheet xmlns:r="http://schemas.openxmlformats.org/officeDocument/2006/relationships" name="ATI_ForConsumption" sheetId="3" state="hidden" r:id="rId3"/>
    <sheet xmlns:r="http://schemas.openxmlformats.org/officeDocument/2006/relationships" name="Privacy_ForConsumption" sheetId="4" state="hidden" r:id="rId4"/>
  </sheets>
  <definedNames/>
  <calcPr calcId="191028" fullCalcOnLoad="1"/>
</workbook>
</file>

<file path=xl/styles.xml><?xml version="1.0" encoding="utf-8"?>
<styleSheet xmlns="http://schemas.openxmlformats.org/spreadsheetml/2006/main">
  <numFmts count="4">
    <numFmt numFmtId="164" formatCode="0.000"/>
    <numFmt numFmtId="165" formatCode="&quot;$&quot;#,##0.00"/>
    <numFmt numFmtId="166" formatCode="&quot;$&quot;#,##0"/>
    <numFmt numFmtId="167" formatCode="yyyy-mm-dd"/>
  </numFmts>
  <fonts count="58">
    <font>
      <name val="Calibri"/>
      <family val="2"/>
      <color theme="1"/>
      <sz val="11"/>
      <scheme val="minor"/>
    </font>
    <font>
      <name val="Arial"/>
      <family val="2"/>
      <b val="1"/>
      <i val="1"/>
      <color indexed="8"/>
      <sz val="14"/>
    </font>
    <font>
      <name val="Arial"/>
      <family val="2"/>
      <b val="1"/>
      <color indexed="8"/>
      <sz val="11"/>
    </font>
    <font>
      <name val="Arial"/>
      <family val="2"/>
      <b val="1"/>
      <i val="1"/>
      <color indexed="9"/>
      <sz val="12"/>
    </font>
    <font>
      <name val="Arial"/>
      <family val="2"/>
      <sz val="10"/>
    </font>
    <font>
      <name val="Arial"/>
      <family val="2"/>
      <b val="1"/>
      <sz val="8.5"/>
    </font>
    <font>
      <name val="Arial"/>
      <family val="2"/>
      <b val="1"/>
      <sz val="9"/>
    </font>
    <font>
      <name val="Arial"/>
      <family val="2"/>
      <b val="1"/>
      <sz val="10"/>
    </font>
    <font>
      <name val="Arial"/>
      <family val="2"/>
      <b val="1"/>
      <sz val="11"/>
    </font>
    <font>
      <name val="Arial"/>
      <family val="2"/>
      <b val="1"/>
      <sz val="9.5"/>
    </font>
    <font>
      <name val="Arial"/>
      <family val="2"/>
      <sz val="9.5"/>
    </font>
    <font>
      <name val="Arial"/>
      <family val="2"/>
      <b val="1"/>
      <sz val="8"/>
    </font>
    <font>
      <name val="Arial"/>
      <family val="2"/>
      <sz val="8"/>
    </font>
    <font>
      <name val="Arial"/>
      <family val="2"/>
      <b val="1"/>
      <color indexed="8"/>
      <sz val="11"/>
      <u val="single"/>
    </font>
    <font>
      <name val="Arial"/>
      <family val="2"/>
      <b val="1"/>
      <sz val="7"/>
    </font>
    <font>
      <name val="Arial"/>
      <family val="2"/>
      <sz val="11"/>
    </font>
    <font>
      <name val="Arial"/>
      <family val="2"/>
      <color theme="1"/>
      <sz val="11"/>
    </font>
    <font>
      <name val="Arial"/>
      <family val="2"/>
      <b val="1"/>
      <color rgb="FF000000"/>
      <sz val="11"/>
    </font>
    <font>
      <name val="Arial"/>
      <family val="2"/>
      <color theme="1"/>
      <sz val="10"/>
    </font>
    <font>
      <name val="Arial"/>
      <family val="2"/>
      <b val="1"/>
      <color theme="1"/>
      <sz val="11"/>
    </font>
    <font>
      <name val="Arial"/>
      <family val="2"/>
      <b val="1"/>
      <color theme="1"/>
      <sz val="10"/>
    </font>
    <font>
      <name val="Arial"/>
      <family val="2"/>
      <b val="1"/>
      <color rgb="FFFF0000"/>
      <sz val="10"/>
    </font>
    <font>
      <name val="Arial"/>
      <family val="2"/>
      <b val="1"/>
      <color theme="0"/>
      <sz val="10"/>
    </font>
    <font>
      <name val="Arial"/>
      <family val="2"/>
      <color theme="1"/>
      <sz val="7"/>
    </font>
    <font>
      <name val="Calibri"/>
      <family val="2"/>
      <sz val="11"/>
      <scheme val="minor"/>
    </font>
    <font>
      <name val="Arial"/>
      <family val="2"/>
      <b val="1"/>
      <color theme="0"/>
      <sz val="12"/>
    </font>
    <font>
      <name val="Arial"/>
      <family val="2"/>
      <b val="1"/>
      <color theme="1"/>
      <sz val="8"/>
    </font>
    <font>
      <name val="Arial"/>
      <family val="2"/>
      <color theme="1"/>
      <sz val="9"/>
    </font>
    <font>
      <name val="Calibri"/>
      <family val="2"/>
      <color theme="1"/>
      <sz val="9"/>
      <scheme val="minor"/>
    </font>
    <font>
      <name val="Calibri"/>
      <family val="2"/>
      <b val="1"/>
      <color theme="1"/>
      <sz val="11"/>
      <scheme val="minor"/>
    </font>
    <font>
      <name val="Calibri"/>
      <family val="2"/>
      <color theme="1"/>
      <sz val="10"/>
      <scheme val="minor"/>
    </font>
    <font>
      <name val="Arial"/>
      <family val="2"/>
      <b val="1"/>
      <color rgb="FFFFFFFF"/>
      <sz val="12"/>
    </font>
    <font>
      <name val="Arial"/>
      <family val="2"/>
      <color theme="0"/>
      <sz val="11"/>
    </font>
    <font>
      <name val="Calibri"/>
      <family val="2"/>
      <i val="1"/>
      <color rgb="FFFF0000"/>
      <sz val="12"/>
    </font>
    <font>
      <name val="Arial"/>
      <family val="2"/>
      <color theme="1"/>
      <sz val="9.5"/>
    </font>
    <font>
      <name val="Arial"/>
      <family val="2"/>
      <b val="1"/>
      <color theme="1"/>
      <sz val="9"/>
    </font>
    <font>
      <name val="Calibri"/>
      <family val="2"/>
      <b val="1"/>
      <color theme="1"/>
      <sz val="9"/>
      <scheme val="minor"/>
    </font>
    <font>
      <name val="Calibri"/>
      <family val="2"/>
      <b val="1"/>
      <color theme="1"/>
      <sz val="10"/>
      <scheme val="minor"/>
    </font>
    <font>
      <name val="Arial"/>
      <family val="2"/>
      <b val="1"/>
      <color theme="1"/>
      <sz val="14"/>
    </font>
    <font>
      <name val="Calibri"/>
      <family val="2"/>
      <color rgb="FF000000"/>
      <sz val="11"/>
      <scheme val="minor"/>
    </font>
    <font>
      <name val="Calibri"/>
      <charset val="1"/>
      <family val="2"/>
      <color rgb="FF444444"/>
      <sz val="11"/>
      <scheme val="minor"/>
    </font>
    <font>
      <name val="Arial"/>
      <family val="2"/>
      <color rgb="FFFF0000"/>
      <sz val="11"/>
    </font>
    <font>
      <name val="Calibri"/>
      <family val="2"/>
      <sz val="8"/>
      <scheme val="minor"/>
    </font>
    <font>
      <name val="Calibri"/>
      <family val="2"/>
      <color theme="0"/>
      <sz val="11"/>
      <scheme val="minor"/>
    </font>
    <font>
      <name val="Arial"/>
      <family val="2"/>
      <b val="1"/>
      <sz val="7.5"/>
    </font>
    <font>
      <name val="Arial"/>
      <family val="2"/>
      <sz val="9"/>
    </font>
    <font>
      <name val="Arial"/>
      <family val="2"/>
      <color theme="0"/>
      <sz val="10"/>
    </font>
    <font>
      <name val="Arial"/>
      <family val="2"/>
      <b val="1"/>
      <i val="1"/>
      <sz val="11"/>
    </font>
    <font>
      <name val="Arial"/>
      <family val="2"/>
      <b val="1"/>
      <i val="1"/>
      <color theme="1"/>
      <sz val="11"/>
    </font>
    <font>
      <name val="Arial"/>
      <family val="2"/>
      <b val="1"/>
      <i val="1"/>
      <color theme="1"/>
      <sz val="10"/>
    </font>
    <font>
      <name val="Arial"/>
      <family val="2"/>
      <b val="1"/>
      <i val="1"/>
      <sz val="10"/>
    </font>
    <font>
      <name val="Arial"/>
      <family val="2"/>
      <i val="1"/>
      <sz val="10"/>
    </font>
    <font>
      <name val="Arial"/>
      <family val="2"/>
      <i val="1"/>
      <color theme="1"/>
      <sz val="10"/>
    </font>
    <font>
      <name val="Arial"/>
      <family val="2"/>
      <color theme="0"/>
      <sz val="8"/>
    </font>
    <font>
      <name val="Calibri"/>
      <family val="2"/>
      <color rgb="FFFF0000"/>
      <sz val="11"/>
      <scheme val="minor"/>
    </font>
    <font>
      <name val="Arial"/>
      <family val="2"/>
      <color rgb="FFFF0000"/>
      <sz val="10"/>
    </font>
    <font>
      <name val="Arial"/>
      <family val="2"/>
      <b val="1"/>
      <color theme="1"/>
      <sz val="11"/>
      <u val="single"/>
    </font>
    <font>
      <name val="Arial"/>
      <family val="2"/>
      <color rgb="FF000000"/>
      <sz val="9"/>
    </font>
  </fonts>
  <fills count="9">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1"/>
        <bgColor indexed="64"/>
      </patternFill>
    </fill>
    <fill>
      <patternFill patternType="solid">
        <fgColor rgb="FFFFFFFF"/>
        <bgColor rgb="FF000000"/>
      </patternFill>
    </fill>
    <fill>
      <patternFill patternType="solid">
        <fgColor rgb="FFFFFF00"/>
        <bgColor rgb="FF000000"/>
      </patternFill>
    </fill>
    <fill>
      <patternFill patternType="solid">
        <fgColor rgb="FFD9D9D9"/>
        <bgColor rgb="FF000000"/>
      </patternFill>
    </fill>
  </fills>
  <borders count="92">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ck">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ck">
        <color indexed="64"/>
      </right>
      <top/>
      <bottom style="thin">
        <color indexed="64"/>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bottom/>
      <diagonal/>
    </border>
    <border>
      <left/>
      <right/>
      <top style="thin">
        <color indexed="64"/>
      </top>
      <bottom/>
      <diagonal/>
    </border>
    <border>
      <left style="thick">
        <color indexed="64"/>
      </left>
      <right/>
      <top/>
      <bottom/>
      <diagonal/>
    </border>
    <border>
      <left style="thick">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n">
        <color indexed="64"/>
      </top>
      <bottom style="thin">
        <color indexed="64"/>
      </bottom>
      <diagonal/>
    </border>
    <border>
      <left/>
      <right/>
      <top/>
      <bottom style="thick">
        <color indexed="64"/>
      </bottom>
      <diagonal/>
    </border>
    <border>
      <left/>
      <right style="thin">
        <color indexed="64"/>
      </right>
      <top/>
      <bottom style="thick">
        <color indexed="64"/>
      </bottom>
      <diagonal/>
    </border>
    <border>
      <left/>
      <right/>
      <top style="thin">
        <color indexed="64"/>
      </top>
      <bottom style="thick">
        <color indexed="64"/>
      </bottom>
      <diagonal/>
    </border>
    <border>
      <left style="thin">
        <color indexed="64"/>
      </left>
      <right style="thin">
        <color indexed="64"/>
      </right>
      <top/>
      <bottom style="thick">
        <color indexed="64"/>
      </bottom>
      <diagonal/>
    </border>
    <border>
      <left style="thick">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ck">
        <color indexed="64"/>
      </right>
      <top style="thick">
        <color indexed="64"/>
      </top>
      <bottom style="thin">
        <color indexed="64"/>
      </bottom>
      <diagonal/>
    </border>
    <border>
      <left/>
      <right style="thick">
        <color indexed="64"/>
      </right>
      <top style="thin">
        <color indexed="64"/>
      </top>
      <bottom style="thick">
        <color indexed="64"/>
      </bottom>
      <diagonal/>
    </border>
    <border>
      <left style="thin">
        <color indexed="64"/>
      </left>
      <right/>
      <top/>
      <bottom/>
      <diagonal/>
    </border>
    <border>
      <left/>
      <right/>
      <top/>
      <bottom style="thin">
        <color indexed="64"/>
      </bottom>
      <diagonal/>
    </border>
    <border>
      <left/>
      <right/>
      <top style="thick">
        <color indexed="64"/>
      </top>
      <bottom style="thin">
        <color indexed="64"/>
      </bottom>
      <diagonal/>
    </border>
    <border>
      <left/>
      <right/>
      <top style="thin">
        <color indexed="64"/>
      </top>
      <bottom style="thin">
        <color indexed="64"/>
      </bottom>
      <diagonal/>
    </border>
    <border>
      <left/>
      <right style="thick">
        <color indexed="64"/>
      </right>
      <top style="thin">
        <color indexed="64"/>
      </top>
      <bottom/>
      <diagonal/>
    </border>
    <border>
      <left/>
      <right style="thick">
        <color indexed="64"/>
      </right>
      <top/>
      <bottom style="thin">
        <color indexed="64"/>
      </bottom>
      <diagonal/>
    </border>
    <border>
      <left style="thick">
        <color indexed="64"/>
      </left>
      <right/>
      <top style="thin">
        <color indexed="64"/>
      </top>
      <bottom/>
      <diagonal/>
    </border>
    <border>
      <left style="thick">
        <color indexed="64"/>
      </left>
      <right/>
      <top/>
      <bottom style="thin">
        <color indexed="64"/>
      </bottom>
      <diagonal/>
    </border>
    <border>
      <left style="thin">
        <color indexed="64"/>
      </left>
      <right/>
      <top/>
      <bottom style="thick">
        <color indexed="64"/>
      </bottom>
      <diagonal/>
    </border>
    <border>
      <left/>
      <right style="thick">
        <color indexed="64"/>
      </right>
      <top/>
      <bottom style="thick">
        <color indexed="64"/>
      </bottom>
      <diagonal/>
    </border>
    <border>
      <left style="thick">
        <color indexed="64"/>
      </left>
      <right/>
      <top style="thin">
        <color indexed="64"/>
      </top>
      <bottom style="thick">
        <color indexed="64"/>
      </bottom>
      <diagonal/>
    </border>
    <border>
      <left/>
      <right style="thick">
        <color indexed="64"/>
      </right>
      <top style="thin">
        <color indexed="64"/>
      </top>
      <bottom style="thin">
        <color indexed="64"/>
      </bottom>
      <diagonal/>
    </border>
    <border>
      <left style="thick">
        <color indexed="64"/>
      </left>
      <right/>
      <top style="thin">
        <color indexed="64"/>
      </top>
      <bottom style="thin">
        <color indexed="64"/>
      </bottom>
      <diagonal/>
    </border>
    <border>
      <left/>
      <right/>
      <top style="thick">
        <color indexed="64"/>
      </top>
      <bottom/>
      <diagonal/>
    </border>
    <border>
      <left/>
      <right style="thick">
        <color indexed="64"/>
      </right>
      <top style="thick">
        <color indexed="64"/>
      </top>
      <bottom/>
      <diagonal/>
    </border>
    <border>
      <left style="thick">
        <color indexed="64"/>
      </left>
      <right/>
      <top style="thick">
        <color indexed="64"/>
      </top>
      <bottom/>
      <diagonal/>
    </border>
    <border>
      <left style="thick">
        <color indexed="64"/>
      </left>
      <right/>
      <top/>
      <bottom style="thick">
        <color indexed="64"/>
      </bottom>
      <diagonal/>
    </border>
    <border>
      <left/>
      <right/>
      <top style="thick">
        <color indexed="64"/>
      </top>
      <bottom style="thick">
        <color indexed="64"/>
      </bottom>
      <diagonal/>
    </border>
    <border>
      <left/>
      <right style="thin">
        <color indexed="64"/>
      </right>
      <top/>
      <bottom/>
      <diagonal/>
    </border>
    <border>
      <left style="thin">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ck">
        <color indexed="64"/>
      </left>
      <right/>
      <top style="thick">
        <color indexed="64"/>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style="medium">
        <color indexed="64"/>
      </left>
      <right/>
      <top/>
      <bottom style="medium">
        <color indexed="64"/>
      </bottom>
      <diagonal/>
    </border>
    <border>
      <left/>
      <right style="thick">
        <color indexed="64"/>
      </right>
      <top/>
      <bottom/>
      <diagonal/>
    </border>
    <border>
      <left style="thick">
        <color indexed="64"/>
      </left>
      <right style="thick">
        <color indexed="64"/>
      </right>
      <top style="thin">
        <color indexed="64"/>
      </top>
      <bottom style="thin">
        <color indexed="64"/>
      </bottom>
      <diagonal/>
    </border>
    <border>
      <left/>
      <right style="thin">
        <color indexed="64"/>
      </right>
      <top style="thick">
        <color indexed="64"/>
      </top>
      <bottom/>
      <diagonal/>
    </border>
    <border>
      <left style="thick">
        <color indexed="64"/>
      </left>
      <right style="thin">
        <color indexed="64"/>
      </right>
      <top/>
      <bottom/>
      <diagonal/>
    </border>
    <border>
      <left style="thin">
        <color indexed="64"/>
      </left>
      <right style="thin">
        <color indexed="64"/>
      </right>
      <top/>
      <bottom/>
      <diagonal/>
    </border>
    <border>
      <left style="thick">
        <color indexed="64"/>
      </left>
      <right style="thin">
        <color indexed="64"/>
      </right>
      <top style="thick">
        <color indexed="64"/>
      </top>
      <bottom/>
      <diagonal/>
    </border>
    <border>
      <left style="thick">
        <color indexed="64"/>
      </left>
      <right style="thin">
        <color indexed="64"/>
      </right>
      <top/>
      <bottom style="thick">
        <color indexed="64"/>
      </bottom>
      <diagonal/>
    </border>
    <border>
      <left style="thick">
        <color indexed="64"/>
      </left>
      <right style="thick">
        <color indexed="64"/>
      </right>
      <top style="thick">
        <color indexed="64"/>
      </top>
      <bottom style="thin">
        <color indexed="64"/>
      </bottom>
      <diagonal/>
    </border>
    <border>
      <left style="thin">
        <color indexed="64"/>
      </left>
      <right style="medium">
        <color indexed="64"/>
      </right>
      <top style="thin">
        <color indexed="64"/>
      </top>
      <bottom/>
      <diagonal/>
    </border>
    <border>
      <left style="thick">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ck">
        <color indexed="64"/>
      </left>
      <right style="thick">
        <color indexed="64"/>
      </right>
      <top style="thin">
        <color indexed="64"/>
      </top>
      <bottom/>
      <diagonal/>
    </border>
    <border>
      <left style="thick">
        <color indexed="64"/>
      </left>
      <right style="thick">
        <color indexed="64"/>
      </right>
      <top/>
      <bottom/>
      <diagonal/>
    </border>
    <border>
      <left style="thick">
        <color indexed="64"/>
      </left>
      <right style="thick">
        <color indexed="64"/>
      </right>
      <top/>
      <bottom style="thin">
        <color indexed="64"/>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bottom style="thick">
        <color indexed="64"/>
      </bottom>
      <diagonal/>
    </border>
    <border>
      <left style="thick">
        <color indexed="64"/>
      </left>
      <right style="thick">
        <color indexed="64"/>
      </right>
      <top style="thick">
        <color indexed="64"/>
      </top>
      <bottom/>
      <diagonal/>
    </border>
    <border>
      <left style="medium">
        <color indexed="64"/>
      </left>
      <right/>
      <top style="thick">
        <color indexed="64"/>
      </top>
      <bottom/>
      <diagonal/>
    </border>
    <border>
      <left/>
      <right style="thick">
        <color indexed="64"/>
      </right>
      <top/>
      <bottom style="medium">
        <color indexed="64"/>
      </bottom>
      <diagonal/>
    </border>
    <border>
      <left style="thin">
        <color indexed="64"/>
      </left>
      <right/>
      <top style="thick">
        <color indexed="64"/>
      </top>
      <bottom/>
      <diagonal/>
    </border>
    <border>
      <left style="thin">
        <color rgb="FF000000"/>
      </left>
      <right/>
      <top style="thick">
        <color indexed="64"/>
      </top>
      <bottom style="thin">
        <color rgb="FF000000"/>
      </bottom>
      <diagonal/>
    </border>
    <border>
      <left/>
      <right/>
      <top style="thick">
        <color indexed="64"/>
      </top>
      <bottom style="thin">
        <color rgb="FF000000"/>
      </bottom>
      <diagonal/>
    </border>
    <border>
      <left/>
      <right style="thin">
        <color rgb="FF000000"/>
      </right>
      <top style="thick">
        <color indexed="64"/>
      </top>
      <bottom style="thin">
        <color rgb="FF000000"/>
      </bottom>
      <diagonal/>
    </border>
    <border>
      <left style="medium">
        <color indexed="64"/>
      </left>
      <right style="thick">
        <color indexed="64"/>
      </right>
      <top style="thick">
        <color indexed="64"/>
      </top>
      <bottom style="medium">
        <color indexed="64"/>
      </bottom>
      <diagonal/>
    </border>
    <border>
      <left style="medium">
        <color indexed="64"/>
      </left>
      <right/>
      <top/>
      <bottom/>
      <diagonal/>
    </border>
    <border>
      <left style="thin">
        <color rgb="FF000000"/>
      </left>
      <right style="thin">
        <color rgb="FF000000"/>
      </right>
      <top style="thick">
        <color indexed="64"/>
      </top>
      <bottom style="thin">
        <color rgb="FF000000"/>
      </bottom>
      <diagonal/>
    </border>
    <border>
      <left/>
      <right style="thin">
        <color rgb="FF000000"/>
      </right>
      <top style="thick">
        <color indexed="64"/>
      </top>
      <bottom/>
      <diagonal/>
    </border>
  </borders>
  <cellStyleXfs count="2">
    <xf numFmtId="0" fontId="0" fillId="0" borderId="0"/>
    <xf numFmtId="0" fontId="4" fillId="0" borderId="0"/>
  </cellStyleXfs>
  <cellXfs count="1569">
    <xf numFmtId="0" fontId="0" fillId="0" borderId="0" pivotButton="0" quotePrefix="0" xfId="0"/>
    <xf numFmtId="0" fontId="18" fillId="0" borderId="20" applyAlignment="1" applyProtection="1" pivotButton="0" quotePrefix="0" xfId="0">
      <alignment horizontal="center"/>
      <protection locked="0" hidden="0"/>
    </xf>
    <xf numFmtId="0" fontId="18" fillId="0" borderId="21" applyAlignment="1" applyProtection="1" pivotButton="0" quotePrefix="0" xfId="0">
      <alignment horizontal="center"/>
      <protection locked="0" hidden="0"/>
    </xf>
    <xf numFmtId="0" fontId="0" fillId="3" borderId="0" pivotButton="0" quotePrefix="0" xfId="0"/>
    <xf numFmtId="0" fontId="0" fillId="4" borderId="0" pivotButton="0" quotePrefix="0" xfId="0"/>
    <xf numFmtId="0" fontId="24" fillId="3" borderId="0" pivotButton="0" quotePrefix="0" xfId="0"/>
    <xf numFmtId="0" fontId="4" fillId="2" borderId="9" applyAlignment="1" applyProtection="1" pivotButton="0" quotePrefix="0" xfId="1">
      <alignment horizontal="center" vertical="center"/>
      <protection locked="0" hidden="0"/>
    </xf>
    <xf numFmtId="0" fontId="4" fillId="2" borderId="13" applyAlignment="1" applyProtection="1" pivotButton="0" quotePrefix="0" xfId="1">
      <alignment horizontal="center" vertical="center"/>
      <protection locked="0" hidden="0"/>
    </xf>
    <xf numFmtId="0" fontId="4" fillId="2" borderId="1" applyAlignment="1" applyProtection="1" pivotButton="0" quotePrefix="0" xfId="1">
      <alignment horizontal="center" vertical="center"/>
      <protection locked="0" hidden="0"/>
    </xf>
    <xf numFmtId="0" fontId="39" fillId="6" borderId="0" pivotButton="0" quotePrefix="0" xfId="0"/>
    <xf numFmtId="0" fontId="39" fillId="0" borderId="0" pivotButton="0" quotePrefix="0" xfId="0"/>
    <xf numFmtId="0" fontId="39" fillId="6" borderId="0" applyAlignment="1" pivotButton="0" quotePrefix="0" xfId="0">
      <alignment horizontal="right"/>
    </xf>
    <xf numFmtId="0" fontId="39" fillId="7" borderId="0" pivotButton="0" quotePrefix="0" xfId="0"/>
    <xf numFmtId="0" fontId="39" fillId="7" borderId="0" applyAlignment="1" pivotButton="0" quotePrefix="0" xfId="0">
      <alignment horizontal="right"/>
    </xf>
    <xf numFmtId="0" fontId="40" fillId="7" borderId="0" pivotButton="0" quotePrefix="0" xfId="0"/>
    <xf numFmtId="0" fontId="39" fillId="0" borderId="0" applyAlignment="1" pivotButton="0" quotePrefix="0" xfId="0">
      <alignment horizontal="right"/>
    </xf>
    <xf numFmtId="0" fontId="40" fillId="6" borderId="0" pivotButton="0" quotePrefix="0" xfId="0"/>
    <xf numFmtId="0" fontId="39" fillId="8" borderId="0" pivotButton="0" quotePrefix="0" xfId="0"/>
    <xf numFmtId="0" fontId="4" fillId="0" borderId="32" applyAlignment="1" applyProtection="1" pivotButton="0" quotePrefix="0" xfId="1">
      <alignment horizontal="center" vertical="center"/>
      <protection locked="0" hidden="0"/>
    </xf>
    <xf numFmtId="0" fontId="4" fillId="0" borderId="10" applyAlignment="1" applyProtection="1" pivotButton="0" quotePrefix="0" xfId="1">
      <alignment horizontal="center" vertical="center"/>
      <protection locked="0" hidden="0"/>
    </xf>
    <xf numFmtId="0" fontId="4" fillId="0" borderId="31" applyAlignment="1" applyProtection="1" pivotButton="0" quotePrefix="0" xfId="1">
      <alignment horizontal="center" vertical="center"/>
      <protection locked="0" hidden="0"/>
    </xf>
    <xf numFmtId="0" fontId="4" fillId="0" borderId="12" applyAlignment="1" applyProtection="1" pivotButton="0" quotePrefix="0" xfId="1">
      <alignment horizontal="center" vertical="center"/>
      <protection locked="0" hidden="0"/>
    </xf>
    <xf numFmtId="0" fontId="4" fillId="0" borderId="11" applyAlignment="1" applyProtection="1" pivotButton="0" quotePrefix="0" xfId="1">
      <alignment horizontal="center" vertical="center"/>
      <protection locked="0" hidden="0"/>
    </xf>
    <xf numFmtId="0" fontId="4" fillId="0" borderId="30" applyAlignment="1" applyProtection="1" pivotButton="0" quotePrefix="0" xfId="1">
      <alignment horizontal="center" vertical="center"/>
      <protection locked="0" hidden="0"/>
    </xf>
    <xf numFmtId="0" fontId="4" fillId="0" borderId="14" applyAlignment="1" applyProtection="1" pivotButton="0" quotePrefix="0" xfId="1">
      <alignment horizontal="center" vertical="center"/>
      <protection locked="0" hidden="0"/>
    </xf>
    <xf numFmtId="0" fontId="4" fillId="0" borderId="9" applyAlignment="1" applyProtection="1" pivotButton="0" quotePrefix="0" xfId="1">
      <alignment horizontal="center" vertical="center"/>
      <protection locked="0" hidden="0"/>
    </xf>
    <xf numFmtId="0" fontId="16" fillId="0" borderId="0" pivotButton="0" quotePrefix="0" xfId="0"/>
    <xf numFmtId="0" fontId="16" fillId="0" borderId="0" applyAlignment="1" pivotButton="0" quotePrefix="0" xfId="0">
      <alignment horizontal="center"/>
    </xf>
    <xf numFmtId="0" fontId="25" fillId="0" borderId="0" applyAlignment="1" pivotButton="0" quotePrefix="0" xfId="0">
      <alignment horizontal="left" wrapText="1"/>
    </xf>
    <xf numFmtId="0" fontId="17" fillId="0" borderId="0" applyAlignment="1" pivotButton="0" quotePrefix="0" xfId="0">
      <alignment horizontal="left" vertical="center" indent="1"/>
    </xf>
    <xf numFmtId="0" fontId="19" fillId="0" borderId="0" pivotButton="0" quotePrefix="0" xfId="0"/>
    <xf numFmtId="0" fontId="29" fillId="0" borderId="0" pivotButton="0" quotePrefix="0" xfId="0"/>
    <xf numFmtId="0" fontId="16" fillId="2" borderId="0" pivotButton="0" quotePrefix="0" xfId="0"/>
    <xf numFmtId="0" fontId="18" fillId="0" borderId="0" applyAlignment="1" pivotButton="0" quotePrefix="0" xfId="0">
      <alignment horizontal="left" indent="1"/>
    </xf>
    <xf numFmtId="0" fontId="20" fillId="0" borderId="0" applyAlignment="1" pivotButton="0" quotePrefix="0" xfId="0">
      <alignment horizontal="left" indent="1"/>
    </xf>
    <xf numFmtId="0" fontId="18" fillId="0" borderId="0" applyAlignment="1" pivotButton="0" quotePrefix="0" xfId="0">
      <alignment horizontal="center"/>
    </xf>
    <xf numFmtId="0" fontId="4" fillId="0" borderId="0" applyAlignment="1" pivotButton="0" quotePrefix="0" xfId="0">
      <alignment wrapText="1"/>
    </xf>
    <xf numFmtId="0" fontId="18" fillId="2" borderId="0" applyAlignment="1" pivotButton="0" quotePrefix="0" xfId="0">
      <alignment horizontal="left" indent="1"/>
    </xf>
    <xf numFmtId="0" fontId="18" fillId="2" borderId="0" applyAlignment="1" pivotButton="0" quotePrefix="0" xfId="0">
      <alignment horizontal="center"/>
    </xf>
    <xf numFmtId="0" fontId="16" fillId="2" borderId="0" applyAlignment="1" pivotButton="0" quotePrefix="0" xfId="0">
      <alignment horizontal="center"/>
    </xf>
    <xf numFmtId="0" fontId="19" fillId="0" borderId="0" applyAlignment="1" pivotButton="0" quotePrefix="0" xfId="0">
      <alignment horizontal="left" vertical="center" indent="1"/>
    </xf>
    <xf numFmtId="0" fontId="19" fillId="0" borderId="0" applyAlignment="1" pivotButton="0" quotePrefix="0" xfId="0">
      <alignment horizontal="left" vertical="top" indent="1"/>
    </xf>
    <xf numFmtId="0" fontId="18" fillId="0" borderId="0" applyAlignment="1" pivotButton="0" quotePrefix="0" xfId="0">
      <alignment horizontal="center" vertical="center"/>
    </xf>
    <xf numFmtId="0" fontId="19" fillId="0" borderId="0" applyAlignment="1" pivotButton="0" quotePrefix="0" xfId="0">
      <alignment horizontal="left" indent="1"/>
    </xf>
    <xf numFmtId="0" fontId="43" fillId="0" borderId="0" pivotButton="0" quotePrefix="0" xfId="0"/>
    <xf numFmtId="0" fontId="21" fillId="0" borderId="0" pivotButton="0" quotePrefix="0" xfId="0"/>
    <xf numFmtId="0" fontId="18" fillId="0" borderId="0" pivotButton="0" quotePrefix="0" xfId="0"/>
    <xf numFmtId="0" fontId="4" fillId="0" borderId="0" applyAlignment="1" pivotButton="0" quotePrefix="0" xfId="1">
      <alignment vertical="center"/>
    </xf>
    <xf numFmtId="0" fontId="4" fillId="0" borderId="0" applyAlignment="1" pivotButton="0" quotePrefix="1" xfId="1">
      <alignment horizontal="left" vertical="center"/>
    </xf>
    <xf numFmtId="0" fontId="4" fillId="0" borderId="0" applyAlignment="1" pivotButton="0" quotePrefix="0" xfId="1">
      <alignment horizontal="center" vertical="center"/>
    </xf>
    <xf numFmtId="0" fontId="4" fillId="0" borderId="0" applyAlignment="1" pivotButton="0" quotePrefix="0" xfId="1">
      <alignment horizontal="left" vertical="center"/>
    </xf>
    <xf numFmtId="0" fontId="7" fillId="0" borderId="0" applyAlignment="1" pivotButton="0" quotePrefix="0" xfId="1">
      <alignment horizontal="left" vertical="center" indent="1"/>
    </xf>
    <xf numFmtId="164" fontId="18" fillId="0" borderId="0" applyAlignment="1" pivotButton="0" quotePrefix="0" xfId="0">
      <alignment horizontal="center"/>
    </xf>
    <xf numFmtId="164" fontId="0" fillId="0" borderId="0" applyAlignment="1" pivotButton="0" quotePrefix="0" xfId="0">
      <alignment horizontal="center"/>
    </xf>
    <xf numFmtId="0" fontId="19" fillId="0" borderId="0" applyAlignment="1" pivotButton="0" quotePrefix="0" xfId="0">
      <alignment wrapText="1"/>
    </xf>
    <xf numFmtId="0" fontId="23" fillId="2" borderId="0" applyAlignment="1" pivotButton="0" quotePrefix="0" xfId="0">
      <alignment wrapText="1"/>
    </xf>
    <xf numFmtId="0" fontId="4" fillId="2" borderId="0" applyAlignment="1" pivotButton="0" quotePrefix="0" xfId="1">
      <alignment horizontal="center" vertical="center"/>
    </xf>
    <xf numFmtId="0" fontId="19" fillId="0" borderId="0" applyAlignment="1" pivotButton="0" quotePrefix="0" xfId="0">
      <alignment vertical="center" wrapText="1"/>
    </xf>
    <xf numFmtId="0" fontId="16" fillId="2" borderId="0" applyAlignment="1" pivotButton="0" quotePrefix="0" xfId="0">
      <alignment horizontal="left" vertical="center"/>
    </xf>
    <xf numFmtId="0" fontId="30" fillId="2" borderId="0" applyAlignment="1" pivotButton="0" quotePrefix="0" xfId="0">
      <alignment horizontal="center" vertical="center"/>
    </xf>
    <xf numFmtId="0" fontId="23" fillId="2" borderId="0" applyAlignment="1" pivotButton="0" quotePrefix="0" xfId="0">
      <alignment vertical="center" wrapText="1"/>
    </xf>
    <xf numFmtId="0" fontId="18" fillId="2" borderId="0" applyAlignment="1" pivotButton="0" quotePrefix="0" xfId="0">
      <alignment horizontal="center" vertical="center"/>
    </xf>
    <xf numFmtId="0" fontId="16" fillId="0" borderId="0" applyAlignment="1" pivotButton="0" quotePrefix="0" xfId="0">
      <alignment horizontal="left" vertical="center" indent="1"/>
    </xf>
    <xf numFmtId="0" fontId="0" fillId="2" borderId="0" pivotButton="0" quotePrefix="0" xfId="0"/>
    <xf numFmtId="0" fontId="31" fillId="2" borderId="0" applyAlignment="1" pivotButton="0" quotePrefix="0" xfId="0">
      <alignment horizontal="left" indent="1"/>
    </xf>
    <xf numFmtId="0" fontId="31" fillId="2" borderId="0" applyAlignment="1" pivotButton="0" quotePrefix="0" xfId="0">
      <alignment horizontal="left"/>
    </xf>
    <xf numFmtId="0" fontId="7" fillId="2" borderId="0" applyAlignment="1" pivotButton="0" quotePrefix="0" xfId="1">
      <alignment horizontal="left" vertical="center" indent="1"/>
    </xf>
    <xf numFmtId="0" fontId="17" fillId="2" borderId="0" applyAlignment="1" pivotButton="0" quotePrefix="0" xfId="0">
      <alignment horizontal="left" vertical="center" indent="1"/>
    </xf>
    <xf numFmtId="0" fontId="4" fillId="5" borderId="1" applyAlignment="1" pivotButton="0" quotePrefix="0" xfId="1">
      <alignment horizontal="center" vertical="center"/>
    </xf>
    <xf numFmtId="0" fontId="4" fillId="0" borderId="0" applyAlignment="1" pivotButton="0" quotePrefix="0" xfId="1">
      <alignment horizontal="center" vertical="center" wrapText="1"/>
    </xf>
    <xf numFmtId="0" fontId="5" fillId="0" borderId="20" applyAlignment="1" pivotButton="0" quotePrefix="0" xfId="1">
      <alignment horizontal="center" wrapText="1"/>
    </xf>
    <xf numFmtId="0" fontId="5" fillId="0" borderId="22" applyAlignment="1" pivotButton="0" quotePrefix="0" xfId="1">
      <alignment horizontal="center" wrapText="1"/>
    </xf>
    <xf numFmtId="0" fontId="5" fillId="0" borderId="23" applyAlignment="1" pivotButton="0" quotePrefix="0" xfId="1">
      <alignment horizontal="center" wrapText="1"/>
    </xf>
    <xf numFmtId="0" fontId="11" fillId="0" borderId="20" applyAlignment="1" pivotButton="0" quotePrefix="0" xfId="1">
      <alignment horizontal="center" wrapText="1"/>
    </xf>
    <xf numFmtId="0" fontId="11" fillId="0" borderId="23" applyAlignment="1" pivotButton="0" quotePrefix="0" xfId="1">
      <alignment horizontal="center" wrapText="1"/>
    </xf>
    <xf numFmtId="0" fontId="11" fillId="0" borderId="21" applyAlignment="1" pivotButton="0" quotePrefix="0" xfId="1">
      <alignment horizontal="center" wrapText="1"/>
    </xf>
    <xf numFmtId="0" fontId="25" fillId="2" borderId="0" applyAlignment="1" pivotButton="0" quotePrefix="0" xfId="0">
      <alignment horizontal="left" indent="1"/>
    </xf>
    <xf numFmtId="0" fontId="32" fillId="2" borderId="0" pivotButton="0" quotePrefix="0" xfId="0"/>
    <xf numFmtId="0" fontId="16" fillId="0" borderId="0" applyAlignment="1" pivotButton="0" quotePrefix="0" xfId="0">
      <alignment horizontal="left" indent="1"/>
    </xf>
    <xf numFmtId="0" fontId="8" fillId="2" borderId="0" pivotButton="0" quotePrefix="0" xfId="0"/>
    <xf numFmtId="0" fontId="22" fillId="2" borderId="0" applyAlignment="1" pivotButton="0" quotePrefix="0" xfId="0">
      <alignment horizontal="left" indent="1"/>
    </xf>
    <xf numFmtId="0" fontId="21" fillId="2" borderId="0" applyAlignment="1" pivotButton="0" quotePrefix="0" xfId="0">
      <alignment horizontal="left" indent="1"/>
    </xf>
    <xf numFmtId="0" fontId="19" fillId="2" borderId="0" applyAlignment="1" pivotButton="0" quotePrefix="0" xfId="0">
      <alignment horizontal="left" indent="1"/>
    </xf>
    <xf numFmtId="0" fontId="33" fillId="2" borderId="0" applyAlignment="1" pivotButton="0" quotePrefix="0" xfId="0">
      <alignment vertical="center"/>
    </xf>
    <xf numFmtId="0" fontId="7" fillId="2" borderId="0" applyAlignment="1" pivotButton="0" quotePrefix="0" xfId="0">
      <alignment vertical="top"/>
    </xf>
    <xf numFmtId="0" fontId="30" fillId="2" borderId="0" pivotButton="0" quotePrefix="0" xfId="0"/>
    <xf numFmtId="0" fontId="15" fillId="2" borderId="0" applyAlignment="1" pivotButton="0" quotePrefix="0" xfId="0">
      <alignment horizontal="center" vertical="top"/>
    </xf>
    <xf numFmtId="0" fontId="0" fillId="0" borderId="0" applyAlignment="1" pivotButton="0" quotePrefix="0" xfId="0">
      <alignment wrapText="1"/>
    </xf>
    <xf numFmtId="0" fontId="15" fillId="0" borderId="0" pivotButton="0" quotePrefix="0" xfId="0"/>
    <xf numFmtId="0" fontId="24" fillId="0" borderId="0" pivotButton="0" quotePrefix="0" xfId="0"/>
    <xf numFmtId="0" fontId="15" fillId="0" borderId="0" pivotButton="0" quotePrefix="1" xfId="0"/>
    <xf numFmtId="0" fontId="41" fillId="0" borderId="0" pivotButton="0" quotePrefix="1" xfId="0"/>
    <xf numFmtId="0" fontId="4" fillId="0" borderId="0" applyAlignment="1" pivotButton="0" quotePrefix="0" xfId="1">
      <alignment horizontal="left" vertical="center" wrapText="1" indent="2"/>
    </xf>
    <xf numFmtId="0" fontId="18" fillId="0" borderId="0" applyAlignment="1" pivotButton="0" quotePrefix="0" xfId="0">
      <alignment horizontal="center" vertical="center" wrapText="1"/>
    </xf>
    <xf numFmtId="0" fontId="18" fillId="2" borderId="0" pivotButton="0" quotePrefix="0" xfId="0"/>
    <xf numFmtId="0" fontId="18" fillId="0" borderId="0" applyAlignment="1" pivotButton="0" quotePrefix="0" xfId="0">
      <alignment horizontal="left" vertical="top"/>
    </xf>
    <xf numFmtId="0" fontId="4" fillId="0" borderId="19" applyAlignment="1" pivotButton="0" quotePrefix="0" xfId="1">
      <alignment vertical="center"/>
    </xf>
    <xf numFmtId="0" fontId="12" fillId="0" borderId="0" applyAlignment="1" pivotButton="0" quotePrefix="0" xfId="1">
      <alignment horizontal="left"/>
    </xf>
    <xf numFmtId="0" fontId="4" fillId="0" borderId="0" applyAlignment="1" pivotButton="0" quotePrefix="0" xfId="1">
      <alignment horizontal="center"/>
    </xf>
    <xf numFmtId="0" fontId="7" fillId="2" borderId="0" pivotButton="0" quotePrefix="0" xfId="1"/>
    <xf numFmtId="0" fontId="15" fillId="2" borderId="0" pivotButton="0" quotePrefix="0" xfId="0"/>
    <xf numFmtId="164" fontId="4" fillId="0" borderId="0" applyAlignment="1" pivotButton="0" quotePrefix="0" xfId="1">
      <alignment horizontal="center" vertical="center"/>
    </xf>
    <xf numFmtId="0" fontId="8" fillId="0" borderId="0" applyAlignment="1" pivotButton="0" quotePrefix="0" xfId="0">
      <alignment vertical="center" wrapText="1"/>
    </xf>
    <xf numFmtId="0" fontId="20" fillId="0" borderId="0" applyAlignment="1" pivotButton="0" quotePrefix="0" xfId="0">
      <alignment horizontal="left" vertical="center" indent="1"/>
    </xf>
    <xf numFmtId="0" fontId="20" fillId="2" borderId="0" applyAlignment="1" pivotButton="0" quotePrefix="0" xfId="0">
      <alignment horizontal="left" vertical="center" indent="1"/>
    </xf>
    <xf numFmtId="0" fontId="25" fillId="0" borderId="0" applyAlignment="1" pivotButton="0" quotePrefix="0" xfId="0">
      <alignment vertical="top"/>
    </xf>
    <xf numFmtId="0" fontId="27" fillId="2" borderId="0" applyAlignment="1" pivotButton="0" quotePrefix="0" xfId="0">
      <alignment horizontal="center"/>
    </xf>
    <xf numFmtId="0" fontId="28" fillId="2" borderId="0" applyAlignment="1" pivotButton="0" quotePrefix="0" xfId="0">
      <alignment horizontal="center"/>
    </xf>
    <xf numFmtId="0" fontId="31" fillId="0" borderId="0" applyAlignment="1" pivotButton="0" quotePrefix="0" xfId="0">
      <alignment horizontal="left"/>
    </xf>
    <xf numFmtId="0" fontId="30" fillId="2" borderId="0" applyAlignment="1" pivotButton="0" quotePrefix="0" xfId="0">
      <alignment horizontal="center"/>
    </xf>
    <xf numFmtId="0" fontId="19" fillId="0" borderId="0" applyAlignment="1" pivotButton="0" quotePrefix="0" xfId="0">
      <alignment horizontal="left" wrapText="1"/>
    </xf>
    <xf numFmtId="0" fontId="4" fillId="0" borderId="0" pivotButton="0" quotePrefix="0" xfId="0"/>
    <xf numFmtId="0" fontId="4" fillId="0" borderId="0" applyAlignment="1" pivotButton="0" quotePrefix="1" xfId="0">
      <alignment wrapText="1"/>
    </xf>
    <xf numFmtId="0" fontId="4" fillId="0" borderId="0" pivotButton="0" quotePrefix="1" xfId="0"/>
    <xf numFmtId="0" fontId="30" fillId="0" borderId="0" applyAlignment="1" pivotButton="0" quotePrefix="0" xfId="0">
      <alignment wrapText="1"/>
    </xf>
    <xf numFmtId="0" fontId="18" fillId="0" borderId="0" applyAlignment="1" pivotButton="0" quotePrefix="0" xfId="0">
      <alignment wrapText="1"/>
    </xf>
    <xf numFmtId="0" fontId="44" fillId="0" borderId="21" applyAlignment="1" pivotButton="0" quotePrefix="0" xfId="1">
      <alignment horizontal="center" wrapText="1"/>
    </xf>
    <xf numFmtId="0" fontId="30" fillId="0" borderId="0" pivotButton="0" quotePrefix="0" xfId="0"/>
    <xf numFmtId="0" fontId="0" fillId="0" borderId="0" applyAlignment="1" pivotButton="0" quotePrefix="0" xfId="0">
      <alignment vertical="center"/>
    </xf>
    <xf numFmtId="0" fontId="18" fillId="2" borderId="0" applyAlignment="1" pivotButton="0" quotePrefix="0" xfId="0">
      <alignment vertical="center"/>
    </xf>
    <xf numFmtId="0" fontId="18" fillId="2" borderId="0" applyAlignment="1" pivotButton="0" quotePrefix="0" xfId="0">
      <alignment vertical="center" wrapText="1"/>
    </xf>
    <xf numFmtId="0" fontId="0" fillId="2" borderId="64" pivotButton="0" quotePrefix="0" xfId="0"/>
    <xf numFmtId="0" fontId="27" fillId="2" borderId="0" applyAlignment="1" pivotButton="0" quotePrefix="0" xfId="0">
      <alignment vertical="center" wrapText="1"/>
    </xf>
    <xf numFmtId="0" fontId="18" fillId="0" borderId="0" applyAlignment="1" pivotButton="0" quotePrefix="0" xfId="0">
      <alignment vertical="center"/>
    </xf>
    <xf numFmtId="0" fontId="18" fillId="0" borderId="0" applyAlignment="1" pivotButton="0" quotePrefix="0" xfId="0">
      <alignment vertical="center" wrapText="1"/>
    </xf>
    <xf numFmtId="0" fontId="32" fillId="0" borderId="0" pivotButton="0" quotePrefix="0" xfId="0"/>
    <xf numFmtId="0" fontId="46" fillId="2" borderId="0" applyAlignment="1" pivotButton="0" quotePrefix="0" xfId="0">
      <alignment vertical="center"/>
    </xf>
    <xf numFmtId="0" fontId="46" fillId="2" borderId="0" applyAlignment="1" pivotButton="0" quotePrefix="0" xfId="0">
      <alignment vertical="center" wrapText="1"/>
    </xf>
    <xf numFmtId="0" fontId="18" fillId="2" borderId="24" applyAlignment="1" applyProtection="1" pivotButton="0" quotePrefix="0" xfId="0">
      <alignment horizontal="center" vertical="center"/>
      <protection locked="0" hidden="0"/>
    </xf>
    <xf numFmtId="0" fontId="18" fillId="2" borderId="22" applyAlignment="1" applyProtection="1" pivotButton="0" quotePrefix="0" xfId="0">
      <alignment horizontal="center" vertical="center"/>
      <protection locked="0" hidden="0"/>
    </xf>
    <xf numFmtId="0" fontId="18" fillId="2" borderId="23" applyAlignment="1" applyProtection="1" pivotButton="0" quotePrefix="0" xfId="0">
      <alignment horizontal="center" vertical="center"/>
      <protection locked="0" hidden="0"/>
    </xf>
    <xf numFmtId="49" fontId="18" fillId="0" borderId="0" pivotButton="0" quotePrefix="1" xfId="0"/>
    <xf numFmtId="0" fontId="18" fillId="2" borderId="25" applyAlignment="1" applyProtection="1" pivotButton="0" quotePrefix="0" xfId="0">
      <alignment horizontal="center"/>
      <protection locked="0" hidden="0"/>
    </xf>
    <xf numFmtId="0" fontId="18" fillId="2" borderId="7" applyAlignment="1" applyProtection="1" pivotButton="0" quotePrefix="0" xfId="0">
      <alignment horizontal="center"/>
      <protection locked="0" hidden="0"/>
    </xf>
    <xf numFmtId="0" fontId="20" fillId="2" borderId="0" applyAlignment="1" pivotButton="0" quotePrefix="0" xfId="0">
      <alignment horizontal="left" indent="1"/>
    </xf>
    <xf numFmtId="0" fontId="4" fillId="2" borderId="10" applyAlignment="1" applyProtection="1" pivotButton="0" quotePrefix="0" xfId="1">
      <alignment horizontal="center" vertical="center"/>
      <protection locked="0" hidden="0"/>
    </xf>
    <xf numFmtId="0" fontId="4" fillId="2" borderId="32" applyAlignment="1" applyProtection="1" pivotButton="0" quotePrefix="0" xfId="1">
      <alignment horizontal="center" vertical="center"/>
      <protection locked="0" hidden="0"/>
    </xf>
    <xf numFmtId="0" fontId="4" fillId="2" borderId="25" applyAlignment="1" applyProtection="1" pivotButton="0" quotePrefix="0" xfId="1">
      <alignment horizontal="center" vertical="center"/>
      <protection locked="0" hidden="0"/>
    </xf>
    <xf numFmtId="0" fontId="4" fillId="2" borderId="31" applyAlignment="1" applyProtection="1" pivotButton="0" quotePrefix="0" xfId="1">
      <alignment horizontal="center" vertical="center"/>
      <protection locked="0" hidden="0"/>
    </xf>
    <xf numFmtId="0" fontId="4" fillId="2" borderId="12" applyAlignment="1" applyProtection="1" pivotButton="0" quotePrefix="0" xfId="1">
      <alignment horizontal="center" vertical="center"/>
      <protection locked="0" hidden="0"/>
    </xf>
    <xf numFmtId="0" fontId="4" fillId="2" borderId="21" applyAlignment="1" applyProtection="1" pivotButton="0" quotePrefix="0" xfId="1">
      <alignment horizontal="center" vertical="center"/>
      <protection locked="0" hidden="0"/>
    </xf>
    <xf numFmtId="0" fontId="16" fillId="2" borderId="26" pivotButton="0" quotePrefix="0" xfId="0"/>
    <xf numFmtId="0" fontId="18" fillId="2" borderId="4" applyAlignment="1" applyProtection="1" pivotButton="0" quotePrefix="0" xfId="0">
      <alignment horizontal="center"/>
      <protection locked="0" hidden="0"/>
    </xf>
    <xf numFmtId="0" fontId="18" fillId="2" borderId="8" applyAlignment="1" applyProtection="1" pivotButton="0" quotePrefix="0" xfId="0">
      <alignment horizontal="center"/>
      <protection locked="0" hidden="0"/>
    </xf>
    <xf numFmtId="0" fontId="18" fillId="2" borderId="11" applyAlignment="1" applyProtection="1" pivotButton="0" quotePrefix="0" xfId="0">
      <alignment horizontal="center"/>
      <protection locked="0" hidden="0"/>
    </xf>
    <xf numFmtId="0" fontId="18" fillId="2" borderId="9" applyAlignment="1" applyProtection="1" pivotButton="0" quotePrefix="0" xfId="0">
      <alignment horizontal="center"/>
      <protection locked="0" hidden="0"/>
    </xf>
    <xf numFmtId="0" fontId="14" fillId="2" borderId="20" applyAlignment="1" pivotButton="0" quotePrefix="0" xfId="1">
      <alignment horizontal="center" wrapText="1"/>
    </xf>
    <xf numFmtId="0" fontId="11" fillId="2" borderId="23" applyAlignment="1" pivotButton="0" quotePrefix="0" xfId="1">
      <alignment horizontal="center" wrapText="1"/>
    </xf>
    <xf numFmtId="0" fontId="11" fillId="2" borderId="21" applyAlignment="1" pivotButton="0" quotePrefix="0" xfId="1">
      <alignment horizontal="center" wrapText="1"/>
    </xf>
    <xf numFmtId="0" fontId="4" fillId="2" borderId="30" applyAlignment="1" applyProtection="1" pivotButton="0" quotePrefix="0" xfId="1">
      <alignment horizontal="center" vertical="center"/>
      <protection locked="0" hidden="0"/>
    </xf>
    <xf numFmtId="0" fontId="4" fillId="2" borderId="14" applyAlignment="1" applyProtection="1" pivotButton="0" quotePrefix="0" xfId="1">
      <alignment horizontal="center" vertical="center"/>
      <protection locked="0" hidden="0"/>
    </xf>
    <xf numFmtId="0" fontId="4" fillId="2" borderId="11" applyAlignment="1" applyProtection="1" pivotButton="0" quotePrefix="0" xfId="1">
      <alignment horizontal="center" vertical="center"/>
      <protection locked="0" hidden="0"/>
    </xf>
    <xf numFmtId="0" fontId="4" fillId="2" borderId="32" applyAlignment="1" pivotButton="0" quotePrefix="0" xfId="1">
      <alignment horizontal="center" vertical="center"/>
    </xf>
    <xf numFmtId="0" fontId="4" fillId="2" borderId="11" applyAlignment="1" pivotButton="0" quotePrefix="0" xfId="1">
      <alignment horizontal="center" vertical="center"/>
    </xf>
    <xf numFmtId="0" fontId="18" fillId="2" borderId="20" applyAlignment="1" applyProtection="1" pivotButton="0" quotePrefix="0" xfId="0">
      <alignment horizontal="center" vertical="center"/>
      <protection locked="0" hidden="0"/>
    </xf>
    <xf numFmtId="0" fontId="18" fillId="2" borderId="21" applyAlignment="1" applyProtection="1" pivotButton="0" quotePrefix="0" xfId="0">
      <alignment horizontal="center" vertical="center"/>
      <protection locked="0" hidden="0"/>
    </xf>
    <xf numFmtId="0" fontId="11" fillId="2" borderId="24" applyAlignment="1" pivotButton="0" quotePrefix="0" xfId="1">
      <alignment horizontal="center" wrapText="1"/>
    </xf>
    <xf numFmtId="0" fontId="4" fillId="2" borderId="22" applyAlignment="1" applyProtection="1" pivotButton="0" quotePrefix="0" xfId="1">
      <alignment horizontal="center" vertical="center"/>
      <protection locked="0" hidden="0"/>
    </xf>
    <xf numFmtId="0" fontId="6" fillId="2" borderId="34" applyAlignment="1" pivotButton="0" quotePrefix="0" xfId="1">
      <alignment horizontal="center"/>
    </xf>
    <xf numFmtId="0" fontId="6" fillId="2" borderId="23" applyAlignment="1" pivotButton="0" quotePrefix="0" xfId="1">
      <alignment horizontal="center"/>
    </xf>
    <xf numFmtId="0" fontId="4" fillId="2" borderId="20" applyAlignment="1" applyProtection="1" pivotButton="0" quotePrefix="0" xfId="1">
      <alignment horizontal="center" vertical="center"/>
      <protection locked="0" hidden="0"/>
    </xf>
    <xf numFmtId="0" fontId="4" fillId="2" borderId="20" applyAlignment="1" pivotButton="0" quotePrefix="0" xfId="1">
      <alignment horizontal="center" vertical="center"/>
    </xf>
    <xf numFmtId="0" fontId="16" fillId="2" borderId="44" pivotButton="0" quotePrefix="0" xfId="0"/>
    <xf numFmtId="0" fontId="18" fillId="2" borderId="7" applyAlignment="1" applyProtection="1" pivotButton="0" quotePrefix="0" xfId="0">
      <alignment horizontal="center" vertical="center"/>
      <protection locked="0" hidden="0"/>
    </xf>
    <xf numFmtId="0" fontId="18" fillId="2" borderId="4" applyAlignment="1" applyProtection="1" pivotButton="0" quotePrefix="0" xfId="0">
      <alignment horizontal="center" vertical="center"/>
      <protection locked="0" hidden="0"/>
    </xf>
    <xf numFmtId="0" fontId="18" fillId="2" borderId="8" applyAlignment="1" applyProtection="1" pivotButton="0" quotePrefix="0" xfId="0">
      <alignment horizontal="center" vertical="center"/>
      <protection locked="0" hidden="0"/>
    </xf>
    <xf numFmtId="0" fontId="18" fillId="2" borderId="10" applyAlignment="1" applyProtection="1" pivotButton="0" quotePrefix="0" xfId="0">
      <alignment horizontal="center" vertical="center"/>
      <protection locked="0" hidden="0"/>
    </xf>
    <xf numFmtId="0" fontId="18" fillId="2" borderId="25" applyAlignment="1" applyProtection="1" pivotButton="0" quotePrefix="0" xfId="0">
      <alignment horizontal="center" vertical="center"/>
      <protection locked="0" hidden="0"/>
    </xf>
    <xf numFmtId="0" fontId="18" fillId="2" borderId="9" applyAlignment="1" applyProtection="1" pivotButton="0" quotePrefix="0" xfId="0">
      <alignment horizontal="center" vertical="center"/>
      <protection locked="0" hidden="0"/>
    </xf>
    <xf numFmtId="0" fontId="11" fillId="2" borderId="20" applyAlignment="1" pivotButton="0" quotePrefix="0" xfId="1">
      <alignment horizontal="center" wrapText="1"/>
    </xf>
    <xf numFmtId="0" fontId="19" fillId="2" borderId="0" applyAlignment="1" pivotButton="0" quotePrefix="0" xfId="0">
      <alignment horizontal="left" wrapText="1"/>
    </xf>
    <xf numFmtId="0" fontId="4" fillId="2" borderId="22" applyAlignment="1" applyProtection="1" pivotButton="0" quotePrefix="0" xfId="0">
      <alignment horizontal="center"/>
      <protection locked="0" hidden="0"/>
    </xf>
    <xf numFmtId="0" fontId="45" fillId="0" borderId="0" pivotButton="0" quotePrefix="1" xfId="0"/>
    <xf numFmtId="0" fontId="27" fillId="0" borderId="0" pivotButton="0" quotePrefix="0" xfId="0"/>
    <xf numFmtId="0" fontId="53" fillId="0" borderId="0" applyAlignment="1" pivotButton="0" quotePrefix="0" xfId="0">
      <alignment horizontal="center" vertical="center" wrapText="1"/>
    </xf>
    <xf numFmtId="0" fontId="53" fillId="0" borderId="0" applyAlignment="1" pivotButton="0" quotePrefix="1" xfId="0">
      <alignment horizontal="center" vertical="center"/>
    </xf>
    <xf numFmtId="0" fontId="53" fillId="0" borderId="0" applyAlignment="1" pivotButton="0" quotePrefix="0" xfId="0">
      <alignment horizontal="center" wrapText="1"/>
    </xf>
    <xf numFmtId="0" fontId="53" fillId="0" borderId="0" applyAlignment="1" pivotButton="0" quotePrefix="0" xfId="0">
      <alignment horizontal="center"/>
    </xf>
    <xf numFmtId="0" fontId="53" fillId="0" borderId="0" applyAlignment="1" pivotButton="0" quotePrefix="1" xfId="0">
      <alignment horizontal="center" wrapText="1"/>
    </xf>
    <xf numFmtId="0" fontId="53" fillId="0" borderId="0" applyAlignment="1" pivotButton="0" quotePrefix="1" xfId="0">
      <alignment horizontal="center"/>
    </xf>
    <xf numFmtId="0" fontId="4" fillId="2" borderId="21" applyAlignment="1" pivotButton="0" quotePrefix="0" xfId="1">
      <alignment horizontal="center" vertical="center"/>
    </xf>
    <xf numFmtId="0" fontId="4" fillId="2" borderId="0" applyAlignment="1" pivotButton="0" quotePrefix="0" xfId="0">
      <alignment vertical="center" wrapText="1"/>
    </xf>
    <xf numFmtId="165" fontId="4" fillId="0" borderId="33" applyAlignment="1" applyProtection="1" pivotButton="0" quotePrefix="0" xfId="1">
      <alignment horizontal="center" vertical="center"/>
      <protection locked="0" hidden="0"/>
    </xf>
    <xf numFmtId="165" fontId="4" fillId="0" borderId="8" applyAlignment="1" applyProtection="1" pivotButton="0" quotePrefix="0" xfId="1">
      <alignment horizontal="center" vertical="center"/>
      <protection locked="0" hidden="0"/>
    </xf>
    <xf numFmtId="165" fontId="4" fillId="0" borderId="23" applyAlignment="1" applyProtection="1" pivotButton="0" quotePrefix="0" xfId="1">
      <alignment horizontal="center" vertical="center"/>
      <protection locked="0" hidden="0"/>
    </xf>
    <xf numFmtId="0" fontId="7" fillId="0" borderId="22" applyAlignment="1" pivotButton="0" quotePrefix="0" xfId="1">
      <alignment horizontal="center" wrapText="1"/>
    </xf>
    <xf numFmtId="0" fontId="7" fillId="0" borderId="22" applyAlignment="1" pivotButton="0" quotePrefix="0" xfId="1">
      <alignment horizontal="center"/>
    </xf>
    <xf numFmtId="0" fontId="20" fillId="0" borderId="23" applyAlignment="1" pivotButton="0" quotePrefix="0" xfId="0">
      <alignment horizontal="center"/>
    </xf>
    <xf numFmtId="0" fontId="6" fillId="0" borderId="22" applyAlignment="1" pivotButton="0" quotePrefix="1" xfId="1">
      <alignment horizontal="center" vertical="center" wrapText="1"/>
    </xf>
    <xf numFmtId="0" fontId="7" fillId="0" borderId="22" applyAlignment="1" pivotButton="0" quotePrefix="0" xfId="1">
      <alignment horizontal="center" vertical="center"/>
    </xf>
    <xf numFmtId="0" fontId="20" fillId="0" borderId="72" applyAlignment="1" pivotButton="0" quotePrefix="0" xfId="0">
      <alignment horizontal="center" vertical="center"/>
    </xf>
    <xf numFmtId="0" fontId="4" fillId="0" borderId="0" applyAlignment="1" pivotButton="0" quotePrefix="0" xfId="0">
      <alignment horizontal="left"/>
    </xf>
    <xf numFmtId="0" fontId="4" fillId="0" borderId="0" applyAlignment="1" pivotButton="0" quotePrefix="0" xfId="0">
      <alignment horizontal="center" wrapText="1"/>
    </xf>
    <xf numFmtId="0" fontId="53" fillId="0" borderId="0" pivotButton="0" quotePrefix="0" xfId="0"/>
    <xf numFmtId="0" fontId="41" fillId="2" borderId="0" pivotButton="0" quotePrefix="0" xfId="0"/>
    <xf numFmtId="0" fontId="55" fillId="2" borderId="0" applyAlignment="1" pivotButton="0" quotePrefix="0" xfId="0">
      <alignment wrapText="1"/>
    </xf>
    <xf numFmtId="0" fontId="41" fillId="2" borderId="19" pivotButton="0" quotePrefix="0" xfId="0"/>
    <xf numFmtId="0" fontId="54" fillId="2" borderId="0" pivotButton="0" quotePrefix="0" xfId="0"/>
    <xf numFmtId="0" fontId="4" fillId="2" borderId="12" applyAlignment="1" pivotButton="0" quotePrefix="0" xfId="1">
      <alignment horizontal="center" vertical="center"/>
    </xf>
    <xf numFmtId="0" fontId="4" fillId="0" borderId="33" applyAlignment="1" applyProtection="1" pivotButton="0" quotePrefix="0" xfId="1">
      <alignment horizontal="center" vertical="center"/>
      <protection locked="0" hidden="0"/>
    </xf>
    <xf numFmtId="0" fontId="4" fillId="0" borderId="46" applyAlignment="1" applyProtection="1" pivotButton="0" quotePrefix="0" xfId="1">
      <alignment horizontal="center" vertical="center"/>
      <protection locked="0" hidden="0"/>
    </xf>
    <xf numFmtId="0" fontId="4" fillId="2" borderId="24" applyAlignment="1" applyProtection="1" pivotButton="0" quotePrefix="0" xfId="1">
      <alignment horizontal="center" vertical="center"/>
      <protection locked="0" hidden="0"/>
    </xf>
    <xf numFmtId="0" fontId="4" fillId="0" borderId="37" applyAlignment="1" applyProtection="1" pivotButton="0" quotePrefix="0" xfId="1">
      <alignment horizontal="center" vertical="center"/>
      <protection locked="0" hidden="0"/>
    </xf>
    <xf numFmtId="0" fontId="4" fillId="2" borderId="46" applyAlignment="1" applyProtection="1" pivotButton="0" quotePrefix="0" xfId="1">
      <alignment horizontal="center" vertical="center"/>
      <protection locked="0" hidden="0"/>
    </xf>
    <xf numFmtId="0" fontId="18" fillId="0" borderId="9" applyAlignment="1" applyProtection="1" pivotButton="0" quotePrefix="0" xfId="0">
      <alignment horizontal="center"/>
      <protection locked="0" hidden="0"/>
    </xf>
    <xf numFmtId="0" fontId="20" fillId="2" borderId="52" applyAlignment="1" pivotButton="0" quotePrefix="0" xfId="0">
      <alignment horizontal="center" vertical="center"/>
    </xf>
    <xf numFmtId="0" fontId="16" fillId="0" borderId="44" pivotButton="0" quotePrefix="0" xfId="0"/>
    <xf numFmtId="0" fontId="18" fillId="2" borderId="71" applyAlignment="1" applyProtection="1" pivotButton="0" quotePrefix="0" xfId="0">
      <alignment horizontal="center" vertical="center" wrapText="1"/>
      <protection locked="0" hidden="0"/>
    </xf>
    <xf numFmtId="0" fontId="18" fillId="2" borderId="39" applyAlignment="1" applyProtection="1" pivotButton="0" quotePrefix="0" xfId="0">
      <alignment horizontal="center" vertical="center" wrapText="1"/>
      <protection locked="0" hidden="0"/>
    </xf>
    <xf numFmtId="0" fontId="18" fillId="2" borderId="73" applyAlignment="1" applyProtection="1" pivotButton="0" quotePrefix="0" xfId="0">
      <alignment horizontal="center" vertical="center" wrapText="1"/>
      <protection locked="0" hidden="0"/>
    </xf>
    <xf numFmtId="0" fontId="16" fillId="0" borderId="19" pivotButton="0" quotePrefix="0" xfId="0"/>
    <xf numFmtId="0" fontId="4" fillId="2" borderId="44" applyAlignment="1" applyProtection="1" pivotButton="0" quotePrefix="0" xfId="1">
      <alignment horizontal="center" vertical="center"/>
      <protection locked="0" hidden="0"/>
    </xf>
    <xf numFmtId="0" fontId="4" fillId="2" borderId="71" applyAlignment="1" applyProtection="1" pivotButton="0" quotePrefix="0" xfId="1">
      <alignment horizontal="center" vertical="center"/>
      <protection locked="0" hidden="0"/>
    </xf>
    <xf numFmtId="0" fontId="18" fillId="0" borderId="60" applyAlignment="1" applyProtection="1" pivotButton="0" quotePrefix="0" xfId="0">
      <alignment horizontal="center"/>
      <protection locked="0" hidden="0"/>
    </xf>
    <xf numFmtId="0" fontId="18" fillId="0" borderId="58" applyAlignment="1" applyProtection="1" pivotButton="0" quotePrefix="0" xfId="0">
      <alignment horizontal="center"/>
      <protection locked="0" hidden="0"/>
    </xf>
    <xf numFmtId="0" fontId="18" fillId="0" borderId="54" applyAlignment="1" applyProtection="1" pivotButton="0" quotePrefix="0" xfId="0">
      <alignment horizontal="center"/>
      <protection locked="0" hidden="0"/>
    </xf>
    <xf numFmtId="0" fontId="5" fillId="0" borderId="67" applyAlignment="1" pivotButton="0" quotePrefix="0" xfId="1">
      <alignment horizontal="center" wrapText="1"/>
    </xf>
    <xf numFmtId="0" fontId="5" fillId="0" borderId="68" applyAlignment="1" pivotButton="0" quotePrefix="0" xfId="1">
      <alignment horizontal="center" wrapText="1"/>
    </xf>
    <xf numFmtId="0" fontId="5" fillId="0" borderId="35" applyAlignment="1" pivotButton="0" quotePrefix="0" xfId="1">
      <alignment horizontal="center" wrapText="1"/>
    </xf>
    <xf numFmtId="0" fontId="6" fillId="0" borderId="76" applyAlignment="1" pivotButton="0" quotePrefix="0" xfId="1">
      <alignment horizontal="center" vertical="center" wrapText="1"/>
    </xf>
    <xf numFmtId="0" fontId="18" fillId="2" borderId="70" applyAlignment="1" applyProtection="1" pivotButton="0" quotePrefix="0" xfId="0">
      <alignment horizontal="center" vertical="center"/>
      <protection locked="0" hidden="0"/>
    </xf>
    <xf numFmtId="0" fontId="18" fillId="2" borderId="74" applyAlignment="1" applyProtection="1" pivotButton="0" quotePrefix="0" xfId="0">
      <alignment horizontal="center" vertical="center"/>
      <protection locked="0" hidden="0"/>
    </xf>
    <xf numFmtId="0" fontId="14" fillId="2" borderId="3" applyAlignment="1" pivotButton="0" quotePrefix="0" xfId="1">
      <alignment horizontal="center" wrapText="1"/>
    </xf>
    <xf numFmtId="0" fontId="26" fillId="2" borderId="1" applyAlignment="1" pivotButton="0" quotePrefix="0" xfId="0">
      <alignment horizontal="center" wrapText="1"/>
    </xf>
    <xf numFmtId="0" fontId="26" fillId="2" borderId="16" applyAlignment="1" pivotButton="0" quotePrefix="0" xfId="0">
      <alignment horizontal="center" wrapText="1"/>
    </xf>
    <xf numFmtId="0" fontId="18" fillId="2" borderId="60" applyAlignment="1" applyProtection="1" pivotButton="0" quotePrefix="0" xfId="0">
      <alignment horizontal="center" vertical="center"/>
      <protection locked="0" hidden="0"/>
    </xf>
    <xf numFmtId="0" fontId="18" fillId="2" borderId="61" applyAlignment="1" applyProtection="1" pivotButton="0" quotePrefix="0" xfId="0">
      <alignment horizontal="center" vertical="center"/>
      <protection locked="0" hidden="0"/>
    </xf>
    <xf numFmtId="0" fontId="18" fillId="2" borderId="57" applyAlignment="1" applyProtection="1" pivotButton="0" quotePrefix="0" xfId="0">
      <alignment horizontal="center" vertical="center"/>
      <protection locked="0" hidden="0"/>
    </xf>
    <xf numFmtId="0" fontId="18" fillId="2" borderId="54" applyAlignment="1" applyProtection="1" pivotButton="0" quotePrefix="0" xfId="0">
      <alignment horizontal="center" vertical="center"/>
      <protection locked="0" hidden="0"/>
    </xf>
    <xf numFmtId="0" fontId="18" fillId="2" borderId="43" applyAlignment="1" applyProtection="1" pivotButton="0" quotePrefix="0" xfId="0">
      <alignment horizontal="center" vertical="center"/>
      <protection locked="0" hidden="0"/>
    </xf>
    <xf numFmtId="0" fontId="18" fillId="2" borderId="27" applyAlignment="1" applyProtection="1" pivotButton="0" quotePrefix="0" xfId="0">
      <alignment horizontal="center" vertical="center"/>
      <protection locked="0" hidden="0"/>
    </xf>
    <xf numFmtId="0" fontId="26" fillId="2" borderId="22" applyAlignment="1" pivotButton="0" quotePrefix="0" xfId="0">
      <alignment horizontal="center" wrapText="1"/>
    </xf>
    <xf numFmtId="0" fontId="26" fillId="2" borderId="23" applyAlignment="1" pivotButton="0" quotePrefix="0" xfId="0">
      <alignment horizontal="center" wrapText="1"/>
    </xf>
    <xf numFmtId="0" fontId="18" fillId="0" borderId="33" applyAlignment="1" applyProtection="1" pivotButton="0" quotePrefix="0" xfId="0">
      <alignment horizontal="center"/>
      <protection locked="0" hidden="0"/>
    </xf>
    <xf numFmtId="0" fontId="5" fillId="0" borderId="53" applyAlignment="1" pivotButton="0" quotePrefix="0" xfId="1">
      <alignment horizontal="center" wrapText="1"/>
    </xf>
    <xf numFmtId="0" fontId="5" fillId="0" borderId="17" applyAlignment="1" pivotButton="0" quotePrefix="0" xfId="1">
      <alignment horizontal="center" wrapText="1"/>
    </xf>
    <xf numFmtId="0" fontId="6" fillId="0" borderId="64" applyAlignment="1" pivotButton="0" quotePrefix="0" xfId="1">
      <alignment horizontal="center" vertical="center" wrapText="1"/>
    </xf>
    <xf numFmtId="0" fontId="18" fillId="0" borderId="39" applyAlignment="1" applyProtection="1" pivotButton="0" quotePrefix="0" xfId="0">
      <alignment horizontal="center"/>
      <protection locked="0" hidden="0"/>
    </xf>
    <xf numFmtId="0" fontId="4" fillId="0" borderId="40" applyAlignment="1" applyProtection="1" pivotButton="0" quotePrefix="0" xfId="1">
      <alignment horizontal="center" vertical="center"/>
      <protection locked="0" hidden="0"/>
    </xf>
    <xf numFmtId="0" fontId="4" fillId="0" borderId="34" applyAlignment="1" applyProtection="1" pivotButton="0" quotePrefix="0" xfId="1">
      <alignment horizontal="center" vertical="center"/>
      <protection locked="0" hidden="0"/>
    </xf>
    <xf numFmtId="0" fontId="4" fillId="0" borderId="38" applyAlignment="1" applyProtection="1" pivotButton="0" quotePrefix="0" xfId="1">
      <alignment horizontal="center" vertical="center"/>
      <protection locked="0" hidden="0"/>
    </xf>
    <xf numFmtId="0" fontId="16" fillId="0" borderId="48" pivotButton="0" quotePrefix="0" xfId="0"/>
    <xf numFmtId="0" fontId="4" fillId="0" borderId="58" applyAlignment="1" applyProtection="1" pivotButton="0" quotePrefix="0" xfId="1">
      <alignment horizontal="center" vertical="center"/>
      <protection locked="0" hidden="0"/>
    </xf>
    <xf numFmtId="0" fontId="4" fillId="0" borderId="55" applyAlignment="1" applyProtection="1" pivotButton="0" quotePrefix="0" xfId="1">
      <alignment horizontal="center" vertical="center"/>
      <protection locked="0" hidden="0"/>
    </xf>
    <xf numFmtId="0" fontId="4" fillId="2" borderId="9" applyAlignment="1" pivotButton="0" quotePrefix="0" xfId="1">
      <alignment horizontal="center" vertical="center"/>
    </xf>
    <xf numFmtId="0" fontId="4" fillId="2" borderId="6" applyAlignment="1" applyProtection="1" pivotButton="0" quotePrefix="0" xfId="1">
      <alignment horizontal="center" vertical="center"/>
      <protection locked="0" hidden="0"/>
    </xf>
    <xf numFmtId="0" fontId="18" fillId="2" borderId="54" applyAlignment="1" applyProtection="1" pivotButton="0" quotePrefix="0" xfId="0">
      <alignment horizontal="center"/>
      <protection locked="0" hidden="0"/>
    </xf>
    <xf numFmtId="0" fontId="4" fillId="2" borderId="10" applyAlignment="1" pivotButton="0" quotePrefix="0" xfId="1">
      <alignment horizontal="center" vertical="center"/>
    </xf>
    <xf numFmtId="0" fontId="4" fillId="0" borderId="29" applyAlignment="1" applyProtection="1" pivotButton="0" quotePrefix="0" xfId="1">
      <alignment horizontal="center" vertical="center"/>
      <protection locked="0" hidden="0"/>
    </xf>
    <xf numFmtId="0" fontId="7" fillId="0" borderId="73" applyAlignment="1" pivotButton="0" quotePrefix="0" xfId="1">
      <alignment horizontal="center" wrapText="1"/>
    </xf>
    <xf numFmtId="0" fontId="5" fillId="0" borderId="70" applyAlignment="1" pivotButton="0" quotePrefix="0" xfId="1">
      <alignment horizontal="center" wrapText="1"/>
    </xf>
    <xf numFmtId="0" fontId="5" fillId="0" borderId="29" applyAlignment="1" pivotButton="0" quotePrefix="0" xfId="1">
      <alignment horizontal="center" wrapText="1"/>
    </xf>
    <xf numFmtId="0" fontId="5" fillId="0" borderId="74" applyAlignment="1" pivotButton="0" quotePrefix="0" xfId="1">
      <alignment horizontal="center" wrapText="1"/>
    </xf>
    <xf numFmtId="0" fontId="7" fillId="0" borderId="80" applyAlignment="1" pivotButton="0" quotePrefix="0" xfId="1">
      <alignment horizontal="center" wrapText="1"/>
    </xf>
    <xf numFmtId="0" fontId="18" fillId="0" borderId="23" applyAlignment="1" applyProtection="1" pivotButton="0" quotePrefix="0" xfId="0">
      <alignment horizontal="center"/>
      <protection locked="0" hidden="0"/>
    </xf>
    <xf numFmtId="0" fontId="44" fillId="0" borderId="23" applyAlignment="1" pivotButton="0" quotePrefix="0" xfId="1">
      <alignment horizontal="center" wrapText="1"/>
    </xf>
    <xf numFmtId="0" fontId="20" fillId="2" borderId="74" applyAlignment="1" pivotButton="0" quotePrefix="0" xfId="0">
      <alignment horizontal="center"/>
    </xf>
    <xf numFmtId="0" fontId="20" fillId="2" borderId="60" applyAlignment="1" pivotButton="0" quotePrefix="0" xfId="0">
      <alignment horizontal="center"/>
    </xf>
    <xf numFmtId="0" fontId="20" fillId="2" borderId="62" applyAlignment="1" pivotButton="0" quotePrefix="0" xfId="0">
      <alignment horizontal="center"/>
    </xf>
    <xf numFmtId="0" fontId="20" fillId="2" borderId="29" applyAlignment="1" pivotButton="0" quotePrefix="0" xfId="0">
      <alignment horizontal="center"/>
    </xf>
    <xf numFmtId="0" fontId="20" fillId="2" borderId="33" applyAlignment="1" pivotButton="0" quotePrefix="0" xfId="0">
      <alignment horizontal="center"/>
    </xf>
    <xf numFmtId="0" fontId="20" fillId="2" borderId="46" applyAlignment="1" pivotButton="0" quotePrefix="0" xfId="0">
      <alignment horizontal="center"/>
    </xf>
    <xf numFmtId="0" fontId="20" fillId="2" borderId="65" applyAlignment="1" pivotButton="0" quotePrefix="0" xfId="0">
      <alignment horizontal="center"/>
    </xf>
    <xf numFmtId="0" fontId="20" fillId="2" borderId="23" applyAlignment="1" pivotButton="0" quotePrefix="0" xfId="0">
      <alignment horizontal="center" vertical="center"/>
    </xf>
    <xf numFmtId="0" fontId="7" fillId="2" borderId="51" applyAlignment="1" pivotButton="0" quotePrefix="0" xfId="1">
      <alignment horizontal="center" vertical="center"/>
    </xf>
    <xf numFmtId="0" fontId="7" fillId="2" borderId="61" applyAlignment="1" pivotButton="0" quotePrefix="0" xfId="1">
      <alignment horizontal="center" vertical="center"/>
    </xf>
    <xf numFmtId="0" fontId="7" fillId="2" borderId="60" applyAlignment="1" pivotButton="0" quotePrefix="0" xfId="1">
      <alignment horizontal="center" vertical="center"/>
    </xf>
    <xf numFmtId="0" fontId="7" fillId="2" borderId="44" applyAlignment="1" pivotButton="0" quotePrefix="0" xfId="1">
      <alignment horizontal="center" vertical="center"/>
    </xf>
    <xf numFmtId="0" fontId="7" fillId="2" borderId="29" applyAlignment="1" pivotButton="0" quotePrefix="0" xfId="1">
      <alignment horizontal="center" vertical="center"/>
    </xf>
    <xf numFmtId="0" fontId="7" fillId="2" borderId="43" applyAlignment="1" pivotButton="0" quotePrefix="0" xfId="1">
      <alignment horizontal="center" vertical="center"/>
    </xf>
    <xf numFmtId="0" fontId="7" fillId="2" borderId="74" applyAlignment="1" pivotButton="0" quotePrefix="0" xfId="1">
      <alignment horizontal="center" vertical="center"/>
    </xf>
    <xf numFmtId="0" fontId="7" fillId="2" borderId="27" applyAlignment="1" pivotButton="0" quotePrefix="0" xfId="1">
      <alignment horizontal="center" vertical="center"/>
    </xf>
    <xf numFmtId="0" fontId="7" fillId="2" borderId="70" applyAlignment="1" pivotButton="0" quotePrefix="0" xfId="1">
      <alignment horizontal="center" vertical="center"/>
    </xf>
    <xf numFmtId="0" fontId="7" fillId="2" borderId="52" applyAlignment="1" pivotButton="0" quotePrefix="0" xfId="1">
      <alignment horizontal="center" vertical="center"/>
    </xf>
    <xf numFmtId="165" fontId="7" fillId="0" borderId="23" applyAlignment="1" pivotButton="0" quotePrefix="0" xfId="1">
      <alignment horizontal="center" vertical="center"/>
    </xf>
    <xf numFmtId="0" fontId="7" fillId="2" borderId="58" applyAlignment="1" pivotButton="0" quotePrefix="0" xfId="1">
      <alignment horizontal="center" vertical="center"/>
    </xf>
    <xf numFmtId="0" fontId="7" fillId="2" borderId="80" applyAlignment="1" pivotButton="0" quotePrefix="0" xfId="1">
      <alignment horizontal="center" vertical="center"/>
    </xf>
    <xf numFmtId="0" fontId="7" fillId="2" borderId="77" applyAlignment="1" pivotButton="0" quotePrefix="0" xfId="1">
      <alignment horizontal="center" vertical="center"/>
    </xf>
    <xf numFmtId="0" fontId="7" fillId="2" borderId="65" applyAlignment="1" pivotButton="0" quotePrefix="0" xfId="1">
      <alignment horizontal="center" vertical="center"/>
    </xf>
    <xf numFmtId="0" fontId="7" fillId="2" borderId="73" applyAlignment="1" pivotButton="0" quotePrefix="0" xfId="1">
      <alignment horizontal="center" vertical="center"/>
    </xf>
    <xf numFmtId="0" fontId="19" fillId="0" borderId="19" pivotButton="0" quotePrefix="0" xfId="0"/>
    <xf numFmtId="0" fontId="4" fillId="2" borderId="80" applyAlignment="1" applyProtection="1" pivotButton="0" quotePrefix="0" xfId="1">
      <alignment horizontal="center" vertical="center"/>
      <protection locked="0" hidden="0"/>
    </xf>
    <xf numFmtId="0" fontId="18" fillId="2" borderId="60" applyAlignment="1" applyProtection="1" pivotButton="0" quotePrefix="0" xfId="0">
      <alignment horizontal="center"/>
      <protection locked="0" hidden="0"/>
    </xf>
    <xf numFmtId="0" fontId="18" fillId="2" borderId="58" applyAlignment="1" applyProtection="1" pivotButton="0" quotePrefix="0" xfId="0">
      <alignment horizontal="center"/>
      <protection locked="0" hidden="0"/>
    </xf>
    <xf numFmtId="0" fontId="18" fillId="0" borderId="19" pivotButton="0" quotePrefix="0" xfId="0"/>
    <xf numFmtId="0" fontId="4" fillId="0" borderId="61" applyAlignment="1" applyProtection="1" pivotButton="0" quotePrefix="0" xfId="1">
      <alignment horizontal="center" vertical="center"/>
      <protection locked="0" hidden="0"/>
    </xf>
    <xf numFmtId="0" fontId="4" fillId="2" borderId="23" applyAlignment="1" pivotButton="0" quotePrefix="0" xfId="1">
      <alignment horizontal="center" vertical="center"/>
    </xf>
    <xf numFmtId="0" fontId="11" fillId="0" borderId="55" applyAlignment="1" pivotButton="0" quotePrefix="0" xfId="1">
      <alignment horizontal="center" wrapText="1" shrinkToFit="1"/>
    </xf>
    <xf numFmtId="0" fontId="11" fillId="0" borderId="52" applyAlignment="1" pivotButton="0" quotePrefix="0" xfId="1">
      <alignment horizontal="center" wrapText="1" shrinkToFit="1"/>
    </xf>
    <xf numFmtId="0" fontId="11" fillId="0" borderId="55" applyAlignment="1" pivotButton="0" quotePrefix="0" xfId="1">
      <alignment horizontal="center" wrapText="1"/>
    </xf>
    <xf numFmtId="0" fontId="4" fillId="0" borderId="40" applyAlignment="1" applyProtection="1" pivotButton="0" quotePrefix="1" xfId="1">
      <alignment horizontal="center" vertical="center"/>
      <protection locked="0" hidden="0"/>
    </xf>
    <xf numFmtId="0" fontId="4" fillId="0" borderId="46" applyAlignment="1" applyProtection="1" pivotButton="0" quotePrefix="1" xfId="1">
      <alignment horizontal="center" vertical="center"/>
      <protection locked="0" hidden="0"/>
    </xf>
    <xf numFmtId="0" fontId="4" fillId="0" borderId="39" applyAlignment="1" applyProtection="1" pivotButton="0" quotePrefix="1" xfId="1">
      <alignment horizontal="center" vertical="center"/>
      <protection locked="0" hidden="0"/>
    </xf>
    <xf numFmtId="0" fontId="4" fillId="2" borderId="40" applyAlignment="1" applyProtection="1" pivotButton="0" quotePrefix="1" xfId="1">
      <alignment horizontal="center" vertical="center"/>
      <protection locked="0" hidden="0"/>
    </xf>
    <xf numFmtId="0" fontId="4" fillId="0" borderId="34" applyAlignment="1" applyProtection="1" pivotButton="0" quotePrefix="1" xfId="1">
      <alignment horizontal="center" vertical="center"/>
      <protection locked="0" hidden="0"/>
    </xf>
    <xf numFmtId="0" fontId="16" fillId="2" borderId="64" pivotButton="0" quotePrefix="0" xfId="0"/>
    <xf numFmtId="0" fontId="18" fillId="2" borderId="29" applyAlignment="1" applyProtection="1" pivotButton="0" quotePrefix="0" xfId="0">
      <alignment horizontal="center" vertical="center"/>
      <protection locked="0" hidden="0"/>
    </xf>
    <xf numFmtId="0" fontId="7" fillId="2" borderId="60" applyAlignment="1" pivotButton="0" quotePrefix="0" xfId="0">
      <alignment horizontal="center"/>
    </xf>
    <xf numFmtId="0" fontId="7" fillId="2" borderId="29" applyAlignment="1" pivotButton="0" quotePrefix="0" xfId="0">
      <alignment horizontal="center"/>
    </xf>
    <xf numFmtId="0" fontId="4" fillId="2" borderId="15" applyAlignment="1" applyProtection="1" pivotButton="0" quotePrefix="0" xfId="0">
      <alignment horizontal="center"/>
      <protection locked="0" hidden="0"/>
    </xf>
    <xf numFmtId="0" fontId="4" fillId="2" borderId="13" applyAlignment="1" applyProtection="1" pivotButton="0" quotePrefix="0" xfId="0">
      <alignment horizontal="center"/>
      <protection locked="0" hidden="0"/>
    </xf>
    <xf numFmtId="0" fontId="4" fillId="2" borderId="30" applyAlignment="1" applyProtection="1" pivotButton="0" quotePrefix="0" xfId="0">
      <alignment horizontal="center"/>
      <protection locked="0" hidden="0"/>
    </xf>
    <xf numFmtId="0" fontId="7" fillId="0" borderId="58" applyAlignment="1" pivotButton="0" quotePrefix="0" xfId="0">
      <alignment horizontal="center"/>
    </xf>
    <xf numFmtId="0" fontId="7" fillId="0" borderId="57" applyAlignment="1" pivotButton="0" quotePrefix="0" xfId="0">
      <alignment horizontal="center"/>
    </xf>
    <xf numFmtId="0" fontId="4" fillId="2" borderId="33" applyAlignment="1" applyProtection="1" pivotButton="0" quotePrefix="0" xfId="0">
      <alignment horizontal="center" vertical="top"/>
      <protection locked="0" hidden="0"/>
    </xf>
    <xf numFmtId="0" fontId="4" fillId="2" borderId="73" applyAlignment="1" applyProtection="1" pivotButton="0" quotePrefix="0" xfId="0">
      <alignment horizontal="center" vertical="top"/>
      <protection locked="0" hidden="0"/>
    </xf>
    <xf numFmtId="0" fontId="4" fillId="2" borderId="62" applyAlignment="1" applyProtection="1" pivotButton="0" quotePrefix="0" xfId="0">
      <alignment horizontal="center" vertical="top"/>
      <protection locked="0" hidden="0"/>
    </xf>
    <xf numFmtId="0" fontId="7" fillId="2" borderId="54" applyAlignment="1" pivotButton="0" quotePrefix="0" xfId="1">
      <alignment horizontal="center" vertical="center"/>
    </xf>
    <xf numFmtId="0" fontId="5" fillId="2" borderId="70" applyAlignment="1" pivotButton="0" quotePrefix="0" xfId="1">
      <alignment horizontal="center" wrapText="1"/>
    </xf>
    <xf numFmtId="0" fontId="5" fillId="2" borderId="29" applyAlignment="1" pivotButton="0" quotePrefix="0" xfId="1">
      <alignment horizontal="center" wrapText="1"/>
    </xf>
    <xf numFmtId="0" fontId="5" fillId="2" borderId="43" applyAlignment="1" pivotButton="0" quotePrefix="0" xfId="1">
      <alignment horizontal="center" wrapText="1"/>
    </xf>
    <xf numFmtId="0" fontId="6" fillId="2" borderId="80" applyAlignment="1" pivotButton="0" quotePrefix="0" xfId="1">
      <alignment horizontal="center" vertical="center" wrapText="1"/>
    </xf>
    <xf numFmtId="0" fontId="20" fillId="2" borderId="81" applyAlignment="1" pivotButton="0" quotePrefix="0" xfId="0">
      <alignment horizontal="center" vertical="center"/>
    </xf>
    <xf numFmtId="0" fontId="20" fillId="2" borderId="75" applyAlignment="1" pivotButton="0" quotePrefix="0" xfId="0">
      <alignment horizontal="center" vertical="center"/>
    </xf>
    <xf numFmtId="0" fontId="20" fillId="2" borderId="65" applyAlignment="1" pivotButton="0" quotePrefix="0" xfId="0">
      <alignment horizontal="center" vertical="center"/>
    </xf>
    <xf numFmtId="0" fontId="20" fillId="2" borderId="64" applyAlignment="1" pivotButton="0" quotePrefix="0" xfId="0">
      <alignment horizontal="center" vertical="center"/>
    </xf>
    <xf numFmtId="0" fontId="20" fillId="2" borderId="80" applyAlignment="1" pivotButton="0" quotePrefix="0" xfId="0">
      <alignment horizontal="center" vertical="center"/>
    </xf>
    <xf numFmtId="0" fontId="20" fillId="2" borderId="44" applyAlignment="1" pivotButton="0" quotePrefix="0" xfId="0">
      <alignment horizontal="center" vertical="center"/>
    </xf>
    <xf numFmtId="0" fontId="20" fillId="2" borderId="60" applyAlignment="1" pivotButton="0" quotePrefix="0" xfId="0">
      <alignment horizontal="center" vertical="center"/>
    </xf>
    <xf numFmtId="0" fontId="20" fillId="2" borderId="58" applyAlignment="1" pivotButton="0" quotePrefix="0" xfId="0">
      <alignment horizontal="center" vertical="center"/>
    </xf>
    <xf numFmtId="0" fontId="20" fillId="2" borderId="61" applyAlignment="1" pivotButton="0" quotePrefix="0" xfId="0">
      <alignment horizontal="center" vertical="center"/>
    </xf>
    <xf numFmtId="0" fontId="7" fillId="2" borderId="62" applyAlignment="1" pivotButton="0" quotePrefix="0" xfId="1">
      <alignment horizontal="center" vertical="center"/>
    </xf>
    <xf numFmtId="0" fontId="57" fillId="2" borderId="0" applyAlignment="1" pivotButton="0" quotePrefix="0" xfId="0">
      <alignment horizontal="left" indent="1"/>
    </xf>
    <xf numFmtId="0" fontId="19" fillId="0" borderId="0" applyAlignment="1" pivotButton="0" quotePrefix="0" xfId="0">
      <alignment horizontal="left" indent="1"/>
    </xf>
    <xf numFmtId="0" fontId="19" fillId="2" borderId="0" applyAlignment="1" pivotButton="0" quotePrefix="0" xfId="0">
      <alignment horizontal="left" indent="1"/>
    </xf>
    <xf numFmtId="0" fontId="19" fillId="2" borderId="0" applyAlignment="1" pivotButton="0" quotePrefix="0" xfId="0">
      <alignment horizontal="left" vertical="center" indent="1"/>
    </xf>
    <xf numFmtId="0" fontId="19" fillId="0" borderId="0" applyAlignment="1" pivotButton="0" quotePrefix="0" xfId="0">
      <alignment horizontal="left" vertical="center" indent="1"/>
    </xf>
    <xf numFmtId="0" fontId="4" fillId="0" borderId="29" applyAlignment="1" applyProtection="1" pivotButton="0" quotePrefix="0" xfId="1">
      <alignment horizontal="center" vertical="center"/>
      <protection locked="0" hidden="0"/>
    </xf>
    <xf numFmtId="0" fontId="4" fillId="0" borderId="74" applyAlignment="1" applyProtection="1" pivotButton="0" quotePrefix="0" xfId="1">
      <alignment horizontal="center" vertical="center"/>
      <protection locked="0" hidden="0"/>
    </xf>
    <xf numFmtId="0" fontId="7" fillId="0" borderId="60" applyAlignment="1" pivotButton="0" quotePrefix="0" xfId="1">
      <alignment horizontal="center" vertical="center" wrapText="1"/>
    </xf>
    <xf numFmtId="0" fontId="7" fillId="0" borderId="58" applyAlignment="1" pivotButton="0" quotePrefix="0" xfId="1">
      <alignment horizontal="center" vertical="center" wrapText="1"/>
    </xf>
    <xf numFmtId="0" fontId="7" fillId="0" borderId="54" applyAlignment="1" pivotButton="0" quotePrefix="0" xfId="1">
      <alignment horizontal="center" vertical="center" wrapText="1"/>
    </xf>
    <xf numFmtId="0" fontId="7" fillId="0" borderId="58" applyAlignment="1" pivotButton="0" quotePrefix="0" xfId="1">
      <alignment horizontal="center" wrapText="1"/>
    </xf>
    <xf numFmtId="0" fontId="7" fillId="0" borderId="54" applyAlignment="1" pivotButton="0" quotePrefix="0" xfId="1">
      <alignment horizontal="center" wrapText="1"/>
    </xf>
    <xf numFmtId="0" fontId="18" fillId="2" borderId="22" applyAlignment="1" applyProtection="1" pivotButton="0" quotePrefix="0" xfId="0">
      <alignment horizontal="center" vertical="center"/>
      <protection locked="0" hidden="0"/>
    </xf>
    <xf numFmtId="0" fontId="18" fillId="2" borderId="21" applyAlignment="1" applyProtection="1" pivotButton="0" quotePrefix="0" xfId="0">
      <alignment horizontal="center" vertical="center"/>
      <protection locked="0" hidden="0"/>
    </xf>
    <xf numFmtId="0" fontId="7" fillId="2" borderId="29" applyAlignment="1" pivotButton="0" quotePrefix="0" xfId="1">
      <alignment horizontal="center" vertical="center"/>
    </xf>
    <xf numFmtId="0" fontId="7" fillId="2" borderId="43" applyAlignment="1" pivotButton="0" quotePrefix="0" xfId="1">
      <alignment horizontal="center" vertical="center"/>
    </xf>
    <xf numFmtId="0" fontId="18" fillId="2" borderId="54" applyAlignment="1" applyProtection="1" pivotButton="0" quotePrefix="0" xfId="0">
      <alignment horizontal="center" vertical="center"/>
      <protection locked="0" hidden="0"/>
    </xf>
    <xf numFmtId="0" fontId="18" fillId="2" borderId="52" applyAlignment="1" applyProtection="1" pivotButton="0" quotePrefix="0" xfId="0">
      <alignment horizontal="center" vertical="center"/>
      <protection locked="0" hidden="0"/>
    </xf>
    <xf numFmtId="0" fontId="18" fillId="2" borderId="55" applyAlignment="1" applyProtection="1" pivotButton="0" quotePrefix="0" xfId="0">
      <alignment horizontal="center" vertical="center"/>
      <protection locked="0" hidden="0"/>
    </xf>
    <xf numFmtId="0" fontId="7" fillId="2" borderId="54" applyAlignment="1" pivotButton="0" quotePrefix="0" xfId="1">
      <alignment horizontal="center" wrapText="1"/>
    </xf>
    <xf numFmtId="0" fontId="7" fillId="2" borderId="52" applyAlignment="1" pivotButton="0" quotePrefix="0" xfId="1">
      <alignment horizontal="center" wrapText="1"/>
    </xf>
    <xf numFmtId="0" fontId="7" fillId="2" borderId="57" applyAlignment="1" pivotButton="0" quotePrefix="0" xfId="1">
      <alignment horizontal="center" wrapText="1"/>
    </xf>
    <xf numFmtId="0" fontId="4" fillId="2" borderId="25" applyAlignment="1" applyProtection="1" pivotButton="0" quotePrefix="0" xfId="1">
      <alignment horizontal="center" vertical="center"/>
      <protection locked="0" hidden="0"/>
    </xf>
    <xf numFmtId="0" fontId="4" fillId="2" borderId="9" applyAlignment="1" applyProtection="1" pivotButton="0" quotePrefix="0" xfId="1">
      <alignment horizontal="center" vertical="center"/>
      <protection locked="0" hidden="0"/>
    </xf>
    <xf numFmtId="0" fontId="4" fillId="2" borderId="25" applyAlignment="1" pivotButton="0" quotePrefix="0" xfId="1">
      <alignment horizontal="center" vertical="center"/>
    </xf>
    <xf numFmtId="0" fontId="4" fillId="2" borderId="9" applyAlignment="1" pivotButton="0" quotePrefix="0" xfId="1">
      <alignment horizontal="center" vertical="center"/>
    </xf>
    <xf numFmtId="0" fontId="18" fillId="2" borderId="23" applyAlignment="1" applyProtection="1" pivotButton="0" quotePrefix="0" xfId="0">
      <alignment horizontal="center" vertical="center"/>
      <protection locked="0" hidden="0"/>
    </xf>
    <xf numFmtId="0" fontId="11" fillId="2" borderId="22" applyAlignment="1" pivotButton="0" quotePrefix="0" xfId="1">
      <alignment horizontal="center" wrapText="1"/>
    </xf>
    <xf numFmtId="0" fontId="11" fillId="2" borderId="23" applyAlignment="1" pivotButton="0" quotePrefix="0" xfId="1">
      <alignment horizontal="center" wrapText="1"/>
    </xf>
    <xf numFmtId="0" fontId="45" fillId="0" borderId="0" applyAlignment="1" pivotButton="0" quotePrefix="1" xfId="0">
      <alignment horizontal="left" vertical="top" wrapText="1"/>
    </xf>
    <xf numFmtId="0" fontId="4" fillId="2" borderId="3" applyAlignment="1" pivotButton="0" quotePrefix="0" xfId="1">
      <alignment horizontal="left" vertical="center" wrapText="1" indent="1"/>
    </xf>
    <xf numFmtId="0" fontId="4" fillId="2" borderId="2" applyAlignment="1" pivotButton="0" quotePrefix="0" xfId="1">
      <alignment horizontal="left" vertical="center" wrapText="1" indent="1"/>
    </xf>
    <xf numFmtId="0" fontId="34" fillId="0" borderId="47" applyAlignment="1" pivotButton="0" quotePrefix="0" xfId="0">
      <alignment horizontal="left" wrapText="1" indent="1"/>
    </xf>
    <xf numFmtId="0" fontId="34" fillId="0" borderId="46" applyAlignment="1" pivotButton="0" quotePrefix="0" xfId="0">
      <alignment horizontal="left" wrapText="1" indent="1"/>
    </xf>
    <xf numFmtId="0" fontId="4" fillId="2" borderId="47" applyAlignment="1" applyProtection="1" pivotButton="0" quotePrefix="0" xfId="1">
      <alignment horizontal="center" vertical="center"/>
      <protection locked="0" hidden="0"/>
    </xf>
    <xf numFmtId="0" fontId="4" fillId="2" borderId="10" applyAlignment="1" applyProtection="1" pivotButton="0" quotePrefix="0" xfId="1">
      <alignment horizontal="center" vertical="center"/>
      <protection locked="0" hidden="0"/>
    </xf>
    <xf numFmtId="0" fontId="4" fillId="2" borderId="32" applyAlignment="1" applyProtection="1" pivotButton="0" quotePrefix="0" xfId="1">
      <alignment horizontal="center" vertical="center"/>
      <protection locked="0" hidden="0"/>
    </xf>
    <xf numFmtId="0" fontId="19" fillId="2" borderId="0" applyAlignment="1" pivotButton="0" quotePrefix="0" xfId="0">
      <alignment horizontal="left" wrapText="1"/>
    </xf>
    <xf numFmtId="0" fontId="7" fillId="2" borderId="74" applyAlignment="1" pivotButton="0" quotePrefix="0" xfId="1">
      <alignment horizontal="center" vertical="center"/>
    </xf>
    <xf numFmtId="0" fontId="45" fillId="0" borderId="0" applyAlignment="1" pivotButton="0" quotePrefix="1" xfId="0">
      <alignment horizontal="left" wrapText="1"/>
    </xf>
    <xf numFmtId="0" fontId="7" fillId="2" borderId="60" applyAlignment="1" pivotButton="0" quotePrefix="0" xfId="1">
      <alignment horizontal="left" vertical="center" indent="1"/>
    </xf>
    <xf numFmtId="0" fontId="7" fillId="2" borderId="54" applyAlignment="1" pivotButton="0" quotePrefix="0" xfId="1">
      <alignment horizontal="left" vertical="center" indent="1"/>
    </xf>
    <xf numFmtId="0" fontId="34" fillId="2" borderId="11" applyAlignment="1" pivotButton="0" quotePrefix="0" xfId="0">
      <alignment horizontal="left" wrapText="1" indent="1"/>
    </xf>
    <xf numFmtId="0" fontId="34" fillId="2" borderId="32" applyAlignment="1" pivotButton="0" quotePrefix="0" xfId="0">
      <alignment horizontal="left" wrapText="1" indent="1"/>
    </xf>
    <xf numFmtId="0" fontId="45" fillId="0" borderId="0" applyAlignment="1" pivotButton="0" quotePrefix="0" xfId="0">
      <alignment horizontal="left" wrapText="1"/>
    </xf>
    <xf numFmtId="0" fontId="10" fillId="2" borderId="47" applyAlignment="1" pivotButton="0" quotePrefix="0" xfId="1">
      <alignment horizontal="left" vertical="center" wrapText="1" indent="1"/>
    </xf>
    <xf numFmtId="0" fontId="10" fillId="2" borderId="38" applyAlignment="1" pivotButton="0" quotePrefix="0" xfId="1">
      <alignment horizontal="left" vertical="center" wrapText="1" indent="1"/>
    </xf>
    <xf numFmtId="0" fontId="45" fillId="0" borderId="0" applyAlignment="1" pivotButton="0" quotePrefix="1" xfId="0">
      <alignment horizontal="left" vertical="center" wrapText="1"/>
    </xf>
    <xf numFmtId="0" fontId="7" fillId="2" borderId="50" applyAlignment="1" pivotButton="0" quotePrefix="0" xfId="1">
      <alignment horizontal="center"/>
    </xf>
    <xf numFmtId="0" fontId="7" fillId="2" borderId="49" applyAlignment="1" pivotButton="0" quotePrefix="0" xfId="1">
      <alignment horizontal="center"/>
    </xf>
    <xf numFmtId="0" fontId="7" fillId="2" borderId="51" applyAlignment="1" pivotButton="0" quotePrefix="0" xfId="1">
      <alignment horizontal="center"/>
    </xf>
    <xf numFmtId="0" fontId="7" fillId="2" borderId="44" applyAlignment="1" pivotButton="0" quotePrefix="0" xfId="1">
      <alignment horizontal="center"/>
    </xf>
    <xf numFmtId="0" fontId="7" fillId="0" borderId="56" applyAlignment="1" pivotButton="0" quotePrefix="0" xfId="1">
      <alignment horizontal="center" wrapText="1"/>
    </xf>
    <xf numFmtId="0" fontId="7" fillId="0" borderId="57" applyAlignment="1" pivotButton="0" quotePrefix="0" xfId="1">
      <alignment horizontal="center" wrapText="1"/>
    </xf>
    <xf numFmtId="0" fontId="18" fillId="2" borderId="56" applyAlignment="1" applyProtection="1" pivotButton="0" quotePrefix="0" xfId="0">
      <alignment horizontal="center" vertical="center"/>
      <protection locked="0" hidden="0"/>
    </xf>
    <xf numFmtId="0" fontId="18" fillId="2" borderId="57" applyAlignment="1" applyProtection="1" pivotButton="0" quotePrefix="0" xfId="0">
      <alignment horizontal="center" vertical="center"/>
      <protection locked="0" hidden="0"/>
    </xf>
    <xf numFmtId="0" fontId="7" fillId="2" borderId="56" applyAlignment="1" pivotButton="0" quotePrefix="0" xfId="1">
      <alignment horizontal="left" vertical="center" indent="1"/>
    </xf>
    <xf numFmtId="0" fontId="7" fillId="2" borderId="52" applyAlignment="1" pivotButton="0" quotePrefix="0" xfId="1">
      <alignment horizontal="left" vertical="center" indent="1"/>
    </xf>
    <xf numFmtId="0" fontId="18" fillId="2" borderId="11" applyAlignment="1" pivotButton="0" quotePrefix="0" xfId="0">
      <alignment horizontal="left" vertical="top"/>
    </xf>
    <xf numFmtId="0" fontId="18" fillId="2" borderId="25" applyAlignment="1" pivotButton="0" quotePrefix="0" xfId="0">
      <alignment horizontal="left" vertical="top"/>
    </xf>
    <xf numFmtId="0" fontId="4" fillId="0" borderId="11" applyAlignment="1" pivotButton="0" quotePrefix="1" xfId="1">
      <alignment horizontal="left" vertical="center"/>
    </xf>
    <xf numFmtId="0" fontId="4" fillId="0" borderId="25" applyAlignment="1" pivotButton="0" quotePrefix="1" xfId="1">
      <alignment horizontal="left" vertical="center"/>
    </xf>
    <xf numFmtId="0" fontId="7" fillId="0" borderId="56" applyAlignment="1" pivotButton="0" quotePrefix="0" xfId="1">
      <alignment horizontal="center"/>
    </xf>
    <xf numFmtId="0" fontId="7" fillId="0" borderId="57" applyAlignment="1" pivotButton="0" quotePrefix="0" xfId="1">
      <alignment horizontal="center"/>
    </xf>
    <xf numFmtId="0" fontId="4" fillId="0" borderId="25" applyAlignment="1" applyProtection="1" pivotButton="0" quotePrefix="0" xfId="1">
      <alignment horizontal="center" vertical="center"/>
      <protection locked="0" hidden="0"/>
    </xf>
    <xf numFmtId="0" fontId="4" fillId="0" borderId="9" applyAlignment="1" applyProtection="1" pivotButton="0" quotePrefix="0" xfId="1">
      <alignment horizontal="center" vertical="center"/>
      <protection locked="0" hidden="0"/>
    </xf>
    <xf numFmtId="0" fontId="7" fillId="0" borderId="52" applyAlignment="1" pivotButton="0" quotePrefix="0" xfId="1">
      <alignment horizontal="center" wrapText="1"/>
    </xf>
    <xf numFmtId="0" fontId="7" fillId="0" borderId="55" applyAlignment="1" pivotButton="0" quotePrefix="0" xfId="1">
      <alignment horizontal="center" wrapText="1"/>
    </xf>
    <xf numFmtId="0" fontId="6" fillId="2" borderId="6" applyAlignment="1" pivotButton="0" quotePrefix="0" xfId="1">
      <alignment horizontal="center" wrapText="1"/>
    </xf>
    <xf numFmtId="0" fontId="6" fillId="2" borderId="4" applyAlignment="1" pivotButton="0" quotePrefix="0" xfId="1">
      <alignment horizontal="center" wrapText="1"/>
    </xf>
    <xf numFmtId="0" fontId="6" fillId="2" borderId="8" applyAlignment="1" pivotButton="0" quotePrefix="0" xfId="1">
      <alignment horizontal="center" wrapText="1"/>
    </xf>
    <xf numFmtId="0" fontId="4" fillId="0" borderId="47" applyAlignment="1" pivotButton="0" quotePrefix="1" xfId="1">
      <alignment horizontal="left" vertical="center"/>
    </xf>
    <xf numFmtId="0" fontId="4" fillId="0" borderId="10" applyAlignment="1" pivotButton="0" quotePrefix="1" xfId="1">
      <alignment horizontal="left" vertical="center"/>
    </xf>
    <xf numFmtId="0" fontId="4" fillId="0" borderId="38" applyAlignment="1" applyProtection="1" pivotButton="0" quotePrefix="0" xfId="1">
      <alignment horizontal="center" vertical="center"/>
      <protection locked="0" hidden="0"/>
    </xf>
    <xf numFmtId="0" fontId="4" fillId="0" borderId="46" applyAlignment="1" applyProtection="1" pivotButton="0" quotePrefix="0" xfId="1">
      <alignment horizontal="center" vertical="center"/>
      <protection locked="0" hidden="0"/>
    </xf>
    <xf numFmtId="0" fontId="4" fillId="0" borderId="30" applyAlignment="1" pivotButton="0" quotePrefix="1" xfId="1">
      <alignment horizontal="left" vertical="center"/>
    </xf>
    <xf numFmtId="0" fontId="4" fillId="0" borderId="13" applyAlignment="1" pivotButton="0" quotePrefix="0" xfId="1">
      <alignment horizontal="left" vertical="center"/>
    </xf>
    <xf numFmtId="0" fontId="4" fillId="0" borderId="25" applyAlignment="1" pivotButton="0" quotePrefix="0" xfId="1">
      <alignment horizontal="left" vertical="center"/>
    </xf>
    <xf numFmtId="0" fontId="4" fillId="0" borderId="10" applyAlignment="1" applyProtection="1" pivotButton="0" quotePrefix="0" xfId="1">
      <alignment horizontal="center" vertical="center"/>
      <protection locked="0" hidden="0"/>
    </xf>
    <xf numFmtId="0" fontId="4" fillId="0" borderId="32" applyAlignment="1" applyProtection="1" pivotButton="0" quotePrefix="0" xfId="1">
      <alignment horizontal="center" vertical="center"/>
      <protection locked="0" hidden="0"/>
    </xf>
    <xf numFmtId="0" fontId="10" fillId="0" borderId="47" applyAlignment="1" pivotButton="0" quotePrefix="0" xfId="1">
      <alignment horizontal="left" vertical="center" wrapText="1" indent="1"/>
    </xf>
    <xf numFmtId="0" fontId="10" fillId="0" borderId="46" applyAlignment="1" pivotButton="0" quotePrefix="0" xfId="1">
      <alignment horizontal="left" vertical="center" wrapText="1" indent="1"/>
    </xf>
    <xf numFmtId="0" fontId="18" fillId="0" borderId="11" applyAlignment="1" pivotButton="0" quotePrefix="0" xfId="0">
      <alignment horizontal="left" vertical="top"/>
    </xf>
    <xf numFmtId="0" fontId="18" fillId="0" borderId="25" applyAlignment="1" pivotButton="0" quotePrefix="0" xfId="0">
      <alignment horizontal="left" vertical="top"/>
    </xf>
    <xf numFmtId="0" fontId="4" fillId="0" borderId="32" applyAlignment="1" pivotButton="0" quotePrefix="1" xfId="1">
      <alignment horizontal="left" vertical="center"/>
    </xf>
    <xf numFmtId="0" fontId="4" fillId="2" borderId="47" applyAlignment="1" pivotButton="0" quotePrefix="1" xfId="1">
      <alignment horizontal="left" vertical="center"/>
    </xf>
    <xf numFmtId="0" fontId="4" fillId="2" borderId="10" applyAlignment="1" pivotButton="0" quotePrefix="1" xfId="1">
      <alignment horizontal="left" vertical="center"/>
    </xf>
    <xf numFmtId="0" fontId="4" fillId="0" borderId="7" applyAlignment="1" applyProtection="1" pivotButton="0" quotePrefix="0" xfId="1">
      <alignment horizontal="center" vertical="center"/>
      <protection locked="0" hidden="0"/>
    </xf>
    <xf numFmtId="0" fontId="4" fillId="0" borderId="8" applyAlignment="1" applyProtection="1" pivotButton="0" quotePrefix="0" xfId="1">
      <alignment horizontal="center" vertical="center"/>
      <protection locked="0" hidden="0"/>
    </xf>
    <xf numFmtId="0" fontId="17" fillId="0" borderId="0" applyAlignment="1" pivotButton="0" quotePrefix="0" xfId="0">
      <alignment horizontal="left" vertical="center" indent="1"/>
    </xf>
    <xf numFmtId="0" fontId="4" fillId="2" borderId="60" applyAlignment="1" applyProtection="1" pivotButton="0" quotePrefix="0" xfId="1">
      <alignment horizontal="center" vertical="center"/>
      <protection locked="0" hidden="0"/>
    </xf>
    <xf numFmtId="0" fontId="4" fillId="2" borderId="58" applyAlignment="1" applyProtection="1" pivotButton="0" quotePrefix="0" xfId="1">
      <alignment horizontal="center" vertical="center"/>
      <protection locked="0" hidden="0"/>
    </xf>
    <xf numFmtId="0" fontId="7" fillId="2" borderId="11" applyAlignment="1" pivotButton="0" quotePrefix="0" xfId="1">
      <alignment horizontal="center" vertical="center"/>
    </xf>
    <xf numFmtId="0" fontId="7" fillId="2" borderId="9" applyAlignment="1" pivotButton="0" quotePrefix="0" xfId="1">
      <alignment horizontal="center" vertical="center"/>
    </xf>
    <xf numFmtId="0" fontId="34" fillId="2" borderId="47" applyAlignment="1" pivotButton="0" quotePrefix="0" xfId="0">
      <alignment horizontal="left" wrapText="1" indent="1"/>
    </xf>
    <xf numFmtId="0" fontId="34" fillId="2" borderId="46" applyAlignment="1" pivotButton="0" quotePrefix="0" xfId="0">
      <alignment horizontal="left" wrapText="1" indent="1"/>
    </xf>
    <xf numFmtId="0" fontId="9" fillId="0" borderId="56" applyAlignment="1" pivotButton="0" quotePrefix="0" xfId="1">
      <alignment horizontal="center" wrapText="1"/>
    </xf>
    <xf numFmtId="0" fontId="9" fillId="0" borderId="55" applyAlignment="1" pivotButton="0" quotePrefix="0" xfId="1">
      <alignment horizontal="center" wrapText="1"/>
    </xf>
    <xf numFmtId="0" fontId="4" fillId="2" borderId="13" applyAlignment="1" applyProtection="1" pivotButton="0" quotePrefix="0" xfId="1">
      <alignment horizontal="center" vertical="center"/>
      <protection locked="0" hidden="0"/>
    </xf>
    <xf numFmtId="0" fontId="4" fillId="2" borderId="14" applyAlignment="1" applyProtection="1" pivotButton="0" quotePrefix="0" xfId="1">
      <alignment horizontal="center" vertical="center"/>
      <protection locked="0" hidden="0"/>
    </xf>
    <xf numFmtId="0" fontId="4" fillId="2" borderId="20" applyAlignment="1" pivotButton="0" quotePrefix="0" xfId="1">
      <alignment horizontal="left" vertical="center" wrapText="1" indent="1"/>
    </xf>
    <xf numFmtId="0" fontId="4" fillId="2" borderId="21" applyAlignment="1" pivotButton="0" quotePrefix="0" xfId="1">
      <alignment horizontal="left" vertical="center" wrapText="1" indent="1"/>
    </xf>
    <xf numFmtId="0" fontId="4" fillId="2" borderId="32" applyAlignment="1" pivotButton="0" quotePrefix="0" xfId="1">
      <alignment horizontal="center" vertical="center"/>
    </xf>
    <xf numFmtId="0" fontId="7" fillId="2" borderId="54" applyAlignment="1" pivotButton="0" quotePrefix="0" xfId="1">
      <alignment horizontal="center"/>
    </xf>
    <xf numFmtId="0" fontId="7" fillId="2" borderId="52" applyAlignment="1" pivotButton="0" quotePrefix="0" xfId="1">
      <alignment horizontal="center"/>
    </xf>
    <xf numFmtId="0" fontId="7" fillId="2" borderId="55" applyAlignment="1" pivotButton="0" quotePrefix="0" xfId="1">
      <alignment horizontal="center"/>
    </xf>
    <xf numFmtId="0" fontId="4" fillId="0" borderId="38" applyAlignment="1" pivotButton="0" quotePrefix="1" xfId="1">
      <alignment horizontal="left" vertical="center"/>
    </xf>
    <xf numFmtId="0" fontId="7" fillId="0" borderId="60" applyAlignment="1" pivotButton="0" quotePrefix="0" xfId="1">
      <alignment horizontal="center" wrapText="1"/>
    </xf>
    <xf numFmtId="0" fontId="7" fillId="0" borderId="61" applyAlignment="1" pivotButton="0" quotePrefix="0" xfId="1">
      <alignment horizontal="center" wrapText="1"/>
    </xf>
    <xf numFmtId="0" fontId="4" fillId="2" borderId="59" applyAlignment="1" applyProtection="1" pivotButton="0" quotePrefix="0" xfId="1">
      <alignment horizontal="center" vertical="center"/>
      <protection locked="0" hidden="0"/>
    </xf>
    <xf numFmtId="0" fontId="4" fillId="2" borderId="7" applyAlignment="1" applyProtection="1" pivotButton="0" quotePrefix="0" xfId="1">
      <alignment horizontal="center" vertical="center"/>
      <protection locked="0" hidden="0"/>
    </xf>
    <xf numFmtId="0" fontId="7" fillId="2" borderId="30" applyAlignment="1" pivotButton="0" quotePrefix="0" xfId="1">
      <alignment horizontal="center" vertical="center"/>
    </xf>
    <xf numFmtId="0" fontId="7" fillId="2" borderId="14" applyAlignment="1" pivotButton="0" quotePrefix="0" xfId="1">
      <alignment horizontal="center" vertical="center"/>
    </xf>
    <xf numFmtId="0" fontId="4" fillId="0" borderId="24" applyAlignment="1" applyProtection="1" pivotButton="0" quotePrefix="0" xfId="1">
      <alignment horizontal="center" vertical="center"/>
      <protection locked="0" hidden="0"/>
    </xf>
    <xf numFmtId="0" fontId="4" fillId="0" borderId="23" applyAlignment="1" applyProtection="1" pivotButton="0" quotePrefix="0" xfId="1">
      <alignment horizontal="center" vertical="center"/>
      <protection locked="0" hidden="0"/>
    </xf>
    <xf numFmtId="0" fontId="4" fillId="0" borderId="48" applyAlignment="1" pivotButton="0" quotePrefix="0" xfId="1">
      <alignment vertical="center"/>
    </xf>
    <xf numFmtId="0" fontId="19" fillId="2" borderId="0" applyAlignment="1" pivotButton="0" quotePrefix="0" xfId="0">
      <alignment horizontal="left" vertical="center" wrapText="1" indent="2"/>
    </xf>
    <xf numFmtId="0" fontId="19" fillId="2" borderId="0" applyAlignment="1" pivotButton="0" quotePrefix="0" xfId="0">
      <alignment horizontal="left" vertical="center" indent="2"/>
    </xf>
    <xf numFmtId="0" fontId="4" fillId="0" borderId="20" applyAlignment="1" pivotButton="0" quotePrefix="1" xfId="1">
      <alignment horizontal="left" vertical="center"/>
    </xf>
    <xf numFmtId="0" fontId="4" fillId="0" borderId="22" applyAlignment="1" pivotButton="0" quotePrefix="0" xfId="1">
      <alignment horizontal="left" vertical="center"/>
    </xf>
    <xf numFmtId="0" fontId="6" fillId="2" borderId="7" applyAlignment="1" pivotButton="0" quotePrefix="0" xfId="1">
      <alignment horizontal="center" vertical="center" wrapText="1"/>
    </xf>
    <xf numFmtId="0" fontId="6" fillId="2" borderId="5" applyAlignment="1" pivotButton="0" quotePrefix="0" xfId="1">
      <alignment horizontal="center" vertical="center" wrapText="1"/>
    </xf>
    <xf numFmtId="0" fontId="4" fillId="2" borderId="54" applyAlignment="1" applyProtection="1" pivotButton="0" quotePrefix="0" xfId="1">
      <alignment horizontal="center" vertical="center"/>
      <protection locked="0" hidden="0"/>
    </xf>
    <xf numFmtId="0" fontId="4" fillId="2" borderId="52" applyAlignment="1" applyProtection="1" pivotButton="0" quotePrefix="0" xfId="1">
      <alignment horizontal="center" vertical="center"/>
      <protection locked="0" hidden="0"/>
    </xf>
    <xf numFmtId="0" fontId="4" fillId="2" borderId="57" applyAlignment="1" applyProtection="1" pivotButton="0" quotePrefix="0" xfId="1">
      <alignment horizontal="center" vertical="center"/>
      <protection locked="0" hidden="0"/>
    </xf>
    <xf numFmtId="0" fontId="7" fillId="0" borderId="50" applyAlignment="1" pivotButton="0" quotePrefix="0" xfId="1">
      <alignment horizontal="center"/>
    </xf>
    <xf numFmtId="0" fontId="7" fillId="0" borderId="49" applyAlignment="1" pivotButton="0" quotePrefix="0" xfId="1">
      <alignment horizontal="center"/>
    </xf>
    <xf numFmtId="0" fontId="7" fillId="0" borderId="51" applyAlignment="1" pivotButton="0" quotePrefix="0" xfId="1">
      <alignment horizontal="center"/>
    </xf>
    <xf numFmtId="0" fontId="7" fillId="0" borderId="44" applyAlignment="1" pivotButton="0" quotePrefix="0" xfId="1">
      <alignment horizontal="center"/>
    </xf>
    <xf numFmtId="0" fontId="4" fillId="0" borderId="0" applyAlignment="1" pivotButton="0" quotePrefix="0" xfId="1">
      <alignment horizontal="center" vertical="center"/>
    </xf>
    <xf numFmtId="0" fontId="4" fillId="0" borderId="13" applyAlignment="1" pivotButton="0" quotePrefix="1" xfId="1">
      <alignment horizontal="left" vertical="center"/>
    </xf>
    <xf numFmtId="0" fontId="4" fillId="0" borderId="22" applyAlignment="1" pivotButton="0" quotePrefix="1" xfId="1">
      <alignment horizontal="left" vertical="center"/>
    </xf>
    <xf numFmtId="0" fontId="18" fillId="0" borderId="47" applyAlignment="1" pivotButton="0" quotePrefix="0" xfId="0">
      <alignment horizontal="left"/>
    </xf>
    <xf numFmtId="0" fontId="18" fillId="0" borderId="10" applyAlignment="1" pivotButton="0" quotePrefix="0" xfId="0">
      <alignment horizontal="left"/>
    </xf>
    <xf numFmtId="0" fontId="18" fillId="0" borderId="30" applyAlignment="1" pivotButton="0" quotePrefix="0" xfId="0">
      <alignment horizontal="left" vertical="top"/>
    </xf>
    <xf numFmtId="0" fontId="18" fillId="0" borderId="13" applyAlignment="1" pivotButton="0" quotePrefix="0" xfId="0">
      <alignment horizontal="left" vertical="top"/>
    </xf>
    <xf numFmtId="0" fontId="4" fillId="0" borderId="59" applyAlignment="1" pivotButton="0" quotePrefix="1" xfId="1">
      <alignment horizontal="left" vertical="center"/>
    </xf>
    <xf numFmtId="0" fontId="4" fillId="0" borderId="7" applyAlignment="1" pivotButton="0" quotePrefix="1" xfId="1">
      <alignment horizontal="left" vertical="center"/>
    </xf>
    <xf numFmtId="0" fontId="18" fillId="0" borderId="59" pivotButton="0" quotePrefix="0" xfId="0"/>
    <xf numFmtId="0" fontId="18" fillId="0" borderId="7" pivotButton="0" quotePrefix="0" xfId="0"/>
    <xf numFmtId="0" fontId="4" fillId="0" borderId="11" applyAlignment="1" pivotButton="0" quotePrefix="0" xfId="1">
      <alignment horizontal="left" vertical="center" wrapText="1" indent="1"/>
    </xf>
    <xf numFmtId="0" fontId="4" fillId="0" borderId="25" applyAlignment="1" pivotButton="0" quotePrefix="0" xfId="1">
      <alignment horizontal="left" vertical="center" wrapText="1" indent="1"/>
    </xf>
    <xf numFmtId="0" fontId="4" fillId="0" borderId="32" applyAlignment="1" pivotButton="0" quotePrefix="0" xfId="1">
      <alignment horizontal="left" vertical="center" wrapText="1" indent="1"/>
    </xf>
    <xf numFmtId="0" fontId="20" fillId="0" borderId="60" applyAlignment="1" pivotButton="0" quotePrefix="0" xfId="0">
      <alignment horizontal="left" wrapText="1" indent="1"/>
    </xf>
    <xf numFmtId="0" fontId="20" fillId="0" borderId="58" applyAlignment="1" pivotButton="0" quotePrefix="0" xfId="0">
      <alignment horizontal="left" wrapText="1" indent="1"/>
    </xf>
    <xf numFmtId="0" fontId="20" fillId="0" borderId="54" applyAlignment="1" pivotButton="0" quotePrefix="0" xfId="0">
      <alignment horizontal="left" wrapText="1" indent="1"/>
    </xf>
    <xf numFmtId="0" fontId="18" fillId="0" borderId="30" applyAlignment="1" pivotButton="0" quotePrefix="0" xfId="0">
      <alignment horizontal="left" wrapText="1" indent="1"/>
    </xf>
    <xf numFmtId="0" fontId="18" fillId="0" borderId="13" applyAlignment="1" pivotButton="0" quotePrefix="0" xfId="0">
      <alignment horizontal="left" wrapText="1" indent="1"/>
    </xf>
    <xf numFmtId="0" fontId="18" fillId="0" borderId="31" applyAlignment="1" pivotButton="0" quotePrefix="0" xfId="0">
      <alignment horizontal="left" wrapText="1" indent="1"/>
    </xf>
    <xf numFmtId="0" fontId="18" fillId="0" borderId="11" applyAlignment="1" pivotButton="0" quotePrefix="0" xfId="0">
      <alignment horizontal="left" wrapText="1" indent="1"/>
    </xf>
    <xf numFmtId="0" fontId="18" fillId="0" borderId="25" applyAlignment="1" pivotButton="0" quotePrefix="0" xfId="0">
      <alignment horizontal="left" wrapText="1" indent="1"/>
    </xf>
    <xf numFmtId="0" fontId="18" fillId="0" borderId="32" applyAlignment="1" pivotButton="0" quotePrefix="0" xfId="0">
      <alignment horizontal="left" wrapText="1" indent="1"/>
    </xf>
    <xf numFmtId="0" fontId="18" fillId="0" borderId="45" applyAlignment="1" applyProtection="1" pivotButton="0" quotePrefix="0" xfId="0">
      <alignment horizontal="center" vertical="center"/>
      <protection locked="0" hidden="0"/>
    </xf>
    <xf numFmtId="0" fontId="18" fillId="0" borderId="28" applyAlignment="1" applyProtection="1" pivotButton="0" quotePrefix="0" xfId="0">
      <alignment horizontal="center" vertical="center"/>
      <protection locked="0" hidden="0"/>
    </xf>
    <xf numFmtId="0" fontId="18" fillId="0" borderId="34" applyAlignment="1" applyProtection="1" pivotButton="0" quotePrefix="0" xfId="0">
      <alignment horizontal="center" vertical="center"/>
      <protection locked="0" hidden="0"/>
    </xf>
    <xf numFmtId="0" fontId="18" fillId="0" borderId="20" applyAlignment="1" pivotButton="0" quotePrefix="0" xfId="0">
      <alignment horizontal="left" wrapText="1" indent="1"/>
    </xf>
    <xf numFmtId="0" fontId="18" fillId="0" borderId="22" applyAlignment="1" pivotButton="0" quotePrefix="0" xfId="0">
      <alignment horizontal="left" wrapText="1" indent="1"/>
    </xf>
    <xf numFmtId="0" fontId="18" fillId="0" borderId="21" applyAlignment="1" pivotButton="0" quotePrefix="0" xfId="0">
      <alignment horizontal="left" wrapText="1" indent="1"/>
    </xf>
    <xf numFmtId="0" fontId="19" fillId="0" borderId="6" applyAlignment="1" pivotButton="0" quotePrefix="0" xfId="0">
      <alignment horizontal="left" wrapText="1" indent="1"/>
    </xf>
    <xf numFmtId="0" fontId="19" fillId="0" borderId="4" applyAlignment="1" pivotButton="0" quotePrefix="0" xfId="0">
      <alignment horizontal="left" wrapText="1" indent="1"/>
    </xf>
    <xf numFmtId="0" fontId="19" fillId="0" borderId="5" applyAlignment="1" pivotButton="0" quotePrefix="0" xfId="0">
      <alignment horizontal="left" wrapText="1" indent="1"/>
    </xf>
    <xf numFmtId="0" fontId="19" fillId="0" borderId="3" applyAlignment="1" pivotButton="0" quotePrefix="0" xfId="0">
      <alignment horizontal="left" wrapText="1" indent="1"/>
    </xf>
    <xf numFmtId="0" fontId="19" fillId="0" borderId="1" applyAlignment="1" pivotButton="0" quotePrefix="0" xfId="0">
      <alignment horizontal="left" wrapText="1" indent="1"/>
    </xf>
    <xf numFmtId="0" fontId="19" fillId="0" borderId="2" applyAlignment="1" pivotButton="0" quotePrefix="0" xfId="0">
      <alignment horizontal="left" wrapText="1" indent="1"/>
    </xf>
    <xf numFmtId="0" fontId="4" fillId="0" borderId="6" applyAlignment="1" pivotButton="0" quotePrefix="0" xfId="1">
      <alignment horizontal="left" vertical="center" wrapText="1" indent="1"/>
    </xf>
    <xf numFmtId="0" fontId="4" fillId="0" borderId="4" applyAlignment="1" pivotButton="0" quotePrefix="0" xfId="1">
      <alignment horizontal="left" vertical="center" wrapText="1" indent="1"/>
    </xf>
    <xf numFmtId="0" fontId="4" fillId="0" borderId="8" applyAlignment="1" pivotButton="0" quotePrefix="0" xfId="1">
      <alignment horizontal="left" vertical="center" wrapText="1" indent="1"/>
    </xf>
    <xf numFmtId="0" fontId="20" fillId="0" borderId="60" applyAlignment="1" pivotButton="0" quotePrefix="0" xfId="0">
      <alignment horizontal="center"/>
    </xf>
    <xf numFmtId="0" fontId="20" fillId="0" borderId="58" applyAlignment="1" pivotButton="0" quotePrefix="0" xfId="0">
      <alignment horizontal="center"/>
    </xf>
    <xf numFmtId="0" fontId="7" fillId="0" borderId="60" applyAlignment="1" pivotButton="0" quotePrefix="0" xfId="1">
      <alignment horizontal="center"/>
    </xf>
    <xf numFmtId="0" fontId="7" fillId="0" borderId="58" applyAlignment="1" pivotButton="0" quotePrefix="0" xfId="1">
      <alignment horizontal="center"/>
    </xf>
    <xf numFmtId="0" fontId="38" fillId="0" borderId="0" applyAlignment="1" pivotButton="0" quotePrefix="0" xfId="0">
      <alignment horizontal="center" wrapText="1"/>
    </xf>
    <xf numFmtId="14" fontId="16" fillId="0" borderId="36" applyAlignment="1" pivotButton="0" quotePrefix="0" xfId="0">
      <alignment horizontal="center"/>
    </xf>
    <xf numFmtId="0" fontId="16" fillId="0" borderId="36" applyAlignment="1" pivotButton="0" quotePrefix="0" xfId="0">
      <alignment horizontal="center"/>
    </xf>
    <xf numFmtId="0" fontId="25" fillId="5" borderId="0" applyAlignment="1" pivotButton="0" quotePrefix="0" xfId="0">
      <alignment horizontal="left" wrapText="1"/>
    </xf>
    <xf numFmtId="0" fontId="20" fillId="0" borderId="52" applyAlignment="1" pivotButton="0" quotePrefix="0" xfId="0">
      <alignment horizontal="center"/>
    </xf>
    <xf numFmtId="0" fontId="20" fillId="0" borderId="55" applyAlignment="1" pivotButton="0" quotePrefix="0" xfId="0">
      <alignment horizontal="center"/>
    </xf>
    <xf numFmtId="0" fontId="20" fillId="2" borderId="56" applyAlignment="1" pivotButton="0" quotePrefix="0" xfId="0">
      <alignment horizontal="center"/>
    </xf>
    <xf numFmtId="0" fontId="20" fillId="2" borderId="52" applyAlignment="1" pivotButton="0" quotePrefix="0" xfId="0">
      <alignment horizontal="center"/>
    </xf>
    <xf numFmtId="0" fontId="20" fillId="2" borderId="55" applyAlignment="1" pivotButton="0" quotePrefix="0" xfId="0">
      <alignment horizontal="center"/>
    </xf>
    <xf numFmtId="0" fontId="18" fillId="2" borderId="10" applyAlignment="1" applyProtection="1" pivotButton="0" quotePrefix="0" xfId="0">
      <alignment horizontal="center"/>
      <protection locked="0" hidden="0"/>
    </xf>
    <xf numFmtId="0" fontId="18" fillId="2" borderId="25" applyAlignment="1" applyProtection="1" pivotButton="0" quotePrefix="0" xfId="0">
      <alignment horizontal="center"/>
      <protection locked="0" hidden="0"/>
    </xf>
    <xf numFmtId="0" fontId="18" fillId="2" borderId="9" applyAlignment="1" applyProtection="1" pivotButton="0" quotePrefix="0" xfId="0">
      <alignment horizontal="center"/>
      <protection locked="0" hidden="0"/>
    </xf>
    <xf numFmtId="0" fontId="18" fillId="2" borderId="11" applyAlignment="1" pivotButton="0" quotePrefix="0" xfId="0">
      <alignment horizontal="left" indent="1"/>
    </xf>
    <xf numFmtId="0" fontId="18" fillId="2" borderId="25" applyAlignment="1" pivotButton="0" quotePrefix="0" xfId="0">
      <alignment horizontal="left" indent="1"/>
    </xf>
    <xf numFmtId="0" fontId="18" fillId="2" borderId="9" applyAlignment="1" pivotButton="0" quotePrefix="0" xfId="0">
      <alignment horizontal="left" indent="1"/>
    </xf>
    <xf numFmtId="0" fontId="18" fillId="0" borderId="37" applyAlignment="1" applyProtection="1" pivotButton="0" quotePrefix="0" xfId="0">
      <alignment horizontal="center" vertical="center"/>
      <protection locked="0" hidden="0"/>
    </xf>
    <xf numFmtId="0" fontId="18" fillId="0" borderId="33" applyAlignment="1" applyProtection="1" pivotButton="0" quotePrefix="0" xfId="0">
      <alignment horizontal="center" vertical="center"/>
      <protection locked="0" hidden="0"/>
    </xf>
    <xf numFmtId="0" fontId="18" fillId="2" borderId="47" applyAlignment="1" pivotButton="0" quotePrefix="0" xfId="0">
      <alignment horizontal="center"/>
    </xf>
    <xf numFmtId="0" fontId="18" fillId="2" borderId="38" applyAlignment="1" pivotButton="0" quotePrefix="0" xfId="0">
      <alignment horizontal="center"/>
    </xf>
    <xf numFmtId="0" fontId="18" fillId="2" borderId="46" applyAlignment="1" pivotButton="0" quotePrefix="0" xfId="0">
      <alignment horizontal="center"/>
    </xf>
    <xf numFmtId="0" fontId="18" fillId="2" borderId="37" applyAlignment="1" applyProtection="1" pivotButton="0" quotePrefix="0" xfId="0">
      <alignment horizontal="center"/>
      <protection locked="0" hidden="0"/>
    </xf>
    <xf numFmtId="0" fontId="18" fillId="2" borderId="33" applyAlignment="1" applyProtection="1" pivotButton="0" quotePrefix="0" xfId="0">
      <alignment horizontal="center"/>
      <protection locked="0" hidden="0"/>
    </xf>
    <xf numFmtId="0" fontId="16" fillId="0" borderId="36" applyAlignment="1" applyProtection="1" pivotButton="0" quotePrefix="0" xfId="0">
      <alignment horizontal="left"/>
      <protection locked="0" hidden="0"/>
    </xf>
    <xf numFmtId="0" fontId="4" fillId="2" borderId="45" applyAlignment="1" pivotButton="0" quotePrefix="0" xfId="1">
      <alignment horizontal="left" vertical="center" wrapText="1" indent="2"/>
    </xf>
    <xf numFmtId="0" fontId="4" fillId="2" borderId="28" applyAlignment="1" pivotButton="0" quotePrefix="0" xfId="1">
      <alignment horizontal="left" vertical="center" wrapText="1" indent="2"/>
    </xf>
    <xf numFmtId="0" fontId="4" fillId="2" borderId="34" applyAlignment="1" pivotButton="0" quotePrefix="0" xfId="1">
      <alignment horizontal="left" vertical="center" wrapText="1" indent="2"/>
    </xf>
    <xf numFmtId="0" fontId="18" fillId="2" borderId="41" applyAlignment="1" pivotButton="0" quotePrefix="0" xfId="0">
      <alignment horizontal="center"/>
    </xf>
    <xf numFmtId="0" fontId="18" fillId="2" borderId="18" applyAlignment="1" pivotButton="0" quotePrefix="0" xfId="0">
      <alignment horizontal="center"/>
    </xf>
    <xf numFmtId="0" fontId="18" fillId="2" borderId="39" applyAlignment="1" pivotButton="0" quotePrefix="0" xfId="0">
      <alignment horizontal="center"/>
    </xf>
    <xf numFmtId="0" fontId="18" fillId="2" borderId="51" applyAlignment="1" pivotButton="0" quotePrefix="0" xfId="0">
      <alignment horizontal="center"/>
    </xf>
    <xf numFmtId="0" fontId="18" fillId="2" borderId="26" applyAlignment="1" pivotButton="0" quotePrefix="0" xfId="0">
      <alignment horizontal="center"/>
    </xf>
    <xf numFmtId="0" fontId="18" fillId="2" borderId="44" applyAlignment="1" pivotButton="0" quotePrefix="0" xfId="0">
      <alignment horizontal="center"/>
    </xf>
    <xf numFmtId="0" fontId="18" fillId="2" borderId="47" applyAlignment="1" pivotButton="0" quotePrefix="0" xfId="0">
      <alignment horizontal="left" wrapText="1" indent="1"/>
    </xf>
    <xf numFmtId="0" fontId="18" fillId="2" borderId="38" applyAlignment="1" pivotButton="0" quotePrefix="0" xfId="0">
      <alignment horizontal="left" wrapText="1" indent="1"/>
    </xf>
    <xf numFmtId="0" fontId="18" fillId="2" borderId="39" applyAlignment="1" pivotButton="0" quotePrefix="0" xfId="0">
      <alignment horizontal="left" wrapText="1" indent="1"/>
    </xf>
    <xf numFmtId="0" fontId="20" fillId="2" borderId="45" applyAlignment="1" pivotButton="0" quotePrefix="0" xfId="0">
      <alignment horizontal="left" vertical="center" wrapText="1"/>
    </xf>
    <xf numFmtId="0" fontId="20" fillId="2" borderId="28" applyAlignment="1" pivotButton="0" quotePrefix="0" xfId="0">
      <alignment horizontal="left" vertical="center" wrapText="1"/>
    </xf>
    <xf numFmtId="0" fontId="20" fillId="2" borderId="34" applyAlignment="1" pivotButton="0" quotePrefix="0" xfId="0">
      <alignment horizontal="left" vertical="center" wrapText="1"/>
    </xf>
    <xf numFmtId="0" fontId="8" fillId="2" borderId="0" applyAlignment="1" pivotButton="0" quotePrefix="0" xfId="0">
      <alignment horizontal="left" vertical="center" indent="2"/>
    </xf>
    <xf numFmtId="0" fontId="4" fillId="2" borderId="46" applyAlignment="1" applyProtection="1" pivotButton="0" quotePrefix="0" xfId="1">
      <alignment horizontal="center" vertical="center"/>
      <protection locked="0" hidden="0"/>
    </xf>
    <xf numFmtId="0" fontId="4" fillId="2" borderId="22" applyAlignment="1" applyProtection="1" pivotButton="0" quotePrefix="0" xfId="1">
      <alignment horizontal="center" vertical="center"/>
      <protection locked="0" hidden="0"/>
    </xf>
    <xf numFmtId="0" fontId="4" fillId="2" borderId="21" applyAlignment="1" applyProtection="1" pivotButton="0" quotePrefix="0" xfId="1">
      <alignment horizontal="center" vertical="center"/>
      <protection locked="0" hidden="0"/>
    </xf>
    <xf numFmtId="0" fontId="4" fillId="2" borderId="45" applyAlignment="1" applyProtection="1" pivotButton="0" quotePrefix="0" xfId="1">
      <alignment horizontal="center" vertical="center"/>
      <protection locked="0" hidden="0"/>
    </xf>
    <xf numFmtId="0" fontId="4" fillId="2" borderId="24" applyAlignment="1" applyProtection="1" pivotButton="0" quotePrefix="0" xfId="1">
      <alignment horizontal="center" vertical="center"/>
      <protection locked="0" hidden="0"/>
    </xf>
    <xf numFmtId="0" fontId="34" fillId="0" borderId="51" applyAlignment="1" pivotButton="0" quotePrefix="0" xfId="0">
      <alignment horizontal="left" wrapText="1" indent="1"/>
    </xf>
    <xf numFmtId="0" fontId="34" fillId="0" borderId="44" applyAlignment="1" pivotButton="0" quotePrefix="0" xfId="0">
      <alignment horizontal="left" wrapText="1" indent="1"/>
    </xf>
    <xf numFmtId="0" fontId="7" fillId="0" borderId="56" applyAlignment="1" pivotButton="0" quotePrefix="0" xfId="1">
      <alignment horizontal="left" vertical="center" indent="1"/>
    </xf>
    <xf numFmtId="0" fontId="7" fillId="0" borderId="55" applyAlignment="1" pivotButton="0" quotePrefix="0" xfId="1">
      <alignment horizontal="left" vertical="center" indent="1"/>
    </xf>
    <xf numFmtId="0" fontId="7" fillId="2" borderId="56" applyAlignment="1" pivotButton="0" quotePrefix="0" xfId="1">
      <alignment horizontal="center" vertical="center"/>
    </xf>
    <xf numFmtId="0" fontId="7" fillId="2" borderId="57" applyAlignment="1" pivotButton="0" quotePrefix="0" xfId="1">
      <alignment horizontal="center" vertical="center"/>
    </xf>
    <xf numFmtId="0" fontId="7" fillId="2" borderId="70" applyAlignment="1" pivotButton="0" quotePrefix="0" xfId="1">
      <alignment horizontal="center" vertical="center"/>
    </xf>
    <xf numFmtId="0" fontId="7" fillId="2" borderId="20" applyAlignment="1" pivotButton="0" quotePrefix="0" xfId="1">
      <alignment horizontal="center" vertical="center"/>
    </xf>
    <xf numFmtId="0" fontId="7" fillId="2" borderId="23" applyAlignment="1" pivotButton="0" quotePrefix="0" xfId="1">
      <alignment horizontal="center" vertical="center"/>
    </xf>
    <xf numFmtId="0" fontId="4" fillId="0" borderId="4" applyAlignment="1" applyProtection="1" pivotButton="0" quotePrefix="0" xfId="1">
      <alignment horizontal="center" vertical="center"/>
      <protection locked="0" hidden="0"/>
    </xf>
    <xf numFmtId="0" fontId="4" fillId="0" borderId="45" applyAlignment="1" pivotButton="0" quotePrefix="1" xfId="1">
      <alignment horizontal="left" vertical="center"/>
    </xf>
    <xf numFmtId="0" fontId="4" fillId="0" borderId="24" applyAlignment="1" pivotButton="0" quotePrefix="1" xfId="1">
      <alignment horizontal="left" vertical="center"/>
    </xf>
    <xf numFmtId="0" fontId="20" fillId="2" borderId="60" applyAlignment="1" pivotButton="0" quotePrefix="0" xfId="0">
      <alignment horizontal="center"/>
    </xf>
    <xf numFmtId="0" fontId="20" fillId="2" borderId="58" applyAlignment="1" pivotButton="0" quotePrefix="0" xfId="0">
      <alignment horizontal="center"/>
    </xf>
    <xf numFmtId="0" fontId="20" fillId="2" borderId="61" applyAlignment="1" pivotButton="0" quotePrefix="0" xfId="0">
      <alignment horizontal="center"/>
    </xf>
    <xf numFmtId="0" fontId="18" fillId="2" borderId="32" applyAlignment="1" pivotButton="0" quotePrefix="0" xfId="0">
      <alignment horizontal="left" indent="1"/>
    </xf>
    <xf numFmtId="0" fontId="18" fillId="2" borderId="11" applyAlignment="1" applyProtection="1" pivotButton="0" quotePrefix="0" xfId="0">
      <alignment horizontal="center"/>
      <protection locked="0" hidden="0"/>
    </xf>
    <xf numFmtId="0" fontId="19" fillId="2" borderId="50" applyAlignment="1" pivotButton="0" quotePrefix="0" xfId="0">
      <alignment horizontal="center"/>
    </xf>
    <xf numFmtId="0" fontId="19" fillId="2" borderId="48" applyAlignment="1" pivotButton="0" quotePrefix="0" xfId="0">
      <alignment horizontal="center"/>
    </xf>
    <xf numFmtId="0" fontId="19" fillId="2" borderId="49" applyAlignment="1" pivotButton="0" quotePrefix="0" xfId="0">
      <alignment horizontal="center"/>
    </xf>
    <xf numFmtId="0" fontId="18" fillId="0" borderId="59" applyAlignment="1" applyProtection="1" pivotButton="0" quotePrefix="0" xfId="0">
      <alignment horizontal="center"/>
      <protection locked="0" hidden="0"/>
    </xf>
    <xf numFmtId="0" fontId="18" fillId="0" borderId="37" applyAlignment="1" applyProtection="1" pivotButton="0" quotePrefix="0" xfId="0">
      <alignment horizontal="center"/>
      <protection locked="0" hidden="0"/>
    </xf>
    <xf numFmtId="0" fontId="18" fillId="0" borderId="33" applyAlignment="1" applyProtection="1" pivotButton="0" quotePrefix="0" xfId="0">
      <alignment horizontal="center"/>
      <protection locked="0" hidden="0"/>
    </xf>
    <xf numFmtId="0" fontId="18" fillId="0" borderId="45" applyAlignment="1" applyProtection="1" pivotButton="0" quotePrefix="0" xfId="0">
      <alignment horizontal="center"/>
      <protection locked="0" hidden="0"/>
    </xf>
    <xf numFmtId="0" fontId="18" fillId="0" borderId="28" applyAlignment="1" applyProtection="1" pivotButton="0" quotePrefix="0" xfId="0">
      <alignment horizontal="center"/>
      <protection locked="0" hidden="0"/>
    </xf>
    <xf numFmtId="0" fontId="18" fillId="0" borderId="34" applyAlignment="1" applyProtection="1" pivotButton="0" quotePrefix="0" xfId="0">
      <alignment horizontal="center"/>
      <protection locked="0" hidden="0"/>
    </xf>
    <xf numFmtId="0" fontId="18" fillId="0" borderId="3" applyAlignment="1" pivotButton="0" quotePrefix="0" xfId="0">
      <alignment horizontal="left" wrapText="1" indent="1"/>
    </xf>
    <xf numFmtId="0" fontId="18" fillId="0" borderId="1" applyAlignment="1" pivotButton="0" quotePrefix="0" xfId="0">
      <alignment horizontal="left" wrapText="1" indent="1"/>
    </xf>
    <xf numFmtId="0" fontId="18" fillId="0" borderId="2" applyAlignment="1" pivotButton="0" quotePrefix="0" xfId="0">
      <alignment horizontal="left" wrapText="1" indent="1"/>
    </xf>
    <xf numFmtId="0" fontId="6" fillId="2" borderId="59" applyAlignment="1" pivotButton="0" quotePrefix="0" xfId="1">
      <alignment horizontal="center" vertical="center" wrapText="1"/>
    </xf>
    <xf numFmtId="0" fontId="6" fillId="2" borderId="33" applyAlignment="1" pivotButton="0" quotePrefix="0" xfId="1">
      <alignment horizontal="center" vertical="center" wrapText="1"/>
    </xf>
    <xf numFmtId="0" fontId="6" fillId="2" borderId="6" applyAlignment="1" pivotButton="0" quotePrefix="0" xfId="1">
      <alignment horizontal="center" vertical="center" wrapText="1"/>
    </xf>
    <xf numFmtId="0" fontId="6" fillId="2" borderId="8" applyAlignment="1" pivotButton="0" quotePrefix="0" xfId="1">
      <alignment horizontal="center" vertical="center" wrapText="1"/>
    </xf>
    <xf numFmtId="0" fontId="18" fillId="0" borderId="47" applyAlignment="1" applyProtection="1" pivotButton="0" quotePrefix="0" xfId="0">
      <alignment horizontal="center"/>
      <protection locked="0" hidden="0"/>
    </xf>
    <xf numFmtId="0" fontId="18" fillId="0" borderId="38" applyAlignment="1" applyProtection="1" pivotButton="0" quotePrefix="0" xfId="0">
      <alignment horizontal="center"/>
      <protection locked="0" hidden="0"/>
    </xf>
    <xf numFmtId="0" fontId="18" fillId="0" borderId="46" applyAlignment="1" applyProtection="1" pivotButton="0" quotePrefix="0" xfId="0">
      <alignment horizontal="center"/>
      <protection locked="0" hidden="0"/>
    </xf>
    <xf numFmtId="0" fontId="4" fillId="0" borderId="41" applyAlignment="1" pivotButton="0" quotePrefix="1" xfId="1">
      <alignment horizontal="left" vertical="center"/>
    </xf>
    <xf numFmtId="0" fontId="4" fillId="0" borderId="18" applyAlignment="1" pivotButton="0" quotePrefix="1" xfId="1">
      <alignment horizontal="left" vertical="center"/>
    </xf>
    <xf numFmtId="0" fontId="4" fillId="0" borderId="22" applyAlignment="1" applyProtection="1" pivotButton="0" quotePrefix="0" xfId="1">
      <alignment horizontal="center" vertical="center"/>
      <protection locked="0" hidden="0"/>
    </xf>
    <xf numFmtId="0" fontId="4" fillId="0" borderId="11" applyAlignment="1" pivotButton="0" quotePrefix="0" xfId="1">
      <alignment horizontal="left" vertical="center" indent="1"/>
    </xf>
    <xf numFmtId="0" fontId="4" fillId="0" borderId="25" applyAlignment="1" pivotButton="0" quotePrefix="0" xfId="1">
      <alignment horizontal="left" vertical="center" indent="1"/>
    </xf>
    <xf numFmtId="0" fontId="4" fillId="0" borderId="32" applyAlignment="1" pivotButton="0" quotePrefix="0" xfId="1">
      <alignment horizontal="left" vertical="center" indent="1"/>
    </xf>
    <xf numFmtId="0" fontId="4" fillId="2" borderId="38" applyAlignment="1" applyProtection="1" pivotButton="0" quotePrefix="0" xfId="1">
      <alignment horizontal="center" vertical="center"/>
      <protection locked="0" hidden="0"/>
    </xf>
    <xf numFmtId="0" fontId="7" fillId="2" borderId="50" applyAlignment="1" pivotButton="0" quotePrefix="0" xfId="1">
      <alignment horizontal="center" vertical="center" wrapText="1"/>
    </xf>
    <xf numFmtId="0" fontId="7" fillId="2" borderId="48" applyAlignment="1" pivotButton="0" quotePrefix="0" xfId="1">
      <alignment horizontal="center" vertical="center" wrapText="1"/>
    </xf>
    <xf numFmtId="0" fontId="7" fillId="2" borderId="49" applyAlignment="1" pivotButton="0" quotePrefix="0" xfId="1">
      <alignment horizontal="center" vertical="center" wrapText="1"/>
    </xf>
    <xf numFmtId="0" fontId="7" fillId="2" borderId="51" applyAlignment="1" pivotButton="0" quotePrefix="0" xfId="1">
      <alignment horizontal="center" vertical="center" wrapText="1"/>
    </xf>
    <xf numFmtId="0" fontId="7" fillId="2" borderId="26" applyAlignment="1" pivotButton="0" quotePrefix="0" xfId="1">
      <alignment horizontal="center" vertical="center" wrapText="1"/>
    </xf>
    <xf numFmtId="0" fontId="7" fillId="2" borderId="44" applyAlignment="1" pivotButton="0" quotePrefix="0" xfId="1">
      <alignment horizontal="center" vertical="center" wrapText="1"/>
    </xf>
    <xf numFmtId="0" fontId="7" fillId="2" borderId="7" applyAlignment="1" pivotButton="0" quotePrefix="0" xfId="1">
      <alignment horizontal="center" wrapText="1"/>
    </xf>
    <xf numFmtId="0" fontId="7" fillId="2" borderId="4" applyAlignment="1" pivotButton="0" quotePrefix="0" xfId="1">
      <alignment horizontal="center" wrapText="1"/>
    </xf>
    <xf numFmtId="0" fontId="7" fillId="2" borderId="8" applyAlignment="1" pivotButton="0" quotePrefix="0" xfId="1">
      <alignment horizontal="center" wrapText="1"/>
    </xf>
    <xf numFmtId="0" fontId="7" fillId="2" borderId="24" applyAlignment="1" pivotButton="0" quotePrefix="0" xfId="1">
      <alignment horizontal="center" wrapText="1"/>
    </xf>
    <xf numFmtId="0" fontId="7" fillId="2" borderId="22" applyAlignment="1" pivotButton="0" quotePrefix="0" xfId="1">
      <alignment horizontal="center" wrapText="1"/>
    </xf>
    <xf numFmtId="0" fontId="7" fillId="2" borderId="13" applyAlignment="1" pivotButton="0" quotePrefix="0" xfId="1">
      <alignment horizontal="center" vertical="center"/>
    </xf>
    <xf numFmtId="0" fontId="7" fillId="0" borderId="61" applyAlignment="1" pivotButton="0" quotePrefix="0" xfId="1">
      <alignment horizontal="center" vertical="center" wrapText="1"/>
    </xf>
    <xf numFmtId="0" fontId="4" fillId="0" borderId="30" applyAlignment="1" pivotButton="0" quotePrefix="0" xfId="1">
      <alignment horizontal="left" vertical="center" indent="1"/>
    </xf>
    <xf numFmtId="0" fontId="4" fillId="0" borderId="13" applyAlignment="1" pivotButton="0" quotePrefix="0" xfId="1">
      <alignment horizontal="left" vertical="center" indent="1"/>
    </xf>
    <xf numFmtId="0" fontId="4" fillId="0" borderId="31" applyAlignment="1" pivotButton="0" quotePrefix="0" xfId="1">
      <alignment horizontal="left" vertical="center" indent="1"/>
    </xf>
    <xf numFmtId="0" fontId="4" fillId="2" borderId="37" applyAlignment="1" applyProtection="1" pivotButton="0" quotePrefix="0" xfId="1">
      <alignment horizontal="center" vertical="center"/>
      <protection locked="0" hidden="0"/>
    </xf>
    <xf numFmtId="0" fontId="4" fillId="2" borderId="31" applyAlignment="1" applyProtection="1" pivotButton="0" quotePrefix="0" xfId="1">
      <alignment horizontal="center" vertical="center"/>
      <protection locked="0" hidden="0"/>
    </xf>
    <xf numFmtId="0" fontId="7" fillId="0" borderId="70" applyAlignment="1" pivotButton="0" quotePrefix="0" xfId="1">
      <alignment horizontal="left" vertical="center" indent="1"/>
    </xf>
    <xf numFmtId="0" fontId="7" fillId="0" borderId="29" applyAlignment="1" pivotButton="0" quotePrefix="0" xfId="1">
      <alignment horizontal="left" vertical="center" indent="1"/>
    </xf>
    <xf numFmtId="0" fontId="7" fillId="0" borderId="43" applyAlignment="1" pivotButton="0" quotePrefix="0" xfId="1">
      <alignment horizontal="left" vertical="center" indent="1"/>
    </xf>
    <xf numFmtId="0" fontId="7" fillId="2" borderId="52" applyAlignment="1" pivotButton="0" quotePrefix="0" xfId="1">
      <alignment horizontal="center" vertical="center"/>
    </xf>
    <xf numFmtId="0" fontId="4" fillId="0" borderId="20" applyAlignment="1" pivotButton="0" quotePrefix="0" xfId="1">
      <alignment horizontal="left" vertical="center" indent="1"/>
    </xf>
    <xf numFmtId="0" fontId="4" fillId="0" borderId="22" applyAlignment="1" pivotButton="0" quotePrefix="0" xfId="1">
      <alignment horizontal="left" vertical="center" indent="1"/>
    </xf>
    <xf numFmtId="0" fontId="4" fillId="0" borderId="21" applyAlignment="1" pivotButton="0" quotePrefix="0" xfId="1">
      <alignment horizontal="left" vertical="center" indent="1"/>
    </xf>
    <xf numFmtId="0" fontId="4" fillId="2" borderId="28" applyAlignment="1" applyProtection="1" pivotButton="0" quotePrefix="0" xfId="1">
      <alignment horizontal="center" vertical="center"/>
      <protection locked="0" hidden="0"/>
    </xf>
    <xf numFmtId="0" fontId="7" fillId="2" borderId="67" applyAlignment="1" pivotButton="0" quotePrefix="0" xfId="1">
      <alignment horizontal="center" vertical="center"/>
    </xf>
    <xf numFmtId="0" fontId="7" fillId="2" borderId="68" applyAlignment="1" pivotButton="0" quotePrefix="0" xfId="1">
      <alignment horizontal="center" vertical="center"/>
    </xf>
    <xf numFmtId="0" fontId="7" fillId="2" borderId="17" applyAlignment="1" pivotButton="0" quotePrefix="0" xfId="1">
      <alignment horizontal="center" vertical="center"/>
    </xf>
    <xf numFmtId="0" fontId="7" fillId="0" borderId="56" applyAlignment="1" pivotButton="0" quotePrefix="0" xfId="1">
      <alignment horizontal="center" vertical="center"/>
    </xf>
    <xf numFmtId="0" fontId="7" fillId="0" borderId="52" applyAlignment="1" pivotButton="0" quotePrefix="0" xfId="1">
      <alignment horizontal="center" vertical="center"/>
    </xf>
    <xf numFmtId="0" fontId="7" fillId="0" borderId="57" applyAlignment="1" pivotButton="0" quotePrefix="0" xfId="1">
      <alignment horizontal="center" vertical="center"/>
    </xf>
    <xf numFmtId="0" fontId="7" fillId="0" borderId="58" applyAlignment="1" pivotButton="0" quotePrefix="0" xfId="1">
      <alignment horizontal="center" vertical="center"/>
    </xf>
    <xf numFmtId="0" fontId="7" fillId="0" borderId="54" applyAlignment="1" pivotButton="0" quotePrefix="0" xfId="1">
      <alignment horizontal="center" vertical="center"/>
    </xf>
    <xf numFmtId="0" fontId="4" fillId="0" borderId="47" applyAlignment="1" pivotButton="0" quotePrefix="0" xfId="1">
      <alignment horizontal="left" vertical="center" indent="1"/>
    </xf>
    <xf numFmtId="0" fontId="4" fillId="0" borderId="38" applyAlignment="1" pivotButton="0" quotePrefix="0" xfId="1">
      <alignment horizontal="left" vertical="center" indent="1"/>
    </xf>
    <xf numFmtId="0" fontId="4" fillId="0" borderId="46" applyAlignment="1" pivotButton="0" quotePrefix="0" xfId="1">
      <alignment horizontal="left" vertical="center" indent="1"/>
    </xf>
    <xf numFmtId="0" fontId="4" fillId="0" borderId="47" applyAlignment="1" applyProtection="1" pivotButton="0" quotePrefix="0" xfId="1">
      <alignment horizontal="center" vertical="center"/>
      <protection locked="0" hidden="0"/>
    </xf>
    <xf numFmtId="0" fontId="4" fillId="0" borderId="11" applyAlignment="1" applyProtection="1" pivotButton="0" quotePrefix="0" xfId="1">
      <alignment horizontal="center" vertical="center"/>
      <protection locked="0" hidden="0"/>
    </xf>
    <xf numFmtId="0" fontId="7" fillId="0" borderId="52" applyAlignment="1" pivotButton="0" quotePrefix="0" xfId="1">
      <alignment horizontal="left" vertical="center" indent="1"/>
    </xf>
    <xf numFmtId="0" fontId="7" fillId="0" borderId="50" applyAlignment="1" pivotButton="0" quotePrefix="0" xfId="1">
      <alignment horizontal="center" wrapText="1"/>
    </xf>
    <xf numFmtId="0" fontId="7" fillId="0" borderId="48" applyAlignment="1" pivotButton="0" quotePrefix="0" xfId="1">
      <alignment horizontal="center" wrapText="1"/>
    </xf>
    <xf numFmtId="0" fontId="7" fillId="0" borderId="49" applyAlignment="1" pivotButton="0" quotePrefix="0" xfId="1">
      <alignment horizontal="center" wrapText="1"/>
    </xf>
    <xf numFmtId="0" fontId="7" fillId="0" borderId="51" applyAlignment="1" pivotButton="0" quotePrefix="0" xfId="1">
      <alignment horizontal="center" wrapText="1"/>
    </xf>
    <xf numFmtId="0" fontId="7" fillId="0" borderId="26" applyAlignment="1" pivotButton="0" quotePrefix="0" xfId="1">
      <alignment horizontal="center" wrapText="1"/>
    </xf>
    <xf numFmtId="0" fontId="7" fillId="0" borderId="44" applyAlignment="1" pivotButton="0" quotePrefix="0" xfId="1">
      <alignment horizontal="center" wrapText="1"/>
    </xf>
    <xf numFmtId="0" fontId="7" fillId="0" borderId="6" applyAlignment="1" pivotButton="0" quotePrefix="0" xfId="1">
      <alignment horizontal="center" wrapText="1"/>
    </xf>
    <xf numFmtId="0" fontId="7" fillId="0" borderId="4" applyAlignment="1" pivotButton="0" quotePrefix="0" xfId="1">
      <alignment horizontal="center" wrapText="1"/>
    </xf>
    <xf numFmtId="0" fontId="7" fillId="0" borderId="20" applyAlignment="1" pivotButton="0" quotePrefix="0" xfId="1">
      <alignment horizontal="center" wrapText="1"/>
    </xf>
    <xf numFmtId="0" fontId="7" fillId="0" borderId="22" applyAlignment="1" pivotButton="0" quotePrefix="0" xfId="1">
      <alignment horizontal="center" wrapText="1"/>
    </xf>
    <xf numFmtId="0" fontId="4" fillId="0" borderId="4" applyAlignment="1" pivotButton="0" quotePrefix="0" xfId="1">
      <alignment horizontal="center" wrapText="1"/>
    </xf>
    <xf numFmtId="0" fontId="25" fillId="5" borderId="0" applyAlignment="1" pivotButton="0" quotePrefix="0" xfId="0">
      <alignment horizontal="left"/>
    </xf>
    <xf numFmtId="0" fontId="7" fillId="0" borderId="45" applyAlignment="1" pivotButton="0" quotePrefix="0" xfId="1">
      <alignment horizontal="center" vertical="center"/>
    </xf>
    <xf numFmtId="0" fontId="4" fillId="0" borderId="45" applyAlignment="1" pivotButton="0" quotePrefix="0" xfId="1">
      <alignment horizontal="left" vertical="top" indent="1"/>
    </xf>
    <xf numFmtId="0" fontId="4" fillId="0" borderId="34" applyAlignment="1" pivotButton="0" quotePrefix="0" xfId="1">
      <alignment horizontal="left" vertical="top" indent="1"/>
    </xf>
    <xf numFmtId="0" fontId="4" fillId="0" borderId="45" applyAlignment="1" applyProtection="1" pivotButton="0" quotePrefix="0" xfId="1">
      <alignment horizontal="center" vertical="center"/>
      <protection locked="0" hidden="0"/>
    </xf>
    <xf numFmtId="0" fontId="4" fillId="0" borderId="59" applyAlignment="1" applyProtection="1" pivotButton="0" quotePrefix="0" xfId="1">
      <alignment horizontal="center" vertical="center"/>
      <protection locked="0" hidden="0"/>
    </xf>
    <xf numFmtId="0" fontId="4" fillId="0" borderId="37" applyAlignment="1" applyProtection="1" pivotButton="0" quotePrefix="0" xfId="1">
      <alignment horizontal="center" vertical="center"/>
      <protection locked="0" hidden="0"/>
    </xf>
    <xf numFmtId="0" fontId="4" fillId="2" borderId="1" applyAlignment="1" applyProtection="1" pivotButton="0" quotePrefix="0" xfId="1">
      <alignment horizontal="center" vertical="center"/>
      <protection locked="0" hidden="0"/>
    </xf>
    <xf numFmtId="0" fontId="4" fillId="2" borderId="16" applyAlignment="1" applyProtection="1" pivotButton="0" quotePrefix="0" xfId="1">
      <alignment horizontal="center" vertical="center"/>
      <protection locked="0" hidden="0"/>
    </xf>
    <xf numFmtId="0" fontId="7" fillId="2" borderId="27" applyAlignment="1" pivotButton="0" quotePrefix="0" xfId="1">
      <alignment horizontal="center" vertical="center"/>
    </xf>
    <xf numFmtId="0" fontId="9" fillId="2" borderId="58" applyAlignment="1" pivotButton="0" quotePrefix="0" xfId="1">
      <alignment horizontal="center" wrapText="1"/>
    </xf>
    <xf numFmtId="0" fontId="9" fillId="2" borderId="61" applyAlignment="1" pivotButton="0" quotePrefix="0" xfId="1">
      <alignment horizontal="center" wrapText="1"/>
    </xf>
    <xf numFmtId="0" fontId="4" fillId="0" borderId="28" applyAlignment="1" applyProtection="1" pivotButton="0" quotePrefix="0" xfId="1">
      <alignment horizontal="center" vertical="center"/>
      <protection locked="0" hidden="0"/>
    </xf>
    <xf numFmtId="0" fontId="4" fillId="0" borderId="59" applyAlignment="1" pivotButton="0" quotePrefix="0" xfId="1">
      <alignment horizontal="left" vertical="center" indent="1"/>
    </xf>
    <xf numFmtId="0" fontId="4" fillId="0" borderId="33" applyAlignment="1" pivotButton="0" quotePrefix="0" xfId="1">
      <alignment horizontal="left" vertical="center" indent="1"/>
    </xf>
    <xf numFmtId="0" fontId="4" fillId="2" borderId="45" applyAlignment="1" pivotButton="0" quotePrefix="0" xfId="1">
      <alignment horizontal="left" vertical="center" wrapText="1" indent="1"/>
    </xf>
    <xf numFmtId="0" fontId="4" fillId="2" borderId="28" applyAlignment="1" pivotButton="0" quotePrefix="0" xfId="1">
      <alignment horizontal="left" vertical="center" wrapText="1" indent="1"/>
    </xf>
    <xf numFmtId="0" fontId="4" fillId="2" borderId="34" applyAlignment="1" pivotButton="0" quotePrefix="0" xfId="1">
      <alignment horizontal="left" vertical="center" wrapText="1" indent="1"/>
    </xf>
    <xf numFmtId="0" fontId="4" fillId="2" borderId="3" applyAlignment="1" applyProtection="1" pivotButton="0" quotePrefix="0" xfId="1">
      <alignment horizontal="center" vertical="center"/>
      <protection locked="0" hidden="0"/>
    </xf>
    <xf numFmtId="0" fontId="9" fillId="2" borderId="60" applyAlignment="1" pivotButton="0" quotePrefix="0" xfId="1">
      <alignment horizontal="center" wrapText="1"/>
    </xf>
    <xf numFmtId="0" fontId="4" fillId="0" borderId="47" applyAlignment="1" pivotButton="0" quotePrefix="0" xfId="1">
      <alignment horizontal="left" wrapText="1" indent="1"/>
    </xf>
    <xf numFmtId="0" fontId="4" fillId="0" borderId="38" applyAlignment="1" pivotButton="0" quotePrefix="0" xfId="1">
      <alignment horizontal="left" wrapText="1" indent="1"/>
    </xf>
    <xf numFmtId="0" fontId="4" fillId="0" borderId="46" applyAlignment="1" pivotButton="0" quotePrefix="0" xfId="1">
      <alignment horizontal="left" wrapText="1" indent="1"/>
    </xf>
    <xf numFmtId="0" fontId="4" fillId="0" borderId="11" applyAlignment="1" applyProtection="1" pivotButton="0" quotePrefix="0" xfId="1">
      <alignment horizontal="center" wrapText="1"/>
      <protection locked="0" hidden="0"/>
    </xf>
    <xf numFmtId="0" fontId="4" fillId="0" borderId="25" applyAlignment="1" applyProtection="1" pivotButton="0" quotePrefix="0" xfId="1">
      <alignment horizontal="center" wrapText="1"/>
      <protection locked="0" hidden="0"/>
    </xf>
    <xf numFmtId="0" fontId="4" fillId="0" borderId="25" applyAlignment="1" applyProtection="1" pivotButton="0" quotePrefix="0" xfId="1">
      <alignment horizontal="center"/>
      <protection locked="0" hidden="0"/>
    </xf>
    <xf numFmtId="0" fontId="4" fillId="0" borderId="9" applyAlignment="1" applyProtection="1" pivotButton="0" quotePrefix="0" xfId="1">
      <alignment horizontal="center" wrapText="1"/>
      <protection locked="0" hidden="0"/>
    </xf>
    <xf numFmtId="0" fontId="7" fillId="2" borderId="59" applyAlignment="1" pivotButton="0" quotePrefix="0" xfId="1">
      <alignment horizontal="center"/>
    </xf>
    <xf numFmtId="0" fontId="7" fillId="2" borderId="37" applyAlignment="1" pivotButton="0" quotePrefix="0" xfId="1">
      <alignment horizontal="center"/>
    </xf>
    <xf numFmtId="0" fontId="7" fillId="2" borderId="33" applyAlignment="1" pivotButton="0" quotePrefix="0" xfId="1">
      <alignment horizontal="center"/>
    </xf>
    <xf numFmtId="0" fontId="7" fillId="2" borderId="48" applyAlignment="1" pivotButton="0" quotePrefix="0" xfId="1">
      <alignment horizontal="center"/>
    </xf>
    <xf numFmtId="0" fontId="7" fillId="2" borderId="45" applyAlignment="1" pivotButton="0" quotePrefix="0" xfId="1">
      <alignment horizontal="center" wrapText="1"/>
    </xf>
    <xf numFmtId="0" fontId="4" fillId="0" borderId="45" applyAlignment="1" pivotButton="0" quotePrefix="0" xfId="1">
      <alignment horizontal="left" vertical="center" indent="1"/>
    </xf>
    <xf numFmtId="0" fontId="4" fillId="0" borderId="28" applyAlignment="1" pivotButton="0" quotePrefix="0" xfId="1">
      <alignment horizontal="left" vertical="center" indent="1"/>
    </xf>
    <xf numFmtId="0" fontId="4" fillId="0" borderId="34" applyAlignment="1" pivotButton="0" quotePrefix="0" xfId="1">
      <alignment horizontal="left" vertical="center" indent="1"/>
    </xf>
    <xf numFmtId="0" fontId="4" fillId="0" borderId="20" applyAlignment="1" applyProtection="1" pivotButton="0" quotePrefix="0" xfId="1">
      <alignment horizontal="center" vertical="center"/>
      <protection locked="0" hidden="0"/>
    </xf>
    <xf numFmtId="0" fontId="7" fillId="0" borderId="62" applyAlignment="1" pivotButton="0" quotePrefix="0" xfId="1">
      <alignment horizontal="center"/>
    </xf>
    <xf numFmtId="0" fontId="6" fillId="0" borderId="59" applyAlignment="1" pivotButton="0" quotePrefix="0" xfId="1">
      <alignment horizontal="center" vertical="center" wrapText="1"/>
    </xf>
    <xf numFmtId="0" fontId="6" fillId="0" borderId="33" applyAlignment="1" pivotButton="0" quotePrefix="0" xfId="1">
      <alignment horizontal="center" vertical="center" wrapText="1"/>
    </xf>
    <xf numFmtId="0" fontId="6" fillId="0" borderId="6" applyAlignment="1" pivotButton="0" quotePrefix="0" xfId="1">
      <alignment horizontal="center" vertical="center" wrapText="1"/>
    </xf>
    <xf numFmtId="0" fontId="6" fillId="0" borderId="8" applyAlignment="1" pivotButton="0" quotePrefix="0" xfId="1">
      <alignment horizontal="center" vertical="center" wrapText="1"/>
    </xf>
    <xf numFmtId="0" fontId="4" fillId="0" borderId="47" applyAlignment="1" pivotButton="0" quotePrefix="0" xfId="1">
      <alignment horizontal="left" vertical="center" wrapText="1" indent="1"/>
    </xf>
    <xf numFmtId="0" fontId="4" fillId="0" borderId="46" applyAlignment="1" pivotButton="0" quotePrefix="0" xfId="1">
      <alignment horizontal="left" vertical="center" wrapText="1" indent="1"/>
    </xf>
    <xf numFmtId="0" fontId="7" fillId="0" borderId="48" applyAlignment="1" pivotButton="0" quotePrefix="0" xfId="1">
      <alignment horizontal="center"/>
    </xf>
    <xf numFmtId="0" fontId="7" fillId="0" borderId="26" applyAlignment="1" pivotButton="0" quotePrefix="0" xfId="1">
      <alignment horizontal="center"/>
    </xf>
    <xf numFmtId="0" fontId="7" fillId="0" borderId="6" applyAlignment="1" pivotButton="0" quotePrefix="0" xfId="1">
      <alignment horizontal="center"/>
    </xf>
    <xf numFmtId="0" fontId="7" fillId="0" borderId="4" applyAlignment="1" pivotButton="0" quotePrefix="0" xfId="1">
      <alignment horizontal="center"/>
    </xf>
    <xf numFmtId="0" fontId="7" fillId="0" borderId="8" applyAlignment="1" pivotButton="0" quotePrefix="0" xfId="1">
      <alignment horizontal="center"/>
    </xf>
    <xf numFmtId="0" fontId="4" fillId="2" borderId="23" applyAlignment="1" applyProtection="1" pivotButton="0" quotePrefix="0" xfId="1">
      <alignment horizontal="center" vertical="center"/>
      <protection locked="0" hidden="0"/>
    </xf>
    <xf numFmtId="0" fontId="4" fillId="2" borderId="20" applyAlignment="1" applyProtection="1" pivotButton="0" quotePrefix="0" xfId="1">
      <alignment horizontal="center" vertical="center"/>
      <protection locked="0" hidden="0"/>
    </xf>
    <xf numFmtId="0" fontId="4" fillId="2" borderId="11" applyAlignment="1" applyProtection="1" pivotButton="0" quotePrefix="0" xfId="1">
      <alignment horizontal="center" vertical="center"/>
      <protection locked="0" hidden="0"/>
    </xf>
    <xf numFmtId="0" fontId="4" fillId="0" borderId="37" applyAlignment="1" pivotButton="0" quotePrefix="0" xfId="1">
      <alignment horizontal="left" vertical="center" indent="1"/>
    </xf>
    <xf numFmtId="0" fontId="27" fillId="2" borderId="54" applyAlignment="1" applyProtection="1" pivotButton="0" quotePrefix="0" xfId="0">
      <alignment horizontal="center"/>
      <protection locked="0" hidden="0"/>
    </xf>
    <xf numFmtId="0" fontId="27" fillId="2" borderId="57" applyAlignment="1" applyProtection="1" pivotButton="0" quotePrefix="0" xfId="0">
      <alignment horizontal="center"/>
      <protection locked="0" hidden="0"/>
    </xf>
    <xf numFmtId="0" fontId="27" fillId="2" borderId="43" applyAlignment="1" applyProtection="1" pivotButton="0" quotePrefix="0" xfId="0">
      <alignment horizontal="center"/>
      <protection locked="0" hidden="0"/>
    </xf>
    <xf numFmtId="0" fontId="28" fillId="2" borderId="26" applyAlignment="1" applyProtection="1" pivotButton="0" quotePrefix="0" xfId="0">
      <alignment horizontal="center"/>
      <protection locked="0" hidden="0"/>
    </xf>
    <xf numFmtId="0" fontId="27" fillId="2" borderId="56" applyAlignment="1" applyProtection="1" pivotButton="0" quotePrefix="0" xfId="0">
      <alignment horizontal="center"/>
      <protection locked="0" hidden="0"/>
    </xf>
    <xf numFmtId="0" fontId="28" fillId="2" borderId="57" applyAlignment="1" applyProtection="1" pivotButton="0" quotePrefix="0" xfId="0">
      <alignment horizontal="center"/>
      <protection locked="0" hidden="0"/>
    </xf>
    <xf numFmtId="0" fontId="35" fillId="2" borderId="56" applyAlignment="1" pivotButton="0" quotePrefix="0" xfId="0">
      <alignment horizontal="center" vertical="center" wrapText="1"/>
    </xf>
    <xf numFmtId="0" fontId="36" fillId="2" borderId="57" applyAlignment="1" pivotButton="0" quotePrefix="0" xfId="0">
      <alignment horizontal="center" vertical="center" wrapText="1"/>
    </xf>
    <xf numFmtId="0" fontId="35" fillId="2" borderId="54" applyAlignment="1" pivotButton="0" quotePrefix="0" xfId="0">
      <alignment horizontal="center" vertical="center" wrapText="1"/>
    </xf>
    <xf numFmtId="0" fontId="35" fillId="2" borderId="57" applyAlignment="1" pivotButton="0" quotePrefix="0" xfId="0">
      <alignment horizontal="center" vertical="center" wrapText="1"/>
    </xf>
    <xf numFmtId="0" fontId="35" fillId="2" borderId="55" applyAlignment="1" pivotButton="0" quotePrefix="0" xfId="0">
      <alignment horizontal="center" vertical="center" wrapText="1"/>
    </xf>
    <xf numFmtId="0" fontId="35" fillId="2" borderId="51" applyAlignment="1" pivotButton="0" quotePrefix="0" xfId="0">
      <alignment horizontal="center" vertical="center" wrapText="1"/>
    </xf>
    <xf numFmtId="0" fontId="36" fillId="2" borderId="27" applyAlignment="1" pivotButton="0" quotePrefix="0" xfId="0">
      <alignment horizontal="center" vertical="center" wrapText="1"/>
    </xf>
    <xf numFmtId="0" fontId="35" fillId="2" borderId="43" applyAlignment="1" pivotButton="0" quotePrefix="0" xfId="0">
      <alignment horizontal="center" vertical="center" wrapText="1"/>
    </xf>
    <xf numFmtId="0" fontId="35" fillId="2" borderId="27" applyAlignment="1" pivotButton="0" quotePrefix="0" xfId="0">
      <alignment horizontal="center" vertical="center" wrapText="1"/>
    </xf>
    <xf numFmtId="0" fontId="36" fillId="2" borderId="26" applyAlignment="1" pivotButton="0" quotePrefix="0" xfId="0">
      <alignment horizontal="center" vertical="center" wrapText="1"/>
    </xf>
    <xf numFmtId="0" fontId="35" fillId="2" borderId="59" applyAlignment="1" pivotButton="0" quotePrefix="0" xfId="0">
      <alignment horizontal="center" wrapText="1"/>
    </xf>
    <xf numFmtId="0" fontId="35" fillId="2" borderId="5" applyAlignment="1" pivotButton="0" quotePrefix="0" xfId="0">
      <alignment horizontal="center" wrapText="1"/>
    </xf>
    <xf numFmtId="0" fontId="35" fillId="2" borderId="8" applyAlignment="1" pivotButton="0" quotePrefix="0" xfId="0">
      <alignment horizontal="center" wrapText="1"/>
    </xf>
    <xf numFmtId="0" fontId="28" fillId="2" borderId="44" applyAlignment="1" applyProtection="1" pivotButton="0" quotePrefix="0" xfId="0">
      <alignment horizontal="center"/>
      <protection locked="0" hidden="0"/>
    </xf>
    <xf numFmtId="0" fontId="27" fillId="2" borderId="51" applyAlignment="1" applyProtection="1" pivotButton="0" quotePrefix="0" xfId="0">
      <alignment horizontal="center"/>
      <protection locked="0" hidden="0"/>
    </xf>
    <xf numFmtId="0" fontId="28" fillId="2" borderId="27" applyAlignment="1" applyProtection="1" pivotButton="0" quotePrefix="0" xfId="0">
      <alignment horizontal="center"/>
      <protection locked="0" hidden="0"/>
    </xf>
    <xf numFmtId="0" fontId="18" fillId="0" borderId="45" applyAlignment="1" pivotButton="0" quotePrefix="0" xfId="0">
      <alignment horizontal="left" wrapText="1" indent="1"/>
    </xf>
    <xf numFmtId="0" fontId="18" fillId="0" borderId="34" applyAlignment="1" pivotButton="0" quotePrefix="0" xfId="0">
      <alignment horizontal="left" wrapText="1" indent="1"/>
    </xf>
    <xf numFmtId="0" fontId="31" fillId="5" borderId="0" applyAlignment="1" pivotButton="0" quotePrefix="0" xfId="0">
      <alignment horizontal="left"/>
    </xf>
    <xf numFmtId="0" fontId="35" fillId="2" borderId="37" applyAlignment="1" pivotButton="0" quotePrefix="0" xfId="0">
      <alignment horizontal="center"/>
    </xf>
    <xf numFmtId="0" fontId="35" fillId="2" borderId="33" applyAlignment="1" pivotButton="0" quotePrefix="0" xfId="0">
      <alignment horizontal="center"/>
    </xf>
    <xf numFmtId="0" fontId="16" fillId="0" borderId="0" applyAlignment="1" pivotButton="0" quotePrefix="0" xfId="0">
      <alignment horizontal="center"/>
    </xf>
    <xf numFmtId="164" fontId="4" fillId="2" borderId="47" applyAlignment="1" applyProtection="1" pivotButton="0" quotePrefix="0" xfId="1">
      <alignment horizontal="center" vertical="center"/>
      <protection locked="0" hidden="0"/>
    </xf>
    <xf numFmtId="164" fontId="4" fillId="2" borderId="38" applyAlignment="1" applyProtection="1" pivotButton="0" quotePrefix="0" xfId="1">
      <alignment horizontal="center" vertical="center"/>
      <protection locked="0" hidden="0"/>
    </xf>
    <xf numFmtId="164" fontId="4" fillId="2" borderId="46" applyAlignment="1" applyProtection="1" pivotButton="0" quotePrefix="0" xfId="1">
      <alignment horizontal="center" vertical="center"/>
      <protection locked="0" hidden="0"/>
    </xf>
    <xf numFmtId="164" fontId="4" fillId="2" borderId="59" applyAlignment="1" applyProtection="1" pivotButton="0" quotePrefix="0" xfId="1">
      <alignment horizontal="center" vertical="center"/>
      <protection locked="0" hidden="0"/>
    </xf>
    <xf numFmtId="164" fontId="4" fillId="2" borderId="37" applyAlignment="1" applyProtection="1" pivotButton="0" quotePrefix="0" xfId="1">
      <alignment horizontal="center" vertical="center"/>
      <protection locked="0" hidden="0"/>
    </xf>
    <xf numFmtId="164" fontId="4" fillId="2" borderId="33" applyAlignment="1" applyProtection="1" pivotButton="0" quotePrefix="0" xfId="1">
      <alignment horizontal="center" vertical="center"/>
      <protection locked="0" hidden="0"/>
    </xf>
    <xf numFmtId="164" fontId="4" fillId="2" borderId="41" applyAlignment="1" applyProtection="1" pivotButton="0" quotePrefix="0" xfId="1">
      <alignment horizontal="center" vertical="center"/>
      <protection locked="0" hidden="0"/>
    </xf>
    <xf numFmtId="164" fontId="4" fillId="2" borderId="18" applyAlignment="1" applyProtection="1" pivotButton="0" quotePrefix="0" xfId="1">
      <alignment horizontal="center" vertical="center"/>
      <protection locked="0" hidden="0"/>
    </xf>
    <xf numFmtId="164" fontId="4" fillId="2" borderId="39" applyAlignment="1" applyProtection="1" pivotButton="0" quotePrefix="0" xfId="1">
      <alignment horizontal="center" vertical="center"/>
      <protection locked="0" hidden="0"/>
    </xf>
    <xf numFmtId="164" fontId="7" fillId="2" borderId="60" applyAlignment="1" pivotButton="0" quotePrefix="0" xfId="1">
      <alignment horizontal="center" vertical="center"/>
    </xf>
    <xf numFmtId="164" fontId="7" fillId="2" borderId="58" applyAlignment="1" pivotButton="0" quotePrefix="0" xfId="1">
      <alignment horizontal="center" vertical="center"/>
    </xf>
    <xf numFmtId="164" fontId="7" fillId="2" borderId="61" applyAlignment="1" pivotButton="0" quotePrefix="0" xfId="1">
      <alignment horizontal="center" vertical="center"/>
    </xf>
    <xf numFmtId="166" fontId="4" fillId="0" borderId="20" applyAlignment="1" applyProtection="1" pivotButton="0" quotePrefix="0" xfId="1">
      <alignment horizontal="center" vertical="center"/>
      <protection locked="0" hidden="0"/>
    </xf>
    <xf numFmtId="166" fontId="4" fillId="0" borderId="23" applyAlignment="1" applyProtection="1" pivotButton="0" quotePrefix="0" xfId="1">
      <alignment horizontal="center" vertical="center"/>
      <protection locked="0" hidden="0"/>
    </xf>
    <xf numFmtId="166" fontId="4" fillId="0" borderId="10" applyAlignment="1" applyProtection="1" pivotButton="0" quotePrefix="0" xfId="1">
      <alignment horizontal="center" vertical="center"/>
      <protection locked="0" hidden="0"/>
    </xf>
    <xf numFmtId="166" fontId="4" fillId="0" borderId="25" applyAlignment="1" applyProtection="1" pivotButton="0" quotePrefix="0" xfId="1">
      <alignment horizontal="center" vertical="center"/>
      <protection locked="0" hidden="0"/>
    </xf>
    <xf numFmtId="166" fontId="4" fillId="0" borderId="9" applyAlignment="1" applyProtection="1" pivotButton="0" quotePrefix="0" xfId="1">
      <alignment horizontal="center" vertical="center"/>
      <protection locked="0" hidden="0"/>
    </xf>
    <xf numFmtId="166" fontId="7" fillId="2" borderId="60" applyAlignment="1" pivotButton="0" quotePrefix="0" xfId="1">
      <alignment horizontal="center" vertical="center"/>
    </xf>
    <xf numFmtId="166" fontId="7" fillId="2" borderId="58" applyAlignment="1" pivotButton="0" quotePrefix="0" xfId="1">
      <alignment horizontal="center" vertical="center"/>
    </xf>
    <xf numFmtId="166" fontId="7" fillId="2" borderId="61" applyAlignment="1" pivotButton="0" quotePrefix="0" xfId="1">
      <alignment horizontal="center" vertical="center"/>
    </xf>
    <xf numFmtId="0" fontId="7" fillId="0" borderId="69" applyAlignment="1" pivotButton="0" quotePrefix="0" xfId="1">
      <alignment horizontal="center" wrapText="1"/>
    </xf>
    <xf numFmtId="0" fontId="7" fillId="0" borderId="78" applyAlignment="1" pivotButton="0" quotePrefix="0" xfId="1">
      <alignment horizontal="center" wrapText="1"/>
    </xf>
    <xf numFmtId="0" fontId="7" fillId="0" borderId="79" applyAlignment="1" pivotButton="0" quotePrefix="0" xfId="1">
      <alignment horizontal="center" wrapText="1"/>
    </xf>
    <xf numFmtId="0" fontId="7" fillId="0" borderId="54" applyAlignment="1" pivotButton="0" quotePrefix="0" xfId="1">
      <alignment horizontal="left" vertical="center" indent="1"/>
    </xf>
    <xf numFmtId="0" fontId="4" fillId="0" borderId="5" applyAlignment="1" pivotButton="0" quotePrefix="0" xfId="1">
      <alignment horizontal="left" vertical="center" indent="1"/>
    </xf>
    <xf numFmtId="0" fontId="16" fillId="0" borderId="0" applyAlignment="1" pivotButton="0" quotePrefix="0" xfId="0">
      <alignment horizontal="left" vertical="center" wrapText="1"/>
    </xf>
    <xf numFmtId="0" fontId="7" fillId="2" borderId="23" applyAlignment="1" pivotButton="0" quotePrefix="0" xfId="1">
      <alignment horizontal="center" wrapText="1"/>
    </xf>
    <xf numFmtId="0" fontId="4" fillId="0" borderId="45" applyAlignment="1" pivotButton="0" quotePrefix="0" xfId="1">
      <alignment horizontal="left" vertical="center" wrapText="1" indent="1"/>
    </xf>
    <xf numFmtId="0" fontId="4" fillId="0" borderId="28" applyAlignment="1" pivotButton="0" quotePrefix="0" xfId="1">
      <alignment horizontal="left" vertical="center" wrapText="1" indent="1"/>
    </xf>
    <xf numFmtId="0" fontId="4" fillId="0" borderId="34" applyAlignment="1" pivotButton="0" quotePrefix="0" xfId="1">
      <alignment horizontal="left" vertical="center" wrapText="1" indent="1"/>
    </xf>
    <xf numFmtId="0" fontId="7" fillId="0" borderId="22" applyAlignment="1" pivotButton="0" quotePrefix="0" xfId="1">
      <alignment horizontal="center"/>
    </xf>
    <xf numFmtId="0" fontId="4" fillId="0" borderId="6" applyAlignment="1" applyProtection="1" pivotButton="0" quotePrefix="0" xfId="1">
      <alignment horizontal="center" wrapText="1"/>
      <protection locked="0" hidden="0"/>
    </xf>
    <xf numFmtId="0" fontId="4" fillId="0" borderId="4" applyAlignment="1" applyProtection="1" pivotButton="0" quotePrefix="0" xfId="1">
      <alignment horizontal="center" wrapText="1"/>
      <protection locked="0" hidden="0"/>
    </xf>
    <xf numFmtId="0" fontId="4" fillId="0" borderId="4" applyAlignment="1" applyProtection="1" pivotButton="0" quotePrefix="0" xfId="1">
      <alignment horizontal="center"/>
      <protection locked="0" hidden="0"/>
    </xf>
    <xf numFmtId="0" fontId="20" fillId="2" borderId="29" applyAlignment="1" pivotButton="0" quotePrefix="0" xfId="0">
      <alignment horizontal="center" wrapText="1"/>
    </xf>
    <xf numFmtId="0" fontId="37" fillId="2" borderId="29" applyAlignment="1" pivotButton="0" quotePrefix="0" xfId="0">
      <alignment horizontal="center" wrapText="1"/>
    </xf>
    <xf numFmtId="0" fontId="37" fillId="2" borderId="74" applyAlignment="1" pivotButton="0" quotePrefix="0" xfId="0">
      <alignment horizontal="center" wrapText="1"/>
    </xf>
    <xf numFmtId="0" fontId="20" fillId="2" borderId="27" applyAlignment="1" pivotButton="0" quotePrefix="0" xfId="0">
      <alignment horizontal="center"/>
    </xf>
    <xf numFmtId="0" fontId="20" fillId="2" borderId="74" applyAlignment="1" pivotButton="0" quotePrefix="0" xfId="0">
      <alignment horizontal="center"/>
    </xf>
    <xf numFmtId="0" fontId="4" fillId="0" borderId="45" applyAlignment="1" pivotButton="0" quotePrefix="0" xfId="1">
      <alignment horizontal="left" vertical="center" indent="2"/>
    </xf>
    <xf numFmtId="0" fontId="4" fillId="0" borderId="28" applyAlignment="1" pivotButton="0" quotePrefix="0" xfId="1">
      <alignment horizontal="left" vertical="center" indent="2"/>
    </xf>
    <xf numFmtId="0" fontId="36" fillId="2" borderId="44" applyAlignment="1" pivotButton="0" quotePrefix="0" xfId="0">
      <alignment horizontal="center" vertical="center" wrapText="1"/>
    </xf>
    <xf numFmtId="0" fontId="4" fillId="0" borderId="30" applyAlignment="1" applyProtection="1" pivotButton="0" quotePrefix="0" xfId="1">
      <alignment horizontal="center" vertical="center"/>
      <protection locked="0" hidden="0"/>
    </xf>
    <xf numFmtId="0" fontId="4" fillId="0" borderId="13" applyAlignment="1" applyProtection="1" pivotButton="0" quotePrefix="0" xfId="1">
      <alignment horizontal="center" vertical="center"/>
      <protection locked="0" hidden="0"/>
    </xf>
    <xf numFmtId="0" fontId="7" fillId="0" borderId="8" applyAlignment="1" pivotButton="0" quotePrefix="0" xfId="1">
      <alignment horizontal="center" wrapText="1"/>
    </xf>
    <xf numFmtId="0" fontId="7" fillId="0" borderId="23" applyAlignment="1" pivotButton="0" quotePrefix="0" xfId="1">
      <alignment horizontal="center" wrapText="1"/>
    </xf>
    <xf numFmtId="0" fontId="7" fillId="2" borderId="55" applyAlignment="1" pivotButton="0" quotePrefix="0" xfId="1">
      <alignment horizontal="center" vertical="center"/>
    </xf>
    <xf numFmtId="166" fontId="4" fillId="0" borderId="6" applyAlignment="1" applyProtection="1" pivotButton="0" quotePrefix="0" xfId="1">
      <alignment horizontal="center" vertical="center"/>
      <protection locked="0" hidden="0"/>
    </xf>
    <xf numFmtId="166" fontId="4" fillId="0" borderId="8" applyAlignment="1" applyProtection="1" pivotButton="0" quotePrefix="0" xfId="1">
      <alignment horizontal="center" vertical="center"/>
      <protection locked="0" hidden="0"/>
    </xf>
    <xf numFmtId="166" fontId="4" fillId="2" borderId="0" applyAlignment="1" pivotButton="0" quotePrefix="0" xfId="1">
      <alignment horizontal="center" vertical="center"/>
    </xf>
    <xf numFmtId="166" fontId="4" fillId="2" borderId="64" applyAlignment="1" pivotButton="0" quotePrefix="0" xfId="1">
      <alignment horizontal="center" vertical="center"/>
    </xf>
    <xf numFmtId="166" fontId="4" fillId="2" borderId="26" applyAlignment="1" pivotButton="0" quotePrefix="0" xfId="1">
      <alignment horizontal="center" vertical="center"/>
    </xf>
    <xf numFmtId="166" fontId="4" fillId="2" borderId="44" applyAlignment="1" pivotButton="0" quotePrefix="0" xfId="1">
      <alignment horizontal="center" vertical="center"/>
    </xf>
    <xf numFmtId="0" fontId="4" fillId="0" borderId="18" applyAlignment="1" pivotButton="0" quotePrefix="0" xfId="1">
      <alignment horizontal="left" vertical="center" indent="1"/>
    </xf>
    <xf numFmtId="0" fontId="4" fillId="0" borderId="39" applyAlignment="1" pivotButton="0" quotePrefix="0" xfId="1">
      <alignment horizontal="left" vertical="center" indent="1"/>
    </xf>
    <xf numFmtId="166" fontId="4" fillId="2" borderId="10" applyAlignment="1" pivotButton="0" quotePrefix="0" xfId="1">
      <alignment horizontal="center" vertical="center"/>
    </xf>
    <xf numFmtId="166" fontId="4" fillId="2" borderId="25" applyAlignment="1" pivotButton="0" quotePrefix="0" xfId="1">
      <alignment horizontal="center" vertical="center"/>
    </xf>
    <xf numFmtId="166" fontId="4" fillId="2" borderId="9" applyAlignment="1" pivotButton="0" quotePrefix="0" xfId="1">
      <alignment horizontal="center" vertical="center"/>
    </xf>
    <xf numFmtId="0" fontId="20" fillId="2" borderId="26" applyAlignment="1" pivotButton="0" quotePrefix="0" xfId="0">
      <alignment horizontal="center"/>
    </xf>
    <xf numFmtId="0" fontId="37" fillId="2" borderId="44" applyAlignment="1" pivotButton="0" quotePrefix="0" xfId="0">
      <alignment horizontal="center"/>
    </xf>
    <xf numFmtId="0" fontId="7" fillId="2" borderId="56" applyAlignment="1" pivotButton="0" quotePrefix="0" xfId="1">
      <alignment horizontal="center" wrapText="1"/>
    </xf>
    <xf numFmtId="0" fontId="7" fillId="2" borderId="55" applyAlignment="1" pivotButton="0" quotePrefix="0" xfId="1">
      <alignment horizontal="center" wrapText="1"/>
    </xf>
    <xf numFmtId="0" fontId="4" fillId="2" borderId="56" applyAlignment="1" applyProtection="1" pivotButton="0" quotePrefix="0" xfId="1">
      <alignment horizontal="center" vertical="center"/>
      <protection locked="0" hidden="0"/>
    </xf>
    <xf numFmtId="0" fontId="4" fillId="2" borderId="55" applyAlignment="1" applyProtection="1" pivotButton="0" quotePrefix="0" xfId="1">
      <alignment horizontal="center" vertical="center"/>
      <protection locked="0" hidden="0"/>
    </xf>
    <xf numFmtId="0" fontId="7" fillId="0" borderId="55" applyAlignment="1" pivotButton="0" quotePrefix="0" xfId="1">
      <alignment horizontal="center" vertical="center"/>
    </xf>
    <xf numFmtId="0" fontId="7" fillId="0" borderId="61" applyAlignment="1" pivotButton="0" quotePrefix="0" xfId="1">
      <alignment horizontal="center" vertical="center"/>
    </xf>
    <xf numFmtId="0" fontId="20" fillId="2" borderId="59" applyAlignment="1" pivotButton="0" quotePrefix="0" xfId="0">
      <alignment horizontal="center"/>
    </xf>
    <xf numFmtId="0" fontId="20" fillId="2" borderId="37" applyAlignment="1" pivotButton="0" quotePrefix="0" xfId="0">
      <alignment horizontal="center"/>
    </xf>
    <xf numFmtId="0" fontId="20" fillId="2" borderId="33" applyAlignment="1" pivotButton="0" quotePrefix="0" xfId="0">
      <alignment horizontal="center"/>
    </xf>
    <xf numFmtId="0" fontId="20" fillId="2" borderId="51" applyAlignment="1" pivotButton="0" quotePrefix="0" xfId="0">
      <alignment horizontal="center"/>
    </xf>
    <xf numFmtId="0" fontId="37" fillId="2" borderId="27" applyAlignment="1" pivotButton="0" quotePrefix="0" xfId="0">
      <alignment horizontal="center"/>
    </xf>
    <xf numFmtId="0" fontId="20" fillId="2" borderId="43" applyAlignment="1" pivotButton="0" quotePrefix="0" xfId="0">
      <alignment horizontal="center"/>
    </xf>
    <xf numFmtId="0" fontId="18" fillId="2" borderId="51" applyAlignment="1" applyProtection="1" pivotButton="0" quotePrefix="0" xfId="0">
      <alignment horizontal="center"/>
      <protection locked="0" hidden="0"/>
    </xf>
    <xf numFmtId="0" fontId="30" fillId="2" borderId="27" applyAlignment="1" applyProtection="1" pivotButton="0" quotePrefix="0" xfId="0">
      <alignment horizontal="center"/>
      <protection locked="0" hidden="0"/>
    </xf>
    <xf numFmtId="0" fontId="4" fillId="2" borderId="59" applyAlignment="1" pivotButton="0" quotePrefix="0" xfId="1">
      <alignment horizontal="left" vertical="center" wrapText="1" indent="1"/>
    </xf>
    <xf numFmtId="0" fontId="4" fillId="2" borderId="37" applyAlignment="1" pivotButton="0" quotePrefix="0" xfId="1">
      <alignment horizontal="left" vertical="center" wrapText="1" indent="1"/>
    </xf>
    <xf numFmtId="0" fontId="4" fillId="2" borderId="33" applyAlignment="1" pivotButton="0" quotePrefix="0" xfId="1">
      <alignment horizontal="left" vertical="center" wrapText="1" indent="1"/>
    </xf>
    <xf numFmtId="0" fontId="4" fillId="0" borderId="42" applyAlignment="1" pivotButton="0" quotePrefix="0" xfId="1">
      <alignment horizontal="left" vertical="center" wrapText="1" indent="2"/>
    </xf>
    <xf numFmtId="0" fontId="4" fillId="0" borderId="36" applyAlignment="1" pivotButton="0" quotePrefix="0" xfId="1">
      <alignment horizontal="left" vertical="center" wrapText="1" indent="2"/>
    </xf>
    <xf numFmtId="0" fontId="10" fillId="0" borderId="59" applyAlignment="1" pivotButton="0" quotePrefix="0" xfId="1">
      <alignment horizontal="left" vertical="center" wrapText="1" indent="1"/>
    </xf>
    <xf numFmtId="0" fontId="10" fillId="0" borderId="33" applyAlignment="1" pivotButton="0" quotePrefix="0" xfId="1">
      <alignment horizontal="left" vertical="center" wrapText="1" indent="1"/>
    </xf>
    <xf numFmtId="0" fontId="4" fillId="0" borderId="59" applyAlignment="1" pivotButton="0" quotePrefix="0" xfId="1">
      <alignment horizontal="left" wrapText="1" indent="1"/>
    </xf>
    <xf numFmtId="0" fontId="4" fillId="0" borderId="37" applyAlignment="1" pivotButton="0" quotePrefix="0" xfId="1">
      <alignment horizontal="left" wrapText="1" indent="1"/>
    </xf>
    <xf numFmtId="0" fontId="4" fillId="0" borderId="33" applyAlignment="1" pivotButton="0" quotePrefix="0" xfId="1">
      <alignment horizontal="left" wrapText="1" indent="1"/>
    </xf>
    <xf numFmtId="0" fontId="18" fillId="2" borderId="54" applyAlignment="1" applyProtection="1" pivotButton="0" quotePrefix="0" xfId="0">
      <alignment horizontal="center"/>
      <protection locked="0" hidden="0"/>
    </xf>
    <xf numFmtId="0" fontId="18" fillId="2" borderId="57" applyAlignment="1" applyProtection="1" pivotButton="0" quotePrefix="0" xfId="0">
      <alignment horizontal="center"/>
      <protection locked="0" hidden="0"/>
    </xf>
    <xf numFmtId="0" fontId="18" fillId="2" borderId="43" applyAlignment="1" applyProtection="1" pivotButton="0" quotePrefix="0" xfId="0">
      <alignment horizontal="center"/>
      <protection locked="0" hidden="0"/>
    </xf>
    <xf numFmtId="0" fontId="30" fillId="2" borderId="26" applyAlignment="1" applyProtection="1" pivotButton="0" quotePrefix="0" xfId="0">
      <alignment horizontal="center"/>
      <protection locked="0" hidden="0"/>
    </xf>
    <xf numFmtId="0" fontId="30" fillId="2" borderId="44" applyAlignment="1" applyProtection="1" pivotButton="0" quotePrefix="0" xfId="0">
      <alignment horizontal="center"/>
      <protection locked="0" hidden="0"/>
    </xf>
    <xf numFmtId="166" fontId="4" fillId="0" borderId="12" applyAlignment="1" applyProtection="1" pivotButton="0" quotePrefix="0" xfId="1">
      <alignment horizontal="center" vertical="center"/>
      <protection locked="0" hidden="0"/>
    </xf>
    <xf numFmtId="166" fontId="4" fillId="0" borderId="13" applyAlignment="1" applyProtection="1" pivotButton="0" quotePrefix="0" xfId="1">
      <alignment horizontal="center" vertical="center"/>
      <protection locked="0" hidden="0"/>
    </xf>
    <xf numFmtId="166" fontId="4" fillId="0" borderId="14" applyAlignment="1" applyProtection="1" pivotButton="0" quotePrefix="0" xfId="1">
      <alignment horizontal="center" vertical="center"/>
      <protection locked="0" hidden="0"/>
    </xf>
    <xf numFmtId="0" fontId="6" fillId="0" borderId="7" applyAlignment="1" pivotButton="0" quotePrefix="0" xfId="1">
      <alignment horizontal="center" vertical="center" wrapText="1"/>
    </xf>
    <xf numFmtId="0" fontId="6" fillId="0" borderId="5" applyAlignment="1" pivotButton="0" quotePrefix="0" xfId="1">
      <alignment horizontal="center" vertical="center" wrapText="1"/>
    </xf>
    <xf numFmtId="0" fontId="25" fillId="5" borderId="0" applyAlignment="1" pivotButton="0" quotePrefix="0" xfId="0">
      <alignment vertical="top"/>
    </xf>
    <xf numFmtId="0" fontId="7" fillId="2" borderId="56" applyAlignment="1" pivotButton="0" quotePrefix="0" xfId="1">
      <alignment horizontal="left" vertical="center" wrapText="1" indent="1"/>
    </xf>
    <xf numFmtId="0" fontId="7" fillId="2" borderId="52" applyAlignment="1" pivotButton="0" quotePrefix="0" xfId="1">
      <alignment horizontal="left" vertical="center" wrapText="1" indent="1"/>
    </xf>
    <xf numFmtId="0" fontId="7" fillId="2" borderId="55" applyAlignment="1" pivotButton="0" quotePrefix="0" xfId="1">
      <alignment horizontal="left" vertical="center" wrapText="1" indent="1"/>
    </xf>
    <xf numFmtId="0" fontId="7" fillId="2" borderId="60" applyAlignment="1" pivotButton="0" quotePrefix="0" xfId="1">
      <alignment horizontal="center" vertical="center"/>
    </xf>
    <xf numFmtId="0" fontId="7" fillId="2" borderId="58" applyAlignment="1" pivotButton="0" quotePrefix="0" xfId="1">
      <alignment horizontal="center" vertical="center"/>
    </xf>
    <xf numFmtId="0" fontId="7" fillId="2" borderId="61" applyAlignment="1" pivotButton="0" quotePrefix="0" xfId="1">
      <alignment horizontal="center" vertical="center"/>
    </xf>
    <xf numFmtId="0" fontId="9" fillId="2" borderId="56" applyAlignment="1" pivotButton="0" quotePrefix="0" xfId="1">
      <alignment horizontal="center" wrapText="1"/>
    </xf>
    <xf numFmtId="0" fontId="9" fillId="2" borderId="52" applyAlignment="1" pivotButton="0" quotePrefix="0" xfId="1">
      <alignment horizontal="center" wrapText="1"/>
    </xf>
    <xf numFmtId="0" fontId="9" fillId="2" borderId="55" applyAlignment="1" pivotButton="0" quotePrefix="0" xfId="1">
      <alignment horizontal="center" wrapText="1"/>
    </xf>
    <xf numFmtId="0" fontId="4" fillId="2" borderId="30" applyAlignment="1" applyProtection="1" pivotButton="0" quotePrefix="0" xfId="1">
      <alignment horizontal="center" vertical="center"/>
      <protection locked="0" hidden="0"/>
    </xf>
    <xf numFmtId="0" fontId="16" fillId="2" borderId="0" applyAlignment="1" pivotButton="0" quotePrefix="0" xfId="0">
      <alignment horizontal="center"/>
    </xf>
    <xf numFmtId="0" fontId="18" fillId="0" borderId="38" applyAlignment="1" pivotButton="0" quotePrefix="0" xfId="0">
      <alignment horizontal="left"/>
    </xf>
    <xf numFmtId="0" fontId="4" fillId="0" borderId="37" applyAlignment="1" pivotButton="0" quotePrefix="1" xfId="1">
      <alignment horizontal="left" vertical="center"/>
    </xf>
    <xf numFmtId="0" fontId="10" fillId="2" borderId="46" applyAlignment="1" pivotButton="0" quotePrefix="0" xfId="1">
      <alignment horizontal="left" vertical="center" wrapText="1" indent="1"/>
    </xf>
    <xf numFmtId="0" fontId="34" fillId="2" borderId="41" applyAlignment="1" pivotButton="0" quotePrefix="0" xfId="0">
      <alignment horizontal="left" wrapText="1" indent="1"/>
    </xf>
    <xf numFmtId="0" fontId="34" fillId="2" borderId="39" applyAlignment="1" pivotButton="0" quotePrefix="0" xfId="0">
      <alignment horizontal="left" wrapText="1" indent="1"/>
    </xf>
    <xf numFmtId="0" fontId="10" fillId="2" borderId="11" applyAlignment="1" pivotButton="0" quotePrefix="0" xfId="1">
      <alignment horizontal="left" vertical="center" wrapText="1" indent="1"/>
    </xf>
    <xf numFmtId="0" fontId="10" fillId="2" borderId="9" applyAlignment="1" pivotButton="0" quotePrefix="0" xfId="1">
      <alignment horizontal="left" vertical="center" wrapText="1" indent="1"/>
    </xf>
    <xf numFmtId="0" fontId="4" fillId="2" borderId="61" applyAlignment="1" applyProtection="1" pivotButton="0" quotePrefix="0" xfId="1">
      <alignment horizontal="center" vertical="center"/>
      <protection locked="0" hidden="0"/>
    </xf>
    <xf numFmtId="0" fontId="18" fillId="2" borderId="56" applyAlignment="1" applyProtection="1" pivotButton="0" quotePrefix="0" xfId="0">
      <alignment horizontal="center"/>
      <protection locked="0" hidden="0"/>
    </xf>
    <xf numFmtId="0" fontId="18" fillId="2" borderId="52" applyAlignment="1" applyProtection="1" pivotButton="0" quotePrefix="0" xfId="0">
      <alignment horizontal="center"/>
      <protection locked="0" hidden="0"/>
    </xf>
    <xf numFmtId="0" fontId="0" fillId="0" borderId="48" applyAlignment="1" pivotButton="0" quotePrefix="0" xfId="0">
      <alignment horizontal="center" wrapText="1"/>
    </xf>
    <xf numFmtId="0" fontId="0" fillId="0" borderId="66" applyAlignment="1" pivotButton="0" quotePrefix="0" xfId="0">
      <alignment horizontal="center" wrapText="1"/>
    </xf>
    <xf numFmtId="0" fontId="18" fillId="2" borderId="55" applyAlignment="1" applyProtection="1" pivotButton="0" quotePrefix="0" xfId="0">
      <alignment horizontal="center"/>
      <protection locked="0" hidden="0"/>
    </xf>
    <xf numFmtId="0" fontId="4" fillId="2" borderId="23" applyAlignment="1" pivotButton="0" quotePrefix="0" xfId="1">
      <alignment horizontal="left" vertical="center" wrapText="1" indent="1"/>
    </xf>
    <xf numFmtId="0" fontId="6" fillId="2" borderId="7" applyAlignment="1" pivotButton="0" quotePrefix="0" xfId="1">
      <alignment horizontal="center" wrapText="1"/>
    </xf>
    <xf numFmtId="0" fontId="20" fillId="2" borderId="45" applyAlignment="1" pivotButton="0" quotePrefix="0" xfId="0">
      <alignment horizontal="center" vertical="center" wrapText="1"/>
    </xf>
    <xf numFmtId="0" fontId="20" fillId="2" borderId="34" applyAlignment="1" pivotButton="0" quotePrefix="0" xfId="0">
      <alignment horizontal="center" vertical="center" wrapText="1"/>
    </xf>
    <xf numFmtId="0" fontId="4" fillId="2" borderId="4" applyAlignment="1" applyProtection="1" pivotButton="0" quotePrefix="0" xfId="1">
      <alignment horizontal="center" vertical="center"/>
      <protection locked="0" hidden="0"/>
    </xf>
    <xf numFmtId="0" fontId="4" fillId="2" borderId="8" applyAlignment="1" applyProtection="1" pivotButton="0" quotePrefix="0" xfId="1">
      <alignment horizontal="center" vertical="center"/>
      <protection locked="0" hidden="0"/>
    </xf>
    <xf numFmtId="0" fontId="18" fillId="0" borderId="0" applyAlignment="1" pivotButton="0" quotePrefix="0" xfId="0">
      <alignment horizontal="left" vertical="center" wrapText="1"/>
    </xf>
    <xf numFmtId="0" fontId="17" fillId="0" borderId="0" applyAlignment="1" pivotButton="0" quotePrefix="0" xfId="0">
      <alignment horizontal="left" vertical="center" wrapText="1" indent="1"/>
    </xf>
    <xf numFmtId="0" fontId="25" fillId="5" borderId="0" applyAlignment="1" pivotButton="0" quotePrefix="0" xfId="0">
      <alignment horizontal="left" vertical="top" wrapText="1"/>
    </xf>
    <xf numFmtId="0" fontId="4" fillId="2" borderId="47" applyAlignment="1" pivotButton="0" quotePrefix="0" xfId="1">
      <alignment horizontal="left" vertical="center" wrapText="1" indent="1"/>
    </xf>
    <xf numFmtId="0" fontId="4" fillId="2" borderId="38" applyAlignment="1" pivotButton="0" quotePrefix="0" xfId="1">
      <alignment horizontal="left" vertical="center" wrapText="1" indent="1"/>
    </xf>
    <xf numFmtId="0" fontId="4" fillId="2" borderId="46" applyAlignment="1" pivotButton="0" quotePrefix="0" xfId="1">
      <alignment horizontal="left" vertical="center" wrapText="1" indent="1"/>
    </xf>
    <xf numFmtId="0" fontId="17" fillId="0" borderId="0" applyAlignment="1" pivotButton="0" quotePrefix="0" xfId="0">
      <alignment horizontal="left" wrapText="1" indent="1"/>
    </xf>
    <xf numFmtId="0" fontId="10" fillId="2" borderId="59" applyAlignment="1" pivotButton="0" quotePrefix="0" xfId="1">
      <alignment horizontal="left" vertical="center" wrapText="1" indent="1"/>
    </xf>
    <xf numFmtId="0" fontId="10" fillId="2" borderId="33" applyAlignment="1" pivotButton="0" quotePrefix="0" xfId="1">
      <alignment horizontal="left" vertical="center" wrapText="1" indent="1"/>
    </xf>
    <xf numFmtId="0" fontId="45" fillId="0" borderId="0" applyAlignment="1" pivotButton="0" quotePrefix="1" xfId="0">
      <alignment horizontal="left"/>
    </xf>
    <xf numFmtId="0" fontId="4" fillId="0" borderId="49" applyAlignment="1" pivotButton="0" quotePrefix="0" xfId="1">
      <alignment vertical="center"/>
    </xf>
    <xf numFmtId="0" fontId="18" fillId="0" borderId="0" applyAlignment="1" pivotButton="0" quotePrefix="0" xfId="0">
      <alignment horizontal="left"/>
    </xf>
    <xf numFmtId="0" fontId="4" fillId="0" borderId="0" applyAlignment="1" pivotButton="0" quotePrefix="1" xfId="0">
      <alignment horizontal="left" vertical="center"/>
    </xf>
    <xf numFmtId="0" fontId="7" fillId="2" borderId="55" applyAlignment="1" pivotButton="0" quotePrefix="0" xfId="1">
      <alignment horizontal="left" vertical="center" indent="1"/>
    </xf>
    <xf numFmtId="0" fontId="10" fillId="2" borderId="32" applyAlignment="1" pivotButton="0" quotePrefix="0" xfId="1">
      <alignment horizontal="left" vertical="center" wrapText="1" indent="1"/>
    </xf>
    <xf numFmtId="0" fontId="10" fillId="2" borderId="6" applyAlignment="1" pivotButton="0" quotePrefix="0" xfId="1">
      <alignment horizontal="left" vertical="center" wrapText="1" indent="1"/>
    </xf>
    <xf numFmtId="0" fontId="10" fillId="2" borderId="8" applyAlignment="1" pivotButton="0" quotePrefix="0" xfId="1">
      <alignment horizontal="left" vertical="center" wrapText="1" indent="1"/>
    </xf>
    <xf numFmtId="0" fontId="7" fillId="2" borderId="6" applyAlignment="1" pivotButton="0" quotePrefix="0" xfId="1">
      <alignment horizontal="center"/>
    </xf>
    <xf numFmtId="0" fontId="7" fillId="2" borderId="8" applyAlignment="1" pivotButton="0" quotePrefix="0" xfId="1">
      <alignment horizontal="center"/>
    </xf>
    <xf numFmtId="0" fontId="7" fillId="2" borderId="20" applyAlignment="1" pivotButton="0" quotePrefix="0" xfId="1">
      <alignment horizontal="center"/>
    </xf>
    <xf numFmtId="0" fontId="7" fillId="2" borderId="23" applyAlignment="1" pivotButton="0" quotePrefix="0" xfId="1">
      <alignment horizontal="center"/>
    </xf>
    <xf numFmtId="0" fontId="7" fillId="0" borderId="60" applyAlignment="1" pivotButton="0" quotePrefix="0" xfId="1">
      <alignment horizontal="center" vertical="center"/>
    </xf>
    <xf numFmtId="0" fontId="4" fillId="2" borderId="56" applyAlignment="1" pivotButton="0" quotePrefix="0" xfId="1">
      <alignment horizontal="center" vertical="center"/>
    </xf>
    <xf numFmtId="0" fontId="4" fillId="2" borderId="52" applyAlignment="1" pivotButton="0" quotePrefix="0" xfId="1">
      <alignment horizontal="center" vertical="center"/>
    </xf>
    <xf numFmtId="0" fontId="4" fillId="2" borderId="55" applyAlignment="1" pivotButton="0" quotePrefix="0" xfId="1">
      <alignment horizontal="center" vertical="center"/>
    </xf>
    <xf numFmtId="0" fontId="4" fillId="0" borderId="27" applyAlignment="1" applyProtection="1" pivotButton="0" quotePrefix="0" xfId="1">
      <alignment horizontal="center" vertical="center"/>
      <protection locked="0" hidden="0"/>
    </xf>
    <xf numFmtId="0" fontId="20" fillId="2" borderId="50" applyAlignment="1" pivotButton="0" quotePrefix="0" xfId="0">
      <alignment horizontal="left" vertical="center" wrapText="1"/>
    </xf>
    <xf numFmtId="0" fontId="20" fillId="2" borderId="48" applyAlignment="1" pivotButton="0" quotePrefix="0" xfId="0">
      <alignment horizontal="left" vertical="center" wrapText="1"/>
    </xf>
    <xf numFmtId="0" fontId="20" fillId="2" borderId="49" applyAlignment="1" pivotButton="0" quotePrefix="0" xfId="0">
      <alignment horizontal="left" vertical="center" wrapText="1"/>
    </xf>
    <xf numFmtId="0" fontId="20" fillId="2" borderId="42" applyAlignment="1" pivotButton="0" quotePrefix="0" xfId="0">
      <alignment horizontal="left" vertical="center" wrapText="1"/>
    </xf>
    <xf numFmtId="0" fontId="20" fillId="2" borderId="36" applyAlignment="1" pivotButton="0" quotePrefix="0" xfId="0">
      <alignment horizontal="left" vertical="center" wrapText="1"/>
    </xf>
    <xf numFmtId="0" fontId="20" fillId="2" borderId="40" applyAlignment="1" pivotButton="0" quotePrefix="0" xfId="0">
      <alignment horizontal="left" vertical="center" wrapText="1"/>
    </xf>
    <xf numFmtId="0" fontId="20" fillId="2" borderId="50" applyAlignment="1" pivotButton="0" quotePrefix="0" xfId="0">
      <alignment horizontal="center" vertical="center" wrapText="1"/>
    </xf>
    <xf numFmtId="0" fontId="20" fillId="2" borderId="49" applyAlignment="1" pivotButton="0" quotePrefix="0" xfId="0">
      <alignment horizontal="center" vertical="center" wrapText="1"/>
    </xf>
    <xf numFmtId="0" fontId="20" fillId="2" borderId="42" applyAlignment="1" pivotButton="0" quotePrefix="0" xfId="0">
      <alignment horizontal="center" vertical="center" wrapText="1"/>
    </xf>
    <xf numFmtId="0" fontId="20" fillId="2" borderId="40" applyAlignment="1" pivotButton="0" quotePrefix="0" xfId="0">
      <alignment horizontal="center" vertical="center" wrapText="1"/>
    </xf>
    <xf numFmtId="0" fontId="31" fillId="5" borderId="0" applyAlignment="1" pivotButton="0" quotePrefix="0" xfId="0">
      <alignment vertical="top"/>
    </xf>
    <xf numFmtId="0" fontId="4" fillId="0" borderId="0" applyAlignment="1" pivotButton="0" quotePrefix="1" xfId="0">
      <alignment horizontal="left" wrapText="1"/>
    </xf>
    <xf numFmtId="0" fontId="4" fillId="0" borderId="34" applyAlignment="1" applyProtection="1" pivotButton="0" quotePrefix="0" xfId="1">
      <alignment horizontal="center" vertical="center"/>
      <protection locked="0" hidden="0"/>
    </xf>
    <xf numFmtId="0" fontId="18" fillId="0" borderId="0" applyAlignment="1" pivotButton="0" quotePrefix="0" xfId="0">
      <alignment horizontal="left" wrapText="1"/>
    </xf>
    <xf numFmtId="0" fontId="7" fillId="2" borderId="22" applyAlignment="1" pivotButton="0" quotePrefix="0" xfId="1">
      <alignment horizontal="center" vertical="center"/>
    </xf>
    <xf numFmtId="0" fontId="4" fillId="0" borderId="14" applyAlignment="1" applyProtection="1" pivotButton="0" quotePrefix="0" xfId="1">
      <alignment horizontal="center" vertical="center"/>
      <protection locked="0" hidden="0"/>
    </xf>
    <xf numFmtId="0" fontId="18" fillId="2" borderId="20" applyAlignment="1" pivotButton="0" quotePrefix="0" xfId="0">
      <alignment horizontal="left" vertical="center" wrapText="1" indent="1"/>
    </xf>
    <xf numFmtId="0" fontId="18" fillId="2" borderId="22" applyAlignment="1" pivotButton="0" quotePrefix="0" xfId="0">
      <alignment horizontal="left" vertical="center" wrapText="1" indent="1"/>
    </xf>
    <xf numFmtId="0" fontId="18" fillId="2" borderId="23" applyAlignment="1" pivotButton="0" quotePrefix="0" xfId="0">
      <alignment horizontal="left" vertical="center" wrapText="1" indent="1"/>
    </xf>
    <xf numFmtId="0" fontId="7" fillId="0" borderId="60" applyAlignment="1" pivotButton="0" quotePrefix="0" xfId="1">
      <alignment horizontal="left" vertical="center"/>
    </xf>
    <xf numFmtId="0" fontId="7" fillId="0" borderId="58" applyAlignment="1" pivotButton="0" quotePrefix="0" xfId="1">
      <alignment horizontal="left" vertical="center"/>
    </xf>
    <xf numFmtId="0" fontId="7" fillId="0" borderId="54" applyAlignment="1" pivotButton="0" quotePrefix="0" xfId="1">
      <alignment horizontal="left" vertical="center"/>
    </xf>
    <xf numFmtId="0" fontId="46" fillId="0" borderId="0" applyAlignment="1" pivotButton="0" quotePrefix="1" xfId="0">
      <alignment horizontal="left" wrapText="1"/>
    </xf>
    <xf numFmtId="0" fontId="15" fillId="0" borderId="0" applyAlignment="1" pivotButton="0" quotePrefix="1" xfId="0">
      <alignment horizontal="left" wrapText="1"/>
    </xf>
    <xf numFmtId="0" fontId="4" fillId="2" borderId="47" applyAlignment="1" pivotButton="0" quotePrefix="0" xfId="1">
      <alignment horizontal="left" vertical="center" wrapText="1" indent="2"/>
    </xf>
    <xf numFmtId="0" fontId="4" fillId="2" borderId="38" applyAlignment="1" pivotButton="0" quotePrefix="0" xfId="1">
      <alignment horizontal="left" vertical="center" wrapText="1" indent="2"/>
    </xf>
    <xf numFmtId="0" fontId="18" fillId="2" borderId="3" applyAlignment="1" pivotButton="0" quotePrefix="0" xfId="0">
      <alignment horizontal="left" indent="1"/>
    </xf>
    <xf numFmtId="0" fontId="18" fillId="2" borderId="1" applyAlignment="1" pivotButton="0" quotePrefix="0" xfId="0">
      <alignment horizontal="left" indent="1"/>
    </xf>
    <xf numFmtId="0" fontId="18" fillId="2" borderId="2" applyAlignment="1" pivotButton="0" quotePrefix="0" xfId="0">
      <alignment horizontal="left" indent="1"/>
    </xf>
    <xf numFmtId="0" fontId="18" fillId="2" borderId="20" applyAlignment="1" applyProtection="1" pivotButton="0" quotePrefix="0" xfId="0">
      <alignment horizontal="center"/>
      <protection locked="0" hidden="0"/>
    </xf>
    <xf numFmtId="0" fontId="18" fillId="2" borderId="22" applyAlignment="1" applyProtection="1" pivotButton="0" quotePrefix="0" xfId="0">
      <alignment horizontal="center"/>
      <protection locked="0" hidden="0"/>
    </xf>
    <xf numFmtId="0" fontId="18" fillId="2" borderId="23" applyAlignment="1" applyProtection="1" pivotButton="0" quotePrefix="0" xfId="0">
      <alignment horizontal="center"/>
      <protection locked="0" hidden="0"/>
    </xf>
    <xf numFmtId="0" fontId="20" fillId="2" borderId="60" applyAlignment="1" pivotButton="0" quotePrefix="0" xfId="0">
      <alignment horizontal="left" indent="1"/>
    </xf>
    <xf numFmtId="0" fontId="20" fillId="2" borderId="58" applyAlignment="1" pivotButton="0" quotePrefix="0" xfId="0">
      <alignment horizontal="left" indent="1"/>
    </xf>
    <xf numFmtId="0" fontId="20" fillId="2" borderId="54" applyAlignment="1" pivotButton="0" quotePrefix="0" xfId="0">
      <alignment horizontal="left" indent="1"/>
    </xf>
    <xf numFmtId="0" fontId="20" fillId="0" borderId="59" applyAlignment="1" pivotButton="0" quotePrefix="0" xfId="0">
      <alignment horizontal="center" vertical="center"/>
    </xf>
    <xf numFmtId="0" fontId="20" fillId="0" borderId="37" applyAlignment="1" pivotButton="0" quotePrefix="0" xfId="0">
      <alignment horizontal="center" vertical="center"/>
    </xf>
    <xf numFmtId="0" fontId="20" fillId="0" borderId="33" applyAlignment="1" pivotButton="0" quotePrefix="0" xfId="0">
      <alignment horizontal="center" vertical="center"/>
    </xf>
    <xf numFmtId="0" fontId="4" fillId="0" borderId="62" applyAlignment="1" applyProtection="1" pivotButton="0" quotePrefix="0" xfId="1">
      <alignment horizontal="center" vertical="center"/>
      <protection locked="0" hidden="0"/>
    </xf>
    <xf numFmtId="0" fontId="4" fillId="0" borderId="12" applyAlignment="1" applyProtection="1" pivotButton="0" quotePrefix="0" xfId="1">
      <alignment horizontal="center" vertical="center"/>
      <protection locked="0" hidden="0"/>
    </xf>
    <xf numFmtId="0" fontId="4" fillId="0" borderId="31" applyAlignment="1" applyProtection="1" pivotButton="0" quotePrefix="0" xfId="1">
      <alignment horizontal="center" vertical="center"/>
      <protection locked="0" hidden="0"/>
    </xf>
    <xf numFmtId="0" fontId="20" fillId="0" borderId="56" applyAlignment="1" pivotButton="0" quotePrefix="0" xfId="0">
      <alignment horizontal="center"/>
    </xf>
    <xf numFmtId="0" fontId="6" fillId="0" borderId="0" applyAlignment="1" pivotButton="0" quotePrefix="0" xfId="0">
      <alignment horizontal="left" vertical="center" wrapText="1"/>
    </xf>
    <xf numFmtId="0" fontId="4" fillId="0" borderId="0" applyAlignment="1" pivotButton="0" quotePrefix="0" xfId="0">
      <alignment horizontal="left" wrapText="1"/>
    </xf>
    <xf numFmtId="0" fontId="18" fillId="2" borderId="50" applyAlignment="1" pivotButton="0" quotePrefix="0" xfId="0">
      <alignment horizontal="left" vertical="center" indent="1"/>
    </xf>
    <xf numFmtId="0" fontId="18" fillId="2" borderId="48" applyAlignment="1" pivotButton="0" quotePrefix="0" xfId="0">
      <alignment horizontal="left" vertical="center" indent="1"/>
    </xf>
    <xf numFmtId="0" fontId="18" fillId="2" borderId="49" applyAlignment="1" pivotButton="0" quotePrefix="0" xfId="0">
      <alignment horizontal="left" vertical="center" indent="1"/>
    </xf>
    <xf numFmtId="0" fontId="18" fillId="2" borderId="12" applyAlignment="1" applyProtection="1" pivotButton="0" quotePrefix="0" xfId="0">
      <alignment horizontal="center"/>
      <protection locked="0" hidden="0"/>
    </xf>
    <xf numFmtId="0" fontId="18" fillId="2" borderId="13" applyAlignment="1" applyProtection="1" pivotButton="0" quotePrefix="0" xfId="0">
      <alignment horizontal="center"/>
      <protection locked="0" hidden="0"/>
    </xf>
    <xf numFmtId="0" fontId="18" fillId="2" borderId="14" applyAlignment="1" applyProtection="1" pivotButton="0" quotePrefix="0" xfId="0">
      <alignment horizontal="center"/>
      <protection locked="0" hidden="0"/>
    </xf>
    <xf numFmtId="0" fontId="18" fillId="2" borderId="16" applyAlignment="1" pivotButton="0" quotePrefix="0" xfId="0">
      <alignment horizontal="left" indent="1"/>
    </xf>
    <xf numFmtId="0" fontId="18" fillId="2" borderId="15" applyAlignment="1" applyProtection="1" pivotButton="0" quotePrefix="0" xfId="0">
      <alignment horizontal="center"/>
      <protection locked="0" hidden="0"/>
    </xf>
    <xf numFmtId="0" fontId="18" fillId="2" borderId="1" applyAlignment="1" applyProtection="1" pivotButton="0" quotePrefix="0" xfId="0">
      <alignment horizontal="center"/>
      <protection locked="0" hidden="0"/>
    </xf>
    <xf numFmtId="0" fontId="18" fillId="2" borderId="16" applyAlignment="1" applyProtection="1" pivotButton="0" quotePrefix="0" xfId="0">
      <alignment horizontal="center"/>
      <protection locked="0" hidden="0"/>
    </xf>
    <xf numFmtId="0" fontId="20" fillId="2" borderId="61" applyAlignment="1" pivotButton="0" quotePrefix="0" xfId="0">
      <alignment horizontal="left" indent="1"/>
    </xf>
    <xf numFmtId="0" fontId="20" fillId="2" borderId="57" applyAlignment="1" pivotButton="0" quotePrefix="0" xfId="0">
      <alignment horizontal="center"/>
    </xf>
    <xf numFmtId="0" fontId="18" fillId="2" borderId="6" applyAlignment="1" pivotButton="0" quotePrefix="0" xfId="0">
      <alignment horizontal="left" indent="1"/>
    </xf>
    <xf numFmtId="0" fontId="18" fillId="2" borderId="4" applyAlignment="1" pivotButton="0" quotePrefix="0" xfId="0">
      <alignment horizontal="left" indent="1"/>
    </xf>
    <xf numFmtId="0" fontId="18" fillId="2" borderId="8" applyAlignment="1" pivotButton="0" quotePrefix="0" xfId="0">
      <alignment horizontal="left" indent="1"/>
    </xf>
    <xf numFmtId="0" fontId="4" fillId="0" borderId="0" applyAlignment="1" pivotButton="0" quotePrefix="0" xfId="0">
      <alignment horizontal="left"/>
    </xf>
    <xf numFmtId="0" fontId="4" fillId="0" borderId="0" applyAlignment="1" pivotButton="0" quotePrefix="1" xfId="0">
      <alignment horizontal="left" vertical="center" wrapText="1"/>
    </xf>
    <xf numFmtId="0" fontId="18" fillId="2" borderId="59" applyAlignment="1" pivotButton="0" quotePrefix="0" xfId="0">
      <alignment horizontal="left" wrapText="1" indent="1"/>
    </xf>
    <xf numFmtId="0" fontId="18" fillId="2" borderId="37" applyAlignment="1" pivotButton="0" quotePrefix="0" xfId="0">
      <alignment horizontal="left" wrapText="1" indent="1"/>
    </xf>
    <xf numFmtId="0" fontId="18" fillId="2" borderId="33" applyAlignment="1" pivotButton="0" quotePrefix="0" xfId="0">
      <alignment horizontal="left" wrapText="1" indent="1"/>
    </xf>
    <xf numFmtId="0" fontId="18" fillId="2" borderId="30" applyAlignment="1" pivotButton="0" quotePrefix="0" xfId="0">
      <alignment horizontal="left" indent="1"/>
    </xf>
    <xf numFmtId="0" fontId="18" fillId="2" borderId="13" applyAlignment="1" pivotButton="0" quotePrefix="0" xfId="0">
      <alignment horizontal="left" indent="1"/>
    </xf>
    <xf numFmtId="0" fontId="18" fillId="2" borderId="14" applyAlignment="1" pivotButton="0" quotePrefix="0" xfId="0">
      <alignment horizontal="left" indent="1"/>
    </xf>
    <xf numFmtId="0" fontId="18" fillId="2" borderId="7" applyAlignment="1" applyProtection="1" pivotButton="0" quotePrefix="0" xfId="0">
      <alignment horizontal="center"/>
      <protection locked="0" hidden="0"/>
    </xf>
    <xf numFmtId="0" fontId="18" fillId="2" borderId="4" applyAlignment="1" applyProtection="1" pivotButton="0" quotePrefix="0" xfId="0">
      <alignment horizontal="center"/>
      <protection locked="0" hidden="0"/>
    </xf>
    <xf numFmtId="0" fontId="18" fillId="2" borderId="8" applyAlignment="1" applyProtection="1" pivotButton="0" quotePrefix="0" xfId="0">
      <alignment horizontal="center"/>
      <protection locked="0" hidden="0"/>
    </xf>
    <xf numFmtId="0" fontId="19" fillId="2" borderId="0" applyAlignment="1" pivotButton="0" quotePrefix="0" xfId="0">
      <alignment horizontal="left" vertical="top" indent="1"/>
    </xf>
    <xf numFmtId="0" fontId="20" fillId="2" borderId="56" applyAlignment="1" pivotButton="0" quotePrefix="0" xfId="0">
      <alignment horizontal="left" indent="1"/>
    </xf>
    <xf numFmtId="0" fontId="20" fillId="2" borderId="52" applyAlignment="1" pivotButton="0" quotePrefix="0" xfId="0">
      <alignment horizontal="left" indent="1"/>
    </xf>
    <xf numFmtId="0" fontId="20" fillId="2" borderId="55" applyAlignment="1" pivotButton="0" quotePrefix="0" xfId="0">
      <alignment horizontal="left" indent="1"/>
    </xf>
    <xf numFmtId="0" fontId="4" fillId="2" borderId="11" applyAlignment="1" pivotButton="0" quotePrefix="0" xfId="1">
      <alignment horizontal="left" vertical="top" wrapText="1" indent="2"/>
    </xf>
    <xf numFmtId="0" fontId="4" fillId="2" borderId="25" applyAlignment="1" pivotButton="0" quotePrefix="0" xfId="1">
      <alignment horizontal="left" vertical="top" wrapText="1" indent="2"/>
    </xf>
    <xf numFmtId="0" fontId="4" fillId="2" borderId="32" applyAlignment="1" pivotButton="0" quotePrefix="0" xfId="1">
      <alignment horizontal="left" vertical="top" wrapText="1" indent="2"/>
    </xf>
    <xf numFmtId="0" fontId="4" fillId="2" borderId="20" applyAlignment="1" pivotButton="0" quotePrefix="0" xfId="1">
      <alignment horizontal="left" vertical="top" wrapText="1" indent="2"/>
    </xf>
    <xf numFmtId="0" fontId="4" fillId="2" borderId="22" applyAlignment="1" pivotButton="0" quotePrefix="0" xfId="1">
      <alignment horizontal="left" vertical="top" wrapText="1" indent="2"/>
    </xf>
    <xf numFmtId="0" fontId="4" fillId="2" borderId="23" applyAlignment="1" pivotButton="0" quotePrefix="0" xfId="1">
      <alignment horizontal="left" vertical="top" wrapText="1" indent="2"/>
    </xf>
    <xf numFmtId="0" fontId="18" fillId="2" borderId="31" applyAlignment="1" pivotButton="0" quotePrefix="0" xfId="0">
      <alignment horizontal="left" indent="1"/>
    </xf>
    <xf numFmtId="0" fontId="18" fillId="2" borderId="6" applyAlignment="1" applyProtection="1" pivotButton="0" quotePrefix="0" xfId="0">
      <alignment horizontal="center"/>
      <protection locked="0" hidden="0"/>
    </xf>
    <xf numFmtId="0" fontId="20" fillId="0" borderId="6" applyAlignment="1" pivotButton="0" quotePrefix="0" xfId="0">
      <alignment horizontal="center"/>
    </xf>
    <xf numFmtId="0" fontId="20" fillId="0" borderId="4" applyAlignment="1" pivotButton="0" quotePrefix="0" xfId="0">
      <alignment horizontal="center"/>
    </xf>
    <xf numFmtId="0" fontId="20" fillId="0" borderId="8" applyAlignment="1" pivotButton="0" quotePrefix="0" xfId="0">
      <alignment horizontal="center"/>
    </xf>
    <xf numFmtId="0" fontId="18" fillId="2" borderId="47" applyAlignment="1" pivotButton="0" quotePrefix="0" xfId="0">
      <alignment horizontal="left" vertical="center" wrapText="1" indent="1"/>
    </xf>
    <xf numFmtId="0" fontId="18" fillId="2" borderId="38" applyAlignment="1" pivotButton="0" quotePrefix="0" xfId="0">
      <alignment horizontal="left" vertical="center" wrapText="1" indent="1"/>
    </xf>
    <xf numFmtId="0" fontId="18" fillId="2" borderId="39" applyAlignment="1" pivotButton="0" quotePrefix="0" xfId="0">
      <alignment horizontal="left" vertical="center" wrapText="1" indent="1"/>
    </xf>
    <xf numFmtId="0" fontId="18" fillId="2" borderId="38" applyAlignment="1" pivotButton="0" quotePrefix="0" xfId="0">
      <alignment horizontal="center" vertical="center"/>
    </xf>
    <xf numFmtId="0" fontId="18" fillId="2" borderId="46" applyAlignment="1" pivotButton="0" quotePrefix="0" xfId="0">
      <alignment horizontal="center" vertical="center"/>
    </xf>
    <xf numFmtId="0" fontId="18" fillId="0" borderId="59" applyAlignment="1" pivotButton="0" quotePrefix="0" xfId="0">
      <alignment horizontal="left" wrapText="1" indent="1"/>
    </xf>
    <xf numFmtId="0" fontId="18" fillId="0" borderId="37" applyAlignment="1" pivotButton="0" quotePrefix="0" xfId="0">
      <alignment horizontal="left" wrapText="1" indent="1"/>
    </xf>
    <xf numFmtId="0" fontId="18" fillId="0" borderId="33" applyAlignment="1" pivotButton="0" quotePrefix="0" xfId="0">
      <alignment horizontal="left" wrapText="1" indent="1"/>
    </xf>
    <xf numFmtId="0" fontId="18" fillId="2" borderId="18" applyAlignment="1" pivotButton="0" quotePrefix="0" xfId="0">
      <alignment horizontal="left" wrapText="1" indent="1"/>
    </xf>
    <xf numFmtId="0" fontId="4" fillId="2" borderId="11" applyAlignment="1" pivotButton="0" quotePrefix="0" xfId="1">
      <alignment horizontal="left" vertical="center" wrapText="1" indent="2"/>
    </xf>
    <xf numFmtId="0" fontId="4" fillId="2" borderId="25" applyAlignment="1" pivotButton="0" quotePrefix="0" xfId="1">
      <alignment horizontal="left" vertical="center" wrapText="1" indent="2"/>
    </xf>
    <xf numFmtId="0" fontId="4" fillId="2" borderId="9" applyAlignment="1" pivotButton="0" quotePrefix="0" xfId="1">
      <alignment horizontal="left" vertical="center" wrapText="1" indent="2"/>
    </xf>
    <xf numFmtId="0" fontId="20" fillId="2" borderId="56" applyAlignment="1" pivotButton="0" quotePrefix="0" xfId="0">
      <alignment horizontal="center" vertical="center"/>
    </xf>
    <xf numFmtId="0" fontId="20" fillId="2" borderId="52" applyAlignment="1" pivotButton="0" quotePrefix="0" xfId="0">
      <alignment horizontal="center" vertical="center"/>
    </xf>
    <xf numFmtId="0" fontId="20" fillId="2" borderId="55" applyAlignment="1" pivotButton="0" quotePrefix="0" xfId="0">
      <alignment horizontal="center" vertical="center"/>
    </xf>
    <xf numFmtId="0" fontId="18" fillId="0" borderId="6" applyAlignment="1" pivotButton="0" quotePrefix="0" xfId="0">
      <alignment horizontal="left" wrapText="1" indent="1"/>
    </xf>
    <xf numFmtId="0" fontId="18" fillId="0" borderId="4" applyAlignment="1" pivotButton="0" quotePrefix="0" xfId="0">
      <alignment horizontal="left" wrapText="1" indent="1"/>
    </xf>
    <xf numFmtId="0" fontId="18" fillId="0" borderId="5" applyAlignment="1" pivotButton="0" quotePrefix="0" xfId="0">
      <alignment horizontal="left" wrapText="1" indent="1"/>
    </xf>
    <xf numFmtId="0" fontId="18" fillId="2" borderId="19" applyAlignment="1" pivotButton="0" quotePrefix="0" xfId="0">
      <alignment horizontal="left" indent="1"/>
    </xf>
    <xf numFmtId="0" fontId="18" fillId="2" borderId="0" applyAlignment="1" pivotButton="0" quotePrefix="0" xfId="0">
      <alignment horizontal="left" indent="1"/>
    </xf>
    <xf numFmtId="0" fontId="18" fillId="2" borderId="59" applyAlignment="1" applyProtection="1" pivotButton="0" quotePrefix="0" xfId="0">
      <alignment horizontal="center"/>
      <protection locked="0" hidden="0"/>
    </xf>
    <xf numFmtId="0" fontId="18" fillId="2" borderId="45" applyAlignment="1" pivotButton="0" quotePrefix="0" xfId="0">
      <alignment horizontal="left" indent="1"/>
    </xf>
    <xf numFmtId="0" fontId="18" fillId="2" borderId="28" applyAlignment="1" pivotButton="0" quotePrefix="0" xfId="0">
      <alignment horizontal="left" indent="1"/>
    </xf>
    <xf numFmtId="0" fontId="18" fillId="2" borderId="45" applyAlignment="1" pivotButton="0" quotePrefix="0" xfId="0">
      <alignment horizontal="center"/>
    </xf>
    <xf numFmtId="0" fontId="18" fillId="2" borderId="28" applyAlignment="1" pivotButton="0" quotePrefix="0" xfId="0">
      <alignment horizontal="center"/>
    </xf>
    <xf numFmtId="0" fontId="18" fillId="2" borderId="34" applyAlignment="1" pivotButton="0" quotePrefix="0" xfId="0">
      <alignment horizontal="center"/>
    </xf>
    <xf numFmtId="0" fontId="7" fillId="0" borderId="78" applyAlignment="1" pivotButton="0" quotePrefix="0" xfId="1">
      <alignment horizontal="center"/>
    </xf>
    <xf numFmtId="0" fontId="7" fillId="0" borderId="79" applyAlignment="1" pivotButton="0" quotePrefix="0" xfId="1">
      <alignment horizontal="center"/>
    </xf>
    <xf numFmtId="0" fontId="19" fillId="2" borderId="0" applyAlignment="1" pivotButton="0" quotePrefix="0" xfId="0">
      <alignment horizontal="left" vertical="center" wrapText="1" indent="1"/>
    </xf>
    <xf numFmtId="0" fontId="4" fillId="0" borderId="56" applyAlignment="1" applyProtection="1" pivotButton="0" quotePrefix="0" xfId="1">
      <alignment horizontal="center" vertical="center"/>
      <protection locked="0" hidden="0"/>
    </xf>
    <xf numFmtId="0" fontId="4" fillId="0" borderId="52" applyAlignment="1" applyProtection="1" pivotButton="0" quotePrefix="0" xfId="1">
      <alignment horizontal="center" vertical="center"/>
      <protection locked="0" hidden="0"/>
    </xf>
    <xf numFmtId="0" fontId="7" fillId="0" borderId="45" applyAlignment="1" pivotButton="0" quotePrefix="0" xfId="1">
      <alignment horizontal="center" wrapText="1"/>
    </xf>
    <xf numFmtId="0" fontId="7" fillId="0" borderId="24" applyAlignment="1" pivotButton="0" quotePrefix="0" xfId="1">
      <alignment horizontal="center" wrapText="1"/>
    </xf>
    <xf numFmtId="0" fontId="18" fillId="0" borderId="0" applyAlignment="1" pivotButton="0" quotePrefix="1" xfId="0">
      <alignment horizontal="left" vertical="center" wrapText="1"/>
    </xf>
    <xf numFmtId="0" fontId="7" fillId="2" borderId="44" applyAlignment="1" pivotButton="0" quotePrefix="0" xfId="1">
      <alignment horizontal="center" vertical="center"/>
    </xf>
    <xf numFmtId="0" fontId="4" fillId="0" borderId="8" applyAlignment="1" applyProtection="1" pivotButton="0" quotePrefix="0" xfId="1">
      <alignment horizontal="center" wrapText="1"/>
      <protection locked="0" hidden="0"/>
    </xf>
    <xf numFmtId="0" fontId="18" fillId="0" borderId="20" applyAlignment="1" pivotButton="0" quotePrefix="0" xfId="0">
      <alignment horizontal="left" vertical="top"/>
    </xf>
    <xf numFmtId="0" fontId="18" fillId="0" borderId="22" applyAlignment="1" pivotButton="0" quotePrefix="0" xfId="0">
      <alignment horizontal="left" vertical="top"/>
    </xf>
    <xf numFmtId="0" fontId="18" fillId="2" borderId="0" applyAlignment="1" pivotButton="0" quotePrefix="0" xfId="0">
      <alignment horizontal="left" wrapText="1"/>
    </xf>
    <xf numFmtId="0" fontId="18" fillId="2" borderId="0" applyAlignment="1" pivotButton="0" quotePrefix="0" xfId="0">
      <alignment horizontal="left" vertical="center" wrapText="1"/>
    </xf>
    <xf numFmtId="0" fontId="7" fillId="2" borderId="25" applyAlignment="1" pivotButton="0" quotePrefix="0" xfId="1">
      <alignment horizontal="center" vertical="center"/>
    </xf>
    <xf numFmtId="0" fontId="4" fillId="2" borderId="11" applyAlignment="1" pivotButton="0" quotePrefix="0" xfId="1">
      <alignment horizontal="left" vertical="center"/>
    </xf>
    <xf numFmtId="0" fontId="4" fillId="2" borderId="25" applyAlignment="1" pivotButton="0" quotePrefix="0" xfId="1">
      <alignment horizontal="left" vertical="center"/>
    </xf>
    <xf numFmtId="0" fontId="4" fillId="2" borderId="32" applyAlignment="1" pivotButton="0" quotePrefix="0" xfId="1">
      <alignment horizontal="left" vertical="center"/>
    </xf>
    <xf numFmtId="0" fontId="18" fillId="2" borderId="11" applyAlignment="1" applyProtection="1" pivotButton="0" quotePrefix="0" xfId="0">
      <alignment horizontal="center" vertical="center" wrapText="1"/>
      <protection locked="0" hidden="0"/>
    </xf>
    <xf numFmtId="0" fontId="18" fillId="2" borderId="25" applyAlignment="1" applyProtection="1" pivotButton="0" quotePrefix="0" xfId="0">
      <alignment horizontal="center" vertical="center" wrapText="1"/>
      <protection locked="0" hidden="0"/>
    </xf>
    <xf numFmtId="0" fontId="20" fillId="2" borderId="6" applyAlignment="1" pivotButton="0" quotePrefix="0" xfId="0">
      <alignment vertical="center" wrapText="1"/>
    </xf>
    <xf numFmtId="0" fontId="37" fillId="2" borderId="4" applyAlignment="1" pivotButton="0" quotePrefix="0" xfId="0">
      <alignment vertical="center" wrapText="1"/>
    </xf>
    <xf numFmtId="0" fontId="37" fillId="2" borderId="5" applyAlignment="1" pivotButton="0" quotePrefix="0" xfId="0">
      <alignment vertical="center" wrapText="1"/>
    </xf>
    <xf numFmtId="0" fontId="37" fillId="2" borderId="11" applyAlignment="1" pivotButton="0" quotePrefix="0" xfId="0">
      <alignment vertical="center"/>
    </xf>
    <xf numFmtId="0" fontId="37" fillId="2" borderId="25" applyAlignment="1" pivotButton="0" quotePrefix="0" xfId="0">
      <alignment vertical="center"/>
    </xf>
    <xf numFmtId="0" fontId="37" fillId="2" borderId="32" applyAlignment="1" pivotButton="0" quotePrefix="0" xfId="0">
      <alignment vertical="center"/>
    </xf>
    <xf numFmtId="0" fontId="18" fillId="2" borderId="6" applyAlignment="1" pivotButton="0" quotePrefix="0" xfId="0">
      <alignment horizontal="center" vertical="center"/>
    </xf>
    <xf numFmtId="0" fontId="30" fillId="2" borderId="8" applyAlignment="1" pivotButton="0" quotePrefix="0" xfId="0">
      <alignment horizontal="center" vertical="center"/>
    </xf>
    <xf numFmtId="0" fontId="30" fillId="2" borderId="11" applyAlignment="1" pivotButton="0" quotePrefix="0" xfId="0">
      <alignment horizontal="center" vertical="center"/>
    </xf>
    <xf numFmtId="0" fontId="30" fillId="2" borderId="9" applyAlignment="1" pivotButton="0" quotePrefix="0" xfId="0">
      <alignment horizontal="center" vertical="center"/>
    </xf>
    <xf numFmtId="0" fontId="20" fillId="2" borderId="11" applyAlignment="1" pivotButton="0" quotePrefix="0" xfId="0">
      <alignment vertical="center" wrapText="1"/>
    </xf>
    <xf numFmtId="0" fontId="20" fillId="2" borderId="25" applyAlignment="1" pivotButton="0" quotePrefix="0" xfId="0">
      <alignment vertical="center" wrapText="1"/>
    </xf>
    <xf numFmtId="0" fontId="20" fillId="2" borderId="9" applyAlignment="1" pivotButton="0" quotePrefix="0" xfId="0">
      <alignment vertical="center" wrapText="1"/>
    </xf>
    <xf numFmtId="0" fontId="20" fillId="2" borderId="20" applyAlignment="1" pivotButton="0" quotePrefix="0" xfId="0">
      <alignment vertical="center" wrapText="1"/>
    </xf>
    <xf numFmtId="0" fontId="20" fillId="2" borderId="22" applyAlignment="1" pivotButton="0" quotePrefix="0" xfId="0">
      <alignment vertical="center" wrapText="1"/>
    </xf>
    <xf numFmtId="0" fontId="20" fillId="2" borderId="23" applyAlignment="1" pivotButton="0" quotePrefix="0" xfId="0">
      <alignment vertical="center" wrapText="1"/>
    </xf>
    <xf numFmtId="0" fontId="18" fillId="2" borderId="10" applyAlignment="1" pivotButton="0" quotePrefix="0" xfId="0">
      <alignment horizontal="center" vertical="center"/>
    </xf>
    <xf numFmtId="0" fontId="18" fillId="2" borderId="9" applyAlignment="1" pivotButton="0" quotePrefix="0" xfId="0">
      <alignment horizontal="center" vertical="center"/>
    </xf>
    <xf numFmtId="0" fontId="18" fillId="2" borderId="24" applyAlignment="1" pivotButton="0" quotePrefix="0" xfId="0">
      <alignment horizontal="center" vertical="center"/>
    </xf>
    <xf numFmtId="0" fontId="18" fillId="2" borderId="23" applyAlignment="1" pivotButton="0" quotePrefix="0" xfId="0">
      <alignment horizontal="center" vertical="center"/>
    </xf>
    <xf numFmtId="0" fontId="4" fillId="2" borderId="20" applyAlignment="1" pivotButton="0" quotePrefix="0" xfId="1">
      <alignment horizontal="left" vertical="center" wrapText="1"/>
    </xf>
    <xf numFmtId="0" fontId="4" fillId="2" borderId="22" applyAlignment="1" pivotButton="0" quotePrefix="0" xfId="1">
      <alignment horizontal="left" vertical="center" wrapText="1"/>
    </xf>
    <xf numFmtId="0" fontId="4" fillId="2" borderId="23" applyAlignment="1" pivotButton="0" quotePrefix="0" xfId="1">
      <alignment horizontal="left" vertical="center" wrapText="1"/>
    </xf>
    <xf numFmtId="0" fontId="20" fillId="2" borderId="60" applyAlignment="1" pivotButton="0" quotePrefix="0" xfId="0">
      <alignment horizontal="center" wrapText="1"/>
    </xf>
    <xf numFmtId="0" fontId="20" fillId="2" borderId="58" applyAlignment="1" pivotButton="0" quotePrefix="0" xfId="0">
      <alignment horizontal="center" wrapText="1"/>
    </xf>
    <xf numFmtId="1" fontId="20" fillId="2" borderId="29" applyAlignment="1" pivotButton="0" quotePrefix="0" xfId="0">
      <alignment horizontal="center" wrapText="1"/>
    </xf>
    <xf numFmtId="1" fontId="20" fillId="2" borderId="43" applyAlignment="1" pivotButton="0" quotePrefix="0" xfId="0">
      <alignment horizontal="center" wrapText="1"/>
    </xf>
    <xf numFmtId="0" fontId="18" fillId="2" borderId="13" applyAlignment="1" applyProtection="1" pivotButton="0" quotePrefix="0" xfId="0">
      <alignment horizontal="center" vertical="center" wrapText="1"/>
      <protection locked="0" hidden="0"/>
    </xf>
    <xf numFmtId="0" fontId="18" fillId="2" borderId="14" applyAlignment="1" applyProtection="1" pivotButton="0" quotePrefix="0" xfId="0">
      <alignment horizontal="center" vertical="center" wrapText="1"/>
      <protection locked="0" hidden="0"/>
    </xf>
    <xf numFmtId="0" fontId="20" fillId="0" borderId="6" applyAlignment="1" pivotButton="0" quotePrefix="0" xfId="0">
      <alignment horizontal="center" vertical="center"/>
    </xf>
    <xf numFmtId="0" fontId="20" fillId="0" borderId="4" applyAlignment="1" pivotButton="0" quotePrefix="0" xfId="0">
      <alignment horizontal="center" vertical="center"/>
    </xf>
    <xf numFmtId="0" fontId="20" fillId="0" borderId="8" applyAlignment="1" pivotButton="0" quotePrefix="0" xfId="0">
      <alignment horizontal="center" vertical="center"/>
    </xf>
    <xf numFmtId="0" fontId="4" fillId="0" borderId="9" applyAlignment="1" pivotButton="0" quotePrefix="0" xfId="1">
      <alignment horizontal="left" vertical="center" wrapText="1" indent="1"/>
    </xf>
    <xf numFmtId="0" fontId="4" fillId="2" borderId="51" applyAlignment="1" pivotButton="0" quotePrefix="0" xfId="1">
      <alignment horizontal="left" vertical="center" wrapText="1" indent="2"/>
    </xf>
    <xf numFmtId="0" fontId="4" fillId="2" borderId="26" applyAlignment="1" pivotButton="0" quotePrefix="0" xfId="1">
      <alignment horizontal="left" vertical="center" wrapText="1" indent="2"/>
    </xf>
    <xf numFmtId="0" fontId="4" fillId="0" borderId="30" applyAlignment="1" pivotButton="0" quotePrefix="1" xfId="1">
      <alignment horizontal="left" vertical="center" indent="1"/>
    </xf>
    <xf numFmtId="0" fontId="4" fillId="0" borderId="11" applyAlignment="1" pivotButton="0" quotePrefix="1" xfId="1">
      <alignment horizontal="left" vertical="center" indent="1"/>
    </xf>
    <xf numFmtId="0" fontId="18" fillId="0" borderId="0" applyAlignment="1" pivotButton="0" quotePrefix="0" xfId="0">
      <alignment horizontal="left" vertical="center"/>
    </xf>
    <xf numFmtId="0" fontId="19" fillId="2" borderId="0" applyAlignment="1" pivotButton="0" quotePrefix="0" xfId="0">
      <alignment horizontal="left" indent="2"/>
    </xf>
    <xf numFmtId="0" fontId="19" fillId="0" borderId="0" applyAlignment="1" pivotButton="0" quotePrefix="0" xfId="0">
      <alignment horizontal="left" vertical="center" indent="2"/>
    </xf>
    <xf numFmtId="0" fontId="19" fillId="0" borderId="0" applyAlignment="1" pivotButton="0" quotePrefix="0" xfId="0">
      <alignment horizontal="left" indent="2"/>
    </xf>
    <xf numFmtId="0" fontId="18" fillId="2" borderId="0" applyAlignment="1" pivotButton="0" quotePrefix="0" xfId="0">
      <alignment horizontal="left"/>
    </xf>
    <xf numFmtId="0" fontId="4" fillId="0" borderId="1" applyAlignment="1" applyProtection="1" pivotButton="0" quotePrefix="0" xfId="1">
      <alignment horizontal="center" vertical="center"/>
      <protection locked="0" hidden="0"/>
    </xf>
    <xf numFmtId="0" fontId="4" fillId="0" borderId="16" applyAlignment="1" applyProtection="1" pivotButton="0" quotePrefix="0" xfId="1">
      <alignment horizontal="center" vertical="center"/>
      <protection locked="0" hidden="0"/>
    </xf>
    <xf numFmtId="0" fontId="4" fillId="0" borderId="29" applyAlignment="1" pivotButton="0" quotePrefix="0" xfId="1">
      <alignment horizontal="left" vertical="center" indent="1"/>
    </xf>
    <xf numFmtId="0" fontId="4" fillId="0" borderId="43" applyAlignment="1" pivotButton="0" quotePrefix="0" xfId="1">
      <alignment horizontal="left" vertical="center" indent="1"/>
    </xf>
    <xf numFmtId="0" fontId="7" fillId="0" borderId="60" applyAlignment="1" pivotButton="0" quotePrefix="0" xfId="1">
      <alignment horizontal="left" vertical="center" indent="1"/>
    </xf>
    <xf numFmtId="0" fontId="7" fillId="0" borderId="58" applyAlignment="1" pivotButton="0" quotePrefix="0" xfId="1">
      <alignment horizontal="left" vertical="center" indent="1"/>
    </xf>
    <xf numFmtId="0" fontId="19" fillId="2" borderId="59" applyAlignment="1" pivotButton="0" quotePrefix="0" xfId="0">
      <alignment horizontal="center"/>
    </xf>
    <xf numFmtId="0" fontId="19" fillId="2" borderId="37" applyAlignment="1" pivotButton="0" quotePrefix="0" xfId="0">
      <alignment horizontal="center"/>
    </xf>
    <xf numFmtId="0" fontId="19" fillId="2" borderId="85" applyAlignment="1" pivotButton="0" quotePrefix="0" xfId="0">
      <alignment horizontal="center"/>
    </xf>
    <xf numFmtId="0" fontId="19" fillId="2" borderId="86" applyAlignment="1" pivotButton="0" quotePrefix="0" xfId="0">
      <alignment horizontal="center"/>
    </xf>
    <xf numFmtId="0" fontId="19" fillId="2" borderId="87" applyAlignment="1" pivotButton="0" quotePrefix="0" xfId="0">
      <alignment horizontal="center"/>
    </xf>
    <xf numFmtId="0" fontId="18" fillId="2" borderId="43" applyAlignment="1" applyProtection="1" pivotButton="0" quotePrefix="0" xfId="0">
      <alignment horizontal="center" vertical="center"/>
      <protection locked="0" hidden="0"/>
    </xf>
    <xf numFmtId="0" fontId="18" fillId="2" borderId="44" applyAlignment="1" applyProtection="1" pivotButton="0" quotePrefix="0" xfId="0">
      <alignment horizontal="center" vertical="center"/>
      <protection locked="0" hidden="0"/>
    </xf>
    <xf numFmtId="0" fontId="19" fillId="2" borderId="5" applyAlignment="1" pivotButton="0" quotePrefix="0" xfId="0">
      <alignment horizontal="center"/>
    </xf>
    <xf numFmtId="0" fontId="19" fillId="2" borderId="7" applyAlignment="1" pivotButton="0" quotePrefix="0" xfId="0">
      <alignment horizontal="center"/>
    </xf>
    <xf numFmtId="0" fontId="7" fillId="2" borderId="84" applyAlignment="1" pivotButton="0" quotePrefix="0" xfId="1">
      <alignment horizontal="center" wrapText="1"/>
    </xf>
    <xf numFmtId="0" fontId="7" fillId="2" borderId="49" applyAlignment="1" pivotButton="0" quotePrefix="0" xfId="1">
      <alignment horizontal="center" wrapText="1"/>
    </xf>
    <xf numFmtId="0" fontId="7" fillId="2" borderId="35" applyAlignment="1" pivotButton="0" quotePrefix="0" xfId="1">
      <alignment horizontal="center" wrapText="1"/>
    </xf>
    <xf numFmtId="0" fontId="7" fillId="2" borderId="64" applyAlignment="1" pivotButton="0" quotePrefix="0" xfId="1">
      <alignment horizontal="center" wrapText="1"/>
    </xf>
    <xf numFmtId="0" fontId="7" fillId="2" borderId="43" applyAlignment="1" pivotButton="0" quotePrefix="0" xfId="1">
      <alignment horizontal="center" wrapText="1"/>
    </xf>
    <xf numFmtId="0" fontId="7" fillId="2" borderId="44" applyAlignment="1" pivotButton="0" quotePrefix="0" xfId="1">
      <alignment horizontal="center" wrapText="1"/>
    </xf>
    <xf numFmtId="0" fontId="7" fillId="2" borderId="11" applyAlignment="1" pivotButton="0" quotePrefix="0" xfId="1">
      <alignment horizontal="center" wrapText="1"/>
    </xf>
    <xf numFmtId="0" fontId="24" fillId="2" borderId="25" pivotButton="0" quotePrefix="0" xfId="0"/>
    <xf numFmtId="0" fontId="24" fillId="2" borderId="11" pivotButton="0" quotePrefix="0" xfId="0"/>
    <xf numFmtId="0" fontId="24" fillId="2" borderId="20" pivotButton="0" quotePrefix="0" xfId="0"/>
    <xf numFmtId="0" fontId="24" fillId="2" borderId="22" pivotButton="0" quotePrefix="0" xfId="0"/>
    <xf numFmtId="0" fontId="7" fillId="2" borderId="25" applyAlignment="1" pivotButton="0" quotePrefix="0" xfId="1">
      <alignment horizontal="center" wrapText="1"/>
    </xf>
    <xf numFmtId="0" fontId="7" fillId="2" borderId="25" applyAlignment="1" pivotButton="0" quotePrefix="0" xfId="1">
      <alignment horizontal="center"/>
    </xf>
    <xf numFmtId="0" fontId="18" fillId="2" borderId="45" applyAlignment="1" applyProtection="1" pivotButton="0" quotePrefix="0" xfId="0">
      <alignment horizontal="center"/>
      <protection locked="0" hidden="0"/>
    </xf>
    <xf numFmtId="0" fontId="18" fillId="2" borderId="34" applyAlignment="1" applyProtection="1" pivotButton="0" quotePrefix="0" xfId="0">
      <alignment horizontal="center"/>
      <protection locked="0" hidden="0"/>
    </xf>
    <xf numFmtId="0" fontId="31" fillId="5" borderId="0" applyAlignment="1" pivotButton="0" quotePrefix="0" xfId="0">
      <alignment horizontal="left" wrapText="1"/>
    </xf>
    <xf numFmtId="0" fontId="10" fillId="2" borderId="45" applyAlignment="1" pivotButton="0" quotePrefix="0" xfId="1">
      <alignment horizontal="left" vertical="center" wrapText="1" indent="1"/>
    </xf>
    <xf numFmtId="0" fontId="10" fillId="2" borderId="28" applyAlignment="1" pivotButton="0" quotePrefix="0" xfId="1">
      <alignment horizontal="left" vertical="center" wrapText="1" indent="1"/>
    </xf>
    <xf numFmtId="0" fontId="10" fillId="2" borderId="34" applyAlignment="1" pivotButton="0" quotePrefix="0" xfId="1">
      <alignment horizontal="left" vertical="center" wrapText="1" indent="1"/>
    </xf>
    <xf numFmtId="1" fontId="20" fillId="2" borderId="74" applyAlignment="1" pivotButton="0" quotePrefix="0" xfId="0">
      <alignment horizontal="center" wrapText="1"/>
    </xf>
    <xf numFmtId="0" fontId="9" fillId="0" borderId="58" applyAlignment="1" pivotButton="0" quotePrefix="0" xfId="1">
      <alignment horizontal="center" wrapText="1"/>
    </xf>
    <xf numFmtId="0" fontId="18" fillId="2" borderId="42" applyAlignment="1" pivotButton="0" quotePrefix="0" xfId="0">
      <alignment horizontal="left" wrapText="1"/>
    </xf>
    <xf numFmtId="0" fontId="18" fillId="2" borderId="36" applyAlignment="1" pivotButton="0" quotePrefix="0" xfId="0">
      <alignment horizontal="left" wrapText="1"/>
    </xf>
    <xf numFmtId="0" fontId="18" fillId="2" borderId="47" applyAlignment="1" pivotButton="0" quotePrefix="0" xfId="0">
      <alignment horizontal="left" wrapText="1"/>
    </xf>
    <xf numFmtId="0" fontId="18" fillId="2" borderId="38" applyAlignment="1" pivotButton="0" quotePrefix="0" xfId="0">
      <alignment horizontal="left" wrapText="1"/>
    </xf>
    <xf numFmtId="0" fontId="18" fillId="2" borderId="18" applyAlignment="1" pivotButton="0" quotePrefix="0" xfId="0">
      <alignment horizontal="left" wrapText="1"/>
    </xf>
    <xf numFmtId="0" fontId="4" fillId="0" borderId="38" applyAlignment="1" pivotButton="0" quotePrefix="0" xfId="1">
      <alignment horizontal="left" vertical="center" wrapText="1" indent="1"/>
    </xf>
    <xf numFmtId="0" fontId="4" fillId="0" borderId="20" applyAlignment="1" pivotButton="0" quotePrefix="0" xfId="1">
      <alignment horizontal="left" vertical="center" wrapText="1" indent="1"/>
    </xf>
    <xf numFmtId="0" fontId="4" fillId="0" borderId="22" applyAlignment="1" pivotButton="0" quotePrefix="0" xfId="1">
      <alignment horizontal="left" vertical="center" wrapText="1" indent="1"/>
    </xf>
    <xf numFmtId="0" fontId="4" fillId="0" borderId="23" applyAlignment="1" pivotButton="0" quotePrefix="0" xfId="1">
      <alignment horizontal="left" vertical="center" wrapText="1" indent="1"/>
    </xf>
    <xf numFmtId="0" fontId="7" fillId="0" borderId="74" applyAlignment="1" pivotButton="0" quotePrefix="0" xfId="1">
      <alignment horizontal="left" vertical="center" indent="1"/>
    </xf>
    <xf numFmtId="0" fontId="19" fillId="0" borderId="6" applyAlignment="1" pivotButton="0" quotePrefix="0" xfId="0">
      <alignment horizontal="center" vertical="center" wrapText="1"/>
    </xf>
    <xf numFmtId="0" fontId="19" fillId="0" borderId="4" applyAlignment="1" pivotButton="0" quotePrefix="0" xfId="0">
      <alignment horizontal="center" vertical="center" wrapText="1"/>
    </xf>
    <xf numFmtId="0" fontId="19" fillId="0" borderId="8" applyAlignment="1" pivotButton="0" quotePrefix="0" xfId="0">
      <alignment horizontal="center" vertical="center" wrapText="1"/>
    </xf>
    <xf numFmtId="0" fontId="19" fillId="0" borderId="3" applyAlignment="1" pivotButton="0" quotePrefix="0" xfId="0">
      <alignment horizontal="center" vertical="center" wrapText="1"/>
    </xf>
    <xf numFmtId="0" fontId="19" fillId="0" borderId="1" applyAlignment="1" pivotButton="0" quotePrefix="0" xfId="0">
      <alignment horizontal="center" vertical="center" wrapText="1"/>
    </xf>
    <xf numFmtId="0" fontId="19" fillId="0" borderId="16" applyAlignment="1" pivotButton="0" quotePrefix="0" xfId="0">
      <alignment horizontal="center" vertical="center" wrapText="1"/>
    </xf>
    <xf numFmtId="0" fontId="4" fillId="2" borderId="60" applyAlignment="1" pivotButton="0" quotePrefix="0" xfId="0">
      <alignment horizontal="left" vertical="top" indent="1"/>
    </xf>
    <xf numFmtId="0" fontId="4" fillId="2" borderId="58" applyAlignment="1" pivotButton="0" quotePrefix="0" xfId="0">
      <alignment horizontal="left" vertical="top" indent="1"/>
    </xf>
    <xf numFmtId="0" fontId="30" fillId="2" borderId="61" applyAlignment="1" pivotButton="0" quotePrefix="0" xfId="0">
      <alignment horizontal="left" indent="1"/>
    </xf>
    <xf numFmtId="0" fontId="4" fillId="2" borderId="6" applyAlignment="1" pivotButton="0" quotePrefix="0" xfId="0">
      <alignment horizontal="left" vertical="top" indent="1"/>
    </xf>
    <xf numFmtId="0" fontId="30" fillId="2" borderId="4" applyAlignment="1" pivotButton="0" quotePrefix="0" xfId="0">
      <alignment horizontal="left" indent="1"/>
    </xf>
    <xf numFmtId="0" fontId="30" fillId="2" borderId="8" applyAlignment="1" pivotButton="0" quotePrefix="0" xfId="0">
      <alignment horizontal="left" indent="1"/>
    </xf>
    <xf numFmtId="0" fontId="4" fillId="2" borderId="20" applyAlignment="1" pivotButton="0" quotePrefix="0" xfId="0">
      <alignment horizontal="left" vertical="top" indent="1"/>
    </xf>
    <xf numFmtId="0" fontId="4" fillId="2" borderId="22" applyAlignment="1" pivotButton="0" quotePrefix="0" xfId="0">
      <alignment horizontal="left" vertical="top" indent="1"/>
    </xf>
    <xf numFmtId="0" fontId="30" fillId="2" borderId="21" applyAlignment="1" pivotButton="0" quotePrefix="0" xfId="0">
      <alignment horizontal="left" indent="1"/>
    </xf>
    <xf numFmtId="0" fontId="18" fillId="0" borderId="71" applyAlignment="1" applyProtection="1" pivotButton="0" quotePrefix="0" xfId="0">
      <alignment horizontal="center"/>
      <protection locked="0" hidden="0"/>
    </xf>
    <xf numFmtId="0" fontId="18" fillId="2" borderId="18" applyAlignment="1" pivotButton="0" quotePrefix="0" xfId="0">
      <alignment horizontal="left" vertical="center" wrapText="1" indent="1"/>
    </xf>
    <xf numFmtId="0" fontId="9" fillId="0" borderId="54" applyAlignment="1" pivotButton="0" quotePrefix="0" xfId="1">
      <alignment horizontal="center" wrapText="1"/>
    </xf>
    <xf numFmtId="0" fontId="9" fillId="0" borderId="57" applyAlignment="1" pivotButton="0" quotePrefix="0" xfId="1">
      <alignment horizontal="center" wrapText="1"/>
    </xf>
    <xf numFmtId="166" fontId="4" fillId="2" borderId="47" applyAlignment="1" applyProtection="1" pivotButton="0" quotePrefix="0" xfId="1">
      <alignment horizontal="center" vertical="center"/>
      <protection locked="0" hidden="0"/>
    </xf>
    <xf numFmtId="166" fontId="4" fillId="2" borderId="38" applyAlignment="1" applyProtection="1" pivotButton="0" quotePrefix="0" xfId="1">
      <alignment horizontal="center" vertical="center"/>
      <protection locked="0" hidden="0"/>
    </xf>
    <xf numFmtId="166" fontId="4" fillId="2" borderId="46" applyAlignment="1" applyProtection="1" pivotButton="0" quotePrefix="0" xfId="1">
      <alignment horizontal="center" vertical="center"/>
      <protection locked="0" hidden="0"/>
    </xf>
    <xf numFmtId="0" fontId="4" fillId="2" borderId="11" applyAlignment="1" pivotButton="0" quotePrefix="0" xfId="1">
      <alignment horizontal="left" vertical="center" indent="1"/>
    </xf>
    <xf numFmtId="0" fontId="4" fillId="2" borderId="25" applyAlignment="1" pivotButton="0" quotePrefix="0" xfId="1">
      <alignment horizontal="left" vertical="center" indent="1"/>
    </xf>
    <xf numFmtId="0" fontId="4" fillId="2" borderId="1" applyAlignment="1" pivotButton="0" quotePrefix="0" xfId="1">
      <alignment horizontal="left" vertical="center" indent="1"/>
    </xf>
    <xf numFmtId="0" fontId="4" fillId="2" borderId="16" applyAlignment="1" pivotButton="0" quotePrefix="0" xfId="1">
      <alignment horizontal="left" vertical="center" indent="1"/>
    </xf>
    <xf numFmtId="166" fontId="4" fillId="2" borderId="38" applyAlignment="1" pivotButton="0" quotePrefix="0" xfId="1">
      <alignment horizontal="center" vertical="center"/>
    </xf>
    <xf numFmtId="166" fontId="4" fillId="2" borderId="46" applyAlignment="1" pivotButton="0" quotePrefix="0" xfId="1">
      <alignment horizontal="center" vertical="center"/>
    </xf>
    <xf numFmtId="0" fontId="4" fillId="2" borderId="32" applyAlignment="1" pivotButton="0" quotePrefix="0" xfId="1">
      <alignment horizontal="left" vertical="center" wrapText="1" indent="2"/>
    </xf>
    <xf numFmtId="166" fontId="4" fillId="2" borderId="6" applyAlignment="1" applyProtection="1" pivotButton="0" quotePrefix="0" xfId="1">
      <alignment horizontal="center" vertical="center"/>
      <protection locked="0" hidden="0"/>
    </xf>
    <xf numFmtId="166" fontId="4" fillId="2" borderId="4" applyAlignment="1" applyProtection="1" pivotButton="0" quotePrefix="0" xfId="1">
      <alignment horizontal="center" vertical="center"/>
      <protection locked="0" hidden="0"/>
    </xf>
    <xf numFmtId="166" fontId="4" fillId="2" borderId="8" applyAlignment="1" applyProtection="1" pivotButton="0" quotePrefix="0" xfId="1">
      <alignment horizontal="center" vertical="center"/>
      <protection locked="0" hidden="0"/>
    </xf>
    <xf numFmtId="166" fontId="4" fillId="2" borderId="41" applyAlignment="1" pivotButton="0" quotePrefix="0" xfId="1">
      <alignment horizontal="center" vertical="center"/>
    </xf>
    <xf numFmtId="166" fontId="4" fillId="2" borderId="18" applyAlignment="1" pivotButton="0" quotePrefix="0" xfId="1">
      <alignment horizontal="center" vertical="center"/>
    </xf>
    <xf numFmtId="166" fontId="4" fillId="2" borderId="39" applyAlignment="1" pivotButton="0" quotePrefix="0" xfId="1">
      <alignment horizontal="center" vertical="center"/>
    </xf>
    <xf numFmtId="166" fontId="4" fillId="2" borderId="51" applyAlignment="1" pivotButton="0" quotePrefix="0" xfId="1">
      <alignment horizontal="center" vertical="center"/>
    </xf>
    <xf numFmtId="0" fontId="4" fillId="2" borderId="20" applyAlignment="1" pivotButton="0" quotePrefix="0" xfId="1">
      <alignment horizontal="left" vertical="center" indent="2"/>
    </xf>
    <xf numFmtId="0" fontId="4" fillId="2" borderId="22" applyAlignment="1" pivotButton="0" quotePrefix="0" xfId="1">
      <alignment horizontal="left" vertical="center" indent="2"/>
    </xf>
    <xf numFmtId="0" fontId="4" fillId="2" borderId="21" applyAlignment="1" pivotButton="0" quotePrefix="0" xfId="1">
      <alignment horizontal="left" vertical="center" indent="2"/>
    </xf>
    <xf numFmtId="166" fontId="4" fillId="2" borderId="20" applyAlignment="1" applyProtection="1" pivotButton="0" quotePrefix="0" xfId="1">
      <alignment horizontal="center" vertical="center"/>
      <protection locked="0" hidden="0"/>
    </xf>
    <xf numFmtId="166" fontId="4" fillId="2" borderId="22" applyAlignment="1" applyProtection="1" pivotButton="0" quotePrefix="0" xfId="1">
      <alignment horizontal="center" vertical="center"/>
      <protection locked="0" hidden="0"/>
    </xf>
    <xf numFmtId="166" fontId="4" fillId="2" borderId="23" applyAlignment="1" applyProtection="1" pivotButton="0" quotePrefix="0" xfId="1">
      <alignment horizontal="center" vertical="center"/>
      <protection locked="0" hidden="0"/>
    </xf>
    <xf numFmtId="0" fontId="7" fillId="2" borderId="70" applyAlignment="1" pivotButton="0" quotePrefix="0" xfId="1">
      <alignment horizontal="left" vertical="center" indent="1"/>
    </xf>
    <xf numFmtId="0" fontId="7" fillId="2" borderId="29" applyAlignment="1" pivotButton="0" quotePrefix="0" xfId="1">
      <alignment horizontal="left" vertical="center" indent="1"/>
    </xf>
    <xf numFmtId="0" fontId="7" fillId="2" borderId="43" applyAlignment="1" pivotButton="0" quotePrefix="0" xfId="1">
      <alignment horizontal="left" vertical="center" indent="1"/>
    </xf>
    <xf numFmtId="166" fontId="7" fillId="2" borderId="56" applyAlignment="1" pivotButton="0" quotePrefix="0" xfId="1">
      <alignment horizontal="center" vertical="center"/>
    </xf>
    <xf numFmtId="166" fontId="7" fillId="2" borderId="52" applyAlignment="1" pivotButton="0" quotePrefix="0" xfId="1">
      <alignment horizontal="center" vertical="center"/>
    </xf>
    <xf numFmtId="166" fontId="7" fillId="2" borderId="55" applyAlignment="1" pivotButton="0" quotePrefix="0" xfId="1">
      <alignment horizontal="center" vertical="center"/>
    </xf>
    <xf numFmtId="0" fontId="4" fillId="2" borderId="32" applyAlignment="1" pivotButton="0" quotePrefix="0" xfId="1">
      <alignment horizontal="left" vertical="center" indent="1"/>
    </xf>
    <xf numFmtId="164" fontId="7" fillId="2" borderId="56" applyAlignment="1" pivotButton="0" quotePrefix="0" xfId="1">
      <alignment horizontal="center" vertical="center"/>
    </xf>
    <xf numFmtId="164" fontId="7" fillId="2" borderId="52" applyAlignment="1" pivotButton="0" quotePrefix="0" xfId="1">
      <alignment horizontal="center" vertical="center"/>
    </xf>
    <xf numFmtId="164" fontId="7" fillId="2" borderId="55" applyAlignment="1" pivotButton="0" quotePrefix="0" xfId="1">
      <alignment horizontal="center" vertical="center"/>
    </xf>
    <xf numFmtId="164" fontId="4" fillId="2" borderId="45" applyAlignment="1" applyProtection="1" pivotButton="0" quotePrefix="0" xfId="1">
      <alignment horizontal="center" vertical="center"/>
      <protection locked="0" hidden="0"/>
    </xf>
    <xf numFmtId="164" fontId="4" fillId="2" borderId="28" applyAlignment="1" applyProtection="1" pivotButton="0" quotePrefix="0" xfId="1">
      <alignment horizontal="center" vertical="center"/>
      <protection locked="0" hidden="0"/>
    </xf>
    <xf numFmtId="164" fontId="4" fillId="2" borderId="34" applyAlignment="1" applyProtection="1" pivotButton="0" quotePrefix="0" xfId="1">
      <alignment horizontal="center" vertical="center"/>
      <protection locked="0" hidden="0"/>
    </xf>
    <xf numFmtId="0" fontId="31" fillId="5" borderId="0" applyAlignment="1" pivotButton="0" quotePrefix="0" xfId="0">
      <alignment horizontal="left" vertical="top" wrapText="1"/>
    </xf>
    <xf numFmtId="0" fontId="4" fillId="2" borderId="11" applyAlignment="1" pivotButton="0" quotePrefix="0" xfId="1">
      <alignment horizontal="left" vertical="center" wrapText="1" indent="1"/>
    </xf>
    <xf numFmtId="0" fontId="4" fillId="2" borderId="25" applyAlignment="1" pivotButton="0" quotePrefix="0" xfId="1">
      <alignment horizontal="left" vertical="center" wrapText="1" indent="1"/>
    </xf>
    <xf numFmtId="0" fontId="4" fillId="2" borderId="9" applyAlignment="1" pivotButton="0" quotePrefix="0" xfId="1">
      <alignment horizontal="left" vertical="center" wrapText="1" indent="1"/>
    </xf>
    <xf numFmtId="0" fontId="4" fillId="0" borderId="59" applyAlignment="1" pivotButton="0" quotePrefix="0" xfId="1">
      <alignment horizontal="left" vertical="center" wrapText="1" indent="1"/>
    </xf>
    <xf numFmtId="0" fontId="4" fillId="0" borderId="37" applyAlignment="1" pivotButton="0" quotePrefix="0" xfId="1">
      <alignment horizontal="left" vertical="center" wrapText="1" indent="1"/>
    </xf>
    <xf numFmtId="0" fontId="4" fillId="0" borderId="33" applyAlignment="1" pivotButton="0" quotePrefix="0" xfId="1">
      <alignment horizontal="left" vertical="center" wrapText="1" indent="1"/>
    </xf>
    <xf numFmtId="0" fontId="4" fillId="2" borderId="45" applyAlignment="1" applyProtection="1" pivotButton="0" quotePrefix="0" xfId="1">
      <alignment horizontal="center" vertical="center" wrapText="1"/>
      <protection locked="0" hidden="0"/>
    </xf>
    <xf numFmtId="0" fontId="4" fillId="2" borderId="24" applyAlignment="1" applyProtection="1" pivotButton="0" quotePrefix="0" xfId="1">
      <alignment horizontal="center" vertical="center" wrapText="1"/>
      <protection locked="0" hidden="0"/>
    </xf>
    <xf numFmtId="0" fontId="4" fillId="2" borderId="28" applyAlignment="1" applyProtection="1" pivotButton="0" quotePrefix="0" xfId="1">
      <alignment horizontal="center" vertical="center" wrapText="1"/>
      <protection locked="0" hidden="0"/>
    </xf>
    <xf numFmtId="0" fontId="4" fillId="0" borderId="3" applyAlignment="1" applyProtection="1" pivotButton="0" quotePrefix="0" xfId="1">
      <alignment horizontal="center" vertical="center"/>
      <protection locked="0" hidden="0"/>
    </xf>
    <xf numFmtId="0" fontId="4" fillId="2" borderId="34" applyAlignment="1" applyProtection="1" pivotButton="0" quotePrefix="0" xfId="1">
      <alignment horizontal="center" vertical="center" wrapText="1"/>
      <protection locked="0" hidden="0"/>
    </xf>
    <xf numFmtId="0" fontId="7" fillId="2" borderId="54" applyAlignment="1" pivotButton="0" quotePrefix="0" xfId="1">
      <alignment horizontal="center" vertical="center"/>
    </xf>
    <xf numFmtId="0" fontId="4" fillId="2" borderId="2" applyAlignment="1" applyProtection="1" pivotButton="0" quotePrefix="0" xfId="1">
      <alignment horizontal="center" vertical="center"/>
      <protection locked="0" hidden="0"/>
    </xf>
    <xf numFmtId="0" fontId="4" fillId="2" borderId="15" applyAlignment="1" applyProtection="1" pivotButton="0" quotePrefix="0" xfId="1">
      <alignment horizontal="center" vertical="center"/>
      <protection locked="0" hidden="0"/>
    </xf>
    <xf numFmtId="0" fontId="7" fillId="2" borderId="13" applyAlignment="1" pivotButton="0" quotePrefix="0" xfId="1">
      <alignment horizontal="center" wrapText="1"/>
    </xf>
    <xf numFmtId="0" fontId="24" fillId="2" borderId="13" pivotButton="0" quotePrefix="0" xfId="0"/>
    <xf numFmtId="0" fontId="7" fillId="2" borderId="13" applyAlignment="1" pivotButton="0" quotePrefix="0" xfId="1">
      <alignment horizontal="center"/>
    </xf>
    <xf numFmtId="0" fontId="4" fillId="2" borderId="12" applyAlignment="1" applyProtection="1" pivotButton="0" quotePrefix="0" xfId="1">
      <alignment horizontal="center" vertical="center"/>
      <protection locked="0" hidden="0"/>
    </xf>
    <xf numFmtId="0" fontId="4" fillId="2" borderId="40" applyAlignment="1" applyProtection="1" pivotButton="0" quotePrefix="0" xfId="1">
      <alignment horizontal="center" vertical="center"/>
      <protection locked="0" hidden="0"/>
    </xf>
    <xf numFmtId="0" fontId="24" fillId="2" borderId="31" pivotButton="0" quotePrefix="0" xfId="0"/>
    <xf numFmtId="0" fontId="24" fillId="2" borderId="32" pivotButton="0" quotePrefix="0" xfId="0"/>
    <xf numFmtId="0" fontId="24" fillId="2" borderId="21" pivotButton="0" quotePrefix="0" xfId="0"/>
    <xf numFmtId="0" fontId="4" fillId="5" borderId="2" applyAlignment="1" pivotButton="0" quotePrefix="0" xfId="1">
      <alignment horizontal="center" vertical="center"/>
    </xf>
    <xf numFmtId="0" fontId="4" fillId="5" borderId="15" applyAlignment="1" pivotButton="0" quotePrefix="0" xfId="1">
      <alignment horizontal="center" vertical="center"/>
    </xf>
    <xf numFmtId="0" fontId="4" fillId="2" borderId="34" applyAlignment="1" applyProtection="1" pivotButton="0" quotePrefix="0" xfId="1">
      <alignment horizontal="center" vertical="center"/>
      <protection locked="0" hidden="0"/>
    </xf>
    <xf numFmtId="0" fontId="20" fillId="0" borderId="56" applyAlignment="1" pivotButton="0" quotePrefix="0" xfId="0">
      <alignment horizontal="left" vertical="center" wrapText="1" indent="1"/>
    </xf>
    <xf numFmtId="0" fontId="20" fillId="0" borderId="52" applyAlignment="1" pivotButton="0" quotePrefix="0" xfId="0">
      <alignment horizontal="left" vertical="center" wrapText="1" indent="1"/>
    </xf>
    <xf numFmtId="0" fontId="18" fillId="2" borderId="59" applyAlignment="1" pivotButton="0" quotePrefix="0" xfId="0">
      <alignment horizontal="left" indent="1"/>
    </xf>
    <xf numFmtId="0" fontId="18" fillId="2" borderId="37" applyAlignment="1" pivotButton="0" quotePrefix="0" xfId="0">
      <alignment horizontal="left" indent="1"/>
    </xf>
    <xf numFmtId="0" fontId="18" fillId="2" borderId="33" applyAlignment="1" pivotButton="0" quotePrefix="0" xfId="0">
      <alignment horizontal="left" indent="1"/>
    </xf>
    <xf numFmtId="0" fontId="4" fillId="2" borderId="11" applyAlignment="1" pivotButton="0" quotePrefix="0" xfId="1">
      <alignment horizontal="left" vertical="center" wrapText="1"/>
    </xf>
    <xf numFmtId="0" fontId="4" fillId="2" borderId="25" applyAlignment="1" pivotButton="0" quotePrefix="0" xfId="1">
      <alignment horizontal="left" vertical="center" wrapText="1"/>
    </xf>
    <xf numFmtId="0" fontId="4" fillId="2" borderId="9" applyAlignment="1" pivotButton="0" quotePrefix="0" xfId="1">
      <alignment horizontal="left" vertical="center" wrapText="1"/>
    </xf>
    <xf numFmtId="0" fontId="18" fillId="2" borderId="10" applyAlignment="1" applyProtection="1" pivotButton="0" quotePrefix="0" xfId="0">
      <alignment horizontal="center" vertical="center" wrapText="1"/>
      <protection locked="0" hidden="0"/>
    </xf>
    <xf numFmtId="1" fontId="18" fillId="2" borderId="25" applyAlignment="1" applyProtection="1" pivotButton="0" quotePrefix="0" xfId="0">
      <alignment horizontal="center" vertical="center" wrapText="1"/>
      <protection locked="0" hidden="0"/>
    </xf>
    <xf numFmtId="1" fontId="18" fillId="2" borderId="9" applyAlignment="1" applyProtection="1" pivotButton="0" quotePrefix="0" xfId="0">
      <alignment horizontal="center" vertical="center" wrapText="1"/>
      <protection locked="0" hidden="0"/>
    </xf>
    <xf numFmtId="1" fontId="18" fillId="2" borderId="32" applyAlignment="1" applyProtection="1" pivotButton="0" quotePrefix="0" xfId="0">
      <alignment horizontal="center" vertical="center" wrapText="1"/>
      <protection locked="0" hidden="0"/>
    </xf>
    <xf numFmtId="0" fontId="7" fillId="2" borderId="70" applyAlignment="1" pivotButton="0" quotePrefix="0" xfId="1">
      <alignment horizontal="left" vertical="center"/>
    </xf>
    <xf numFmtId="0" fontId="7" fillId="2" borderId="29" applyAlignment="1" pivotButton="0" quotePrefix="0" xfId="1">
      <alignment horizontal="left" vertical="center"/>
    </xf>
    <xf numFmtId="0" fontId="7" fillId="2" borderId="43" applyAlignment="1" pivotButton="0" quotePrefix="0" xfId="1">
      <alignment horizontal="left" vertical="center"/>
    </xf>
    <xf numFmtId="0" fontId="18" fillId="2" borderId="24" applyAlignment="1" applyProtection="1" pivotButton="0" quotePrefix="0" xfId="0">
      <alignment horizontal="center" vertical="center" wrapText="1"/>
      <protection locked="0" hidden="0"/>
    </xf>
    <xf numFmtId="0" fontId="18" fillId="2" borderId="22" applyAlignment="1" applyProtection="1" pivotButton="0" quotePrefix="0" xfId="0">
      <alignment horizontal="center" vertical="center" wrapText="1"/>
      <protection locked="0" hidden="0"/>
    </xf>
    <xf numFmtId="1" fontId="18" fillId="2" borderId="22" applyAlignment="1" pivotButton="0" quotePrefix="0" xfId="0">
      <alignment horizontal="center" vertical="center" wrapText="1"/>
    </xf>
    <xf numFmtId="1" fontId="18" fillId="2" borderId="21" applyAlignment="1" pivotButton="0" quotePrefix="0" xfId="0">
      <alignment horizontal="center" vertical="center" wrapText="1"/>
    </xf>
    <xf numFmtId="0" fontId="18" fillId="2" borderId="20" applyAlignment="1" pivotButton="0" quotePrefix="0" xfId="0">
      <alignment horizontal="center" vertical="center" wrapText="1"/>
    </xf>
    <xf numFmtId="0" fontId="18" fillId="2" borderId="22" applyAlignment="1" pivotButton="0" quotePrefix="0" xfId="0">
      <alignment horizontal="center" vertical="center" wrapText="1"/>
    </xf>
    <xf numFmtId="0" fontId="4" fillId="2" borderId="9" applyAlignment="1" pivotButton="0" quotePrefix="0" xfId="1">
      <alignment horizontal="left" vertical="center"/>
    </xf>
    <xf numFmtId="0" fontId="18" fillId="2" borderId="21" applyAlignment="1" pivotButton="0" quotePrefix="0" xfId="0">
      <alignment horizontal="center" vertical="center" wrapText="1"/>
    </xf>
    <xf numFmtId="0" fontId="18" fillId="2" borderId="23" applyAlignment="1" pivotButton="0" quotePrefix="0" xfId="0">
      <alignment horizontal="center" vertical="center" wrapText="1"/>
    </xf>
    <xf numFmtId="0" fontId="18" fillId="2" borderId="24" applyAlignment="1" pivotButton="0" quotePrefix="0" xfId="0">
      <alignment horizontal="center" vertical="center" wrapText="1"/>
    </xf>
    <xf numFmtId="0" fontId="20" fillId="2" borderId="29" applyAlignment="1" pivotButton="0" quotePrefix="0" xfId="0">
      <alignment horizontal="center" vertical="center" wrapText="1"/>
    </xf>
    <xf numFmtId="0" fontId="20" fillId="2" borderId="74" applyAlignment="1" pivotButton="0" quotePrefix="0" xfId="0">
      <alignment horizontal="center" vertical="center" wrapText="1"/>
    </xf>
    <xf numFmtId="0" fontId="4" fillId="2" borderId="30" applyAlignment="1" pivotButton="0" quotePrefix="0" xfId="1">
      <alignment horizontal="left" vertical="center"/>
    </xf>
    <xf numFmtId="0" fontId="4" fillId="2" borderId="13" applyAlignment="1" pivotButton="0" quotePrefix="0" xfId="1">
      <alignment horizontal="left" vertical="center"/>
    </xf>
    <xf numFmtId="0" fontId="4" fillId="2" borderId="14" applyAlignment="1" pivotButton="0" quotePrefix="0" xfId="1">
      <alignment horizontal="left" vertical="center"/>
    </xf>
    <xf numFmtId="0" fontId="18" fillId="2" borderId="12" applyAlignment="1" applyProtection="1" pivotButton="0" quotePrefix="0" xfId="0">
      <alignment horizontal="center" vertical="center" wrapText="1"/>
      <protection locked="0" hidden="0"/>
    </xf>
    <xf numFmtId="1" fontId="18" fillId="2" borderId="13" applyAlignment="1" applyProtection="1" pivotButton="0" quotePrefix="0" xfId="0">
      <alignment horizontal="center" vertical="center" wrapText="1"/>
      <protection locked="0" hidden="0"/>
    </xf>
    <xf numFmtId="1" fontId="18" fillId="2" borderId="31" applyAlignment="1" applyProtection="1" pivotButton="0" quotePrefix="0" xfId="0">
      <alignment horizontal="center" vertical="center" wrapText="1"/>
      <protection locked="0" hidden="0"/>
    </xf>
    <xf numFmtId="0" fontId="18" fillId="2" borderId="30" applyAlignment="1" applyProtection="1" pivotButton="0" quotePrefix="0" xfId="0">
      <alignment horizontal="center" vertical="center" wrapText="1"/>
      <protection locked="0" hidden="0"/>
    </xf>
    <xf numFmtId="0" fontId="35" fillId="2" borderId="7" applyAlignment="1" pivotButton="0" quotePrefix="0" xfId="0">
      <alignment horizontal="center" wrapText="1"/>
    </xf>
    <xf numFmtId="0" fontId="35" fillId="2" borderId="4" applyAlignment="1" pivotButton="0" quotePrefix="0" xfId="0">
      <alignment horizontal="center" wrapText="1"/>
    </xf>
    <xf numFmtId="0" fontId="26" fillId="2" borderId="24" applyAlignment="1" pivotButton="0" quotePrefix="0" xfId="0">
      <alignment horizontal="center" wrapText="1"/>
    </xf>
    <xf numFmtId="0" fontId="26" fillId="2" borderId="22" applyAlignment="1" pivotButton="0" quotePrefix="0" xfId="0">
      <alignment horizontal="center" wrapText="1"/>
    </xf>
    <xf numFmtId="0" fontId="26" fillId="2" borderId="21" applyAlignment="1" pivotButton="0" quotePrefix="0" xfId="0">
      <alignment horizontal="center" wrapText="1"/>
    </xf>
    <xf numFmtId="0" fontId="26" fillId="2" borderId="20" applyAlignment="1" pivotButton="0" quotePrefix="0" xfId="0">
      <alignment horizontal="center" wrapText="1"/>
    </xf>
    <xf numFmtId="0" fontId="26" fillId="2" borderId="22" applyAlignment="1" pivotButton="0" quotePrefix="0" xfId="0">
      <alignment horizontal="center"/>
    </xf>
    <xf numFmtId="0" fontId="26" fillId="2" borderId="23" applyAlignment="1" pivotButton="0" quotePrefix="0" xfId="0">
      <alignment horizontal="center"/>
    </xf>
    <xf numFmtId="0" fontId="20" fillId="2" borderId="7" applyAlignment="1" pivotButton="0" quotePrefix="0" xfId="0">
      <alignment horizontal="center" wrapText="1"/>
    </xf>
    <xf numFmtId="0" fontId="20" fillId="2" borderId="4" applyAlignment="1" pivotButton="0" quotePrefix="0" xfId="0">
      <alignment horizontal="center" wrapText="1"/>
    </xf>
    <xf numFmtId="0" fontId="20" fillId="2" borderId="5" applyAlignment="1" pivotButton="0" quotePrefix="0" xfId="0">
      <alignment horizontal="center" wrapText="1"/>
    </xf>
    <xf numFmtId="1" fontId="18" fillId="2" borderId="56" applyAlignment="1" applyProtection="1" pivotButton="0" quotePrefix="0" xfId="0">
      <alignment horizontal="center"/>
      <protection locked="0" hidden="0"/>
    </xf>
    <xf numFmtId="1" fontId="18" fillId="2" borderId="52" applyAlignment="1" applyProtection="1" pivotButton="0" quotePrefix="0" xfId="0">
      <alignment horizontal="center"/>
      <protection locked="0" hidden="0"/>
    </xf>
    <xf numFmtId="1" fontId="18" fillId="2" borderId="57" applyAlignment="1" applyProtection="1" pivotButton="0" quotePrefix="0" xfId="0">
      <alignment horizontal="center"/>
      <protection locked="0" hidden="0"/>
    </xf>
    <xf numFmtId="0" fontId="27" fillId="2" borderId="0" applyAlignment="1" pivotButton="0" quotePrefix="0" xfId="0">
      <alignment horizontal="left" vertical="center" wrapText="1"/>
    </xf>
    <xf numFmtId="0" fontId="4" fillId="2" borderId="32" applyAlignment="1" pivotButton="0" quotePrefix="0" xfId="1">
      <alignment horizontal="left" vertical="center" wrapText="1"/>
    </xf>
    <xf numFmtId="0" fontId="18" fillId="2" borderId="32" applyAlignment="1" applyProtection="1" pivotButton="0" quotePrefix="0" xfId="0">
      <alignment horizontal="center" vertical="center" wrapText="1"/>
      <protection locked="0" hidden="0"/>
    </xf>
    <xf numFmtId="0" fontId="18" fillId="2" borderId="9" applyAlignment="1" applyProtection="1" pivotButton="0" quotePrefix="0" xfId="0">
      <alignment horizontal="center" vertical="center" wrapText="1"/>
      <protection locked="0" hidden="0"/>
    </xf>
    <xf numFmtId="0" fontId="19" fillId="0" borderId="0" applyAlignment="1" pivotButton="0" quotePrefix="0" xfId="0">
      <alignment horizontal="left"/>
    </xf>
    <xf numFmtId="0" fontId="19" fillId="0" borderId="0" applyAlignment="1" pivotButton="0" quotePrefix="0" xfId="0">
      <alignment horizontal="left" wrapText="1"/>
    </xf>
    <xf numFmtId="14" fontId="18" fillId="0" borderId="36" applyAlignment="1" pivotButton="0" quotePrefix="0" xfId="0">
      <alignment horizontal="center"/>
    </xf>
    <xf numFmtId="0" fontId="20" fillId="0" borderId="50" applyAlignment="1" pivotButton="0" quotePrefix="0" xfId="0">
      <alignment horizontal="center"/>
    </xf>
    <xf numFmtId="0" fontId="20" fillId="0" borderId="48" applyAlignment="1" pivotButton="0" quotePrefix="0" xfId="0">
      <alignment horizontal="center"/>
    </xf>
    <xf numFmtId="0" fontId="18" fillId="0" borderId="59" applyAlignment="1" pivotButton="0" quotePrefix="0" xfId="0">
      <alignment horizontal="left" wrapText="1"/>
    </xf>
    <xf numFmtId="0" fontId="18" fillId="0" borderId="37" applyAlignment="1" pivotButton="0" quotePrefix="0" xfId="0">
      <alignment horizontal="left" wrapText="1"/>
    </xf>
    <xf numFmtId="0" fontId="18" fillId="0" borderId="33" applyAlignment="1" pivotButton="0" quotePrefix="0" xfId="0">
      <alignment horizontal="left" wrapText="1"/>
    </xf>
    <xf numFmtId="0" fontId="18" fillId="0" borderId="47" applyAlignment="1" pivotButton="0" quotePrefix="0" xfId="0">
      <alignment horizontal="left" wrapText="1"/>
    </xf>
    <xf numFmtId="0" fontId="18" fillId="0" borderId="38" applyAlignment="1" pivotButton="0" quotePrefix="0" xfId="0">
      <alignment horizontal="left" wrapText="1"/>
    </xf>
    <xf numFmtId="0" fontId="18" fillId="0" borderId="18" applyAlignment="1" pivotButton="0" quotePrefix="0" xfId="0">
      <alignment horizontal="left" wrapText="1"/>
    </xf>
    <xf numFmtId="0" fontId="4" fillId="2" borderId="41" applyAlignment="1" pivotButton="0" quotePrefix="0" xfId="1">
      <alignment horizontal="left" vertical="center" wrapText="1" indent="1"/>
    </xf>
    <xf numFmtId="0" fontId="4" fillId="2" borderId="18" applyAlignment="1" pivotButton="0" quotePrefix="0" xfId="1">
      <alignment horizontal="left" vertical="center" wrapText="1" indent="1"/>
    </xf>
    <xf numFmtId="0" fontId="20" fillId="2" borderId="56" applyAlignment="1" pivotButton="0" quotePrefix="0" xfId="0">
      <alignment horizontal="left"/>
    </xf>
    <xf numFmtId="0" fontId="20" fillId="2" borderId="52" applyAlignment="1" pivotButton="0" quotePrefix="0" xfId="0">
      <alignment horizontal="left"/>
    </xf>
    <xf numFmtId="0" fontId="20" fillId="2" borderId="55" applyAlignment="1" pivotButton="0" quotePrefix="0" xfId="0">
      <alignment horizontal="left"/>
    </xf>
    <xf numFmtId="0" fontId="20" fillId="2" borderId="56" applyAlignment="1" pivotButton="0" quotePrefix="0" xfId="0">
      <alignment horizontal="center" wrapText="1"/>
    </xf>
    <xf numFmtId="0" fontId="20" fillId="2" borderId="52" applyAlignment="1" pivotButton="0" quotePrefix="0" xfId="0">
      <alignment horizontal="center" wrapText="1"/>
    </xf>
    <xf numFmtId="0" fontId="20" fillId="2" borderId="55" applyAlignment="1" pivotButton="0" quotePrefix="0" xfId="0">
      <alignment horizontal="center" wrapText="1"/>
    </xf>
    <xf numFmtId="0" fontId="18" fillId="2" borderId="42" applyAlignment="1" applyProtection="1" pivotButton="0" quotePrefix="0" xfId="0">
      <alignment horizontal="center"/>
      <protection locked="0" hidden="0"/>
    </xf>
    <xf numFmtId="0" fontId="18" fillId="2" borderId="36" applyAlignment="1" applyProtection="1" pivotButton="0" quotePrefix="0" xfId="0">
      <alignment horizontal="center"/>
      <protection locked="0" hidden="0"/>
    </xf>
    <xf numFmtId="0" fontId="18" fillId="2" borderId="40" applyAlignment="1" applyProtection="1" pivotButton="0" quotePrefix="0" xfId="0">
      <alignment horizontal="center"/>
      <protection locked="0" hidden="0"/>
    </xf>
    <xf numFmtId="0" fontId="18" fillId="2" borderId="31" applyAlignment="1" applyProtection="1" pivotButton="0" quotePrefix="0" xfId="0">
      <alignment horizontal="center" vertical="center" wrapText="1"/>
      <protection locked="0" hidden="0"/>
    </xf>
    <xf numFmtId="0" fontId="26" fillId="2" borderId="23" applyAlignment="1" pivotButton="0" quotePrefix="0" xfId="0">
      <alignment horizontal="center" wrapText="1"/>
    </xf>
    <xf numFmtId="0" fontId="34" fillId="0" borderId="45" applyAlignment="1" pivotButton="0" quotePrefix="0" xfId="0">
      <alignment horizontal="left" wrapText="1" indent="1"/>
    </xf>
    <xf numFmtId="0" fontId="34" fillId="0" borderId="34" applyAlignment="1" pivotButton="0" quotePrefix="0" xfId="0">
      <alignment horizontal="left" wrapText="1" indent="1"/>
    </xf>
    <xf numFmtId="0" fontId="0" fillId="0" borderId="55" applyAlignment="1" pivotButton="0" quotePrefix="0" xfId="0">
      <alignment horizontal="center" wrapText="1"/>
    </xf>
    <xf numFmtId="0" fontId="7" fillId="0" borderId="50" applyAlignment="1" pivotButton="0" quotePrefix="0" xfId="1">
      <alignment horizontal="center" vertical="center" wrapText="1"/>
    </xf>
    <xf numFmtId="0" fontId="7" fillId="0" borderId="48" applyAlignment="1" pivotButton="0" quotePrefix="0" xfId="1">
      <alignment horizontal="center" vertical="center" wrapText="1"/>
    </xf>
    <xf numFmtId="0" fontId="7" fillId="0" borderId="49" applyAlignment="1" pivotButton="0" quotePrefix="0" xfId="1">
      <alignment horizontal="center" vertical="center" wrapText="1"/>
    </xf>
    <xf numFmtId="0" fontId="7" fillId="0" borderId="51" applyAlignment="1" pivotButton="0" quotePrefix="0" xfId="1">
      <alignment horizontal="center" vertical="center" wrapText="1"/>
    </xf>
    <xf numFmtId="0" fontId="7" fillId="0" borderId="26" applyAlignment="1" pivotButton="0" quotePrefix="0" xfId="1">
      <alignment horizontal="center" vertical="center" wrapText="1"/>
    </xf>
    <xf numFmtId="0" fontId="7" fillId="0" borderId="44" applyAlignment="1" pivotButton="0" quotePrefix="0" xfId="1">
      <alignment horizontal="center" vertical="center" wrapText="1"/>
    </xf>
    <xf numFmtId="0" fontId="7" fillId="0" borderId="70" applyAlignment="1" pivotButton="0" quotePrefix="0" xfId="1">
      <alignment horizontal="center" wrapText="1"/>
    </xf>
    <xf numFmtId="0" fontId="7" fillId="0" borderId="29" applyAlignment="1" pivotButton="0" quotePrefix="0" xfId="1">
      <alignment horizontal="center" wrapText="1"/>
    </xf>
    <xf numFmtId="0" fontId="7" fillId="0" borderId="74" applyAlignment="1" pivotButton="0" quotePrefix="0" xfId="1">
      <alignment horizontal="center" wrapText="1"/>
    </xf>
    <xf numFmtId="0" fontId="4" fillId="2" borderId="70" applyAlignment="1" pivotButton="0" quotePrefix="0" xfId="1">
      <alignment horizontal="center" vertical="center"/>
    </xf>
    <xf numFmtId="0" fontId="4" fillId="2" borderId="29" applyAlignment="1" pivotButton="0" quotePrefix="0" xfId="1">
      <alignment horizontal="center" vertical="center"/>
    </xf>
    <xf numFmtId="0" fontId="4" fillId="2" borderId="74" applyAlignment="1" pivotButton="0" quotePrefix="0" xfId="1">
      <alignment horizontal="center" vertical="center"/>
    </xf>
    <xf numFmtId="0" fontId="7" fillId="0" borderId="56" applyAlignment="1" pivotButton="0" quotePrefix="0" xfId="1">
      <alignment horizontal="center" vertical="center" wrapText="1"/>
    </xf>
    <xf numFmtId="0" fontId="7" fillId="0" borderId="52" applyAlignment="1" pivotButton="0" quotePrefix="0" xfId="1">
      <alignment horizontal="center" vertical="center" wrapText="1"/>
    </xf>
    <xf numFmtId="0" fontId="7" fillId="0" borderId="55" applyAlignment="1" pivotButton="0" quotePrefix="0" xfId="1">
      <alignment horizontal="center" vertical="center" wrapText="1"/>
    </xf>
    <xf numFmtId="0" fontId="7" fillId="2" borderId="50" applyAlignment="1" pivotButton="0" quotePrefix="0" xfId="1">
      <alignment horizontal="center" wrapText="1"/>
    </xf>
    <xf numFmtId="0" fontId="7" fillId="2" borderId="48" applyAlignment="1" pivotButton="0" quotePrefix="0" xfId="1">
      <alignment horizontal="center" wrapText="1"/>
    </xf>
    <xf numFmtId="0" fontId="7" fillId="2" borderId="19" applyAlignment="1" pivotButton="0" quotePrefix="0" xfId="1">
      <alignment horizontal="center" wrapText="1"/>
    </xf>
    <xf numFmtId="0" fontId="7" fillId="2" borderId="0" applyAlignment="1" pivotButton="0" quotePrefix="0" xfId="1">
      <alignment horizontal="center" wrapText="1"/>
    </xf>
    <xf numFmtId="0" fontId="7" fillId="2" borderId="51" applyAlignment="1" pivotButton="0" quotePrefix="0" xfId="1">
      <alignment horizontal="center" wrapText="1"/>
    </xf>
    <xf numFmtId="0" fontId="7" fillId="2" borderId="26" applyAlignment="1" pivotButton="0" quotePrefix="0" xfId="1">
      <alignment horizontal="center" wrapText="1"/>
    </xf>
    <xf numFmtId="0" fontId="4" fillId="2" borderId="47" applyAlignment="1" pivotButton="0" quotePrefix="0" xfId="1">
      <alignment horizontal="left" vertical="center" indent="1"/>
    </xf>
    <xf numFmtId="0" fontId="4" fillId="2" borderId="38" applyAlignment="1" pivotButton="0" quotePrefix="0" xfId="1">
      <alignment horizontal="left" vertical="center" indent="1"/>
    </xf>
    <xf numFmtId="0" fontId="4" fillId="2" borderId="46" applyAlignment="1" pivotButton="0" quotePrefix="0" xfId="1">
      <alignment horizontal="left" vertical="center" indent="1"/>
    </xf>
    <xf numFmtId="0" fontId="4" fillId="2" borderId="41" applyAlignment="1" applyProtection="1" pivotButton="0" quotePrefix="0" xfId="1">
      <alignment horizontal="center" vertical="center"/>
      <protection locked="0" hidden="0"/>
    </xf>
    <xf numFmtId="0" fontId="4" fillId="2" borderId="51" applyAlignment="1" pivotButton="0" quotePrefix="0" xfId="1">
      <alignment horizontal="left" vertical="center" indent="1"/>
    </xf>
    <xf numFmtId="0" fontId="4" fillId="2" borderId="26" applyAlignment="1" pivotButton="0" quotePrefix="0" xfId="1">
      <alignment horizontal="left" vertical="center" indent="1"/>
    </xf>
    <xf numFmtId="0" fontId="4" fillId="2" borderId="44" applyAlignment="1" pivotButton="0" quotePrefix="0" xfId="1">
      <alignment horizontal="left" vertical="center" indent="1"/>
    </xf>
    <xf numFmtId="0" fontId="4" fillId="5" borderId="41" applyAlignment="1" pivotButton="0" quotePrefix="0" xfId="1">
      <alignment horizontal="center" vertical="center"/>
    </xf>
    <xf numFmtId="0" fontId="7" fillId="2" borderId="58" applyAlignment="1" pivotButton="0" quotePrefix="0" xfId="0">
      <alignment horizontal="center"/>
    </xf>
    <xf numFmtId="0" fontId="7" fillId="2" borderId="50" applyAlignment="1" pivotButton="0" quotePrefix="0" xfId="0">
      <alignment horizontal="center"/>
    </xf>
    <xf numFmtId="0" fontId="7" fillId="2" borderId="48" applyAlignment="1" pivotButton="0" quotePrefix="0" xfId="0">
      <alignment horizontal="center"/>
    </xf>
    <xf numFmtId="0" fontId="7" fillId="2" borderId="49" applyAlignment="1" pivotButton="0" quotePrefix="0" xfId="0">
      <alignment horizontal="center"/>
    </xf>
    <xf numFmtId="0" fontId="8" fillId="2" borderId="0" applyAlignment="1" pivotButton="0" quotePrefix="0" xfId="0">
      <alignment horizontal="left" vertical="top" wrapText="1" indent="1"/>
    </xf>
    <xf numFmtId="0" fontId="8" fillId="2" borderId="26" applyAlignment="1" pivotButton="0" quotePrefix="0" xfId="0">
      <alignment horizontal="left" indent="1"/>
    </xf>
    <xf numFmtId="0" fontId="18" fillId="0" borderId="73" applyAlignment="1" applyProtection="1" pivotButton="0" quotePrefix="0" xfId="0">
      <alignment horizontal="center"/>
      <protection locked="0" hidden="0"/>
    </xf>
    <xf numFmtId="0" fontId="9" fillId="0" borderId="52" applyAlignment="1" pivotButton="0" quotePrefix="0" xfId="1">
      <alignment horizontal="center" wrapText="1"/>
    </xf>
    <xf numFmtId="0" fontId="9" fillId="0" borderId="60" applyAlignment="1" pivotButton="0" quotePrefix="0" xfId="1">
      <alignment horizontal="center" wrapText="1"/>
    </xf>
    <xf numFmtId="0" fontId="9" fillId="0" borderId="61" applyAlignment="1" pivotButton="0" quotePrefix="0" xfId="1">
      <alignment horizontal="center" wrapText="1"/>
    </xf>
    <xf numFmtId="0" fontId="18" fillId="0" borderId="59" applyAlignment="1" pivotButton="0" quotePrefix="0" xfId="0">
      <alignment horizontal="left" indent="1"/>
    </xf>
    <xf numFmtId="0" fontId="18" fillId="0" borderId="37" applyAlignment="1" pivotButton="0" quotePrefix="0" xfId="0">
      <alignment horizontal="left" indent="1"/>
    </xf>
    <xf numFmtId="0" fontId="18" fillId="0" borderId="33" applyAlignment="1" pivotButton="0" quotePrefix="0" xfId="0">
      <alignment horizontal="left" indent="1"/>
    </xf>
    <xf numFmtId="0" fontId="18" fillId="0" borderId="45" applyAlignment="1" pivotButton="0" quotePrefix="0" xfId="0">
      <alignment horizontal="left" indent="1"/>
    </xf>
    <xf numFmtId="0" fontId="18" fillId="0" borderId="28" applyAlignment="1" pivotButton="0" quotePrefix="0" xfId="0">
      <alignment horizontal="left" indent="1"/>
    </xf>
    <xf numFmtId="0" fontId="4" fillId="2" borderId="30" applyAlignment="1" pivotButton="0" quotePrefix="0" xfId="1">
      <alignment horizontal="left" vertical="center" indent="1"/>
    </xf>
    <xf numFmtId="0" fontId="4" fillId="2" borderId="13" applyAlignment="1" pivotButton="0" quotePrefix="0" xfId="1">
      <alignment horizontal="left" vertical="center" indent="1"/>
    </xf>
    <xf numFmtId="0" fontId="4" fillId="2" borderId="31" applyAlignment="1" pivotButton="0" quotePrefix="0" xfId="1">
      <alignment horizontal="left" vertical="center" indent="1"/>
    </xf>
    <xf numFmtId="0" fontId="4" fillId="2" borderId="6" applyAlignment="1" pivotButton="0" quotePrefix="0" xfId="0">
      <alignment horizontal="left" indent="1"/>
    </xf>
    <xf numFmtId="0" fontId="4" fillId="2" borderId="4" applyAlignment="1" pivotButton="0" quotePrefix="0" xfId="0">
      <alignment horizontal="left" indent="1"/>
    </xf>
    <xf numFmtId="0" fontId="4" fillId="2" borderId="8" applyAlignment="1" pivotButton="0" quotePrefix="0" xfId="0">
      <alignment horizontal="left" indent="1"/>
    </xf>
    <xf numFmtId="0" fontId="4" fillId="2" borderId="20" applyAlignment="1" pivotButton="0" quotePrefix="0" xfId="0">
      <alignment horizontal="left" indent="1"/>
    </xf>
    <xf numFmtId="0" fontId="4" fillId="2" borderId="22" applyAlignment="1" pivotButton="0" quotePrefix="0" xfId="0">
      <alignment horizontal="left" indent="1"/>
    </xf>
    <xf numFmtId="0" fontId="4" fillId="2" borderId="23" applyAlignment="1" pivotButton="0" quotePrefix="0" xfId="0">
      <alignment horizontal="left" indent="1"/>
    </xf>
    <xf numFmtId="0" fontId="7" fillId="2" borderId="60" applyAlignment="1" pivotButton="0" quotePrefix="0" xfId="0">
      <alignment horizontal="left" indent="1"/>
    </xf>
    <xf numFmtId="0" fontId="7" fillId="2" borderId="58" applyAlignment="1" pivotButton="0" quotePrefix="0" xfId="0">
      <alignment horizontal="left" indent="1"/>
    </xf>
    <xf numFmtId="0" fontId="7" fillId="2" borderId="54" applyAlignment="1" pivotButton="0" quotePrefix="0" xfId="0">
      <alignment horizontal="left" indent="1"/>
    </xf>
    <xf numFmtId="0" fontId="4" fillId="2" borderId="13" applyAlignment="1" applyProtection="1" pivotButton="0" quotePrefix="0" xfId="0">
      <alignment horizontal="center"/>
      <protection locked="0" hidden="0"/>
    </xf>
    <xf numFmtId="0" fontId="4" fillId="2" borderId="1" applyAlignment="1" applyProtection="1" pivotButton="0" quotePrefix="0" xfId="0">
      <alignment horizontal="center"/>
      <protection locked="0" hidden="0"/>
    </xf>
    <xf numFmtId="166" fontId="4" fillId="2" borderId="59" applyAlignment="1" applyProtection="1" pivotButton="0" quotePrefix="0" xfId="1">
      <alignment horizontal="center" vertical="center"/>
      <protection locked="0" hidden="0"/>
    </xf>
    <xf numFmtId="166" fontId="4" fillId="2" borderId="37" applyAlignment="1" applyProtection="1" pivotButton="0" quotePrefix="0" xfId="1">
      <alignment horizontal="center" vertical="center"/>
      <protection locked="0" hidden="0"/>
    </xf>
    <xf numFmtId="166" fontId="4" fillId="2" borderId="33" applyAlignment="1" applyProtection="1" pivotButton="0" quotePrefix="0" xfId="1">
      <alignment horizontal="center" vertical="center"/>
      <protection locked="0" hidden="0"/>
    </xf>
    <xf numFmtId="0" fontId="7" fillId="0" borderId="58" applyAlignment="1" pivotButton="0" quotePrefix="0" xfId="0">
      <alignment horizontal="center"/>
    </xf>
    <xf numFmtId="0" fontId="18" fillId="0" borderId="58" applyAlignment="1" pivotButton="0" quotePrefix="0" xfId="0">
      <alignment horizontal="center"/>
    </xf>
    <xf numFmtId="0" fontId="18" fillId="0" borderId="61" applyAlignment="1" pivotButton="0" quotePrefix="0" xfId="0">
      <alignment horizontal="center"/>
    </xf>
    <xf numFmtId="0" fontId="4" fillId="2" borderId="0" applyAlignment="1" pivotButton="0" quotePrefix="0" xfId="1">
      <alignment horizontal="center" vertical="center"/>
    </xf>
    <xf numFmtId="0" fontId="0" fillId="2" borderId="52" applyAlignment="1" pivotButton="0" quotePrefix="0" xfId="0">
      <alignment horizontal="center" wrapText="1"/>
    </xf>
    <xf numFmtId="0" fontId="0" fillId="2" borderId="57" applyAlignment="1" pivotButton="0" quotePrefix="0" xfId="0">
      <alignment horizontal="center" wrapText="1"/>
    </xf>
    <xf numFmtId="0" fontId="0" fillId="2" borderId="52" applyAlignment="1" applyProtection="1" pivotButton="0" quotePrefix="0" xfId="0">
      <alignment horizontal="center"/>
      <protection locked="0" hidden="0"/>
    </xf>
    <xf numFmtId="0" fontId="0" fillId="2" borderId="57" applyAlignment="1" applyProtection="1" pivotButton="0" quotePrefix="0" xfId="0">
      <alignment horizontal="center"/>
      <protection locked="0" hidden="0"/>
    </xf>
    <xf numFmtId="0" fontId="18" fillId="2" borderId="34" applyAlignment="1" pivotButton="0" quotePrefix="0" xfId="0">
      <alignment horizontal="left" indent="1"/>
    </xf>
    <xf numFmtId="0" fontId="4" fillId="2" borderId="11" applyAlignment="1" pivotButton="0" quotePrefix="1" xfId="1">
      <alignment horizontal="left" vertical="center" indent="1"/>
    </xf>
    <xf numFmtId="0" fontId="8" fillId="2" borderId="0" applyAlignment="1" pivotButton="0" quotePrefix="0" xfId="0">
      <alignment horizontal="left" indent="1"/>
    </xf>
    <xf numFmtId="0" fontId="4" fillId="0" borderId="47" applyAlignment="1" pivotButton="0" quotePrefix="1" xfId="1">
      <alignment horizontal="left" vertical="center" indent="1"/>
    </xf>
    <xf numFmtId="0" fontId="4" fillId="0" borderId="10" applyAlignment="1" pivotButton="0" quotePrefix="1" xfId="1">
      <alignment horizontal="left" vertical="center" indent="1"/>
    </xf>
    <xf numFmtId="0" fontId="18" fillId="0" borderId="6" applyAlignment="1" pivotButton="0" quotePrefix="0" xfId="0">
      <alignment horizontal="left" indent="1"/>
    </xf>
    <xf numFmtId="0" fontId="18" fillId="0" borderId="4" applyAlignment="1" pivotButton="0" quotePrefix="0" xfId="0">
      <alignment horizontal="left" indent="1"/>
    </xf>
    <xf numFmtId="0" fontId="18" fillId="0" borderId="4" applyAlignment="1" applyProtection="1" pivotButton="0" quotePrefix="0" xfId="0">
      <alignment horizontal="center"/>
      <protection locked="0" hidden="0"/>
    </xf>
    <xf numFmtId="0" fontId="18" fillId="0" borderId="8" applyAlignment="1" applyProtection="1" pivotButton="0" quotePrefix="0" xfId="0">
      <alignment horizontal="center"/>
      <protection locked="0" hidden="0"/>
    </xf>
    <xf numFmtId="0" fontId="4" fillId="2" borderId="20" applyAlignment="1" pivotButton="0" quotePrefix="1" xfId="1">
      <alignment horizontal="left" vertical="center" indent="1"/>
    </xf>
    <xf numFmtId="0" fontId="4" fillId="2" borderId="22" applyAlignment="1" pivotButton="0" quotePrefix="0" xfId="1">
      <alignment horizontal="left" vertical="center" indent="1"/>
    </xf>
    <xf numFmtId="0" fontId="4" fillId="0" borderId="20" applyAlignment="1" pivotButton="0" quotePrefix="1" xfId="1">
      <alignment horizontal="left" vertical="center" indent="1"/>
    </xf>
    <xf numFmtId="0" fontId="7" fillId="0" borderId="37" applyAlignment="1" pivotButton="0" quotePrefix="0" xfId="1">
      <alignment horizontal="center" vertical="center"/>
    </xf>
    <xf numFmtId="0" fontId="4" fillId="0" borderId="21" applyAlignment="1" applyProtection="1" pivotButton="0" quotePrefix="0" xfId="1">
      <alignment horizontal="center" vertical="center"/>
      <protection locked="0" hidden="0"/>
    </xf>
    <xf numFmtId="0" fontId="20" fillId="2" borderId="6" applyAlignment="1" pivotButton="0" quotePrefix="0" xfId="0">
      <alignment horizontal="center"/>
    </xf>
    <xf numFmtId="0" fontId="20" fillId="2" borderId="4" applyAlignment="1" pivotButton="0" quotePrefix="0" xfId="0">
      <alignment horizontal="center"/>
    </xf>
    <xf numFmtId="0" fontId="20" fillId="2" borderId="8" applyAlignment="1" pivotButton="0" quotePrefix="0" xfId="0">
      <alignment horizontal="center"/>
    </xf>
    <xf numFmtId="0" fontId="4" fillId="0" borderId="45" applyAlignment="1" pivotButton="0" quotePrefix="1" xfId="1">
      <alignment horizontal="left" vertical="center" indent="1"/>
    </xf>
    <xf numFmtId="0" fontId="4" fillId="0" borderId="24" applyAlignment="1" pivotButton="0" quotePrefix="1" xfId="1">
      <alignment horizontal="left" vertical="center" indent="1"/>
    </xf>
    <xf numFmtId="0" fontId="4" fillId="0" borderId="55" applyAlignment="1" applyProtection="1" pivotButton="0" quotePrefix="0" xfId="1">
      <alignment horizontal="center" vertical="center"/>
      <protection locked="0" hidden="0"/>
    </xf>
    <xf numFmtId="0" fontId="4" fillId="0" borderId="26" applyAlignment="1" applyProtection="1" pivotButton="0" quotePrefix="0" xfId="1">
      <alignment horizontal="center" vertical="center"/>
      <protection locked="0" hidden="0"/>
    </xf>
    <xf numFmtId="0" fontId="7" fillId="0" borderId="50" applyAlignment="1" pivotButton="0" quotePrefix="0" xfId="1">
      <alignment horizontal="center" vertical="center"/>
    </xf>
    <xf numFmtId="0" fontId="7" fillId="0" borderId="49" applyAlignment="1" pivotButton="0" quotePrefix="0" xfId="1">
      <alignment horizontal="center" vertical="center"/>
    </xf>
    <xf numFmtId="0" fontId="7" fillId="0" borderId="51" applyAlignment="1" pivotButton="0" quotePrefix="0" xfId="1">
      <alignment horizontal="center" vertical="center"/>
    </xf>
    <xf numFmtId="0" fontId="7" fillId="0" borderId="44" applyAlignment="1" pivotButton="0" quotePrefix="0" xfId="1">
      <alignment horizontal="center" vertical="center"/>
    </xf>
    <xf numFmtId="1" fontId="18" fillId="2" borderId="54" applyAlignment="1" applyProtection="1" pivotButton="0" quotePrefix="0" xfId="0">
      <alignment horizontal="center"/>
      <protection locked="0" hidden="0"/>
    </xf>
    <xf numFmtId="1" fontId="0" fillId="2" borderId="52" applyAlignment="1" applyProtection="1" pivotButton="0" quotePrefix="0" xfId="0">
      <alignment horizontal="center"/>
      <protection locked="0" hidden="0"/>
    </xf>
    <xf numFmtId="1" fontId="0" fillId="2" borderId="57" applyAlignment="1" applyProtection="1" pivotButton="0" quotePrefix="0" xfId="0">
      <alignment horizontal="center"/>
      <protection locked="0" hidden="0"/>
    </xf>
    <xf numFmtId="0" fontId="20" fillId="2" borderId="6" applyAlignment="1" pivotButton="0" quotePrefix="0" xfId="0">
      <alignment horizontal="center" wrapText="1"/>
    </xf>
    <xf numFmtId="0" fontId="20" fillId="2" borderId="8" applyAlignment="1" pivotButton="0" quotePrefix="0" xfId="0">
      <alignment horizontal="center" wrapText="1"/>
    </xf>
    <xf numFmtId="0" fontId="20" fillId="2" borderId="43" applyAlignment="1" pivotButton="0" quotePrefix="0" xfId="0">
      <alignment horizontal="center" vertical="center" wrapText="1"/>
    </xf>
    <xf numFmtId="0" fontId="20" fillId="2" borderId="70" applyAlignment="1" pivotButton="0" quotePrefix="0" xfId="0">
      <alignment horizontal="center" vertical="center" wrapText="1"/>
    </xf>
    <xf numFmtId="0" fontId="7" fillId="0" borderId="82" applyAlignment="1" pivotButton="0" quotePrefix="0" xfId="1">
      <alignment horizontal="center" vertical="center"/>
    </xf>
    <xf numFmtId="0" fontId="7" fillId="0" borderId="63" applyAlignment="1" pivotButton="0" quotePrefix="0" xfId="1">
      <alignment horizontal="center" vertical="center"/>
    </xf>
    <xf numFmtId="0" fontId="7" fillId="0" borderId="83" applyAlignment="1" pivotButton="0" quotePrefix="0" xfId="1">
      <alignment horizontal="center" vertical="center"/>
    </xf>
    <xf numFmtId="0" fontId="7" fillId="0" borderId="24" applyAlignment="1" pivotButton="0" quotePrefix="0" xfId="1">
      <alignment horizontal="center" vertical="center" wrapText="1"/>
    </xf>
    <xf numFmtId="0" fontId="7" fillId="0" borderId="22" applyAlignment="1" pivotButton="0" quotePrefix="0" xfId="1">
      <alignment horizontal="center" vertical="center" wrapText="1"/>
    </xf>
    <xf numFmtId="0" fontId="7" fillId="2" borderId="6" applyAlignment="1" pivotButton="0" quotePrefix="0" xfId="1">
      <alignment horizontal="left"/>
    </xf>
    <xf numFmtId="0" fontId="7" fillId="2" borderId="4" applyAlignment="1" pivotButton="0" quotePrefix="0" xfId="1">
      <alignment horizontal="left"/>
    </xf>
    <xf numFmtId="0" fontId="7" fillId="2" borderId="8" applyAlignment="1" pivotButton="0" quotePrefix="0" xfId="1">
      <alignment horizontal="left"/>
    </xf>
    <xf numFmtId="0" fontId="7" fillId="2" borderId="20" applyAlignment="1" pivotButton="0" quotePrefix="0" xfId="1">
      <alignment horizontal="left"/>
    </xf>
    <xf numFmtId="0" fontId="7" fillId="2" borderId="22" applyAlignment="1" pivotButton="0" quotePrefix="0" xfId="1">
      <alignment horizontal="left"/>
    </xf>
    <xf numFmtId="0" fontId="7" fillId="2" borderId="23" applyAlignment="1" pivotButton="0" quotePrefix="0" xfId="1">
      <alignment horizontal="left"/>
    </xf>
    <xf numFmtId="0" fontId="18" fillId="2" borderId="27" applyAlignment="1" applyProtection="1" pivotButton="0" quotePrefix="0" xfId="0">
      <alignment horizontal="center" vertical="center"/>
      <protection locked="0" hidden="0"/>
    </xf>
    <xf numFmtId="0" fontId="4" fillId="0" borderId="70" applyAlignment="1" applyProtection="1" pivotButton="0" quotePrefix="0" xfId="1">
      <alignment horizontal="center" vertical="center"/>
      <protection locked="0" hidden="0"/>
    </xf>
    <xf numFmtId="0" fontId="18" fillId="2" borderId="51" applyAlignment="1" applyProtection="1" pivotButton="0" quotePrefix="0" xfId="0">
      <alignment horizontal="center" vertical="center"/>
      <protection locked="0" hidden="0"/>
    </xf>
    <xf numFmtId="0" fontId="4" fillId="2" borderId="42" applyAlignment="1" pivotButton="0" quotePrefix="0" xfId="1">
      <alignment horizontal="left" vertical="center" indent="1"/>
    </xf>
    <xf numFmtId="0" fontId="4" fillId="2" borderId="36" applyAlignment="1" pivotButton="0" quotePrefix="0" xfId="1">
      <alignment horizontal="left" vertical="center" indent="1"/>
    </xf>
    <xf numFmtId="0" fontId="4" fillId="2" borderId="40" applyAlignment="1" pivotButton="0" quotePrefix="0" xfId="1">
      <alignment horizontal="left" vertical="center" indent="1"/>
    </xf>
    <xf numFmtId="0" fontId="4" fillId="2" borderId="42" applyAlignment="1" applyProtection="1" pivotButton="0" quotePrefix="0" xfId="1">
      <alignment horizontal="center" vertical="center"/>
      <protection locked="0" hidden="0"/>
    </xf>
    <xf numFmtId="0" fontId="18" fillId="0" borderId="36" applyAlignment="1" applyProtection="1" pivotButton="0" quotePrefix="0" xfId="0">
      <alignment horizontal="left"/>
      <protection locked="0" hidden="0"/>
    </xf>
    <xf numFmtId="0" fontId="20" fillId="2" borderId="27" applyAlignment="1" pivotButton="0" quotePrefix="0" xfId="0">
      <alignment horizontal="center" vertical="center" wrapText="1"/>
    </xf>
    <xf numFmtId="1" fontId="18" fillId="2" borderId="14" applyAlignment="1" applyProtection="1" pivotButton="0" quotePrefix="0" xfId="0">
      <alignment horizontal="center" vertical="center" wrapText="1"/>
      <protection locked="0" hidden="0"/>
    </xf>
    <xf numFmtId="1" fontId="18" fillId="2" borderId="23" applyAlignment="1" pivotButton="0" quotePrefix="0" xfId="0">
      <alignment horizontal="center" vertical="center" wrapText="1"/>
    </xf>
    <xf numFmtId="0" fontId="18" fillId="2" borderId="43" applyAlignment="1" applyProtection="1" pivotButton="0" quotePrefix="0" xfId="0">
      <alignment horizontal="center" vertical="center" wrapText="1"/>
      <protection locked="0" hidden="0"/>
    </xf>
    <xf numFmtId="0" fontId="18" fillId="2" borderId="27" applyAlignment="1" applyProtection="1" pivotButton="0" quotePrefix="0" xfId="0">
      <alignment horizontal="center" vertical="center" wrapText="1"/>
      <protection locked="0" hidden="0"/>
    </xf>
    <xf numFmtId="0" fontId="4" fillId="2" borderId="31" applyAlignment="1" pivotButton="0" quotePrefix="0" xfId="1">
      <alignment horizontal="left" vertical="center"/>
    </xf>
    <xf numFmtId="0" fontId="18" fillId="2" borderId="20" applyAlignment="1" applyProtection="1" pivotButton="0" quotePrefix="0" xfId="0">
      <alignment horizontal="center" vertical="center" wrapText="1"/>
      <protection locked="0" hidden="0"/>
    </xf>
    <xf numFmtId="0" fontId="18" fillId="2" borderId="0" applyAlignment="1" pivotButton="0" quotePrefix="0" xfId="0">
      <alignment horizontal="left" vertical="center"/>
    </xf>
    <xf numFmtId="0" fontId="7" fillId="0" borderId="84" applyAlignment="1" pivotButton="0" quotePrefix="0" xfId="1">
      <alignment horizontal="center" wrapText="1"/>
    </xf>
    <xf numFmtId="0" fontId="0" fillId="0" borderId="36" applyProtection="1" pivotButton="0" quotePrefix="0" xfId="0">
      <protection locked="0" hidden="0"/>
    </xf>
    <xf numFmtId="167" fontId="19" fillId="0" borderId="0" applyAlignment="1" pivotButton="0" quotePrefix="0" xfId="0">
      <alignment horizontal="left" indent="1"/>
    </xf>
    <xf numFmtId="0" fontId="0" fillId="0" borderId="36" pivotButton="0" quotePrefix="0" xfId="0"/>
    <xf numFmtId="167" fontId="16" fillId="0" borderId="0" applyAlignment="1" pivotButton="0" quotePrefix="0" xfId="0">
      <alignment horizontal="center"/>
    </xf>
    <xf numFmtId="0" fontId="0" fillId="0" borderId="52" pivotButton="0" quotePrefix="0" xfId="0"/>
    <xf numFmtId="0" fontId="0" fillId="0" borderId="55" pivotButton="0" quotePrefix="0" xfId="0"/>
    <xf numFmtId="0" fontId="18" fillId="0" borderId="71" applyAlignment="1" pivotButton="0" quotePrefix="0" xfId="0">
      <alignment horizontal="left" wrapText="1" indent="1"/>
    </xf>
    <xf numFmtId="0" fontId="0" fillId="0" borderId="37" pivotButton="0" quotePrefix="0" xfId="0"/>
    <xf numFmtId="0" fontId="0" fillId="0" borderId="33" pivotButton="0" quotePrefix="0" xfId="0"/>
    <xf numFmtId="0" fontId="0" fillId="0" borderId="37" applyProtection="1" pivotButton="0" quotePrefix="0" xfId="0">
      <protection locked="0" hidden="0"/>
    </xf>
    <xf numFmtId="0" fontId="0" fillId="0" borderId="33" applyProtection="1" pivotButton="0" quotePrefix="0" xfId="0">
      <protection locked="0" hidden="0"/>
    </xf>
    <xf numFmtId="0" fontId="0" fillId="0" borderId="38" pivotButton="0" quotePrefix="0" xfId="0"/>
    <xf numFmtId="0" fontId="18" fillId="2" borderId="65" applyAlignment="1" pivotButton="0" quotePrefix="0" xfId="0">
      <alignment horizontal="center"/>
    </xf>
    <xf numFmtId="0" fontId="0" fillId="0" borderId="46" pivotButton="0" quotePrefix="0" xfId="0"/>
    <xf numFmtId="0" fontId="0" fillId="0" borderId="10" pivotButton="0" quotePrefix="0" xfId="0"/>
    <xf numFmtId="0" fontId="0" fillId="0" borderId="18" pivotButton="0" quotePrefix="0" xfId="0"/>
    <xf numFmtId="0" fontId="0" fillId="0" borderId="39" pivotButton="0" quotePrefix="0" xfId="0"/>
    <xf numFmtId="0" fontId="4" fillId="2" borderId="73" applyAlignment="1" pivotButton="0" quotePrefix="0" xfId="1">
      <alignment horizontal="left" vertical="center" wrapText="1" indent="2"/>
    </xf>
    <xf numFmtId="0" fontId="0" fillId="0" borderId="28" pivotButton="0" quotePrefix="0" xfId="0"/>
    <xf numFmtId="0" fontId="0" fillId="0" borderId="34" pivotButton="0" quotePrefix="0" xfId="0"/>
    <xf numFmtId="0" fontId="0" fillId="0" borderId="26" pivotButton="0" quotePrefix="0" xfId="0"/>
    <xf numFmtId="0" fontId="0" fillId="0" borderId="44" pivotButton="0" quotePrefix="0" xfId="0"/>
    <xf numFmtId="0" fontId="20" fillId="2" borderId="62" applyAlignment="1" pivotButton="0" quotePrefix="0" xfId="0">
      <alignment horizontal="left" indent="1"/>
    </xf>
    <xf numFmtId="0" fontId="18" fillId="2" borderId="71" applyAlignment="1" pivotButton="0" quotePrefix="0" xfId="0">
      <alignment horizontal="left" wrapText="1" indent="1"/>
    </xf>
    <xf numFmtId="0" fontId="18" fillId="2" borderId="65" applyAlignment="1" pivotButton="0" quotePrefix="0" xfId="0">
      <alignment horizontal="left" wrapText="1" indent="1"/>
    </xf>
    <xf numFmtId="0" fontId="18" fillId="2" borderId="73" applyAlignment="1" pivotButton="0" quotePrefix="0" xfId="0">
      <alignment horizontal="center"/>
    </xf>
    <xf numFmtId="0" fontId="0" fillId="0" borderId="24" pivotButton="0" quotePrefix="0" xfId="0"/>
    <xf numFmtId="0" fontId="0" fillId="0" borderId="51" pivotButton="0" quotePrefix="0" xfId="0"/>
    <xf numFmtId="0" fontId="0" fillId="0" borderId="12" pivotButton="0" quotePrefix="0" xfId="0"/>
    <xf numFmtId="0" fontId="0" fillId="0" borderId="7" applyProtection="1" pivotButton="0" quotePrefix="0" xfId="0">
      <protection locked="0" hidden="0"/>
    </xf>
    <xf numFmtId="0" fontId="0" fillId="0" borderId="38" applyProtection="1" pivotButton="0" quotePrefix="0" xfId="0">
      <protection locked="0" hidden="0"/>
    </xf>
    <xf numFmtId="0" fontId="0" fillId="0" borderId="10" applyProtection="1" pivotButton="0" quotePrefix="0" xfId="0">
      <protection locked="0" hidden="0"/>
    </xf>
    <xf numFmtId="0" fontId="0" fillId="0" borderId="15" pivotButton="0" quotePrefix="0" xfId="0"/>
    <xf numFmtId="0" fontId="0" fillId="0" borderId="18" applyProtection="1" pivotButton="0" quotePrefix="0" xfId="0">
      <protection locked="0" hidden="0"/>
    </xf>
    <xf numFmtId="0" fontId="0" fillId="0" borderId="15" applyProtection="1" pivotButton="0" quotePrefix="0" xfId="0">
      <protection locked="0" hidden="0"/>
    </xf>
    <xf numFmtId="0" fontId="0" fillId="0" borderId="57" pivotButton="0" quotePrefix="0" xfId="0"/>
    <xf numFmtId="0" fontId="0" fillId="0" borderId="7" pivotButton="0" quotePrefix="0" xfId="0"/>
    <xf numFmtId="0" fontId="0" fillId="0" borderId="12" applyProtection="1" pivotButton="0" quotePrefix="0" xfId="0">
      <protection locked="0" hidden="0"/>
    </xf>
    <xf numFmtId="0" fontId="0" fillId="0" borderId="28" applyProtection="1" pivotButton="0" quotePrefix="0" xfId="0">
      <protection locked="0" hidden="0"/>
    </xf>
    <xf numFmtId="0" fontId="0" fillId="0" borderId="24" applyProtection="1" pivotButton="0" quotePrefix="0" xfId="0">
      <protection locked="0" hidden="0"/>
    </xf>
    <xf numFmtId="0" fontId="20" fillId="2" borderId="62" applyAlignment="1" pivotButton="0" quotePrefix="0" xfId="0">
      <alignment horizontal="center" vertical="center"/>
    </xf>
    <xf numFmtId="0" fontId="18" fillId="2" borderId="81" applyAlignment="1" pivotButton="0" quotePrefix="0" xfId="0">
      <alignment horizontal="left" vertical="center" indent="1"/>
    </xf>
    <xf numFmtId="0" fontId="0" fillId="0" borderId="48" pivotButton="0" quotePrefix="0" xfId="0"/>
    <xf numFmtId="0" fontId="0" fillId="0" borderId="49" pivotButton="0" quotePrefix="0" xfId="0"/>
    <xf numFmtId="0" fontId="18" fillId="2" borderId="65" applyAlignment="1" pivotButton="0" quotePrefix="0" xfId="0">
      <alignment horizontal="left" vertical="center" wrapText="1" indent="1"/>
    </xf>
    <xf numFmtId="0" fontId="18" fillId="2" borderId="71" applyAlignment="1" applyProtection="1" pivotButton="0" quotePrefix="0" xfId="0">
      <alignment horizontal="center"/>
      <protection locked="0" hidden="0"/>
    </xf>
    <xf numFmtId="0" fontId="6" fillId="2" borderId="71" applyAlignment="1" pivotButton="0" quotePrefix="0" xfId="1">
      <alignment horizontal="center" vertical="center" wrapText="1"/>
    </xf>
    <xf numFmtId="0" fontId="19" fillId="2" borderId="81" applyAlignment="1" pivotButton="0" quotePrefix="0" xfId="0">
      <alignment horizontal="center"/>
    </xf>
    <xf numFmtId="0" fontId="0" fillId="0" borderId="34" applyProtection="1" pivotButton="0" quotePrefix="0" xfId="0">
      <protection locked="0" hidden="0"/>
    </xf>
    <xf numFmtId="0" fontId="20" fillId="0" borderId="62" applyAlignment="1" pivotButton="0" quotePrefix="0" xfId="0">
      <alignment horizontal="center"/>
    </xf>
    <xf numFmtId="0" fontId="18" fillId="0" borderId="65" applyAlignment="1" applyProtection="1" pivotButton="0" quotePrefix="0" xfId="0">
      <alignment horizontal="center"/>
      <protection locked="0" hidden="0"/>
    </xf>
    <xf numFmtId="0" fontId="0" fillId="0" borderId="46" applyProtection="1" pivotButton="0" quotePrefix="0" xfId="0">
      <protection locked="0" hidden="0"/>
    </xf>
    <xf numFmtId="0" fontId="18" fillId="0" borderId="73" applyAlignment="1" applyProtection="1" pivotButton="0" quotePrefix="0" xfId="0">
      <alignment horizontal="center" vertical="center"/>
      <protection locked="0" hidden="0"/>
    </xf>
    <xf numFmtId="0" fontId="0" fillId="0" borderId="66" pivotButton="0" quotePrefix="0" xfId="0"/>
    <xf numFmtId="0" fontId="20" fillId="0" borderId="71" applyAlignment="1" pivotButton="0" quotePrefix="0" xfId="0">
      <alignment horizontal="center" vertical="center"/>
    </xf>
    <xf numFmtId="0" fontId="0" fillId="0" borderId="42" pivotButton="0" quotePrefix="0" xfId="0"/>
    <xf numFmtId="0" fontId="4" fillId="0" borderId="6" applyAlignment="1" pivotButton="0" quotePrefix="1" xfId="1">
      <alignment horizontal="left" vertical="center"/>
    </xf>
    <xf numFmtId="0" fontId="18" fillId="0" borderId="6" pivotButton="0" quotePrefix="0" xfId="0"/>
    <xf numFmtId="0" fontId="18" fillId="0" borderId="11" applyAlignment="1" pivotButton="0" quotePrefix="0" xfId="0">
      <alignment horizontal="left"/>
    </xf>
    <xf numFmtId="0" fontId="4" fillId="2" borderId="11" applyAlignment="1" pivotButton="0" quotePrefix="1" xfId="1">
      <alignment horizontal="left" vertical="center"/>
    </xf>
    <xf numFmtId="0" fontId="0" fillId="0" borderId="52" applyProtection="1" pivotButton="0" quotePrefix="0" xfId="0">
      <protection locked="0" hidden="0"/>
    </xf>
    <xf numFmtId="0" fontId="0" fillId="0" borderId="55" applyProtection="1" pivotButton="0" quotePrefix="0" xfId="0">
      <protection locked="0" hidden="0"/>
    </xf>
    <xf numFmtId="0" fontId="0" fillId="0" borderId="57" applyProtection="1" pivotButton="0" quotePrefix="0" xfId="0">
      <protection locked="0" hidden="0"/>
    </xf>
    <xf numFmtId="0" fontId="7" fillId="2" borderId="62" applyAlignment="1" pivotButton="0" quotePrefix="0" xfId="1">
      <alignment horizontal="center"/>
    </xf>
    <xf numFmtId="0" fontId="10" fillId="2" borderId="71" applyAlignment="1" pivotButton="0" quotePrefix="0" xfId="1">
      <alignment horizontal="left" vertical="center" wrapText="1" indent="1"/>
    </xf>
    <xf numFmtId="0" fontId="10" fillId="2" borderId="65" applyAlignment="1" pivotButton="0" quotePrefix="0" xfId="1">
      <alignment horizontal="left" vertical="center" wrapText="1" indent="1"/>
    </xf>
    <xf numFmtId="0" fontId="34" fillId="2" borderId="75" applyAlignment="1" pivotButton="0" quotePrefix="0" xfId="0">
      <alignment horizontal="left" wrapText="1" indent="1"/>
    </xf>
    <xf numFmtId="0" fontId="7" fillId="2" borderId="62" applyAlignment="1" pivotButton="0" quotePrefix="0" xfId="1">
      <alignment horizontal="left" vertical="center" indent="1"/>
    </xf>
    <xf numFmtId="0" fontId="7" fillId="2" borderId="60" applyAlignment="1" pivotButton="0" quotePrefix="0" xfId="1">
      <alignment horizontal="center" wrapText="1"/>
    </xf>
    <xf numFmtId="0" fontId="7" fillId="2" borderId="58" applyAlignment="1" pivotButton="0" quotePrefix="0" xfId="1">
      <alignment horizontal="center" wrapText="1"/>
    </xf>
    <xf numFmtId="0" fontId="7" fillId="2" borderId="61" applyAlignment="1" pivotButton="0" quotePrefix="0" xfId="1">
      <alignment horizontal="center"/>
    </xf>
    <xf numFmtId="0" fontId="18" fillId="2" borderId="61" applyAlignment="1" applyProtection="1" pivotButton="0" quotePrefix="0" xfId="0">
      <alignment horizontal="center"/>
      <protection locked="0" hidden="0"/>
    </xf>
    <xf numFmtId="0" fontId="34" fillId="2" borderId="65" applyAlignment="1" pivotButton="0" quotePrefix="0" xfId="0">
      <alignment horizontal="left" wrapText="1" indent="1"/>
    </xf>
    <xf numFmtId="0" fontId="0" fillId="0" borderId="27" pivotButton="0" quotePrefix="0" xfId="0"/>
    <xf numFmtId="0" fontId="18" fillId="2" borderId="58" applyAlignment="1" applyProtection="1" pivotButton="0" quotePrefix="0" xfId="0">
      <alignment horizontal="center" vertical="center"/>
      <protection locked="0" hidden="0"/>
    </xf>
    <xf numFmtId="164" fontId="4" fillId="0" borderId="0" applyAlignment="1" pivotButton="0" quotePrefix="0" xfId="1">
      <alignment horizontal="center" vertical="center"/>
    </xf>
    <xf numFmtId="0" fontId="9" fillId="0" borderId="62" applyAlignment="1" pivotButton="0" quotePrefix="0" xfId="1">
      <alignment horizontal="center" wrapText="1"/>
    </xf>
    <xf numFmtId="0" fontId="10" fillId="0" borderId="71" applyAlignment="1" pivotButton="0" quotePrefix="0" xfId="1">
      <alignment horizontal="left" vertical="center" wrapText="1" indent="1"/>
    </xf>
    <xf numFmtId="0" fontId="10" fillId="0" borderId="65" applyAlignment="1" pivotButton="0" quotePrefix="0" xfId="1">
      <alignment horizontal="left" vertical="center" wrapText="1" indent="1"/>
    </xf>
    <xf numFmtId="0" fontId="34" fillId="0" borderId="65" applyAlignment="1" pivotButton="0" quotePrefix="0" xfId="0">
      <alignment horizontal="left" wrapText="1" indent="1"/>
    </xf>
    <xf numFmtId="0" fontId="34" fillId="0" borderId="80" applyAlignment="1" pivotButton="0" quotePrefix="0" xfId="0">
      <alignment horizontal="left" wrapText="1" indent="1"/>
    </xf>
    <xf numFmtId="0" fontId="7" fillId="0" borderId="62" applyAlignment="1" pivotButton="0" quotePrefix="0" xfId="1">
      <alignment horizontal="left" vertical="center" indent="1"/>
    </xf>
    <xf numFmtId="0" fontId="20" fillId="2" borderId="71" applyAlignment="1" pivotButton="0" quotePrefix="0" xfId="0">
      <alignment horizontal="left" vertical="center" wrapText="1"/>
    </xf>
    <xf numFmtId="0" fontId="20" fillId="2" borderId="71" applyAlignment="1" pivotButton="0" quotePrefix="0" xfId="0">
      <alignment horizontal="center" vertical="center" wrapText="1"/>
    </xf>
    <xf numFmtId="0" fontId="0" fillId="0" borderId="40" pivotButton="0" quotePrefix="0" xfId="0"/>
    <xf numFmtId="0" fontId="20" fillId="2" borderId="73" applyAlignment="1" pivotButton="0" quotePrefix="0" xfId="0">
      <alignment horizontal="left" vertical="center" wrapText="1"/>
    </xf>
    <xf numFmtId="0" fontId="20" fillId="2" borderId="73" applyAlignment="1" pivotButton="0" quotePrefix="0" xfId="0">
      <alignment horizontal="center" vertical="center" wrapText="1"/>
    </xf>
    <xf numFmtId="0" fontId="7" fillId="2" borderId="62" applyAlignment="1" pivotButton="0" quotePrefix="0" xfId="1">
      <alignment horizontal="center" vertical="center" wrapText="1"/>
    </xf>
    <xf numFmtId="0" fontId="4" fillId="2" borderId="62" applyAlignment="1" pivotButton="0" quotePrefix="0" xfId="1">
      <alignment horizontal="center" vertical="center"/>
    </xf>
    <xf numFmtId="0" fontId="0" fillId="0" borderId="27" applyProtection="1" pivotButton="0" quotePrefix="0" xfId="0">
      <protection locked="0" hidden="0"/>
    </xf>
    <xf numFmtId="0" fontId="0" fillId="0" borderId="53" pivotButton="0" quotePrefix="0" xfId="0"/>
    <xf numFmtId="0" fontId="7" fillId="0" borderId="62" applyAlignment="1" pivotButton="0" quotePrefix="0" xfId="1">
      <alignment horizontal="center" wrapText="1"/>
    </xf>
    <xf numFmtId="0" fontId="0" fillId="0" borderId="31" pivotButton="0" quotePrefix="0" xfId="0"/>
    <xf numFmtId="0" fontId="4" fillId="0" borderId="71" applyAlignment="1" pivotButton="0" quotePrefix="0" xfId="1">
      <alignment horizontal="left" vertical="center" indent="1"/>
    </xf>
    <xf numFmtId="0" fontId="4" fillId="0" borderId="65" applyAlignment="1" pivotButton="0" quotePrefix="0" xfId="1">
      <alignment horizontal="left" vertical="center" indent="1"/>
    </xf>
    <xf numFmtId="0" fontId="4" fillId="0" borderId="73" applyAlignment="1" pivotButton="0" quotePrefix="0" xfId="1">
      <alignment horizontal="left" vertical="center" wrapText="1" indent="1"/>
    </xf>
    <xf numFmtId="0" fontId="4" fillId="0" borderId="71" applyAlignment="1" pivotButton="0" quotePrefix="0" xfId="1">
      <alignment horizontal="left" wrapText="1" indent="1"/>
    </xf>
    <xf numFmtId="0" fontId="4" fillId="0" borderId="65" applyAlignment="1" pivotButton="0" quotePrefix="0" xfId="1">
      <alignment horizontal="left" wrapText="1" indent="1"/>
    </xf>
    <xf numFmtId="0" fontId="4" fillId="0" borderId="73" applyAlignment="1" pivotButton="0" quotePrefix="0" xfId="1">
      <alignment horizontal="left" vertical="center" indent="1"/>
    </xf>
    <xf numFmtId="0" fontId="7" fillId="2" borderId="71" applyAlignment="1" pivotButton="0" quotePrefix="0" xfId="1">
      <alignment horizontal="center"/>
    </xf>
    <xf numFmtId="0" fontId="7" fillId="2" borderId="81" applyAlignment="1" pivotButton="0" quotePrefix="0" xfId="1">
      <alignment horizontal="center"/>
    </xf>
    <xf numFmtId="0" fontId="7" fillId="2" borderId="20" applyAlignment="1" pivotButton="0" quotePrefix="0" xfId="1">
      <alignment horizontal="center" wrapText="1"/>
    </xf>
    <xf numFmtId="0" fontId="4" fillId="0" borderId="6" applyAlignment="1" applyProtection="1" pivotButton="0" quotePrefix="0" xfId="1">
      <alignment horizontal="center" vertical="center"/>
      <protection locked="0" hidden="0"/>
    </xf>
    <xf numFmtId="165" fontId="4" fillId="0" borderId="33" applyAlignment="1" applyProtection="1" pivotButton="0" quotePrefix="0" xfId="1">
      <alignment horizontal="center" vertical="center"/>
      <protection locked="0" hidden="0"/>
    </xf>
    <xf numFmtId="165" fontId="4" fillId="0" borderId="8" applyAlignment="1" applyProtection="1" pivotButton="0" quotePrefix="0" xfId="1">
      <alignment horizontal="center" vertical="center"/>
      <protection locked="0" hidden="0"/>
    </xf>
    <xf numFmtId="0" fontId="4" fillId="0" borderId="73" applyAlignment="1" pivotButton="0" quotePrefix="0" xfId="1">
      <alignment horizontal="left" vertical="top" indent="1"/>
    </xf>
    <xf numFmtId="165" fontId="4" fillId="0" borderId="23" applyAlignment="1" applyProtection="1" pivotButton="0" quotePrefix="0" xfId="1">
      <alignment horizontal="center" vertical="center"/>
      <protection locked="0" hidden="0"/>
    </xf>
    <xf numFmtId="165" fontId="7" fillId="0" borderId="23" applyAlignment="1" pivotButton="0" quotePrefix="0" xfId="1">
      <alignment horizontal="center" vertical="center"/>
    </xf>
    <xf numFmtId="0" fontId="7" fillId="0" borderId="20" applyAlignment="1" pivotButton="0" quotePrefix="0" xfId="1">
      <alignment horizontal="center" vertical="center"/>
    </xf>
    <xf numFmtId="0" fontId="9" fillId="2" borderId="62" applyAlignment="1" pivotButton="0" quotePrefix="0" xfId="1">
      <alignment horizontal="center" wrapText="1"/>
    </xf>
    <xf numFmtId="0" fontId="4" fillId="2" borderId="71" applyAlignment="1" pivotButton="0" quotePrefix="0" xfId="1">
      <alignment horizontal="left" vertical="center" wrapText="1" indent="1"/>
    </xf>
    <xf numFmtId="0" fontId="4" fillId="2" borderId="73" applyAlignment="1" pivotButton="0" quotePrefix="0" xfId="1">
      <alignment horizontal="left" vertical="center" wrapText="1" indent="1"/>
    </xf>
    <xf numFmtId="0" fontId="7" fillId="2" borderId="62" applyAlignment="1" pivotButton="0" quotePrefix="0" xfId="1">
      <alignment horizontal="left" vertical="center" wrapText="1" indent="1"/>
    </xf>
    <xf numFmtId="0" fontId="4" fillId="2" borderId="65" applyAlignment="1" pivotButton="0" quotePrefix="0" xfId="1">
      <alignment horizontal="left" vertical="center" wrapText="1" indent="1"/>
    </xf>
    <xf numFmtId="0" fontId="6" fillId="0" borderId="71" applyAlignment="1" pivotButton="0" quotePrefix="0" xfId="1">
      <alignment horizontal="center" vertical="center" wrapText="1"/>
    </xf>
    <xf numFmtId="0" fontId="4" fillId="0" borderId="65" applyAlignment="1" pivotButton="0" quotePrefix="0" xfId="1">
      <alignment horizontal="left" vertical="center" wrapText="1" indent="1"/>
    </xf>
    <xf numFmtId="0" fontId="18" fillId="0" borderId="73" applyAlignment="1" pivotButton="0" quotePrefix="0" xfId="0">
      <alignment horizontal="left" wrapText="1" indent="1"/>
    </xf>
    <xf numFmtId="0" fontId="35" fillId="2" borderId="60" applyAlignment="1" pivotButton="0" quotePrefix="0" xfId="0">
      <alignment horizontal="center" vertical="center" wrapText="1"/>
    </xf>
    <xf numFmtId="0" fontId="35" fillId="2" borderId="58" applyAlignment="1" pivotButton="0" quotePrefix="0" xfId="0">
      <alignment horizontal="center" vertical="center" wrapText="1"/>
    </xf>
    <xf numFmtId="0" fontId="35" fillId="2" borderId="61" applyAlignment="1" pivotButton="0" quotePrefix="0" xfId="0">
      <alignment horizontal="center" vertical="center" wrapText="1"/>
    </xf>
    <xf numFmtId="0" fontId="27" fillId="2" borderId="70" applyAlignment="1" applyProtection="1" pivotButton="0" quotePrefix="0" xfId="0">
      <alignment horizontal="center"/>
      <protection locked="0" hidden="0"/>
    </xf>
    <xf numFmtId="0" fontId="27" fillId="2" borderId="58" applyAlignment="1" applyProtection="1" pivotButton="0" quotePrefix="0" xfId="0">
      <alignment horizontal="center"/>
      <protection locked="0" hidden="0"/>
    </xf>
    <xf numFmtId="0" fontId="27" fillId="2" borderId="74" applyAlignment="1" applyProtection="1" pivotButton="0" quotePrefix="0" xfId="0">
      <alignment horizontal="center"/>
      <protection locked="0" hidden="0"/>
    </xf>
    <xf numFmtId="0" fontId="0" fillId="0" borderId="44" applyProtection="1" pivotButton="0" quotePrefix="0" xfId="0">
      <protection locked="0" hidden="0"/>
    </xf>
    <xf numFmtId="0" fontId="35" fillId="2" borderId="71" applyAlignment="1" pivotButton="0" quotePrefix="0" xfId="0">
      <alignment horizontal="center" wrapText="1"/>
    </xf>
    <xf numFmtId="0" fontId="35" fillId="2" borderId="70" applyAlignment="1" pivotButton="0" quotePrefix="0" xfId="0">
      <alignment horizontal="center" vertical="center" wrapText="1"/>
    </xf>
    <xf numFmtId="0" fontId="35" fillId="2" borderId="29" applyAlignment="1" pivotButton="0" quotePrefix="0" xfId="0">
      <alignment horizontal="center" vertical="center" wrapText="1"/>
    </xf>
    <xf numFmtId="0" fontId="35" fillId="2" borderId="74" applyAlignment="1" pivotButton="0" quotePrefix="0" xfId="0">
      <alignment horizontal="center" vertical="center" wrapText="1"/>
    </xf>
    <xf numFmtId="0" fontId="0" fillId="0" borderId="26" applyProtection="1" pivotButton="0" quotePrefix="0" xfId="0">
      <protection locked="0" hidden="0"/>
    </xf>
    <xf numFmtId="0" fontId="27" fillId="2" borderId="60" applyAlignment="1" applyProtection="1" pivotButton="0" quotePrefix="0" xfId="0">
      <alignment horizontal="center"/>
      <protection locked="0" hidden="0"/>
    </xf>
    <xf numFmtId="0" fontId="27" fillId="2" borderId="29" applyAlignment="1" applyProtection="1" pivotButton="0" quotePrefix="0" xfId="0">
      <alignment horizontal="center"/>
      <protection locked="0" hidden="0"/>
    </xf>
    <xf numFmtId="0" fontId="20" fillId="2" borderId="71" applyAlignment="1" pivotButton="0" quotePrefix="0" xfId="0">
      <alignment horizontal="center"/>
    </xf>
    <xf numFmtId="0" fontId="20" fillId="2" borderId="70" applyAlignment="1" pivotButton="0" quotePrefix="0" xfId="0">
      <alignment horizontal="center"/>
    </xf>
    <xf numFmtId="0" fontId="18" fillId="2" borderId="70" applyAlignment="1" applyProtection="1" pivotButton="0" quotePrefix="0" xfId="0">
      <alignment horizontal="center"/>
      <protection locked="0" hidden="0"/>
    </xf>
    <xf numFmtId="0" fontId="18" fillId="2" borderId="29" applyAlignment="1" applyProtection="1" pivotButton="0" quotePrefix="0" xfId="0">
      <alignment horizontal="center"/>
      <protection locked="0" hidden="0"/>
    </xf>
    <xf numFmtId="0" fontId="18" fillId="2" borderId="74" applyAlignment="1" applyProtection="1" pivotButton="0" quotePrefix="0" xfId="0">
      <alignment horizontal="center"/>
      <protection locked="0" hidden="0"/>
    </xf>
    <xf numFmtId="0" fontId="20" fillId="2" borderId="44" applyAlignment="1" pivotButton="0" quotePrefix="0" xfId="0">
      <alignment horizontal="center"/>
    </xf>
    <xf numFmtId="0" fontId="7" fillId="2" borderId="62" applyAlignment="1" pivotButton="0" quotePrefix="0" xfId="1">
      <alignment horizontal="center" wrapText="1"/>
    </xf>
    <xf numFmtId="0" fontId="4" fillId="2" borderId="62" applyAlignment="1" applyProtection="1" pivotButton="0" quotePrefix="0" xfId="1">
      <alignment horizontal="center" vertical="center"/>
      <protection locked="0" hidden="0"/>
    </xf>
    <xf numFmtId="0" fontId="7" fillId="0" borderId="62" applyAlignment="1" pivotButton="0" quotePrefix="0" xfId="1">
      <alignment horizontal="center" vertical="center"/>
    </xf>
    <xf numFmtId="166" fontId="4" fillId="0" borderId="12" applyAlignment="1" applyProtection="1" pivotButton="0" quotePrefix="0" xfId="1">
      <alignment horizontal="center" vertical="center"/>
      <protection locked="0" hidden="0"/>
    </xf>
    <xf numFmtId="166" fontId="4" fillId="0" borderId="10" applyAlignment="1" applyProtection="1" pivotButton="0" quotePrefix="0" xfId="1">
      <alignment horizontal="center" vertical="center"/>
      <protection locked="0" hidden="0"/>
    </xf>
    <xf numFmtId="166" fontId="4" fillId="2" borderId="10" applyAlignment="1" pivotButton="0" quotePrefix="0" xfId="1">
      <alignment horizontal="center" vertical="center"/>
    </xf>
    <xf numFmtId="166" fontId="4" fillId="0" borderId="6" applyAlignment="1" applyProtection="1" pivotButton="0" quotePrefix="0" xfId="1">
      <alignment horizontal="center" vertical="center"/>
      <protection locked="0" hidden="0"/>
    </xf>
    <xf numFmtId="166" fontId="4" fillId="2" borderId="44" applyAlignment="1" pivotButton="0" quotePrefix="0" xfId="1">
      <alignment horizontal="center" vertical="center"/>
    </xf>
    <xf numFmtId="0" fontId="0" fillId="0" borderId="64" pivotButton="0" quotePrefix="0" xfId="0"/>
    <xf numFmtId="166" fontId="4" fillId="0" borderId="20" applyAlignment="1" applyProtection="1" pivotButton="0" quotePrefix="0" xfId="1">
      <alignment horizontal="center" vertical="center"/>
      <protection locked="0" hidden="0"/>
    </xf>
    <xf numFmtId="166" fontId="7" fillId="2" borderId="60" applyAlignment="1" pivotButton="0" quotePrefix="0" xfId="1">
      <alignment horizontal="center" vertical="center"/>
    </xf>
    <xf numFmtId="164" fontId="4" fillId="2" borderId="71" applyAlignment="1" applyProtection="1" pivotButton="0" quotePrefix="0" xfId="1">
      <alignment horizontal="center" vertical="center"/>
      <protection locked="0" hidden="0"/>
    </xf>
    <xf numFmtId="164" fontId="4" fillId="2" borderId="65" applyAlignment="1" applyProtection="1" pivotButton="0" quotePrefix="0" xfId="1">
      <alignment horizontal="center" vertical="center"/>
      <protection locked="0" hidden="0"/>
    </xf>
    <xf numFmtId="164" fontId="4" fillId="2" borderId="75" applyAlignment="1" applyProtection="1" pivotButton="0" quotePrefix="0" xfId="1">
      <alignment horizontal="center" vertical="center"/>
      <protection locked="0" hidden="0"/>
    </xf>
    <xf numFmtId="0" fontId="0" fillId="0" borderId="39" applyProtection="1" pivotButton="0" quotePrefix="0" xfId="0">
      <protection locked="0" hidden="0"/>
    </xf>
    <xf numFmtId="164" fontId="7" fillId="2" borderId="60" applyAlignment="1" pivotButton="0" quotePrefix="0" xfId="1">
      <alignment horizontal="center" vertical="center"/>
    </xf>
    <xf numFmtId="0" fontId="18" fillId="0" borderId="71" applyAlignment="1" pivotButton="0" quotePrefix="0" xfId="0">
      <alignment horizontal="left" wrapText="1"/>
    </xf>
    <xf numFmtId="0" fontId="20" fillId="2" borderId="62" applyAlignment="1" pivotButton="0" quotePrefix="0" xfId="0">
      <alignment horizontal="left"/>
    </xf>
    <xf numFmtId="0" fontId="20" fillId="2" borderId="62" applyAlignment="1" pivotButton="0" quotePrefix="0" xfId="0">
      <alignment horizontal="center" wrapText="1"/>
    </xf>
    <xf numFmtId="0" fontId="18" fillId="2" borderId="77" applyAlignment="1" applyProtection="1" pivotButton="0" quotePrefix="0" xfId="0">
      <alignment horizontal="center"/>
      <protection locked="0" hidden="0"/>
    </xf>
    <xf numFmtId="0" fontId="0" fillId="0" borderId="40" applyProtection="1" pivotButton="0" quotePrefix="0" xfId="0">
      <protection locked="0" hidden="0"/>
    </xf>
    <xf numFmtId="0" fontId="18" fillId="2" borderId="73" applyAlignment="1" pivotButton="0" quotePrefix="0" xfId="0">
      <alignment horizontal="left" indent="1"/>
    </xf>
    <xf numFmtId="0" fontId="7" fillId="0" borderId="88" applyAlignment="1" pivotButton="0" quotePrefix="0" xfId="1">
      <alignment horizontal="center" vertical="center"/>
    </xf>
    <xf numFmtId="0" fontId="0" fillId="0" borderId="63" pivotButton="0" quotePrefix="0" xfId="0"/>
    <xf numFmtId="0" fontId="0" fillId="0" borderId="83" pivotButton="0" quotePrefix="0" xfId="0"/>
    <xf numFmtId="164" fontId="18" fillId="0" borderId="0" applyAlignment="1" pivotButton="0" quotePrefix="0" xfId="0">
      <alignment horizontal="center"/>
    </xf>
    <xf numFmtId="164" fontId="0" fillId="0" borderId="0" applyAlignment="1" pivotButton="0" quotePrefix="0" xfId="0">
      <alignment horizontal="center"/>
    </xf>
    <xf numFmtId="1" fontId="18" fillId="2" borderId="60" applyAlignment="1" applyProtection="1" pivotButton="0" quotePrefix="0" xfId="0">
      <alignment horizontal="center"/>
      <protection locked="0" hidden="0"/>
    </xf>
    <xf numFmtId="1" fontId="18" fillId="2" borderId="58" applyAlignment="1" applyProtection="1" pivotButton="0" quotePrefix="0" xfId="0">
      <alignment horizontal="center"/>
      <protection locked="0" hidden="0"/>
    </xf>
    <xf numFmtId="0" fontId="34" fillId="0" borderId="73" applyAlignment="1" pivotButton="0" quotePrefix="0" xfId="0">
      <alignment horizontal="left" wrapText="1" indent="1"/>
    </xf>
    <xf numFmtId="0" fontId="7" fillId="0" borderId="62" applyAlignment="1" pivotButton="0" quotePrefix="0" xfId="1">
      <alignment horizontal="center" vertical="center" wrapText="1"/>
    </xf>
    <xf numFmtId="0" fontId="18" fillId="2" borderId="71" applyAlignment="1" pivotButton="0" quotePrefix="0" xfId="0">
      <alignment horizontal="left" indent="1"/>
    </xf>
    <xf numFmtId="0" fontId="18" fillId="2" borderId="73" applyAlignment="1" applyProtection="1" pivotButton="0" quotePrefix="0" xfId="0">
      <alignment horizontal="center"/>
      <protection locked="0" hidden="0"/>
    </xf>
    <xf numFmtId="0" fontId="19" fillId="2" borderId="4" applyAlignment="1" pivotButton="0" quotePrefix="0" xfId="0">
      <alignment horizontal="center"/>
    </xf>
    <xf numFmtId="0" fontId="7" fillId="2" borderId="61" applyAlignment="1" pivotButton="0" quotePrefix="0" xfId="1">
      <alignment horizontal="center" wrapText="1"/>
    </xf>
    <xf numFmtId="0" fontId="0" fillId="0" borderId="35" pivotButton="0" quotePrefix="0" xfId="0"/>
    <xf numFmtId="0" fontId="0" fillId="0" borderId="19" pivotButton="0" quotePrefix="0" xfId="0"/>
    <xf numFmtId="0" fontId="0" fillId="0" borderId="68" pivotButton="0" quotePrefix="0" xfId="0"/>
    <xf numFmtId="0" fontId="0" fillId="0" borderId="13" pivotButton="0" quotePrefix="0" xfId="0"/>
    <xf numFmtId="0" fontId="0" fillId="0" borderId="43" pivotButton="0" quotePrefix="0" xfId="0"/>
    <xf numFmtId="0" fontId="18" fillId="2" borderId="29" applyAlignment="1" applyProtection="1" pivotButton="0" quotePrefix="0" xfId="0">
      <alignment horizontal="center" vertical="center" wrapText="1"/>
      <protection locked="0" hidden="0"/>
    </xf>
    <xf numFmtId="0" fontId="19" fillId="2" borderId="90" applyAlignment="1" pivotButton="0" quotePrefix="0" xfId="0">
      <alignment horizontal="center"/>
    </xf>
    <xf numFmtId="0" fontId="0" fillId="0" borderId="86" pivotButton="0" quotePrefix="0" xfId="0"/>
    <xf numFmtId="0" fontId="0" fillId="0" borderId="87" pivotButton="0" quotePrefix="0" xfId="0"/>
    <xf numFmtId="0" fontId="4" fillId="2" borderId="77" applyAlignment="1" pivotButton="0" quotePrefix="0" xfId="1">
      <alignment horizontal="left" vertical="center" indent="1"/>
    </xf>
    <xf numFmtId="0" fontId="4" fillId="2" borderId="65" applyAlignment="1" pivotButton="0" quotePrefix="0" xfId="1">
      <alignment horizontal="left" vertical="center" indent="1"/>
    </xf>
    <xf numFmtId="0" fontId="4" fillId="2" borderId="80" applyAlignment="1" pivotButton="0" quotePrefix="0" xfId="1">
      <alignment horizontal="left" vertical="center" indent="1"/>
    </xf>
    <xf numFmtId="0" fontId="4" fillId="5" borderId="3" applyAlignment="1" pivotButton="0" quotePrefix="0" xfId="1">
      <alignment horizontal="center" vertical="center"/>
    </xf>
    <xf numFmtId="0" fontId="4" fillId="0" borderId="71" applyAlignment="1" pivotButton="0" quotePrefix="0" xfId="1">
      <alignment horizontal="left" vertical="center" wrapText="1" indent="1"/>
    </xf>
    <xf numFmtId="0" fontId="10" fillId="2" borderId="73" applyAlignment="1" pivotButton="0" quotePrefix="0" xfId="1">
      <alignment horizontal="left" vertical="center" wrapText="1" indent="1"/>
    </xf>
    <xf numFmtId="0" fontId="4" fillId="2" borderId="20" applyAlignment="1" applyProtection="1" pivotButton="0" quotePrefix="0" xfId="1">
      <alignment horizontal="center" vertical="center" wrapText="1"/>
      <protection locked="0" hidden="0"/>
    </xf>
    <xf numFmtId="0" fontId="18" fillId="0" borderId="71" applyAlignment="1" pivotButton="0" quotePrefix="0" xfId="0">
      <alignment horizontal="left" indent="1"/>
    </xf>
    <xf numFmtId="0" fontId="7" fillId="2" borderId="81" applyAlignment="1" pivotButton="0" quotePrefix="0" xfId="0">
      <alignment horizontal="center"/>
    </xf>
    <xf numFmtId="166" fontId="4" fillId="2" borderId="71" applyAlignment="1" applyProtection="1" pivotButton="0" quotePrefix="0" xfId="1">
      <alignment horizontal="center" vertical="center"/>
      <protection locked="0" hidden="0"/>
    </xf>
    <xf numFmtId="166" fontId="4" fillId="2" borderId="65" applyAlignment="1" applyProtection="1" pivotButton="0" quotePrefix="0" xfId="1">
      <alignment horizontal="center" vertical="center"/>
      <protection locked="0" hidden="0"/>
    </xf>
    <xf numFmtId="166" fontId="4" fillId="2" borderId="46" applyAlignment="1" pivotButton="0" quotePrefix="0" xfId="1">
      <alignment horizontal="center" vertical="center"/>
    </xf>
    <xf numFmtId="166" fontId="4" fillId="2" borderId="6" applyAlignment="1" applyProtection="1" pivotButton="0" quotePrefix="0" xfId="1">
      <alignment horizontal="center" vertical="center"/>
      <protection locked="0" hidden="0"/>
    </xf>
    <xf numFmtId="166" fontId="4" fillId="2" borderId="73" applyAlignment="1" pivotButton="0" quotePrefix="0" xfId="1">
      <alignment horizontal="center" vertical="center"/>
    </xf>
    <xf numFmtId="166" fontId="4" fillId="2" borderId="20" applyAlignment="1" applyProtection="1" pivotButton="0" quotePrefix="0" xfId="1">
      <alignment horizontal="center" vertical="center"/>
      <protection locked="0" hidden="0"/>
    </xf>
    <xf numFmtId="166" fontId="7" fillId="2" borderId="62" applyAlignment="1" pivotButton="0" quotePrefix="0" xfId="1">
      <alignment horizontal="center" vertical="center"/>
    </xf>
    <xf numFmtId="164" fontId="4" fillId="2" borderId="73" applyAlignment="1" applyProtection="1" pivotButton="0" quotePrefix="0" xfId="1">
      <alignment horizontal="center" vertical="center"/>
      <protection locked="0" hidden="0"/>
    </xf>
    <xf numFmtId="164" fontId="7" fillId="2" borderId="62" applyAlignment="1" pivotButton="0" quotePrefix="0" xfId="1">
      <alignment horizontal="center" vertical="center"/>
    </xf>
  </cellXfs>
  <cellStyles count="2">
    <cellStyle name="Normal" xfId="0" builtinId="0"/>
    <cellStyle name="Normal 2" xfId="1"/>
  </cellStyles>
  <dxfs count="504">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dxf>
    <dxf>
      <font>
        <color rgb="FFFF0000"/>
      </font>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dxf>
    <dxf>
      <font>
        <color theme="0"/>
      </font>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dxf>
    <dxf>
      <font>
        <color theme="0"/>
      </font>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patternType="solid">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ont>
        <color theme="0"/>
      </font>
    </dxf>
    <dxf>
      <font>
        <color rgb="FFFF0000"/>
      </font>
    </dxf>
    <dxf>
      <font>
        <color rgb="FFFF0000"/>
      </font>
    </dxf>
    <dxf>
      <font>
        <color theme="0"/>
      </font>
    </dxf>
    <dxf>
      <font>
        <color rgb="FFFF0000"/>
      </font>
    </dxf>
    <dxf>
      <font>
        <color theme="0"/>
      </font>
    </dxf>
    <dxf>
      <font>
        <color rgb="FFFF0000"/>
      </font>
    </dxf>
    <dxf>
      <font>
        <color theme="0"/>
      </font>
    </dxf>
    <dxf>
      <font>
        <color rgb="FFFF0000"/>
      </font>
    </dxf>
    <dxf>
      <font>
        <color theme="0"/>
      </font>
    </dxf>
    <dxf>
      <font>
        <color rgb="FFFF0000"/>
      </font>
      <fill>
        <patternFill>
          <bgColor auto="1"/>
        </patternFill>
      </fill>
    </dxf>
    <dxf>
      <font>
        <color theme="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ont>
        <color theme="0"/>
      </font>
    </dxf>
    <dxf>
      <font>
        <color rgb="FFFF0000"/>
      </font>
    </dxf>
    <dxf>
      <font>
        <color rgb="FFFF0000"/>
      </font>
    </dxf>
    <dxf>
      <font>
        <color theme="0"/>
      </font>
    </dxf>
    <dxf>
      <font>
        <color theme="0"/>
      </font>
    </dxf>
    <dxf>
      <font>
        <color rgb="FFFF0000"/>
      </font>
    </dxf>
    <dxf>
      <font>
        <color theme="0"/>
      </font>
    </dxf>
    <dxf>
      <font>
        <color rgb="FFFF0000"/>
      </font>
    </dxf>
    <dxf>
      <font>
        <color rgb="FFFF0000"/>
      </font>
    </dxf>
    <dxf>
      <font>
        <color theme="0"/>
      </font>
    </dxf>
    <dxf>
      <font>
        <color theme="0"/>
      </font>
    </dxf>
    <dxf>
      <font>
        <color rgb="FFFF0000"/>
      </font>
    </dxf>
    <dxf>
      <font>
        <color theme="0"/>
      </font>
    </dxf>
    <dxf>
      <font>
        <color rgb="FFFF0000"/>
      </font>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dxf>
    <dxf>
      <font>
        <color rgb="FFFF0000"/>
      </font>
    </dxf>
    <dxf>
      <font>
        <color theme="0"/>
      </font>
      <fill>
        <patternFill>
          <bgColor auto="1"/>
        </patternFill>
      </fill>
    </dxf>
    <dxf>
      <font>
        <color rgb="FFFF0000"/>
      </font>
      <fill>
        <patternFill>
          <bgColor auto="1"/>
        </patternFill>
      </fill>
    </dxf>
    <dxf>
      <font>
        <color rgb="FFFF0000"/>
      </font>
      <fill>
        <patternFill>
          <bgColor auto="1"/>
        </patternFill>
      </fill>
      <border>
        <left/>
        <right/>
        <top/>
        <bottom/>
      </border>
    </dxf>
    <dxf>
      <font>
        <color theme="0"/>
      </font>
      <fill>
        <patternFill>
          <bgColor auto="1"/>
        </patternFill>
      </fill>
      <border>
        <left/>
        <right/>
        <top/>
        <bottom/>
      </border>
    </dxf>
    <dxf>
      <font>
        <color rgb="FFFF0000"/>
      </font>
      <fill>
        <patternFill>
          <bgColor auto="1"/>
        </patternFill>
      </fill>
      <border>
        <left/>
        <right/>
        <top/>
        <bottom/>
      </border>
    </dxf>
    <dxf>
      <font>
        <color theme="0"/>
      </font>
      <fill>
        <patternFill>
          <bgColor auto="1"/>
        </patternFill>
      </fill>
      <border>
        <left/>
        <right/>
        <top/>
        <bottom/>
      </border>
    </dxf>
    <dxf>
      <font>
        <color rgb="FFFF0000"/>
      </font>
      <fill>
        <patternFill>
          <bgColor auto="1"/>
        </patternFill>
      </fill>
    </dxf>
    <dxf>
      <font>
        <color theme="0"/>
      </font>
      <fill>
        <patternFill>
          <bgColor auto="1"/>
        </patternFill>
      </fill>
    </dxf>
    <dxf>
      <font>
        <color rgb="FFFF0000"/>
      </font>
    </dxf>
    <dxf>
      <font>
        <color theme="0"/>
      </font>
    </dxf>
    <dxf>
      <font>
        <color theme="0"/>
      </font>
    </dxf>
    <dxf>
      <font>
        <color rgb="FFFF0000"/>
      </font>
    </dxf>
    <dxf>
      <font>
        <color rgb="FFFF0000"/>
      </font>
    </dxf>
    <dxf>
      <font>
        <color theme="0"/>
      </font>
    </dxf>
    <dxf>
      <font>
        <color rgb="FFFF0000"/>
      </font>
      <fill>
        <patternFill>
          <bgColor auto="1"/>
        </patternFill>
      </fill>
    </dxf>
    <dxf>
      <font>
        <color theme="0"/>
      </font>
      <fill>
        <patternFill>
          <bgColor auto="1"/>
        </patternFill>
      </fill>
    </dxf>
    <dxf>
      <font>
        <color rgb="FFFF0000"/>
      </font>
    </dxf>
    <dxf>
      <font>
        <color theme="0"/>
      </font>
    </dxf>
    <dxf>
      <font>
        <color rgb="FFFF0000"/>
      </font>
    </dxf>
    <dxf>
      <font>
        <color theme="0"/>
      </font>
    </dxf>
    <dxf>
      <font>
        <color theme="0"/>
      </font>
    </dxf>
    <dxf>
      <font>
        <color rgb="FFFF0000"/>
      </font>
    </dxf>
    <dxf>
      <font>
        <color rgb="FFFF0000"/>
      </font>
    </dxf>
    <dxf>
      <font>
        <color theme="0"/>
      </font>
    </dxf>
    <dxf>
      <font>
        <color theme="0"/>
      </font>
    </dxf>
    <dxf>
      <font>
        <color rgb="FFFF0000"/>
      </font>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dxf>
    <dxf>
      <font>
        <color theme="0"/>
      </font>
    </dxf>
    <dxf>
      <font>
        <color rgb="FFFF0000"/>
      </font>
      <fill>
        <patternFill>
          <bgColor auto="1"/>
        </patternFill>
      </fill>
    </dxf>
    <dxf>
      <font>
        <color theme="0"/>
      </font>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drawing1.xml><?xml version="1.0" encoding="utf-8"?>
<wsDr xmlns="http://schemas.openxmlformats.org/drawingml/2006/spreadsheetDrawing">
  <twoCellAnchor>
    <from>
      <col>0</col>
      <colOff>0</colOff>
      <row>0</row>
      <rowOff>0</rowOff>
    </from>
    <to>
      <col>4</col>
      <colOff>28575</colOff>
      <row>1</row>
      <rowOff>38100</rowOff>
    </to>
    <pic>
      <nvPicPr>
        <cNvPr id="1026"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333625" cy="2286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0</colOff>
      <row>0</row>
      <rowOff>0</rowOff>
    </from>
    <to>
      <col>4</col>
      <colOff>552450</colOff>
      <row>1</row>
      <rowOff>95250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2857500" cy="285750"/>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0</colOff>
      <row>0</row>
      <rowOff>0</rowOff>
    </from>
    <to>
      <col>4</col>
      <colOff>28575</colOff>
      <row>1</row>
      <rowOff>38100</rowOff>
    </to>
    <pic>
      <nvPicPr>
        <cNvPr id="2050"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628900" cy="2286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0</colOff>
      <row>0</row>
      <rowOff>0</rowOff>
    </from>
    <to>
      <col>4</col>
      <colOff>552450</colOff>
      <row>1</row>
      <rowOff>95250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3152775" cy="2857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AK434"/>
  <sheetViews>
    <sheetView showGridLines="0" topLeftCell="A167" zoomScale="115" zoomScaleNormal="115" workbookViewId="0">
      <selection activeCell="H14" sqref="H14:J14"/>
    </sheetView>
  </sheetViews>
  <sheetFormatPr baseColWidth="8" defaultColWidth="9" defaultRowHeight="15"/>
  <cols>
    <col width="9" customWidth="1" style="26" min="1" max="1"/>
    <col width="7.7109375" customWidth="1" style="26" min="2" max="2"/>
    <col width="9.85546875" customWidth="1" style="26" min="3" max="3"/>
    <col width="8" customWidth="1" style="26" min="4" max="4"/>
    <col width="12.140625" customWidth="1" style="26" min="5" max="5"/>
    <col width="11.7109375" customWidth="1" style="26" min="6" max="6"/>
    <col width="10" customWidth="1" style="26" min="7" max="7"/>
    <col width="8.85546875" customWidth="1" style="26" min="8" max="8"/>
    <col width="9.85546875" customWidth="1" style="26" min="9" max="9"/>
    <col width="8.85546875" customWidth="1" style="26" min="10" max="10"/>
    <col width="9.140625" customWidth="1" style="26" min="11" max="11"/>
    <col width="8.42578125" customWidth="1" style="26" min="12" max="12"/>
    <col width="9" customWidth="1" style="26" min="13" max="13"/>
    <col width="9" customWidth="1" min="16" max="16"/>
  </cols>
  <sheetData>
    <row r="1">
      <c r="M1" s="88" t="n"/>
      <c r="N1" s="89" t="n"/>
      <c r="O1" s="89" t="n"/>
      <c r="P1" s="89" t="n"/>
      <c r="Q1" s="89" t="n"/>
      <c r="R1" s="89" t="n"/>
      <c r="S1" s="89" t="n"/>
      <c r="T1" s="89" t="n"/>
      <c r="U1" s="89" t="n"/>
      <c r="V1" s="89" t="n"/>
      <c r="W1" s="89" t="n"/>
      <c r="X1" s="89" t="n"/>
      <c r="Y1" s="89" t="n"/>
      <c r="Z1" s="89" t="n"/>
      <c r="AA1" s="44" t="inlineStr">
        <is>
          <t>jdurand - 2022-05-16 14:34</t>
        </is>
      </c>
      <c r="AB1" s="89" t="n"/>
      <c r="AC1" s="89" t="n"/>
      <c r="AD1" s="89" t="n"/>
      <c r="AE1" s="89" t="n"/>
      <c r="AF1" s="89" t="n"/>
      <c r="AG1" s="89" t="n"/>
    </row>
    <row r="2">
      <c r="M2" s="88" t="n"/>
      <c r="N2" s="89" t="n"/>
      <c r="O2" s="89" t="n"/>
      <c r="P2" s="89" t="n"/>
      <c r="Q2" s="89" t="n"/>
      <c r="R2" s="89" t="n"/>
      <c r="S2" s="89" t="n"/>
      <c r="T2" s="89" t="n"/>
      <c r="U2" s="89" t="n"/>
      <c r="V2" s="89" t="n"/>
      <c r="W2" s="89" t="n"/>
      <c r="X2" s="89" t="n"/>
      <c r="Y2" s="89" t="n"/>
      <c r="Z2" s="89" t="n"/>
      <c r="AA2" s="89" t="n"/>
      <c r="AB2" s="89" t="n"/>
      <c r="AC2" s="89" t="n"/>
      <c r="AD2" s="89" t="n"/>
      <c r="AE2" s="89" t="n"/>
      <c r="AF2" s="89" t="n"/>
      <c r="AG2" s="89" t="n"/>
    </row>
    <row r="3">
      <c r="M3" s="88" t="n"/>
      <c r="N3" s="89" t="n"/>
      <c r="O3" s="89" t="n"/>
      <c r="P3" s="89" t="n"/>
      <c r="Q3" s="89" t="n"/>
      <c r="R3" s="89" t="n"/>
      <c r="S3" s="89" t="n"/>
      <c r="T3" s="89" t="n"/>
      <c r="U3" s="89" t="n"/>
      <c r="V3" s="89" t="n"/>
      <c r="W3" s="89" t="n"/>
      <c r="X3" s="89" t="n"/>
      <c r="Y3" s="89" t="n"/>
      <c r="Z3" s="89" t="n"/>
      <c r="AA3" s="89" t="n"/>
      <c r="AB3" s="89" t="n"/>
      <c r="AC3" s="89" t="n"/>
      <c r="AD3" s="89" t="n"/>
      <c r="AE3" s="89" t="n"/>
      <c r="AF3" s="89" t="n"/>
      <c r="AG3" s="89" t="n"/>
    </row>
    <row r="4" ht="18.75" customHeight="1">
      <c r="A4" s="493" t="inlineStr">
        <is>
          <t>Rapport statistique sur la Loi sur l’accès à l’information</t>
        </is>
      </c>
      <c r="M4" s="88" t="n"/>
      <c r="N4" s="89" t="n"/>
      <c r="O4" s="89" t="n"/>
      <c r="P4" s="89" t="n"/>
      <c r="Q4" s="89" t="n"/>
      <c r="R4" s="89" t="n"/>
      <c r="S4" s="89" t="n"/>
      <c r="T4" s="89" t="n"/>
      <c r="U4" s="89" t="n"/>
      <c r="V4" s="89" t="n"/>
      <c r="W4" s="89" t="n"/>
      <c r="X4" s="89" t="n"/>
      <c r="Y4" s="89" t="n"/>
      <c r="Z4" s="89" t="n"/>
      <c r="AA4" s="89" t="n"/>
      <c r="AB4" s="89" t="n"/>
      <c r="AC4" s="89" t="n"/>
      <c r="AD4" s="89" t="n"/>
      <c r="AE4" s="89" t="n"/>
      <c r="AF4" s="89" t="n"/>
      <c r="AG4" s="89" t="n"/>
    </row>
    <row r="5">
      <c r="M5" s="88" t="n"/>
      <c r="N5" s="89" t="n"/>
      <c r="O5" s="89" t="n"/>
      <c r="P5" s="89" t="n"/>
      <c r="Q5" s="89" t="n"/>
      <c r="R5" s="89" t="n"/>
      <c r="S5" s="89" t="n"/>
      <c r="T5" s="89" t="n"/>
      <c r="U5" s="89" t="n"/>
      <c r="V5" s="89" t="n"/>
      <c r="W5" s="89" t="n"/>
      <c r="X5" s="89" t="n"/>
      <c r="Y5" s="89" t="n"/>
      <c r="Z5" s="89" t="n"/>
      <c r="AA5" s="89" t="n"/>
      <c r="AB5" s="89" t="n"/>
      <c r="AC5" s="89" t="n"/>
      <c r="AD5" s="89" t="n"/>
      <c r="AE5" s="89" t="n"/>
      <c r="AF5" s="89" t="n"/>
      <c r="AG5" s="89" t="n"/>
    </row>
    <row r="6">
      <c r="A6" s="323" t="inlineStr">
        <is>
          <t>Nom de l’institution:</t>
        </is>
      </c>
      <c r="D6" s="515" t="inlineStr">
        <is>
          <t>Défense nationale</t>
        </is>
      </c>
      <c r="E6" s="1370" t="n"/>
      <c r="F6" s="1370" t="n"/>
      <c r="G6" s="1370" t="n"/>
      <c r="H6" s="1370" t="n"/>
      <c r="I6" s="1370" t="n"/>
      <c r="K6" s="46" t="inlineStr">
        <is>
          <t>Vous devez entrer le nom d'une institution</t>
        </is>
      </c>
      <c r="M6" s="88" t="n"/>
      <c r="N6" s="89" t="n"/>
      <c r="O6" s="89" t="n"/>
      <c r="P6" s="89" t="n"/>
      <c r="Q6" s="89" t="n"/>
      <c r="R6" s="89" t="n"/>
      <c r="S6" s="89" t="n"/>
      <c r="T6" s="89" t="n"/>
      <c r="U6" s="89" t="n"/>
      <c r="V6" s="89" t="n"/>
      <c r="W6" s="89" t="n"/>
      <c r="X6" s="89" t="n"/>
      <c r="Y6" s="89" t="n"/>
      <c r="Z6" s="89" t="n"/>
      <c r="AA6" s="89" t="n"/>
      <c r="AB6" s="89" t="n"/>
      <c r="AC6" s="89" t="n"/>
      <c r="AD6" s="89" t="n"/>
      <c r="AE6" s="89" t="n"/>
      <c r="AF6" s="89" t="n"/>
      <c r="AG6" s="89" t="n"/>
    </row>
    <row r="7">
      <c r="M7" s="88" t="n"/>
      <c r="N7" s="89" t="n"/>
      <c r="O7" s="89" t="n"/>
      <c r="P7" s="89" t="n"/>
      <c r="Q7" s="89" t="n"/>
      <c r="R7" s="89" t="n"/>
      <c r="S7" s="89" t="n"/>
      <c r="T7" s="89" t="n"/>
      <c r="U7" s="89" t="n"/>
      <c r="V7" s="89" t="n"/>
      <c r="W7" s="89" t="n"/>
      <c r="X7" s="89" t="n"/>
      <c r="Y7" s="89" t="n"/>
      <c r="Z7" s="89" t="n"/>
      <c r="AA7" s="89" t="n"/>
      <c r="AB7" s="89" t="n"/>
      <c r="AC7" s="89" t="n"/>
      <c r="AD7" s="89" t="n"/>
      <c r="AE7" s="89" t="n"/>
      <c r="AF7" s="89" t="n"/>
      <c r="AG7" s="89" t="n"/>
    </row>
    <row r="8" customFormat="1" s="26">
      <c r="A8" s="1371" t="n">
        <v>45017</v>
      </c>
      <c r="F8" s="494" t="n">
        <v>45383</v>
      </c>
      <c r="G8" s="1372" t="n"/>
      <c r="H8" s="1373" t="n">
        <v>45382</v>
      </c>
      <c r="I8" s="494" t="n">
        <v>45747</v>
      </c>
      <c r="J8" s="1372" t="n"/>
      <c r="M8" s="88" t="n"/>
      <c r="N8" s="88" t="n"/>
      <c r="O8" s="88" t="n"/>
      <c r="P8" s="88" t="n"/>
      <c r="Q8" s="88" t="n"/>
      <c r="R8" s="88" t="n"/>
      <c r="S8" s="88" t="n"/>
      <c r="T8" s="88" t="n"/>
      <c r="U8" s="88" t="n"/>
      <c r="V8" s="88" t="n"/>
      <c r="W8" s="88" t="n"/>
      <c r="X8" s="88" t="n"/>
      <c r="Y8" s="88" t="n"/>
      <c r="Z8" s="88" t="n"/>
      <c r="AA8" s="88" t="n"/>
      <c r="AB8" s="88" t="n"/>
      <c r="AC8" s="88" t="n"/>
      <c r="AD8" s="88" t="n"/>
      <c r="AE8" s="88" t="n"/>
      <c r="AF8" s="88" t="n"/>
      <c r="AG8" s="88" t="n"/>
    </row>
    <row r="9">
      <c r="M9" s="88" t="n"/>
      <c r="N9" s="89" t="n"/>
      <c r="O9" s="89" t="n"/>
      <c r="P9" s="89" t="n"/>
      <c r="Q9" s="89" t="n"/>
      <c r="R9" s="89" t="n"/>
      <c r="S9" s="89" t="n"/>
      <c r="T9" s="89" t="n"/>
      <c r="U9" s="89" t="n"/>
      <c r="V9" s="89" t="n"/>
      <c r="W9" s="89" t="n"/>
      <c r="X9" s="89" t="n"/>
      <c r="Y9" s="89" t="n"/>
      <c r="Z9" s="89" t="n"/>
      <c r="AA9" s="89" t="n"/>
      <c r="AB9" s="89" t="n"/>
      <c r="AC9" s="89" t="n"/>
      <c r="AD9" s="89" t="n"/>
      <c r="AE9" s="89" t="n"/>
      <c r="AF9" s="89" t="n"/>
      <c r="AG9" s="89" t="n"/>
    </row>
    <row r="10" ht="15.75" customHeight="1">
      <c r="A10" s="496" t="inlineStr">
        <is>
          <t>Section 1 – Demandes en vertu de la Loi sur l’accès à l’information</t>
        </is>
      </c>
      <c r="M10" s="88" t="n"/>
      <c r="N10" s="89" t="n"/>
      <c r="O10" s="89" t="n"/>
      <c r="P10" s="89" t="n"/>
      <c r="Q10" s="89" t="n"/>
      <c r="R10" s="89" t="n"/>
      <c r="S10" s="89" t="n"/>
      <c r="T10" s="89" t="n"/>
      <c r="U10" s="89" t="n"/>
      <c r="V10" s="89" t="n"/>
      <c r="W10" s="89" t="n"/>
      <c r="X10" s="89" t="n"/>
      <c r="Y10" s="89" t="n"/>
      <c r="Z10" s="89" t="n"/>
      <c r="AA10" s="89" t="n"/>
      <c r="AB10" s="89" t="n"/>
      <c r="AC10" s="89" t="n"/>
      <c r="AD10" s="89" t="n"/>
      <c r="AE10" s="89" t="n"/>
      <c r="AF10" s="89" t="n"/>
      <c r="AG10" s="89" t="n"/>
    </row>
    <row r="11" ht="15" customHeight="1">
      <c r="N11" s="36" t="n"/>
      <c r="O11" s="36" t="n"/>
      <c r="P11" s="36" t="n"/>
      <c r="Q11" s="36" t="n"/>
      <c r="R11" s="36" t="n"/>
      <c r="S11" s="36" t="n"/>
      <c r="T11" s="36" t="n"/>
      <c r="U11" s="36" t="n"/>
      <c r="V11" s="89" t="n"/>
      <c r="W11" s="89" t="n"/>
      <c r="X11" s="89" t="n"/>
      <c r="Y11" s="89" t="n"/>
      <c r="Z11" s="89" t="n"/>
      <c r="AA11" s="89" t="n"/>
      <c r="AB11" s="89" t="n"/>
      <c r="AC11" s="89" t="n"/>
      <c r="AD11" s="89" t="n"/>
      <c r="AE11" s="89" t="n"/>
      <c r="AF11" s="89" t="n"/>
      <c r="AG11" s="89" t="n"/>
    </row>
    <row r="12" ht="15" customHeight="1" thickBot="1">
      <c r="A12" s="411" t="inlineStr">
        <is>
          <t>1.1  Nombre de demandes</t>
        </is>
      </c>
      <c r="L12" s="36" t="n"/>
      <c r="M12" s="905" t="n"/>
      <c r="V12" s="36" t="n"/>
      <c r="W12" s="89" t="n"/>
      <c r="X12" s="89" t="n"/>
      <c r="Y12" s="89" t="n"/>
      <c r="Z12" s="89" t="n"/>
      <c r="AA12" s="89" t="n"/>
      <c r="AB12" s="89" t="n"/>
      <c r="AC12" s="89" t="n"/>
      <c r="AD12" s="89" t="n"/>
      <c r="AE12" s="89" t="n"/>
      <c r="AF12" s="89" t="n"/>
      <c r="AG12" s="89" t="n"/>
    </row>
    <row r="13" ht="15.75" customHeight="1" thickBot="1" thickTop="1">
      <c r="G13" s="206" t="n"/>
      <c r="H13" s="498" t="inlineStr">
        <is>
          <t>Nombre de demandes</t>
        </is>
      </c>
      <c r="I13" s="1374" t="n"/>
      <c r="J13" s="1375" t="n"/>
      <c r="L13" s="36" t="n"/>
      <c r="V13" s="36" t="n"/>
      <c r="W13" s="89" t="n"/>
      <c r="X13" s="89" t="n"/>
      <c r="Y13" s="89" t="n"/>
      <c r="Z13" s="89" t="n"/>
      <c r="AA13" s="89" t="n"/>
      <c r="AB13" s="89" t="n"/>
      <c r="AC13" s="89" t="n"/>
      <c r="AD13" s="89" t="n"/>
      <c r="AE13" s="89" t="n"/>
      <c r="AF13" s="89" t="n"/>
      <c r="AG13" s="89" t="n"/>
    </row>
    <row r="14" ht="15.75" customHeight="1" thickTop="1">
      <c r="A14" s="1376" t="inlineStr">
        <is>
          <t>Reçues pendant la période d'établissement de rapport</t>
        </is>
      </c>
      <c r="B14" s="1377" t="n"/>
      <c r="C14" s="1377" t="n"/>
      <c r="D14" s="1377" t="n"/>
      <c r="E14" s="1377" t="n"/>
      <c r="F14" s="1377" t="n"/>
      <c r="G14" s="1378" t="n"/>
      <c r="H14" s="509" t="n">
        <v>2347</v>
      </c>
      <c r="I14" s="1379" t="n"/>
      <c r="J14" s="1380" t="n"/>
      <c r="L14" s="111" t="n"/>
      <c r="M14" s="905" t="n"/>
      <c r="V14" s="88" t="n"/>
      <c r="W14" s="88" t="n"/>
      <c r="X14" s="88" t="n"/>
      <c r="Y14" s="88" t="n"/>
      <c r="Z14" s="88" t="n"/>
      <c r="AA14" s="88" t="n"/>
      <c r="AB14" s="88" t="n"/>
      <c r="AC14" s="88" t="n"/>
      <c r="AD14" s="88" t="n"/>
      <c r="AE14" s="88" t="n"/>
      <c r="AF14" s="88" t="n"/>
      <c r="AG14" s="88" t="n"/>
      <c r="AH14" s="26" t="n"/>
      <c r="AI14" s="26" t="n"/>
      <c r="AJ14" s="26" t="n"/>
      <c r="AK14" s="26" t="n"/>
    </row>
    <row r="15" ht="15.75" customHeight="1" thickBot="1">
      <c r="A15" s="525" t="inlineStr">
        <is>
          <t>En suspens à la fin de la période d'établissement de rapport précédente</t>
        </is>
      </c>
      <c r="B15" s="1381" t="n"/>
      <c r="C15" s="1381" t="n"/>
      <c r="D15" s="1381" t="n"/>
      <c r="E15" s="1381" t="n"/>
      <c r="F15" s="1381" t="n"/>
      <c r="G15" s="1381" t="n"/>
      <c r="H15" s="1382">
        <f>G16+G17</f>
        <v/>
      </c>
      <c r="I15" s="1381" t="n"/>
      <c r="J15" s="1383" t="n"/>
      <c r="M15" s="921" t="n"/>
      <c r="V15" s="88" t="n"/>
      <c r="W15" s="88" t="n"/>
      <c r="X15" s="88" t="n"/>
      <c r="Y15" s="88" t="n"/>
      <c r="Z15" s="88" t="n"/>
      <c r="AA15" s="88" t="n"/>
      <c r="AB15" s="88" t="n"/>
      <c r="AC15" s="88" t="n"/>
      <c r="AD15" s="88" t="n"/>
      <c r="AE15" s="88" t="n"/>
      <c r="AF15" s="88" t="n"/>
      <c r="AG15" s="88" t="n"/>
      <c r="AH15" s="26" t="n"/>
      <c r="AI15" s="26" t="n"/>
      <c r="AJ15" s="26" t="n"/>
      <c r="AK15" s="26" t="n"/>
    </row>
    <row r="16" ht="29.25" customHeight="1" thickTop="1">
      <c r="A16" s="956" t="inlineStr">
        <is>
          <t>• En suspens à la fin de la période d'établissement de rapport précédente</t>
        </is>
      </c>
      <c r="B16" s="1381" t="n"/>
      <c r="C16" s="1381" t="n"/>
      <c r="D16" s="1381" t="n"/>
      <c r="E16" s="1381" t="n"/>
      <c r="F16" s="1384" t="n"/>
      <c r="G16" s="207" t="n">
        <v>183</v>
      </c>
      <c r="H16" s="972" t="n"/>
      <c r="I16" s="1385" t="n"/>
      <c r="J16" s="1386" t="n"/>
      <c r="M16" s="921" t="n"/>
      <c r="V16" s="88" t="n"/>
      <c r="W16" s="88" t="n"/>
      <c r="X16" s="88" t="n"/>
      <c r="Y16" s="88" t="n"/>
      <c r="Z16" s="88" t="n"/>
      <c r="AA16" s="88" t="n"/>
      <c r="AB16" s="88" t="n"/>
      <c r="AC16" s="88" t="n"/>
      <c r="AD16" s="88" t="n"/>
      <c r="AE16" s="88" t="n"/>
      <c r="AF16" s="88" t="n"/>
      <c r="AG16" s="88" t="n"/>
      <c r="AH16" s="26" t="n"/>
      <c r="AI16" s="26" t="n"/>
      <c r="AJ16" s="26" t="n"/>
      <c r="AK16" s="26" t="n"/>
    </row>
    <row r="17" ht="15.75" customHeight="1" thickBot="1">
      <c r="A17" s="1387" t="inlineStr">
        <is>
          <t>• En suspens pour plus d'une période d'établissement de rapport</t>
        </is>
      </c>
      <c r="B17" s="1388" t="n"/>
      <c r="C17" s="1388" t="n"/>
      <c r="D17" s="1388" t="n"/>
      <c r="E17" s="1388" t="n"/>
      <c r="F17" s="1389" t="n"/>
      <c r="G17" s="208" t="n">
        <v>1594</v>
      </c>
      <c r="H17" s="1390" t="n"/>
      <c r="I17" s="1390" t="n"/>
      <c r="J17" s="1391" t="n"/>
      <c r="M17" s="921" t="n"/>
      <c r="V17" s="88" t="n"/>
      <c r="W17" s="88" t="n"/>
      <c r="X17" s="88" t="n"/>
      <c r="Y17" s="88" t="n"/>
      <c r="Z17" s="88" t="n"/>
      <c r="AA17" s="88" t="n"/>
      <c r="AB17" s="88" t="n"/>
      <c r="AC17" s="88" t="n"/>
      <c r="AD17" s="88" t="n"/>
      <c r="AE17" s="88" t="n"/>
      <c r="AF17" s="88" t="n"/>
      <c r="AG17" s="88" t="n"/>
      <c r="AH17" s="26" t="n"/>
      <c r="AI17" s="26" t="n"/>
      <c r="AJ17" s="26" t="n"/>
      <c r="AK17" s="26" t="n"/>
    </row>
    <row r="18" ht="16.5" customHeight="1" thickBot="1" thickTop="1">
      <c r="A18" s="1392" t="inlineStr">
        <is>
          <t>Total</t>
        </is>
      </c>
      <c r="B18" s="1374" t="n"/>
      <c r="C18" s="1374" t="n"/>
      <c r="D18" s="1374" t="n"/>
      <c r="E18" s="1374" t="n"/>
      <c r="F18" s="1374" t="n"/>
      <c r="G18" s="1375" t="n"/>
      <c r="H18" s="501">
        <f>H14+H15</f>
        <v/>
      </c>
      <c r="I18" s="1374" t="n"/>
      <c r="J18" s="1375" t="n"/>
      <c r="M18" s="921" t="n"/>
      <c r="V18" s="88" t="n"/>
      <c r="W18" s="88" t="n"/>
      <c r="X18" s="88" t="n"/>
      <c r="Y18" s="88" t="n"/>
      <c r="Z18" s="88" t="n"/>
      <c r="AA18" s="88" t="n"/>
      <c r="AB18" s="88" t="n"/>
      <c r="AC18" s="88" t="n"/>
      <c r="AD18" s="88" t="n"/>
      <c r="AE18" s="88" t="n"/>
      <c r="AF18" s="88" t="n"/>
      <c r="AG18" s="88" t="n"/>
      <c r="AH18" s="26" t="n"/>
      <c r="AI18" s="26" t="n"/>
      <c r="AJ18" s="26" t="n"/>
      <c r="AK18" s="26" t="n"/>
    </row>
    <row r="19" ht="15.75" customHeight="1" thickTop="1">
      <c r="A19" s="1393" t="inlineStr">
        <is>
          <t>Fermées pendant la période d'établissement de rapport</t>
        </is>
      </c>
      <c r="B19" s="1377" t="n"/>
      <c r="C19" s="1377" t="n"/>
      <c r="D19" s="1377" t="n"/>
      <c r="E19" s="1377" t="n"/>
      <c r="F19" s="1377" t="n"/>
      <c r="G19" s="1378" t="n"/>
      <c r="H19" s="514" t="n">
        <v>2086</v>
      </c>
      <c r="I19" s="1379" t="n"/>
      <c r="J19" s="1380" t="n"/>
      <c r="V19" s="88" t="n"/>
      <c r="W19" s="88" t="n"/>
      <c r="X19" s="88" t="n"/>
      <c r="Y19" s="88" t="n"/>
      <c r="Z19" s="88" t="n"/>
      <c r="AA19" s="88" t="n"/>
      <c r="AB19" s="88" t="n"/>
      <c r="AC19" s="88" t="n"/>
      <c r="AD19" s="88" t="n"/>
      <c r="AE19" s="88" t="n"/>
      <c r="AF19" s="88" t="n"/>
      <c r="AG19" s="88" t="n"/>
      <c r="AH19" s="26" t="n"/>
      <c r="AI19" s="26" t="n"/>
      <c r="AJ19" s="26" t="n"/>
      <c r="AK19" s="26" t="n"/>
    </row>
    <row r="20" ht="15.75" customHeight="1" thickBot="1">
      <c r="A20" s="1394" t="inlineStr">
        <is>
          <t>Reportées à la prochaine période d'établissement de rapport</t>
        </is>
      </c>
      <c r="B20" s="1381" t="n"/>
      <c r="C20" s="1381" t="n"/>
      <c r="D20" s="1381" t="n"/>
      <c r="E20" s="1381" t="n"/>
      <c r="F20" s="1381" t="n"/>
      <c r="G20" s="1383" t="n"/>
      <c r="H20" s="951">
        <f>SUM(G21:G22)</f>
        <v/>
      </c>
      <c r="I20" s="1381" t="n"/>
      <c r="J20" s="1383" t="n"/>
      <c r="L20" s="36" t="n"/>
      <c r="M20" s="905" t="inlineStr">
        <is>
          <t>Section 1.1 - Le montant "Reportées à la prochaine période d'établissement de rapport" doit être égal au "Total" moins "Fermées pendant la période d'établissement de rapport".</t>
        </is>
      </c>
      <c r="V20" s="90" t="n"/>
      <c r="W20" s="90" t="n"/>
      <c r="X20" s="90" t="n"/>
      <c r="Y20" s="90" t="n"/>
      <c r="Z20" s="90" t="n"/>
      <c r="AA20" s="90" t="n"/>
      <c r="AB20" s="90" t="n"/>
      <c r="AC20" s="90" t="n"/>
      <c r="AD20" s="90" t="n"/>
      <c r="AE20" s="90" t="n"/>
      <c r="AF20" s="90" t="n"/>
      <c r="AG20" s="90" t="n"/>
      <c r="AH20" s="91" t="n"/>
      <c r="AI20" s="26" t="n"/>
      <c r="AJ20" s="26" t="n"/>
      <c r="AK20" s="26" t="n"/>
    </row>
    <row r="21" ht="27" customHeight="1" thickTop="1">
      <c r="A21" s="936" t="inlineStr">
        <is>
          <t>• Reportées à la prochaine période d'établissement de rapport dans les délais prévus par la Loi</t>
        </is>
      </c>
      <c r="B21" s="1381" t="n"/>
      <c r="C21" s="1381" t="n"/>
      <c r="D21" s="1381" t="n"/>
      <c r="E21" s="1381" t="n"/>
      <c r="F21" s="1384" t="n"/>
      <c r="G21" s="207" t="n">
        <v>186</v>
      </c>
      <c r="H21" s="1395" t="n"/>
      <c r="I21" s="1385" t="n"/>
      <c r="J21" s="1386" t="n"/>
      <c r="M21" s="921" t="n"/>
      <c r="V21" s="88" t="n"/>
      <c r="W21" s="88" t="n"/>
      <c r="X21" s="88" t="n"/>
      <c r="Y21" s="88" t="n"/>
      <c r="Z21" s="88" t="n"/>
      <c r="AA21" s="88" t="n"/>
      <c r="AB21" s="88" t="n"/>
      <c r="AC21" s="88" t="n"/>
      <c r="AD21" s="88" t="n"/>
      <c r="AE21" s="88" t="n"/>
      <c r="AF21" s="88" t="n"/>
      <c r="AG21" s="88" t="n"/>
      <c r="AH21" s="26" t="n"/>
      <c r="AI21" s="26" t="n"/>
      <c r="AJ21" s="26" t="n"/>
      <c r="AK21" s="26" t="n"/>
    </row>
    <row r="22" ht="26.25" customHeight="1" thickBot="1">
      <c r="A22" s="939" t="inlineStr">
        <is>
          <t>• Reportées à la prochaine période d'établissement de rapport au-delà des délais prévus par la Loi</t>
        </is>
      </c>
      <c r="B22" s="1388" t="n"/>
      <c r="C22" s="1388" t="n"/>
      <c r="D22" s="1388" t="n"/>
      <c r="E22" s="1388" t="n"/>
      <c r="F22" s="1396" t="n"/>
      <c r="G22" s="209" t="n">
        <v>1852</v>
      </c>
      <c r="H22" s="1397" t="n"/>
      <c r="I22" s="1390" t="n"/>
      <c r="J22" s="1391" t="n"/>
      <c r="M22" s="921" t="n"/>
      <c r="V22" s="88" t="n"/>
      <c r="W22" s="88" t="n"/>
      <c r="X22" s="88" t="n"/>
      <c r="Y22" s="88" t="n"/>
      <c r="Z22" s="88" t="n"/>
      <c r="AA22" s="88" t="n"/>
      <c r="AB22" s="88" t="n"/>
      <c r="AC22" s="88" t="n"/>
      <c r="AD22" s="88" t="n"/>
      <c r="AE22" s="88" t="n"/>
      <c r="AF22" s="88" t="n"/>
      <c r="AG22" s="88" t="n"/>
      <c r="AH22" s="26" t="n"/>
      <c r="AI22" s="26" t="n"/>
      <c r="AJ22" s="26" t="n"/>
      <c r="AK22" s="26" t="n"/>
    </row>
    <row r="23" ht="18" customHeight="1" thickTop="1">
      <c r="A23" s="92" t="n"/>
      <c r="B23" s="92" t="n"/>
      <c r="C23" s="92" t="n"/>
      <c r="D23" s="92" t="n"/>
      <c r="E23" s="92" t="n"/>
      <c r="F23" s="93" t="n"/>
      <c r="G23" s="710" t="n"/>
      <c r="H23" s="710" t="n"/>
      <c r="I23" s="710" t="n"/>
      <c r="J23" s="710" t="n"/>
      <c r="M23" s="88" t="n"/>
      <c r="N23" s="88" t="n"/>
      <c r="O23" s="88" t="n"/>
      <c r="P23" s="88" t="n"/>
      <c r="Q23" s="88" t="n"/>
      <c r="R23" s="88" t="n"/>
      <c r="S23" s="88" t="n"/>
      <c r="T23" s="88" t="n"/>
      <c r="U23" s="88" t="n"/>
      <c r="V23" s="88" t="n"/>
      <c r="W23" s="88" t="n"/>
      <c r="X23" s="88" t="n"/>
      <c r="Y23" s="88" t="n"/>
      <c r="Z23" s="88" t="n"/>
      <c r="AA23" s="88" t="n"/>
      <c r="AB23" s="88" t="n"/>
      <c r="AC23" s="88" t="n"/>
      <c r="AD23" s="88" t="n"/>
      <c r="AE23" s="88" t="n"/>
      <c r="AF23" s="88" t="n"/>
      <c r="AG23" s="88" t="n"/>
      <c r="AH23" s="26" t="n"/>
      <c r="AI23" s="26" t="n"/>
      <c r="AJ23" s="26" t="n"/>
      <c r="AK23" s="26" t="n"/>
    </row>
    <row r="24" ht="18" customHeight="1">
      <c r="A24" s="324" t="inlineStr">
        <is>
          <t>1.2  Source des demandes</t>
        </is>
      </c>
      <c r="M24" s="88" t="n"/>
      <c r="N24" s="88" t="n"/>
      <c r="O24" s="88" t="n"/>
      <c r="P24" s="88" t="n"/>
      <c r="Q24" s="88" t="n"/>
      <c r="R24" s="88" t="n"/>
      <c r="S24" s="88" t="n"/>
      <c r="T24" s="88" t="n"/>
      <c r="U24" s="88" t="n"/>
      <c r="V24" s="88" t="n"/>
      <c r="W24" s="88" t="n"/>
      <c r="X24" s="88" t="n"/>
      <c r="Y24" s="88" t="n"/>
      <c r="Z24" s="88" t="n"/>
      <c r="AA24" s="88" t="n"/>
      <c r="AB24" s="88" t="n"/>
      <c r="AC24" s="88" t="n"/>
      <c r="AD24" s="88" t="n"/>
      <c r="AE24" s="88" t="n"/>
      <c r="AF24" s="88" t="n"/>
      <c r="AG24" s="88" t="n"/>
      <c r="AH24" s="26" t="n"/>
      <c r="AI24" s="26" t="n"/>
      <c r="AJ24" s="26" t="n"/>
      <c r="AK24" s="26" t="n"/>
    </row>
    <row r="25" ht="18" customHeight="1" thickBot="1">
      <c r="A25" s="324" t="n"/>
      <c r="B25" s="966" t="n"/>
      <c r="C25" s="966" t="n"/>
      <c r="D25" s="966" t="n"/>
      <c r="E25" s="966" t="n"/>
      <c r="F25" s="966" t="n"/>
      <c r="G25" s="816" t="n"/>
      <c r="H25" s="816" t="n"/>
      <c r="I25" s="816" t="n"/>
      <c r="J25" s="816" t="n"/>
      <c r="M25" s="88" t="n"/>
      <c r="N25" s="88" t="n"/>
      <c r="O25" s="88" t="n"/>
      <c r="P25" s="88" t="n"/>
      <c r="Q25" s="88" t="n"/>
      <c r="R25" s="88" t="n"/>
      <c r="S25" s="88" t="n"/>
      <c r="T25" s="88" t="n"/>
      <c r="U25" s="88" t="n"/>
      <c r="V25" s="88" t="n"/>
      <c r="W25" s="88" t="n"/>
      <c r="X25" s="88" t="n"/>
      <c r="Y25" s="88" t="n"/>
      <c r="Z25" s="88" t="n"/>
      <c r="AA25" s="88" t="n"/>
      <c r="AB25" s="88" t="n"/>
      <c r="AC25" s="88" t="n"/>
      <c r="AD25" s="88" t="n"/>
      <c r="AE25" s="88" t="n"/>
      <c r="AF25" s="88" t="n"/>
      <c r="AG25" s="88" t="n"/>
      <c r="AH25" s="26" t="n"/>
      <c r="AI25" s="26" t="n"/>
      <c r="AJ25" s="26" t="n"/>
      <c r="AK25" s="26" t="n"/>
    </row>
    <row r="26" ht="15" customHeight="1" thickBot="1" thickTop="1">
      <c r="A26" s="258" t="inlineStr">
        <is>
          <t>Source</t>
        </is>
      </c>
      <c r="B26" s="1374" t="n"/>
      <c r="C26" s="1374" t="n"/>
      <c r="D26" s="1374" t="n"/>
      <c r="E26" s="1374" t="n"/>
      <c r="F26" s="1375" t="n"/>
      <c r="G26" s="500" t="inlineStr">
        <is>
          <t>Nombre de demandes</t>
        </is>
      </c>
      <c r="H26" s="1374" t="n"/>
      <c r="I26" s="1374" t="n"/>
      <c r="J26" s="1374" t="n"/>
      <c r="K26" s="210" t="n"/>
      <c r="M26" s="88" t="n"/>
      <c r="N26" s="88" t="n"/>
      <c r="O26" s="88" t="n"/>
      <c r="P26" s="88" t="n"/>
      <c r="Q26" s="88" t="n"/>
      <c r="R26" s="88" t="n"/>
      <c r="S26" s="88" t="n"/>
      <c r="T26" s="88" t="n"/>
      <c r="U26" s="88" t="n"/>
      <c r="V26" s="88" t="n"/>
      <c r="W26" s="88" t="n"/>
      <c r="X26" s="88" t="n"/>
      <c r="Y26" s="88" t="n"/>
      <c r="Z26" s="88" t="n"/>
      <c r="AA26" s="88" t="n"/>
      <c r="AB26" s="88" t="n"/>
      <c r="AC26" s="88" t="n"/>
      <c r="AD26" s="88" t="n"/>
      <c r="AE26" s="88" t="n"/>
      <c r="AF26" s="88" t="n"/>
      <c r="AG26" s="88" t="n"/>
      <c r="AH26" s="26" t="n"/>
      <c r="AI26" s="26" t="n"/>
      <c r="AJ26" s="26" t="n"/>
      <c r="AK26" s="26" t="n"/>
    </row>
    <row r="27" ht="15" customHeight="1" thickTop="1">
      <c r="A27" s="926" t="inlineStr">
        <is>
          <t>Médias</t>
        </is>
      </c>
      <c r="B27" s="1372" t="n"/>
      <c r="C27" s="1372" t="n"/>
      <c r="D27" s="1372" t="n"/>
      <c r="E27" s="1372" t="n"/>
      <c r="F27" s="1398" t="n"/>
      <c r="G27" s="929" t="n">
        <v>486</v>
      </c>
      <c r="H27" s="1379" t="n"/>
      <c r="I27" s="1379" t="n"/>
      <c r="J27" s="1399" t="n"/>
      <c r="M27" s="88" t="n"/>
      <c r="N27" s="88" t="n"/>
      <c r="O27" s="88" t="n"/>
      <c r="P27" s="88" t="n"/>
      <c r="Q27" s="88" t="n"/>
      <c r="R27" s="88" t="n"/>
      <c r="S27" s="88" t="n"/>
      <c r="T27" s="88" t="n"/>
      <c r="U27" s="88" t="n"/>
      <c r="V27" s="88" t="n"/>
      <c r="W27" s="88" t="n"/>
      <c r="X27" s="88" t="n"/>
      <c r="Y27" s="88" t="n"/>
      <c r="Z27" s="88" t="n"/>
      <c r="AA27" s="88" t="n"/>
      <c r="AB27" s="88" t="n"/>
      <c r="AC27" s="88" t="n"/>
      <c r="AD27" s="88" t="n"/>
      <c r="AE27" s="88" t="n"/>
      <c r="AF27" s="88" t="n"/>
      <c r="AG27" s="88" t="n"/>
      <c r="AH27" s="26" t="n"/>
      <c r="AI27" s="26" t="n"/>
      <c r="AJ27" s="26" t="n"/>
      <c r="AK27" s="26" t="n"/>
    </row>
    <row r="28" ht="15" customHeight="1">
      <c r="A28" s="505" t="inlineStr">
        <is>
          <t>Secteur universitaire</t>
        </is>
      </c>
      <c r="B28" s="1381" t="n"/>
      <c r="C28" s="1381" t="n"/>
      <c r="D28" s="1381" t="n"/>
      <c r="E28" s="1381" t="n"/>
      <c r="F28" s="1384" t="n"/>
      <c r="G28" s="502" t="n">
        <v>74</v>
      </c>
      <c r="H28" s="1400" t="n"/>
      <c r="I28" s="1400" t="n"/>
      <c r="J28" s="1401" t="n"/>
      <c r="M28" s="88" t="n"/>
      <c r="N28" s="88" t="n"/>
      <c r="O28" s="88" t="n"/>
      <c r="P28" s="88" t="n"/>
      <c r="Q28" s="88" t="n"/>
      <c r="R28" s="88" t="n"/>
      <c r="S28" s="88" t="n"/>
      <c r="T28" s="88" t="n"/>
      <c r="U28" s="88" t="n"/>
      <c r="V28" s="88" t="n"/>
      <c r="W28" s="88" t="n"/>
      <c r="X28" s="88" t="n"/>
      <c r="Y28" s="88" t="n"/>
      <c r="Z28" s="88" t="n"/>
      <c r="AA28" s="88" t="n"/>
      <c r="AB28" s="88" t="n"/>
      <c r="AC28" s="88" t="n"/>
      <c r="AD28" s="88" t="n"/>
      <c r="AE28" s="88" t="n"/>
      <c r="AF28" s="88" t="n"/>
      <c r="AG28" s="88" t="n"/>
      <c r="AH28" s="26" t="n"/>
      <c r="AI28" s="26" t="n"/>
      <c r="AJ28" s="26" t="n"/>
      <c r="AK28" s="26" t="n"/>
    </row>
    <row r="29" ht="15" customHeight="1">
      <c r="A29" s="505" t="inlineStr">
        <is>
          <t>Secteur commercial (secteur privé)</t>
        </is>
      </c>
      <c r="B29" s="1381" t="n"/>
      <c r="C29" s="1381" t="n"/>
      <c r="D29" s="1381" t="n"/>
      <c r="E29" s="1381" t="n"/>
      <c r="F29" s="1384" t="n"/>
      <c r="G29" s="502" t="n">
        <v>134</v>
      </c>
      <c r="H29" s="1400" t="n"/>
      <c r="I29" s="1400" t="n"/>
      <c r="J29" s="1401" t="n"/>
      <c r="M29" s="88" t="n"/>
      <c r="N29" s="88" t="n"/>
      <c r="O29" s="88" t="n"/>
      <c r="P29" s="88" t="n"/>
      <c r="Q29" s="88" t="n"/>
      <c r="R29" s="88" t="n"/>
      <c r="S29" s="88" t="n"/>
      <c r="T29" s="88" t="n"/>
      <c r="U29" s="88" t="n"/>
      <c r="V29" s="88" t="n"/>
      <c r="W29" s="88" t="n"/>
      <c r="X29" s="88" t="n"/>
      <c r="Y29" s="88" t="n"/>
      <c r="Z29" s="88" t="n"/>
      <c r="AA29" s="88" t="n"/>
      <c r="AB29" s="88" t="n"/>
      <c r="AC29" s="88" t="n"/>
      <c r="AD29" s="88" t="n"/>
      <c r="AE29" s="88" t="n"/>
      <c r="AF29" s="88" t="n"/>
      <c r="AG29" s="88" t="n"/>
      <c r="AH29" s="26" t="n"/>
      <c r="AI29" s="26" t="n"/>
      <c r="AJ29" s="26" t="n"/>
      <c r="AK29" s="26" t="n"/>
    </row>
    <row r="30" ht="15" customHeight="1">
      <c r="A30" s="505" t="inlineStr">
        <is>
          <t>Organisation</t>
        </is>
      </c>
      <c r="B30" s="1381" t="n"/>
      <c r="C30" s="1381" t="n"/>
      <c r="D30" s="1381" t="n"/>
      <c r="E30" s="1381" t="n"/>
      <c r="F30" s="1384" t="n"/>
      <c r="G30" s="502" t="n">
        <v>21</v>
      </c>
      <c r="H30" s="1400" t="n"/>
      <c r="I30" s="1400" t="n"/>
      <c r="J30" s="1401" t="n"/>
      <c r="M30" s="88" t="n"/>
      <c r="N30" s="88" t="n"/>
      <c r="O30" s="88" t="n"/>
      <c r="P30" s="88" t="n"/>
      <c r="Q30" s="88" t="n"/>
      <c r="R30" s="88" t="n"/>
      <c r="S30" s="88" t="n"/>
      <c r="T30" s="88" t="n"/>
      <c r="U30" s="88" t="n"/>
      <c r="V30" s="88" t="n"/>
      <c r="W30" s="88" t="n"/>
      <c r="X30" s="88" t="n"/>
      <c r="Y30" s="88" t="n"/>
      <c r="Z30" s="88" t="n"/>
      <c r="AA30" s="88" t="n"/>
      <c r="AB30" s="88" t="n"/>
      <c r="AC30" s="88" t="n"/>
      <c r="AD30" s="88" t="n"/>
      <c r="AE30" s="88" t="n"/>
      <c r="AF30" s="88" t="n"/>
      <c r="AG30" s="88" t="n"/>
      <c r="AH30" s="26" t="n"/>
      <c r="AI30" s="26" t="n"/>
      <c r="AJ30" s="26" t="n"/>
      <c r="AK30" s="26" t="n"/>
    </row>
    <row r="31" ht="15" customHeight="1">
      <c r="A31" s="505" t="inlineStr">
        <is>
          <t>Public</t>
        </is>
      </c>
      <c r="B31" s="1381" t="n"/>
      <c r="C31" s="1381" t="n"/>
      <c r="D31" s="1381" t="n"/>
      <c r="E31" s="1381" t="n"/>
      <c r="F31" s="1384" t="n"/>
      <c r="G31" s="502" t="n">
        <v>1536</v>
      </c>
      <c r="H31" s="1400" t="n"/>
      <c r="I31" s="1400" t="n"/>
      <c r="J31" s="1401" t="n"/>
      <c r="M31" s="88" t="n"/>
      <c r="N31" s="88" t="n"/>
      <c r="O31" s="88" t="n"/>
      <c r="P31" s="88" t="n"/>
      <c r="Q31" s="88" t="n"/>
      <c r="R31" s="88" t="n"/>
      <c r="S31" s="88" t="n"/>
      <c r="T31" s="88" t="n"/>
      <c r="U31" s="88" t="n"/>
      <c r="V31" s="88" t="n"/>
      <c r="W31" s="88" t="n"/>
      <c r="X31" s="88" t="n"/>
      <c r="Y31" s="88" t="n"/>
      <c r="Z31" s="88" t="n"/>
      <c r="AA31" s="88" t="n"/>
      <c r="AB31" s="88" t="n"/>
      <c r="AC31" s="88" t="n"/>
      <c r="AD31" s="88" t="n"/>
      <c r="AE31" s="88" t="n"/>
      <c r="AF31" s="88" t="n"/>
      <c r="AG31" s="88" t="n"/>
      <c r="AH31" s="26" t="n"/>
      <c r="AI31" s="26" t="n"/>
      <c r="AJ31" s="26" t="n"/>
      <c r="AK31" s="26" t="n"/>
    </row>
    <row r="32" ht="15" customHeight="1" thickBot="1">
      <c r="A32" s="888" t="inlineStr">
        <is>
          <t>Refus de s'identifier</t>
        </is>
      </c>
      <c r="B32" s="1385" t="n"/>
      <c r="C32" s="1385" t="n"/>
      <c r="D32" s="1385" t="n"/>
      <c r="E32" s="1385" t="n"/>
      <c r="F32" s="1402" t="n"/>
      <c r="G32" s="913" t="n">
        <v>96</v>
      </c>
      <c r="H32" s="1403" t="n"/>
      <c r="I32" s="1403" t="n"/>
      <c r="J32" s="1404" t="n"/>
      <c r="M32" s="873" t="inlineStr">
        <is>
          <t>Section 1.2 - Le "Total" doit être égal au montant "Reçues pendant la période d'établissement de rapport" de la Section 1.1</t>
        </is>
      </c>
      <c r="V32" s="88" t="n"/>
      <c r="W32" s="88" t="n"/>
      <c r="X32" s="88" t="n"/>
      <c r="Y32" s="88" t="n"/>
      <c r="Z32" s="88" t="n"/>
      <c r="AA32" s="88" t="n"/>
      <c r="AB32" s="88" t="n"/>
      <c r="AC32" s="88" t="n"/>
      <c r="AD32" s="88" t="n"/>
      <c r="AE32" s="88" t="n"/>
      <c r="AF32" s="88" t="n"/>
      <c r="AG32" s="88" t="n"/>
      <c r="AH32" s="26" t="n"/>
      <c r="AI32" s="26" t="n"/>
      <c r="AJ32" s="26" t="n"/>
      <c r="AK32" s="26" t="n"/>
    </row>
    <row r="33" ht="15" customHeight="1" thickBot="1" thickTop="1">
      <c r="A33" s="894" t="inlineStr">
        <is>
          <t>Total</t>
        </is>
      </c>
      <c r="B33" s="1374" t="n"/>
      <c r="C33" s="1374" t="n"/>
      <c r="D33" s="1374" t="n"/>
      <c r="E33" s="1374" t="n"/>
      <c r="F33" s="1405" t="n"/>
      <c r="G33" s="917">
        <f>SUM(G27:J32)</f>
        <v/>
      </c>
      <c r="H33" s="1374" t="n"/>
      <c r="I33" s="1374" t="n"/>
      <c r="J33" s="1405" t="n"/>
      <c r="L33" s="112" t="n"/>
      <c r="V33" s="90" t="n"/>
      <c r="W33" s="90" t="n"/>
      <c r="X33" s="90" t="n"/>
      <c r="Y33" s="90" t="n"/>
      <c r="Z33" s="90" t="n"/>
      <c r="AA33" s="90" t="n"/>
      <c r="AB33" s="90" t="n"/>
      <c r="AC33" s="90" t="n"/>
      <c r="AD33" s="90" t="n"/>
      <c r="AE33" s="90" t="n"/>
      <c r="AF33" s="90" t="n"/>
      <c r="AG33" s="90" t="n"/>
      <c r="AH33" s="91" t="n"/>
      <c r="AI33" s="26" t="n"/>
      <c r="AJ33" s="26" t="n"/>
      <c r="AK33" s="26" t="n"/>
    </row>
    <row r="34" ht="15.75" customHeight="1" thickTop="1">
      <c r="A34" s="134" t="n"/>
      <c r="B34" s="134" t="n"/>
      <c r="C34" s="134" t="n"/>
      <c r="D34" s="134" t="n"/>
      <c r="E34" s="134" t="n"/>
      <c r="F34" s="134" t="n"/>
      <c r="G34" s="38" t="n"/>
      <c r="H34" s="38" t="n"/>
      <c r="I34" s="38" t="n"/>
      <c r="J34" s="38" t="n"/>
      <c r="K34" s="112" t="n"/>
      <c r="L34" s="112" t="n"/>
      <c r="M34" s="112" t="n"/>
      <c r="N34" s="112" t="n"/>
      <c r="O34" s="112" t="n"/>
      <c r="P34" s="112" t="n"/>
      <c r="Q34" s="112" t="n"/>
      <c r="R34" s="112" t="n"/>
      <c r="S34" s="112" t="n"/>
      <c r="T34" s="112" t="n"/>
      <c r="U34" s="112" t="n"/>
      <c r="V34" s="88" t="n"/>
      <c r="W34" s="88" t="n"/>
      <c r="X34" s="88" t="n"/>
      <c r="Y34" s="88" t="n"/>
      <c r="Z34" s="88" t="n"/>
      <c r="AA34" s="88" t="n"/>
      <c r="AB34" s="88" t="n"/>
      <c r="AC34" s="88" t="n"/>
      <c r="AD34" s="88" t="n"/>
      <c r="AE34" s="88" t="n"/>
      <c r="AF34" s="88" t="n"/>
      <c r="AG34" s="88" t="n"/>
      <c r="AH34" s="26" t="n"/>
      <c r="AI34" s="26" t="n"/>
      <c r="AJ34" s="26" t="n"/>
      <c r="AK34" s="26" t="n"/>
    </row>
    <row r="35" ht="14.25" customHeight="1">
      <c r="A35" s="324" t="inlineStr">
        <is>
          <t>1.3  Mode des demandes</t>
        </is>
      </c>
      <c r="M35" s="88" t="n"/>
      <c r="N35" s="88" t="n"/>
      <c r="O35" s="88" t="n"/>
      <c r="P35" s="88" t="n"/>
      <c r="Q35" s="88" t="n"/>
      <c r="R35" s="88" t="n"/>
      <c r="S35" s="88" t="n"/>
      <c r="T35" s="88" t="n"/>
      <c r="U35" s="88" t="n"/>
      <c r="V35" s="88" t="n"/>
      <c r="W35" s="88" t="n"/>
      <c r="X35" s="88" t="n"/>
      <c r="Y35" s="88" t="n"/>
      <c r="Z35" s="88" t="n"/>
      <c r="AA35" s="88" t="n"/>
      <c r="AB35" s="88" t="n"/>
      <c r="AC35" s="88" t="n"/>
      <c r="AD35" s="88" t="n"/>
      <c r="AE35" s="88" t="n"/>
      <c r="AF35" s="88" t="n"/>
      <c r="AG35" s="88" t="n"/>
      <c r="AH35" s="26" t="n"/>
      <c r="AI35" s="26" t="n"/>
      <c r="AJ35" s="26" t="n"/>
      <c r="AK35" s="26" t="n"/>
    </row>
    <row r="36" ht="14.25" customHeight="1" thickBot="1">
      <c r="A36" s="966" t="n"/>
      <c r="B36" s="966" t="n"/>
      <c r="C36" s="966" t="n"/>
      <c r="D36" s="966" t="n"/>
      <c r="E36" s="966" t="n"/>
      <c r="F36" s="966" t="n"/>
      <c r="G36" s="816" t="n"/>
      <c r="H36" s="816" t="n"/>
      <c r="I36" s="816" t="n"/>
      <c r="J36" s="816" t="n"/>
      <c r="M36" s="88" t="n"/>
      <c r="N36" s="88" t="n"/>
      <c r="O36" s="88" t="n"/>
      <c r="P36" s="88" t="n"/>
      <c r="Q36" s="88" t="n"/>
      <c r="R36" s="88" t="n"/>
      <c r="S36" s="88" t="n"/>
      <c r="T36" s="88" t="n"/>
      <c r="U36" s="88" t="n"/>
      <c r="V36" s="88" t="n"/>
      <c r="W36" s="88" t="n"/>
      <c r="X36" s="88" t="n"/>
      <c r="Y36" s="88" t="n"/>
      <c r="Z36" s="88" t="n"/>
      <c r="AA36" s="88" t="n"/>
      <c r="AB36" s="88" t="n"/>
      <c r="AC36" s="88" t="n"/>
      <c r="AD36" s="88" t="n"/>
      <c r="AE36" s="88" t="n"/>
      <c r="AF36" s="88" t="n"/>
      <c r="AG36" s="88" t="n"/>
      <c r="AH36" s="26" t="n"/>
      <c r="AI36" s="26" t="n"/>
      <c r="AJ36" s="26" t="n"/>
      <c r="AK36" s="26" t="n"/>
    </row>
    <row r="37" ht="14.25" customHeight="1" thickBot="1" thickTop="1">
      <c r="A37" s="258" t="inlineStr">
        <is>
          <t>Mode</t>
        </is>
      </c>
      <c r="B37" s="1374" t="n"/>
      <c r="C37" s="1374" t="n"/>
      <c r="D37" s="1374" t="n"/>
      <c r="E37" s="1374" t="n"/>
      <c r="F37" s="1375" t="n"/>
      <c r="G37" s="501" t="inlineStr">
        <is>
          <t>Nombre des demandes</t>
        </is>
      </c>
      <c r="H37" s="1374" t="n"/>
      <c r="I37" s="1374" t="n"/>
      <c r="J37" s="1375" t="n"/>
      <c r="M37" s="88" t="n"/>
      <c r="N37" s="88" t="n"/>
      <c r="O37" s="88" t="n"/>
      <c r="P37" s="88" t="n"/>
      <c r="Q37" s="88" t="n"/>
      <c r="R37" s="88" t="n"/>
      <c r="S37" s="88" t="n"/>
      <c r="T37" s="88" t="n"/>
      <c r="U37" s="88" t="n"/>
      <c r="V37" s="88" t="n"/>
      <c r="W37" s="88" t="n"/>
      <c r="X37" s="88" t="n"/>
      <c r="Y37" s="88" t="n"/>
      <c r="Z37" s="88" t="n"/>
      <c r="AA37" s="88" t="n"/>
      <c r="AB37" s="88" t="n"/>
      <c r="AC37" s="88" t="n"/>
      <c r="AD37" s="88" t="n"/>
      <c r="AE37" s="88" t="n"/>
      <c r="AF37" s="88" t="n"/>
      <c r="AG37" s="88" t="n"/>
      <c r="AH37" s="26" t="n"/>
      <c r="AI37" s="26" t="n"/>
      <c r="AJ37" s="26" t="n"/>
      <c r="AK37" s="26" t="n"/>
    </row>
    <row r="38" ht="14.25" customHeight="1" thickTop="1">
      <c r="A38" s="918" t="inlineStr">
        <is>
          <t>En ligne</t>
        </is>
      </c>
      <c r="B38" s="1377" t="n"/>
      <c r="C38" s="1377" t="n"/>
      <c r="D38" s="1377" t="n"/>
      <c r="E38" s="1377" t="n"/>
      <c r="F38" s="1406" t="n"/>
      <c r="G38" s="909" t="n">
        <v>2217</v>
      </c>
      <c r="H38" s="1370" t="n"/>
      <c r="I38" s="1370" t="n"/>
      <c r="J38" s="1407" t="n"/>
      <c r="M38" s="88" t="n"/>
      <c r="N38" s="88" t="n"/>
      <c r="O38" s="88" t="n"/>
      <c r="P38" s="88" t="n"/>
      <c r="Q38" s="88" t="n"/>
      <c r="R38" s="88" t="n"/>
      <c r="S38" s="88" t="n"/>
      <c r="T38" s="88" t="n"/>
      <c r="U38" s="88" t="n"/>
      <c r="V38" s="88" t="n"/>
      <c r="W38" s="88" t="n"/>
      <c r="X38" s="88" t="n"/>
      <c r="Y38" s="88" t="n"/>
      <c r="Z38" s="88" t="n"/>
      <c r="AA38" s="88" t="n"/>
      <c r="AB38" s="88" t="n"/>
      <c r="AC38" s="88" t="n"/>
      <c r="AD38" s="88" t="n"/>
      <c r="AE38" s="88" t="n"/>
      <c r="AF38" s="88" t="n"/>
      <c r="AG38" s="88" t="n"/>
      <c r="AH38" s="26" t="n"/>
      <c r="AI38" s="26" t="n"/>
      <c r="AJ38" s="26" t="n"/>
      <c r="AK38" s="26" t="n"/>
    </row>
    <row r="39" ht="14.25" customHeight="1">
      <c r="A39" s="505" t="inlineStr">
        <is>
          <t>Courriel</t>
        </is>
      </c>
      <c r="B39" s="1381" t="n"/>
      <c r="C39" s="1381" t="n"/>
      <c r="D39" s="1381" t="n"/>
      <c r="E39" s="1381" t="n"/>
      <c r="F39" s="1384" t="n"/>
      <c r="G39" s="553" t="n">
        <v>60</v>
      </c>
      <c r="H39" s="1400" t="n"/>
      <c r="I39" s="1400" t="n"/>
      <c r="J39" s="1401" t="n"/>
      <c r="M39" s="88" t="n"/>
      <c r="N39" s="88" t="n"/>
      <c r="O39" s="88" t="n"/>
      <c r="P39" s="88" t="n"/>
      <c r="Q39" s="88" t="n"/>
      <c r="R39" s="88" t="n"/>
      <c r="S39" s="88" t="n"/>
      <c r="T39" s="88" t="n"/>
      <c r="U39" s="88" t="n"/>
      <c r="V39" s="88" t="n"/>
      <c r="W39" s="88" t="n"/>
      <c r="X39" s="88" t="n"/>
      <c r="Y39" s="88" t="n"/>
      <c r="Z39" s="88" t="n"/>
      <c r="AA39" s="88" t="n"/>
      <c r="AB39" s="88" t="n"/>
      <c r="AC39" s="88" t="n"/>
      <c r="AD39" s="88" t="n"/>
      <c r="AE39" s="88" t="n"/>
      <c r="AF39" s="88" t="n"/>
      <c r="AG39" s="88" t="n"/>
      <c r="AH39" s="26" t="n"/>
      <c r="AI39" s="26" t="n"/>
      <c r="AJ39" s="26" t="n"/>
      <c r="AK39" s="26" t="n"/>
    </row>
    <row r="40" ht="14.25" customHeight="1">
      <c r="A40" s="505" t="inlineStr">
        <is>
          <t>Poste</t>
        </is>
      </c>
      <c r="B40" s="1381" t="n"/>
      <c r="C40" s="1381" t="n"/>
      <c r="D40" s="1381" t="n"/>
      <c r="E40" s="1381" t="n"/>
      <c r="F40" s="1384" t="n"/>
      <c r="G40" s="502" t="n">
        <v>70</v>
      </c>
      <c r="H40" s="1400" t="n"/>
      <c r="I40" s="1400" t="n"/>
      <c r="J40" s="1401" t="n"/>
      <c r="M40" s="88" t="n"/>
      <c r="N40" s="88" t="n"/>
      <c r="O40" s="88" t="n"/>
      <c r="P40" s="88" t="n"/>
      <c r="Q40" s="88" t="n"/>
      <c r="R40" s="88" t="n"/>
      <c r="S40" s="88" t="n"/>
      <c r="T40" s="88" t="n"/>
      <c r="U40" s="88" t="n"/>
      <c r="V40" s="88" t="n"/>
      <c r="W40" s="88" t="n"/>
      <c r="X40" s="88" t="n"/>
      <c r="Y40" s="88" t="n"/>
      <c r="Z40" s="88" t="n"/>
      <c r="AA40" s="88" t="n"/>
      <c r="AB40" s="88" t="n"/>
      <c r="AC40" s="88" t="n"/>
      <c r="AD40" s="88" t="n"/>
      <c r="AE40" s="88" t="n"/>
      <c r="AF40" s="88" t="n"/>
      <c r="AG40" s="88" t="n"/>
      <c r="AH40" s="26" t="n"/>
      <c r="AI40" s="26" t="n"/>
      <c r="AJ40" s="26" t="n"/>
      <c r="AK40" s="26" t="n"/>
    </row>
    <row r="41" ht="14.25" customHeight="1">
      <c r="A41" s="505" t="inlineStr">
        <is>
          <t>En personne</t>
        </is>
      </c>
      <c r="B41" s="1381" t="n"/>
      <c r="C41" s="1381" t="n"/>
      <c r="D41" s="1381" t="n"/>
      <c r="E41" s="1381" t="n"/>
      <c r="F41" s="1384" t="n"/>
      <c r="G41" s="502" t="n">
        <v>0</v>
      </c>
      <c r="H41" s="1400" t="n"/>
      <c r="I41" s="1400" t="n"/>
      <c r="J41" s="1401" t="n"/>
      <c r="M41" s="88" t="n"/>
      <c r="N41" s="88" t="n"/>
      <c r="O41" s="88" t="n"/>
      <c r="P41" s="88" t="n"/>
      <c r="Q41" s="88" t="n"/>
      <c r="R41" s="88" t="n"/>
      <c r="S41" s="88" t="n"/>
      <c r="T41" s="88" t="n"/>
      <c r="U41" s="88" t="n"/>
      <c r="V41" s="88" t="n"/>
      <c r="W41" s="88" t="n"/>
      <c r="X41" s="88" t="n"/>
      <c r="Y41" s="88" t="n"/>
      <c r="Z41" s="88" t="n"/>
      <c r="AA41" s="88" t="n"/>
      <c r="AB41" s="88" t="n"/>
      <c r="AC41" s="88" t="n"/>
      <c r="AD41" s="88" t="n"/>
      <c r="AE41" s="88" t="n"/>
      <c r="AF41" s="88" t="n"/>
      <c r="AG41" s="88" t="n"/>
      <c r="AH41" s="26" t="n"/>
      <c r="AI41" s="26" t="n"/>
      <c r="AJ41" s="26" t="n"/>
      <c r="AK41" s="26" t="n"/>
    </row>
    <row r="42" ht="14.25" customHeight="1">
      <c r="A42" s="505" t="inlineStr">
        <is>
          <t>Téléphone</t>
        </is>
      </c>
      <c r="B42" s="1381" t="n"/>
      <c r="C42" s="1381" t="n"/>
      <c r="D42" s="1381" t="n"/>
      <c r="E42" s="1381" t="n"/>
      <c r="F42" s="1384" t="n"/>
      <c r="G42" s="553" t="n">
        <v>0</v>
      </c>
      <c r="H42" s="1400" t="n"/>
      <c r="I42" s="1400" t="n"/>
      <c r="J42" s="1401" t="n"/>
      <c r="M42" s="88" t="n"/>
      <c r="N42" s="88" t="n"/>
      <c r="O42" s="88" t="n"/>
      <c r="P42" s="88" t="n"/>
      <c r="Q42" s="88" t="n"/>
      <c r="R42" s="88" t="n"/>
      <c r="S42" s="88" t="n"/>
      <c r="T42" s="88" t="n"/>
      <c r="U42" s="88" t="n"/>
      <c r="V42" s="88" t="n"/>
      <c r="W42" s="88" t="n"/>
      <c r="X42" s="88" t="n"/>
      <c r="Y42" s="88" t="n"/>
      <c r="Z42" s="88" t="n"/>
      <c r="AA42" s="88" t="n"/>
      <c r="AB42" s="88" t="n"/>
      <c r="AC42" s="88" t="n"/>
      <c r="AD42" s="88" t="n"/>
      <c r="AE42" s="88" t="n"/>
      <c r="AF42" s="88" t="n"/>
      <c r="AG42" s="88" t="n"/>
      <c r="AH42" s="26" t="n"/>
      <c r="AI42" s="26" t="n"/>
      <c r="AJ42" s="26" t="n"/>
      <c r="AK42" s="26" t="n"/>
    </row>
    <row r="43" ht="14.25" customHeight="1" thickBot="1">
      <c r="A43" s="888" t="inlineStr">
        <is>
          <t>Télécopieur</t>
        </is>
      </c>
      <c r="B43" s="1385" t="n"/>
      <c r="C43" s="1385" t="n"/>
      <c r="D43" s="1385" t="n"/>
      <c r="E43" s="1385" t="n"/>
      <c r="F43" s="1402" t="n"/>
      <c r="G43" s="891" t="n">
        <v>0</v>
      </c>
      <c r="H43" s="1408" t="n"/>
      <c r="I43" s="1408" t="n"/>
      <c r="J43" s="1409" t="n"/>
      <c r="M43" s="873" t="inlineStr">
        <is>
          <t>Section 1.3 - Le "Total" doit être égal au montant "Reçues pendant la période d'établissement de rapport" de la Section 1.1</t>
        </is>
      </c>
      <c r="V43" s="88" t="n"/>
      <c r="W43" s="88" t="n"/>
      <c r="X43" s="88" t="n"/>
      <c r="Y43" s="88" t="n"/>
      <c r="Z43" s="88" t="n"/>
      <c r="AA43" s="88" t="n"/>
      <c r="AB43" s="88" t="n"/>
      <c r="AC43" s="88" t="n"/>
      <c r="AD43" s="88" t="n"/>
      <c r="AE43" s="88" t="n"/>
      <c r="AF43" s="88" t="n"/>
      <c r="AG43" s="88" t="n"/>
      <c r="AH43" s="26" t="n"/>
      <c r="AI43" s="26" t="n"/>
      <c r="AJ43" s="26" t="n"/>
      <c r="AK43" s="26" t="n"/>
    </row>
    <row r="44" ht="14.25" customHeight="1" thickBot="1" thickTop="1">
      <c r="A44" s="894" t="inlineStr">
        <is>
          <t>Total</t>
        </is>
      </c>
      <c r="B44" s="1374" t="n"/>
      <c r="C44" s="1374" t="n"/>
      <c r="D44" s="1374" t="n"/>
      <c r="E44" s="1374" t="n"/>
      <c r="F44" s="1405" t="n"/>
      <c r="G44" s="549">
        <f>SUM(G38:J43)</f>
        <v/>
      </c>
      <c r="H44" s="1374" t="n"/>
      <c r="I44" s="1374" t="n"/>
      <c r="J44" s="1405" t="n"/>
      <c r="L44" s="113" t="n"/>
      <c r="V44" s="90" t="n"/>
      <c r="W44" s="90" t="n"/>
      <c r="X44" s="90" t="n"/>
      <c r="Y44" s="90" t="n"/>
      <c r="Z44" s="90" t="n"/>
      <c r="AA44" s="90" t="n"/>
      <c r="AB44" s="90" t="n"/>
      <c r="AC44" s="90" t="n"/>
      <c r="AD44" s="90" t="n"/>
      <c r="AE44" s="90" t="n"/>
      <c r="AF44" s="90" t="n"/>
      <c r="AG44" s="90" t="n"/>
      <c r="AH44" s="91" t="n"/>
      <c r="AI44" s="26" t="n"/>
      <c r="AJ44" s="26" t="n"/>
      <c r="AK44" s="26" t="n"/>
    </row>
    <row r="45" ht="14.25" customHeight="1" thickTop="1">
      <c r="A45" s="34" t="n"/>
      <c r="B45" s="34" t="n"/>
      <c r="C45" s="34" t="n"/>
      <c r="D45" s="34" t="n"/>
      <c r="E45" s="34" t="n"/>
      <c r="F45" s="34" t="n"/>
      <c r="G45" s="35" t="n"/>
      <c r="H45" s="35" t="n"/>
      <c r="I45" s="35" t="n"/>
      <c r="J45" s="35" t="n"/>
      <c r="M45" s="88" t="n"/>
      <c r="N45" s="88" t="n"/>
      <c r="O45" s="88" t="n"/>
      <c r="P45" s="88" t="n"/>
      <c r="Q45" s="88" t="n"/>
      <c r="R45" s="88" t="n"/>
      <c r="S45" s="88" t="n"/>
      <c r="T45" s="88" t="n"/>
      <c r="U45" s="88" t="n"/>
      <c r="V45" s="88" t="n"/>
      <c r="W45" s="88" t="n"/>
      <c r="X45" s="88" t="n"/>
      <c r="Y45" s="88" t="n"/>
      <c r="Z45" s="88" t="n"/>
      <c r="AA45" s="88" t="n"/>
      <c r="AB45" s="88" t="n"/>
      <c r="AC45" s="88" t="n"/>
      <c r="AD45" s="88" t="n"/>
      <c r="AE45" s="88" t="n"/>
      <c r="AF45" s="88" t="n"/>
      <c r="AG45" s="88" t="n"/>
      <c r="AH45" s="26" t="n"/>
      <c r="AI45" s="26" t="n"/>
      <c r="AJ45" s="26" t="n"/>
      <c r="AK45" s="26" t="n"/>
    </row>
    <row r="46" ht="14.25" customHeight="1">
      <c r="A46" s="496" t="inlineStr">
        <is>
          <t>Section 2 – Demandes informelles</t>
        </is>
      </c>
      <c r="M46" s="88" t="n"/>
      <c r="N46" s="88" t="n"/>
      <c r="O46" s="88" t="n"/>
      <c r="P46" s="88" t="n"/>
      <c r="Q46" s="88" t="n"/>
      <c r="R46" s="88" t="n"/>
      <c r="S46" s="88" t="n"/>
      <c r="T46" s="88" t="n"/>
      <c r="U46" s="88" t="n"/>
      <c r="V46" s="88" t="n"/>
      <c r="W46" s="88" t="n"/>
      <c r="X46" s="88" t="n"/>
      <c r="Y46" s="88" t="n"/>
      <c r="Z46" s="88" t="n"/>
      <c r="AA46" s="88" t="n"/>
      <c r="AB46" s="88" t="n"/>
      <c r="AC46" s="88" t="n"/>
      <c r="AD46" s="88" t="n"/>
      <c r="AE46" s="88" t="n"/>
      <c r="AF46" s="88" t="n"/>
      <c r="AG46" s="88" t="n"/>
      <c r="AH46" s="26" t="n"/>
      <c r="AI46" s="26" t="n"/>
      <c r="AJ46" s="26" t="n"/>
      <c r="AK46" s="26" t="n"/>
    </row>
    <row r="47" ht="15.75" customHeight="1">
      <c r="A47" s="36" t="n"/>
      <c r="B47" s="36" t="n"/>
      <c r="C47" s="36" t="n"/>
      <c r="D47" s="36" t="n"/>
      <c r="E47" s="36" t="n"/>
      <c r="F47" s="36" t="n"/>
      <c r="G47" s="36" t="n"/>
      <c r="H47" s="36" t="n"/>
      <c r="I47" s="36" t="n"/>
      <c r="J47" s="36" t="n"/>
      <c r="K47" s="36" t="n"/>
      <c r="L47" s="36" t="n"/>
      <c r="M47" s="88" t="n"/>
      <c r="N47" s="88" t="n"/>
      <c r="O47" s="88" t="n"/>
      <c r="P47" s="88" t="n"/>
      <c r="Q47" s="88" t="n"/>
      <c r="R47" s="88" t="n"/>
      <c r="S47" s="88" t="n"/>
      <c r="T47" s="88" t="n"/>
      <c r="U47" s="88" t="n"/>
      <c r="V47" s="88" t="n"/>
      <c r="W47" s="88" t="n"/>
      <c r="X47" s="88" t="n"/>
      <c r="Y47" s="88" t="n"/>
      <c r="Z47" s="88" t="n"/>
      <c r="AA47" s="88" t="n"/>
      <c r="AB47" s="88" t="n"/>
      <c r="AC47" s="88" t="n"/>
      <c r="AD47" s="88" t="n"/>
      <c r="AE47" s="88" t="n"/>
      <c r="AF47" s="88" t="n"/>
      <c r="AG47" s="88" t="n"/>
      <c r="AH47" s="26" t="n"/>
      <c r="AI47" s="26" t="n"/>
      <c r="AJ47" s="26" t="n"/>
      <c r="AK47" s="26" t="n"/>
    </row>
    <row r="48" ht="14.25" customHeight="1" thickBot="1">
      <c r="A48" s="325" t="inlineStr">
        <is>
          <t>2.1 Nombre de demandes informelles</t>
        </is>
      </c>
      <c r="M48" s="88" t="n"/>
      <c r="N48" s="88" t="n"/>
      <c r="O48" s="88" t="n"/>
      <c r="P48" s="88" t="n"/>
      <c r="Q48" s="88" t="n"/>
      <c r="R48" s="88" t="n"/>
      <c r="S48" s="88" t="n"/>
      <c r="T48" s="88" t="n"/>
      <c r="U48" s="88" t="n"/>
      <c r="V48" s="88" t="n"/>
      <c r="W48" s="88" t="n"/>
      <c r="X48" s="88" t="n"/>
      <c r="Y48" s="88" t="n"/>
      <c r="Z48" s="88" t="n"/>
      <c r="AA48" s="88" t="n"/>
      <c r="AB48" s="88" t="n"/>
      <c r="AC48" s="88" t="n"/>
      <c r="AD48" s="88" t="n"/>
      <c r="AE48" s="88" t="n"/>
      <c r="AF48" s="88" t="n"/>
      <c r="AG48" s="88" t="n"/>
      <c r="AH48" s="26" t="n"/>
      <c r="AI48" s="26" t="n"/>
      <c r="AJ48" s="26" t="n"/>
      <c r="AK48" s="26" t="n"/>
    </row>
    <row r="49" ht="14.25" customHeight="1" thickBot="1" thickTop="1">
      <c r="A49" s="141" t="n"/>
      <c r="B49" s="141" t="n"/>
      <c r="C49" s="141" t="n"/>
      <c r="D49" s="141" t="n"/>
      <c r="E49" s="141" t="n"/>
      <c r="F49" s="141" t="n"/>
      <c r="G49" s="141" t="n"/>
      <c r="H49" s="1410" t="inlineStr">
        <is>
          <t>Nombre de demandes</t>
        </is>
      </c>
      <c r="I49" s="1374" t="n"/>
      <c r="J49" s="1375" t="n"/>
      <c r="M49" s="88" t="n"/>
      <c r="N49" s="88" t="n"/>
      <c r="O49" s="88" t="n"/>
      <c r="P49" s="88" t="n"/>
      <c r="Q49" s="88" t="n"/>
      <c r="R49" s="88" t="n"/>
      <c r="S49" s="88" t="n"/>
      <c r="T49" s="88" t="n"/>
      <c r="U49" s="88" t="n"/>
      <c r="V49" s="88" t="n"/>
      <c r="W49" s="88" t="n"/>
      <c r="X49" s="88" t="n"/>
      <c r="Y49" s="88" t="n"/>
      <c r="Z49" s="88" t="n"/>
      <c r="AA49" s="88" t="n"/>
      <c r="AB49" s="88" t="n"/>
      <c r="AC49" s="88" t="n"/>
      <c r="AD49" s="88" t="n"/>
      <c r="AE49" s="88" t="n"/>
      <c r="AF49" s="88" t="n"/>
      <c r="AG49" s="88" t="n"/>
      <c r="AH49" s="26" t="n"/>
      <c r="AI49" s="26" t="n"/>
      <c r="AJ49" s="26" t="n"/>
      <c r="AK49" s="26" t="n"/>
    </row>
    <row r="50" ht="14.25" customHeight="1" thickTop="1">
      <c r="A50" s="1411" t="inlineStr">
        <is>
          <t>Reçues pendant la période d'établissement de rapport</t>
        </is>
      </c>
      <c r="B50" s="1412" t="n"/>
      <c r="C50" s="1412" t="n"/>
      <c r="D50" s="1412" t="n"/>
      <c r="E50" s="1412" t="n"/>
      <c r="F50" s="1412" t="n"/>
      <c r="G50" s="1413" t="n"/>
      <c r="H50" s="514" t="n">
        <v>969</v>
      </c>
      <c r="I50" s="1379" t="n"/>
      <c r="J50" s="1380" t="n"/>
      <c r="M50" s="88" t="n"/>
      <c r="N50" s="88" t="n"/>
      <c r="O50" s="88" t="n"/>
      <c r="P50" s="88" t="n"/>
      <c r="Q50" s="88" t="n"/>
      <c r="R50" s="88" t="n"/>
      <c r="S50" s="88" t="n"/>
      <c r="T50" s="88" t="n"/>
      <c r="U50" s="88" t="n"/>
      <c r="V50" s="88" t="n"/>
      <c r="W50" s="88" t="n"/>
      <c r="X50" s="88" t="n"/>
      <c r="Y50" s="88" t="n"/>
      <c r="Z50" s="88" t="n"/>
      <c r="AA50" s="88" t="n"/>
      <c r="AB50" s="88" t="n"/>
      <c r="AC50" s="88" t="n"/>
      <c r="AD50" s="88" t="n"/>
      <c r="AE50" s="88" t="n"/>
      <c r="AF50" s="88" t="n"/>
      <c r="AG50" s="88" t="n"/>
      <c r="AH50" s="26" t="n"/>
      <c r="AI50" s="26" t="n"/>
      <c r="AJ50" s="26" t="n"/>
      <c r="AK50" s="26" t="n"/>
    </row>
    <row r="51" ht="14.25" customHeight="1" thickBot="1">
      <c r="A51" s="1414" t="inlineStr">
        <is>
          <t>En suspens à la fin de la période d'établissement de rapport précédente</t>
        </is>
      </c>
      <c r="B51" s="1381" t="n"/>
      <c r="C51" s="1381" t="n"/>
      <c r="D51" s="1381" t="n"/>
      <c r="E51" s="1381" t="n"/>
      <c r="F51" s="1381" t="n"/>
      <c r="G51" s="1383" t="n"/>
      <c r="H51" s="512">
        <f>SUM(G52:G53)</f>
        <v/>
      </c>
      <c r="I51" s="1381" t="n"/>
      <c r="J51" s="1383" t="n"/>
      <c r="M51" s="88" t="n"/>
      <c r="N51" s="88" t="n"/>
      <c r="O51" s="88" t="n"/>
      <c r="P51" s="88" t="n"/>
      <c r="Q51" s="88" t="n"/>
      <c r="R51" s="88" t="n"/>
      <c r="S51" s="88" t="n"/>
      <c r="T51" s="88" t="n"/>
      <c r="U51" s="88" t="n"/>
      <c r="V51" s="88" t="n"/>
      <c r="W51" s="88" t="n"/>
      <c r="X51" s="88" t="n"/>
      <c r="Y51" s="88" t="n"/>
      <c r="Z51" s="88" t="n"/>
      <c r="AA51" s="88" t="n"/>
      <c r="AB51" s="88" t="n"/>
      <c r="AC51" s="88" t="n"/>
      <c r="AD51" s="88" t="n"/>
      <c r="AE51" s="88" t="n"/>
      <c r="AF51" s="88" t="n"/>
      <c r="AG51" s="88" t="n"/>
      <c r="AH51" s="26" t="n"/>
      <c r="AI51" s="26" t="n"/>
      <c r="AJ51" s="26" t="n"/>
      <c r="AK51" s="26" t="n"/>
    </row>
    <row r="52" ht="29.25" customHeight="1" thickTop="1">
      <c r="A52" s="886" t="inlineStr">
        <is>
          <t>• En suspens à la fin de la période d'établissement de rapport précédente</t>
        </is>
      </c>
      <c r="B52" s="1381" t="n"/>
      <c r="C52" s="1381" t="n"/>
      <c r="D52" s="1381" t="n"/>
      <c r="E52" s="1381" t="n"/>
      <c r="F52" s="1381" t="n"/>
      <c r="G52" s="212" t="n">
        <v>86</v>
      </c>
      <c r="H52" s="972" t="n"/>
      <c r="I52" s="1385" t="n"/>
      <c r="J52" s="1386" t="n"/>
      <c r="M52" s="88" t="n"/>
      <c r="N52" s="88" t="n"/>
      <c r="O52" s="88" t="n"/>
      <c r="P52" s="88" t="n"/>
      <c r="Q52" s="88" t="n"/>
      <c r="R52" s="88" t="n"/>
      <c r="S52" s="88" t="n"/>
      <c r="T52" s="88" t="n"/>
      <c r="U52" s="88" t="n"/>
      <c r="V52" s="88" t="n"/>
      <c r="W52" s="88" t="n"/>
      <c r="X52" s="88" t="n"/>
      <c r="Y52" s="88" t="n"/>
      <c r="Z52" s="88" t="n"/>
      <c r="AA52" s="88" t="n"/>
      <c r="AB52" s="88" t="n"/>
      <c r="AC52" s="88" t="n"/>
      <c r="AD52" s="88" t="n"/>
      <c r="AE52" s="88" t="n"/>
      <c r="AF52" s="88" t="n"/>
      <c r="AG52" s="88" t="n"/>
      <c r="AH52" s="26" t="n"/>
      <c r="AI52" s="26" t="n"/>
      <c r="AJ52" s="26" t="n"/>
      <c r="AK52" s="26" t="n"/>
    </row>
    <row r="53" ht="14.25" customHeight="1" thickBot="1">
      <c r="A53" s="1387" t="inlineStr">
        <is>
          <t>• En suspens pour plus d'une période d'établissement de rapport</t>
        </is>
      </c>
      <c r="B53" s="1388" t="n"/>
      <c r="C53" s="1388" t="n"/>
      <c r="D53" s="1388" t="n"/>
      <c r="E53" s="1388" t="n"/>
      <c r="F53" s="1389" t="n"/>
      <c r="G53" s="211" t="n">
        <v>3</v>
      </c>
      <c r="H53" s="1390" t="n"/>
      <c r="I53" s="1390" t="n"/>
      <c r="J53" s="1391" t="n"/>
      <c r="M53" s="88" t="n"/>
      <c r="N53" s="88" t="n"/>
      <c r="O53" s="88" t="n"/>
      <c r="P53" s="88" t="n"/>
      <c r="Q53" s="88" t="n"/>
      <c r="R53" s="88" t="n"/>
      <c r="S53" s="88" t="n"/>
      <c r="T53" s="88" t="n"/>
      <c r="U53" s="88" t="n"/>
      <c r="V53" s="88" t="n"/>
      <c r="W53" s="88" t="n"/>
      <c r="X53" s="88" t="n"/>
      <c r="Y53" s="88" t="n"/>
      <c r="Z53" s="88" t="n"/>
      <c r="AA53" s="88" t="n"/>
      <c r="AB53" s="88" t="n"/>
      <c r="AC53" s="88" t="n"/>
      <c r="AD53" s="88" t="n"/>
      <c r="AE53" s="88" t="n"/>
      <c r="AF53" s="88" t="n"/>
      <c r="AG53" s="88" t="n"/>
      <c r="AH53" s="26" t="n"/>
      <c r="AI53" s="26" t="n"/>
      <c r="AJ53" s="26" t="n"/>
      <c r="AK53" s="26" t="n"/>
    </row>
    <row r="54" ht="14.25" customHeight="1" thickBot="1" thickTop="1">
      <c r="A54" s="933" t="inlineStr">
        <is>
          <t>Total</t>
        </is>
      </c>
      <c r="B54" s="1374" t="n"/>
      <c r="C54" s="1374" t="n"/>
      <c r="D54" s="1374" t="n"/>
      <c r="E54" s="1374" t="n"/>
      <c r="F54" s="1374" t="n"/>
      <c r="G54" s="1374" t="n"/>
      <c r="H54" s="258">
        <f>SUM(H50:J51)</f>
        <v/>
      </c>
      <c r="I54" s="1374" t="n"/>
      <c r="J54" s="1375" t="n"/>
      <c r="L54" s="36" t="n"/>
      <c r="M54" s="905" t="n"/>
      <c r="V54" s="88" t="n"/>
      <c r="W54" s="88" t="n"/>
      <c r="X54" s="88" t="n"/>
      <c r="Y54" s="88" t="n"/>
      <c r="Z54" s="88" t="n"/>
      <c r="AA54" s="88" t="n"/>
      <c r="AB54" s="88" t="n"/>
      <c r="AC54" s="88" t="n"/>
      <c r="AD54" s="88" t="n"/>
      <c r="AE54" s="88" t="n"/>
      <c r="AF54" s="88" t="n"/>
      <c r="AG54" s="88" t="n"/>
      <c r="AH54" s="26" t="n"/>
      <c r="AI54" s="26" t="n"/>
      <c r="AJ54" s="26" t="n"/>
      <c r="AK54" s="26" t="n"/>
    </row>
    <row r="55" ht="14.25" customHeight="1" thickTop="1">
      <c r="A55" s="965" t="inlineStr">
        <is>
          <t>Fermées pendant la période d'établissement de rapport</t>
        </is>
      </c>
      <c r="H55" s="1415" t="n">
        <v>1011</v>
      </c>
      <c r="I55" s="1379" t="n"/>
      <c r="J55" s="1380" t="n"/>
      <c r="K55" s="36" t="n"/>
      <c r="L55" s="36" t="n"/>
      <c r="V55" s="90" t="n"/>
      <c r="W55" s="90" t="n"/>
      <c r="X55" s="90" t="n"/>
      <c r="Y55" s="90" t="n"/>
      <c r="Z55" s="90" t="n"/>
      <c r="AA55" s="90" t="n"/>
      <c r="AB55" s="90" t="n"/>
      <c r="AC55" s="90" t="n"/>
      <c r="AD55" s="90" t="n"/>
      <c r="AE55" s="90" t="n"/>
      <c r="AF55" s="90" t="n"/>
      <c r="AG55" s="90" t="n"/>
      <c r="AH55" s="91" t="n"/>
      <c r="AI55" s="26" t="n"/>
      <c r="AJ55" s="26" t="n"/>
      <c r="AK55" s="26" t="n"/>
    </row>
    <row r="56" ht="14.25" customHeight="1" thickBot="1">
      <c r="A56" s="968" t="inlineStr">
        <is>
          <t>Reportées à la prochaine période d'établissement de rapport</t>
        </is>
      </c>
      <c r="B56" s="1388" t="n"/>
      <c r="C56" s="1388" t="n"/>
      <c r="D56" s="1388" t="n"/>
      <c r="E56" s="1388" t="n"/>
      <c r="F56" s="1388" t="n"/>
      <c r="G56" s="1388" t="n"/>
      <c r="H56" s="1395">
        <f>H54-H55</f>
        <v/>
      </c>
      <c r="I56" s="1388" t="n"/>
      <c r="J56" s="1389" t="n"/>
      <c r="M56" s="88" t="n"/>
      <c r="N56" s="88" t="n"/>
      <c r="O56" s="88" t="n"/>
      <c r="P56" s="88" t="n"/>
      <c r="Q56" s="88" t="n"/>
      <c r="R56" s="88" t="n"/>
      <c r="S56" s="88" t="n"/>
      <c r="T56" s="88" t="n"/>
      <c r="U56" s="88" t="n"/>
      <c r="V56" s="88" t="n"/>
      <c r="W56" s="88" t="n"/>
      <c r="X56" s="88" t="n"/>
      <c r="Y56" s="88" t="n"/>
      <c r="Z56" s="88" t="n"/>
      <c r="AA56" s="88" t="n"/>
      <c r="AB56" s="88" t="n"/>
      <c r="AC56" s="88" t="n"/>
      <c r="AD56" s="88" t="n"/>
      <c r="AE56" s="88" t="n"/>
      <c r="AF56" s="88" t="n"/>
      <c r="AG56" s="88" t="n"/>
      <c r="AH56" s="26" t="n"/>
      <c r="AI56" s="26" t="n"/>
      <c r="AJ56" s="26" t="n"/>
      <c r="AK56" s="26" t="n"/>
    </row>
    <row r="57" ht="15.75" customHeight="1" thickTop="1">
      <c r="A57" s="966" t="n"/>
      <c r="B57" s="966" t="n"/>
      <c r="C57" s="966" t="n"/>
      <c r="D57" s="966" t="n"/>
      <c r="E57" s="966" t="n"/>
      <c r="F57" s="966" t="n"/>
      <c r="G57" s="966" t="n"/>
      <c r="H57" s="38" t="n"/>
      <c r="I57" s="38" t="n"/>
      <c r="J57" s="38" t="n"/>
      <c r="M57" s="88" t="n"/>
      <c r="N57" s="88" t="n"/>
      <c r="O57" s="88" t="n"/>
      <c r="P57" s="88" t="n"/>
      <c r="Q57" s="88" t="n"/>
      <c r="R57" s="88" t="n"/>
      <c r="S57" s="88" t="n"/>
      <c r="T57" s="88" t="n"/>
      <c r="U57" s="88" t="n"/>
      <c r="V57" s="88" t="n"/>
      <c r="W57" s="88" t="n"/>
      <c r="X57" s="88" t="n"/>
      <c r="Y57" s="88" t="n"/>
      <c r="Z57" s="88" t="n"/>
      <c r="AA57" s="88" t="n"/>
      <c r="AB57" s="88" t="n"/>
      <c r="AC57" s="88" t="n"/>
      <c r="AD57" s="88" t="n"/>
      <c r="AE57" s="88" t="n"/>
      <c r="AF57" s="88" t="n"/>
      <c r="AG57" s="88" t="n"/>
      <c r="AH57" s="26" t="n"/>
      <c r="AI57" s="26" t="n"/>
      <c r="AJ57" s="26" t="n"/>
      <c r="AK57" s="26" t="n"/>
    </row>
    <row r="58">
      <c r="A58" s="324" t="inlineStr">
        <is>
          <t>2.2 Mode des demandes informelles</t>
        </is>
      </c>
      <c r="M58" s="88" t="n"/>
      <c r="N58" s="88" t="n"/>
      <c r="O58" s="88" t="n"/>
      <c r="P58" s="88" t="n"/>
      <c r="Q58" s="88" t="n"/>
      <c r="R58" s="88" t="n"/>
      <c r="S58" s="88" t="n"/>
      <c r="T58" s="88" t="n"/>
      <c r="U58" s="88" t="n"/>
      <c r="V58" s="88" t="n"/>
      <c r="W58" s="88" t="n"/>
      <c r="X58" s="88" t="n"/>
      <c r="Y58" s="88" t="n"/>
      <c r="Z58" s="88" t="n"/>
      <c r="AA58" s="88" t="n"/>
      <c r="AB58" s="88" t="n"/>
      <c r="AC58" s="88" t="n"/>
      <c r="AD58" s="88" t="n"/>
      <c r="AE58" s="88" t="n"/>
      <c r="AF58" s="88" t="n"/>
      <c r="AG58" s="88" t="n"/>
      <c r="AH58" s="26" t="n"/>
      <c r="AI58" s="26" t="n"/>
      <c r="AJ58" s="26" t="n"/>
      <c r="AK58" s="26" t="n"/>
    </row>
    <row r="59" ht="15.75" customHeight="1" thickBot="1">
      <c r="A59" s="32" t="n"/>
      <c r="B59" s="966" t="n"/>
      <c r="C59" s="966" t="n"/>
      <c r="D59" s="966" t="n"/>
      <c r="E59" s="966" t="n"/>
      <c r="F59" s="966" t="n"/>
      <c r="G59" s="816" t="n"/>
      <c r="H59" s="816" t="n"/>
      <c r="I59" s="816" t="n"/>
      <c r="J59" s="816" t="n"/>
      <c r="M59" s="88" t="n"/>
      <c r="N59" s="88" t="n"/>
      <c r="O59" s="88" t="n"/>
      <c r="P59" s="88" t="n"/>
      <c r="Q59" s="88" t="n"/>
      <c r="R59" s="88" t="n"/>
      <c r="S59" s="88" t="n"/>
      <c r="T59" s="88" t="n"/>
      <c r="U59" s="88" t="n"/>
      <c r="V59" s="88" t="n"/>
      <c r="W59" s="88" t="n"/>
      <c r="X59" s="88" t="n"/>
      <c r="Y59" s="88" t="n"/>
      <c r="Z59" s="88" t="n"/>
      <c r="AA59" s="88" t="n"/>
      <c r="AB59" s="88" t="n"/>
      <c r="AC59" s="88" t="n"/>
      <c r="AD59" s="88" t="n"/>
      <c r="AE59" s="88" t="n"/>
      <c r="AF59" s="88" t="n"/>
      <c r="AG59" s="88" t="n"/>
      <c r="AH59" s="26" t="n"/>
      <c r="AI59" s="26" t="n"/>
      <c r="AJ59" s="26" t="n"/>
      <c r="AK59" s="26" t="n"/>
    </row>
    <row r="60" ht="14.25" customHeight="1" thickBot="1" thickTop="1">
      <c r="A60" s="258" t="inlineStr">
        <is>
          <t>Mode</t>
        </is>
      </c>
      <c r="B60" s="1374" t="n"/>
      <c r="C60" s="1374" t="n"/>
      <c r="D60" s="1374" t="n"/>
      <c r="E60" s="1374" t="n"/>
      <c r="F60" s="1375" t="n"/>
      <c r="G60" s="501" t="inlineStr">
        <is>
          <t>Nombre des demandes</t>
        </is>
      </c>
      <c r="H60" s="1374" t="n"/>
      <c r="I60" s="1374" t="n"/>
      <c r="J60" s="1375" t="n"/>
      <c r="M60" s="88" t="n"/>
      <c r="N60" s="88" t="n"/>
      <c r="O60" s="88" t="n"/>
      <c r="P60" s="88" t="n"/>
      <c r="Q60" s="88" t="n"/>
      <c r="R60" s="88" t="n"/>
      <c r="S60" s="88" t="n"/>
      <c r="T60" s="88" t="n"/>
      <c r="U60" s="88" t="n"/>
      <c r="V60" s="88" t="n"/>
      <c r="W60" s="88" t="n"/>
      <c r="X60" s="88" t="n"/>
      <c r="Y60" s="88" t="n"/>
      <c r="Z60" s="88" t="n"/>
      <c r="AA60" s="88" t="n"/>
      <c r="AB60" s="88" t="n"/>
      <c r="AC60" s="88" t="n"/>
      <c r="AD60" s="88" t="n"/>
      <c r="AE60" s="88" t="n"/>
      <c r="AF60" s="88" t="n"/>
      <c r="AG60" s="88" t="n"/>
      <c r="AH60" s="26" t="n"/>
      <c r="AI60" s="26" t="n"/>
      <c r="AJ60" s="26" t="n"/>
      <c r="AK60" s="26" t="n"/>
    </row>
    <row r="61" ht="14.25" customHeight="1" thickTop="1">
      <c r="A61" s="926" t="inlineStr">
        <is>
          <t>En ligne</t>
        </is>
      </c>
      <c r="B61" s="1372" t="n"/>
      <c r="C61" s="1372" t="n"/>
      <c r="D61" s="1372" t="n"/>
      <c r="E61" s="1372" t="n"/>
      <c r="F61" s="1398" t="n"/>
      <c r="G61" s="943" t="n">
        <v>281</v>
      </c>
      <c r="H61" s="1379" t="n"/>
      <c r="I61" s="1379" t="n"/>
      <c r="J61" s="1399" t="n"/>
      <c r="M61" s="88" t="n"/>
      <c r="N61" s="88" t="n"/>
      <c r="O61" s="88" t="n"/>
      <c r="P61" s="88" t="n"/>
      <c r="Q61" s="88" t="n"/>
      <c r="R61" s="88" t="n"/>
      <c r="S61" s="88" t="n"/>
      <c r="T61" s="88" t="n"/>
      <c r="U61" s="88" t="n"/>
      <c r="V61" s="88" t="n"/>
      <c r="W61" s="88" t="n"/>
      <c r="X61" s="88" t="n"/>
      <c r="Y61" s="88" t="n"/>
      <c r="Z61" s="88" t="n"/>
      <c r="AA61" s="88" t="n"/>
      <c r="AB61" s="88" t="n"/>
      <c r="AC61" s="88" t="n"/>
      <c r="AD61" s="88" t="n"/>
      <c r="AE61" s="88" t="n"/>
      <c r="AF61" s="88" t="n"/>
      <c r="AG61" s="88" t="n"/>
      <c r="AH61" s="26" t="n"/>
      <c r="AI61" s="26" t="n"/>
      <c r="AJ61" s="26" t="n"/>
      <c r="AK61" s="26" t="n"/>
    </row>
    <row r="62" ht="14.25" customHeight="1">
      <c r="A62" s="505" t="inlineStr">
        <is>
          <t>Courriel</t>
        </is>
      </c>
      <c r="B62" s="1381" t="n"/>
      <c r="C62" s="1381" t="n"/>
      <c r="D62" s="1381" t="n"/>
      <c r="E62" s="1381" t="n"/>
      <c r="F62" s="1384" t="n"/>
      <c r="G62" s="553" t="n">
        <v>678</v>
      </c>
      <c r="H62" s="1400" t="n"/>
      <c r="I62" s="1400" t="n"/>
      <c r="J62" s="1401" t="n"/>
      <c r="M62" s="88" t="n"/>
      <c r="N62" s="88" t="n"/>
      <c r="O62" s="88" t="n"/>
      <c r="P62" s="88" t="n"/>
      <c r="Q62" s="88" t="n"/>
      <c r="R62" s="88" t="n"/>
      <c r="S62" s="88" t="n"/>
      <c r="T62" s="88" t="n"/>
      <c r="U62" s="88" t="n"/>
      <c r="V62" s="88" t="n"/>
      <c r="W62" s="88" t="n"/>
      <c r="X62" s="88" t="n"/>
      <c r="Y62" s="88" t="n"/>
      <c r="Z62" s="88" t="n"/>
      <c r="AA62" s="88" t="n"/>
      <c r="AB62" s="88" t="n"/>
      <c r="AC62" s="88" t="n"/>
      <c r="AD62" s="88" t="n"/>
      <c r="AE62" s="88" t="n"/>
      <c r="AF62" s="88" t="n"/>
      <c r="AG62" s="88" t="n"/>
      <c r="AH62" s="26" t="n"/>
      <c r="AI62" s="26" t="n"/>
      <c r="AJ62" s="26" t="n"/>
      <c r="AK62" s="26" t="n"/>
    </row>
    <row r="63" ht="14.25" customHeight="1">
      <c r="A63" s="505" t="inlineStr">
        <is>
          <t>Poste</t>
        </is>
      </c>
      <c r="B63" s="1381" t="n"/>
      <c r="C63" s="1381" t="n"/>
      <c r="D63" s="1381" t="n"/>
      <c r="E63" s="1381" t="n"/>
      <c r="F63" s="1384" t="n"/>
      <c r="G63" s="502" t="n">
        <v>10</v>
      </c>
      <c r="H63" s="1400" t="n"/>
      <c r="I63" s="1400" t="n"/>
      <c r="J63" s="1401" t="n"/>
      <c r="M63" s="88" t="n"/>
      <c r="N63" s="88" t="n"/>
      <c r="O63" s="88" t="n"/>
      <c r="P63" s="88" t="n"/>
      <c r="Q63" s="88" t="n"/>
      <c r="R63" s="88" t="n"/>
      <c r="S63" s="88" t="n"/>
      <c r="T63" s="88" t="n"/>
      <c r="U63" s="88" t="n"/>
      <c r="V63" s="88" t="n"/>
      <c r="W63" s="88" t="n"/>
      <c r="X63" s="88" t="n"/>
      <c r="Y63" s="88" t="n"/>
      <c r="Z63" s="88" t="n"/>
      <c r="AA63" s="88" t="n"/>
      <c r="AB63" s="88" t="n"/>
      <c r="AC63" s="88" t="n"/>
      <c r="AD63" s="88" t="n"/>
      <c r="AE63" s="88" t="n"/>
      <c r="AF63" s="88" t="n"/>
      <c r="AG63" s="88" t="n"/>
      <c r="AH63" s="26" t="n"/>
      <c r="AI63" s="26" t="n"/>
      <c r="AJ63" s="26" t="n"/>
      <c r="AK63" s="26" t="n"/>
    </row>
    <row r="64" ht="14.25" customHeight="1">
      <c r="A64" s="505" t="inlineStr">
        <is>
          <t>En personne</t>
        </is>
      </c>
      <c r="B64" s="1381" t="n"/>
      <c r="C64" s="1381" t="n"/>
      <c r="D64" s="1381" t="n"/>
      <c r="E64" s="1381" t="n"/>
      <c r="F64" s="1384" t="n"/>
      <c r="G64" s="553" t="n">
        <v>0</v>
      </c>
      <c r="H64" s="1400" t="n"/>
      <c r="I64" s="1400" t="n"/>
      <c r="J64" s="1401" t="n"/>
      <c r="M64" s="88" t="n"/>
      <c r="N64" s="88" t="n"/>
      <c r="O64" s="88" t="n"/>
      <c r="P64" s="88" t="n"/>
      <c r="Q64" s="88" t="n"/>
      <c r="R64" s="88" t="n"/>
      <c r="S64" s="88" t="n"/>
      <c r="T64" s="88" t="n"/>
      <c r="U64" s="88" t="n"/>
      <c r="V64" s="88" t="n"/>
      <c r="W64" s="88" t="n"/>
      <c r="X64" s="88" t="n"/>
      <c r="Y64" s="88" t="n"/>
      <c r="Z64" s="88" t="n"/>
      <c r="AA64" s="88" t="n"/>
      <c r="AB64" s="88" t="n"/>
      <c r="AC64" s="88" t="n"/>
      <c r="AD64" s="88" t="n"/>
      <c r="AE64" s="88" t="n"/>
      <c r="AF64" s="88" t="n"/>
      <c r="AG64" s="88" t="n"/>
      <c r="AH64" s="26" t="n"/>
      <c r="AI64" s="26" t="n"/>
      <c r="AJ64" s="26" t="n"/>
      <c r="AK64" s="26" t="n"/>
    </row>
    <row r="65" ht="14.25" customHeight="1">
      <c r="A65" s="505" t="inlineStr">
        <is>
          <t>Téléphone</t>
        </is>
      </c>
      <c r="B65" s="1381" t="n"/>
      <c r="C65" s="1381" t="n"/>
      <c r="D65" s="1381" t="n"/>
      <c r="E65" s="1381" t="n"/>
      <c r="F65" s="1384" t="n"/>
      <c r="G65" s="553" t="n">
        <v>0</v>
      </c>
      <c r="H65" s="1400" t="n"/>
      <c r="I65" s="1400" t="n"/>
      <c r="J65" s="1401" t="n"/>
      <c r="M65" s="88" t="n"/>
      <c r="N65" s="88" t="n"/>
      <c r="O65" s="88" t="n"/>
      <c r="P65" s="88" t="n"/>
      <c r="Q65" s="88" t="n"/>
      <c r="R65" s="88" t="n"/>
      <c r="S65" s="88" t="n"/>
      <c r="T65" s="88" t="n"/>
      <c r="U65" s="88" t="n"/>
      <c r="V65" s="88" t="n"/>
      <c r="W65" s="88" t="n"/>
      <c r="X65" s="88" t="n"/>
      <c r="Y65" s="88" t="n"/>
      <c r="Z65" s="88" t="n"/>
      <c r="AA65" s="88" t="n"/>
      <c r="AB65" s="88" t="n"/>
      <c r="AC65" s="88" t="n"/>
      <c r="AD65" s="88" t="n"/>
      <c r="AE65" s="88" t="n"/>
      <c r="AF65" s="88" t="n"/>
      <c r="AG65" s="88" t="n"/>
      <c r="AH65" s="26" t="n"/>
      <c r="AI65" s="26" t="n"/>
      <c r="AJ65" s="26" t="n"/>
      <c r="AK65" s="26" t="n"/>
    </row>
    <row r="66" ht="14.25" customHeight="1" thickBot="1">
      <c r="A66" s="888" t="inlineStr">
        <is>
          <t>Télécopieur</t>
        </is>
      </c>
      <c r="B66" s="1385" t="n"/>
      <c r="C66" s="1385" t="n"/>
      <c r="D66" s="1385" t="n"/>
      <c r="E66" s="1385" t="n"/>
      <c r="F66" s="1402" t="n"/>
      <c r="G66" s="891" t="n">
        <v>0</v>
      </c>
      <c r="H66" s="1408" t="n"/>
      <c r="I66" s="1408" t="n"/>
      <c r="J66" s="1409" t="n"/>
      <c r="M66" s="873" t="inlineStr">
        <is>
          <t>Section 2.2 - Le "Total" doit être égal au montant "Reçues pendant la période d'établissement de rapport" de la Section 2.1</t>
        </is>
      </c>
      <c r="V66" s="88" t="n"/>
      <c r="W66" s="88" t="n"/>
      <c r="X66" s="88" t="n"/>
      <c r="Y66" s="88" t="n"/>
      <c r="Z66" s="88" t="n"/>
      <c r="AA66" s="88" t="n"/>
      <c r="AB66" s="88" t="n"/>
      <c r="AC66" s="88" t="n"/>
      <c r="AD66" s="88" t="n"/>
      <c r="AE66" s="88" t="n"/>
      <c r="AF66" s="88" t="n"/>
      <c r="AG66" s="88" t="n"/>
      <c r="AH66" s="26" t="n"/>
      <c r="AI66" s="26" t="n"/>
      <c r="AJ66" s="26" t="n"/>
      <c r="AK66" s="26" t="n"/>
    </row>
    <row r="67" ht="14.25" customHeight="1" thickBot="1" thickTop="1">
      <c r="A67" s="894" t="inlineStr">
        <is>
          <t>Total</t>
        </is>
      </c>
      <c r="B67" s="1374" t="n"/>
      <c r="C67" s="1374" t="n"/>
      <c r="D67" s="1374" t="n"/>
      <c r="E67" s="1374" t="n"/>
      <c r="F67" s="1405" t="n"/>
      <c r="G67" s="549">
        <f>SUM(G61:J66)</f>
        <v/>
      </c>
      <c r="H67" s="1374" t="n"/>
      <c r="I67" s="1374" t="n"/>
      <c r="J67" s="1405" t="n"/>
      <c r="L67" s="113" t="n"/>
      <c r="V67" s="90" t="n"/>
      <c r="W67" s="90" t="n"/>
      <c r="X67" s="90" t="n"/>
      <c r="Y67" s="90" t="n"/>
      <c r="Z67" s="90" t="n"/>
      <c r="AA67" s="90" t="n"/>
      <c r="AB67" s="90" t="n"/>
      <c r="AC67" s="90" t="n"/>
      <c r="AD67" s="90" t="n"/>
      <c r="AE67" s="90" t="n"/>
      <c r="AF67" s="90" t="n"/>
      <c r="AG67" s="90" t="n"/>
      <c r="AH67" s="91" t="n"/>
      <c r="AI67" s="26" t="n"/>
      <c r="AJ67" s="26" t="n"/>
      <c r="AK67" s="26" t="n"/>
    </row>
    <row r="68" ht="15.75" customHeight="1" thickTop="1">
      <c r="A68" s="326" t="n"/>
      <c r="B68" s="33" t="n"/>
      <c r="C68" s="33" t="n"/>
      <c r="D68" s="33" t="n"/>
      <c r="E68" s="33" t="n"/>
      <c r="F68" s="33" t="n"/>
      <c r="G68" s="710" t="n"/>
      <c r="H68" s="710" t="n"/>
      <c r="I68" s="710" t="n"/>
      <c r="J68" s="710" t="n"/>
      <c r="M68" s="88" t="n"/>
      <c r="N68" s="88" t="n"/>
      <c r="O68" s="88" t="n"/>
      <c r="P68" s="88" t="n"/>
      <c r="Q68" s="88" t="n"/>
      <c r="R68" s="88" t="n"/>
      <c r="S68" s="88" t="n"/>
      <c r="T68" s="88" t="n"/>
      <c r="U68" s="88" t="n"/>
      <c r="V68" s="88" t="n"/>
      <c r="W68" s="88" t="n"/>
      <c r="X68" s="88" t="n"/>
      <c r="Y68" s="88" t="n"/>
      <c r="Z68" s="88" t="n"/>
      <c r="AA68" s="88" t="n"/>
      <c r="AB68" s="88" t="n"/>
      <c r="AC68" s="88" t="n"/>
      <c r="AD68" s="88" t="n"/>
      <c r="AE68" s="88" t="n"/>
      <c r="AF68" s="88" t="n"/>
      <c r="AG68" s="88" t="n"/>
      <c r="AH68" s="26" t="n"/>
      <c r="AI68" s="26" t="n"/>
      <c r="AJ68" s="26" t="n"/>
      <c r="AK68" s="26" t="n"/>
    </row>
    <row r="69">
      <c r="A69" s="323" t="inlineStr">
        <is>
          <t xml:space="preserve">2.3 Délai de traitement pour les demandes informelles </t>
        </is>
      </c>
      <c r="M69" s="88" t="n"/>
      <c r="N69" s="88" t="n"/>
      <c r="O69" s="88" t="n"/>
      <c r="P69" s="88" t="n"/>
      <c r="Q69" s="88" t="n"/>
      <c r="R69" s="88" t="n"/>
      <c r="S69" s="88" t="n"/>
      <c r="T69" s="88" t="n"/>
      <c r="U69" s="88" t="n"/>
      <c r="V69" s="88" t="n"/>
      <c r="W69" s="88" t="n"/>
      <c r="X69" s="88" t="n"/>
      <c r="Y69" s="88" t="n"/>
      <c r="Z69" s="88" t="n"/>
      <c r="AA69" s="88" t="n"/>
      <c r="AB69" s="88" t="n"/>
      <c r="AC69" s="88" t="n"/>
      <c r="AD69" s="88" t="n"/>
      <c r="AE69" s="88" t="n"/>
      <c r="AF69" s="88" t="n"/>
      <c r="AG69" s="88" t="n"/>
      <c r="AH69" s="26" t="n"/>
      <c r="AI69" s="26" t="n"/>
      <c r="AJ69" s="26" t="n"/>
      <c r="AK69" s="26" t="n"/>
    </row>
    <row r="70" ht="15.75" customHeight="1" thickBot="1">
      <c r="A70" s="326" t="n"/>
      <c r="B70" s="33" t="n"/>
      <c r="C70" s="33" t="n"/>
      <c r="D70" s="33" t="n"/>
      <c r="E70" s="33" t="n"/>
      <c r="F70" s="33" t="n"/>
      <c r="G70" s="710" t="n"/>
      <c r="H70" s="710" t="n"/>
      <c r="I70" s="710" t="n"/>
      <c r="J70" s="710" t="n"/>
      <c r="M70" s="88" t="n"/>
      <c r="N70" s="88" t="n"/>
      <c r="O70" s="88" t="n"/>
      <c r="P70" s="88" t="n"/>
      <c r="Q70" s="88" t="n"/>
      <c r="R70" s="88" t="n"/>
      <c r="S70" s="88" t="n"/>
      <c r="T70" s="88" t="n"/>
      <c r="U70" s="88" t="n"/>
      <c r="V70" s="88" t="n"/>
      <c r="W70" s="88" t="n"/>
      <c r="X70" s="88" t="n"/>
      <c r="Y70" s="88" t="n"/>
      <c r="Z70" s="88" t="n"/>
      <c r="AA70" s="88" t="n"/>
      <c r="AB70" s="88" t="n"/>
      <c r="AC70" s="88" t="n"/>
      <c r="AD70" s="88" t="n"/>
      <c r="AE70" s="88" t="n"/>
      <c r="AF70" s="88" t="n"/>
      <c r="AG70" s="88" t="n"/>
      <c r="AH70" s="26" t="n"/>
      <c r="AI70" s="26" t="n"/>
      <c r="AJ70" s="26" t="n"/>
      <c r="AK70" s="26" t="n"/>
    </row>
    <row r="71" ht="15.75" customHeight="1" thickTop="1">
      <c r="A71" s="944" t="inlineStr">
        <is>
          <t>Délai de traitement</t>
        </is>
      </c>
      <c r="B71" s="1377" t="n"/>
      <c r="C71" s="1377" t="n"/>
      <c r="D71" s="1377" t="n"/>
      <c r="E71" s="1377" t="n"/>
      <c r="F71" s="1377" t="n"/>
      <c r="G71" s="1377" t="n"/>
      <c r="H71" s="1406" t="n"/>
      <c r="I71" s="710" t="n"/>
      <c r="J71" s="710" t="n"/>
      <c r="M71" s="88" t="n"/>
      <c r="N71" s="88" t="n"/>
      <c r="O71" s="88" t="n"/>
      <c r="P71" s="88" t="n"/>
      <c r="Q71" s="88" t="n"/>
      <c r="R71" s="88" t="n"/>
      <c r="S71" s="88" t="n"/>
      <c r="T71" s="88" t="n"/>
      <c r="U71" s="88" t="n"/>
      <c r="V71" s="88" t="n"/>
      <c r="W71" s="88" t="n"/>
      <c r="X71" s="88" t="n"/>
      <c r="Y71" s="88" t="n"/>
      <c r="Z71" s="88" t="n"/>
      <c r="AA71" s="88" t="n"/>
      <c r="AB71" s="88" t="n"/>
      <c r="AC71" s="88" t="n"/>
      <c r="AD71" s="88" t="n"/>
      <c r="AE71" s="88" t="n"/>
      <c r="AF71" s="88" t="n"/>
      <c r="AG71" s="88" t="n"/>
      <c r="AH71" s="26" t="n"/>
      <c r="AI71" s="26" t="n"/>
      <c r="AJ71" s="26" t="n"/>
      <c r="AK71" s="26" t="n"/>
    </row>
    <row r="72" ht="40.5" customHeight="1" thickBot="1">
      <c r="A72" s="216" t="inlineStr">
        <is>
          <t>0 à 15 jours</t>
        </is>
      </c>
      <c r="B72" s="217" t="inlineStr">
        <is>
          <t>16 à 30 jours</t>
        </is>
      </c>
      <c r="C72" s="217" t="inlineStr">
        <is>
          <t>31 à 60 jours</t>
        </is>
      </c>
      <c r="D72" s="217" t="inlineStr">
        <is>
          <t>61 à 120 jours</t>
        </is>
      </c>
      <c r="E72" s="217" t="inlineStr">
        <is>
          <t>121 à 180 jours</t>
        </is>
      </c>
      <c r="F72" s="217" t="inlineStr">
        <is>
          <t>181 à 365 jours</t>
        </is>
      </c>
      <c r="G72" s="218" t="inlineStr">
        <is>
          <t>Plus de 365 jours</t>
        </is>
      </c>
      <c r="H72" s="219" t="inlineStr">
        <is>
          <t>Total</t>
        </is>
      </c>
      <c r="I72" s="710" t="n"/>
      <c r="J72" s="710" t="n"/>
      <c r="M72" s="88" t="n"/>
      <c r="N72" s="88" t="n"/>
      <c r="O72" s="88" t="n"/>
      <c r="P72" s="88" t="n"/>
      <c r="Q72" s="88" t="n"/>
      <c r="R72" s="88" t="n"/>
      <c r="S72" s="88" t="n"/>
      <c r="T72" s="88" t="n"/>
      <c r="U72" s="88" t="n"/>
      <c r="V72" s="88" t="n"/>
      <c r="W72" s="88" t="n"/>
      <c r="X72" s="88" t="n"/>
      <c r="Y72" s="88" t="n"/>
      <c r="Z72" s="88" t="n"/>
      <c r="AA72" s="88" t="n"/>
      <c r="AB72" s="88" t="n"/>
      <c r="AC72" s="88" t="n"/>
      <c r="AD72" s="88" t="n"/>
      <c r="AE72" s="88" t="n"/>
      <c r="AF72" s="88" t="n"/>
      <c r="AG72" s="88" t="n"/>
      <c r="AH72" s="26" t="n"/>
      <c r="AI72" s="26" t="n"/>
      <c r="AJ72" s="26" t="n"/>
      <c r="AK72" s="26" t="n"/>
    </row>
    <row r="73" ht="16.5" customHeight="1" thickBot="1" thickTop="1">
      <c r="A73" s="213" t="n">
        <v>875</v>
      </c>
      <c r="B73" s="214" t="n">
        <v>107</v>
      </c>
      <c r="C73" s="214" t="n">
        <v>4</v>
      </c>
      <c r="D73" s="214" t="n">
        <v>12</v>
      </c>
      <c r="E73" s="214" t="n">
        <v>10</v>
      </c>
      <c r="F73" s="214" t="n">
        <v>0</v>
      </c>
      <c r="G73" s="215" t="n">
        <v>3</v>
      </c>
      <c r="H73" s="258">
        <f>SUM(A73:G73)</f>
        <v/>
      </c>
      <c r="J73" s="113" t="n"/>
      <c r="K73" s="113" t="n"/>
      <c r="L73" s="113" t="n"/>
      <c r="M73" s="873" t="inlineStr">
        <is>
          <t>Section 2.3 - Le "Total" doit être égal au montant "Fermées pendant la période d'établissement de rapport" de la Section 2.1</t>
        </is>
      </c>
      <c r="V73" s="90" t="n"/>
      <c r="W73" s="90" t="n"/>
      <c r="X73" s="90" t="n"/>
      <c r="Y73" s="90" t="n"/>
      <c r="Z73" s="90" t="n"/>
      <c r="AA73" s="90" t="n"/>
      <c r="AB73" s="90" t="n"/>
      <c r="AC73" s="90" t="n"/>
      <c r="AD73" s="90" t="n"/>
      <c r="AE73" s="90" t="n"/>
      <c r="AF73" s="90" t="n"/>
      <c r="AG73" s="90" t="n"/>
      <c r="AH73" s="91" t="n"/>
      <c r="AI73" s="26" t="n"/>
      <c r="AJ73" s="26" t="n"/>
      <c r="AK73" s="26" t="n"/>
    </row>
    <row r="74" ht="15.75" customHeight="1" thickTop="1">
      <c r="A74" s="35" t="n"/>
      <c r="B74" s="35" t="n"/>
      <c r="C74" s="35" t="n"/>
      <c r="D74" s="35" t="n"/>
      <c r="E74" s="35" t="n"/>
      <c r="F74" s="35" t="n"/>
      <c r="G74" s="35" t="n"/>
      <c r="H74" s="35" t="n"/>
      <c r="I74" s="113" t="n"/>
      <c r="J74" s="113" t="n"/>
      <c r="K74" s="113" t="n"/>
      <c r="L74" s="113" t="n"/>
      <c r="V74" s="88" t="n"/>
      <c r="W74" s="88" t="n"/>
      <c r="X74" s="88" t="n"/>
      <c r="Y74" s="88" t="n"/>
      <c r="Z74" s="88" t="n"/>
      <c r="AA74" s="88" t="n"/>
      <c r="AB74" s="88" t="n"/>
      <c r="AC74" s="88" t="n"/>
      <c r="AD74" s="88" t="n"/>
      <c r="AE74" s="88" t="n"/>
      <c r="AF74" s="88" t="n"/>
      <c r="AG74" s="88" t="n"/>
      <c r="AH74" s="26" t="n"/>
      <c r="AI74" s="26" t="n"/>
      <c r="AJ74" s="26" t="n"/>
      <c r="AK74" s="26" t="n"/>
    </row>
    <row r="75">
      <c r="A75" s="932" t="inlineStr">
        <is>
          <t>2.4  Pages communiquées informellement</t>
        </is>
      </c>
      <c r="M75" s="194">
        <f>IFERROR(IF(B79/A79&gt;99,"Section 2.4 - Le nombre total de pages ""Pages communiquées"" divisé par le ""Nombre de demandes"" dans ""Moins de 100 pages communiquées"" doit être égal ou inférieur à 99.",""),"")</f>
        <v/>
      </c>
      <c r="N75" s="88" t="n"/>
      <c r="O75" s="88" t="n"/>
      <c r="P75" s="88" t="n"/>
      <c r="Q75" s="88" t="n"/>
      <c r="R75" s="88" t="n"/>
      <c r="S75" s="88" t="n"/>
      <c r="T75" s="88" t="n"/>
      <c r="U75" s="88" t="n"/>
      <c r="V75" s="88" t="n"/>
      <c r="W75" s="88" t="n"/>
      <c r="X75" s="88" t="n"/>
      <c r="Y75" s="88" t="n"/>
      <c r="Z75" s="88" t="n"/>
      <c r="AA75" s="88" t="n"/>
      <c r="AB75" s="88" t="n"/>
      <c r="AC75" s="88" t="n"/>
      <c r="AD75" s="88" t="n"/>
      <c r="AE75" s="88" t="n"/>
      <c r="AF75" s="88" t="n"/>
      <c r="AG75" s="88" t="n"/>
      <c r="AH75" s="26" t="n"/>
      <c r="AI75" s="26" t="n"/>
      <c r="AJ75" s="26" t="n"/>
      <c r="AK75" s="26" t="n"/>
    </row>
    <row r="76" ht="15.75" customHeight="1" thickBot="1">
      <c r="A76" s="61" t="n"/>
      <c r="B76" s="61" t="n"/>
      <c r="C76" s="61" t="n"/>
      <c r="D76" s="61" t="n"/>
      <c r="E76" s="61" t="n"/>
      <c r="F76" s="61" t="n"/>
      <c r="G76" s="61" t="n"/>
      <c r="H76" s="61" t="n"/>
      <c r="I76" s="61" t="n"/>
      <c r="J76" s="61" t="n"/>
      <c r="M76" s="194">
        <f>IFERROR(IF(AND(D79/C79&gt;=100,D79/C79&lt;=500),"","Section 2.4 - Le nombre total de pages ""Pages communiquées"" divisé par le ""Nombre de demandes"" dans ""De 100 à 500 pages communiquées"" doit être compris entre 100 et 500."),"")</f>
        <v/>
      </c>
      <c r="N76" s="88" t="n"/>
      <c r="O76" s="88" t="n"/>
      <c r="P76" s="88" t="n"/>
      <c r="Q76" s="88" t="n"/>
      <c r="R76" s="88" t="n"/>
      <c r="S76" s="88" t="n"/>
      <c r="T76" s="88" t="n"/>
      <c r="U76" s="88" t="n"/>
      <c r="V76" s="88" t="n"/>
      <c r="W76" s="88" t="n"/>
      <c r="X76" s="88" t="n"/>
      <c r="Y76" s="88" t="n"/>
      <c r="Z76" s="88" t="n"/>
      <c r="AA76" s="88" t="n"/>
      <c r="AB76" s="88" t="n"/>
      <c r="AC76" s="88" t="n"/>
      <c r="AD76" s="88" t="n"/>
      <c r="AE76" s="88" t="n"/>
      <c r="AF76" s="88" t="n"/>
      <c r="AG76" s="88" t="n"/>
      <c r="AH76" s="26" t="n"/>
      <c r="AI76" s="26" t="n"/>
      <c r="AJ76" s="26" t="n"/>
      <c r="AK76" s="26" t="n"/>
    </row>
    <row r="77" ht="36" customHeight="1" thickTop="1">
      <c r="A77" s="568" t="inlineStr">
        <is>
          <t>Moins de 100 pages communiquées</t>
        </is>
      </c>
      <c r="B77" s="1406" t="n"/>
      <c r="C77" s="1416" t="inlineStr">
        <is>
          <t>De 100 à 500 pages communiquées</t>
        </is>
      </c>
      <c r="D77" s="1378" t="n"/>
      <c r="E77" s="568" t="inlineStr">
        <is>
          <t>De 501 à 1 000 pages communiquées</t>
        </is>
      </c>
      <c r="F77" s="1406" t="n"/>
      <c r="G77" s="442" t="inlineStr">
        <is>
          <t>De 1 001 à 5 000 pages communiquées</t>
        </is>
      </c>
      <c r="H77" s="1406" t="n"/>
      <c r="I77" s="568" t="inlineStr">
        <is>
          <t>Plus de 5 000 pages communiquées</t>
        </is>
      </c>
      <c r="J77" s="1406" t="n"/>
      <c r="M77" s="194">
        <f>IFERROR(IF(AND(F79/E79&gt;500,F79/E79&lt;=1000),"","Section 2.4 - Le nombre total de pages ""Pages communiquées"" divisé par le ""Nombre de demandes"" dans ""De 501 à 1 000 pages communiquées"" doit être compris entre 501 et 1 000."),"")</f>
        <v/>
      </c>
      <c r="N77" s="88" t="n"/>
      <c r="O77" s="88" t="n"/>
      <c r="P77" s="88" t="n"/>
      <c r="Q77" s="88" t="n"/>
      <c r="R77" s="88" t="n"/>
      <c r="S77" s="88" t="n"/>
      <c r="T77" s="88" t="n"/>
      <c r="U77" s="88" t="n"/>
      <c r="V77" s="88" t="n"/>
      <c r="W77" s="88" t="n"/>
      <c r="X77" s="88" t="n"/>
      <c r="Y77" s="88" t="n"/>
      <c r="Z77" s="88" t="n"/>
      <c r="AA77" s="88" t="n"/>
      <c r="AB77" s="88" t="n"/>
      <c r="AC77" s="88" t="n"/>
      <c r="AD77" s="88" t="n"/>
      <c r="AE77" s="88" t="n"/>
      <c r="AF77" s="88" t="n"/>
      <c r="AG77" s="88" t="n"/>
      <c r="AH77" s="26" t="n"/>
      <c r="AI77" s="26" t="n"/>
      <c r="AJ77" s="26" t="n"/>
      <c r="AK77" s="26" t="n"/>
    </row>
    <row r="78" ht="38.25" customHeight="1" thickBot="1">
      <c r="A78" s="222" t="inlineStr">
        <is>
          <t>Nombre de demandes</t>
        </is>
      </c>
      <c r="B78" s="223" t="inlineStr">
        <is>
          <t>Pages communiquées</t>
        </is>
      </c>
      <c r="C78" s="222" t="inlineStr">
        <is>
          <t>Nombre de demandes</t>
        </is>
      </c>
      <c r="D78" s="223" t="inlineStr">
        <is>
          <t>Pages communiquées</t>
        </is>
      </c>
      <c r="E78" s="222" t="inlineStr">
        <is>
          <t>Nombre de demandes</t>
        </is>
      </c>
      <c r="F78" s="223" t="inlineStr">
        <is>
          <t>Pages communiquées</t>
        </is>
      </c>
      <c r="G78" s="222" t="inlineStr">
        <is>
          <t>Nombre de demandes</t>
        </is>
      </c>
      <c r="H78" s="223" t="inlineStr">
        <is>
          <t>Pages communiquées</t>
        </is>
      </c>
      <c r="I78" s="222" t="inlineStr">
        <is>
          <t>Nombre de demandes</t>
        </is>
      </c>
      <c r="J78" s="224" t="inlineStr">
        <is>
          <t>Pages communiquées</t>
        </is>
      </c>
      <c r="L78" s="112" t="n"/>
      <c r="M78" s="922" t="inlineStr">
        <is>
          <t>Section 2.4 - La somme des Colonnes "Nombre de demandes" doit être égale ou inférieure au montant "Fermées pendant la période d'établissement de rapport" de la Section 2.1</t>
        </is>
      </c>
      <c r="V78" s="88" t="n"/>
      <c r="W78" s="88" t="n"/>
      <c r="X78" s="88" t="n"/>
      <c r="Y78" s="88" t="n"/>
      <c r="Z78" s="88" t="n"/>
      <c r="AA78" s="88" t="n"/>
      <c r="AB78" s="88" t="n"/>
      <c r="AC78" s="88" t="n"/>
      <c r="AD78" s="88" t="n"/>
      <c r="AE78" s="88" t="n"/>
      <c r="AF78" s="88" t="n"/>
      <c r="AG78" s="88" t="n"/>
      <c r="AH78" s="26" t="n"/>
      <c r="AI78" s="26" t="n"/>
      <c r="AJ78" s="26" t="n"/>
      <c r="AK78" s="26" t="n"/>
    </row>
    <row r="79" ht="15" customHeight="1" thickBot="1" thickTop="1">
      <c r="A79" s="225" t="n">
        <v>0</v>
      </c>
      <c r="B79" s="226" t="n">
        <v>0</v>
      </c>
      <c r="C79" s="377" t="n">
        <v>0</v>
      </c>
      <c r="D79" s="338" t="n">
        <v>0</v>
      </c>
      <c r="E79" s="225" t="n">
        <v>0</v>
      </c>
      <c r="F79" s="338" t="n">
        <v>0</v>
      </c>
      <c r="G79" s="225" t="n">
        <v>0</v>
      </c>
      <c r="H79" s="338" t="n">
        <v>0</v>
      </c>
      <c r="I79" s="225" t="n">
        <v>0</v>
      </c>
      <c r="J79" s="226" t="n">
        <v>0</v>
      </c>
      <c r="L79" s="36" t="n"/>
      <c r="M79" s="921" t="inlineStr">
        <is>
          <t>Section 2.4 - La somme des Colonnes "Nombre de demandes" des Sections 2.4 et 2.5 doit être égale au montant "Fermées pendant la période d'établissement de rapport" de la Section 2.1</t>
        </is>
      </c>
      <c r="N79" s="192" t="n"/>
      <c r="O79" s="192" t="n"/>
      <c r="P79" s="192" t="n"/>
      <c r="Q79" s="192" t="n"/>
      <c r="R79" s="192" t="n"/>
      <c r="S79" s="192" t="n"/>
      <c r="T79" s="192" t="n"/>
      <c r="U79" s="192" t="n"/>
      <c r="V79" s="192" t="n"/>
      <c r="W79" s="192" t="n"/>
      <c r="X79" s="192" t="n"/>
      <c r="Y79" s="192" t="n"/>
      <c r="Z79" s="192" t="n"/>
      <c r="AA79" s="192" t="n"/>
      <c r="AB79" s="192" t="n"/>
      <c r="AC79" s="90" t="n"/>
      <c r="AD79" s="90" t="n"/>
      <c r="AE79" s="90" t="n"/>
      <c r="AF79" s="90" t="n"/>
      <c r="AG79" s="90" t="n"/>
      <c r="AH79" s="91" t="n"/>
      <c r="AI79" s="26" t="n"/>
      <c r="AJ79" s="26" t="n"/>
      <c r="AK79" s="26" t="n"/>
    </row>
    <row r="80" ht="15.75" customHeight="1" thickTop="1">
      <c r="A80" s="61" t="n"/>
      <c r="B80" s="61" t="n"/>
      <c r="C80" s="61" t="n"/>
      <c r="D80" s="61" t="n"/>
      <c r="E80" s="61" t="n"/>
      <c r="F80" s="61" t="n"/>
      <c r="G80" s="61" t="n"/>
      <c r="H80" s="61" t="n"/>
      <c r="I80" s="61" t="n"/>
      <c r="J80" s="61" t="n"/>
      <c r="K80" s="36" t="n"/>
      <c r="L80" s="36" t="n"/>
      <c r="M80" s="195">
        <f>IFERROR(IF(AND(H79/G79&gt;1000,H79/G79&lt;=5000),"","Section 2.4 - Le nombre total de pages ""Pages communiquées"" divisé par le ""Nombre de demandes"" dans ""De 1 001 à 5 000 pages communiquées"" doit être compris entre 1 0001 et 5 000."),"")</f>
        <v/>
      </c>
      <c r="N80" s="36" t="n"/>
      <c r="O80" s="36" t="n"/>
      <c r="P80" s="36" t="n"/>
      <c r="Q80" s="36" t="n"/>
      <c r="R80" s="36" t="n"/>
      <c r="S80" s="36" t="n"/>
      <c r="T80" s="36" t="n"/>
      <c r="U80" s="36" t="n"/>
      <c r="V80" s="88" t="n"/>
      <c r="W80" s="88" t="n"/>
      <c r="X80" s="88" t="n"/>
      <c r="Y80" s="88" t="n"/>
      <c r="Z80" s="88" t="n"/>
      <c r="AA80" s="88" t="n"/>
      <c r="AB80" s="88" t="n"/>
      <c r="AC80" s="88" t="n"/>
      <c r="AD80" s="88" t="n"/>
      <c r="AE80" s="88" t="n"/>
      <c r="AF80" s="88" t="n"/>
      <c r="AG80" s="88" t="n"/>
      <c r="AH80" s="26" t="n"/>
      <c r="AI80" s="26" t="n"/>
      <c r="AJ80" s="26" t="n"/>
      <c r="AK80" s="26" t="n"/>
    </row>
    <row r="81">
      <c r="A81" s="932" t="inlineStr">
        <is>
          <t>2.5 Pages recommuniquées informellement</t>
        </is>
      </c>
      <c r="M81" s="194">
        <f>IFERROR(IF(J79/I79&lt;=5000,"Section 2.4 - Le nombre total de pages ""Pages communiquées"" divisé par le ""Nombre de demandes"" dans ""Plus de 5 000 pages communiquées"" doit être supérieur à 5 000.",""),"")</f>
        <v/>
      </c>
      <c r="N81" s="88" t="n"/>
      <c r="O81" s="88" t="n"/>
      <c r="P81" s="88" t="n"/>
      <c r="Q81" s="88" t="n"/>
      <c r="R81" s="88" t="n"/>
      <c r="S81" s="88" t="n"/>
      <c r="T81" s="88" t="n"/>
      <c r="U81" s="88" t="n"/>
      <c r="V81" s="88" t="n"/>
      <c r="W81" s="88" t="n"/>
      <c r="X81" s="88" t="n"/>
      <c r="Y81" s="88" t="n"/>
      <c r="Z81" s="88" t="n"/>
      <c r="AA81" s="88" t="n"/>
      <c r="AB81" s="88" t="n"/>
      <c r="AC81" s="88" t="n"/>
      <c r="AD81" s="88" t="n"/>
      <c r="AE81" s="88" t="n"/>
      <c r="AF81" s="88" t="n"/>
      <c r="AG81" s="88" t="n"/>
      <c r="AH81" s="26" t="n"/>
      <c r="AI81" s="26" t="n"/>
      <c r="AJ81" s="26" t="n"/>
      <c r="AK81" s="26" t="n"/>
    </row>
    <row r="82" ht="15.75" customHeight="1" thickBot="1">
      <c r="A82" s="61" t="n"/>
      <c r="B82" s="61" t="n"/>
      <c r="C82" s="61" t="n"/>
      <c r="D82" s="61" t="n"/>
      <c r="E82" s="61" t="n"/>
      <c r="F82" s="61" t="n"/>
      <c r="G82" s="61" t="n"/>
      <c r="H82" s="61" t="n"/>
      <c r="I82" s="61" t="n"/>
      <c r="J82" s="61" t="n"/>
      <c r="M82" s="194">
        <f>IFERROR(IF(B85/A85&gt;99,"Section 2.5 - Le nombre total de pages ""Pages recommuniquées"" divisé par le ""Nombre de demandes"" dans ""Moins de 100 pages recommuniquées"" doit être égal ou inférieur à 99.",""),"")</f>
        <v/>
      </c>
      <c r="N82" s="88" t="n"/>
      <c r="O82" s="88" t="n"/>
      <c r="P82" s="88" t="n"/>
      <c r="Q82" s="88" t="n"/>
      <c r="R82" s="88" t="n"/>
      <c r="S82" s="88" t="n"/>
      <c r="T82" s="88" t="n"/>
      <c r="U82" s="88" t="n"/>
      <c r="V82" s="88" t="n"/>
      <c r="W82" s="88" t="n"/>
      <c r="X82" s="88" t="n"/>
      <c r="Y82" s="88" t="n"/>
      <c r="Z82" s="88" t="n"/>
      <c r="AA82" s="88" t="n"/>
      <c r="AB82" s="88" t="n"/>
      <c r="AC82" s="88" t="n"/>
      <c r="AD82" s="88" t="n"/>
      <c r="AE82" s="88" t="n"/>
      <c r="AF82" s="88" t="n"/>
      <c r="AG82" s="88" t="n"/>
      <c r="AH82" s="26" t="n"/>
      <c r="AI82" s="26" t="n"/>
      <c r="AJ82" s="26" t="n"/>
      <c r="AK82" s="26" t="n"/>
    </row>
    <row r="83" ht="40.5" customHeight="1" thickTop="1">
      <c r="A83" s="568" t="inlineStr">
        <is>
          <t>Moins de 100 pages recommuniquées</t>
        </is>
      </c>
      <c r="B83" s="1406" t="n"/>
      <c r="C83" s="1416" t="inlineStr">
        <is>
          <t>De 100 à 500 pages recommuniquées</t>
        </is>
      </c>
      <c r="D83" s="1378" t="n"/>
      <c r="E83" s="568" t="inlineStr">
        <is>
          <t>De 501 à 1 000 pages recommuniquées</t>
        </is>
      </c>
      <c r="F83" s="1406" t="n"/>
      <c r="G83" s="442" t="inlineStr">
        <is>
          <t>De 1 001 à 5 000 pages recommuniquées</t>
        </is>
      </c>
      <c r="H83" s="1406" t="n"/>
      <c r="I83" s="568" t="inlineStr">
        <is>
          <t>Plus de 5 000 pages recommuniquées</t>
        </is>
      </c>
      <c r="J83" s="1406" t="n"/>
      <c r="M83" s="194">
        <f>IFERROR(IF(AND(D85/C85&gt;=100,D85/C85&lt;=500),"","Section 2.5 - Le nombre total de pages ""Pages recommuniquées"" divisé par le ""Nombre de demandes"" dans ""De 100 à 500 pages recommuniquées"" doit être compris entre 100 et 500."),"")</f>
        <v/>
      </c>
      <c r="N83" s="88" t="n"/>
      <c r="O83" s="88" t="n"/>
      <c r="P83" s="88" t="n"/>
      <c r="Q83" s="88" t="n"/>
      <c r="R83" s="88" t="n"/>
      <c r="S83" s="88" t="n"/>
      <c r="T83" s="88" t="n"/>
      <c r="U83" s="88" t="n"/>
      <c r="V83" s="88" t="n"/>
      <c r="W83" s="88" t="n"/>
      <c r="X83" s="88" t="n"/>
      <c r="Y83" s="88" t="n"/>
      <c r="Z83" s="88" t="n"/>
      <c r="AA83" s="88" t="n"/>
      <c r="AB83" s="88" t="n"/>
      <c r="AC83" s="88" t="n"/>
      <c r="AD83" s="88" t="n"/>
      <c r="AE83" s="88" t="n"/>
      <c r="AF83" s="88" t="n"/>
      <c r="AG83" s="88" t="n"/>
      <c r="AH83" s="26" t="n"/>
      <c r="AI83" s="26" t="n"/>
      <c r="AJ83" s="26" t="n"/>
      <c r="AK83" s="26" t="n"/>
    </row>
    <row r="84" ht="48" customHeight="1" thickBot="1">
      <c r="A84" s="146" t="inlineStr">
        <is>
          <t>Nombre de demandes</t>
        </is>
      </c>
      <c r="B84" s="1199" t="inlineStr">
        <is>
          <t>Pages recommuniquées</t>
        </is>
      </c>
      <c r="C84" s="146" t="inlineStr">
        <is>
          <t>Nombre de demandes</t>
        </is>
      </c>
      <c r="D84" s="1199" t="inlineStr">
        <is>
          <t>Pages recommuniquées</t>
        </is>
      </c>
      <c r="E84" s="146" t="inlineStr">
        <is>
          <t>Nombre de demandes</t>
        </is>
      </c>
      <c r="F84" s="1199" t="inlineStr">
        <is>
          <t>Pages recommuniquées</t>
        </is>
      </c>
      <c r="G84" s="146" t="inlineStr">
        <is>
          <t>Nombre de demandes</t>
        </is>
      </c>
      <c r="H84" s="1199" t="inlineStr">
        <is>
          <t>Pages recommuniquées</t>
        </is>
      </c>
      <c r="I84" s="146" t="inlineStr">
        <is>
          <t>Nombre de demandes</t>
        </is>
      </c>
      <c r="J84" s="1237" t="inlineStr">
        <is>
          <t>Pages recommuniquées</t>
        </is>
      </c>
      <c r="L84" s="112" t="n"/>
      <c r="M84" s="922" t="inlineStr">
        <is>
          <t>Section 2.5 - La somme des Colonnes "Nombre de demandes" doit être égale ou inférieur au montant "Fermées pendant la période d'établissement de rapport" de la Section 2.1</t>
        </is>
      </c>
      <c r="V84" s="90" t="n"/>
      <c r="W84" s="90" t="n"/>
      <c r="X84" s="90" t="n"/>
      <c r="Y84" s="90" t="n"/>
      <c r="Z84" s="90" t="n"/>
      <c r="AA84" s="90" t="n"/>
      <c r="AB84" s="90" t="n"/>
      <c r="AC84" s="90" t="n"/>
      <c r="AD84" s="90" t="n"/>
      <c r="AE84" s="90" t="n"/>
      <c r="AF84" s="90" t="n"/>
      <c r="AG84" s="90" t="n"/>
      <c r="AH84" s="91" t="n"/>
      <c r="AI84" s="26" t="n"/>
      <c r="AJ84" s="26" t="n"/>
      <c r="AK84" s="26" t="n"/>
    </row>
    <row r="85" ht="15.75" customHeight="1" thickBot="1" thickTop="1">
      <c r="A85" s="220" t="n">
        <v>664</v>
      </c>
      <c r="B85" s="1046" t="n">
        <v>14866</v>
      </c>
      <c r="C85" s="220" t="n">
        <v>227</v>
      </c>
      <c r="D85" s="1046" t="n">
        <v>48889</v>
      </c>
      <c r="E85" s="220" t="n">
        <v>67</v>
      </c>
      <c r="F85" s="221" t="n">
        <v>50296</v>
      </c>
      <c r="G85" s="1353" t="n">
        <v>46</v>
      </c>
      <c r="H85" s="1046" t="n">
        <v>83495</v>
      </c>
      <c r="I85" s="220" t="n">
        <v>7</v>
      </c>
      <c r="J85" s="221" t="n">
        <v>68024</v>
      </c>
      <c r="L85" s="36" t="n"/>
      <c r="M85" s="905" t="inlineStr">
        <is>
          <t>Section 2.5 - La somme des Colonnes "Nombre de demandes" des Sections 2.4 et 2.5 doit être égale au montant "Fermées pendant la période d'établissement de rapport" de la Section 2.1</t>
        </is>
      </c>
      <c r="V85" s="90" t="n"/>
      <c r="W85" s="90" t="n"/>
      <c r="X85" s="90" t="n"/>
      <c r="Y85" s="90" t="n"/>
      <c r="Z85" s="90" t="n"/>
      <c r="AA85" s="90" t="n"/>
      <c r="AB85" s="90" t="n"/>
      <c r="AC85" s="90" t="n"/>
      <c r="AD85" s="90" t="n"/>
      <c r="AE85" s="90" t="n"/>
      <c r="AF85" s="90" t="n"/>
      <c r="AG85" s="90" t="n"/>
      <c r="AH85" s="91" t="n"/>
      <c r="AI85" s="26" t="n"/>
      <c r="AJ85" s="26" t="n"/>
      <c r="AK85" s="26" t="n"/>
    </row>
    <row r="86" ht="14.25" customHeight="1" thickTop="1">
      <c r="K86" s="36" t="n"/>
      <c r="L86" s="36" t="n"/>
      <c r="V86" s="88" t="n"/>
      <c r="W86" s="88" t="n"/>
      <c r="X86" s="88" t="n"/>
      <c r="Y86" s="88" t="n"/>
      <c r="Z86" s="88" t="n"/>
      <c r="AA86" s="88" t="n"/>
      <c r="AB86" s="88" t="n"/>
      <c r="AC86" s="88" t="n"/>
      <c r="AD86" s="88" t="n"/>
      <c r="AE86" s="88" t="n"/>
      <c r="AF86" s="88" t="n"/>
      <c r="AG86" s="88" t="n"/>
      <c r="AH86" s="26" t="n"/>
      <c r="AI86" s="26" t="n"/>
      <c r="AJ86" s="26" t="n"/>
      <c r="AK86" s="26" t="n"/>
    </row>
    <row r="87" ht="14.25" customHeight="1">
      <c r="A87" s="838" t="inlineStr">
        <is>
          <t>Section 3 – Demandes à la Commissaire à l'information pour ne pas donner suite à la demande</t>
        </is>
      </c>
      <c r="M87" s="194">
        <f>IFERROR(IF(AND(F85/E85&gt;500,F85/E85&lt;=1000),"","Section 2.5 - Le nombre total de pages ""Pages recommuniquées"" divisé par le ""Nombre de demandes"" dans ""De 501 à 1 000 pages recommuniquées"" doit être compris entre 501 et 1 000."),"")</f>
        <v/>
      </c>
      <c r="N87" s="88" t="n"/>
      <c r="O87" s="88" t="n"/>
      <c r="P87" s="88" t="n"/>
      <c r="Q87" s="88" t="n"/>
      <c r="R87" s="88" t="n"/>
      <c r="S87" s="88" t="n"/>
      <c r="T87" s="88" t="n"/>
      <c r="U87" s="88" t="n"/>
      <c r="V87" s="88" t="n"/>
      <c r="W87" s="88" t="n"/>
      <c r="X87" s="88" t="n"/>
      <c r="Y87" s="88" t="n"/>
      <c r="Z87" s="88" t="n"/>
      <c r="AA87" s="88" t="n"/>
      <c r="AB87" s="88" t="n"/>
      <c r="AC87" s="88" t="n"/>
      <c r="AD87" s="88" t="n"/>
      <c r="AE87" s="88" t="n"/>
      <c r="AF87" s="88" t="n"/>
      <c r="AG87" s="88" t="n"/>
      <c r="AH87" s="26" t="n"/>
      <c r="AI87" s="26" t="n"/>
      <c r="AJ87" s="26" t="n"/>
      <c r="AK87" s="26" t="n"/>
    </row>
    <row r="88" ht="14.25" customHeight="1" thickBot="1">
      <c r="A88" s="94" t="n"/>
      <c r="B88" s="94" t="n"/>
      <c r="C88" s="94" t="n"/>
      <c r="D88" s="94" t="n"/>
      <c r="E88" s="94" t="n"/>
      <c r="F88" s="94" t="n"/>
      <c r="G88" s="94" t="n"/>
      <c r="H88" s="94" t="n"/>
      <c r="I88" s="94" t="n"/>
      <c r="J88" s="94" t="n"/>
      <c r="K88" s="94" t="n"/>
      <c r="M88" s="194">
        <f>IFERROR(IF(AND(H85/G85&gt;1000,H85/G85&lt;=5000),"","Section 2.5 - Le nombre total de pages ""Pages recommuniquées"" divisé par le ""Nombre de demandes"" dans ""De 1 001 à 5 000 pages recommuniquées"" doit être compris entre 1 0001 et 5 000."),"")</f>
        <v/>
      </c>
      <c r="N88" s="88" t="n"/>
      <c r="O88" s="88" t="n"/>
      <c r="P88" s="88" t="n"/>
      <c r="Q88" s="88" t="n"/>
      <c r="R88" s="88" t="n"/>
      <c r="S88" s="88" t="n"/>
      <c r="T88" s="88" t="n"/>
      <c r="U88" s="88" t="n"/>
      <c r="V88" s="88" t="n"/>
      <c r="W88" s="88" t="n"/>
      <c r="X88" s="88" t="n"/>
      <c r="Y88" s="88" t="n"/>
      <c r="Z88" s="88" t="n"/>
      <c r="AA88" s="88" t="n"/>
      <c r="AB88" s="88" t="n"/>
      <c r="AC88" s="88" t="n"/>
      <c r="AD88" s="88" t="n"/>
      <c r="AE88" s="88" t="n"/>
      <c r="AF88" s="88" t="n"/>
      <c r="AG88" s="88" t="n"/>
      <c r="AH88" s="26" t="n"/>
      <c r="AI88" s="26" t="n"/>
      <c r="AJ88" s="26" t="n"/>
      <c r="AK88" s="26" t="n"/>
    </row>
    <row r="89" ht="14.25" customHeight="1" thickBot="1" thickTop="1">
      <c r="A89" s="32" t="n"/>
      <c r="B89" s="32" t="n"/>
      <c r="C89" s="32" t="n"/>
      <c r="D89" s="32" t="n"/>
      <c r="E89" s="32" t="n"/>
      <c r="F89" s="32" t="n"/>
      <c r="H89" s="1417" t="inlineStr">
        <is>
          <t>Nombre de demandes</t>
        </is>
      </c>
      <c r="I89" s="1412" t="n"/>
      <c r="J89" s="1412" t="n"/>
      <c r="K89" s="1413" t="n"/>
      <c r="M89" s="194">
        <f>IFERROR(IF(J85/I85&lt;=5000,"Section 2.5 - Le nombre total de pages ""Pages recommuniquées"" divisé par le ""Nombre de demandes"" dans ""Plus de 5 000 pages recommuniquées"" doit être supérieur à 5 000.",""),"")</f>
        <v/>
      </c>
      <c r="N89" s="88" t="n"/>
      <c r="O89" s="88" t="n"/>
      <c r="P89" s="88" t="n"/>
      <c r="Q89" s="88" t="n"/>
      <c r="R89" s="88" t="n"/>
      <c r="S89" s="88" t="n"/>
      <c r="T89" s="88" t="n"/>
      <c r="U89" s="88" t="n"/>
      <c r="V89" s="88" t="n"/>
      <c r="W89" s="88" t="n"/>
      <c r="X89" s="88" t="n"/>
      <c r="Y89" s="88" t="n"/>
      <c r="Z89" s="88" t="n"/>
      <c r="AA89" s="88" t="n"/>
      <c r="AB89" s="88" t="n"/>
      <c r="AC89" s="88" t="n"/>
      <c r="AD89" s="88" t="n"/>
      <c r="AE89" s="88" t="n"/>
      <c r="AF89" s="88" t="n"/>
      <c r="AG89" s="88" t="n"/>
      <c r="AH89" s="26" t="n"/>
      <c r="AI89" s="26" t="n"/>
      <c r="AJ89" s="26" t="n"/>
      <c r="AK89" s="26" t="n"/>
    </row>
    <row r="90" ht="14.25" customHeight="1" thickTop="1">
      <c r="A90" s="962" t="inlineStr">
        <is>
          <t>En suspens depuis la période d’établissement de rapports précédente</t>
        </is>
      </c>
      <c r="B90" s="1377" t="n"/>
      <c r="C90" s="1377" t="n"/>
      <c r="D90" s="1377" t="n"/>
      <c r="E90" s="1377" t="n"/>
      <c r="F90" s="1377" t="n"/>
      <c r="G90" s="1406" t="n"/>
      <c r="H90" s="1096" t="n">
        <v>0</v>
      </c>
      <c r="I90" s="1379" t="n"/>
      <c r="J90" s="1379" t="n"/>
      <c r="K90" s="1380" t="n"/>
      <c r="M90" s="88" t="n"/>
      <c r="N90" s="88" t="n"/>
      <c r="O90" s="88" t="n"/>
      <c r="P90" s="88" t="n"/>
      <c r="Q90" s="88" t="n"/>
      <c r="R90" s="88" t="n"/>
      <c r="S90" s="88" t="n"/>
      <c r="T90" s="88" t="n"/>
      <c r="U90" s="88" t="n"/>
      <c r="V90" s="88" t="n"/>
      <c r="W90" s="88" t="n"/>
      <c r="X90" s="88" t="n"/>
      <c r="Y90" s="88" t="n"/>
      <c r="Z90" s="88" t="n"/>
      <c r="AA90" s="88" t="n"/>
      <c r="AB90" s="88" t="n"/>
      <c r="AC90" s="88" t="n"/>
      <c r="AD90" s="88" t="n"/>
      <c r="AE90" s="88" t="n"/>
      <c r="AF90" s="88" t="n"/>
      <c r="AG90" s="88" t="n"/>
      <c r="AH90" s="26" t="n"/>
      <c r="AI90" s="26" t="n"/>
      <c r="AJ90" s="26" t="n"/>
      <c r="AK90" s="26" t="n"/>
    </row>
    <row r="91" ht="14.25" customHeight="1" thickBot="1">
      <c r="A91" s="563" t="inlineStr">
        <is>
          <t>Envoyées pendant la période d’établissement de rapports</t>
        </is>
      </c>
      <c r="B91" s="1385" t="n"/>
      <c r="C91" s="1385" t="n"/>
      <c r="D91" s="1385" t="n"/>
      <c r="E91" s="1385" t="n"/>
      <c r="F91" s="1385" t="n"/>
      <c r="G91" s="1402" t="n"/>
      <c r="H91" s="1276" t="n">
        <v>0</v>
      </c>
      <c r="I91" s="1408" t="n"/>
      <c r="J91" s="1408" t="n"/>
      <c r="K91" s="1418" t="n"/>
      <c r="M91" s="88" t="n"/>
      <c r="N91" s="88" t="n"/>
      <c r="O91" s="88" t="n"/>
      <c r="P91" s="88" t="n"/>
      <c r="Q91" s="88" t="n"/>
      <c r="R91" s="88" t="n"/>
      <c r="S91" s="88" t="n"/>
      <c r="T91" s="88" t="n"/>
      <c r="U91" s="88" t="n"/>
      <c r="V91" s="88" t="n"/>
      <c r="W91" s="88" t="n"/>
      <c r="X91" s="88" t="n"/>
      <c r="Y91" s="88" t="n"/>
      <c r="Z91" s="88" t="n"/>
      <c r="AA91" s="88" t="n"/>
      <c r="AB91" s="88" t="n"/>
      <c r="AC91" s="88" t="n"/>
      <c r="AD91" s="88" t="n"/>
      <c r="AE91" s="88" t="n"/>
      <c r="AF91" s="88" t="n"/>
      <c r="AG91" s="88" t="n"/>
      <c r="AH91" s="26" t="n"/>
      <c r="AI91" s="26" t="n"/>
      <c r="AJ91" s="26" t="n"/>
      <c r="AK91" s="26" t="n"/>
    </row>
    <row r="92" ht="14.25" customHeight="1" thickBot="1" thickTop="1">
      <c r="A92" s="465" t="inlineStr">
        <is>
          <t>Total</t>
        </is>
      </c>
      <c r="B92" s="1374" t="n"/>
      <c r="C92" s="1374" t="n"/>
      <c r="D92" s="1374" t="n"/>
      <c r="E92" s="1374" t="n"/>
      <c r="F92" s="1374" t="n"/>
      <c r="G92" s="1405" t="n"/>
      <c r="H92" s="1419">
        <f>SUM(H90:K91)</f>
        <v/>
      </c>
      <c r="I92" s="1374" t="n"/>
      <c r="J92" s="1374" t="n"/>
      <c r="K92" s="1375" t="n"/>
      <c r="M92" s="88" t="n"/>
      <c r="N92" s="88" t="n"/>
      <c r="O92" s="88" t="n"/>
      <c r="P92" s="88" t="n"/>
      <c r="Q92" s="88" t="n"/>
      <c r="R92" s="88" t="n"/>
      <c r="S92" s="88" t="n"/>
      <c r="T92" s="88" t="n"/>
      <c r="U92" s="88" t="n"/>
      <c r="V92" s="88" t="n"/>
      <c r="W92" s="88" t="n"/>
      <c r="X92" s="88" t="n"/>
      <c r="Y92" s="88" t="n"/>
      <c r="Z92" s="88" t="n"/>
      <c r="AA92" s="88" t="n"/>
      <c r="AB92" s="88" t="n"/>
      <c r="AC92" s="88" t="n"/>
      <c r="AD92" s="88" t="n"/>
      <c r="AE92" s="88" t="n"/>
      <c r="AF92" s="88" t="n"/>
      <c r="AG92" s="88" t="n"/>
      <c r="AH92" s="26" t="n"/>
      <c r="AI92" s="26" t="n"/>
      <c r="AJ92" s="26" t="n"/>
      <c r="AK92" s="26" t="n"/>
    </row>
    <row r="93" ht="27" customHeight="1" thickTop="1">
      <c r="A93" s="468" t="inlineStr">
        <is>
          <t>Approuvées par la Commissaire à l’information pendant la période d’établissement de rapports</t>
        </is>
      </c>
      <c r="B93" s="1372" t="n"/>
      <c r="C93" s="1372" t="n"/>
      <c r="D93" s="1372" t="n"/>
      <c r="E93" s="1372" t="n"/>
      <c r="F93" s="1372" t="n"/>
      <c r="G93" s="1398" t="n"/>
      <c r="H93" s="1096" t="n">
        <v>0</v>
      </c>
      <c r="I93" s="1379" t="n"/>
      <c r="J93" s="1379" t="n"/>
      <c r="K93" s="1380" t="n"/>
      <c r="M93" s="88" t="n"/>
      <c r="N93" s="88" t="n"/>
      <c r="O93" s="88" t="n"/>
      <c r="P93" s="88" t="n"/>
      <c r="Q93" s="88" t="n"/>
      <c r="R93" s="88" t="n"/>
      <c r="S93" s="88" t="n"/>
      <c r="T93" s="88" t="n"/>
      <c r="U93" s="88" t="n"/>
      <c r="V93" s="88" t="n"/>
      <c r="W93" s="88" t="n"/>
      <c r="X93" s="88" t="n"/>
      <c r="Y93" s="88" t="n"/>
      <c r="Z93" s="88" t="n"/>
      <c r="AA93" s="88" t="n"/>
      <c r="AB93" s="88" t="n"/>
      <c r="AC93" s="88" t="n"/>
      <c r="AD93" s="88" t="n"/>
      <c r="AE93" s="88" t="n"/>
      <c r="AF93" s="88" t="n"/>
      <c r="AG93" s="88" t="n"/>
      <c r="AH93" s="26" t="n"/>
      <c r="AI93" s="26" t="n"/>
      <c r="AJ93" s="26" t="n"/>
      <c r="AK93" s="26" t="n"/>
    </row>
    <row r="94" ht="25.5" customHeight="1">
      <c r="A94" s="471" t="inlineStr">
        <is>
          <t>Refusées par la Commissaire à l’information au cours de la période d’établissement de rapports</t>
        </is>
      </c>
      <c r="B94" s="1381" t="n"/>
      <c r="C94" s="1381" t="n"/>
      <c r="D94" s="1381" t="n"/>
      <c r="E94" s="1381" t="n"/>
      <c r="F94" s="1381" t="n"/>
      <c r="G94" s="1384" t="n"/>
      <c r="H94" s="1420" t="n">
        <v>0</v>
      </c>
      <c r="I94" s="1400" t="n"/>
      <c r="J94" s="1400" t="n"/>
      <c r="K94" s="1421" t="n"/>
      <c r="M94" s="88" t="n"/>
      <c r="N94" s="88" t="n"/>
      <c r="O94" s="88" t="n"/>
      <c r="P94" s="88" t="n"/>
      <c r="Q94" s="88" t="n"/>
      <c r="R94" s="88" t="n"/>
      <c r="S94" s="88" t="n"/>
      <c r="T94" s="88" t="n"/>
      <c r="U94" s="88" t="n"/>
      <c r="V94" s="88" t="n"/>
      <c r="W94" s="88" t="n"/>
      <c r="X94" s="88" t="n"/>
      <c r="Y94" s="88" t="n"/>
      <c r="Z94" s="88" t="n"/>
      <c r="AA94" s="88" t="n"/>
      <c r="AB94" s="88" t="n"/>
      <c r="AC94" s="88" t="n"/>
      <c r="AD94" s="88" t="n"/>
      <c r="AE94" s="88" t="n"/>
      <c r="AF94" s="88" t="n"/>
      <c r="AG94" s="88" t="n"/>
      <c r="AH94" s="26" t="n"/>
      <c r="AI94" s="26" t="n"/>
      <c r="AJ94" s="26" t="n"/>
      <c r="AK94" s="26" t="n"/>
    </row>
    <row r="95" ht="14.25" customHeight="1">
      <c r="A95" s="471" t="inlineStr">
        <is>
          <t>Retirées pendant la période d'établissement de rapports</t>
        </is>
      </c>
      <c r="B95" s="1381" t="n"/>
      <c r="C95" s="1381" t="n"/>
      <c r="D95" s="1381" t="n"/>
      <c r="E95" s="1381" t="n"/>
      <c r="F95" s="1381" t="n"/>
      <c r="G95" s="1384" t="n"/>
      <c r="H95" s="1420" t="n">
        <v>0</v>
      </c>
      <c r="I95" s="1400" t="n"/>
      <c r="J95" s="1400" t="n"/>
      <c r="K95" s="1421" t="n"/>
      <c r="L95" s="736">
        <f>IF(SUM(H93:K96)-H92&lt;&gt;0,"Section 3 - Le montant ""Reportées à la prochaine période"" doit être égal au ""Total"" moins ""Approuvées par la Commissaire"" moins ""Refusées par la Commissaire "" moins ""Retirées pendant la période"" de la Section 3","")</f>
        <v/>
      </c>
      <c r="AA95" s="88" t="n"/>
      <c r="AB95" s="88" t="n"/>
      <c r="AC95" s="88" t="n"/>
      <c r="AD95" s="88" t="n"/>
      <c r="AE95" s="88" t="n"/>
      <c r="AF95" s="88" t="n"/>
      <c r="AG95" s="88" t="n"/>
      <c r="AH95" s="26" t="n"/>
      <c r="AI95" s="26" t="n"/>
      <c r="AJ95" s="26" t="n"/>
      <c r="AK95" s="26" t="n"/>
    </row>
    <row r="96" ht="14.25" customHeight="1" thickBot="1">
      <c r="A96" s="477" t="inlineStr">
        <is>
          <t>Reportées à la prochaine période d’établissement de rapports</t>
        </is>
      </c>
      <c r="B96" s="1388" t="n"/>
      <c r="C96" s="1388" t="n"/>
      <c r="D96" s="1388" t="n"/>
      <c r="E96" s="1388" t="n"/>
      <c r="F96" s="1388" t="n"/>
      <c r="G96" s="1396" t="n"/>
      <c r="H96" s="1422" t="n">
        <v>0</v>
      </c>
      <c r="I96" s="1408" t="n"/>
      <c r="J96" s="1408" t="n"/>
      <c r="K96" s="1418" t="n"/>
      <c r="AA96" s="88" t="n"/>
      <c r="AB96" s="88" t="n"/>
      <c r="AC96" s="88" t="n"/>
      <c r="AD96" s="88" t="n"/>
      <c r="AE96" s="88" t="n"/>
      <c r="AF96" s="88" t="n"/>
      <c r="AG96" s="88" t="n"/>
      <c r="AH96" s="26" t="n"/>
      <c r="AI96" s="26" t="n"/>
      <c r="AJ96" s="26" t="n"/>
      <c r="AK96" s="26" t="n"/>
    </row>
    <row r="97" ht="14.25" customHeight="1" thickTop="1">
      <c r="M97" s="88" t="n"/>
      <c r="N97" s="88" t="n"/>
      <c r="O97" s="88" t="n"/>
      <c r="P97" s="88" t="n"/>
      <c r="Q97" s="88" t="n"/>
      <c r="R97" s="88" t="n"/>
      <c r="S97" s="88" t="n"/>
      <c r="T97" s="88" t="n"/>
      <c r="U97" s="88" t="n"/>
      <c r="V97" s="88" t="n"/>
      <c r="W97" s="88" t="n"/>
      <c r="X97" s="88" t="n"/>
      <c r="Y97" s="88" t="n"/>
      <c r="Z97" s="88" t="n"/>
      <c r="AA97" s="88" t="n"/>
      <c r="AB97" s="88" t="n"/>
      <c r="AC97" s="88" t="n"/>
      <c r="AD97" s="88" t="n"/>
      <c r="AE97" s="88" t="n"/>
      <c r="AF97" s="88" t="n"/>
      <c r="AG97" s="88" t="n"/>
      <c r="AH97" s="26" t="n"/>
      <c r="AI97" s="26" t="n"/>
      <c r="AJ97" s="26" t="n"/>
      <c r="AK97" s="26" t="n"/>
    </row>
    <row r="98" ht="15.75" customHeight="1">
      <c r="A98" s="631" t="inlineStr">
        <is>
          <t>Section 4 – Demandes fermées pendant la période d'établissement de rapports</t>
        </is>
      </c>
      <c r="M98" s="88" t="n"/>
      <c r="N98" s="88" t="n"/>
      <c r="O98" s="88" t="n"/>
      <c r="P98" s="88" t="n"/>
      <c r="Q98" s="88" t="n"/>
      <c r="R98" s="88" t="n"/>
      <c r="S98" s="88" t="n"/>
      <c r="T98" s="88" t="n"/>
      <c r="U98" s="88" t="n"/>
      <c r="V98" s="88" t="n"/>
      <c r="W98" s="88" t="n"/>
      <c r="X98" s="88" t="n"/>
      <c r="Y98" s="88" t="n"/>
      <c r="Z98" s="88" t="n"/>
      <c r="AA98" s="88" t="n"/>
      <c r="AB98" s="88" t="n"/>
      <c r="AC98" s="88" t="n"/>
      <c r="AD98" s="88" t="n"/>
      <c r="AE98" s="88" t="n"/>
      <c r="AF98" s="88" t="n"/>
      <c r="AG98" s="88" t="n"/>
      <c r="AH98" s="26" t="n"/>
      <c r="AI98" s="26" t="n"/>
      <c r="AJ98" s="26" t="n"/>
      <c r="AK98" s="26" t="n"/>
    </row>
    <row r="99" ht="7.5" customHeight="1">
      <c r="M99" s="88" t="n"/>
      <c r="N99" s="88" t="n"/>
      <c r="O99" s="88" t="n"/>
      <c r="P99" s="88" t="n"/>
      <c r="Q99" s="88" t="n"/>
      <c r="R99" s="88" t="n"/>
      <c r="S99" s="88" t="n"/>
      <c r="T99" s="88" t="n"/>
      <c r="U99" s="88" t="n"/>
      <c r="V99" s="88" t="n"/>
      <c r="W99" s="88" t="n"/>
      <c r="X99" s="88" t="n"/>
      <c r="Y99" s="88" t="n"/>
      <c r="Z99" s="88" t="n"/>
      <c r="AA99" s="88" t="n"/>
      <c r="AB99" s="88" t="n"/>
      <c r="AC99" s="88" t="n"/>
      <c r="AD99" s="88" t="n"/>
      <c r="AE99" s="88" t="n"/>
      <c r="AF99" s="88" t="n"/>
      <c r="AG99" s="88" t="n"/>
      <c r="AH99" s="26" t="n"/>
      <c r="AI99" s="26" t="n"/>
      <c r="AJ99" s="26" t="n"/>
      <c r="AK99" s="26" t="n"/>
    </row>
    <row r="100">
      <c r="A100" s="323" t="inlineStr">
        <is>
          <t>4.1 Disposition et délai de traitement</t>
        </is>
      </c>
      <c r="M100" s="194">
        <f>IF(L105&gt;SUM(C118:C135,F118:F133,I118:I131,L118:L130,C140:D145,G140:H146,K140:L146),"Le nombre total de demandes indiqué dans ""Communication partielle"" doit être égal ou inférieur au nombre total de demandes indiqué aux tableaux 4.2 et 4.3.","")</f>
        <v/>
      </c>
      <c r="N100" s="88" t="n"/>
      <c r="O100" s="88" t="n"/>
      <c r="P100" s="88" t="n"/>
      <c r="Q100" s="88" t="n"/>
      <c r="R100" s="88" t="n"/>
      <c r="S100" s="88" t="n"/>
      <c r="T100" s="88" t="n"/>
      <c r="U100" s="88" t="n"/>
      <c r="V100" s="88" t="n"/>
      <c r="W100" s="88" t="n"/>
      <c r="X100" s="88" t="n"/>
      <c r="Y100" s="88" t="n"/>
      <c r="Z100" s="88" t="n"/>
      <c r="AA100" s="88" t="n"/>
      <c r="AB100" s="88" t="n"/>
      <c r="AC100" s="88" t="n"/>
      <c r="AD100" s="88" t="n"/>
      <c r="AE100" s="88" t="n"/>
      <c r="AF100" s="88" t="n"/>
      <c r="AG100" s="88" t="n"/>
      <c r="AH100" s="26" t="n"/>
      <c r="AI100" s="26" t="n"/>
      <c r="AJ100" s="26" t="n"/>
      <c r="AK100" s="26" t="n"/>
    </row>
    <row r="101" ht="15.75" customHeight="1" thickBot="1">
      <c r="M101" s="194">
        <f>IF(L106&gt;SUM(C118:C135,F118:F133,I118:I131,L118:L130),"Le nombre total de demandes indiqué dans ""Exception totale"" doit être égal ou inférieur au nombre total de demandes indiqué au tableau 4.2.","")</f>
        <v/>
      </c>
      <c r="N101" s="88" t="n"/>
      <c r="O101" s="88" t="n"/>
      <c r="P101" s="88" t="n"/>
      <c r="Q101" s="88" t="n"/>
      <c r="R101" s="88" t="n"/>
      <c r="S101" s="88" t="n"/>
      <c r="T101" s="88" t="n"/>
      <c r="U101" s="88" t="n"/>
      <c r="V101" s="88" t="n"/>
      <c r="W101" s="88" t="n"/>
      <c r="X101" s="88" t="n"/>
      <c r="Y101" s="88" t="n"/>
      <c r="Z101" s="88" t="n"/>
      <c r="AA101" s="88" t="n"/>
      <c r="AB101" s="88" t="n"/>
      <c r="AC101" s="88" t="n"/>
      <c r="AD101" s="88" t="n"/>
      <c r="AE101" s="88" t="n"/>
      <c r="AF101" s="88" t="n"/>
      <c r="AG101" s="88" t="n"/>
      <c r="AH101" s="26" t="n"/>
      <c r="AI101" s="26" t="n"/>
      <c r="AJ101" s="26" t="n"/>
      <c r="AK101" s="26" t="n"/>
    </row>
    <row r="102" ht="14.25" customHeight="1" thickTop="1">
      <c r="A102" s="480" t="inlineStr">
        <is>
          <t>Disposition des demandes</t>
        </is>
      </c>
      <c r="B102" s="1412" t="n"/>
      <c r="C102" s="1412" t="n"/>
      <c r="D102" s="1423" t="n"/>
      <c r="E102" s="1424" t="inlineStr">
        <is>
          <t>Délai de traitement</t>
        </is>
      </c>
      <c r="F102" s="1377" t="n"/>
      <c r="G102" s="1377" t="n"/>
      <c r="H102" s="1377" t="n"/>
      <c r="I102" s="1377" t="n"/>
      <c r="J102" s="1377" t="n"/>
      <c r="K102" s="1377" t="n"/>
      <c r="L102" s="1378" t="n"/>
      <c r="M102" s="194">
        <f>IF(L107&gt;SUM(C140:D145,G140:H146,K140:L146),"Le nombre total de demandes indiqué dans ""Exclusion totale"" doit être égal ou inférieur au nombre total de demandes indiqué au tableau 4.3. ","")</f>
        <v/>
      </c>
      <c r="N102" s="88" t="n"/>
      <c r="O102" s="88" t="n"/>
      <c r="P102" s="88" t="n"/>
      <c r="Q102" s="88" t="n"/>
      <c r="R102" s="88" t="n"/>
      <c r="S102" s="88" t="n"/>
      <c r="T102" s="88" t="n"/>
      <c r="U102" s="88" t="n"/>
      <c r="V102" s="88" t="n"/>
      <c r="W102" s="88" t="n"/>
      <c r="X102" s="88" t="n"/>
      <c r="Y102" s="88" t="n"/>
      <c r="Z102" s="88" t="n"/>
      <c r="AA102" s="88" t="n"/>
      <c r="AB102" s="88" t="n"/>
      <c r="AC102" s="88" t="n"/>
      <c r="AD102" s="88" t="n"/>
      <c r="AE102" s="88" t="n"/>
      <c r="AF102" s="88" t="n"/>
      <c r="AG102" s="88" t="n"/>
      <c r="AH102" s="26" t="n"/>
      <c r="AI102" s="26" t="n"/>
      <c r="AJ102" s="26" t="n"/>
      <c r="AK102" s="26" t="n"/>
    </row>
    <row r="103" ht="44.25" customHeight="1" thickBot="1">
      <c r="A103" s="1425" t="n"/>
      <c r="B103" s="1372" t="n"/>
      <c r="C103" s="1372" t="n"/>
      <c r="D103" s="1398" t="n"/>
      <c r="E103" s="250" t="inlineStr">
        <is>
          <t>0  à 15 jours</t>
        </is>
      </c>
      <c r="F103" s="217" t="inlineStr">
        <is>
          <t>16 à 30 jours</t>
        </is>
      </c>
      <c r="G103" s="217" t="inlineStr">
        <is>
          <t>31 à 60 jours</t>
        </is>
      </c>
      <c r="H103" s="217" t="inlineStr">
        <is>
          <t>61 à 120 jours</t>
        </is>
      </c>
      <c r="I103" s="217" t="inlineStr">
        <is>
          <t>121  à 180 jours</t>
        </is>
      </c>
      <c r="J103" s="217" t="inlineStr">
        <is>
          <t>181 à 365 jours</t>
        </is>
      </c>
      <c r="K103" s="235" t="inlineStr">
        <is>
          <t>Plus de 365 jours</t>
        </is>
      </c>
      <c r="L103" s="236" t="inlineStr">
        <is>
          <t>Total</t>
        </is>
      </c>
      <c r="M103" s="88" t="n"/>
      <c r="N103" s="88" t="n"/>
      <c r="O103" s="88" t="n"/>
      <c r="P103" s="88" t="n"/>
      <c r="Q103" s="88" t="n"/>
      <c r="R103" s="88" t="n"/>
      <c r="S103" s="88" t="n"/>
      <c r="T103" s="88" t="n"/>
      <c r="U103" s="88" t="n"/>
      <c r="X103" s="174" t="inlineStr">
        <is>
          <t>Nombre de demandes</t>
        </is>
      </c>
      <c r="Y103" s="174" t="inlineStr">
        <is>
          <t>Pages traitées</t>
        </is>
      </c>
      <c r="Z103" s="88" t="n"/>
      <c r="AA103" s="88" t="n"/>
      <c r="AB103" s="88" t="n"/>
      <c r="AC103" s="88" t="n"/>
      <c r="AD103" s="88" t="n"/>
      <c r="AE103" s="88" t="n"/>
      <c r="AF103" s="88" t="n"/>
      <c r="AG103" s="88" t="n"/>
      <c r="AH103" s="26" t="n"/>
      <c r="AI103" s="26" t="n"/>
      <c r="AJ103" s="26" t="n"/>
      <c r="AK103" s="26" t="n"/>
    </row>
    <row r="104" ht="15.75" customHeight="1" thickTop="1">
      <c r="A104" s="486" t="inlineStr">
        <is>
          <t>Communication totale</t>
        </is>
      </c>
      <c r="B104" s="1377" t="n"/>
      <c r="C104" s="1377" t="n"/>
      <c r="D104" s="1406" t="n"/>
      <c r="E104" s="929" t="n">
        <v>2</v>
      </c>
      <c r="F104" s="930" t="n">
        <v>15</v>
      </c>
      <c r="G104" s="930" t="n">
        <v>21</v>
      </c>
      <c r="H104" s="930" t="n">
        <v>28</v>
      </c>
      <c r="I104" s="930" t="n">
        <v>17</v>
      </c>
      <c r="J104" s="930" t="n">
        <v>32</v>
      </c>
      <c r="K104" s="931" t="n">
        <v>60</v>
      </c>
      <c r="L104" s="779">
        <f>SUM(E104:K104)</f>
        <v/>
      </c>
      <c r="N104" s="90" t="n"/>
      <c r="O104" s="90" t="n"/>
      <c r="P104" s="90" t="n"/>
      <c r="Q104" s="90" t="n"/>
      <c r="R104" s="90" t="n"/>
      <c r="S104" s="90" t="n"/>
      <c r="T104" s="90" t="n"/>
      <c r="U104" s="90" t="n"/>
      <c r="X104" s="175">
        <f>SUM(V166,Y184,AC202)</f>
        <v/>
      </c>
      <c r="Y104" s="175">
        <f>SUM(W166,Z184,AD202)</f>
        <v/>
      </c>
      <c r="Z104" s="90" t="n"/>
      <c r="AA104" s="90" t="n"/>
      <c r="AB104" s="90" t="n"/>
      <c r="AC104" s="90" t="n"/>
      <c r="AD104" s="90" t="n"/>
      <c r="AE104" s="90" t="n"/>
      <c r="AF104" s="90" t="n"/>
      <c r="AG104" s="90" t="n"/>
      <c r="AH104" s="91" t="n"/>
      <c r="AI104" s="26" t="n"/>
      <c r="AJ104" s="26" t="n"/>
      <c r="AK104" s="26" t="n"/>
    </row>
    <row r="105" ht="15" customHeight="1">
      <c r="A105" s="462" t="inlineStr">
        <is>
          <t>Communication partielle</t>
        </is>
      </c>
      <c r="B105" s="1381" t="n"/>
      <c r="C105" s="1381" t="n"/>
      <c r="D105" s="1384" t="n"/>
      <c r="E105" s="553" t="n">
        <v>175</v>
      </c>
      <c r="F105" s="503" t="n">
        <v>0</v>
      </c>
      <c r="G105" s="503" t="n">
        <v>19</v>
      </c>
      <c r="H105" s="503" t="n">
        <v>34</v>
      </c>
      <c r="I105" s="503" t="n">
        <v>76</v>
      </c>
      <c r="J105" s="503" t="n">
        <v>36</v>
      </c>
      <c r="K105" s="504" t="n">
        <v>97</v>
      </c>
      <c r="L105" s="261">
        <f>SUM(E105:K105)</f>
        <v/>
      </c>
      <c r="N105" s="90" t="n"/>
      <c r="O105" s="90" t="n"/>
      <c r="P105" s="90" t="n"/>
      <c r="Q105" s="90" t="n"/>
      <c r="R105" s="90" t="n"/>
      <c r="S105" s="90" t="n"/>
      <c r="T105" s="90" t="n"/>
      <c r="U105" s="90" t="n"/>
      <c r="X105" s="175">
        <f>SUM(V167,Y185,AC203)</f>
        <v/>
      </c>
      <c r="Y105" s="175">
        <f>SUM(W167,Z185,AD203)</f>
        <v/>
      </c>
      <c r="Z105" s="90" t="n"/>
      <c r="AA105" s="90" t="n"/>
      <c r="AB105" s="90" t="n"/>
      <c r="AC105" s="90" t="n"/>
      <c r="AD105" s="90" t="n"/>
      <c r="AE105" s="90" t="n"/>
      <c r="AF105" s="90" t="n"/>
      <c r="AG105" s="90" t="n"/>
      <c r="AH105" s="91" t="n"/>
      <c r="AI105" s="26" t="n"/>
      <c r="AJ105" s="26" t="n"/>
      <c r="AK105" s="26" t="n"/>
    </row>
    <row r="106" ht="15" customHeight="1">
      <c r="A106" s="462" t="inlineStr">
        <is>
          <t>Exception totale</t>
        </is>
      </c>
      <c r="B106" s="1381" t="n"/>
      <c r="C106" s="1381" t="n"/>
      <c r="D106" s="1384" t="n"/>
      <c r="E106" s="553" t="n">
        <v>323</v>
      </c>
      <c r="F106" s="503" t="n">
        <v>585</v>
      </c>
      <c r="G106" s="503" t="n">
        <v>0</v>
      </c>
      <c r="H106" s="503" t="n">
        <v>4</v>
      </c>
      <c r="I106" s="503" t="n">
        <v>3</v>
      </c>
      <c r="J106" s="503" t="n">
        <v>4</v>
      </c>
      <c r="K106" s="504" t="n">
        <v>0</v>
      </c>
      <c r="L106" s="262">
        <f>SUM(E106:K106)</f>
        <v/>
      </c>
      <c r="N106" s="90" t="n"/>
      <c r="O106" s="90" t="n"/>
      <c r="P106" s="90" t="n"/>
      <c r="Q106" s="90" t="n"/>
      <c r="R106" s="90" t="n"/>
      <c r="S106" s="90" t="n"/>
      <c r="T106" s="90" t="n"/>
      <c r="U106" s="90" t="n"/>
      <c r="X106" s="175">
        <f>SUM(V168,Y186,AC204)</f>
        <v/>
      </c>
      <c r="Y106" s="175">
        <f>SUM(W168,Z186,AD204)</f>
        <v/>
      </c>
      <c r="Z106" s="90" t="n"/>
      <c r="AA106" s="90" t="n"/>
      <c r="AB106" s="90" t="n"/>
      <c r="AC106" s="90" t="n"/>
      <c r="AD106" s="90" t="n"/>
      <c r="AE106" s="90" t="n"/>
      <c r="AF106" s="90" t="n"/>
      <c r="AG106" s="90" t="n"/>
      <c r="AH106" s="91" t="n"/>
      <c r="AI106" s="26" t="n"/>
      <c r="AJ106" s="26" t="n"/>
      <c r="AK106" s="26" t="n"/>
    </row>
    <row r="107" ht="15" customHeight="1">
      <c r="A107" s="462" t="inlineStr">
        <is>
          <t>Exclusion totale</t>
        </is>
      </c>
      <c r="B107" s="1381" t="n"/>
      <c r="C107" s="1381" t="n"/>
      <c r="D107" s="1384" t="n"/>
      <c r="E107" s="553" t="n">
        <v>4</v>
      </c>
      <c r="F107" s="503" t="n">
        <v>8</v>
      </c>
      <c r="G107" s="503" t="n">
        <v>23</v>
      </c>
      <c r="H107" s="503" t="n">
        <v>0</v>
      </c>
      <c r="I107" s="503" t="n">
        <v>0</v>
      </c>
      <c r="J107" s="503" t="n">
        <v>0</v>
      </c>
      <c r="K107" s="504" t="n">
        <v>0</v>
      </c>
      <c r="L107" s="261">
        <f>SUM(E107:K107)</f>
        <v/>
      </c>
      <c r="N107" s="90" t="n"/>
      <c r="O107" s="90" t="n"/>
      <c r="P107" s="90" t="n"/>
      <c r="Q107" s="90" t="n"/>
      <c r="R107" s="90" t="n"/>
      <c r="S107" s="90" t="n"/>
      <c r="T107" s="90" t="n"/>
      <c r="U107" s="90" t="n"/>
      <c r="X107" s="175">
        <f>SUM(V169,Y187,AC205)</f>
        <v/>
      </c>
      <c r="Y107" s="175">
        <f>SUM(W169,Z187,AD205)</f>
        <v/>
      </c>
      <c r="Z107" s="90" t="n"/>
      <c r="AA107" s="90" t="n"/>
      <c r="AB107" s="90" t="n"/>
      <c r="AC107" s="90" t="n"/>
      <c r="AD107" s="90" t="n"/>
      <c r="AE107" s="90" t="n"/>
      <c r="AF107" s="90" t="n"/>
      <c r="AG107" s="90" t="n"/>
      <c r="AH107" s="91" t="n"/>
      <c r="AI107" s="26" t="n"/>
      <c r="AJ107" s="26" t="n"/>
      <c r="AK107" s="26" t="n"/>
    </row>
    <row r="108" ht="15" customHeight="1">
      <c r="A108" s="462" t="inlineStr">
        <is>
          <t>Aucun document n’existe</t>
        </is>
      </c>
      <c r="B108" s="1381" t="n"/>
      <c r="C108" s="1381" t="n"/>
      <c r="D108" s="1384" t="n"/>
      <c r="E108" s="553" t="n">
        <v>0</v>
      </c>
      <c r="F108" s="503" t="n">
        <v>0</v>
      </c>
      <c r="G108" s="503" t="n">
        <v>2</v>
      </c>
      <c r="H108" s="503" t="n">
        <v>2</v>
      </c>
      <c r="I108" s="503" t="n">
        <v>788</v>
      </c>
      <c r="J108" s="503" t="n">
        <v>49</v>
      </c>
      <c r="K108" s="504" t="n">
        <v>26</v>
      </c>
      <c r="L108" s="261">
        <f>SUM(E108:K108)</f>
        <v/>
      </c>
      <c r="N108" s="90" t="n"/>
      <c r="O108" s="90" t="n"/>
      <c r="P108" s="90" t="n"/>
      <c r="Q108" s="90" t="n"/>
      <c r="R108" s="90" t="n"/>
      <c r="S108" s="90" t="n"/>
      <c r="T108" s="90" t="n"/>
      <c r="U108" s="90" t="n"/>
      <c r="X108" s="175" t="n"/>
      <c r="Y108" s="175" t="n"/>
      <c r="Z108" s="90" t="n"/>
      <c r="AA108" s="90" t="n"/>
      <c r="AB108" s="90" t="n"/>
      <c r="AC108" s="90" t="n"/>
      <c r="AD108" s="90" t="n"/>
      <c r="AE108" s="90" t="n"/>
      <c r="AF108" s="90" t="n"/>
      <c r="AG108" s="90" t="n"/>
      <c r="AH108" s="91" t="n"/>
      <c r="AI108" s="26" t="n"/>
      <c r="AJ108" s="26" t="n"/>
      <c r="AK108" s="26" t="n"/>
    </row>
    <row r="109" ht="15" customHeight="1">
      <c r="A109" s="462" t="inlineStr">
        <is>
          <t>Demande transférée</t>
        </is>
      </c>
      <c r="B109" s="1381" t="n"/>
      <c r="C109" s="1381" t="n"/>
      <c r="D109" s="1384" t="n"/>
      <c r="E109" s="553" t="n">
        <v>35</v>
      </c>
      <c r="F109" s="503" t="n">
        <v>9</v>
      </c>
      <c r="G109" s="503" t="n">
        <v>15</v>
      </c>
      <c r="H109" s="503" t="n">
        <v>13</v>
      </c>
      <c r="I109" s="503" t="n">
        <v>935</v>
      </c>
      <c r="J109" s="503" t="n">
        <v>18</v>
      </c>
      <c r="K109" s="504" t="n">
        <v>2</v>
      </c>
      <c r="L109" s="261">
        <f>SUM(E109:K109)</f>
        <v/>
      </c>
      <c r="N109" s="90" t="n"/>
      <c r="O109" s="90" t="n"/>
      <c r="P109" s="90" t="n"/>
      <c r="Q109" s="90" t="n"/>
      <c r="R109" s="90" t="n"/>
      <c r="S109" s="90" t="n"/>
      <c r="T109" s="90" t="n"/>
      <c r="U109" s="90" t="n"/>
      <c r="X109" s="175" t="n"/>
      <c r="Y109" s="175" t="n"/>
      <c r="Z109" s="90" t="n"/>
      <c r="AA109" s="90" t="n"/>
      <c r="AB109" s="90" t="n"/>
      <c r="AC109" s="90" t="n"/>
      <c r="AD109" s="90" t="n"/>
      <c r="AE109" s="90" t="n"/>
      <c r="AF109" s="90" t="n"/>
      <c r="AG109" s="90" t="n"/>
      <c r="AH109" s="91" t="n"/>
      <c r="AI109" s="26" t="n"/>
      <c r="AJ109" s="26" t="n"/>
      <c r="AK109" s="26" t="n"/>
    </row>
    <row r="110" ht="15" customHeight="1">
      <c r="A110" s="462" t="inlineStr">
        <is>
          <t>Demande abandonnée</t>
        </is>
      </c>
      <c r="B110" s="1381" t="n"/>
      <c r="C110" s="1381" t="n"/>
      <c r="D110" s="1384" t="n"/>
      <c r="E110" s="553" t="n">
        <v>0</v>
      </c>
      <c r="F110" s="503" t="n">
        <v>0</v>
      </c>
      <c r="G110" s="503" t="n">
        <v>0</v>
      </c>
      <c r="H110" s="503" t="n">
        <v>0</v>
      </c>
      <c r="I110" s="503" t="n">
        <v>0</v>
      </c>
      <c r="J110" s="503" t="n">
        <v>20</v>
      </c>
      <c r="K110" s="504" t="n">
        <v>226</v>
      </c>
      <c r="L110" s="261">
        <f>SUM(E110:K110)</f>
        <v/>
      </c>
      <c r="N110" s="90" t="n"/>
      <c r="O110" s="90" t="n"/>
      <c r="P110" s="90" t="n"/>
      <c r="Q110" s="90" t="n"/>
      <c r="R110" s="90" t="n"/>
      <c r="S110" s="90" t="n"/>
      <c r="T110" s="90" t="n"/>
      <c r="U110" s="90" t="n"/>
      <c r="X110" s="175">
        <f>SUM(V170,Y188,AC206)</f>
        <v/>
      </c>
      <c r="Y110" s="175">
        <f>SUM(W170,Z188,AD206)</f>
        <v/>
      </c>
      <c r="Z110" s="90" t="n"/>
      <c r="AA110" s="90" t="n"/>
      <c r="AB110" s="90" t="n"/>
      <c r="AC110" s="90" t="n"/>
      <c r="AD110" s="90" t="n"/>
      <c r="AE110" s="90" t="n"/>
      <c r="AF110" s="90" t="n"/>
      <c r="AG110" s="90" t="n"/>
      <c r="AH110" s="91" t="n"/>
      <c r="AI110" s="26" t="n"/>
      <c r="AJ110" s="26" t="n"/>
      <c r="AK110" s="26" t="n"/>
    </row>
    <row r="111" ht="15" customHeight="1">
      <c r="A111" s="462" t="inlineStr">
        <is>
          <t>Ni confirmée ni infirmée</t>
        </is>
      </c>
      <c r="B111" s="1381" t="n"/>
      <c r="C111" s="1381" t="n"/>
      <c r="D111" s="1384" t="n"/>
      <c r="E111" s="553" t="n">
        <v>15</v>
      </c>
      <c r="F111" s="503" t="n">
        <v>8</v>
      </c>
      <c r="G111" s="503" t="n">
        <v>4</v>
      </c>
      <c r="H111" s="503" t="n">
        <v>2</v>
      </c>
      <c r="I111" s="503" t="n">
        <v>6</v>
      </c>
      <c r="J111" s="503" t="n">
        <v>83</v>
      </c>
      <c r="K111" s="504" t="n">
        <v>344</v>
      </c>
      <c r="L111" s="261">
        <f>SUM(E111:K111)</f>
        <v/>
      </c>
      <c r="N111" s="90" t="n"/>
      <c r="O111" s="90" t="n"/>
      <c r="P111" s="90" t="n"/>
      <c r="Q111" s="90" t="n"/>
      <c r="R111" s="90" t="n"/>
      <c r="S111" s="90" t="n"/>
      <c r="T111" s="90" t="n"/>
      <c r="U111" s="90" t="n"/>
      <c r="V111" s="90" t="n"/>
      <c r="W111" s="90" t="n"/>
      <c r="X111" s="175">
        <f>SUM(V171,Y189,AC207)</f>
        <v/>
      </c>
      <c r="Y111" s="175">
        <f>SUM(W171,Z189,AD207)</f>
        <v/>
      </c>
      <c r="Z111" s="90" t="n"/>
      <c r="AA111" s="90" t="n"/>
      <c r="AB111" s="90" t="n"/>
      <c r="AC111" s="90" t="n"/>
      <c r="AD111" s="90" t="n"/>
      <c r="AE111" s="90" t="n"/>
      <c r="AF111" s="90" t="n"/>
      <c r="AG111" s="90" t="n"/>
      <c r="AH111" s="91" t="n"/>
      <c r="AI111" s="26" t="n"/>
      <c r="AJ111" s="26" t="n"/>
      <c r="AK111" s="26" t="n"/>
    </row>
    <row r="112" ht="28.5" customHeight="1" thickBot="1">
      <c r="A112" s="878" t="inlineStr">
        <is>
          <t>Refus d'agir avec l'approbation de la Commissaire à l'information</t>
        </is>
      </c>
      <c r="B112" s="1388" t="n"/>
      <c r="C112" s="1388" t="n"/>
      <c r="D112" s="1396" t="n"/>
      <c r="E112" s="128" t="n">
        <v>0</v>
      </c>
      <c r="F112" s="334" t="n">
        <v>0</v>
      </c>
      <c r="G112" s="334" t="n">
        <v>0</v>
      </c>
      <c r="H112" s="334" t="n">
        <v>0</v>
      </c>
      <c r="I112" s="334" t="n">
        <v>0</v>
      </c>
      <c r="J112" s="334" t="n">
        <v>0</v>
      </c>
      <c r="K112" s="348" t="n">
        <v>2</v>
      </c>
      <c r="L112" s="263">
        <f>SUM(E112:K112)</f>
        <v/>
      </c>
      <c r="M112" s="836" t="inlineStr">
        <is>
          <t>Section 4.1 - Le "Total" des demandes de la Rangée "Refus d'agir avec l'approbation de la Commissaire à l'information" doit être égal au montant "Approuvées par la Commissaire à l’information pendant la période d’établissement de rapports" de la Section 3</t>
        </is>
      </c>
      <c r="W112" s="90" t="n"/>
      <c r="X112" s="175">
        <f>SUM(V172,Y190,AC208)</f>
        <v/>
      </c>
      <c r="Y112" s="175">
        <f>SUM(W172,Z190,AD208)</f>
        <v/>
      </c>
      <c r="Z112" s="90" t="n"/>
      <c r="AA112" s="90" t="n"/>
      <c r="AB112" s="90" t="n"/>
      <c r="AC112" s="90" t="n"/>
      <c r="AD112" s="90" t="n"/>
      <c r="AE112" s="90" t="n"/>
      <c r="AF112" s="90" t="n"/>
      <c r="AG112" s="90" t="n"/>
      <c r="AH112" s="91" t="n"/>
      <c r="AI112" s="26" t="n"/>
      <c r="AJ112" s="26" t="n"/>
      <c r="AK112" s="26" t="n"/>
    </row>
    <row r="113" ht="16.5" customHeight="1" thickBot="1" thickTop="1">
      <c r="A113" s="881" t="inlineStr">
        <is>
          <t xml:space="preserve">  Total</t>
        </is>
      </c>
      <c r="B113" s="1374" t="n"/>
      <c r="C113" s="1374" t="n"/>
      <c r="D113" s="1405" t="n"/>
      <c r="E113" s="549">
        <f>SUM(E104:E112)</f>
        <v/>
      </c>
      <c r="F113" s="259">
        <f>SUM(F104:F112)</f>
        <v/>
      </c>
      <c r="G113" s="259">
        <f>SUM(G104:G112)</f>
        <v/>
      </c>
      <c r="H113" s="259">
        <f>SUM(H104:H112)</f>
        <v/>
      </c>
      <c r="I113" s="259">
        <f>SUM(I104:I112)</f>
        <v/>
      </c>
      <c r="J113" s="259">
        <f>SUM(J104:J112)</f>
        <v/>
      </c>
      <c r="K113" s="749">
        <f>SUM(K104:K112)</f>
        <v/>
      </c>
      <c r="L113" s="749">
        <f>SUM(L104:L112)</f>
        <v/>
      </c>
      <c r="M113" s="875" t="inlineStr">
        <is>
          <t>Section 4.1 - La somme des totaux de la Rangée 10 doit être égale au montant "Fermées pendant la période d'établissement de rapport" de la Section 1.1</t>
        </is>
      </c>
      <c r="V113" s="90" t="n"/>
      <c r="W113" s="90" t="n"/>
      <c r="X113" s="90" t="n"/>
      <c r="Y113" s="90" t="n"/>
      <c r="Z113" s="90" t="n"/>
      <c r="AA113" s="90" t="n"/>
      <c r="AB113" s="90" t="n"/>
      <c r="AC113" s="90" t="n"/>
      <c r="AD113" s="90" t="n"/>
      <c r="AE113" s="90" t="n"/>
      <c r="AF113" s="90" t="n"/>
      <c r="AG113" s="90" t="n"/>
      <c r="AH113" s="91" t="n"/>
      <c r="AI113" s="26" t="n"/>
      <c r="AJ113" s="26" t="n"/>
      <c r="AK113" s="26" t="n"/>
    </row>
    <row r="114" ht="15.75" customHeight="1" thickTop="1">
      <c r="V114" s="90" t="n"/>
      <c r="W114" s="90" t="n"/>
      <c r="X114" s="90" t="n"/>
      <c r="Y114" s="90" t="n"/>
      <c r="Z114" s="90" t="n"/>
      <c r="AA114" s="90" t="n"/>
      <c r="AB114" s="90" t="n"/>
      <c r="AC114" s="90" t="n"/>
      <c r="AD114" s="90" t="n"/>
      <c r="AE114" s="90" t="n"/>
      <c r="AF114" s="90" t="n"/>
      <c r="AG114" s="90" t="n"/>
      <c r="AH114" s="91" t="n"/>
      <c r="AI114" s="26" t="n"/>
      <c r="AJ114" s="26" t="n"/>
      <c r="AK114" s="26" t="n"/>
    </row>
    <row r="115">
      <c r="A115" s="323" t="inlineStr">
        <is>
          <t xml:space="preserve">4.2 Exceptions  </t>
        </is>
      </c>
      <c r="M115" s="88" t="n"/>
      <c r="N115" s="88" t="n"/>
      <c r="O115" s="88" t="n"/>
      <c r="P115" s="88" t="n"/>
      <c r="Q115" s="88" t="n"/>
      <c r="R115" s="88" t="n"/>
      <c r="S115" s="88" t="n"/>
      <c r="T115" s="88" t="n"/>
      <c r="U115" s="88" t="n"/>
      <c r="V115" s="88" t="n"/>
      <c r="W115" s="88" t="n"/>
      <c r="X115" s="88" t="n"/>
      <c r="Y115" s="88" t="n"/>
      <c r="Z115" s="88" t="n"/>
      <c r="AA115" s="88" t="n"/>
      <c r="AB115" s="88" t="n"/>
      <c r="AC115" s="88" t="n"/>
      <c r="AD115" s="88" t="n"/>
      <c r="AE115" s="88" t="n"/>
      <c r="AF115" s="88" t="n"/>
      <c r="AG115" s="88" t="n"/>
      <c r="AH115" s="26" t="n"/>
      <c r="AI115" s="26" t="n"/>
      <c r="AJ115" s="26" t="n"/>
      <c r="AK115" s="26" t="n"/>
    </row>
    <row r="116" ht="8.25" customHeight="1" thickBot="1">
      <c r="M116" s="88" t="n"/>
      <c r="N116" s="88" t="n"/>
      <c r="O116" s="88" t="n"/>
      <c r="P116" s="88" t="n"/>
      <c r="Q116" s="88" t="n"/>
      <c r="R116" s="88" t="n"/>
      <c r="S116" s="88" t="n"/>
      <c r="T116" s="88" t="n"/>
      <c r="U116" s="88" t="n"/>
      <c r="V116" s="88" t="n"/>
      <c r="W116" s="88" t="n"/>
      <c r="X116" s="88" t="n"/>
      <c r="Y116" s="88" t="n"/>
      <c r="Z116" s="88" t="n"/>
      <c r="AA116" s="88" t="n"/>
      <c r="AB116" s="88" t="n"/>
      <c r="AC116" s="88" t="n"/>
      <c r="AD116" s="88" t="n"/>
      <c r="AE116" s="88" t="n"/>
      <c r="AF116" s="88" t="n"/>
      <c r="AG116" s="88" t="n"/>
      <c r="AH116" s="26" t="n"/>
      <c r="AI116" s="26" t="n"/>
      <c r="AJ116" s="26" t="n"/>
      <c r="AK116" s="26" t="n"/>
    </row>
    <row r="117" ht="29.25" customHeight="1" thickBot="1" thickTop="1">
      <c r="A117" s="491" t="inlineStr">
        <is>
          <t>Article</t>
        </is>
      </c>
      <c r="B117" s="1405" t="n"/>
      <c r="C117" s="287" t="inlineStr">
        <is>
          <t>Nombre de demandes</t>
        </is>
      </c>
      <c r="D117" s="491" t="inlineStr">
        <is>
          <t>Article</t>
        </is>
      </c>
      <c r="E117" s="1405" t="n"/>
      <c r="F117" s="287" t="inlineStr">
        <is>
          <t>Nombre de demandes</t>
        </is>
      </c>
      <c r="G117" s="491" t="inlineStr">
        <is>
          <t>Article</t>
        </is>
      </c>
      <c r="H117" s="1405" t="n"/>
      <c r="I117" s="288" t="inlineStr">
        <is>
          <t>Nombre de demandes</t>
        </is>
      </c>
      <c r="J117" s="489" t="inlineStr">
        <is>
          <t>Article</t>
        </is>
      </c>
      <c r="K117" s="1405" t="n"/>
      <c r="L117" s="289" t="inlineStr">
        <is>
          <t>Nombre de demandes</t>
        </is>
      </c>
      <c r="M117" s="88" t="n"/>
      <c r="N117" s="88" t="n"/>
      <c r="O117" s="88" t="n"/>
      <c r="P117" s="88" t="n"/>
      <c r="Q117" s="88" t="n"/>
      <c r="R117" s="88" t="n"/>
      <c r="S117" s="88" t="n"/>
      <c r="T117" s="88" t="n"/>
      <c r="U117" s="88" t="n"/>
      <c r="V117" s="88" t="n"/>
      <c r="W117" s="88" t="n"/>
      <c r="X117" s="88" t="n"/>
      <c r="Y117" s="88" t="n"/>
      <c r="Z117" s="88" t="n"/>
      <c r="AA117" s="88" t="n"/>
      <c r="AB117" s="88" t="n"/>
      <c r="AC117" s="88" t="n"/>
      <c r="AD117" s="88" t="n"/>
      <c r="AE117" s="88" t="n"/>
      <c r="AF117" s="88" t="n"/>
      <c r="AG117" s="88" t="n"/>
      <c r="AH117" s="26" t="n"/>
      <c r="AI117" s="26" t="n"/>
      <c r="AJ117" s="26" t="n"/>
      <c r="AK117" s="26" t="n"/>
    </row>
    <row r="118" ht="15.75" customHeight="1" thickTop="1">
      <c r="A118" s="1426" t="inlineStr">
        <is>
          <t>13(1)a)</t>
        </is>
      </c>
      <c r="B118" s="1406" t="n"/>
      <c r="C118" s="199" t="n">
        <v>36</v>
      </c>
      <c r="D118" s="1427" t="inlineStr">
        <is>
          <t>16(2)</t>
        </is>
      </c>
      <c r="E118" s="1406" t="n"/>
      <c r="F118" s="559" t="n">
        <v>22</v>
      </c>
      <c r="G118" s="397" t="inlineStr">
        <is>
          <t>18a)</t>
        </is>
      </c>
      <c r="H118" s="1398" t="n"/>
      <c r="I118" s="637" t="n">
        <v>5</v>
      </c>
      <c r="J118" s="456" t="n">
        <v>20.1</v>
      </c>
      <c r="K118" s="1398" t="n"/>
      <c r="L118" s="290" t="n">
        <v>0</v>
      </c>
      <c r="M118" s="88" t="n"/>
      <c r="N118" s="88" t="n"/>
      <c r="O118" s="88" t="n"/>
      <c r="P118" s="88" t="n"/>
      <c r="Q118" s="88" t="n"/>
      <c r="R118" s="88" t="n"/>
      <c r="S118" s="88" t="n"/>
      <c r="T118" s="88" t="n"/>
      <c r="U118" s="88" t="n"/>
      <c r="V118" s="88" t="n"/>
      <c r="W118" s="88" t="n"/>
      <c r="X118" s="88" t="n"/>
      <c r="Y118" s="88" t="n"/>
      <c r="Z118" s="88" t="n"/>
      <c r="AA118" s="88" t="n"/>
      <c r="AB118" s="88" t="n"/>
      <c r="AC118" s="88" t="n"/>
      <c r="AD118" s="88" t="n"/>
      <c r="AE118" s="88" t="n"/>
      <c r="AF118" s="88" t="n"/>
      <c r="AG118" s="88" t="n"/>
      <c r="AH118" s="26" t="n"/>
      <c r="AI118" s="26" t="n"/>
      <c r="AJ118" s="26" t="n"/>
      <c r="AK118" s="26" t="n"/>
    </row>
    <row r="119">
      <c r="A119" s="382" t="inlineStr">
        <is>
          <t>13(1)b)</t>
        </is>
      </c>
      <c r="B119" s="1384" t="n"/>
      <c r="C119" s="396" t="n">
        <v>10</v>
      </c>
      <c r="D119" s="382" t="inlineStr">
        <is>
          <t>16(2)a)</t>
        </is>
      </c>
      <c r="E119" s="1384" t="n"/>
      <c r="F119" s="238" t="n">
        <v>0</v>
      </c>
      <c r="G119" s="382" t="inlineStr">
        <is>
          <t>18b)</t>
        </is>
      </c>
      <c r="H119" s="1384" t="n"/>
      <c r="I119" s="395" t="n">
        <v>9</v>
      </c>
      <c r="J119" s="404" t="n">
        <v>20.2</v>
      </c>
      <c r="K119" s="1384" t="n"/>
      <c r="L119" s="291" t="n">
        <v>0</v>
      </c>
      <c r="M119" s="88" t="n"/>
      <c r="N119" s="88" t="n"/>
      <c r="O119" s="88" t="n"/>
      <c r="P119" s="88" t="n"/>
      <c r="Q119" s="88" t="n"/>
      <c r="R119" s="88" t="n"/>
      <c r="S119" s="88" t="n"/>
      <c r="T119" s="88" t="n"/>
      <c r="U119" s="88" t="n"/>
      <c r="V119" s="88" t="n"/>
      <c r="W119" s="88" t="n"/>
      <c r="X119" s="88" t="n"/>
      <c r="Y119" s="88" t="n"/>
      <c r="Z119" s="88" t="n"/>
      <c r="AA119" s="88" t="n"/>
      <c r="AB119" s="88" t="n"/>
      <c r="AC119" s="88" t="n"/>
      <c r="AD119" s="88" t="n"/>
      <c r="AE119" s="88" t="n"/>
      <c r="AF119" s="88" t="n"/>
      <c r="AG119" s="88" t="n"/>
      <c r="AH119" s="26" t="n"/>
      <c r="AI119" s="26" t="n"/>
      <c r="AJ119" s="26" t="n"/>
      <c r="AK119" s="26" t="n"/>
    </row>
    <row r="120">
      <c r="A120" s="382" t="inlineStr">
        <is>
          <t>13(1)c)</t>
        </is>
      </c>
      <c r="B120" s="1384" t="n"/>
      <c r="C120" s="396" t="n">
        <v>6</v>
      </c>
      <c r="D120" s="382" t="inlineStr">
        <is>
          <t>16(2)b)</t>
        </is>
      </c>
      <c r="E120" s="1384" t="n"/>
      <c r="F120" s="396" t="n">
        <v>3</v>
      </c>
      <c r="G120" s="382" t="inlineStr">
        <is>
          <t>18c)</t>
        </is>
      </c>
      <c r="H120" s="1384" t="n"/>
      <c r="I120" s="395" t="n">
        <v>3</v>
      </c>
      <c r="J120" s="404" t="n">
        <v>20.4</v>
      </c>
      <c r="K120" s="1384" t="n"/>
      <c r="L120" s="292" t="n">
        <v>0</v>
      </c>
      <c r="M120" s="88" t="n"/>
      <c r="N120" s="88" t="n"/>
      <c r="O120" s="88" t="n"/>
      <c r="P120" s="88" t="n"/>
      <c r="Q120" s="88" t="n"/>
      <c r="R120" s="88" t="n"/>
      <c r="S120" s="88" t="n"/>
      <c r="T120" s="88" t="n"/>
      <c r="U120" s="88" t="n"/>
      <c r="V120" s="88" t="n"/>
      <c r="W120" s="88" t="n"/>
      <c r="X120" s="88" t="n"/>
      <c r="Y120" s="88" t="n"/>
      <c r="Z120" s="88" t="n"/>
      <c r="AA120" s="88" t="n"/>
      <c r="AB120" s="88" t="n"/>
      <c r="AC120" s="88" t="n"/>
      <c r="AD120" s="88" t="n"/>
      <c r="AE120" s="88" t="n"/>
      <c r="AF120" s="88" t="n"/>
      <c r="AG120" s="88" t="n"/>
      <c r="AH120" s="26" t="n"/>
      <c r="AI120" s="26" t="n"/>
      <c r="AJ120" s="26" t="n"/>
      <c r="AK120" s="26" t="n"/>
    </row>
    <row r="121">
      <c r="A121" s="382" t="inlineStr">
        <is>
          <t>13(1)d)</t>
        </is>
      </c>
      <c r="B121" s="1384" t="n"/>
      <c r="C121" s="396" t="n">
        <v>5</v>
      </c>
      <c r="D121" s="382" t="inlineStr">
        <is>
          <t>16(2)c)</t>
        </is>
      </c>
      <c r="E121" s="1384" t="n"/>
      <c r="F121" s="396" t="n">
        <v>54</v>
      </c>
      <c r="G121" s="382" t="inlineStr">
        <is>
          <t>18d)</t>
        </is>
      </c>
      <c r="H121" s="1384" t="n"/>
      <c r="I121" s="395" t="n">
        <v>3</v>
      </c>
      <c r="J121" s="404" t="inlineStr">
        <is>
          <t>21(1)a)</t>
        </is>
      </c>
      <c r="K121" s="1384" t="n"/>
      <c r="L121" s="291" t="n">
        <v>96</v>
      </c>
      <c r="M121" s="88" t="n"/>
      <c r="N121" s="88" t="n"/>
      <c r="O121" s="88" t="n"/>
      <c r="P121" s="88" t="n"/>
      <c r="Q121" s="88" t="n"/>
      <c r="R121" s="88" t="n"/>
      <c r="S121" s="88" t="n"/>
      <c r="T121" s="88" t="n"/>
      <c r="U121" s="88" t="n"/>
      <c r="V121" s="88" t="n"/>
      <c r="W121" s="88" t="n"/>
      <c r="X121" s="88" t="n"/>
      <c r="Y121" s="88" t="n"/>
      <c r="Z121" s="88" t="n"/>
      <c r="AA121" s="88" t="n"/>
      <c r="AB121" s="88" t="n"/>
      <c r="AC121" s="88" t="n"/>
      <c r="AD121" s="88" t="n"/>
      <c r="AE121" s="88" t="n"/>
      <c r="AF121" s="88" t="n"/>
      <c r="AG121" s="88" t="n"/>
      <c r="AH121" s="26" t="n"/>
      <c r="AI121" s="26" t="n"/>
      <c r="AJ121" s="26" t="n"/>
      <c r="AK121" s="26" t="n"/>
    </row>
    <row r="122">
      <c r="A122" s="393" t="inlineStr">
        <is>
          <t>13(1)e)</t>
        </is>
      </c>
      <c r="B122" s="1381" t="n"/>
      <c r="C122" s="387" t="n">
        <v>0</v>
      </c>
      <c r="D122" s="382" t="inlineStr">
        <is>
          <t>16(3)</t>
        </is>
      </c>
      <c r="E122" s="1384" t="n"/>
      <c r="F122" s="396" t="n">
        <v>0</v>
      </c>
      <c r="G122" s="382" t="inlineStr">
        <is>
          <t>18.1(1)a)</t>
        </is>
      </c>
      <c r="H122" s="1384" t="n"/>
      <c r="I122" s="395" t="n">
        <v>0</v>
      </c>
      <c r="J122" s="404" t="inlineStr">
        <is>
          <t>21(1)b)</t>
        </is>
      </c>
      <c r="K122" s="1384" t="n"/>
      <c r="L122" s="291" t="n">
        <v>69</v>
      </c>
      <c r="M122" s="88" t="n"/>
      <c r="N122" s="88" t="n"/>
      <c r="O122" s="88" t="n"/>
      <c r="P122" s="88" t="n"/>
      <c r="Q122" s="88" t="n"/>
      <c r="R122" s="88" t="n"/>
      <c r="S122" s="88" t="n"/>
      <c r="T122" s="88" t="n"/>
      <c r="U122" s="88" t="n"/>
      <c r="V122" s="88" t="n"/>
      <c r="W122" s="88" t="n"/>
      <c r="X122" s="88" t="n"/>
      <c r="Y122" s="88" t="n"/>
      <c r="Z122" s="88" t="n"/>
      <c r="AA122" s="88" t="n"/>
      <c r="AB122" s="88" t="n"/>
      <c r="AC122" s="88" t="n"/>
      <c r="AD122" s="88" t="n"/>
      <c r="AE122" s="88" t="n"/>
      <c r="AF122" s="88" t="n"/>
      <c r="AG122" s="88" t="n"/>
      <c r="AH122" s="26" t="n"/>
      <c r="AI122" s="26" t="n"/>
      <c r="AJ122" s="26" t="n"/>
      <c r="AK122" s="26" t="n"/>
    </row>
    <row r="123">
      <c r="A123" s="1428" t="n">
        <v>14</v>
      </c>
      <c r="B123" s="1384" t="n"/>
      <c r="C123" s="237" t="n">
        <v>2</v>
      </c>
      <c r="D123" s="382" t="inlineStr">
        <is>
          <t>16.1(1)a)</t>
        </is>
      </c>
      <c r="E123" s="1384" t="n"/>
      <c r="F123" s="396" t="n">
        <v>0</v>
      </c>
      <c r="G123" s="382" t="inlineStr">
        <is>
          <t>18.1(1)b)</t>
        </is>
      </c>
      <c r="H123" s="1384" t="n"/>
      <c r="I123" s="395" t="n">
        <v>0</v>
      </c>
      <c r="J123" s="404" t="inlineStr">
        <is>
          <t>21(1)c)</t>
        </is>
      </c>
      <c r="K123" s="1384" t="n"/>
      <c r="L123" s="290" t="n">
        <v>11</v>
      </c>
      <c r="M123" s="88" t="n"/>
      <c r="N123" s="88" t="n"/>
      <c r="O123" s="88" t="n"/>
      <c r="P123" s="88" t="n"/>
      <c r="Q123" s="88" t="n"/>
      <c r="R123" s="88" t="n"/>
      <c r="S123" s="88" t="n"/>
      <c r="T123" s="88" t="n"/>
      <c r="U123" s="88" t="n"/>
      <c r="V123" s="88" t="n"/>
      <c r="W123" s="88" t="n"/>
      <c r="X123" s="88" t="n"/>
      <c r="Y123" s="88" t="n"/>
      <c r="Z123" s="88" t="n"/>
      <c r="AA123" s="88" t="n"/>
      <c r="AB123" s="88" t="n"/>
      <c r="AC123" s="88" t="n"/>
      <c r="AD123" s="88" t="n"/>
      <c r="AE123" s="88" t="n"/>
      <c r="AF123" s="88" t="n"/>
      <c r="AG123" s="88" t="n"/>
      <c r="AH123" s="26" t="n"/>
      <c r="AI123" s="26" t="n"/>
      <c r="AJ123" s="26" t="n"/>
      <c r="AK123" s="26" t="n"/>
    </row>
    <row r="124">
      <c r="A124" s="382" t="inlineStr">
        <is>
          <t>14a)</t>
        </is>
      </c>
      <c r="B124" s="1384" t="n"/>
      <c r="C124" s="396" t="n">
        <v>1</v>
      </c>
      <c r="D124" s="382" t="inlineStr">
        <is>
          <t>16.1(1)b)</t>
        </is>
      </c>
      <c r="E124" s="1384" t="n"/>
      <c r="F124" s="396" t="n">
        <v>0</v>
      </c>
      <c r="G124" s="382" t="inlineStr">
        <is>
          <t>18.1(1)c)</t>
        </is>
      </c>
      <c r="H124" s="1384" t="n"/>
      <c r="I124" s="395" t="n">
        <v>0</v>
      </c>
      <c r="J124" s="404" t="inlineStr">
        <is>
          <t>21(1)d)</t>
        </is>
      </c>
      <c r="K124" s="1384" t="n"/>
      <c r="L124" s="291" t="n">
        <v>6</v>
      </c>
      <c r="M124" s="88" t="n"/>
      <c r="N124" s="88" t="n"/>
      <c r="O124" s="88" t="n"/>
      <c r="P124" s="88" t="n"/>
      <c r="Q124" s="88" t="n"/>
      <c r="R124" s="88" t="n"/>
      <c r="S124" s="88" t="n"/>
      <c r="T124" s="88" t="n"/>
      <c r="U124" s="88" t="n"/>
      <c r="V124" s="88" t="n"/>
      <c r="W124" s="88" t="n"/>
      <c r="X124" s="88" t="n"/>
      <c r="Y124" s="88" t="n"/>
      <c r="Z124" s="88" t="n"/>
      <c r="AA124" s="88" t="n"/>
      <c r="AB124" s="88" t="n"/>
      <c r="AC124" s="88" t="n"/>
      <c r="AD124" s="88" t="n"/>
      <c r="AE124" s="88" t="n"/>
      <c r="AF124" s="88" t="n"/>
      <c r="AG124" s="88" t="n"/>
      <c r="AH124" s="26" t="n"/>
      <c r="AI124" s="26" t="n"/>
      <c r="AJ124" s="26" t="n"/>
      <c r="AK124" s="26" t="n"/>
    </row>
    <row r="125">
      <c r="A125" s="393" t="inlineStr">
        <is>
          <t>14b)</t>
        </is>
      </c>
      <c r="B125" s="1381" t="n"/>
      <c r="C125" s="387" t="n">
        <v>0</v>
      </c>
      <c r="D125" s="382" t="inlineStr">
        <is>
          <t>16.1(1)c)</t>
        </is>
      </c>
      <c r="E125" s="1384" t="n"/>
      <c r="F125" s="396" t="n">
        <v>0</v>
      </c>
      <c r="G125" s="382" t="inlineStr">
        <is>
          <t>18.1(1)d)</t>
        </is>
      </c>
      <c r="H125" s="1384" t="n"/>
      <c r="I125" s="395" t="n">
        <v>0</v>
      </c>
      <c r="J125" s="404" t="n">
        <v>22</v>
      </c>
      <c r="K125" s="1384" t="n"/>
      <c r="L125" s="291" t="n">
        <v>14</v>
      </c>
      <c r="M125" s="88" t="n"/>
      <c r="N125" s="88" t="n"/>
      <c r="O125" s="88" t="n"/>
      <c r="P125" s="88" t="n"/>
      <c r="Q125" s="88" t="n"/>
      <c r="R125" s="88" t="n"/>
      <c r="S125" s="88" t="n"/>
      <c r="T125" s="88" t="n"/>
      <c r="U125" s="88" t="n"/>
      <c r="V125" s="88" t="n"/>
      <c r="W125" s="88" t="n"/>
      <c r="X125" s="88" t="n"/>
      <c r="Y125" s="88" t="n"/>
      <c r="Z125" s="88" t="n"/>
      <c r="AA125" s="88" t="n"/>
      <c r="AB125" s="88" t="n"/>
      <c r="AC125" s="88" t="n"/>
      <c r="AD125" s="88" t="n"/>
      <c r="AE125" s="88" t="n"/>
      <c r="AF125" s="88" t="n"/>
      <c r="AG125" s="88" t="n"/>
      <c r="AH125" s="26" t="n"/>
      <c r="AI125" s="26" t="n"/>
      <c r="AJ125" s="26" t="n"/>
      <c r="AK125" s="26" t="n"/>
    </row>
    <row r="126">
      <c r="A126" s="454" t="inlineStr">
        <is>
          <t>15(1)</t>
        </is>
      </c>
      <c r="B126" s="1381" t="n"/>
      <c r="C126" s="204" t="n">
        <v>72</v>
      </c>
      <c r="D126" s="382" t="inlineStr">
        <is>
          <t>16.1(1)d)</t>
        </is>
      </c>
      <c r="E126" s="1384" t="n"/>
      <c r="F126" s="396" t="n">
        <v>0</v>
      </c>
      <c r="G126" s="382" t="inlineStr">
        <is>
          <t>19(1)</t>
        </is>
      </c>
      <c r="H126" s="1384" t="n"/>
      <c r="I126" s="395" t="n">
        <v>478</v>
      </c>
      <c r="J126" s="404" t="inlineStr">
        <is>
          <t>22.1(1)</t>
        </is>
      </c>
      <c r="K126" s="1384" t="n"/>
      <c r="L126" s="290" t="n">
        <v>0</v>
      </c>
      <c r="M126" s="88" t="n"/>
      <c r="N126" s="88" t="n"/>
      <c r="O126" s="88" t="n"/>
      <c r="P126" s="88" t="n"/>
      <c r="Q126" s="88" t="n"/>
      <c r="R126" s="88" t="n"/>
      <c r="S126" s="88" t="n"/>
      <c r="T126" s="88" t="n"/>
      <c r="U126" s="88" t="n"/>
      <c r="V126" s="88" t="n"/>
      <c r="W126" s="88" t="n"/>
      <c r="X126" s="88" t="n"/>
      <c r="Y126" s="88" t="n"/>
      <c r="Z126" s="88" t="n"/>
      <c r="AA126" s="88" t="n"/>
      <c r="AB126" s="88" t="n"/>
      <c r="AC126" s="88" t="n"/>
      <c r="AD126" s="88" t="n"/>
      <c r="AE126" s="88" t="n"/>
      <c r="AF126" s="88" t="n"/>
      <c r="AG126" s="88" t="n"/>
      <c r="AH126" s="26" t="n"/>
      <c r="AI126" s="26" t="n"/>
      <c r="AJ126" s="26" t="n"/>
      <c r="AK126" s="26" t="n"/>
    </row>
    <row r="127">
      <c r="A127" s="382" t="inlineStr">
        <is>
          <t>15(1) - A.I.*</t>
        </is>
      </c>
      <c r="B127" s="1384" t="n"/>
      <c r="C127" s="387" t="n">
        <v>68</v>
      </c>
      <c r="D127" s="382" t="inlineStr">
        <is>
          <t>16.2(1)</t>
        </is>
      </c>
      <c r="E127" s="1384" t="n"/>
      <c r="F127" s="396" t="n">
        <v>0</v>
      </c>
      <c r="G127" s="382" t="inlineStr">
        <is>
          <t>20(1)a)</t>
        </is>
      </c>
      <c r="H127" s="1384" t="n"/>
      <c r="I127" s="395" t="n">
        <v>4</v>
      </c>
      <c r="J127" s="404" t="n">
        <v>23</v>
      </c>
      <c r="K127" s="1384" t="n"/>
      <c r="L127" s="290" t="n">
        <v>77</v>
      </c>
      <c r="M127" s="88" t="n"/>
      <c r="N127" s="88" t="n"/>
      <c r="O127" s="88" t="n"/>
      <c r="P127" s="88" t="n"/>
      <c r="Q127" s="88" t="n"/>
      <c r="R127" s="88" t="n"/>
      <c r="S127" s="88" t="n"/>
      <c r="T127" s="88" t="n"/>
      <c r="U127" s="88" t="n"/>
      <c r="V127" s="88" t="n"/>
      <c r="W127" s="88" t="n"/>
      <c r="X127" s="88" t="n"/>
      <c r="Y127" s="88" t="n"/>
      <c r="Z127" s="88" t="n"/>
      <c r="AA127" s="88" t="n"/>
      <c r="AB127" s="88" t="n"/>
      <c r="AC127" s="88" t="n"/>
      <c r="AD127" s="88" t="n"/>
      <c r="AE127" s="88" t="n"/>
      <c r="AF127" s="88" t="n"/>
      <c r="AG127" s="88" t="n"/>
      <c r="AH127" s="26" t="n"/>
      <c r="AI127" s="26" t="n"/>
      <c r="AJ127" s="26" t="n"/>
      <c r="AK127" s="26" t="n"/>
    </row>
    <row r="128">
      <c r="A128" s="382" t="inlineStr">
        <is>
          <t>15(1) - Déf.*</t>
        </is>
      </c>
      <c r="B128" s="1384" t="n"/>
      <c r="C128" s="387" t="n">
        <v>122</v>
      </c>
      <c r="D128" s="382" t="n">
        <v>16.3</v>
      </c>
      <c r="E128" s="1384" t="n"/>
      <c r="F128" s="396" t="n">
        <v>0</v>
      </c>
      <c r="G128" s="382" t="inlineStr">
        <is>
          <t>20(1)b)</t>
        </is>
      </c>
      <c r="H128" s="1384" t="n"/>
      <c r="I128" s="395" t="n">
        <v>69</v>
      </c>
      <c r="J128" s="380" t="n">
        <v>23.1</v>
      </c>
      <c r="K128" s="1384" t="n"/>
      <c r="L128" s="293" t="n">
        <v>0</v>
      </c>
      <c r="M128" s="88" t="n"/>
      <c r="N128" s="88" t="n"/>
      <c r="O128" s="88" t="n"/>
      <c r="P128" s="88" t="n"/>
      <c r="Q128" s="88" t="n"/>
      <c r="R128" s="88" t="n"/>
      <c r="S128" s="88" t="n"/>
      <c r="T128" s="88" t="n"/>
      <c r="U128" s="88" t="n"/>
      <c r="V128" s="88" t="n"/>
      <c r="W128" s="88" t="n"/>
      <c r="X128" s="88" t="n"/>
      <c r="Y128" s="88" t="n"/>
      <c r="Z128" s="88" t="n"/>
      <c r="AA128" s="88" t="n"/>
      <c r="AB128" s="88" t="n"/>
      <c r="AC128" s="88" t="n"/>
      <c r="AD128" s="88" t="n"/>
      <c r="AE128" s="88" t="n"/>
      <c r="AF128" s="88" t="n"/>
      <c r="AG128" s="88" t="n"/>
      <c r="AH128" s="26" t="n"/>
      <c r="AI128" s="26" t="n"/>
      <c r="AJ128" s="26" t="n"/>
      <c r="AK128" s="26" t="n"/>
    </row>
    <row r="129">
      <c r="A129" s="382" t="inlineStr">
        <is>
          <t>15(1) - A.S.*</t>
        </is>
      </c>
      <c r="B129" s="1384" t="n"/>
      <c r="C129" s="387" t="n">
        <v>1</v>
      </c>
      <c r="D129" s="382" t="inlineStr">
        <is>
          <t>16.4(1)a)</t>
        </is>
      </c>
      <c r="E129" s="1384" t="n"/>
      <c r="F129" s="396" t="n">
        <v>0</v>
      </c>
      <c r="G129" s="382" t="inlineStr">
        <is>
          <t>20(1)b.1)</t>
        </is>
      </c>
      <c r="H129" s="1384" t="n"/>
      <c r="I129" s="395" t="n">
        <v>0</v>
      </c>
      <c r="J129" s="404" t="inlineStr">
        <is>
          <t>24(1)</t>
        </is>
      </c>
      <c r="K129" s="1384" t="n"/>
      <c r="L129" s="290" t="n">
        <v>17</v>
      </c>
      <c r="M129" s="88" t="n"/>
      <c r="N129" s="88" t="n"/>
      <c r="O129" s="88" t="n"/>
      <c r="P129" s="88" t="n"/>
      <c r="Q129" s="88" t="n"/>
      <c r="R129" s="88" t="n"/>
      <c r="S129" s="88" t="n"/>
      <c r="T129" s="88" t="n"/>
      <c r="U129" s="88" t="n"/>
      <c r="V129" s="88" t="n"/>
      <c r="W129" s="88" t="n"/>
      <c r="X129" s="88" t="n"/>
      <c r="Y129" s="88" t="n"/>
      <c r="Z129" s="88" t="n"/>
      <c r="AA129" s="88" t="n"/>
      <c r="AB129" s="88" t="n"/>
      <c r="AC129" s="88" t="n"/>
      <c r="AD129" s="88" t="n"/>
      <c r="AE129" s="88" t="n"/>
      <c r="AF129" s="88" t="n"/>
      <c r="AG129" s="88" t="n"/>
      <c r="AH129" s="26" t="n"/>
      <c r="AI129" s="26" t="n"/>
      <c r="AJ129" s="26" t="n"/>
      <c r="AK129" s="26" t="n"/>
    </row>
    <row r="130" ht="15.75" customHeight="1" thickBot="1">
      <c r="A130" s="393" t="inlineStr">
        <is>
          <t>16(1)a)(i)</t>
        </is>
      </c>
      <c r="B130" s="1381" t="n"/>
      <c r="C130" s="387" t="n">
        <v>0</v>
      </c>
      <c r="D130" s="382" t="inlineStr">
        <is>
          <t>16.4(1)b)</t>
        </is>
      </c>
      <c r="E130" s="1384" t="n"/>
      <c r="F130" s="396" t="n">
        <v>0</v>
      </c>
      <c r="G130" s="382" t="inlineStr">
        <is>
          <t>20(1)c)</t>
        </is>
      </c>
      <c r="H130" s="1384" t="n"/>
      <c r="I130" s="395" t="n">
        <v>70</v>
      </c>
      <c r="J130" s="983" t="n">
        <v>26</v>
      </c>
      <c r="K130" s="1396" t="n"/>
      <c r="L130" s="294" t="n">
        <v>0</v>
      </c>
      <c r="M130" s="88" t="n"/>
      <c r="N130" s="88" t="n"/>
      <c r="O130" s="88" t="n"/>
      <c r="P130" s="88" t="n"/>
      <c r="Q130" s="88" t="n"/>
      <c r="R130" s="88" t="n"/>
      <c r="S130" s="88" t="n"/>
      <c r="T130" s="88" t="n"/>
      <c r="U130" s="88" t="n"/>
      <c r="V130" s="88" t="n"/>
      <c r="W130" s="88" t="n"/>
      <c r="X130" s="88" t="n"/>
      <c r="Y130" s="88" t="n"/>
      <c r="Z130" s="88" t="n"/>
      <c r="AA130" s="88" t="n"/>
      <c r="AB130" s="88" t="n"/>
      <c r="AC130" s="88" t="n"/>
      <c r="AD130" s="88" t="n"/>
      <c r="AE130" s="88" t="n"/>
      <c r="AF130" s="88" t="n"/>
      <c r="AG130" s="88" t="n"/>
      <c r="AH130" s="26" t="n"/>
      <c r="AI130" s="26" t="n"/>
      <c r="AJ130" s="26" t="n"/>
      <c r="AK130" s="26" t="n"/>
    </row>
    <row r="131" ht="16.5" customHeight="1" thickBot="1" thickTop="1">
      <c r="A131" s="393" t="inlineStr">
        <is>
          <t>16(1)a)(ii)</t>
        </is>
      </c>
      <c r="B131" s="1381" t="n"/>
      <c r="C131" s="387" t="n">
        <v>1</v>
      </c>
      <c r="D131" s="382" t="n">
        <v>16.5</v>
      </c>
      <c r="E131" s="1384" t="n"/>
      <c r="F131" s="396" t="n">
        <v>0</v>
      </c>
      <c r="G131" s="440" t="inlineStr">
        <is>
          <t>20(1)d)</t>
        </is>
      </c>
      <c r="H131" s="1396" t="n"/>
      <c r="I131" s="874" t="n">
        <v>8</v>
      </c>
      <c r="J131" s="95" t="n"/>
      <c r="K131" s="50" t="n"/>
      <c r="L131" s="241" t="n"/>
      <c r="M131" s="194">
        <f>IF(AND(SUM(C118:C135,F118:F133,I118:I131,L118:L130)&gt;0,SUM(L105,L106,L110)=0),"Si le nombre total de demandes indiqué au tableau 4.2 est supérieur à zéro, le nombre total de demandes indiqué aux rangées 2, 3 et 7 de la colonne 8 du tableau 4.1 doit être supérieur à zéro. ","")</f>
        <v/>
      </c>
      <c r="N131" s="88" t="n"/>
      <c r="O131" s="88" t="n"/>
      <c r="P131" s="88" t="n"/>
      <c r="Q131" s="88" t="n"/>
      <c r="R131" s="88" t="n"/>
      <c r="S131" s="88" t="n"/>
      <c r="T131" s="88" t="n"/>
      <c r="U131" s="88" t="n"/>
      <c r="V131" s="88" t="n"/>
      <c r="W131" s="88" t="n"/>
      <c r="X131" s="88" t="n"/>
      <c r="Y131" s="88" t="n"/>
      <c r="Z131" s="88" t="n"/>
      <c r="AA131" s="88" t="n"/>
      <c r="AB131" s="88" t="n"/>
      <c r="AC131" s="88" t="n"/>
      <c r="AD131" s="88" t="n"/>
      <c r="AE131" s="88" t="n"/>
      <c r="AF131" s="88" t="n"/>
      <c r="AG131" s="88" t="n"/>
      <c r="AH131" s="26" t="n"/>
      <c r="AI131" s="26" t="n"/>
      <c r="AJ131" s="26" t="n"/>
      <c r="AK131" s="26" t="n"/>
    </row>
    <row r="132" ht="15.75" customHeight="1" thickTop="1">
      <c r="A132" s="393" t="inlineStr">
        <is>
          <t>16(1)a)(iii)</t>
        </is>
      </c>
      <c r="B132" s="1381" t="n"/>
      <c r="C132" s="387" t="n">
        <v>0</v>
      </c>
      <c r="D132" s="1429" t="n">
        <v>16.6</v>
      </c>
      <c r="E132" s="1384" t="n"/>
      <c r="F132" s="532" t="n">
        <v>0</v>
      </c>
      <c r="G132" s="46" t="n"/>
      <c r="H132" s="46" t="n"/>
      <c r="I132" s="46" t="n"/>
      <c r="J132" s="46" t="n"/>
      <c r="M132" s="88" t="n"/>
      <c r="N132" s="88" t="n"/>
      <c r="O132" s="88" t="n"/>
      <c r="P132" s="88" t="n"/>
      <c r="Q132" s="88" t="n"/>
      <c r="R132" s="88" t="n"/>
      <c r="S132" s="88" t="n"/>
      <c r="T132" s="88" t="n"/>
      <c r="U132" s="88" t="n"/>
      <c r="V132" s="88" t="n"/>
      <c r="W132" s="88" t="n"/>
      <c r="X132" s="88" t="n"/>
      <c r="Y132" s="88" t="n"/>
      <c r="Z132" s="88" t="n"/>
      <c r="AA132" s="88" t="n"/>
      <c r="AB132" s="88" t="n"/>
      <c r="AC132" s="88" t="n"/>
      <c r="AD132" s="88" t="n"/>
      <c r="AE132" s="88" t="n"/>
      <c r="AF132" s="88" t="n"/>
      <c r="AG132" s="88" t="n"/>
      <c r="AH132" s="26" t="n"/>
      <c r="AI132" s="26" t="n"/>
      <c r="AJ132" s="26" t="n"/>
      <c r="AK132" s="26" t="n"/>
    </row>
    <row r="133" ht="15.75" customHeight="1" thickBot="1">
      <c r="A133" s="393" t="inlineStr">
        <is>
          <t>16(1)b)</t>
        </is>
      </c>
      <c r="B133" s="1381" t="n"/>
      <c r="C133" s="387" t="n">
        <v>11</v>
      </c>
      <c r="D133" s="440" t="n">
        <v>17</v>
      </c>
      <c r="E133" s="1396" t="n"/>
      <c r="F133" s="874" t="n">
        <v>1</v>
      </c>
      <c r="G133" s="46" t="n"/>
      <c r="H133" s="46" t="n"/>
      <c r="I133" s="46" t="n"/>
      <c r="J133" s="46" t="n"/>
      <c r="M133" s="88" t="n"/>
      <c r="N133" s="88" t="n"/>
      <c r="O133" s="88" t="n"/>
      <c r="P133" s="88" t="n"/>
      <c r="Q133" s="88" t="n"/>
      <c r="R133" s="88" t="n"/>
      <c r="S133" s="88" t="n"/>
      <c r="T133" s="88" t="n"/>
      <c r="U133" s="88" t="n"/>
      <c r="V133" s="88" t="n"/>
      <c r="W133" s="88" t="n"/>
      <c r="X133" s="88" t="n"/>
      <c r="Y133" s="88" t="n"/>
      <c r="Z133" s="88" t="n"/>
      <c r="AA133" s="88" t="n"/>
      <c r="AB133" s="88" t="n"/>
      <c r="AC133" s="88" t="n"/>
      <c r="AD133" s="88" t="n"/>
      <c r="AE133" s="88" t="n"/>
      <c r="AF133" s="88" t="n"/>
      <c r="AG133" s="88" t="n"/>
      <c r="AH133" s="26" t="n"/>
      <c r="AI133" s="26" t="n"/>
      <c r="AJ133" s="26" t="n"/>
      <c r="AK133" s="26" t="n"/>
    </row>
    <row r="134" ht="15.75" customHeight="1" thickTop="1">
      <c r="A134" s="393" t="inlineStr">
        <is>
          <t>16(1)c)</t>
        </is>
      </c>
      <c r="B134" s="1381" t="n"/>
      <c r="C134" s="387" t="n">
        <v>11</v>
      </c>
      <c r="G134" s="50" t="n"/>
      <c r="H134" s="50" t="n"/>
      <c r="I134" s="451" t="n"/>
      <c r="J134" s="47" t="n"/>
      <c r="M134" s="88" t="n"/>
      <c r="N134" s="88" t="n"/>
      <c r="O134" s="88" t="n"/>
      <c r="P134" s="88" t="n"/>
      <c r="Q134" s="88" t="n"/>
      <c r="R134" s="88" t="n"/>
      <c r="S134" s="88" t="n"/>
      <c r="T134" s="88" t="n"/>
      <c r="U134" s="88" t="n"/>
      <c r="V134" s="88" t="n"/>
      <c r="W134" s="88" t="n"/>
      <c r="X134" s="88" t="n"/>
      <c r="Y134" s="88" t="n"/>
      <c r="Z134" s="88" t="n"/>
      <c r="AA134" s="88" t="n"/>
      <c r="AB134" s="88" t="n"/>
      <c r="AC134" s="88" t="n"/>
      <c r="AD134" s="88" t="n"/>
      <c r="AE134" s="88" t="n"/>
      <c r="AF134" s="88" t="n"/>
      <c r="AG134" s="88" t="n"/>
      <c r="AH134" s="26" t="n"/>
      <c r="AI134" s="26" t="n"/>
      <c r="AJ134" s="26" t="n"/>
      <c r="AK134" s="26" t="n"/>
    </row>
    <row r="135" ht="15.75" customHeight="1" thickBot="1">
      <c r="A135" s="440" t="inlineStr">
        <is>
          <t>16(1)d)</t>
        </is>
      </c>
      <c r="B135" s="1396" t="n"/>
      <c r="C135" s="874" t="n">
        <v>0</v>
      </c>
      <c r="D135" s="96" t="n"/>
      <c r="E135" s="97" t="inlineStr">
        <is>
          <t>*A.I. : Affaires internationales   Déf. : Défense du Canada    A.S. : Activités subversives</t>
        </is>
      </c>
      <c r="G135" s="98" t="n"/>
      <c r="H135" s="98" t="n"/>
      <c r="I135" s="98" t="n"/>
      <c r="J135" s="98" t="n"/>
      <c r="M135" s="88" t="n"/>
      <c r="N135" s="88" t="n"/>
      <c r="O135" s="88" t="n"/>
      <c r="P135" s="88" t="n"/>
      <c r="Q135" s="88" t="n"/>
      <c r="R135" s="88" t="n"/>
      <c r="S135" s="88" t="n"/>
      <c r="T135" s="88" t="n"/>
      <c r="U135" s="88" t="n"/>
      <c r="V135" s="88" t="n"/>
      <c r="W135" s="88" t="n"/>
      <c r="X135" s="88" t="n"/>
      <c r="Y135" s="88" t="n"/>
      <c r="Z135" s="88" t="n"/>
      <c r="AA135" s="88" t="n"/>
      <c r="AB135" s="88" t="n"/>
      <c r="AC135" s="88" t="n"/>
      <c r="AD135" s="88" t="n"/>
      <c r="AE135" s="88" t="n"/>
      <c r="AF135" s="88" t="n"/>
      <c r="AG135" s="88" t="n"/>
      <c r="AH135" s="26" t="n"/>
      <c r="AI135" s="26" t="n"/>
      <c r="AJ135" s="26" t="n"/>
      <c r="AK135" s="26" t="n"/>
    </row>
    <row r="136" ht="15.75" customHeight="1" thickTop="1">
      <c r="M136" s="88" t="n"/>
      <c r="N136" s="88" t="n"/>
      <c r="O136" s="88" t="n"/>
      <c r="P136" s="88" t="n"/>
      <c r="Q136" s="88" t="n"/>
      <c r="R136" s="88" t="n"/>
      <c r="S136" s="88" t="n"/>
      <c r="T136" s="88" t="n"/>
      <c r="U136" s="88" t="n"/>
      <c r="V136" s="88" t="n"/>
      <c r="W136" s="88" t="n"/>
      <c r="X136" s="88" t="n"/>
      <c r="Y136" s="88" t="n"/>
      <c r="Z136" s="88" t="n"/>
      <c r="AA136" s="88" t="n"/>
      <c r="AB136" s="88" t="n"/>
      <c r="AC136" s="88" t="n"/>
      <c r="AD136" s="88" t="n"/>
      <c r="AE136" s="88" t="n"/>
      <c r="AF136" s="88" t="n"/>
      <c r="AG136" s="88" t="n"/>
      <c r="AH136" s="26" t="n"/>
      <c r="AI136" s="26" t="n"/>
      <c r="AJ136" s="26" t="n"/>
      <c r="AK136" s="26" t="n"/>
    </row>
    <row r="137">
      <c r="A137" s="326" t="inlineStr">
        <is>
          <t xml:space="preserve">4.3 Exclusions </t>
        </is>
      </c>
      <c r="M137" s="88" t="n"/>
      <c r="N137" s="88" t="n"/>
      <c r="O137" s="88" t="n"/>
      <c r="P137" s="88" t="n"/>
      <c r="Q137" s="88" t="n"/>
      <c r="R137" s="88" t="n"/>
      <c r="S137" s="88" t="n"/>
      <c r="T137" s="88" t="n"/>
      <c r="U137" s="88" t="n"/>
      <c r="V137" s="88" t="n"/>
      <c r="W137" s="88" t="n"/>
      <c r="X137" s="88" t="n"/>
      <c r="Y137" s="88" t="n"/>
      <c r="Z137" s="88" t="n"/>
      <c r="AA137" s="88" t="n"/>
      <c r="AB137" s="88" t="n"/>
      <c r="AC137" s="88" t="n"/>
      <c r="AD137" s="88" t="n"/>
      <c r="AE137" s="88" t="n"/>
      <c r="AF137" s="88" t="n"/>
      <c r="AG137" s="88" t="n"/>
      <c r="AH137" s="26" t="n"/>
      <c r="AI137" s="26" t="n"/>
      <c r="AJ137" s="26" t="n"/>
      <c r="AK137" s="26" t="n"/>
    </row>
    <row r="138" ht="15.75" customHeight="1" thickBot="1">
      <c r="M138" s="88" t="n"/>
      <c r="N138" s="88" t="n"/>
      <c r="O138" s="88" t="n"/>
      <c r="P138" s="88" t="n"/>
      <c r="Q138" s="88" t="n"/>
      <c r="R138" s="88" t="n"/>
      <c r="S138" s="88" t="n"/>
      <c r="T138" s="88" t="n"/>
      <c r="U138" s="88" t="n"/>
      <c r="V138" s="88" t="n"/>
      <c r="W138" s="88" t="n"/>
      <c r="X138" s="88" t="n"/>
      <c r="Y138" s="88" t="n"/>
      <c r="Z138" s="88" t="n"/>
      <c r="AA138" s="88" t="n"/>
      <c r="AB138" s="88" t="n"/>
      <c r="AC138" s="88" t="n"/>
      <c r="AD138" s="88" t="n"/>
      <c r="AE138" s="88" t="n"/>
      <c r="AF138" s="88" t="n"/>
      <c r="AG138" s="88" t="n"/>
      <c r="AH138" s="26" t="n"/>
      <c r="AI138" s="26" t="n"/>
      <c r="AJ138" s="26" t="n"/>
      <c r="AK138" s="26" t="n"/>
    </row>
    <row r="139" ht="28.9" customHeight="1" thickBot="1" thickTop="1">
      <c r="A139" s="491" t="inlineStr">
        <is>
          <t>Article</t>
        </is>
      </c>
      <c r="B139" s="1405" t="n"/>
      <c r="C139" s="389" t="inlineStr">
        <is>
          <t>Nombre de demandes</t>
        </is>
      </c>
      <c r="D139" s="1375" t="n"/>
      <c r="E139" s="491" t="inlineStr">
        <is>
          <t>Article</t>
        </is>
      </c>
      <c r="F139" s="1405" t="n"/>
      <c r="G139" s="389" t="inlineStr">
        <is>
          <t>Nombre de demandes</t>
        </is>
      </c>
      <c r="H139" s="1375" t="n"/>
      <c r="I139" s="491" t="inlineStr">
        <is>
          <t>Article</t>
        </is>
      </c>
      <c r="J139" s="1405" t="n"/>
      <c r="K139" s="389" t="inlineStr">
        <is>
          <t>Nombre de demandes</t>
        </is>
      </c>
      <c r="L139" s="1375" t="n"/>
      <c r="M139" s="88" t="n"/>
      <c r="N139" s="88" t="n"/>
      <c r="O139" s="88" t="n"/>
      <c r="P139" s="88" t="n"/>
      <c r="Q139" s="88" t="n"/>
      <c r="R139" s="88" t="n"/>
      <c r="S139" s="88" t="n"/>
      <c r="T139" s="88" t="n"/>
      <c r="U139" s="88" t="n"/>
      <c r="V139" s="88" t="n"/>
      <c r="W139" s="88" t="n"/>
      <c r="X139" s="88" t="n"/>
      <c r="Y139" s="88" t="n"/>
      <c r="Z139" s="88" t="n"/>
      <c r="AA139" s="88" t="n"/>
      <c r="AB139" s="88" t="n"/>
      <c r="AC139" s="88" t="n"/>
      <c r="AD139" s="88" t="n"/>
      <c r="AE139" s="88" t="n"/>
      <c r="AF139" s="88" t="n"/>
      <c r="AG139" s="88" t="n"/>
      <c r="AH139" s="26" t="n"/>
      <c r="AI139" s="26" t="n"/>
      <c r="AJ139" s="26" t="n"/>
      <c r="AK139" s="26" t="n"/>
    </row>
    <row r="140" ht="15.75" customHeight="1" thickTop="1">
      <c r="A140" s="458" t="inlineStr">
        <is>
          <t>68a)</t>
        </is>
      </c>
      <c r="B140" s="1377" t="n"/>
      <c r="C140" s="546" t="n">
        <v>12</v>
      </c>
      <c r="D140" s="1399" t="n"/>
      <c r="E140" s="397" t="inlineStr">
        <is>
          <t>69(1)</t>
        </is>
      </c>
      <c r="F140" s="1398" t="n"/>
      <c r="G140" s="901" t="n">
        <v>3</v>
      </c>
      <c r="H140" s="1407" t="n"/>
      <c r="I140" s="397" t="inlineStr">
        <is>
          <t>69(1)g) re a)</t>
        </is>
      </c>
      <c r="J140" s="1398" t="n"/>
      <c r="K140" s="409" t="n">
        <v>24</v>
      </c>
      <c r="L140" s="1399" t="n"/>
      <c r="M140" s="88" t="n"/>
      <c r="N140" s="88" t="n"/>
      <c r="O140" s="88" t="n"/>
      <c r="P140" s="88" t="n"/>
      <c r="Q140" s="88" t="n"/>
      <c r="R140" s="88" t="n"/>
      <c r="S140" s="88" t="n"/>
      <c r="T140" s="88" t="n"/>
      <c r="U140" s="88" t="n"/>
      <c r="V140" s="88" t="n"/>
      <c r="W140" s="88" t="n"/>
      <c r="X140" s="88" t="n"/>
      <c r="Y140" s="88" t="n"/>
      <c r="Z140" s="88" t="n"/>
      <c r="AA140" s="88" t="n"/>
      <c r="AB140" s="88" t="n"/>
      <c r="AC140" s="88" t="n"/>
      <c r="AD140" s="88" t="n"/>
      <c r="AE140" s="88" t="n"/>
      <c r="AF140" s="88" t="n"/>
      <c r="AG140" s="88" t="n"/>
      <c r="AH140" s="26" t="n"/>
      <c r="AI140" s="26" t="n"/>
      <c r="AJ140" s="26" t="n"/>
      <c r="AK140" s="26" t="n"/>
    </row>
    <row r="141">
      <c r="A141" s="393" t="inlineStr">
        <is>
          <t>68b)</t>
        </is>
      </c>
      <c r="B141" s="1381" t="n"/>
      <c r="C141" s="386" t="n">
        <v>0</v>
      </c>
      <c r="D141" s="1401" t="n"/>
      <c r="E141" s="382" t="inlineStr">
        <is>
          <t>69(1)a)</t>
        </is>
      </c>
      <c r="F141" s="1384" t="n"/>
      <c r="G141" s="400" t="n">
        <v>6</v>
      </c>
      <c r="H141" s="1401" t="n"/>
      <c r="I141" s="382" t="inlineStr">
        <is>
          <t>69(1)g) re b)</t>
        </is>
      </c>
      <c r="J141" s="1384" t="n"/>
      <c r="K141" s="400" t="n">
        <v>0</v>
      </c>
      <c r="L141" s="1401" t="n"/>
      <c r="M141" s="88" t="n"/>
      <c r="N141" s="88" t="n"/>
      <c r="O141" s="88" t="n"/>
      <c r="P141" s="88" t="n"/>
      <c r="Q141" s="88" t="n"/>
      <c r="R141" s="88" t="n"/>
      <c r="S141" s="88" t="n"/>
      <c r="T141" s="88" t="n"/>
      <c r="U141" s="88" t="n"/>
      <c r="V141" s="88" t="n"/>
      <c r="W141" s="88" t="n"/>
      <c r="X141" s="88" t="n"/>
      <c r="Y141" s="88" t="n"/>
      <c r="Z141" s="88" t="n"/>
      <c r="AA141" s="88" t="n"/>
      <c r="AB141" s="88" t="n"/>
      <c r="AC141" s="88" t="n"/>
      <c r="AD141" s="88" t="n"/>
      <c r="AE141" s="88" t="n"/>
      <c r="AF141" s="88" t="n"/>
      <c r="AG141" s="88" t="n"/>
      <c r="AH141" s="26" t="n"/>
      <c r="AI141" s="26" t="n"/>
      <c r="AJ141" s="26" t="n"/>
      <c r="AK141" s="26" t="n"/>
    </row>
    <row r="142">
      <c r="A142" s="393" t="inlineStr">
        <is>
          <t>68c)</t>
        </is>
      </c>
      <c r="B142" s="1381" t="n"/>
      <c r="C142" s="386" t="n">
        <v>0</v>
      </c>
      <c r="D142" s="1401" t="n"/>
      <c r="E142" s="382" t="inlineStr">
        <is>
          <t>69(1)b)</t>
        </is>
      </c>
      <c r="F142" s="1384" t="n"/>
      <c r="G142" s="396" t="n">
        <v>0</v>
      </c>
      <c r="H142" s="1421" t="n"/>
      <c r="I142" s="382" t="inlineStr">
        <is>
          <t>69(1)g) re c)</t>
        </is>
      </c>
      <c r="J142" s="1384" t="n"/>
      <c r="K142" s="400" t="n">
        <v>3</v>
      </c>
      <c r="L142" s="1401" t="n"/>
      <c r="M142" s="88" t="n"/>
      <c r="N142" s="88" t="n"/>
      <c r="O142" s="88" t="n"/>
      <c r="P142" s="88" t="n"/>
      <c r="Q142" s="88" t="n"/>
      <c r="R142" s="88" t="n"/>
      <c r="S142" s="88" t="n"/>
      <c r="T142" s="88" t="n"/>
      <c r="U142" s="88" t="n"/>
      <c r="V142" s="88" t="n"/>
      <c r="W142" s="88" t="n"/>
      <c r="X142" s="88" t="n"/>
      <c r="Y142" s="88" t="n"/>
      <c r="Z142" s="88" t="n"/>
      <c r="AA142" s="88" t="n"/>
      <c r="AB142" s="88" t="n"/>
      <c r="AC142" s="88" t="n"/>
      <c r="AD142" s="88" t="n"/>
      <c r="AE142" s="88" t="n"/>
      <c r="AF142" s="88" t="n"/>
      <c r="AG142" s="88" t="n"/>
      <c r="AH142" s="26" t="n"/>
      <c r="AI142" s="26" t="n"/>
      <c r="AJ142" s="26" t="n"/>
      <c r="AK142" s="26" t="n"/>
    </row>
    <row r="143">
      <c r="A143" s="393" t="inlineStr">
        <is>
          <t>68.1</t>
        </is>
      </c>
      <c r="B143" s="1381" t="n"/>
      <c r="C143" s="386" t="n">
        <v>0</v>
      </c>
      <c r="D143" s="1401" t="n"/>
      <c r="E143" s="382" t="inlineStr">
        <is>
          <t>69(1)c)</t>
        </is>
      </c>
      <c r="F143" s="1384" t="n"/>
      <c r="G143" s="396" t="n">
        <v>0</v>
      </c>
      <c r="H143" s="1421" t="n"/>
      <c r="I143" s="382" t="inlineStr">
        <is>
          <t>69(1)g) re d)</t>
        </is>
      </c>
      <c r="J143" s="1384" t="n"/>
      <c r="K143" s="400" t="n">
        <v>0</v>
      </c>
      <c r="L143" s="1401" t="n"/>
      <c r="M143" s="88" t="n"/>
      <c r="N143" s="88" t="n"/>
      <c r="O143" s="88" t="n"/>
      <c r="P143" s="88" t="n"/>
      <c r="Q143" s="88" t="n"/>
      <c r="R143" s="88" t="n"/>
      <c r="S143" s="88" t="n"/>
      <c r="T143" s="88" t="n"/>
      <c r="U143" s="88" t="n"/>
      <c r="V143" s="88" t="n"/>
      <c r="W143" s="88" t="n"/>
      <c r="X143" s="88" t="n"/>
      <c r="Y143" s="88" t="n"/>
      <c r="Z143" s="88" t="n"/>
      <c r="AA143" s="88" t="n"/>
      <c r="AB143" s="88" t="n"/>
      <c r="AC143" s="88" t="n"/>
      <c r="AD143" s="88" t="n"/>
      <c r="AE143" s="88" t="n"/>
      <c r="AF143" s="88" t="n"/>
      <c r="AG143" s="88" t="n"/>
      <c r="AH143" s="26" t="n"/>
      <c r="AI143" s="26" t="n"/>
      <c r="AJ143" s="26" t="n"/>
      <c r="AK143" s="26" t="n"/>
    </row>
    <row r="144">
      <c r="A144" s="393" t="inlineStr">
        <is>
          <t>68.2a)</t>
        </is>
      </c>
      <c r="B144" s="1381" t="n"/>
      <c r="C144" s="386" t="n">
        <v>0</v>
      </c>
      <c r="D144" s="1401" t="n"/>
      <c r="E144" s="382" t="inlineStr">
        <is>
          <t>69(1)d)</t>
        </is>
      </c>
      <c r="F144" s="1384" t="n"/>
      <c r="G144" s="396" t="n">
        <v>1</v>
      </c>
      <c r="H144" s="1421" t="n"/>
      <c r="I144" s="382" t="inlineStr">
        <is>
          <t>69(1)g) re e)</t>
        </is>
      </c>
      <c r="J144" s="1384" t="n"/>
      <c r="K144" s="400" t="n">
        <v>2</v>
      </c>
      <c r="L144" s="1401" t="n"/>
      <c r="M144" s="88" t="n"/>
      <c r="N144" s="88" t="n"/>
      <c r="O144" s="88" t="n"/>
      <c r="P144" s="88" t="n"/>
      <c r="Q144" s="88" t="n"/>
      <c r="R144" s="88" t="n"/>
      <c r="S144" s="88" t="n"/>
      <c r="T144" s="88" t="n"/>
      <c r="U144" s="88" t="n"/>
      <c r="V144" s="88" t="n"/>
      <c r="W144" s="88" t="n"/>
      <c r="X144" s="88" t="n"/>
      <c r="Y144" s="88" t="n"/>
      <c r="Z144" s="88" t="n"/>
      <c r="AA144" s="88" t="n"/>
      <c r="AB144" s="88" t="n"/>
      <c r="AC144" s="88" t="n"/>
      <c r="AD144" s="88" t="n"/>
      <c r="AE144" s="88" t="n"/>
      <c r="AF144" s="88" t="n"/>
      <c r="AG144" s="88" t="n"/>
      <c r="AH144" s="26" t="n"/>
      <c r="AI144" s="26" t="n"/>
      <c r="AJ144" s="26" t="n"/>
      <c r="AK144" s="26" t="n"/>
    </row>
    <row r="145" ht="15.75" customHeight="1" thickBot="1">
      <c r="A145" s="573" t="inlineStr">
        <is>
          <t>68.2b)</t>
        </is>
      </c>
      <c r="B145" s="1385" t="n"/>
      <c r="C145" s="575" t="n">
        <v>0</v>
      </c>
      <c r="D145" s="1409" t="n"/>
      <c r="E145" s="382" t="inlineStr">
        <is>
          <t>69(1)e)</t>
        </is>
      </c>
      <c r="F145" s="1384" t="n"/>
      <c r="G145" s="396" t="n">
        <v>2</v>
      </c>
      <c r="H145" s="1421" t="n"/>
      <c r="I145" s="382" t="inlineStr">
        <is>
          <t>69(1)g) re f)</t>
        </is>
      </c>
      <c r="J145" s="1384" t="n"/>
      <c r="K145" s="400" t="n">
        <v>2</v>
      </c>
      <c r="L145" s="1401" t="n"/>
      <c r="M145" s="88" t="n"/>
      <c r="N145" s="88" t="n"/>
      <c r="O145" s="88" t="n"/>
      <c r="P145" s="88" t="n"/>
      <c r="Q145" s="88" t="n"/>
      <c r="R145" s="88" t="n"/>
      <c r="S145" s="88" t="n"/>
      <c r="T145" s="88" t="n"/>
      <c r="U145" s="88" t="n"/>
      <c r="V145" s="88" t="n"/>
      <c r="W145" s="88" t="n"/>
      <c r="X145" s="88" t="n"/>
      <c r="Y145" s="88" t="n"/>
      <c r="Z145" s="88" t="n"/>
      <c r="AA145" s="88" t="n"/>
      <c r="AB145" s="88" t="n"/>
      <c r="AC145" s="88" t="n"/>
      <c r="AD145" s="88" t="n"/>
      <c r="AE145" s="88" t="n"/>
      <c r="AF145" s="88" t="n"/>
      <c r="AG145" s="88" t="n"/>
      <c r="AH145" s="26" t="n"/>
      <c r="AI145" s="26" t="n"/>
      <c r="AJ145" s="26" t="n"/>
      <c r="AK145" s="26" t="n"/>
    </row>
    <row r="146" ht="16.5" customHeight="1" thickBot="1" thickTop="1">
      <c r="A146" s="437" t="n"/>
      <c r="B146" s="1412" t="n"/>
      <c r="C146" s="846" t="n"/>
      <c r="D146" s="1413" t="n"/>
      <c r="E146" s="440" t="inlineStr">
        <is>
          <t>69(1)f)</t>
        </is>
      </c>
      <c r="F146" s="1396" t="n"/>
      <c r="G146" s="874" t="n">
        <v>0</v>
      </c>
      <c r="H146" s="1418" t="n"/>
      <c r="I146" s="440" t="inlineStr">
        <is>
          <t>69.1(1)</t>
        </is>
      </c>
      <c r="J146" s="1396" t="n"/>
      <c r="K146" s="435" t="n">
        <v>0</v>
      </c>
      <c r="L146" s="1409" t="n"/>
      <c r="M146" s="194">
        <f>IF(AND(SUM(C140:D145,G140:H146,K140:L146)&gt;0,SUM(L105,L107,L110)=0),"Si le nombre total de demandes indiqué dans le tableau 4.3 est supérieur à zéro, le nombre total de demandes indiqué dans les rangées 2, 4 et 7 de la colonne 8 du tableau 4.1 doit être supérieur à zéro.","")</f>
        <v/>
      </c>
      <c r="N146" s="88" t="n"/>
      <c r="O146" s="88" t="n"/>
      <c r="P146" s="88" t="n"/>
      <c r="Q146" s="88" t="n"/>
      <c r="R146" s="88" t="n"/>
      <c r="S146" s="88" t="n"/>
      <c r="T146" s="88" t="n"/>
      <c r="U146" s="88" t="n"/>
      <c r="V146" s="88" t="n"/>
      <c r="W146" s="88" t="n"/>
      <c r="X146" s="88" t="n"/>
      <c r="Y146" s="88" t="n"/>
      <c r="Z146" s="88" t="n"/>
      <c r="AA146" s="88" t="n"/>
      <c r="AB146" s="88" t="n"/>
      <c r="AC146" s="88" t="n"/>
      <c r="AD146" s="88" t="n"/>
      <c r="AE146" s="88" t="n"/>
      <c r="AF146" s="88" t="n"/>
      <c r="AG146" s="88" t="n"/>
      <c r="AH146" s="26" t="n"/>
      <c r="AI146" s="26" t="n"/>
      <c r="AJ146" s="26" t="n"/>
      <c r="AK146" s="26" t="n"/>
    </row>
    <row r="147" ht="15.75" customHeight="1" thickTop="1">
      <c r="M147" s="836">
        <f>IF(SUM(A152:I152)&lt;SUM(L104:L105),"Section 4.4 - Le montant total de ""Papier, Électronique et Autres"" doit être égal ou supérieur au ""Total"" de ""Communication totale"" et ""Communication partielle"" de Section 4.1","")</f>
        <v/>
      </c>
      <c r="X147" s="46" t="n"/>
      <c r="Y147" s="46" t="n"/>
      <c r="Z147" s="46" t="n"/>
      <c r="AA147" s="46" t="n"/>
      <c r="AB147" s="46" t="n"/>
      <c r="AC147" s="46" t="n"/>
      <c r="AD147" s="88" t="n"/>
      <c r="AE147" s="88" t="n"/>
      <c r="AF147" s="88" t="n"/>
      <c r="AG147" s="88" t="n"/>
      <c r="AH147" s="26" t="n"/>
      <c r="AI147" s="26" t="n"/>
      <c r="AJ147" s="26" t="n"/>
      <c r="AK147" s="26" t="n"/>
    </row>
    <row r="148">
      <c r="A148" s="326" t="inlineStr">
        <is>
          <t>4.4  Format des documents communiqués</t>
        </is>
      </c>
      <c r="X148" s="46" t="n"/>
      <c r="Y148" s="46" t="n"/>
      <c r="Z148" s="46" t="n"/>
      <c r="AA148" s="46" t="n"/>
      <c r="AB148" s="46" t="n"/>
      <c r="AC148" s="46" t="n"/>
      <c r="AD148" s="88" t="n"/>
      <c r="AE148" s="88" t="n"/>
      <c r="AF148" s="88" t="n"/>
      <c r="AG148" s="88" t="n"/>
      <c r="AH148" s="26" t="n"/>
      <c r="AI148" s="26" t="n"/>
      <c r="AJ148" s="26" t="n"/>
      <c r="AK148" s="26" t="n"/>
    </row>
    <row r="149" ht="15.75" customHeight="1" thickBot="1">
      <c r="M149" s="836">
        <f>IF(A152&gt;SUM(L104:L105),"Section 4.4 - Le montant total de ""Papier"" de ""Format des documents communiqués"" doit être égal ou inférieur au ""Total"" de ""Communication totale"" et ""Communication partielle"" de Section 4.1","")</f>
        <v/>
      </c>
      <c r="AD149" s="88" t="n"/>
      <c r="AE149" s="88" t="n"/>
      <c r="AF149" s="88" t="n"/>
      <c r="AG149" s="88" t="n"/>
      <c r="AH149" s="26" t="n"/>
      <c r="AI149" s="26" t="n"/>
      <c r="AJ149" s="26" t="n"/>
      <c r="AK149" s="26" t="n"/>
    </row>
    <row r="150" ht="15.75" customHeight="1" thickTop="1">
      <c r="A150" s="667" t="inlineStr">
        <is>
          <t>Papier</t>
        </is>
      </c>
      <c r="B150" s="1413" t="n"/>
      <c r="C150" s="448" t="inlineStr">
        <is>
          <t>Électronique</t>
        </is>
      </c>
      <c r="D150" s="1412" t="n"/>
      <c r="E150" s="1412" t="n"/>
      <c r="F150" s="1412" t="n"/>
      <c r="G150" s="1413" t="n"/>
      <c r="H150" s="667" t="inlineStr">
        <is>
          <t>Autres</t>
        </is>
      </c>
      <c r="I150" s="1413" t="n"/>
      <c r="J150" s="99" t="n"/>
      <c r="K150" s="99" t="n"/>
      <c r="M150" s="847">
        <f>IF(C152&gt;SUM(L104:L105),"Section 4.4 - Le montant total de ""Document électronique"" de ""Format des documents communiqués"" doit être égal ou inférieur au ""Total"" de ""Communication totale"" et ""Communication partielle"" de Section 4.1","")</f>
        <v/>
      </c>
      <c r="AD150" s="88" t="n"/>
      <c r="AE150" s="88" t="n"/>
      <c r="AF150" s="88" t="n"/>
      <c r="AG150" s="88" t="n"/>
      <c r="AH150" s="26" t="n"/>
      <c r="AI150" s="26" t="n"/>
      <c r="AJ150" s="26" t="n"/>
      <c r="AK150" s="26" t="n"/>
    </row>
    <row r="151" ht="33" customHeight="1" thickBot="1">
      <c r="A151" s="1397" t="n"/>
      <c r="B151" s="1391" t="n"/>
      <c r="C151" s="628" t="inlineStr">
        <is>
          <t>Document électronique</t>
        </is>
      </c>
      <c r="D151" s="1396" t="n"/>
      <c r="E151" s="629" t="inlineStr">
        <is>
          <t>Ensemble de données</t>
        </is>
      </c>
      <c r="F151" s="741" t="inlineStr">
        <is>
          <t>Vidéo</t>
        </is>
      </c>
      <c r="G151" s="187" t="inlineStr">
        <is>
          <t>Audio</t>
        </is>
      </c>
      <c r="H151" s="1397" t="n"/>
      <c r="I151" s="1391" t="n"/>
      <c r="K151" s="112" t="n"/>
      <c r="L151" s="112" t="n"/>
      <c r="M151" s="847">
        <f>IF(E152&gt;SUM(L104:L105),"Section 4.4 - Le montant total de ""Ensemble de données"" de ""Format des documents communiqués"" doit être égal ou inférieur au ""Total"" de ""Communication totale"" et ""Communication partielle"" de Section 4.1","")</f>
        <v/>
      </c>
      <c r="AD151" s="88" t="n"/>
      <c r="AE151" s="88" t="n"/>
      <c r="AF151" s="88" t="n"/>
      <c r="AG151" s="88" t="n"/>
      <c r="AH151" s="26" t="n"/>
      <c r="AI151" s="26" t="n"/>
      <c r="AJ151" s="26" t="n"/>
      <c r="AK151" s="26" t="n"/>
    </row>
    <row r="152" ht="15.75" customHeight="1" thickBot="1" thickTop="1">
      <c r="A152" s="976" t="n">
        <v>45</v>
      </c>
      <c r="B152" s="1430" t="n"/>
      <c r="C152" s="976" t="n">
        <v>714</v>
      </c>
      <c r="D152" s="1430" t="n"/>
      <c r="E152" s="242" t="n">
        <v>0</v>
      </c>
      <c r="F152" s="242" t="n">
        <v>1</v>
      </c>
      <c r="G152" s="1329" t="n">
        <v>0</v>
      </c>
      <c r="H152" s="900" t="n">
        <v>0</v>
      </c>
      <c r="I152" s="1431" t="n"/>
      <c r="J152" s="112" t="n"/>
      <c r="K152" s="112" t="n"/>
      <c r="L152" s="112" t="n"/>
      <c r="M152" s="848">
        <f>IF(F152&gt;SUM(L104:L105),"Section 4.4 - Le montant total de ""Vidéo"" de ""Format des documents communiqués"" doit être égal ou inférieur au ""Total"" de ""Communication totale"" et ""Communication partielle"" de Section 4.1","")</f>
        <v/>
      </c>
      <c r="AD152" s="90" t="n"/>
      <c r="AE152" s="90" t="n"/>
      <c r="AF152" s="90" t="n"/>
      <c r="AG152" s="90" t="n"/>
      <c r="AH152" s="91" t="n"/>
      <c r="AI152" s="26" t="n"/>
      <c r="AJ152" s="26" t="n"/>
      <c r="AK152" s="26" t="n"/>
    </row>
    <row r="153" ht="15.75" customHeight="1" thickTop="1">
      <c r="J153" s="112" t="n"/>
      <c r="K153" s="112" t="n"/>
      <c r="L153" s="112" t="n"/>
      <c r="M153" s="848">
        <f>IF(G152&gt;SUM(L104:L105),"Section 4.4 - Le montant total de ""Audio"" de ""Format des documents communiqués"" doit être égal ou inférieur au ""Total"" de ""Communication totale"" et ""Communication partielle"" de Section 4.1","")</f>
        <v/>
      </c>
      <c r="AD153" s="88" t="n"/>
      <c r="AE153" s="88" t="n"/>
      <c r="AF153" s="88" t="n"/>
      <c r="AG153" s="88" t="n"/>
      <c r="AH153" s="26" t="n"/>
      <c r="AI153" s="26" t="n"/>
      <c r="AJ153" s="26" t="n"/>
      <c r="AK153" s="26" t="n"/>
    </row>
    <row r="154">
      <c r="A154" s="323" t="inlineStr">
        <is>
          <t>4.5 Complexité</t>
        </is>
      </c>
      <c r="M154" s="847">
        <f>IF(H152&gt;SUM(L104:L105),"Section 4.4 - Le montant total de ""Autres"" de ""Format des documents communiqués"" doit être égal ou inférieur au ""Total"" de ""Communication totale"" et ""Communication partielle"" de Section 4.1","")</f>
        <v/>
      </c>
      <c r="AD154" s="88" t="n"/>
      <c r="AE154" s="88" t="n"/>
      <c r="AF154" s="88" t="n"/>
      <c r="AG154" s="88" t="n"/>
      <c r="AH154" s="26" t="n"/>
      <c r="AI154" s="26" t="n"/>
      <c r="AJ154" s="26" t="n"/>
      <c r="AK154" s="26" t="n"/>
    </row>
    <row r="155">
      <c r="A155" s="323" t="n"/>
      <c r="M155" s="194">
        <f>IF(SUM(A152,C152,E152,H152)&lt;= G159,"","Le nombre total de demandes en formats ""Papier"", ""Document électronique"", ""Ensemble de données"" et ""Autres"" du tableau 4.4 doit être égal ou inférieur au nombre total de demandes indiqué dans ""Nombre de demandes"" du tableau 4.5.1.")</f>
        <v/>
      </c>
      <c r="N155" s="88" t="n"/>
      <c r="O155" s="88" t="n"/>
      <c r="P155" s="88" t="n"/>
      <c r="Q155" s="88" t="n"/>
      <c r="R155" s="88" t="n"/>
      <c r="S155" s="88" t="n"/>
      <c r="T155" s="88" t="n"/>
      <c r="U155" s="88" t="n"/>
      <c r="V155" s="88" t="n"/>
      <c r="W155" s="88" t="n"/>
      <c r="X155" s="88" t="n"/>
      <c r="Y155" s="88" t="n"/>
      <c r="Z155" s="88" t="n"/>
      <c r="AA155" s="88" t="n"/>
      <c r="AB155" s="88" t="n"/>
      <c r="AC155" s="88" t="n"/>
      <c r="AD155" s="88" t="n"/>
      <c r="AE155" s="88" t="n"/>
      <c r="AF155" s="88" t="n"/>
      <c r="AG155" s="88" t="n"/>
      <c r="AH155" s="26" t="n"/>
      <c r="AI155" s="26" t="n"/>
      <c r="AJ155" s="26" t="n"/>
      <c r="AK155" s="26" t="n"/>
    </row>
    <row r="156" ht="30.75" customHeight="1">
      <c r="A156" s="438" t="inlineStr">
        <is>
          <t>4.5.1 Pages pertinentes traitées et communiquées en formats papier, document électronique et ensemble de données</t>
        </is>
      </c>
      <c r="M156" s="194">
        <f>IF(F152&lt;=G196,"","Le nombre total de demandes de documents ""Vidéo"" indiqué dans le tableau 4.4 doit être égal ou inférieur au ""Nombre de demandes"" indiqué dans le tableau 4.5.5.")</f>
        <v/>
      </c>
      <c r="N156" s="88" t="n"/>
      <c r="O156" s="88" t="n"/>
      <c r="P156" s="88" t="n"/>
      <c r="Q156" s="88" t="n"/>
      <c r="R156" s="88" t="n"/>
      <c r="S156" s="88" t="n"/>
      <c r="T156" s="88" t="n"/>
      <c r="U156" s="88" t="n"/>
      <c r="V156" s="88" t="n"/>
      <c r="W156" s="88" t="n"/>
      <c r="X156" s="88" t="n"/>
      <c r="Y156" s="88" t="n"/>
      <c r="Z156" s="88" t="n"/>
      <c r="AA156" s="88" t="n"/>
      <c r="AB156" s="88" t="n"/>
      <c r="AC156" s="88" t="n"/>
      <c r="AD156" s="88" t="n"/>
      <c r="AE156" s="88" t="n"/>
      <c r="AF156" s="88" t="n"/>
      <c r="AG156" s="88" t="n"/>
      <c r="AH156" s="26" t="n"/>
      <c r="AI156" s="26" t="n"/>
      <c r="AJ156" s="26" t="n"/>
      <c r="AK156" s="26" t="n"/>
    </row>
    <row r="157" ht="15.75" customHeight="1" thickBot="1">
      <c r="M157" s="194">
        <f>IF(G152&lt;=G178,"","Le nombre total de demandes de documents ""Audio"" indiqué dans le tableau 4.4 doit être égal ou inférieur au ""Nombre de demandes"" indiqué dans le tableau 4.5.3.")</f>
        <v/>
      </c>
      <c r="N157" s="88" t="n"/>
      <c r="O157" s="88" t="n"/>
      <c r="P157" s="88" t="n"/>
      <c r="Q157" s="88" t="n"/>
      <c r="R157" s="88" t="n"/>
      <c r="S157" s="88" t="n"/>
      <c r="T157" s="88" t="n"/>
      <c r="U157" s="88" t="n"/>
      <c r="V157" s="88" t="n"/>
      <c r="W157" s="88" t="n"/>
      <c r="X157" s="88" t="n"/>
      <c r="Y157" s="88" t="n"/>
      <c r="Z157" s="88" t="n"/>
      <c r="AA157" s="88" t="n"/>
      <c r="AB157" s="88" t="n"/>
      <c r="AC157" s="88" t="n"/>
      <c r="AD157" s="88" t="n"/>
      <c r="AE157" s="88" t="n"/>
      <c r="AF157" s="88" t="n"/>
      <c r="AG157" s="88" t="n"/>
      <c r="AH157" s="26" t="n"/>
      <c r="AI157" s="26" t="n"/>
      <c r="AJ157" s="26" t="n"/>
      <c r="AK157" s="26" t="n"/>
    </row>
    <row r="158" ht="16.5" customHeight="1" thickBot="1" thickTop="1">
      <c r="A158" s="731" t="inlineStr">
        <is>
          <t>Nombre de pages traitées</t>
        </is>
      </c>
      <c r="B158" s="1412" t="n"/>
      <c r="C158" s="1423" t="n"/>
      <c r="D158" s="332" t="inlineStr">
        <is>
          <t>Nombre de pages communiquées</t>
        </is>
      </c>
      <c r="E158" s="1374" t="n"/>
      <c r="F158" s="1405" t="n"/>
      <c r="G158" s="973" t="inlineStr">
        <is>
          <t>Nombre de demandes</t>
        </is>
      </c>
      <c r="H158" s="1412" t="n"/>
      <c r="I158" s="1423" t="n"/>
      <c r="K158" s="113" t="n"/>
      <c r="L158" s="113" t="n"/>
      <c r="M158" s="873" t="inlineStr">
        <is>
          <t>Section 4.5.1 - Le "Nombre de pages communiquées" doit être égal ou inférieur au "Nombre de pages traitées"</t>
        </is>
      </c>
      <c r="V158" s="90" t="n"/>
      <c r="W158" s="90" t="n"/>
      <c r="X158" s="90" t="n"/>
      <c r="Y158" s="90" t="n"/>
      <c r="Z158" s="90" t="n"/>
      <c r="AA158" s="90" t="n"/>
      <c r="AB158" s="90" t="n"/>
      <c r="AC158" s="90" t="n"/>
      <c r="AD158" s="90" t="n"/>
      <c r="AE158" s="90" t="n"/>
      <c r="AF158" s="90" t="n"/>
      <c r="AG158" s="90" t="n"/>
      <c r="AH158" s="91" t="n"/>
      <c r="AI158" s="26" t="n"/>
      <c r="AJ158" s="26" t="n"/>
      <c r="AK158" s="26" t="n"/>
    </row>
    <row r="159" ht="16.5" customHeight="1" thickBot="1" thickTop="1">
      <c r="A159" s="412" t="n">
        <v>296479</v>
      </c>
      <c r="B159" s="1430" t="n"/>
      <c r="C159" s="1432" t="n"/>
      <c r="D159" s="413" t="n">
        <v>174292</v>
      </c>
      <c r="E159" s="1430" t="n"/>
      <c r="F159" s="1432" t="n"/>
      <c r="G159" s="413" t="n">
        <v>1128</v>
      </c>
      <c r="H159" s="1430" t="n"/>
      <c r="I159" s="1432" t="n"/>
      <c r="K159" s="112" t="n"/>
      <c r="L159" s="112" t="n"/>
      <c r="M159" s="873" t="inlineStr">
        <is>
          <t>Section 4.5.1 -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Y159" s="90" t="n"/>
      <c r="Z159" s="90" t="n"/>
      <c r="AA159" s="90" t="n"/>
      <c r="AB159" s="90" t="n"/>
      <c r="AC159" s="90" t="n"/>
      <c r="AD159" s="90" t="n"/>
      <c r="AE159" s="90" t="n"/>
      <c r="AF159" s="90" t="n"/>
      <c r="AG159" s="90" t="n"/>
      <c r="AH159" s="91" t="n"/>
      <c r="AI159" s="26" t="n"/>
      <c r="AJ159" s="26" t="n"/>
      <c r="AK159" s="26" t="n"/>
    </row>
    <row r="160" ht="25.5" customHeight="1" thickTop="1">
      <c r="J160" s="112" t="n"/>
      <c r="K160" s="112" t="n"/>
      <c r="L160" s="112" t="n"/>
      <c r="Y160" s="90" t="n"/>
      <c r="Z160" s="90" t="n"/>
      <c r="AA160" s="90" t="n"/>
      <c r="AB160" s="90" t="n"/>
      <c r="AC160" s="90" t="n"/>
      <c r="AD160" s="90" t="n"/>
      <c r="AE160" s="90" t="n"/>
      <c r="AF160" s="90" t="n"/>
      <c r="AG160" s="90" t="n"/>
      <c r="AH160" s="91" t="n"/>
      <c r="AI160" s="26" t="n"/>
      <c r="AJ160" s="26" t="n"/>
      <c r="AK160" s="26" t="n"/>
    </row>
    <row r="161" ht="15" customHeight="1">
      <c r="A161" s="975" t="inlineStr">
        <is>
          <t>4.5.2 Pages pertinentes traitées et communiquées en fonction de l’ampleur des demandes en formats papier, document électronique et ensemble de données par disposition des demandes</t>
        </is>
      </c>
      <c r="M161" s="194">
        <f>IFERROR(IF(D173/C173&gt;99,"Section 4.5.2 - Le nombre total de pages ""Pages traitées"" divisé par le ""Nombre de demandes"" dans ""Moins de 100 pages traitées"" doit être égal ou inférieur à 99.",""),"")</f>
        <v/>
      </c>
      <c r="N161" s="88" t="n"/>
      <c r="O161" s="88" t="n"/>
      <c r="P161" s="88" t="n"/>
      <c r="Q161" s="88" t="n"/>
      <c r="R161" s="88" t="n"/>
      <c r="S161" s="88" t="n"/>
      <c r="T161" s="88" t="n"/>
      <c r="U161" s="88" t="n"/>
      <c r="V161" s="88" t="n"/>
      <c r="W161" s="88" t="n"/>
      <c r="X161" s="88" t="n"/>
      <c r="Y161" s="88" t="n"/>
      <c r="Z161" s="88" t="n"/>
      <c r="AA161" s="88" t="n"/>
      <c r="AB161" s="88" t="n"/>
      <c r="AC161" s="88" t="n"/>
      <c r="AD161" s="88" t="n"/>
      <c r="AE161" s="88" t="n"/>
      <c r="AF161" s="88" t="n"/>
      <c r="AG161" s="88" t="n"/>
      <c r="AH161" s="26" t="n"/>
      <c r="AI161" s="26" t="n"/>
      <c r="AJ161" s="26" t="n"/>
      <c r="AK161" s="26" t="n"/>
    </row>
    <row r="162">
      <c r="M162" s="194">
        <f>IFERROR(IF(AND(F173/E173&gt;=100,F173/E173&lt;=500),"","Section 4.5.2 - Le nombre total de pages ""Pages traitées"" divisé par le ""Nombre de demandes"" dans ""De 100 à 500 pages traitées"" doit être compris entre 100 et 500."),"")</f>
        <v/>
      </c>
      <c r="N162" s="88" t="n"/>
      <c r="O162" s="88" t="n"/>
      <c r="P162" s="88" t="n"/>
      <c r="Q162" s="88" t="n"/>
      <c r="R162" s="88" t="n"/>
      <c r="S162" s="88" t="n"/>
      <c r="T162" s="88" t="n"/>
      <c r="U162" s="88" t="n"/>
      <c r="V162" s="88" t="n"/>
      <c r="W162" s="88" t="n"/>
      <c r="X162" s="88" t="n"/>
      <c r="Y162" s="88" t="n"/>
      <c r="Z162" s="88" t="n"/>
      <c r="AA162" s="88" t="n"/>
      <c r="AB162" s="88" t="n"/>
      <c r="AC162" s="88" t="n"/>
      <c r="AD162" s="88" t="n"/>
      <c r="AE162" s="88" t="n"/>
      <c r="AF162" s="88" t="n"/>
      <c r="AG162" s="88" t="n"/>
      <c r="AH162" s="26" t="n"/>
      <c r="AI162" s="26" t="n"/>
      <c r="AJ162" s="26" t="n"/>
      <c r="AK162" s="26" t="n"/>
    </row>
    <row r="163" ht="15.75" customHeight="1" thickBot="1">
      <c r="M163" s="194">
        <f>IFERROR(IF(AND(H173/G173&gt;500,H173/G173&lt;=1000),"","Section 4.5.2 - Le nombre total de pages ""Pages traitées"" divisé par le ""Nombre de demandes"" dans ""De 501 à 1 000 pages traitées"" doit être compris entre 501 et 1 000."),"")</f>
        <v/>
      </c>
      <c r="N163" s="88" t="n"/>
      <c r="O163" s="88" t="n"/>
      <c r="P163" s="88" t="n"/>
      <c r="Q163" s="88" t="n"/>
      <c r="R163" s="88" t="n"/>
      <c r="S163" s="88" t="n"/>
      <c r="T163" s="88" t="n"/>
      <c r="U163" s="88" t="n"/>
      <c r="V163" s="88" t="n"/>
      <c r="W163" s="88" t="n"/>
      <c r="X163" s="88" t="n"/>
      <c r="Y163" s="88" t="n"/>
      <c r="Z163" s="88" t="n"/>
      <c r="AA163" s="88" t="n"/>
      <c r="AB163" s="88" t="n"/>
      <c r="AC163" s="88" t="n"/>
      <c r="AD163" s="88" t="n"/>
      <c r="AE163" s="88" t="n"/>
      <c r="AF163" s="88" t="n"/>
      <c r="AG163" s="88" t="n"/>
      <c r="AH163" s="26" t="n"/>
      <c r="AI163" s="26" t="n"/>
      <c r="AJ163" s="26" t="n"/>
      <c r="AK163" s="26" t="n"/>
    </row>
    <row r="164" ht="28.5" customHeight="1" thickTop="1">
      <c r="A164" s="1433" t="inlineStr">
        <is>
          <t>Disposition</t>
        </is>
      </c>
      <c r="B164" s="1413" t="n"/>
      <c r="C164" s="1416" t="inlineStr">
        <is>
          <t>Moins de 100 pages traitées</t>
        </is>
      </c>
      <c r="D164" s="1378" t="n"/>
      <c r="E164" s="442" t="inlineStr">
        <is>
          <t>100 à 500 pages traitées</t>
        </is>
      </c>
      <c r="F164" s="1406" t="n"/>
      <c r="G164" s="568" t="inlineStr">
        <is>
          <t>501 à 1 000 pages traitées</t>
        </is>
      </c>
      <c r="H164" s="1406" t="n"/>
      <c r="I164" s="442" t="inlineStr">
        <is>
          <t>1 001 à 5 000 pages traitées</t>
        </is>
      </c>
      <c r="J164" s="1406" t="n"/>
      <c r="K164" s="568" t="inlineStr">
        <is>
          <t>Plus de 5 000 pages traitées</t>
        </is>
      </c>
      <c r="L164" s="1406" t="n"/>
      <c r="M164" s="194">
        <f>IFERROR(IF(AND(J173/I173&gt;1000,J173/I173&lt;=5000),"","Section 4.5.2 - Le nombre total de pages ""Pages traitées"" divisé par le ""Nombre de demandes"" dans ""De 1 001 à 5 000 pages traitées"" doit être compris entre 1 0001 et 5 000."),"")</f>
        <v/>
      </c>
      <c r="N164" s="88" t="n"/>
      <c r="O164" s="88" t="n"/>
      <c r="P164" s="88" t="n"/>
      <c r="Q164" s="88" t="n"/>
      <c r="R164" s="88" t="n"/>
      <c r="S164" s="88" t="n"/>
      <c r="T164" s="88" t="n"/>
      <c r="U164" s="88" t="n"/>
      <c r="V164" s="88" t="n"/>
      <c r="W164" s="88" t="n"/>
      <c r="X164" s="88" t="n"/>
      <c r="Y164" s="88" t="n"/>
      <c r="Z164" s="88" t="n"/>
      <c r="AA164" s="88" t="n"/>
      <c r="AB164" s="88" t="n"/>
      <c r="AC164" s="88" t="n"/>
      <c r="AD164" s="88" t="n"/>
      <c r="AE164" s="88" t="n"/>
      <c r="AF164" s="88" t="n"/>
      <c r="AG164" s="88" t="n"/>
      <c r="AH164" s="26" t="n"/>
      <c r="AI164" s="26" t="n"/>
      <c r="AJ164" s="26" t="n"/>
      <c r="AK164" s="26" t="n"/>
    </row>
    <row r="165" ht="29.25" customHeight="1" thickBot="1">
      <c r="A165" s="1397" t="n"/>
      <c r="B165" s="1391" t="n"/>
      <c r="C165" s="146" t="inlineStr">
        <is>
          <t>Nombre de demandes</t>
        </is>
      </c>
      <c r="D165" s="350" t="inlineStr">
        <is>
          <t>Pages traitées</t>
        </is>
      </c>
      <c r="E165" s="146" t="inlineStr">
        <is>
          <t>Nombre de demandes</t>
        </is>
      </c>
      <c r="F165" s="148" t="inlineStr">
        <is>
          <t>Pages traitées</t>
        </is>
      </c>
      <c r="G165" s="146" t="inlineStr">
        <is>
          <t>Nombre de demandes</t>
        </is>
      </c>
      <c r="H165" s="350" t="inlineStr">
        <is>
          <t>Pages traitées</t>
        </is>
      </c>
      <c r="I165" s="146" t="inlineStr">
        <is>
          <t>Nombre de demandes</t>
        </is>
      </c>
      <c r="J165" s="350" t="inlineStr">
        <is>
          <t>Pages traitées</t>
        </is>
      </c>
      <c r="K165" s="146" t="inlineStr">
        <is>
          <t>Nombre de demandes</t>
        </is>
      </c>
      <c r="L165" s="350" t="inlineStr">
        <is>
          <t>Pages traitées</t>
        </is>
      </c>
      <c r="M165" s="194">
        <f>IFERROR(IF(L173/K173&lt;=5000,"Section 4.5.2 - Le nombre total de pages ""Pages traitées"" divisé par le ""Nombre de demandes"" dans ""Plus de 5 000 pages traitées"" doit être supérieur à 5 000.",""),"")</f>
        <v/>
      </c>
      <c r="N165" s="88" t="n"/>
      <c r="O165" s="88" t="n"/>
      <c r="P165" s="88" t="n"/>
      <c r="Q165" s="88" t="n"/>
      <c r="R165" s="88" t="n"/>
      <c r="S165" s="88" t="n"/>
      <c r="T165" s="88" t="n"/>
      <c r="U165" s="88" t="n"/>
      <c r="V165" s="193" t="n"/>
      <c r="W165" s="193" t="n"/>
      <c r="X165" s="88" t="n"/>
      <c r="Y165" s="88" t="n"/>
      <c r="Z165" s="88" t="n"/>
      <c r="AA165" s="88" t="n"/>
      <c r="AB165" s="88" t="n"/>
      <c r="AC165" s="88" t="n"/>
      <c r="AD165" s="88" t="n"/>
      <c r="AE165" s="88" t="n"/>
      <c r="AF165" s="88" t="n"/>
      <c r="AG165" s="88" t="n"/>
      <c r="AH165" s="26" t="n"/>
      <c r="AI165" s="26" t="n"/>
      <c r="AJ165" s="26" t="n"/>
      <c r="AK165" s="26" t="n"/>
    </row>
    <row r="166" ht="29.25" customHeight="1" thickTop="1">
      <c r="A166" s="1434" t="inlineStr">
        <is>
          <t>Communication totale</t>
        </is>
      </c>
      <c r="B166" s="1378" t="n"/>
      <c r="C166" s="815" t="n">
        <v>134</v>
      </c>
      <c r="D166" s="421" t="n">
        <v>2680</v>
      </c>
      <c r="E166" s="1154" t="n">
        <v>27</v>
      </c>
      <c r="F166" s="597" t="n">
        <v>6273</v>
      </c>
      <c r="G166" s="815" t="n">
        <v>10</v>
      </c>
      <c r="H166" s="421" t="n">
        <v>5902</v>
      </c>
      <c r="I166" s="1154" t="n">
        <v>3</v>
      </c>
      <c r="J166" s="597" t="n">
        <v>6085</v>
      </c>
      <c r="K166" s="815" t="n">
        <v>0</v>
      </c>
      <c r="L166" s="421" t="n">
        <v>0</v>
      </c>
      <c r="M166" s="361" t="inlineStr">
        <is>
          <t>Section 4.5.2 - La somme des Colonnes "Nombre de demandes" de "Communication totale" doit être égale ou inférieure au "Total" de "Communication totale" de la Section 4.1</t>
        </is>
      </c>
      <c r="V166" s="177">
        <f>SUM(C166,E166,G166,I166,K166)</f>
        <v/>
      </c>
      <c r="W166" s="177">
        <f>SUM(D166,F166,H166,J166,L166)</f>
        <v/>
      </c>
      <c r="X166" s="88" t="n"/>
      <c r="Y166" s="88" t="n"/>
      <c r="Z166" s="88" t="n"/>
      <c r="AA166" s="88" t="n"/>
      <c r="AB166" s="88" t="n"/>
      <c r="AC166" s="88" t="n"/>
      <c r="AD166" s="88" t="n"/>
      <c r="AE166" s="88" t="n"/>
      <c r="AF166" s="88" t="n"/>
      <c r="AG166" s="88" t="n"/>
      <c r="AH166" s="26" t="n"/>
      <c r="AI166" s="26" t="n"/>
      <c r="AJ166" s="26" t="n"/>
      <c r="AK166" s="26" t="n"/>
    </row>
    <row r="167" ht="28.5" customHeight="1">
      <c r="A167" s="1435" t="inlineStr">
        <is>
          <t>Communication partielle</t>
        </is>
      </c>
      <c r="B167" s="1383" t="n"/>
      <c r="C167" s="681" t="n">
        <v>341</v>
      </c>
      <c r="D167" s="345" t="n">
        <v>9949</v>
      </c>
      <c r="E167" s="357" t="n">
        <v>138</v>
      </c>
      <c r="F167" s="358" t="n">
        <v>34145</v>
      </c>
      <c r="G167" s="681" t="n">
        <v>45</v>
      </c>
      <c r="H167" s="345" t="n">
        <v>32833</v>
      </c>
      <c r="I167" s="357" t="n">
        <v>55</v>
      </c>
      <c r="J167" s="358" t="n">
        <v>110212</v>
      </c>
      <c r="K167" s="681" t="n">
        <v>6</v>
      </c>
      <c r="L167" s="345" t="n">
        <v>52638</v>
      </c>
      <c r="M167" s="361" t="inlineStr">
        <is>
          <t>Section 4.5.2 - La somme des Colonnes "Nombre de demandes" de "Communication partielle" doit être égale ou inférieure au "Total" de "Communication partielle" de la Section 4.1</t>
        </is>
      </c>
      <c r="V167" s="177">
        <f>SUM(C167,E167,G167,I167,K167)</f>
        <v/>
      </c>
      <c r="W167" s="177">
        <f>SUM(D167,F167,H167,J167,L167)</f>
        <v/>
      </c>
      <c r="X167" s="88" t="n"/>
      <c r="Y167" s="88" t="n"/>
      <c r="Z167" s="88" t="n"/>
      <c r="AA167" s="88" t="n"/>
      <c r="AB167" s="88" t="n"/>
      <c r="AC167" s="88" t="n"/>
      <c r="AD167" s="88" t="n"/>
      <c r="AE167" s="88" t="n"/>
      <c r="AF167" s="88" t="n"/>
      <c r="AG167" s="88" t="n"/>
      <c r="AH167" s="26" t="n"/>
      <c r="AI167" s="26" t="n"/>
      <c r="AJ167" s="26" t="n"/>
      <c r="AK167" s="26" t="n"/>
    </row>
    <row r="168">
      <c r="A168" s="1435" t="inlineStr">
        <is>
          <t>Exception totale</t>
        </is>
      </c>
      <c r="B168" s="1383" t="n"/>
      <c r="C168" s="681" t="n">
        <v>14</v>
      </c>
      <c r="D168" s="345" t="n">
        <v>292</v>
      </c>
      <c r="E168" s="357" t="n">
        <v>5</v>
      </c>
      <c r="F168" s="358" t="n">
        <v>1214</v>
      </c>
      <c r="G168" s="681" t="n">
        <v>0</v>
      </c>
      <c r="H168" s="345" t="n">
        <v>0</v>
      </c>
      <c r="I168" s="357" t="n">
        <v>2</v>
      </c>
      <c r="J168" s="358" t="n">
        <v>2521</v>
      </c>
      <c r="K168" s="681" t="n">
        <v>1</v>
      </c>
      <c r="L168" s="345" t="n">
        <v>7699</v>
      </c>
      <c r="M168" s="361" t="inlineStr">
        <is>
          <t>Section 4.5.2 - La somme des Colonnes "Nombre de demandes" de "Exception totale" doit être égale ou inférieure au "Total" de "Exception totale" de la Section 4.1</t>
        </is>
      </c>
      <c r="V168" s="177">
        <f>SUM(C168,E168,G168,I168,K168)</f>
        <v/>
      </c>
      <c r="W168" s="177">
        <f>SUM(D168,F168,H168,J168,L168)</f>
        <v/>
      </c>
      <c r="X168" s="88" t="n"/>
      <c r="Y168" s="88" t="n"/>
      <c r="Z168" s="88" t="n"/>
      <c r="AA168" s="88" t="n"/>
      <c r="AB168" s="88" t="n"/>
      <c r="AC168" s="88" t="n"/>
      <c r="AD168" s="88" t="n"/>
      <c r="AE168" s="88" t="n"/>
      <c r="AF168" s="88" t="n"/>
      <c r="AG168" s="88" t="n"/>
      <c r="AH168" s="26" t="n"/>
      <c r="AI168" s="26" t="n"/>
      <c r="AJ168" s="26" t="n"/>
      <c r="AK168" s="26" t="n"/>
    </row>
    <row r="169">
      <c r="A169" s="1435" t="inlineStr">
        <is>
          <t>Exclusion totale</t>
        </is>
      </c>
      <c r="B169" s="1383" t="n"/>
      <c r="C169" s="681" t="n">
        <v>0</v>
      </c>
      <c r="D169" s="345" t="n">
        <v>0</v>
      </c>
      <c r="E169" s="357" t="n">
        <v>1</v>
      </c>
      <c r="F169" s="358" t="n">
        <v>273</v>
      </c>
      <c r="G169" s="681" t="n">
        <v>0</v>
      </c>
      <c r="H169" s="345" t="n">
        <v>0</v>
      </c>
      <c r="I169" s="357" t="n">
        <v>0</v>
      </c>
      <c r="J169" s="358" t="n">
        <v>0</v>
      </c>
      <c r="K169" s="681" t="n">
        <v>0</v>
      </c>
      <c r="L169" s="345" t="n">
        <v>0</v>
      </c>
      <c r="M169" s="361" t="inlineStr">
        <is>
          <t>Section 4.5.2 - La somme des Colonnes "Nombre de demandes" de "Exclusion totale" doit être égale ou inférieure au "Total" de "Exclusion totale" de la Section 4.1</t>
        </is>
      </c>
      <c r="V169" s="177">
        <f>SUM(C169,E169,G169,I169,K169)</f>
        <v/>
      </c>
      <c r="W169" s="177">
        <f>SUM(D169,F169,H169,J169,L169)</f>
        <v/>
      </c>
      <c r="X169" s="88" t="n"/>
      <c r="Y169" s="88" t="n"/>
      <c r="Z169" s="88" t="n"/>
      <c r="AA169" s="88" t="n"/>
      <c r="AB169" s="88" t="n"/>
      <c r="AC169" s="88" t="n"/>
      <c r="AD169" s="88" t="n"/>
      <c r="AE169" s="88" t="n"/>
      <c r="AF169" s="88" t="n"/>
      <c r="AG169" s="88" t="n"/>
      <c r="AH169" s="26" t="n"/>
      <c r="AI169" s="26" t="n"/>
      <c r="AJ169" s="26" t="n"/>
      <c r="AK169" s="26" t="n"/>
    </row>
    <row r="170" ht="26.25" customHeight="1">
      <c r="A170" s="1435" t="inlineStr">
        <is>
          <t>Demande abandonnée</t>
        </is>
      </c>
      <c r="B170" s="1383" t="n"/>
      <c r="C170" s="681" t="n">
        <v>327</v>
      </c>
      <c r="D170" s="358" t="n">
        <v>178</v>
      </c>
      <c r="E170" s="681" t="n">
        <v>10</v>
      </c>
      <c r="F170" s="358" t="n">
        <v>3073</v>
      </c>
      <c r="G170" s="681" t="n">
        <v>3</v>
      </c>
      <c r="H170" s="358" t="n">
        <v>2341</v>
      </c>
      <c r="I170" s="681" t="n">
        <v>3</v>
      </c>
      <c r="J170" s="358" t="n">
        <v>8660</v>
      </c>
      <c r="K170" s="681" t="n">
        <v>1</v>
      </c>
      <c r="L170" s="345" t="n">
        <v>9511</v>
      </c>
      <c r="M170" s="361" t="inlineStr">
        <is>
          <t>Section 4.5.2 - La somme des Colonnes "Nombre de demandes" de "Demande abandonnée" doit être égale ou inférieure au "Total" de "Demande abandonnée" de la Section 4.1</t>
        </is>
      </c>
      <c r="V170" s="177">
        <f>SUM(C170,E170,G170,I170,K170)</f>
        <v/>
      </c>
      <c r="W170" s="177">
        <f>SUM(D170,F170,H170,J170,L170)</f>
        <v/>
      </c>
      <c r="X170" s="88" t="n"/>
      <c r="Y170" s="88" t="n"/>
      <c r="Z170" s="88" t="n"/>
      <c r="AA170" s="88" t="n"/>
      <c r="AB170" s="88" t="n"/>
      <c r="AC170" s="88" t="n"/>
      <c r="AD170" s="88" t="n"/>
      <c r="AE170" s="88" t="n"/>
      <c r="AF170" s="88" t="n"/>
      <c r="AG170" s="88" t="n"/>
      <c r="AH170" s="26" t="n"/>
      <c r="AI170" s="26" t="n"/>
      <c r="AJ170" s="26" t="n"/>
      <c r="AK170" s="26" t="n"/>
    </row>
    <row r="171" ht="25.5" customHeight="1">
      <c r="A171" s="1436" t="inlineStr">
        <is>
          <t>Ni confirmée ni infirmée</t>
        </is>
      </c>
      <c r="B171" s="1386" t="n"/>
      <c r="C171" s="681" t="n">
        <v>2</v>
      </c>
      <c r="D171" s="424" t="n">
        <v>0</v>
      </c>
      <c r="E171" s="153" t="n">
        <v>0</v>
      </c>
      <c r="F171" s="424" t="n">
        <v>0</v>
      </c>
      <c r="G171" s="153" t="n">
        <v>0</v>
      </c>
      <c r="H171" s="424" t="n">
        <v>0</v>
      </c>
      <c r="I171" s="153" t="n">
        <v>0</v>
      </c>
      <c r="J171" s="424" t="n">
        <v>0</v>
      </c>
      <c r="K171" s="153" t="n">
        <v>0</v>
      </c>
      <c r="L171" s="347" t="n">
        <v>0</v>
      </c>
      <c r="M171" s="361" t="inlineStr">
        <is>
          <t>Section 4.5.2 - La somme des Colonnes "Nombre de demandes" de "Ni confirmée ni infirmée" doit être égale ou inférieure au "Total" de "Ni confirmée ni infirmée" de la Section 4.1</t>
        </is>
      </c>
      <c r="V171" s="177">
        <f>SUM(C171,E171,G171,I171,K171)</f>
        <v/>
      </c>
      <c r="W171" s="177">
        <f>SUM(D171,F171,H171,J171,L171)</f>
        <v/>
      </c>
      <c r="X171" s="88" t="n"/>
      <c r="Y171" s="88" t="n"/>
      <c r="Z171" s="88" t="n"/>
      <c r="AA171" s="88" t="n"/>
      <c r="AB171" s="88" t="n"/>
      <c r="AC171" s="88" t="n"/>
      <c r="AD171" s="88" t="n"/>
      <c r="AE171" s="88" t="n"/>
      <c r="AF171" s="88" t="n"/>
      <c r="AG171" s="88" t="n"/>
      <c r="AH171" s="26" t="n"/>
      <c r="AI171" s="26" t="n"/>
      <c r="AJ171" s="26" t="n"/>
      <c r="AK171" s="26" t="n"/>
    </row>
    <row r="172" ht="51.75" customHeight="1" thickBot="1">
      <c r="A172" s="422" t="inlineStr">
        <is>
          <t>Refus d'agir avec l'approbation de la Commissaire à l'information</t>
        </is>
      </c>
      <c r="B172" s="1396" t="n"/>
      <c r="C172" s="154" t="n">
        <v>0</v>
      </c>
      <c r="D172" s="335" t="n">
        <v>0</v>
      </c>
      <c r="E172" s="154" t="n">
        <v>0</v>
      </c>
      <c r="F172" s="335" t="n">
        <v>0</v>
      </c>
      <c r="G172" s="154" t="n">
        <v>0</v>
      </c>
      <c r="H172" s="335" t="n">
        <v>0</v>
      </c>
      <c r="I172" s="154" t="n">
        <v>0</v>
      </c>
      <c r="J172" s="335" t="n">
        <v>0</v>
      </c>
      <c r="K172" s="154" t="n">
        <v>0</v>
      </c>
      <c r="L172" s="348" t="n">
        <v>0</v>
      </c>
      <c r="M172" s="369" t="inlineStr">
        <is>
          <t>Section 4.5.2 - La somme des Colonnes "Nombre de demandes" de "Refus d'agir avec l'approbation de la Commissaire à l'information" doit être égale ou inférieure au "Total" de "Refus d'agir avec l'approbation de la Commissaire à l'information" de la Section 4.1</t>
        </is>
      </c>
      <c r="V172" s="177">
        <f>SUM(C172,E172,G172,I172,K172)</f>
        <v/>
      </c>
      <c r="W172" s="177">
        <f>SUM(D172,F172,H172,J172,L172)</f>
        <v/>
      </c>
      <c r="X172" s="88" t="n"/>
      <c r="Y172" s="88" t="n"/>
      <c r="Z172" s="88" t="n"/>
      <c r="AA172" s="88" t="n"/>
      <c r="AB172" s="88" t="n"/>
      <c r="AC172" s="88" t="n"/>
      <c r="AD172" s="88" t="n"/>
      <c r="AE172" s="88" t="n"/>
      <c r="AF172" s="88" t="n"/>
      <c r="AG172" s="88" t="n"/>
      <c r="AH172" s="26" t="n"/>
      <c r="AI172" s="26" t="n"/>
      <c r="AJ172" s="26" t="n"/>
      <c r="AK172" s="26" t="n"/>
    </row>
    <row r="173" ht="16.5" customHeight="1" thickBot="1" thickTop="1">
      <c r="A173" s="1437" t="inlineStr">
        <is>
          <t>Total</t>
        </is>
      </c>
      <c r="B173" s="1375" t="n"/>
      <c r="C173" s="264">
        <f>SUM(C166:C172)</f>
        <v/>
      </c>
      <c r="D173" s="811">
        <f>SUM(D166:D172)</f>
        <v/>
      </c>
      <c r="E173" s="264">
        <f>SUM(E166:E172)</f>
        <v/>
      </c>
      <c r="F173" s="811">
        <f>SUM(F166:F172)</f>
        <v/>
      </c>
      <c r="G173" s="264">
        <f>SUM(G166:G172)</f>
        <v/>
      </c>
      <c r="H173" s="811">
        <f>SUM(H166:H172)</f>
        <v/>
      </c>
      <c r="I173" s="264">
        <f>SUM(I166:I172)</f>
        <v/>
      </c>
      <c r="J173" s="811">
        <f>SUM(J166:J172)</f>
        <v/>
      </c>
      <c r="K173" s="809">
        <f>SUM(K166:K172)</f>
        <v/>
      </c>
      <c r="L173" s="981">
        <f>SUM(L166:L172)</f>
        <v/>
      </c>
      <c r="M173" s="361" t="inlineStr">
        <is>
          <t>Section 4.5.2 - La somme des Colonnes "Nombre de demandes" de "Total" doit être égale au "Nombre de demandes" de la Section 4.5.1</t>
        </is>
      </c>
      <c r="W173" s="177">
        <f>SUM(D173,F173,H173,J173,L173)</f>
        <v/>
      </c>
      <c r="X173" s="88" t="n"/>
      <c r="Y173" s="88" t="n"/>
      <c r="Z173" s="88" t="n"/>
      <c r="AA173" s="88" t="n"/>
      <c r="AB173" s="88" t="n"/>
      <c r="AC173" s="88" t="n"/>
      <c r="AD173" s="88" t="n"/>
      <c r="AE173" s="88" t="n"/>
      <c r="AF173" s="88" t="n"/>
      <c r="AG173" s="88" t="n"/>
      <c r="AH173" s="26" t="n"/>
      <c r="AI173" s="26" t="n"/>
      <c r="AJ173" s="26" t="n"/>
      <c r="AK173" s="26" t="n"/>
    </row>
    <row r="174" ht="21" customHeight="1" thickTop="1">
      <c r="A174" s="51" t="n"/>
      <c r="B174" s="51" t="n"/>
      <c r="C174" s="451" t="n"/>
      <c r="D174" s="451" t="n"/>
      <c r="E174" s="451" t="n"/>
      <c r="F174" s="451" t="n"/>
      <c r="H174" s="451" t="n"/>
      <c r="I174" s="451" t="n"/>
      <c r="J174" s="451" t="n"/>
      <c r="K174" s="451" t="n"/>
      <c r="L174" s="451" t="n"/>
      <c r="M174" s="351" t="inlineStr">
        <is>
          <t>Section 4.5.2 - La somme des Colonnes "Pages traitées" doit être égale au "Nombre de page traitées" de la Section 4.5.1</t>
        </is>
      </c>
      <c r="X174" s="88" t="n"/>
      <c r="Y174" s="88" t="n"/>
      <c r="Z174" s="88" t="n"/>
      <c r="AA174" s="88" t="n"/>
      <c r="AB174" s="88" t="n"/>
      <c r="AC174" s="88" t="n"/>
      <c r="AD174" s="88" t="n"/>
      <c r="AE174" s="88" t="n"/>
      <c r="AF174" s="88" t="n"/>
      <c r="AG174" s="88" t="n"/>
      <c r="AH174" s="26" t="n"/>
      <c r="AI174" s="26" t="n"/>
      <c r="AJ174" s="26" t="n"/>
      <c r="AK174" s="26" t="n"/>
    </row>
    <row r="175">
      <c r="A175" s="439" t="inlineStr">
        <is>
          <t>4.5.3 Minutes pertinentes traitées et communiquées en format audio</t>
        </is>
      </c>
      <c r="J175" s="1305" t="n"/>
      <c r="K175" s="451" t="n"/>
      <c r="L175" s="451" t="n"/>
      <c r="M175" s="88" t="n"/>
      <c r="N175" s="88" t="n"/>
      <c r="O175" s="88" t="n"/>
      <c r="P175" s="88" t="n"/>
      <c r="Q175" s="88" t="n"/>
      <c r="R175" s="88" t="n"/>
      <c r="S175" s="88" t="n"/>
      <c r="T175" s="88" t="n"/>
      <c r="U175" s="88" t="n"/>
      <c r="V175" s="88" t="n"/>
      <c r="W175" s="88" t="n"/>
      <c r="X175" s="88" t="n"/>
      <c r="Y175" s="88" t="n"/>
      <c r="Z175" s="88" t="n"/>
      <c r="AA175" s="88" t="n"/>
      <c r="AB175" s="88" t="n"/>
      <c r="AC175" s="88" t="n"/>
      <c r="AD175" s="88" t="n"/>
      <c r="AE175" s="88" t="n"/>
      <c r="AF175" s="88" t="n"/>
      <c r="AG175" s="88" t="n"/>
      <c r="AH175" s="26" t="n"/>
      <c r="AI175" s="26" t="n"/>
      <c r="AJ175" s="26" t="n"/>
      <c r="AK175" s="26" t="n"/>
    </row>
    <row r="176" ht="15.75" customHeight="1" thickBot="1">
      <c r="M176" s="88" t="n"/>
      <c r="N176" s="88" t="n"/>
      <c r="O176" s="88" t="n"/>
      <c r="P176" s="88" t="n"/>
      <c r="Q176" s="88" t="n"/>
      <c r="R176" s="88" t="n"/>
      <c r="S176" s="88" t="n"/>
      <c r="T176" s="88" t="n"/>
      <c r="U176" s="88" t="n"/>
      <c r="V176" s="88" t="n"/>
      <c r="W176" s="88" t="n"/>
      <c r="X176" s="88" t="n"/>
      <c r="Y176" s="88" t="n"/>
      <c r="Z176" s="88" t="n"/>
      <c r="AA176" s="88" t="n"/>
      <c r="AB176" s="88" t="n"/>
      <c r="AC176" s="88" t="n"/>
      <c r="AD176" s="88" t="n"/>
      <c r="AE176" s="88" t="n"/>
      <c r="AF176" s="88" t="n"/>
      <c r="AG176" s="88" t="n"/>
      <c r="AH176" s="26" t="n"/>
      <c r="AI176" s="26" t="n"/>
      <c r="AJ176" s="26" t="n"/>
      <c r="AK176" s="26" t="n"/>
    </row>
    <row r="177" ht="33.75" customHeight="1" thickBot="1" thickTop="1">
      <c r="A177" s="1438" t="inlineStr">
        <is>
          <t>Nombre de minutes traitées</t>
        </is>
      </c>
      <c r="B177" s="1374" t="n"/>
      <c r="C177" s="1405" t="n"/>
      <c r="D177" s="1439" t="inlineStr">
        <is>
          <t>Nombre de minutes communiquées</t>
        </is>
      </c>
      <c r="E177" s="1374" t="n"/>
      <c r="F177" s="1405" t="n"/>
      <c r="G177" s="1440" t="inlineStr">
        <is>
          <t>Nombre de demandes</t>
        </is>
      </c>
      <c r="H177" s="1374" t="n"/>
      <c r="I177" s="1375" t="n"/>
      <c r="J177" s="32" t="n"/>
      <c r="K177" s="32" t="n"/>
      <c r="L177" s="32" t="n"/>
      <c r="M177" s="845" t="inlineStr">
        <is>
          <t>Section 4.5.3 - Le "Nombre de minutes communiquées" doit être égal ou inférieur au "Nombre de minutes traitées".</t>
        </is>
      </c>
      <c r="X177" s="172" t="n"/>
      <c r="Y177" s="88" t="n"/>
      <c r="Z177" s="88" t="n"/>
      <c r="AA177" s="88" t="n"/>
      <c r="AB177" s="88" t="n"/>
      <c r="AC177" s="88" t="n"/>
      <c r="AD177" s="88" t="n"/>
      <c r="AE177" s="88" t="n"/>
      <c r="AF177" s="88" t="n"/>
      <c r="AG177" s="88" t="n"/>
      <c r="AH177" s="26" t="n"/>
      <c r="AI177" s="26" t="n"/>
      <c r="AJ177" s="26" t="n"/>
      <c r="AK177" s="26" t="n"/>
    </row>
    <row r="178" ht="18" customHeight="1" thickBot="1" thickTop="1">
      <c r="A178" s="282" t="n">
        <v>307</v>
      </c>
      <c r="B178" s="1430" t="n"/>
      <c r="C178" s="1432" t="n"/>
      <c r="D178" s="283" t="n">
        <v>0</v>
      </c>
      <c r="E178" s="1430" t="n"/>
      <c r="F178" s="1432" t="n"/>
      <c r="G178" s="1441" t="n">
        <v>1</v>
      </c>
      <c r="H178" s="1430" t="n"/>
      <c r="I178" s="1431" t="n"/>
      <c r="J178" s="32" t="n"/>
      <c r="K178" s="32" t="n"/>
      <c r="L178" s="32" t="n"/>
      <c r="M178" s="361" t="inlineStr">
        <is>
          <t>Section 4.5.3 -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W178" s="88" t="n"/>
      <c r="X178" s="88" t="n"/>
      <c r="Y178" s="88" t="n"/>
      <c r="Z178" s="88" t="n"/>
      <c r="AA178" s="88" t="n"/>
      <c r="AB178" s="88" t="n"/>
      <c r="AC178" s="88" t="n"/>
      <c r="AD178" s="88" t="n"/>
      <c r="AE178" s="88" t="n"/>
      <c r="AF178" s="88" t="n"/>
      <c r="AG178" s="88" t="n"/>
      <c r="AH178" s="26" t="n"/>
      <c r="AI178" s="26" t="n"/>
      <c r="AJ178" s="26" t="n"/>
      <c r="AK178" s="26" t="n"/>
    </row>
    <row r="179" ht="18.75" customHeight="1" thickTop="1">
      <c r="A179" s="359" t="inlineStr">
        <is>
          <t xml:space="preserve">4.5.4 Minutes pertinentes traitées en fonction de l'ampleur des demandes en format audio par disposition des demandes </t>
        </is>
      </c>
      <c r="W179" s="88" t="n"/>
      <c r="X179" s="88" t="n"/>
      <c r="Y179" s="88" t="n"/>
      <c r="Z179" s="88" t="n"/>
      <c r="AA179" s="88" t="n"/>
      <c r="AB179" s="88" t="n"/>
      <c r="AC179" s="88" t="n"/>
      <c r="AD179" s="88" t="n"/>
      <c r="AE179" s="88" t="n"/>
      <c r="AF179" s="88" t="n"/>
      <c r="AG179" s="88" t="n"/>
      <c r="AH179" s="26" t="n"/>
      <c r="AI179" s="26" t="n"/>
      <c r="AJ179" s="26" t="n"/>
      <c r="AK179" s="26" t="n"/>
    </row>
    <row r="180" ht="13.5" customHeight="1">
      <c r="M180" s="194">
        <f>IFERROR(IF(D191/C191&gt;59,"Section 4.5.4 - Le nombre total de minutes indiqué dans ""Minutes traitées"" divisé par le ""Nombre de demandes"" dans ""Moins de 60 minutes traitées"" doit être égal ou inférieur à 59.",""),"")</f>
        <v/>
      </c>
      <c r="N180" s="88" t="n"/>
      <c r="O180" s="88" t="n"/>
      <c r="P180" s="88" t="n"/>
      <c r="Q180" s="88" t="n"/>
      <c r="R180" s="88" t="n"/>
      <c r="S180" s="88" t="n"/>
      <c r="T180" s="88" t="n"/>
      <c r="U180" s="88" t="n"/>
      <c r="V180" s="88" t="n"/>
      <c r="W180" s="88" t="n"/>
      <c r="X180" s="88" t="n"/>
      <c r="Y180" s="88" t="n"/>
      <c r="Z180" s="88" t="n"/>
      <c r="AA180" s="88" t="n"/>
      <c r="AB180" s="88" t="n"/>
      <c r="AC180" s="88" t="n"/>
      <c r="AD180" s="88" t="n"/>
      <c r="AE180" s="88" t="n"/>
      <c r="AF180" s="88" t="n"/>
      <c r="AG180" s="88" t="n"/>
      <c r="AH180" s="26" t="n"/>
      <c r="AI180" s="26" t="n"/>
      <c r="AJ180" s="26" t="n"/>
      <c r="AK180" s="26" t="n"/>
    </row>
    <row r="181" ht="15.75" customHeight="1" thickBot="1">
      <c r="A181" s="54" t="n"/>
      <c r="B181" s="54" t="n"/>
      <c r="C181" s="54" t="n"/>
      <c r="D181" s="54" t="n"/>
      <c r="E181" s="54" t="n"/>
      <c r="F181" s="54" t="n"/>
      <c r="G181" s="54" t="n"/>
      <c r="H181" s="54" t="n"/>
      <c r="I181" s="54" t="n"/>
      <c r="J181" s="54" t="n"/>
      <c r="K181" s="54" t="n"/>
      <c r="L181" s="54" t="n"/>
      <c r="M181" s="194">
        <f>IFERROR(IF(AND(G191/F191&gt;=60,G191/F191&lt;=120),"","Section 4.5.4 - Le nombre total de minutes indiqué dans ""Minutes traitées"" divisé par le ""Nombre de demandes"" dans ""60-120 minutes traitées"" doit être compris entre 60 et 120."),"")</f>
        <v/>
      </c>
      <c r="N181" s="88" t="n"/>
      <c r="O181" s="88" t="n"/>
      <c r="P181" s="88" t="n"/>
      <c r="Q181" s="88" t="n"/>
      <c r="R181" s="88" t="n"/>
      <c r="S181" s="88" t="n"/>
      <c r="T181" s="88" t="n"/>
      <c r="U181" s="88" t="n"/>
      <c r="V181" s="88" t="n"/>
      <c r="W181" s="88" t="n"/>
      <c r="X181" s="88" t="n"/>
      <c r="Y181" s="88" t="n"/>
      <c r="Z181" s="88" t="n"/>
      <c r="AA181" s="88" t="n"/>
      <c r="AB181" s="88" t="n"/>
      <c r="AC181" s="88" t="n"/>
      <c r="AD181" s="88" t="n"/>
      <c r="AE181" s="88" t="n"/>
      <c r="AF181" s="88" t="n"/>
      <c r="AG181" s="88" t="n"/>
      <c r="AH181" s="26" t="n"/>
      <c r="AI181" s="26" t="n"/>
      <c r="AJ181" s="26" t="n"/>
      <c r="AK181" s="26" t="n"/>
    </row>
    <row r="182" ht="15.75" customHeight="1" thickTop="1">
      <c r="A182" s="1433" t="inlineStr">
        <is>
          <t>Disposition</t>
        </is>
      </c>
      <c r="B182" s="1413" t="n"/>
      <c r="C182" s="390" t="inlineStr">
        <is>
          <t>Moins de 60 minutes traitées</t>
        </is>
      </c>
      <c r="D182" s="1377" t="n"/>
      <c r="E182" s="1406" t="n"/>
      <c r="F182" s="831" t="inlineStr">
        <is>
          <t xml:space="preserve">60-120 minutes traitées </t>
        </is>
      </c>
      <c r="G182" s="1377" t="n"/>
      <c r="H182" s="1406" t="n"/>
      <c r="I182" s="831" t="inlineStr">
        <is>
          <t xml:space="preserve">Plus de 120 minutes traitées </t>
        </is>
      </c>
      <c r="J182" s="1377" t="n"/>
      <c r="K182" s="1406" t="n"/>
      <c r="M182" s="194">
        <f>IFERROR(IF(J191/I191&lt;=120,"Section 4.5.4 - Le nombre total de minutes indiqué dans ""Minutes traitées"" divisé par le ""Nombre de demandes"" dans ""Plus de 120 minutes traitées"" doit être supérieur à 120.",""),"")</f>
        <v/>
      </c>
      <c r="N182" s="88" t="n"/>
      <c r="O182" s="88" t="n"/>
      <c r="P182" s="88" t="n"/>
      <c r="Q182" s="88" t="n"/>
      <c r="R182" s="88" t="n"/>
      <c r="S182" s="88" t="n"/>
      <c r="T182" s="88" t="n"/>
      <c r="U182" s="88" t="n"/>
      <c r="V182" s="88" t="n"/>
      <c r="W182" s="88" t="n"/>
      <c r="X182" s="88" t="n"/>
      <c r="Y182" s="88" t="n"/>
      <c r="Z182" s="88" t="n"/>
      <c r="AA182" s="88" t="n"/>
      <c r="AB182" s="88" t="n"/>
      <c r="AC182" s="88" t="n"/>
      <c r="AD182" s="88" t="n"/>
      <c r="AE182" s="88" t="n"/>
      <c r="AF182" s="88" t="n"/>
      <c r="AG182" s="88" t="n"/>
      <c r="AH182" s="26" t="n"/>
      <c r="AI182" s="26" t="n"/>
      <c r="AJ182" s="26" t="n"/>
      <c r="AK182" s="26" t="n"/>
    </row>
    <row r="183" ht="27" customHeight="1" thickBot="1">
      <c r="A183" s="1397" t="n"/>
      <c r="B183" s="1391" t="n"/>
      <c r="C183" s="169" t="inlineStr">
        <is>
          <t>Nombre de demandes</t>
        </is>
      </c>
      <c r="D183" s="349" t="inlineStr">
        <is>
          <t>Minutes  traitées</t>
        </is>
      </c>
      <c r="E183" s="1396" t="n"/>
      <c r="F183" s="156" t="inlineStr">
        <is>
          <t>Nombre de demandes</t>
        </is>
      </c>
      <c r="G183" s="349" t="inlineStr">
        <is>
          <t>Minutes traitées</t>
        </is>
      </c>
      <c r="H183" s="1396" t="n"/>
      <c r="I183" s="156" t="inlineStr">
        <is>
          <t>Nombre de demandes</t>
        </is>
      </c>
      <c r="J183" s="349" t="inlineStr">
        <is>
          <t>Minutes  traitées</t>
        </is>
      </c>
      <c r="K183" s="1396" t="n"/>
      <c r="M183" s="88" t="n"/>
      <c r="N183" s="88" t="n"/>
      <c r="O183" s="88" t="n"/>
      <c r="P183" s="88" t="n"/>
      <c r="Q183" s="88" t="n"/>
      <c r="R183" s="88" t="n"/>
      <c r="S183" s="88" t="n"/>
      <c r="T183" s="88" t="n"/>
      <c r="U183" s="88" t="n"/>
      <c r="V183" s="88" t="n"/>
      <c r="W183" s="88" t="n"/>
      <c r="X183" s="88" t="n"/>
      <c r="Y183" s="176" t="inlineStr">
        <is>
          <t>Nombre de demandes</t>
        </is>
      </c>
      <c r="Z183" s="176" t="inlineStr">
        <is>
          <t>Minutes traitées</t>
        </is>
      </c>
      <c r="AA183" s="88" t="n"/>
      <c r="AB183" s="88" t="n"/>
      <c r="AC183" s="88" t="n"/>
      <c r="AD183" s="88" t="n"/>
      <c r="AE183" s="88" t="n"/>
      <c r="AF183" s="88" t="n"/>
      <c r="AG183" s="88" t="n"/>
      <c r="AH183" s="26" t="n"/>
      <c r="AI183" s="26" t="n"/>
      <c r="AJ183" s="26" t="n"/>
      <c r="AK183" s="26" t="n"/>
    </row>
    <row r="184" ht="27.75" customHeight="1" thickTop="1">
      <c r="A184" s="1434" t="inlineStr">
        <is>
          <t>Communication totale</t>
        </is>
      </c>
      <c r="B184" s="1378" t="n"/>
      <c r="C184" s="1154" t="n">
        <v>0</v>
      </c>
      <c r="D184" s="420" t="n">
        <v>0</v>
      </c>
      <c r="E184" s="1407" t="n"/>
      <c r="F184" s="245" t="n">
        <v>0</v>
      </c>
      <c r="G184" s="420" t="n">
        <v>0</v>
      </c>
      <c r="H184" s="1407" t="n"/>
      <c r="I184" s="1154" t="n">
        <v>0</v>
      </c>
      <c r="J184" s="420" t="n">
        <v>0</v>
      </c>
      <c r="K184" s="1407" t="n"/>
      <c r="M184" s="369" t="inlineStr">
        <is>
          <t>Section 4.5.4 - La somme des Colonnes "Nombre de demandes" de "Communication totale" doit être égale ou inférieure au "Total" de "Communication totale" de la Section 4.1</t>
        </is>
      </c>
      <c r="Y184" s="177">
        <f>SUM(C184,F184,I184)</f>
        <v/>
      </c>
      <c r="Z184" s="177">
        <f>SUM(D184,G184,J184)</f>
        <v/>
      </c>
      <c r="AA184" s="88" t="n"/>
      <c r="AB184" s="88" t="n"/>
      <c r="AC184" s="88" t="n"/>
      <c r="AD184" s="88" t="n"/>
      <c r="AE184" s="88" t="n"/>
      <c r="AF184" s="88" t="n"/>
      <c r="AG184" s="88" t="n"/>
      <c r="AH184" s="26" t="n"/>
      <c r="AI184" s="26" t="n"/>
      <c r="AJ184" s="26" t="n"/>
      <c r="AK184" s="26" t="n"/>
    </row>
    <row r="185" ht="28.5" customHeight="1">
      <c r="A185" s="367" t="inlineStr">
        <is>
          <t>Communication partielle</t>
        </is>
      </c>
      <c r="B185" s="1381" t="n"/>
      <c r="C185" s="681" t="n">
        <v>0</v>
      </c>
      <c r="D185" s="344" t="n">
        <v>0</v>
      </c>
      <c r="E185" s="1401" t="n"/>
      <c r="F185" s="681" t="n">
        <v>0</v>
      </c>
      <c r="G185" s="344" t="n">
        <v>0</v>
      </c>
      <c r="H185" s="1401" t="n"/>
      <c r="I185" s="1154" t="n">
        <v>0</v>
      </c>
      <c r="J185" s="344" t="n">
        <v>0</v>
      </c>
      <c r="K185" s="1401" t="n"/>
      <c r="M185" s="369" t="inlineStr">
        <is>
          <t>Section 4.5.4 - La somme des Colonnes "Nombre de demandes" de "Communication partielle" doit être égale ou inférieure au "Total" de "Communication partielle" de la Section 4.1</t>
        </is>
      </c>
      <c r="Y185" s="177">
        <f>SUM(C185,F185,I185)</f>
        <v/>
      </c>
      <c r="Z185" s="177">
        <f>SUM(D185,G185,J185)</f>
        <v/>
      </c>
      <c r="AA185" s="88" t="n"/>
      <c r="AB185" s="88" t="n"/>
      <c r="AC185" s="88" t="n"/>
      <c r="AD185" s="88" t="n"/>
      <c r="AE185" s="88" t="n"/>
      <c r="AF185" s="88" t="n"/>
      <c r="AG185" s="88" t="n"/>
      <c r="AH185" s="26" t="n"/>
      <c r="AI185" s="26" t="n"/>
      <c r="AJ185" s="26" t="n"/>
      <c r="AK185" s="26" t="n"/>
    </row>
    <row r="186">
      <c r="A186" s="367" t="inlineStr">
        <is>
          <t>Exception totale</t>
        </is>
      </c>
      <c r="B186" s="1381" t="n"/>
      <c r="C186" s="681" t="n">
        <v>0</v>
      </c>
      <c r="D186" s="344" t="n">
        <v>0</v>
      </c>
      <c r="E186" s="1401" t="n"/>
      <c r="F186" s="681" t="n">
        <v>0</v>
      </c>
      <c r="G186" s="344" t="n">
        <v>0</v>
      </c>
      <c r="H186" s="1401" t="n"/>
      <c r="I186" s="1154" t="n">
        <v>0</v>
      </c>
      <c r="J186" s="344" t="n">
        <v>0</v>
      </c>
      <c r="K186" s="1401" t="n"/>
      <c r="M186" s="369" t="inlineStr">
        <is>
          <t>Section 4.5.4 - La somme des Colonnes "Nombre de demandes" de "Exception totale" doit être égale ou inférieure au "Total" de "Exception totale" de la Section 4.1</t>
        </is>
      </c>
      <c r="Y186" s="177">
        <f>SUM(C186,F186,I186)</f>
        <v/>
      </c>
      <c r="Z186" s="177">
        <f>SUM(D186,G186,J186)</f>
        <v/>
      </c>
      <c r="AA186" s="88" t="n"/>
      <c r="AB186" s="88" t="n"/>
      <c r="AC186" s="88" t="n"/>
      <c r="AD186" s="88" t="n"/>
      <c r="AE186" s="88" t="n"/>
      <c r="AF186" s="88" t="n"/>
      <c r="AG186" s="88" t="n"/>
      <c r="AH186" s="26" t="n"/>
      <c r="AI186" s="26" t="n"/>
      <c r="AJ186" s="26" t="n"/>
      <c r="AK186" s="26" t="n"/>
    </row>
    <row r="187">
      <c r="A187" s="367" t="inlineStr">
        <is>
          <t>Exclusion totale</t>
        </is>
      </c>
      <c r="B187" s="1381" t="n"/>
      <c r="C187" s="681" t="n">
        <v>0</v>
      </c>
      <c r="D187" s="344" t="n">
        <v>0</v>
      </c>
      <c r="E187" s="1401" t="n"/>
      <c r="F187" s="681" t="n">
        <v>0</v>
      </c>
      <c r="G187" s="344" t="n">
        <v>0</v>
      </c>
      <c r="H187" s="1401" t="n"/>
      <c r="I187" s="1154" t="n">
        <v>0</v>
      </c>
      <c r="J187" s="344" t="n">
        <v>0</v>
      </c>
      <c r="K187" s="1401" t="n"/>
      <c r="M187" s="369" t="inlineStr">
        <is>
          <t>Section 4.5.4 - La somme des Colonnes "Nombre de demandes" de "Exclusion totale" doit être égale ou inférieure au "Total" de "Exclusion totale" de la Section 4.1</t>
        </is>
      </c>
      <c r="Y187" s="177">
        <f>SUM(C187,F187,I187)</f>
        <v/>
      </c>
      <c r="Z187" s="177">
        <f>SUM(D187,G187,J187)</f>
        <v/>
      </c>
      <c r="AA187" s="88" t="n"/>
      <c r="AB187" s="88" t="n"/>
      <c r="AC187" s="88" t="n"/>
      <c r="AD187" s="88" t="n"/>
      <c r="AE187" s="88" t="n"/>
      <c r="AF187" s="88" t="n"/>
      <c r="AG187" s="88" t="n"/>
      <c r="AH187" s="26" t="n"/>
      <c r="AI187" s="26" t="n"/>
      <c r="AJ187" s="26" t="n"/>
      <c r="AK187" s="26" t="n"/>
    </row>
    <row r="188" ht="24" customHeight="1">
      <c r="A188" s="367" t="inlineStr">
        <is>
          <t>Demande abandonnée</t>
        </is>
      </c>
      <c r="B188" s="1381" t="n"/>
      <c r="C188" s="681" t="n">
        <v>0</v>
      </c>
      <c r="D188" s="344" t="n">
        <v>0</v>
      </c>
      <c r="E188" s="1401" t="n"/>
      <c r="F188" s="681" t="n">
        <v>0</v>
      </c>
      <c r="G188" s="344" t="n">
        <v>0</v>
      </c>
      <c r="H188" s="1401" t="n"/>
      <c r="I188" s="1154" t="n">
        <v>0</v>
      </c>
      <c r="J188" s="344" t="n">
        <v>0</v>
      </c>
      <c r="K188" s="1401" t="n"/>
      <c r="M188" s="369" t="inlineStr">
        <is>
          <t>Section 4.5.4 - La somme des Colonnes "Nombre de demandes" de "Demande abandonnée" doit être égale ou inférieure au "Total" de "Demande abandonnée" de la Section 4.1</t>
        </is>
      </c>
      <c r="Y188" s="177">
        <f>SUM(C188,F188,I188)</f>
        <v/>
      </c>
      <c r="Z188" s="177">
        <f>SUM(D188,G188,J188)</f>
        <v/>
      </c>
      <c r="AA188" s="88" t="n"/>
      <c r="AB188" s="88" t="n"/>
      <c r="AC188" s="88" t="n"/>
      <c r="AD188" s="88" t="n"/>
      <c r="AE188" s="88" t="n"/>
      <c r="AF188" s="88" t="n"/>
      <c r="AG188" s="88" t="n"/>
      <c r="AH188" s="26" t="n"/>
      <c r="AI188" s="26" t="n"/>
      <c r="AJ188" s="26" t="n"/>
      <c r="AK188" s="26" t="n"/>
    </row>
    <row r="189" ht="27.75" customHeight="1">
      <c r="A189" s="1442" t="inlineStr">
        <is>
          <t>Ni confirmée ni infirmée</t>
        </is>
      </c>
      <c r="B189" s="1383" t="n"/>
      <c r="C189" s="357" t="n">
        <v>0</v>
      </c>
      <c r="D189" s="346" t="n">
        <v>0</v>
      </c>
      <c r="E189" s="1384" t="n"/>
      <c r="F189" s="153" t="n">
        <v>0</v>
      </c>
      <c r="G189" s="346" t="n">
        <v>0</v>
      </c>
      <c r="H189" s="1384" t="n"/>
      <c r="I189" s="198" t="n">
        <v>0</v>
      </c>
      <c r="J189" s="346" t="n">
        <v>1</v>
      </c>
      <c r="K189" s="1384" t="n"/>
      <c r="M189" s="369" t="inlineStr">
        <is>
          <t>Section 4.5.4 - La somme des Colonnes "Nombre de demandes" de "Ni confirmée ni infirmée" doit être égale ou inférieure au "Total" de "Ni confirmée ni infirmée" de la Section 4.1</t>
        </is>
      </c>
      <c r="Y189" s="177">
        <f>SUM(C189,F189,I189)</f>
        <v/>
      </c>
      <c r="Z189" s="177">
        <f>SUM(D189,G189,J189)</f>
        <v/>
      </c>
      <c r="AA189" s="88" t="n"/>
      <c r="AB189" s="88" t="n"/>
      <c r="AC189" s="88" t="n"/>
      <c r="AD189" s="88" t="n"/>
      <c r="AE189" s="88" t="n"/>
      <c r="AF189" s="88" t="n"/>
      <c r="AG189" s="88" t="n"/>
      <c r="AH189" s="26" t="n"/>
      <c r="AI189" s="26" t="n"/>
      <c r="AJ189" s="26" t="n"/>
      <c r="AK189" s="26" t="n"/>
    </row>
    <row r="190" ht="51.75" customHeight="1" thickBot="1">
      <c r="A190" s="422" t="inlineStr">
        <is>
          <t>Refus d'agir avec l'approbation de la Commissaire à l'information</t>
        </is>
      </c>
      <c r="B190" s="1396" t="n"/>
      <c r="C190" s="154" t="n">
        <v>0</v>
      </c>
      <c r="D190" s="334" t="n">
        <v>0</v>
      </c>
      <c r="E190" s="1409" t="n"/>
      <c r="F190" s="154" t="n">
        <v>0</v>
      </c>
      <c r="G190" s="334" t="n">
        <v>1</v>
      </c>
      <c r="H190" s="1409" t="n"/>
      <c r="I190" s="536" t="n">
        <v>0</v>
      </c>
      <c r="J190" s="334" t="n">
        <v>0</v>
      </c>
      <c r="K190" s="1409" t="n"/>
      <c r="M190" s="369" t="inlineStr">
        <is>
          <t>Section 4.5.4 - La somme des Colonnes "Nombre de demandes" de "Refus d'agir avec l'approbation de la Commissaire à l'information" doit être égale ou inférieure au "Total" de "Refus d'agir avec l'approbation de la Commissaire à l'information" de la Section 4.1</t>
        </is>
      </c>
      <c r="Y190" s="177">
        <f>SUM(C190,F190,I190)</f>
        <v/>
      </c>
      <c r="Z190" s="177">
        <f>SUM(D190,G190,J190)</f>
        <v/>
      </c>
      <c r="AA190" s="88" t="n"/>
      <c r="AB190" s="88" t="n"/>
      <c r="AC190" s="88" t="n"/>
      <c r="AD190" s="88" t="n"/>
      <c r="AE190" s="88" t="n"/>
      <c r="AF190" s="88" t="n"/>
      <c r="AG190" s="88" t="n"/>
      <c r="AH190" s="26" t="n"/>
      <c r="AI190" s="26" t="n"/>
      <c r="AJ190" s="26" t="n"/>
      <c r="AK190" s="26" t="n"/>
    </row>
    <row r="191" ht="19.5" customHeight="1" thickBot="1" thickTop="1">
      <c r="A191" s="378" t="inlineStr">
        <is>
          <t>Total</t>
        </is>
      </c>
      <c r="B191" s="1374" t="n"/>
      <c r="C191" s="809">
        <f>SUM(C184:C190)</f>
        <v/>
      </c>
      <c r="D191" s="336">
        <f>SUM(D184:E190)</f>
        <v/>
      </c>
      <c r="E191" s="1443" t="n"/>
      <c r="F191" s="809">
        <f>SUM(F184:F190)</f>
        <v/>
      </c>
      <c r="G191" s="336">
        <f>SUM(G184:H190)</f>
        <v/>
      </c>
      <c r="H191" s="1443" t="n"/>
      <c r="I191" s="640">
        <f>SUM(I184:I190)</f>
        <v/>
      </c>
      <c r="J191" s="336">
        <f>SUM(J184:K190)</f>
        <v/>
      </c>
      <c r="K191" s="1443" t="n"/>
      <c r="M191" s="369" t="inlineStr">
        <is>
          <t>Section 4.5.4 - La somme des Colonnes "Nombre de demandes" de "Total" doit être égale au "Nombre de demandes" de la Section 4.5.3</t>
        </is>
      </c>
      <c r="Y191" s="88" t="n"/>
      <c r="Z191" s="88" t="n"/>
      <c r="AA191" s="88" t="n"/>
      <c r="AB191" s="88" t="n"/>
      <c r="AC191" s="88" t="n"/>
      <c r="AD191" s="88" t="n"/>
      <c r="AE191" s="88" t="n"/>
      <c r="AF191" s="88" t="n"/>
      <c r="AG191" s="88" t="n"/>
      <c r="AH191" s="26" t="n"/>
      <c r="AI191" s="26" t="n"/>
      <c r="AJ191" s="26" t="n"/>
      <c r="AK191" s="26" t="n"/>
    </row>
    <row r="192" ht="15" customHeight="1" thickTop="1">
      <c r="A192" s="51" t="n"/>
      <c r="B192" s="51" t="n"/>
      <c r="C192" s="451" t="n"/>
      <c r="D192" s="451" t="n"/>
      <c r="E192" s="451" t="n"/>
      <c r="F192" s="451" t="n"/>
      <c r="G192" s="451" t="n"/>
      <c r="H192" s="451" t="n"/>
      <c r="M192" s="351" t="inlineStr">
        <is>
          <t>Section 4.5.4 – Le “Nombre de minutes communiquées” doit être égal au “Nombre de minutes traitées” de la Section 4.5.3</t>
        </is>
      </c>
      <c r="X192" s="88" t="n"/>
      <c r="Y192" s="88" t="n"/>
      <c r="Z192" s="88" t="n"/>
      <c r="AA192" s="88" t="n"/>
      <c r="AB192" s="88" t="n"/>
      <c r="AC192" s="88" t="n"/>
      <c r="AD192" s="88" t="n"/>
      <c r="AE192" s="88" t="n"/>
      <c r="AF192" s="88" t="n"/>
      <c r="AG192" s="88" t="n"/>
      <c r="AH192" s="26" t="n"/>
      <c r="AI192" s="26" t="n"/>
      <c r="AJ192" s="26" t="n"/>
      <c r="AK192" s="26" t="n"/>
    </row>
    <row r="193">
      <c r="A193" s="439" t="inlineStr">
        <is>
          <t>4.5.5 Minutes pertinentes traitées et communiquées en format vidéo</t>
        </is>
      </c>
      <c r="J193" s="451" t="n"/>
      <c r="K193" s="451" t="n"/>
      <c r="L193" s="451" t="n"/>
      <c r="X193" s="88" t="n"/>
      <c r="Y193" s="88" t="n"/>
      <c r="Z193" s="88" t="n"/>
      <c r="AA193" s="88" t="n"/>
      <c r="AB193" s="88" t="n"/>
      <c r="AC193" s="88" t="n"/>
      <c r="AD193" s="88" t="n"/>
      <c r="AE193" s="88" t="n"/>
      <c r="AF193" s="88" t="n"/>
      <c r="AG193" s="88" t="n"/>
      <c r="AH193" s="26" t="n"/>
      <c r="AI193" s="26" t="n"/>
      <c r="AJ193" s="26" t="n"/>
      <c r="AK193" s="26" t="n"/>
    </row>
    <row r="194" ht="15.75" customHeight="1" thickBot="1">
      <c r="M194" s="88" t="n"/>
      <c r="N194" s="88" t="n"/>
      <c r="O194" s="88" t="n"/>
      <c r="P194" s="88" t="n"/>
      <c r="Q194" s="88" t="n"/>
      <c r="R194" s="88" t="n"/>
      <c r="S194" s="88" t="n"/>
      <c r="T194" s="88" t="n"/>
      <c r="U194" s="88" t="n"/>
      <c r="V194" s="88" t="n"/>
      <c r="W194" s="88" t="n"/>
      <c r="X194" s="88" t="n"/>
      <c r="Y194" s="88" t="n"/>
      <c r="Z194" s="88" t="n"/>
      <c r="AA194" s="88" t="n"/>
      <c r="AB194" s="88" t="n"/>
      <c r="AC194" s="88" t="n"/>
      <c r="AD194" s="88" t="n"/>
      <c r="AE194" s="88" t="n"/>
      <c r="AF194" s="88" t="n"/>
      <c r="AG194" s="88" t="n"/>
      <c r="AH194" s="26" t="n"/>
      <c r="AI194" s="26" t="n"/>
      <c r="AJ194" s="26" t="n"/>
      <c r="AK194" s="26" t="n"/>
    </row>
    <row r="195" ht="16.5" customHeight="1" thickBot="1" thickTop="1">
      <c r="A195" s="1438" t="inlineStr">
        <is>
          <t>Nombre de minutes traitées</t>
        </is>
      </c>
      <c r="B195" s="1374" t="n"/>
      <c r="C195" s="1405" t="n"/>
      <c r="D195" s="1439" t="inlineStr">
        <is>
          <t>Nombre de minutes communiquées</t>
        </is>
      </c>
      <c r="E195" s="1374" t="n"/>
      <c r="F195" s="1405" t="n"/>
      <c r="G195" s="1440" t="inlineStr">
        <is>
          <t>Nombre de demandes</t>
        </is>
      </c>
      <c r="H195" s="1374" t="n"/>
      <c r="I195" s="1375" t="n"/>
      <c r="K195" s="112" t="n"/>
      <c r="L195" s="112" t="n"/>
      <c r="M195" s="361" t="inlineStr">
        <is>
          <t>Section 4.5.5 - Le "Nombre de minutes communiquées" doit être égal ou inférieur au "Nombre de minutes traitées".</t>
        </is>
      </c>
      <c r="W195" s="88" t="n"/>
      <c r="X195" s="88" t="n"/>
      <c r="Y195" s="88" t="n"/>
      <c r="Z195" s="88" t="n"/>
      <c r="AA195" s="88" t="n"/>
      <c r="AB195" s="88" t="n"/>
      <c r="AC195" s="88" t="n"/>
      <c r="AD195" s="88" t="n"/>
      <c r="AE195" s="88" t="n"/>
      <c r="AF195" s="88" t="n"/>
      <c r="AG195" s="88" t="n"/>
      <c r="AH195" s="26" t="n"/>
      <c r="AI195" s="26" t="n"/>
      <c r="AJ195" s="26" t="n"/>
      <c r="AK195" s="26" t="n"/>
    </row>
    <row r="196" ht="16.5" customHeight="1" thickBot="1" thickTop="1">
      <c r="A196" s="225" t="n">
        <v>175</v>
      </c>
      <c r="B196" s="1430" t="n"/>
      <c r="C196" s="1432" t="n"/>
      <c r="D196" s="1444" t="n">
        <v>10</v>
      </c>
      <c r="E196" s="1430" t="n"/>
      <c r="F196" s="1432" t="n"/>
      <c r="G196" s="226" t="n">
        <v>3</v>
      </c>
      <c r="H196" s="1430" t="n"/>
      <c r="I196" s="1431" t="n"/>
      <c r="K196" s="112" t="n"/>
      <c r="L196" s="112" t="n"/>
      <c r="M196" s="361" t="inlineStr">
        <is>
          <t>Section 4.5.5 -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W196" s="112" t="n"/>
      <c r="X196" s="112" t="n"/>
      <c r="Y196" s="112" t="n"/>
      <c r="Z196" s="112" t="n"/>
      <c r="AA196" s="88" t="n"/>
      <c r="AB196" s="88" t="n"/>
      <c r="AC196" s="88" t="n"/>
      <c r="AD196" s="88" t="n"/>
      <c r="AE196" s="88" t="n"/>
      <c r="AF196" s="88" t="n"/>
      <c r="AG196" s="88" t="n"/>
      <c r="AH196" s="26" t="n"/>
      <c r="AI196" s="26" t="n"/>
      <c r="AJ196" s="26" t="n"/>
      <c r="AK196" s="26" t="n"/>
    </row>
    <row r="197" ht="15.75" customHeight="1" thickTop="1">
      <c r="B197" s="1215" t="n"/>
      <c r="C197" s="1215" t="n"/>
      <c r="D197" s="1215" t="n"/>
      <c r="E197" s="1215" t="n"/>
      <c r="F197" s="1215" t="n"/>
      <c r="G197" s="1215" t="n"/>
      <c r="H197" s="1215" t="n"/>
      <c r="I197" s="1215" t="n"/>
      <c r="K197" s="112" t="n"/>
      <c r="L197" s="112" t="n"/>
      <c r="M197" s="361" t="inlineStr">
        <is>
          <t>La somme du "Nombre de demandes" de la Section 4.5.5, 4.5.3 et 4.5.1 doit être égale ou supérieure à la somme des totaux de "Communication totale", "Communication partielle", "Exception totale", "Exclusion totale", "Demande abandonnée", "Ni confirmée ni infirmée", "Refus d'agir avec l'approbation de la Commissaire à l'information" de la Section 4.1</t>
        </is>
      </c>
      <c r="V197" s="112" t="n"/>
      <c r="W197" s="112" t="n"/>
      <c r="X197" s="112" t="n"/>
      <c r="Y197" s="112" t="n"/>
      <c r="Z197" s="112" t="n"/>
      <c r="AA197" s="100" t="n"/>
      <c r="AB197" s="100" t="n"/>
      <c r="AC197" s="100" t="n"/>
      <c r="AD197" s="100" t="n"/>
      <c r="AE197" s="100" t="n"/>
      <c r="AF197" s="100" t="n"/>
      <c r="AG197" s="100" t="n"/>
      <c r="AH197" s="32" t="n"/>
      <c r="AI197" s="32" t="n"/>
      <c r="AJ197" s="32" t="n"/>
      <c r="AK197" s="32" t="n"/>
    </row>
    <row r="198" ht="15" customHeight="1">
      <c r="A198" s="359" t="inlineStr">
        <is>
          <t xml:space="preserve">4.5.6 Minutes pertinentes traitées en fonction de l'ampleur des demandes en format vidéo par disposition des demandes </t>
        </is>
      </c>
      <c r="L198" s="1215" t="n"/>
      <c r="M198" s="194">
        <f>IFERROR(IF(D209/C209&gt;59,"Section 4.5.6 - Le nombre total de minutes indiqué dans ""Minutes traitées"" divisé par le ""Nombre de demandes"" dans ""Moins de 60 minutes traitées"" doit être égal ou inférieur à 59.",""),"")</f>
        <v/>
      </c>
      <c r="N198" s="88" t="n"/>
      <c r="O198" s="88" t="n"/>
      <c r="P198" s="88" t="n"/>
      <c r="Q198" s="88" t="n"/>
      <c r="R198" s="88" t="n"/>
      <c r="S198" s="88" t="n"/>
      <c r="T198" s="88" t="n"/>
      <c r="U198" s="88" t="n"/>
      <c r="V198" s="88" t="n"/>
      <c r="W198" s="88" t="n"/>
      <c r="X198" s="88" t="n"/>
      <c r="Y198" s="88" t="n"/>
      <c r="Z198" s="88" t="n"/>
      <c r="AA198" s="88" t="n"/>
      <c r="AB198" s="88" t="n"/>
      <c r="AC198" s="88" t="n"/>
      <c r="AD198" s="88" t="n"/>
      <c r="AE198" s="88" t="n"/>
      <c r="AF198" s="88" t="n"/>
      <c r="AG198" s="88" t="n"/>
      <c r="AH198" s="26" t="n"/>
      <c r="AI198" s="26" t="n"/>
      <c r="AJ198" s="26" t="n"/>
      <c r="AK198" s="26" t="n"/>
    </row>
    <row r="199" ht="15.75" customHeight="1" thickBot="1">
      <c r="L199" s="54" t="n"/>
      <c r="M199" s="194">
        <f>IFERROR(IF(AND(G209/F209&gt;=60,G209/F209&lt;=120),"","Section 4.5.6 - Le nombre total de minutes indiqué dans ""Minutes traitées"" divisé par le ""Nombre de demandes"" dans ""60-120 minutes traitées"" doit être compris entre 60 et 120."),"")</f>
        <v/>
      </c>
      <c r="N199" s="88" t="n"/>
      <c r="O199" s="88" t="n"/>
      <c r="P199" s="88" t="n"/>
      <c r="Q199" s="88" t="n"/>
      <c r="R199" s="88" t="n"/>
      <c r="S199" s="88" t="n"/>
      <c r="T199" s="88" t="n"/>
      <c r="U199" s="88" t="n"/>
      <c r="V199" s="88" t="n"/>
      <c r="W199" s="88" t="n"/>
      <c r="X199" s="88" t="n"/>
      <c r="Y199" s="88" t="n"/>
      <c r="Z199" s="88" t="n"/>
      <c r="AA199" s="88" t="n"/>
      <c r="AB199" s="88" t="n"/>
      <c r="AC199" s="88" t="n"/>
      <c r="AD199" s="88" t="n"/>
      <c r="AE199" s="88" t="n"/>
      <c r="AF199" s="88" t="n"/>
      <c r="AG199" s="88" t="n"/>
      <c r="AH199" s="26" t="n"/>
      <c r="AI199" s="26" t="n"/>
      <c r="AJ199" s="26" t="n"/>
      <c r="AK199" s="26" t="n"/>
    </row>
    <row r="200" ht="15.75" customHeight="1" thickTop="1">
      <c r="A200" s="853" t="inlineStr">
        <is>
          <t>Disposition</t>
        </is>
      </c>
      <c r="B200" s="1423" t="n"/>
      <c r="C200" s="390" t="inlineStr">
        <is>
          <t xml:space="preserve">Moins de 60 minutes traitées </t>
        </is>
      </c>
      <c r="D200" s="1377" t="n"/>
      <c r="E200" s="1406" t="n"/>
      <c r="F200" s="390" t="inlineStr">
        <is>
          <t xml:space="preserve">60-120 minutes traitées </t>
        </is>
      </c>
      <c r="G200" s="1377" t="n"/>
      <c r="H200" s="1406" t="n"/>
      <c r="I200" s="831" t="inlineStr">
        <is>
          <t xml:space="preserve">Plus de 120 minutes traitées </t>
        </is>
      </c>
      <c r="J200" s="1377" t="n"/>
      <c r="K200" s="1406" t="n"/>
      <c r="M200" s="194">
        <f>IFERROR(IF(J209/I209&lt;=120,"Section 4.5.6 - Le nombre total de minutes indiqué dans ""Minutes traitées"" divisé par le ""Nombre de demandes"" dans ""Plus de 120 minutes traitées"" doit être supérieur à 120.",""),"")</f>
        <v/>
      </c>
      <c r="N200" s="88" t="n"/>
      <c r="O200" s="88" t="n"/>
      <c r="P200" s="88" t="n"/>
      <c r="Q200" s="88" t="n"/>
      <c r="R200" s="88" t="n"/>
      <c r="S200" s="88" t="n"/>
      <c r="T200" s="88" t="n"/>
      <c r="U200" s="88" t="n"/>
      <c r="V200" s="88" t="n"/>
      <c r="W200" s="88" t="n"/>
      <c r="X200" s="88" t="n"/>
      <c r="Y200" s="88" t="n"/>
      <c r="Z200" s="88" t="n"/>
      <c r="AA200" s="88" t="n"/>
      <c r="AB200" s="88" t="n"/>
      <c r="AC200" s="88" t="n"/>
      <c r="AD200" s="88" t="n"/>
      <c r="AE200" s="88" t="n"/>
      <c r="AF200" s="88" t="n"/>
      <c r="AG200" s="88" t="n"/>
      <c r="AH200" s="26" t="n"/>
      <c r="AI200" s="26" t="n"/>
      <c r="AJ200" s="26" t="n"/>
      <c r="AK200" s="26" t="n"/>
    </row>
    <row r="201" ht="27.75" customHeight="1" thickBot="1">
      <c r="A201" s="1425" t="n"/>
      <c r="B201" s="1398" t="n"/>
      <c r="C201" s="169" t="inlineStr">
        <is>
          <t>Nombre de demandes</t>
        </is>
      </c>
      <c r="D201" s="349" t="inlineStr">
        <is>
          <t>Minutes  traitées</t>
        </is>
      </c>
      <c r="E201" s="1396" t="n"/>
      <c r="F201" s="169" t="inlineStr">
        <is>
          <t>Nombre de demandes</t>
        </is>
      </c>
      <c r="G201" s="349" t="inlineStr">
        <is>
          <t>Minutes traitées</t>
        </is>
      </c>
      <c r="H201" s="1396" t="n"/>
      <c r="I201" s="156" t="inlineStr">
        <is>
          <t>Nombre de demandes</t>
        </is>
      </c>
      <c r="J201" s="349" t="inlineStr">
        <is>
          <t>Minutes  traitées</t>
        </is>
      </c>
      <c r="K201" s="1396" t="n"/>
      <c r="M201" s="88" t="n"/>
      <c r="N201" s="88" t="n"/>
      <c r="O201" s="88" t="n"/>
      <c r="P201" s="88" t="n"/>
      <c r="Q201" s="88" t="n"/>
      <c r="R201" s="88" t="n"/>
      <c r="S201" s="88" t="n"/>
      <c r="T201" s="88" t="n"/>
      <c r="U201" s="88" t="n"/>
      <c r="V201" s="88" t="n"/>
      <c r="W201" s="88" t="n"/>
      <c r="X201" s="88" t="n"/>
      <c r="Y201" s="88" t="n"/>
      <c r="Z201" s="88" t="n"/>
      <c r="AA201" s="88" t="n"/>
      <c r="AB201" s="88" t="n"/>
      <c r="AC201" s="176" t="inlineStr">
        <is>
          <t>Nombre de demandes</t>
        </is>
      </c>
      <c r="AD201" s="176" t="inlineStr">
        <is>
          <t>Minutes traitées</t>
        </is>
      </c>
      <c r="AE201" s="88" t="n"/>
      <c r="AF201" s="88" t="n"/>
      <c r="AG201" s="88" t="n"/>
      <c r="AH201" s="26" t="n"/>
      <c r="AI201" s="26" t="n"/>
      <c r="AJ201" s="26" t="n"/>
      <c r="AK201" s="26" t="n"/>
    </row>
    <row r="202" ht="29.25" customHeight="1" thickTop="1">
      <c r="A202" s="851" t="inlineStr">
        <is>
          <t>Communication totale</t>
        </is>
      </c>
      <c r="B202" s="1406" t="n"/>
      <c r="C202" s="1154" t="n">
        <v>1</v>
      </c>
      <c r="D202" s="834" t="n">
        <v>1</v>
      </c>
      <c r="E202" s="1399" t="n"/>
      <c r="F202" s="1154" t="n">
        <v>0</v>
      </c>
      <c r="G202" s="834" t="n">
        <v>0</v>
      </c>
      <c r="H202" s="1399" t="n"/>
      <c r="I202" s="1154" t="n">
        <v>0</v>
      </c>
      <c r="J202" s="420" t="n">
        <v>0</v>
      </c>
      <c r="K202" s="1407" t="n"/>
      <c r="M202" s="361" t="inlineStr">
        <is>
          <t>Section 4.5.6 - La somme du "Nombre de demandes" en "Communication totale" doit être égale ou inférieur au "Total" de "Communication totale" de la Section 4.1</t>
        </is>
      </c>
      <c r="T202" s="369" t="inlineStr">
        <is>
          <t>La somme du "Nombre de demandes" en "Communication totale" des Sections 4.5.6, 4.5.4 et 4.5.2 doit être égale ou supérieure au "Total" de "Communication totale" de la Section 4.1</t>
        </is>
      </c>
      <c r="AC202" s="178">
        <f>SUM(C202,F202,I202)</f>
        <v/>
      </c>
      <c r="AD202" s="179">
        <f>SUM(D202,G202,J202)</f>
        <v/>
      </c>
      <c r="AE202" s="90" t="n"/>
      <c r="AF202" s="90" t="n"/>
      <c r="AG202" s="90" t="n"/>
      <c r="AH202" s="91" t="n"/>
      <c r="AI202" s="91" t="n"/>
      <c r="AJ202" s="91" t="n"/>
      <c r="AK202" s="91" t="n"/>
    </row>
    <row r="203" ht="27" customHeight="1">
      <c r="A203" s="822" t="inlineStr">
        <is>
          <t>Communication partielle</t>
        </is>
      </c>
      <c r="B203" s="1384" t="n"/>
      <c r="C203" s="357" t="n">
        <v>0</v>
      </c>
      <c r="D203" s="344" t="n">
        <v>2</v>
      </c>
      <c r="E203" s="1401" t="n"/>
      <c r="F203" s="357" t="n">
        <v>10</v>
      </c>
      <c r="G203" s="344" t="n">
        <v>75</v>
      </c>
      <c r="H203" s="1401" t="n"/>
      <c r="I203" s="357" t="n">
        <v>0</v>
      </c>
      <c r="J203" s="344" t="n">
        <v>0</v>
      </c>
      <c r="K203" s="1401" t="n"/>
      <c r="M203" s="361" t="inlineStr">
        <is>
          <t>Section 4.5.6 - La somme du "Nombre de demandes" en "Communication partielle" doit être égale ou inférieur au "Total" de "Communication partielle" de la Section 4.1</t>
        </is>
      </c>
      <c r="T203" s="369" t="inlineStr">
        <is>
          <t>La somme du "Nombre de demandes" en "Communication partielle" des Sections 4.5.6, 4.5.4 et 4.5.2 doit être égale ou supérieure au "Total" de "Communication partielle" de la Section 4.1</t>
        </is>
      </c>
      <c r="AC203" s="178">
        <f>SUM(C203,F203,I203)</f>
        <v/>
      </c>
      <c r="AD203" s="179">
        <f>SUM(D203,G203,J203)</f>
        <v/>
      </c>
      <c r="AE203" s="90" t="n"/>
      <c r="AF203" s="90" t="n"/>
      <c r="AG203" s="90" t="n"/>
      <c r="AH203" s="91" t="n"/>
      <c r="AI203" s="91" t="n"/>
      <c r="AJ203" s="91" t="n"/>
      <c r="AK203" s="91" t="n"/>
    </row>
    <row r="204">
      <c r="A204" s="822" t="inlineStr">
        <is>
          <t>Exception totale</t>
        </is>
      </c>
      <c r="B204" s="1384" t="n"/>
      <c r="C204" s="681" t="n">
        <v>0</v>
      </c>
      <c r="D204" s="344" t="n">
        <v>0</v>
      </c>
      <c r="E204" s="1401" t="n"/>
      <c r="F204" s="357" t="n">
        <v>0</v>
      </c>
      <c r="G204" s="344" t="n">
        <v>85</v>
      </c>
      <c r="H204" s="1401" t="n"/>
      <c r="I204" s="357" t="n">
        <v>0</v>
      </c>
      <c r="J204" s="344" t="n">
        <v>0</v>
      </c>
      <c r="K204" s="1401" t="n"/>
      <c r="M204" s="361" t="inlineStr">
        <is>
          <t>Section 4.5.6 - La somme du "Nombre de demandes" en "Exception totale" doit être égale ou inférieur au "Total" de "Exception totale" de la Section 4.1</t>
        </is>
      </c>
      <c r="T204" s="369" t="inlineStr">
        <is>
          <t>La somme du "Nombre de demandes" en "Exception totale" des Sections 4.5.6, 4.5.4 et 4.5.2 doit être égale ou supérieure au "Total" de "Exception totale" de la Section 4.1</t>
        </is>
      </c>
      <c r="AC204" s="178">
        <f>SUM(C204,F204,I204)</f>
        <v/>
      </c>
      <c r="AD204" s="179">
        <f>SUM(D204,G204,J204)</f>
        <v/>
      </c>
      <c r="AE204" s="90" t="n"/>
      <c r="AF204" s="90" t="n"/>
      <c r="AG204" s="90" t="n"/>
      <c r="AH204" s="91" t="n"/>
      <c r="AI204" s="91" t="n"/>
      <c r="AJ204" s="91" t="n"/>
      <c r="AK204" s="91" t="n"/>
    </row>
    <row r="205">
      <c r="A205" s="822" t="inlineStr">
        <is>
          <t>Exclusion totale</t>
        </is>
      </c>
      <c r="B205" s="1384" t="n"/>
      <c r="C205" s="357" t="n">
        <v>1</v>
      </c>
      <c r="D205" s="344" t="n">
        <v>0</v>
      </c>
      <c r="E205" s="1401" t="n"/>
      <c r="F205" s="357" t="n">
        <v>0</v>
      </c>
      <c r="G205" s="344" t="n">
        <v>0</v>
      </c>
      <c r="H205" s="1401" t="n"/>
      <c r="I205" s="357" t="n">
        <v>0</v>
      </c>
      <c r="J205" s="344" t="n">
        <v>1</v>
      </c>
      <c r="K205" s="1401" t="n"/>
      <c r="M205" s="361" t="inlineStr">
        <is>
          <t>Section 4.5.6 - La somme du "Nombre de demandes" en "Exclusion totale" doit être égale ou inférieur au "Total" de "Exclusion totale" de la Section 4.1</t>
        </is>
      </c>
      <c r="T205" s="369" t="inlineStr">
        <is>
          <t>La somme du "Nombre de demandes" en "Exclusion totale" des Sections 4.5.6, 4.5.4 et 4.5.2 doit être égale ou supérieure au "Total" de "Exclusion totale" de la Section 4.1</t>
        </is>
      </c>
      <c r="AC205" s="178">
        <f>SUM(C205,F205,I205)</f>
        <v/>
      </c>
      <c r="AD205" s="179">
        <f>SUM(D205,G205,J205)</f>
        <v/>
      </c>
      <c r="AE205" s="90" t="n"/>
      <c r="AF205" s="90" t="n"/>
      <c r="AG205" s="90" t="n"/>
      <c r="AH205" s="91" t="n"/>
      <c r="AI205" s="91" t="n"/>
      <c r="AJ205" s="91" t="n"/>
      <c r="AK205" s="91" t="n"/>
    </row>
    <row r="206" ht="26.25" customHeight="1">
      <c r="A206" s="822" t="inlineStr">
        <is>
          <t>Demande abandonnée</t>
        </is>
      </c>
      <c r="B206" s="1384" t="n"/>
      <c r="C206" s="357" t="n">
        <v>0</v>
      </c>
      <c r="D206" s="344" t="n">
        <v>0</v>
      </c>
      <c r="E206" s="1401" t="n"/>
      <c r="F206" s="357" t="n">
        <v>90</v>
      </c>
      <c r="G206" s="344" t="n">
        <v>0</v>
      </c>
      <c r="H206" s="1401" t="n"/>
      <c r="I206" s="357" t="n">
        <v>0</v>
      </c>
      <c r="J206" s="344" t="n">
        <v>0</v>
      </c>
      <c r="K206" s="1401" t="n"/>
      <c r="M206" s="361" t="inlineStr">
        <is>
          <t>Section 4.5.6 - La somme du "Nombre de demandes" en "Demande abandonnée" doit être égale ou inférieur au "Total" de "Demande abandonnée" de la Section 4.1</t>
        </is>
      </c>
      <c r="T206" s="369" t="inlineStr">
        <is>
          <t>La somme du "Nombre de demandes" en "Demande abandonnée" des Sections 4.5.6, 4.5.4 et 4.5.2 doit être égale ou supérieure au "Total" de "Demande abandonnée" de la Section 4.1</t>
        </is>
      </c>
      <c r="AC206" s="178">
        <f>SUM(C206,F206,I206)</f>
        <v/>
      </c>
      <c r="AD206" s="179">
        <f>SUM(D206,G206,J206)</f>
        <v/>
      </c>
      <c r="AE206" s="90" t="n"/>
      <c r="AF206" s="90" t="n"/>
      <c r="AG206" s="90" t="n"/>
      <c r="AH206" s="91" t="n"/>
      <c r="AI206" s="91" t="n"/>
      <c r="AJ206" s="91" t="n"/>
      <c r="AK206" s="91" t="n"/>
    </row>
    <row r="207" ht="27.75" customHeight="1">
      <c r="A207" s="364" t="inlineStr">
        <is>
          <t>Ni confirmée ni infirmée</t>
        </is>
      </c>
      <c r="B207" s="1384" t="n"/>
      <c r="C207" s="681" t="n">
        <v>0</v>
      </c>
      <c r="D207" s="346" t="n">
        <v>90</v>
      </c>
      <c r="E207" s="1384" t="n"/>
      <c r="F207" s="247" t="n">
        <v>0</v>
      </c>
      <c r="G207" s="346" t="n">
        <v>0</v>
      </c>
      <c r="H207" s="1384" t="n"/>
      <c r="I207" s="247" t="n">
        <v>0</v>
      </c>
      <c r="J207" s="346" t="n">
        <v>0</v>
      </c>
      <c r="K207" s="1384" t="n"/>
      <c r="M207" s="361" t="inlineStr">
        <is>
          <t>Section 4.5.6 - La somme du "Nombre de demandes" en "Ni confirmée ni infirmée" doit être égale ou inférieur au "Total" de "Ni confirmée ni infirmée" de la Section 4.1</t>
        </is>
      </c>
      <c r="T207" s="369" t="inlineStr">
        <is>
          <t>La somme du "Nombre de demandes" en "Ni confirmée ni infirmée" des Sections 4.5.6, 4.5.4 et 4.5.2 doit être égale ou supérieure au "Total" de "Ni confirmée ni infirmée" de la Section 4.1</t>
        </is>
      </c>
      <c r="AC207" s="178">
        <f>SUM(C207,F207,I207)</f>
        <v/>
      </c>
      <c r="AD207" s="179">
        <f>SUM(D207,G207,J207)</f>
        <v/>
      </c>
      <c r="AE207" s="90" t="n"/>
      <c r="AF207" s="90" t="n"/>
      <c r="AG207" s="90" t="n"/>
      <c r="AH207" s="91" t="n"/>
      <c r="AI207" s="91" t="n"/>
      <c r="AJ207" s="91" t="n"/>
      <c r="AK207" s="91" t="n"/>
    </row>
    <row r="208" ht="59.45" customHeight="1" thickBot="1">
      <c r="A208" s="352" t="inlineStr">
        <is>
          <t>Refus d'agir avec l'approbation de la Commissaire à l'information</t>
        </is>
      </c>
      <c r="B208" s="1402" t="n"/>
      <c r="C208" s="154" t="n">
        <v>0</v>
      </c>
      <c r="D208" s="334" t="n">
        <v>0</v>
      </c>
      <c r="E208" s="1409" t="n"/>
      <c r="F208" s="128" t="n">
        <v>0</v>
      </c>
      <c r="G208" s="334" t="n">
        <v>0</v>
      </c>
      <c r="H208" s="1409" t="n"/>
      <c r="I208" s="128" t="n">
        <v>0</v>
      </c>
      <c r="J208" s="334" t="n">
        <v>0</v>
      </c>
      <c r="K208" s="1409" t="n"/>
      <c r="M208" s="361" t="inlineStr">
        <is>
          <t>Section 4.5.6 - La somme du "Nombre de demandes" en "Refus d'agir avec l'approbation de la Commissaire à l'information" doit être égale ou inférieur au "Total" de "Refus d'agir avec l'approbation de la Commissaire à l'information" de la Section 4.1</t>
        </is>
      </c>
      <c r="T208" s="369" t="inlineStr">
        <is>
          <t>La somme du "Nombre de demandes" en "Refus d'agir avec l'approbation de la Commissaire à l'information" des Sections 4.5.6, 4.5.4 et 4.5.2 doit être égale ou supérieure au "Total" de "Refus d'agir avec l'approbation de la Commissaire à l'information" de la Section 4.1</t>
        </is>
      </c>
      <c r="AC208" s="178">
        <f>SUM(C208,F208,I208)</f>
        <v/>
      </c>
      <c r="AD208" s="179">
        <f>SUM(D208,G208,J208)</f>
        <v/>
      </c>
      <c r="AE208" s="90" t="n"/>
      <c r="AF208" s="90" t="n"/>
      <c r="AG208" s="90" t="n"/>
      <c r="AH208" s="91" t="n"/>
      <c r="AI208" s="91" t="n"/>
      <c r="AJ208" s="91" t="n"/>
      <c r="AK208" s="91" t="n"/>
    </row>
    <row r="209" ht="16.5" customHeight="1" thickBot="1" thickTop="1">
      <c r="A209" s="362" t="inlineStr">
        <is>
          <t>Total</t>
        </is>
      </c>
      <c r="B209" s="1405" t="n"/>
      <c r="C209" s="543">
        <f>SUM(C202:C208)</f>
        <v/>
      </c>
      <c r="D209" s="336">
        <f>SUM(D202:E208)</f>
        <v/>
      </c>
      <c r="E209" s="1443" t="n"/>
      <c r="F209" s="640">
        <f>SUM(F202:F208)</f>
        <v/>
      </c>
      <c r="G209" s="336">
        <f>SUM(G202:H208)</f>
        <v/>
      </c>
      <c r="H209" s="1443" t="n"/>
      <c r="I209" s="640">
        <f>SUM(I202:I208)</f>
        <v/>
      </c>
      <c r="J209" s="336">
        <f>SUM(J202:K208)</f>
        <v/>
      </c>
      <c r="K209" s="1443" t="n"/>
      <c r="M209" s="361" t="inlineStr">
        <is>
          <t>Section 4.5.6 - La somme du "Nombre de demandes" doit être égale au "Nombre de demandes" de la Section 4.5.5</t>
        </is>
      </c>
      <c r="T209" s="361" t="n"/>
      <c r="AC209" s="88" t="n"/>
      <c r="AD209" s="88" t="n"/>
      <c r="AE209" s="88" t="n"/>
      <c r="AF209" s="88" t="n"/>
      <c r="AG209" s="88" t="n"/>
      <c r="AH209" s="26" t="n"/>
      <c r="AI209" s="26" t="n"/>
      <c r="AJ209" s="26" t="n"/>
      <c r="AK209" s="26" t="n"/>
    </row>
    <row r="210" ht="9.75" customHeight="1" thickTop="1">
      <c r="A210" s="51" t="n"/>
      <c r="B210" s="51" t="n"/>
      <c r="C210" s="451" t="n"/>
      <c r="D210" s="1445" t="n"/>
      <c r="E210" s="1445" t="n"/>
      <c r="F210" s="451" t="n"/>
      <c r="G210" s="1445" t="n"/>
      <c r="H210" s="1445" t="n"/>
      <c r="I210" s="451" t="n"/>
      <c r="J210" s="1445" t="n"/>
      <c r="K210" s="1445" t="n"/>
      <c r="T210" s="904" t="n"/>
      <c r="AC210" s="102" t="n"/>
      <c r="AD210" s="102" t="n"/>
      <c r="AE210" s="102" t="n"/>
      <c r="AF210" s="102" t="n"/>
      <c r="AG210" s="102" t="n"/>
      <c r="AH210" s="57" t="n"/>
      <c r="AI210" s="57" t="n"/>
      <c r="AJ210" s="57" t="n"/>
      <c r="AK210" s="57" t="n"/>
    </row>
    <row r="211">
      <c r="M211" s="366" t="inlineStr">
        <is>
          <t>Section 4.5.6 – La somme des Colonnes "Minutes traitées" doit être égale au "Nombre de minutes traitées" de la Section 4.5.5</t>
        </is>
      </c>
      <c r="T211" s="88" t="n"/>
      <c r="U211" s="88" t="n"/>
      <c r="V211" s="88" t="n"/>
      <c r="W211" s="88" t="n"/>
      <c r="X211" s="100" t="n"/>
      <c r="Y211" s="100" t="n"/>
      <c r="Z211" s="100" t="n"/>
      <c r="AA211" s="100" t="n"/>
      <c r="AB211" s="100" t="n"/>
      <c r="AC211" s="100" t="n"/>
      <c r="AD211" s="100" t="n"/>
      <c r="AE211" s="100" t="n"/>
      <c r="AF211" s="100" t="n"/>
      <c r="AG211" s="100" t="n"/>
      <c r="AH211" s="32" t="n"/>
      <c r="AI211" s="32" t="n"/>
      <c r="AJ211" s="32" t="n"/>
      <c r="AK211" s="32" t="n"/>
    </row>
    <row r="212">
      <c r="A212" s="326" t="inlineStr">
        <is>
          <t>4.5.7 Autres complexités</t>
        </is>
      </c>
      <c r="T212" s="88" t="n"/>
      <c r="U212" s="88" t="n"/>
      <c r="V212" s="88" t="n"/>
      <c r="W212" s="88" t="n"/>
      <c r="X212" s="88" t="n"/>
      <c r="Y212" s="88" t="n"/>
      <c r="Z212" s="88" t="n"/>
      <c r="AA212" s="88" t="n"/>
      <c r="AB212" s="88" t="n"/>
      <c r="AC212" s="88" t="n"/>
      <c r="AD212" s="88" t="n"/>
      <c r="AE212" s="88" t="n"/>
      <c r="AF212" s="88" t="n"/>
      <c r="AG212" s="88" t="n"/>
      <c r="AH212" s="26" t="n"/>
      <c r="AI212" s="26" t="n"/>
      <c r="AJ212" s="26" t="n"/>
      <c r="AK212" s="26" t="n"/>
    </row>
    <row r="213" ht="15.75" customHeight="1" thickBot="1">
      <c r="M213" s="88" t="n"/>
      <c r="N213" s="88" t="n"/>
      <c r="O213" s="88" t="n"/>
      <c r="P213" s="88" t="n"/>
      <c r="Q213" s="88" t="n"/>
      <c r="R213" s="88" t="n"/>
      <c r="S213" s="88" t="n"/>
      <c r="T213" s="88" t="n"/>
      <c r="U213" s="88" t="n"/>
      <c r="V213" s="88" t="n"/>
      <c r="W213" s="88" t="n"/>
      <c r="X213" s="88" t="n"/>
      <c r="Y213" s="88" t="n"/>
      <c r="Z213" s="88" t="n"/>
      <c r="AA213" s="88" t="n"/>
      <c r="AB213" s="88" t="n"/>
      <c r="AC213" s="88" t="n"/>
      <c r="AD213" s="88" t="n"/>
      <c r="AE213" s="88" t="n"/>
      <c r="AF213" s="88" t="n"/>
      <c r="AG213" s="88" t="n"/>
      <c r="AH213" s="26" t="n"/>
      <c r="AI213" s="26" t="n"/>
      <c r="AJ213" s="26" t="n"/>
      <c r="AK213" s="26" t="n"/>
    </row>
    <row r="214" ht="31.15" customHeight="1" thickBot="1" thickTop="1">
      <c r="A214" s="1446" t="inlineStr">
        <is>
          <t>Disposition</t>
        </is>
      </c>
      <c r="B214" s="1375" t="n"/>
      <c r="C214" s="429" t="inlineStr">
        <is>
          <t>Consultation requise</t>
        </is>
      </c>
      <c r="D214" s="1405" t="n"/>
      <c r="E214" s="332" t="inlineStr">
        <is>
          <t>Avis juridique</t>
        </is>
      </c>
      <c r="F214" s="1405" t="n"/>
      <c r="G214" s="332" t="inlineStr">
        <is>
          <t>Autres</t>
        </is>
      </c>
      <c r="H214" s="1405" t="n"/>
      <c r="I214" s="429" t="inlineStr">
        <is>
          <t>Total</t>
        </is>
      </c>
      <c r="J214" s="1405" t="n"/>
      <c r="M214" s="88" t="n"/>
      <c r="N214" s="88" t="n"/>
      <c r="O214" s="88" t="n"/>
      <c r="P214" s="88" t="n"/>
      <c r="Q214" s="88" t="n"/>
      <c r="R214" s="88" t="n"/>
      <c r="S214" s="88" t="n"/>
      <c r="T214" s="88" t="n"/>
      <c r="U214" s="88" t="n"/>
      <c r="V214" s="88" t="n"/>
      <c r="W214" s="88" t="n"/>
      <c r="X214" s="88" t="n"/>
      <c r="Y214" s="88" t="n"/>
      <c r="Z214" s="88" t="n"/>
      <c r="AA214" s="88" t="n"/>
      <c r="AB214" s="88" t="n"/>
      <c r="AC214" s="88" t="n"/>
      <c r="AD214" s="88" t="n"/>
      <c r="AE214" s="88" t="n"/>
      <c r="AF214" s="88" t="n"/>
      <c r="AG214" s="88" t="n"/>
      <c r="AH214" s="26" t="n"/>
      <c r="AI214" s="26" t="n"/>
      <c r="AJ214" s="26" t="n"/>
      <c r="AK214" s="26" t="n"/>
    </row>
    <row r="215" ht="30" customHeight="1" thickTop="1">
      <c r="A215" s="1447" t="inlineStr">
        <is>
          <t>Communication totale</t>
        </is>
      </c>
      <c r="B215" s="1378" t="n"/>
      <c r="C215" s="245" t="n">
        <v>16</v>
      </c>
      <c r="D215" s="1399" t="n"/>
      <c r="E215" s="420" t="n">
        <v>0</v>
      </c>
      <c r="F215" s="1407" t="n"/>
      <c r="G215" s="420" t="n">
        <v>0</v>
      </c>
      <c r="H215" s="1407" t="n"/>
      <c r="I215" s="433">
        <f>SUM(C215:H215)</f>
        <v/>
      </c>
      <c r="J215" s="1398" t="n"/>
      <c r="M215" s="88" t="n"/>
      <c r="N215" s="88" t="n"/>
      <c r="O215" s="88" t="n"/>
      <c r="P215" s="88" t="n"/>
      <c r="Q215" s="88" t="n"/>
      <c r="R215" s="88" t="n"/>
      <c r="S215" s="88" t="n"/>
      <c r="T215" s="88" t="n"/>
      <c r="U215" s="88" t="n"/>
      <c r="V215" s="88" t="n"/>
      <c r="W215" s="88" t="n"/>
      <c r="X215" s="88" t="n"/>
      <c r="Y215" s="88" t="n"/>
      <c r="Z215" s="88" t="n"/>
      <c r="AA215" s="88" t="n"/>
      <c r="AB215" s="88" t="n"/>
      <c r="AC215" s="88" t="n"/>
      <c r="AD215" s="88" t="n"/>
      <c r="AE215" s="88" t="n"/>
      <c r="AF215" s="88" t="n"/>
      <c r="AG215" s="88" t="n"/>
      <c r="AH215" s="26" t="n"/>
      <c r="AI215" s="26" t="n"/>
      <c r="AJ215" s="26" t="n"/>
      <c r="AK215" s="26" t="n"/>
    </row>
    <row r="216" ht="29.25" customHeight="1">
      <c r="A216" s="1448" t="inlineStr">
        <is>
          <t>Communication partielle</t>
        </is>
      </c>
      <c r="B216" s="1383" t="n"/>
      <c r="C216" s="681" t="n">
        <v>16</v>
      </c>
      <c r="D216" s="1401" t="n"/>
      <c r="E216" s="344" t="n">
        <v>169</v>
      </c>
      <c r="F216" s="1401" t="n"/>
      <c r="G216" s="344" t="n">
        <v>0</v>
      </c>
      <c r="H216" s="1401" t="n"/>
      <c r="I216" s="414">
        <f>SUM(C216:H216)</f>
        <v/>
      </c>
      <c r="J216" s="1384" t="n"/>
      <c r="M216" s="88" t="n"/>
      <c r="N216" s="88" t="n"/>
      <c r="O216" s="88" t="n"/>
      <c r="P216" s="88" t="n"/>
      <c r="Q216" s="88" t="n"/>
      <c r="R216" s="88" t="n"/>
      <c r="S216" s="88" t="n"/>
      <c r="T216" s="88" t="n"/>
      <c r="U216" s="88" t="n"/>
      <c r="V216" s="88" t="n"/>
      <c r="W216" s="88" t="n"/>
      <c r="X216" s="88" t="n"/>
      <c r="Y216" s="88" t="n"/>
      <c r="Z216" s="88" t="n"/>
      <c r="AA216" s="88" t="n"/>
      <c r="AB216" s="88" t="n"/>
      <c r="AC216" s="88" t="n"/>
      <c r="AD216" s="88" t="n"/>
      <c r="AE216" s="88" t="n"/>
      <c r="AF216" s="88" t="n"/>
      <c r="AG216" s="88" t="n"/>
      <c r="AH216" s="26" t="n"/>
      <c r="AI216" s="26" t="n"/>
      <c r="AJ216" s="26" t="n"/>
      <c r="AK216" s="26" t="n"/>
    </row>
    <row r="217">
      <c r="A217" s="1448" t="inlineStr">
        <is>
          <t>Exception totale</t>
        </is>
      </c>
      <c r="B217" s="1383" t="n"/>
      <c r="C217" s="681" t="n">
        <v>0</v>
      </c>
      <c r="D217" s="1401" t="n"/>
      <c r="E217" s="344" t="n">
        <v>169</v>
      </c>
      <c r="F217" s="1401" t="n"/>
      <c r="G217" s="344" t="n">
        <v>2</v>
      </c>
      <c r="H217" s="1401" t="n"/>
      <c r="I217" s="414">
        <f>SUM(C217:H217)</f>
        <v/>
      </c>
      <c r="J217" s="1384" t="n"/>
      <c r="M217" s="88" t="n"/>
      <c r="N217" s="88" t="n"/>
      <c r="O217" s="88" t="n"/>
      <c r="P217" s="88" t="n"/>
      <c r="Q217" s="88" t="n"/>
      <c r="R217" s="88" t="n"/>
      <c r="S217" s="88" t="n"/>
      <c r="T217" s="88" t="n"/>
      <c r="U217" s="88" t="n"/>
      <c r="V217" s="88" t="n"/>
      <c r="W217" s="88" t="n"/>
      <c r="X217" s="88" t="n"/>
      <c r="Y217" s="88" t="n"/>
      <c r="Z217" s="88" t="n"/>
      <c r="AA217" s="88" t="n"/>
      <c r="AB217" s="88" t="n"/>
      <c r="AC217" s="88" t="n"/>
      <c r="AD217" s="88" t="n"/>
      <c r="AE217" s="88" t="n"/>
      <c r="AF217" s="88" t="n"/>
      <c r="AG217" s="88" t="n"/>
      <c r="AH217" s="26" t="n"/>
      <c r="AI217" s="26" t="n"/>
      <c r="AJ217" s="26" t="n"/>
      <c r="AK217" s="26" t="n"/>
    </row>
    <row r="218">
      <c r="A218" s="1448" t="inlineStr">
        <is>
          <t>Exclusion totale</t>
        </is>
      </c>
      <c r="B218" s="1383" t="n"/>
      <c r="C218" s="681" t="n">
        <v>1</v>
      </c>
      <c r="D218" s="1401" t="n"/>
      <c r="E218" s="344" t="n">
        <v>0</v>
      </c>
      <c r="F218" s="1401" t="n"/>
      <c r="G218" s="345" t="n">
        <v>3</v>
      </c>
      <c r="H218" s="1421" t="n"/>
      <c r="I218" s="414">
        <f>SUM(C218:H218)</f>
        <v/>
      </c>
      <c r="J218" s="1384" t="n"/>
      <c r="M218" s="88" t="n"/>
      <c r="N218" s="88" t="n"/>
      <c r="O218" s="88" t="n"/>
      <c r="P218" s="88" t="n"/>
      <c r="Q218" s="88" t="n"/>
      <c r="R218" s="88" t="n"/>
      <c r="S218" s="88" t="n"/>
      <c r="T218" s="88" t="n"/>
      <c r="U218" s="88" t="n"/>
      <c r="V218" s="88" t="n"/>
      <c r="W218" s="88" t="n"/>
      <c r="X218" s="88" t="n"/>
      <c r="Y218" s="88" t="n"/>
      <c r="Z218" s="88" t="n"/>
      <c r="AA218" s="88" t="n"/>
      <c r="AB218" s="88" t="n"/>
      <c r="AC218" s="88" t="n"/>
      <c r="AD218" s="88" t="n"/>
      <c r="AE218" s="88" t="n"/>
      <c r="AF218" s="88" t="n"/>
      <c r="AG218" s="88" t="n"/>
      <c r="AH218" s="26" t="n"/>
      <c r="AI218" s="26" t="n"/>
      <c r="AJ218" s="26" t="n"/>
      <c r="AK218" s="26" t="n"/>
    </row>
    <row r="219" ht="29.25" customHeight="1">
      <c r="A219" s="1448" t="inlineStr">
        <is>
          <t>Demande abandonnée</t>
        </is>
      </c>
      <c r="B219" s="1383" t="n"/>
      <c r="C219" s="681" t="n">
        <v>0</v>
      </c>
      <c r="D219" s="1401" t="n"/>
      <c r="E219" s="344" t="n">
        <v>1</v>
      </c>
      <c r="F219" s="1401" t="n"/>
      <c r="G219" s="344" t="n">
        <v>0</v>
      </c>
      <c r="H219" s="1401" t="n"/>
      <c r="I219" s="414">
        <f>SUM(C219:H219)</f>
        <v/>
      </c>
      <c r="J219" s="1384" t="n"/>
      <c r="M219" s="88" t="n"/>
      <c r="N219" s="88" t="n"/>
      <c r="O219" s="88" t="n"/>
      <c r="P219" s="88" t="n"/>
      <c r="Q219" s="88" t="n"/>
      <c r="R219" s="88" t="n"/>
      <c r="S219" s="88" t="n"/>
      <c r="T219" s="88" t="n"/>
      <c r="U219" s="88" t="n"/>
      <c r="V219" s="88" t="n"/>
      <c r="W219" s="88" t="n"/>
      <c r="X219" s="88" t="n"/>
      <c r="Y219" s="88" t="n"/>
      <c r="Z219" s="88" t="n"/>
      <c r="AA219" s="88" t="n"/>
      <c r="AB219" s="88" t="n"/>
      <c r="AC219" s="88" t="n"/>
      <c r="AD219" s="88" t="n"/>
      <c r="AE219" s="88" t="n"/>
      <c r="AF219" s="88" t="n"/>
      <c r="AG219" s="88" t="n"/>
      <c r="AH219" s="26" t="n"/>
      <c r="AI219" s="26" t="n"/>
      <c r="AJ219" s="26" t="n"/>
      <c r="AK219" s="26" t="n"/>
    </row>
    <row r="220" ht="27" customHeight="1">
      <c r="A220" s="1449" t="inlineStr">
        <is>
          <t>Ni confirmée ni infirmée</t>
        </is>
      </c>
      <c r="B220" s="1383" t="n"/>
      <c r="C220" s="681" t="n">
        <v>1</v>
      </c>
      <c r="D220" s="1401" t="n"/>
      <c r="E220" s="344" t="n">
        <v>22</v>
      </c>
      <c r="F220" s="1401" t="n"/>
      <c r="G220" s="344" t="n">
        <v>0</v>
      </c>
      <c r="H220" s="1401" t="n"/>
      <c r="I220" s="414">
        <f>SUM(C220:H220)</f>
        <v/>
      </c>
      <c r="J220" s="1384" t="n"/>
      <c r="M220" s="88" t="n"/>
      <c r="N220" s="88" t="n"/>
      <c r="O220" s="88" t="n"/>
      <c r="P220" s="88" t="n"/>
      <c r="Q220" s="88" t="n"/>
      <c r="R220" s="88" t="n"/>
      <c r="S220" s="88" t="n"/>
      <c r="T220" s="88" t="n"/>
      <c r="U220" s="88" t="n"/>
      <c r="V220" s="88" t="n"/>
      <c r="W220" s="88" t="n"/>
      <c r="X220" s="88" t="n"/>
      <c r="Y220" s="88" t="n"/>
      <c r="Z220" s="88" t="n"/>
      <c r="AA220" s="88" t="n"/>
      <c r="AB220" s="88" t="n"/>
      <c r="AC220" s="88" t="n"/>
      <c r="AD220" s="88" t="n"/>
      <c r="AE220" s="88" t="n"/>
      <c r="AF220" s="88" t="n"/>
      <c r="AG220" s="88" t="n"/>
      <c r="AH220" s="26" t="n"/>
      <c r="AI220" s="26" t="n"/>
      <c r="AJ220" s="26" t="n"/>
      <c r="AK220" s="26" t="n"/>
    </row>
    <row r="221" ht="54.75" customHeight="1" thickBot="1">
      <c r="A221" s="1450" t="inlineStr">
        <is>
          <t>Refus d'agir avec l'approbation de la Commissaire à l'information</t>
        </is>
      </c>
      <c r="B221" s="1391" t="n"/>
      <c r="C221" s="680" t="n">
        <v>0</v>
      </c>
      <c r="D221" s="1409" t="n"/>
      <c r="E221" s="533" t="n">
        <v>22</v>
      </c>
      <c r="F221" s="1409" t="n"/>
      <c r="G221" s="533" t="n">
        <v>0</v>
      </c>
      <c r="H221" s="1409" t="n"/>
      <c r="I221" s="544">
        <f>SUM(C221:H221)</f>
        <v/>
      </c>
      <c r="J221" s="1396" t="n"/>
      <c r="M221" s="88" t="n"/>
      <c r="N221" s="88" t="n"/>
      <c r="O221" s="88" t="n"/>
      <c r="P221" s="88" t="n"/>
      <c r="Q221" s="88" t="n"/>
      <c r="R221" s="88" t="n"/>
      <c r="S221" s="88" t="n"/>
      <c r="T221" s="88" t="n"/>
      <c r="U221" s="88" t="n"/>
      <c r="V221" s="88" t="n"/>
      <c r="W221" s="88" t="n"/>
      <c r="X221" s="88" t="n"/>
      <c r="Y221" s="88" t="n"/>
      <c r="Z221" s="88" t="n"/>
      <c r="AA221" s="88" t="n"/>
      <c r="AB221" s="88" t="n"/>
      <c r="AC221" s="88" t="n"/>
      <c r="AD221" s="88" t="n"/>
      <c r="AE221" s="88" t="n"/>
      <c r="AF221" s="88" t="n"/>
      <c r="AG221" s="88" t="n"/>
      <c r="AH221" s="26" t="n"/>
      <c r="AI221" s="26" t="n"/>
      <c r="AJ221" s="26" t="n"/>
      <c r="AK221" s="26" t="n"/>
    </row>
    <row r="222" ht="16.5" customHeight="1" thickBot="1" thickTop="1">
      <c r="A222" s="1451" t="inlineStr">
        <is>
          <t>Total</t>
        </is>
      </c>
      <c r="B222" s="1375" t="n"/>
      <c r="C222" s="809">
        <f>SUM(C215:D221)</f>
        <v/>
      </c>
      <c r="D222" s="1405" t="n"/>
      <c r="E222" s="336">
        <f>SUM(E215:F221)</f>
        <v/>
      </c>
      <c r="F222" s="1443" t="n"/>
      <c r="G222" s="336">
        <f>SUM(G215:H221)</f>
        <v/>
      </c>
      <c r="H222" s="1443" t="n"/>
      <c r="I222" s="543">
        <f>SUM(I215:J221)</f>
        <v/>
      </c>
      <c r="J222" s="1443" t="n"/>
      <c r="K222" s="875" t="n"/>
      <c r="T222" s="115" t="n"/>
      <c r="U222" s="115" t="n"/>
      <c r="V222" s="88" t="n"/>
      <c r="W222" s="88" t="n"/>
      <c r="X222" s="88" t="n"/>
      <c r="Y222" s="88" t="n"/>
      <c r="Z222" s="88" t="n"/>
      <c r="AA222" s="88" t="n"/>
      <c r="AB222" s="88" t="n"/>
      <c r="AC222" s="88" t="n"/>
      <c r="AD222" s="88" t="n"/>
      <c r="AE222" s="88" t="n"/>
      <c r="AF222" s="88" t="n"/>
      <c r="AG222" s="88" t="n"/>
      <c r="AH222" s="26" t="n"/>
      <c r="AI222" s="26" t="n"/>
      <c r="AJ222" s="26" t="n"/>
      <c r="AK222" s="26" t="n"/>
    </row>
    <row r="223" ht="15.75" customHeight="1" thickTop="1">
      <c r="A223" s="51" t="n"/>
      <c r="B223" s="51" t="n"/>
      <c r="C223" s="451" t="n"/>
      <c r="D223" s="451" t="n"/>
      <c r="E223" s="451" t="n"/>
      <c r="F223" s="451" t="n"/>
      <c r="G223" s="451" t="n"/>
      <c r="H223" s="451" t="n"/>
      <c r="I223" s="451" t="n"/>
      <c r="J223" s="451" t="n"/>
      <c r="K223" s="114" t="n"/>
      <c r="L223" s="114" t="n"/>
      <c r="M223" s="114" t="n"/>
      <c r="N223" s="114" t="n"/>
      <c r="O223" s="114" t="n"/>
      <c r="P223" s="114" t="n"/>
      <c r="Q223" s="114" t="n"/>
      <c r="R223" s="114" t="n"/>
      <c r="S223" s="88" t="n"/>
      <c r="T223" s="88" t="n"/>
      <c r="U223" s="88" t="n"/>
      <c r="V223" s="88" t="n"/>
      <c r="W223" s="88" t="n"/>
      <c r="X223" s="88" t="n"/>
      <c r="Y223" s="88" t="n"/>
      <c r="Z223" s="88" t="n"/>
      <c r="AA223" s="88" t="n"/>
      <c r="AB223" s="88" t="n"/>
      <c r="AC223" s="88" t="n"/>
      <c r="AD223" s="88" t="n"/>
      <c r="AE223" s="88" t="n"/>
      <c r="AF223" s="88" t="n"/>
      <c r="AG223" s="88" t="n"/>
      <c r="AH223" s="26" t="n"/>
      <c r="AI223" s="26" t="n"/>
      <c r="AJ223" s="26" t="n"/>
      <c r="AK223" s="26" t="n"/>
    </row>
    <row r="224">
      <c r="A224" s="325" t="inlineStr">
        <is>
          <t>4.6 Demandes fermées</t>
        </is>
      </c>
      <c r="F224" s="32" t="n"/>
      <c r="G224" s="32" t="n"/>
      <c r="H224" s="32" t="n"/>
      <c r="M224" s="88" t="n"/>
      <c r="N224" s="88" t="n"/>
      <c r="O224" s="88" t="n"/>
      <c r="P224" s="88" t="n"/>
      <c r="Q224" s="88" t="n"/>
      <c r="R224" s="88" t="n"/>
      <c r="S224" s="88" t="n"/>
      <c r="T224" s="88" t="n"/>
      <c r="U224" s="88" t="n"/>
      <c r="V224" s="88" t="n"/>
      <c r="W224" s="88" t="n"/>
      <c r="X224" s="88" t="n"/>
      <c r="Y224" s="88" t="n"/>
      <c r="Z224" s="88" t="n"/>
      <c r="AA224" s="88" t="n"/>
      <c r="AB224" s="88" t="n"/>
      <c r="AC224" s="88" t="n"/>
      <c r="AD224" s="88" t="n"/>
      <c r="AE224" s="88" t="n"/>
      <c r="AF224" s="88" t="n"/>
      <c r="AG224" s="88" t="n"/>
      <c r="AH224" s="26" t="n"/>
      <c r="AI224" s="26" t="n"/>
      <c r="AJ224" s="26" t="n"/>
      <c r="AK224" s="26" t="n"/>
    </row>
    <row r="225">
      <c r="A225" s="103" t="n"/>
      <c r="B225" s="46" t="n"/>
      <c r="C225" s="46" t="n"/>
      <c r="D225" s="46" t="n"/>
      <c r="E225" s="46" t="n"/>
      <c r="F225" s="46" t="n"/>
      <c r="G225" s="46" t="n"/>
      <c r="H225" s="46" t="n"/>
      <c r="M225" s="88" t="n"/>
      <c r="N225" s="88" t="n"/>
      <c r="O225" s="88" t="n"/>
      <c r="P225" s="88" t="n"/>
      <c r="Q225" s="88" t="n"/>
      <c r="R225" s="88" t="n"/>
      <c r="S225" s="88" t="n"/>
      <c r="T225" s="88" t="n"/>
      <c r="U225" s="88" t="n"/>
      <c r="V225" s="88" t="n"/>
      <c r="W225" s="88" t="n"/>
      <c r="X225" s="88" t="n"/>
      <c r="Y225" s="88" t="n"/>
      <c r="Z225" s="88" t="n"/>
      <c r="AA225" s="88" t="n"/>
      <c r="AB225" s="88" t="n"/>
      <c r="AC225" s="88" t="n"/>
      <c r="AD225" s="88" t="n"/>
      <c r="AE225" s="88" t="n"/>
      <c r="AF225" s="88" t="n"/>
      <c r="AG225" s="88" t="n"/>
      <c r="AH225" s="26" t="n"/>
      <c r="AI225" s="26" t="n"/>
      <c r="AJ225" s="26" t="n"/>
      <c r="AK225" s="26" t="n"/>
    </row>
    <row r="226">
      <c r="A226" s="531" t="inlineStr">
        <is>
          <t>4.6.1  Nombre de demandes fermées dans les délais prévus par la Loi</t>
        </is>
      </c>
      <c r="M226" s="88" t="n"/>
      <c r="N226" s="88" t="n"/>
      <c r="O226" s="88" t="n"/>
      <c r="P226" s="88" t="n"/>
      <c r="Q226" s="88" t="n"/>
      <c r="R226" s="88" t="n"/>
      <c r="S226" s="88" t="n"/>
      <c r="T226" s="88" t="n"/>
      <c r="U226" s="88" t="n"/>
      <c r="V226" s="88" t="n"/>
      <c r="W226" s="88" t="n"/>
      <c r="X226" s="88" t="n"/>
      <c r="Y226" s="88" t="n"/>
      <c r="Z226" s="88" t="n"/>
      <c r="AA226" s="88" t="n"/>
      <c r="AB226" s="88" t="n"/>
      <c r="AC226" s="88" t="n"/>
      <c r="AD226" s="88" t="n"/>
      <c r="AE226" s="88" t="n"/>
      <c r="AF226" s="88" t="n"/>
      <c r="AG226" s="88" t="n"/>
      <c r="AH226" s="26" t="n"/>
      <c r="AI226" s="26" t="n"/>
      <c r="AJ226" s="26" t="n"/>
      <c r="AK226" s="26" t="n"/>
    </row>
    <row r="227" ht="15.75" customHeight="1" thickBot="1">
      <c r="A227" s="104" t="n"/>
      <c r="B227" s="94" t="n"/>
      <c r="C227" s="94" t="n"/>
      <c r="D227" s="94" t="n"/>
      <c r="E227" s="94" t="n"/>
      <c r="F227" s="94" t="n"/>
      <c r="G227" s="46" t="n"/>
      <c r="H227" s="94" t="n"/>
      <c r="M227" s="88" t="n"/>
      <c r="N227" s="88" t="n"/>
      <c r="O227" s="88" t="n"/>
      <c r="P227" s="88" t="n"/>
      <c r="Q227" s="88" t="n"/>
      <c r="R227" s="88" t="n"/>
      <c r="S227" s="88" t="n"/>
      <c r="T227" s="88" t="n"/>
      <c r="U227" s="88" t="n"/>
      <c r="V227" s="88" t="n"/>
      <c r="W227" s="88" t="n"/>
      <c r="X227" s="88" t="n"/>
      <c r="Y227" s="88" t="n"/>
      <c r="Z227" s="88" t="n"/>
      <c r="AA227" s="88" t="n"/>
      <c r="AB227" s="88" t="n"/>
      <c r="AC227" s="88" t="n"/>
      <c r="AD227" s="88" t="n"/>
      <c r="AE227" s="88" t="n"/>
      <c r="AF227" s="88" t="n"/>
      <c r="AG227" s="88" t="n"/>
      <c r="AH227" s="26" t="n"/>
      <c r="AI227" s="26" t="n"/>
      <c r="AJ227" s="26" t="n"/>
      <c r="AK227" s="26" t="n"/>
    </row>
    <row r="228" ht="15.75" customHeight="1" thickTop="1">
      <c r="A228" s="1452" t="inlineStr">
        <is>
          <t>Nombre de demandes fermées dans les délais prévus par la Loi</t>
        </is>
      </c>
      <c r="B228" s="1412" t="n"/>
      <c r="C228" s="1412" t="n"/>
      <c r="D228" s="1413" t="n"/>
      <c r="E228" s="1453">
        <f>H19-A238</f>
        <v/>
      </c>
      <c r="F228" s="1413" t="n"/>
      <c r="G228" s="94" t="n"/>
      <c r="H228" s="94" t="n"/>
      <c r="I228" s="94" t="n"/>
      <c r="M228" s="88" t="n"/>
      <c r="N228" s="88" t="n"/>
      <c r="O228" s="88" t="n"/>
      <c r="P228" s="88" t="n"/>
      <c r="Q228" s="88" t="n"/>
      <c r="R228" s="88" t="n"/>
      <c r="S228" s="88" t="n"/>
      <c r="T228" s="88" t="n"/>
      <c r="U228" s="88" t="n"/>
      <c r="V228" s="88" t="n"/>
      <c r="W228" s="88" t="n"/>
      <c r="X228" s="88" t="n"/>
      <c r="Y228" s="88" t="n"/>
      <c r="Z228" s="88" t="n"/>
      <c r="AA228" s="88" t="n"/>
      <c r="AB228" s="88" t="n"/>
      <c r="AC228" s="88" t="n"/>
      <c r="AD228" s="88" t="n"/>
      <c r="AE228" s="88" t="n"/>
      <c r="AF228" s="88" t="n"/>
      <c r="AG228" s="88" t="n"/>
      <c r="AH228" s="26" t="n"/>
      <c r="AI228" s="26" t="n"/>
      <c r="AJ228" s="26" t="n"/>
      <c r="AK228" s="26" t="n"/>
    </row>
    <row r="229">
      <c r="A229" s="1425" t="n"/>
      <c r="B229" s="1372" t="n"/>
      <c r="C229" s="1372" t="n"/>
      <c r="D229" s="1454" t="n"/>
      <c r="E229" s="1425" t="n"/>
      <c r="F229" s="1454" t="n"/>
      <c r="G229" s="94" t="n"/>
      <c r="H229" s="94" t="n"/>
      <c r="I229" s="94" t="n"/>
      <c r="M229" s="88" t="n"/>
      <c r="N229" s="88" t="n"/>
      <c r="O229" s="88" t="n"/>
      <c r="P229" s="88" t="n"/>
      <c r="Q229" s="88" t="n"/>
      <c r="R229" s="88" t="n"/>
      <c r="S229" s="88" t="n"/>
      <c r="T229" s="88" t="n"/>
      <c r="U229" s="88" t="n"/>
      <c r="V229" s="88" t="n"/>
      <c r="W229" s="88" t="n"/>
      <c r="X229" s="88" t="n"/>
      <c r="Y229" s="88" t="n"/>
      <c r="Z229" s="88" t="n"/>
      <c r="AA229" s="88" t="n"/>
      <c r="AB229" s="88" t="n"/>
      <c r="AC229" s="88" t="n"/>
      <c r="AD229" s="88" t="n"/>
      <c r="AE229" s="88" t="n"/>
      <c r="AF229" s="88" t="n"/>
      <c r="AG229" s="88" t="n"/>
      <c r="AH229" s="26" t="n"/>
      <c r="AI229" s="26" t="n"/>
      <c r="AJ229" s="26" t="n"/>
      <c r="AK229" s="26" t="n"/>
    </row>
    <row r="230" ht="33" customHeight="1" thickBot="1">
      <c r="A230" s="1455" t="inlineStr">
        <is>
          <t>Pourcentage des demandes fermées dans les délais prévus par la Loi (%)</t>
        </is>
      </c>
      <c r="B230" s="1388" t="n"/>
      <c r="C230" s="1388" t="n"/>
      <c r="D230" s="1389" t="n"/>
      <c r="E230" s="1456">
        <f>IF(H19=0,"0",(E228/H19)*100)</f>
        <v/>
      </c>
      <c r="F230" s="1389" t="n"/>
      <c r="G230" s="94" t="n"/>
      <c r="H230" s="94" t="n"/>
      <c r="I230" s="94" t="n"/>
      <c r="M230" s="100" t="n"/>
      <c r="N230" s="100" t="n"/>
      <c r="O230" s="100" t="n"/>
      <c r="P230" s="100" t="n"/>
      <c r="Q230" s="100" t="n"/>
      <c r="R230" s="100" t="n"/>
      <c r="S230" s="100" t="n"/>
      <c r="T230" s="100" t="n"/>
      <c r="U230" s="100" t="n"/>
      <c r="V230" s="100" t="n"/>
      <c r="W230" s="100" t="n"/>
      <c r="X230" s="88" t="n"/>
      <c r="Y230" s="88" t="n"/>
      <c r="Z230" s="88" t="n"/>
      <c r="AA230" s="88" t="n"/>
      <c r="AB230" s="88" t="n"/>
      <c r="AC230" s="88" t="n"/>
      <c r="AD230" s="88" t="n"/>
      <c r="AE230" s="88" t="n"/>
      <c r="AF230" s="88" t="n"/>
      <c r="AG230" s="88" t="n"/>
      <c r="AH230" s="26" t="n"/>
      <c r="AI230" s="26" t="n"/>
      <c r="AJ230" s="26" t="n"/>
      <c r="AK230" s="26" t="n"/>
    </row>
    <row r="231" ht="15.75" customHeight="1" thickTop="1">
      <c r="E231" s="736" t="n"/>
      <c r="M231" s="88" t="n"/>
      <c r="N231" s="88" t="n"/>
      <c r="O231" s="88" t="n"/>
      <c r="P231" s="88" t="n"/>
      <c r="Q231" s="88" t="n"/>
      <c r="R231" s="88" t="n"/>
      <c r="S231" s="88" t="n"/>
      <c r="T231" s="88" t="n"/>
      <c r="U231" s="88" t="n"/>
      <c r="V231" s="88" t="n"/>
      <c r="W231" s="88" t="n"/>
      <c r="X231" s="88" t="n"/>
      <c r="Y231" s="88" t="n"/>
      <c r="Z231" s="88" t="n"/>
      <c r="AA231" s="88" t="n"/>
      <c r="AB231" s="88" t="n"/>
      <c r="AC231" s="88" t="n"/>
      <c r="AD231" s="88" t="n"/>
      <c r="AE231" s="88" t="n"/>
      <c r="AF231" s="88" t="n"/>
      <c r="AG231" s="88" t="n"/>
      <c r="AH231" s="26" t="n"/>
      <c r="AI231" s="26" t="n"/>
      <c r="AJ231" s="26" t="n"/>
      <c r="AK231" s="26" t="n"/>
    </row>
    <row r="232">
      <c r="A232" s="326" t="inlineStr">
        <is>
          <t>4.7 Présomptions de refus</t>
        </is>
      </c>
      <c r="M232" s="88" t="n"/>
      <c r="N232" s="88" t="n"/>
      <c r="O232" s="88" t="n"/>
      <c r="P232" s="88" t="n"/>
      <c r="Q232" s="88" t="n"/>
      <c r="R232" s="88" t="n"/>
      <c r="S232" s="88" t="n"/>
      <c r="T232" s="88" t="n"/>
      <c r="U232" s="88" t="n"/>
      <c r="V232" s="88" t="n"/>
      <c r="W232" s="88" t="n"/>
      <c r="X232" s="88" t="n"/>
      <c r="Y232" s="88" t="n"/>
      <c r="Z232" s="88" t="n"/>
      <c r="AA232" s="88" t="n"/>
      <c r="AB232" s="88" t="n"/>
      <c r="AC232" s="88" t="n"/>
      <c r="AD232" s="88" t="n"/>
      <c r="AE232" s="88" t="n"/>
      <c r="AF232" s="88" t="n"/>
      <c r="AG232" s="88" t="n"/>
      <c r="AH232" s="26" t="n"/>
      <c r="AI232" s="26" t="n"/>
      <c r="AJ232" s="26" t="n"/>
      <c r="AK232" s="26" t="n"/>
    </row>
    <row r="233">
      <c r="A233" s="62" t="n"/>
      <c r="M233" s="88" t="n"/>
      <c r="N233" s="88" t="n"/>
      <c r="O233" s="88" t="n"/>
      <c r="P233" s="88" t="n"/>
      <c r="Q233" s="88" t="n"/>
      <c r="R233" s="88" t="n"/>
      <c r="S233" s="88" t="n"/>
      <c r="T233" s="88" t="n"/>
      <c r="U233" s="88" t="n"/>
      <c r="V233" s="88" t="n"/>
      <c r="W233" s="88" t="n"/>
      <c r="X233" s="88" t="n"/>
      <c r="Y233" s="88" t="n"/>
      <c r="Z233" s="88" t="n"/>
      <c r="AA233" s="88" t="n"/>
      <c r="AB233" s="88" t="n"/>
      <c r="AC233" s="88" t="n"/>
      <c r="AD233" s="88" t="n"/>
      <c r="AE233" s="88" t="n"/>
      <c r="AF233" s="88" t="n"/>
      <c r="AG233" s="88" t="n"/>
      <c r="AH233" s="26" t="n"/>
      <c r="AI233" s="26" t="n"/>
      <c r="AJ233" s="26" t="n"/>
      <c r="AK233" s="26" t="n"/>
    </row>
    <row r="234">
      <c r="A234" s="439" t="inlineStr">
        <is>
          <t xml:space="preserve">4.7.1 Motifs du non-respect des délais prévus par la Loi </t>
        </is>
      </c>
      <c r="M234" s="88" t="n"/>
      <c r="N234" s="88" t="n"/>
      <c r="O234" s="88" t="n"/>
      <c r="P234" s="88" t="n"/>
      <c r="Q234" s="88" t="n"/>
      <c r="R234" s="88" t="n"/>
      <c r="S234" s="88" t="n"/>
      <c r="T234" s="88" t="n"/>
      <c r="U234" s="88" t="n"/>
      <c r="V234" s="88" t="n"/>
      <c r="W234" s="88" t="n"/>
      <c r="X234" s="88" t="n"/>
      <c r="Y234" s="88" t="n"/>
      <c r="Z234" s="88" t="n"/>
      <c r="AA234" s="88" t="n"/>
      <c r="AB234" s="88" t="n"/>
      <c r="AC234" s="88" t="n"/>
      <c r="AD234" s="88" t="n"/>
      <c r="AE234" s="88" t="n"/>
      <c r="AF234" s="88" t="n"/>
      <c r="AG234" s="88" t="n"/>
      <c r="AH234" s="26" t="n"/>
      <c r="AI234" s="26" t="n"/>
      <c r="AJ234" s="26" t="n"/>
      <c r="AK234" s="26" t="n"/>
    </row>
    <row r="235" ht="15.75" customHeight="1" thickBot="1">
      <c r="M235" s="88" t="n"/>
      <c r="N235" s="88" t="n"/>
      <c r="O235" s="88" t="n"/>
      <c r="P235" s="88" t="n"/>
      <c r="Q235" s="88" t="n"/>
      <c r="R235" s="88" t="n"/>
      <c r="S235" s="88" t="n"/>
      <c r="T235" s="88" t="n"/>
      <c r="U235" s="88" t="n"/>
      <c r="V235" s="88" t="n"/>
      <c r="W235" s="88" t="n"/>
      <c r="X235" s="88" t="n"/>
      <c r="Y235" s="88" t="n"/>
      <c r="Z235" s="88" t="n"/>
      <c r="AA235" s="88" t="n"/>
      <c r="AB235" s="88" t="n"/>
      <c r="AC235" s="88" t="n"/>
      <c r="AD235" s="88" t="n"/>
      <c r="AE235" s="88" t="n"/>
      <c r="AF235" s="88" t="n"/>
      <c r="AG235" s="88" t="n"/>
      <c r="AH235" s="26" t="n"/>
      <c r="AI235" s="26" t="n"/>
      <c r="AJ235" s="26" t="n"/>
      <c r="AK235" s="26" t="n"/>
    </row>
    <row r="236" ht="16.5" customHeight="1" thickTop="1">
      <c r="A236" s="1457" t="inlineStr">
        <is>
          <t>Nombre de demandes fermées au-delà des délais prévus par la Loi</t>
        </is>
      </c>
      <c r="B236" s="1412" t="n"/>
      <c r="C236" s="1412" t="n"/>
      <c r="D236" s="1413" t="n"/>
      <c r="E236" s="586" t="inlineStr">
        <is>
          <t>Motif principal</t>
        </is>
      </c>
      <c r="F236" s="1377" t="n"/>
      <c r="G236" s="1377" t="n"/>
      <c r="H236" s="1377" t="n"/>
      <c r="I236" s="1377" t="n"/>
      <c r="J236" s="1377" t="n"/>
      <c r="K236" s="1377" t="n"/>
      <c r="L236" s="1406" t="n"/>
      <c r="M236" s="88" t="n"/>
      <c r="N236" s="88" t="n"/>
      <c r="O236" s="88" t="n"/>
      <c r="P236" s="88" t="n"/>
      <c r="Q236" s="88" t="n"/>
      <c r="R236" s="88" t="n"/>
      <c r="S236" s="88" t="n"/>
      <c r="T236" s="88" t="n"/>
      <c r="U236" s="88" t="n"/>
      <c r="V236" s="88" t="n"/>
      <c r="W236" s="88" t="n"/>
      <c r="X236" s="88" t="n"/>
      <c r="Y236" s="88" t="n"/>
      <c r="Z236" s="88" t="n"/>
      <c r="AA236" s="88" t="n"/>
      <c r="AB236" s="88" t="n"/>
      <c r="AC236" s="88" t="n"/>
      <c r="AD236" s="88" t="n"/>
      <c r="AE236" s="88" t="n"/>
      <c r="AF236" s="88" t="n"/>
      <c r="AG236" s="88" t="n"/>
      <c r="AH236" s="26" t="n"/>
      <c r="AI236" s="26" t="n"/>
      <c r="AJ236" s="26" t="n"/>
      <c r="AK236" s="26" t="n"/>
    </row>
    <row r="237" ht="41.25" customHeight="1" thickBot="1">
      <c r="A237" s="1397" t="n"/>
      <c r="B237" s="1390" t="n"/>
      <c r="C237" s="1390" t="n"/>
      <c r="D237" s="1391" t="n"/>
      <c r="E237" s="589" t="inlineStr">
        <is>
          <t>Entrave au fonctionnement / Charge de travail</t>
        </is>
      </c>
      <c r="F237" s="1396" t="n"/>
      <c r="G237" s="590" t="inlineStr">
        <is>
          <t>Consultation externe</t>
        </is>
      </c>
      <c r="H237" s="1396" t="n"/>
      <c r="I237" s="590" t="inlineStr">
        <is>
          <t>Consultation interne</t>
        </is>
      </c>
      <c r="J237" s="1396" t="n"/>
      <c r="K237" s="590" t="inlineStr">
        <is>
          <t>Autre</t>
        </is>
      </c>
      <c r="L237" s="1396" t="n"/>
      <c r="M237" s="88" t="n"/>
      <c r="N237" s="88" t="n"/>
      <c r="O237" s="88" t="n"/>
      <c r="P237" s="88" t="n"/>
      <c r="Q237" s="88" t="n"/>
      <c r="R237" s="88" t="n"/>
      <c r="S237" s="88" t="n"/>
      <c r="T237" s="88" t="n"/>
      <c r="U237" s="88" t="n"/>
      <c r="V237" s="88" t="n"/>
      <c r="W237" s="88" t="n"/>
      <c r="X237" s="88" t="n"/>
      <c r="Y237" s="88" t="n"/>
      <c r="Z237" s="88" t="n"/>
      <c r="AA237" s="88" t="n"/>
      <c r="AB237" s="88" t="n"/>
      <c r="AC237" s="88" t="n"/>
      <c r="AD237" s="88" t="n"/>
      <c r="AE237" s="88" t="n"/>
      <c r="AF237" s="88" t="n"/>
      <c r="AG237" s="88" t="n"/>
      <c r="AH237" s="26" t="n"/>
      <c r="AI237" s="26" t="n"/>
      <c r="AJ237" s="26" t="n"/>
      <c r="AK237" s="26" t="n"/>
    </row>
    <row r="238" ht="16.5" customHeight="1" thickBot="1" thickTop="1">
      <c r="A238" s="1458">
        <f>SUM(E238:L238)</f>
        <v/>
      </c>
      <c r="B238" s="1374" t="n"/>
      <c r="C238" s="1374" t="n"/>
      <c r="D238" s="1375" t="n"/>
      <c r="E238" s="861" t="n">
        <v>393</v>
      </c>
      <c r="F238" s="1459" t="n"/>
      <c r="G238" s="327" t="n">
        <v>4</v>
      </c>
      <c r="H238" s="1459" t="n"/>
      <c r="I238" s="327" t="n">
        <v>11</v>
      </c>
      <c r="J238" s="1459" t="n"/>
      <c r="K238" s="327" t="n">
        <v>484</v>
      </c>
      <c r="L238" s="1459" t="n"/>
      <c r="M238" s="88" t="n"/>
      <c r="N238" s="88" t="n"/>
      <c r="O238" s="88" t="n"/>
      <c r="P238" s="88" t="n"/>
      <c r="Q238" s="88" t="n"/>
      <c r="R238" s="88" t="n"/>
      <c r="S238" s="88" t="n"/>
      <c r="T238" s="88" t="n"/>
      <c r="U238" s="88" t="n"/>
      <c r="V238" s="88" t="n"/>
      <c r="W238" s="88" t="n"/>
      <c r="X238" s="88" t="n"/>
      <c r="Y238" s="88" t="n"/>
      <c r="Z238" s="88" t="n"/>
      <c r="AA238" s="88" t="n"/>
      <c r="AB238" s="88" t="n"/>
      <c r="AC238" s="88" t="n"/>
      <c r="AD238" s="88" t="n"/>
      <c r="AE238" s="88" t="n"/>
      <c r="AF238" s="88" t="n"/>
      <c r="AG238" s="88" t="n"/>
      <c r="AH238" s="26" t="n"/>
      <c r="AI238" s="26" t="n"/>
      <c r="AJ238" s="26" t="n"/>
      <c r="AK238" s="26" t="n"/>
    </row>
    <row r="239" ht="12.95" customHeight="1" thickTop="1">
      <c r="M239" s="88" t="n"/>
      <c r="N239" s="88" t="n"/>
      <c r="O239" s="88" t="n"/>
      <c r="P239" s="88" t="n"/>
      <c r="Q239" s="88" t="n"/>
      <c r="R239" s="88" t="n"/>
      <c r="S239" s="88" t="n"/>
      <c r="T239" s="88" t="n"/>
      <c r="U239" s="88" t="n"/>
      <c r="V239" s="88" t="n"/>
      <c r="W239" s="88" t="n"/>
      <c r="X239" s="88" t="n"/>
      <c r="Y239" s="88" t="n"/>
      <c r="Z239" s="88" t="n"/>
      <c r="AA239" s="88" t="n"/>
      <c r="AB239" s="88" t="n"/>
      <c r="AC239" s="88" t="n"/>
      <c r="AD239" s="88" t="n"/>
      <c r="AE239" s="88" t="n"/>
      <c r="AF239" s="88" t="n"/>
      <c r="AG239" s="88" t="n"/>
      <c r="AH239" s="26" t="n"/>
      <c r="AI239" s="26" t="n"/>
      <c r="AJ239" s="26" t="n"/>
      <c r="AK239" s="26" t="n"/>
    </row>
    <row r="240">
      <c r="A240" s="439" t="inlineStr">
        <is>
          <t xml:space="preserve">4.7.2 Demandes fermées au-dela des délais prévus par la Loi (y compris toute prorogation prise) </t>
        </is>
      </c>
      <c r="M240" s="88" t="n"/>
      <c r="N240" s="88" t="n"/>
      <c r="O240" s="88" t="n"/>
      <c r="P240" s="88" t="n"/>
      <c r="Q240" s="88" t="n"/>
      <c r="R240" s="88" t="n"/>
      <c r="S240" s="88" t="n"/>
      <c r="T240" s="88" t="n"/>
      <c r="U240" s="88" t="n"/>
      <c r="V240" s="88" t="n"/>
      <c r="W240" s="88" t="n"/>
      <c r="X240" s="88" t="n"/>
      <c r="Y240" s="88" t="n"/>
      <c r="Z240" s="88" t="n"/>
      <c r="AA240" s="88" t="n"/>
      <c r="AB240" s="88" t="n"/>
      <c r="AC240" s="88" t="n"/>
      <c r="AD240" s="88" t="n"/>
      <c r="AE240" s="88" t="n"/>
      <c r="AF240" s="88" t="n"/>
      <c r="AG240" s="88" t="n"/>
      <c r="AH240" s="26" t="n"/>
      <c r="AI240" s="26" t="n"/>
      <c r="AJ240" s="26" t="n"/>
      <c r="AK240" s="26" t="n"/>
    </row>
    <row r="241" ht="8.449999999999999" customHeight="1" thickBot="1">
      <c r="M241" s="88" t="n"/>
      <c r="N241" s="88" t="n"/>
      <c r="O241" s="88" t="n"/>
      <c r="P241" s="88" t="n"/>
      <c r="Q241" s="88" t="n"/>
      <c r="R241" s="88" t="n"/>
      <c r="S241" s="88" t="n"/>
      <c r="T241" s="88" t="n"/>
      <c r="U241" s="88" t="n"/>
      <c r="V241" s="88" t="n"/>
      <c r="W241" s="88" t="n"/>
      <c r="X241" s="88" t="n"/>
      <c r="Y241" s="88" t="n"/>
      <c r="Z241" s="88" t="n"/>
      <c r="AA241" s="88" t="n"/>
      <c r="AB241" s="88" t="n"/>
      <c r="AC241" s="88" t="n"/>
      <c r="AD241" s="88" t="n"/>
      <c r="AE241" s="88" t="n"/>
      <c r="AF241" s="88" t="n"/>
      <c r="AG241" s="88" t="n"/>
      <c r="AH241" s="26" t="n"/>
      <c r="AI241" s="26" t="n"/>
      <c r="AJ241" s="26" t="n"/>
      <c r="AK241" s="26" t="n"/>
    </row>
    <row r="242" ht="56.25" customHeight="1" thickBot="1" thickTop="1">
      <c r="A242" s="329" t="inlineStr">
        <is>
          <t>Nombre de jours de retard au-delà des délais prévus par la Loi</t>
        </is>
      </c>
      <c r="B242" s="1374" t="n"/>
      <c r="C242" s="1405" t="n"/>
      <c r="D242" s="429" t="inlineStr">
        <is>
          <t>Nombre de demandes
fermées au-delà des délais prévus par la Loi où aucune prorogation n’a été prise</t>
        </is>
      </c>
      <c r="E242" s="1374" t="n"/>
      <c r="F242" s="1405" t="n"/>
      <c r="G242" s="332" t="inlineStr">
        <is>
          <t>Nombre de demandes fermées
au-delà des délais prévus par la Loi où une prorogation a été prise</t>
        </is>
      </c>
      <c r="H242" s="1374" t="n"/>
      <c r="I242" s="1405" t="n"/>
      <c r="J242" s="329" t="inlineStr">
        <is>
          <t>Total</t>
        </is>
      </c>
      <c r="K242" s="1374" t="n"/>
      <c r="L242" s="1405" t="n"/>
      <c r="M242" s="88" t="n"/>
      <c r="N242" s="88" t="n"/>
      <c r="O242" s="88" t="n"/>
      <c r="P242" s="88" t="n"/>
      <c r="Q242" s="88" t="n"/>
      <c r="R242" s="88" t="n"/>
      <c r="S242" s="88" t="n"/>
      <c r="T242" s="88" t="n"/>
      <c r="U242" s="88" t="n"/>
      <c r="V242" s="88" t="n"/>
      <c r="W242" s="88" t="n"/>
      <c r="X242" s="88" t="n"/>
      <c r="Y242" s="88" t="n"/>
      <c r="Z242" s="88" t="n"/>
      <c r="AA242" s="88" t="n"/>
      <c r="AB242" s="88" t="n"/>
      <c r="AC242" s="88" t="n"/>
      <c r="AD242" s="88" t="n"/>
      <c r="AE242" s="88" t="n"/>
      <c r="AF242" s="88" t="n"/>
      <c r="AG242" s="88" t="n"/>
      <c r="AH242" s="26" t="n"/>
      <c r="AI242" s="26" t="n"/>
      <c r="AJ242" s="26" t="n"/>
      <c r="AK242" s="26" t="n"/>
    </row>
    <row r="243" ht="15.75" customHeight="1" thickTop="1">
      <c r="A243" s="593" t="inlineStr">
        <is>
          <t>1 à 15 jours</t>
        </is>
      </c>
      <c r="B243" s="1372" t="n"/>
      <c r="C243" s="1398" t="n"/>
      <c r="D243" s="245" t="n">
        <v>32</v>
      </c>
      <c r="E243" s="1379" t="n"/>
      <c r="F243" s="1399" t="n"/>
      <c r="G243" s="420" t="n">
        <v>4</v>
      </c>
      <c r="H243" s="1370" t="n"/>
      <c r="I243" s="1407" t="n"/>
      <c r="J243" s="433">
        <f>SUM(D243:I243)</f>
        <v/>
      </c>
      <c r="K243" s="1372" t="n"/>
      <c r="L243" s="1398" t="n"/>
      <c r="M243" s="88" t="n"/>
      <c r="N243" s="88" t="n"/>
      <c r="O243" s="88" t="n"/>
      <c r="P243" s="88" t="n"/>
      <c r="Q243" s="88" t="n"/>
      <c r="R243" s="88" t="n"/>
      <c r="S243" s="88" t="n"/>
      <c r="T243" s="88" t="n"/>
      <c r="U243" s="88" t="n"/>
      <c r="V243" s="88" t="n"/>
      <c r="W243" s="88" t="n"/>
      <c r="X243" s="88" t="n"/>
      <c r="Y243" s="88" t="n"/>
      <c r="Z243" s="88" t="n"/>
      <c r="AA243" s="88" t="n"/>
      <c r="AB243" s="88" t="n"/>
      <c r="AC243" s="88" t="n"/>
      <c r="AD243" s="88" t="n"/>
      <c r="AE243" s="88" t="n"/>
      <c r="AF243" s="88" t="n"/>
      <c r="AG243" s="88" t="n"/>
      <c r="AH243" s="26" t="n"/>
      <c r="AI243" s="26" t="n"/>
      <c r="AJ243" s="26" t="n"/>
      <c r="AK243" s="26" t="n"/>
    </row>
    <row r="244">
      <c r="A244" s="576" t="inlineStr">
        <is>
          <t>16 à 30 jours</t>
        </is>
      </c>
      <c r="B244" s="1381" t="n"/>
      <c r="C244" s="1384" t="n"/>
      <c r="D244" s="681" t="n">
        <v>36</v>
      </c>
      <c r="E244" s="1400" t="n"/>
      <c r="F244" s="1401" t="n"/>
      <c r="G244" s="344" t="n">
        <v>33</v>
      </c>
      <c r="H244" s="1400" t="n"/>
      <c r="I244" s="1401" t="n"/>
      <c r="J244" s="433">
        <f>SUM(D244:I244)</f>
        <v/>
      </c>
      <c r="K244" s="1372" t="n"/>
      <c r="L244" s="1398" t="n"/>
      <c r="M244" s="100" t="n"/>
      <c r="N244" s="100" t="n"/>
      <c r="O244" s="100" t="n"/>
      <c r="P244" s="100" t="n"/>
      <c r="Q244" s="100" t="n"/>
      <c r="R244" s="100" t="n"/>
      <c r="S244" s="100" t="n"/>
      <c r="T244" s="100" t="n"/>
      <c r="U244" s="100" t="n"/>
      <c r="V244" s="100" t="n"/>
      <c r="W244" s="100" t="n"/>
      <c r="X244" s="88" t="n"/>
      <c r="Y244" s="88" t="n"/>
      <c r="Z244" s="88" t="n"/>
      <c r="AA244" s="88" t="n"/>
      <c r="AB244" s="88" t="n"/>
      <c r="AC244" s="88" t="n"/>
      <c r="AD244" s="88" t="n"/>
      <c r="AE244" s="88" t="n"/>
      <c r="AF244" s="88" t="n"/>
      <c r="AG244" s="88" t="n"/>
      <c r="AH244" s="26" t="n"/>
      <c r="AI244" s="26" t="n"/>
      <c r="AJ244" s="26" t="n"/>
      <c r="AK244" s="26" t="n"/>
    </row>
    <row r="245">
      <c r="A245" s="576" t="inlineStr">
        <is>
          <t>31 à 60 jours</t>
        </is>
      </c>
      <c r="B245" s="1381" t="n"/>
      <c r="C245" s="1384" t="n"/>
      <c r="D245" s="681" t="n">
        <v>1</v>
      </c>
      <c r="E245" s="1400" t="n"/>
      <c r="F245" s="1401" t="n"/>
      <c r="G245" s="344" t="n">
        <v>34</v>
      </c>
      <c r="H245" s="1400" t="n"/>
      <c r="I245" s="1401" t="n"/>
      <c r="J245" s="433">
        <f>SUM(D245:I245)</f>
        <v/>
      </c>
      <c r="K245" s="1372" t="n"/>
      <c r="L245" s="1398" t="n"/>
      <c r="M245" s="88" t="n"/>
      <c r="N245" s="88" t="n"/>
      <c r="O245" s="88" t="n"/>
      <c r="P245" s="88" t="n"/>
      <c r="Q245" s="88" t="n"/>
      <c r="R245" s="88" t="n"/>
      <c r="S245" s="88" t="n"/>
      <c r="T245" s="88" t="n"/>
      <c r="U245" s="88" t="n"/>
      <c r="V245" s="88" t="n"/>
      <c r="W245" s="88" t="n"/>
      <c r="X245" s="88" t="n"/>
      <c r="Y245" s="88" t="n"/>
      <c r="Z245" s="88" t="n"/>
      <c r="AA245" s="88" t="n"/>
      <c r="AB245" s="88" t="n"/>
      <c r="AC245" s="88" t="n"/>
      <c r="AD245" s="88" t="n"/>
      <c r="AE245" s="88" t="n"/>
      <c r="AF245" s="88" t="n"/>
      <c r="AG245" s="88" t="n"/>
      <c r="AH245" s="26" t="n"/>
      <c r="AI245" s="26" t="n"/>
      <c r="AJ245" s="26" t="n"/>
      <c r="AK245" s="26" t="n"/>
    </row>
    <row r="246">
      <c r="A246" s="576" t="inlineStr">
        <is>
          <t>61 à 120 jours</t>
        </is>
      </c>
      <c r="B246" s="1381" t="n"/>
      <c r="C246" s="1384" t="n"/>
      <c r="D246" s="681" t="n">
        <v>62</v>
      </c>
      <c r="E246" s="1400" t="n"/>
      <c r="F246" s="1401" t="n"/>
      <c r="G246" s="344" t="n">
        <v>3</v>
      </c>
      <c r="H246" s="1400" t="n"/>
      <c r="I246" s="1401" t="n"/>
      <c r="J246" s="433">
        <f>SUM(D246:I246)</f>
        <v/>
      </c>
      <c r="K246" s="1372" t="n"/>
      <c r="L246" s="1398" t="n"/>
      <c r="M246" s="88" t="n"/>
      <c r="N246" s="88" t="n"/>
      <c r="O246" s="88" t="n"/>
      <c r="P246" s="88" t="n"/>
      <c r="Q246" s="88" t="n"/>
      <c r="R246" s="88" t="n"/>
      <c r="S246" s="88" t="n"/>
      <c r="T246" s="88" t="n"/>
      <c r="U246" s="88" t="n"/>
      <c r="V246" s="88" t="n"/>
      <c r="W246" s="88" t="n"/>
      <c r="X246" s="88" t="n"/>
      <c r="Y246" s="88" t="n"/>
      <c r="Z246" s="88" t="n"/>
      <c r="AA246" s="88" t="n"/>
      <c r="AB246" s="88" t="n"/>
      <c r="AC246" s="88" t="n"/>
      <c r="AD246" s="88" t="n"/>
      <c r="AE246" s="88" t="n"/>
      <c r="AF246" s="88" t="n"/>
      <c r="AG246" s="88" t="n"/>
      <c r="AH246" s="26" t="n"/>
      <c r="AI246" s="26" t="n"/>
      <c r="AJ246" s="26" t="n"/>
      <c r="AK246" s="26" t="n"/>
    </row>
    <row r="247">
      <c r="A247" s="576" t="inlineStr">
        <is>
          <t>121 à 180 jours</t>
        </is>
      </c>
      <c r="B247" s="1381" t="n"/>
      <c r="C247" s="1384" t="n"/>
      <c r="D247" s="681" t="n">
        <v>65</v>
      </c>
      <c r="E247" s="1400" t="n"/>
      <c r="F247" s="1401" t="n"/>
      <c r="G247" s="344" t="n">
        <v>90</v>
      </c>
      <c r="H247" s="1400" t="n"/>
      <c r="I247" s="1401" t="n"/>
      <c r="J247" s="433">
        <f>SUM(D247:I247)</f>
        <v/>
      </c>
      <c r="K247" s="1372" t="n"/>
      <c r="L247" s="1398" t="n"/>
      <c r="M247" s="88" t="n"/>
      <c r="N247" s="88" t="n"/>
      <c r="O247" s="88" t="n"/>
      <c r="P247" s="88" t="n"/>
      <c r="Q247" s="88" t="n"/>
      <c r="R247" s="88" t="n"/>
      <c r="S247" s="88" t="n"/>
      <c r="T247" s="88" t="n"/>
      <c r="U247" s="88" t="n"/>
      <c r="V247" s="88" t="n"/>
      <c r="W247" s="88" t="n"/>
      <c r="X247" s="88" t="n"/>
      <c r="Y247" s="88" t="n"/>
      <c r="Z247" s="88" t="n"/>
      <c r="AA247" s="88" t="n"/>
      <c r="AB247" s="88" t="n"/>
      <c r="AC247" s="88" t="n"/>
      <c r="AD247" s="88" t="n"/>
      <c r="AE247" s="88" t="n"/>
      <c r="AF247" s="88" t="n"/>
      <c r="AG247" s="88" t="n"/>
      <c r="AH247" s="26" t="n"/>
      <c r="AI247" s="26" t="n"/>
      <c r="AJ247" s="26" t="n"/>
      <c r="AK247" s="26" t="n"/>
    </row>
    <row r="248">
      <c r="A248" s="576" t="inlineStr">
        <is>
          <t>181 à 365 jours</t>
        </is>
      </c>
      <c r="B248" s="1381" t="n"/>
      <c r="C248" s="1384" t="n"/>
      <c r="D248" s="681" t="n">
        <v>7</v>
      </c>
      <c r="E248" s="1400" t="n"/>
      <c r="F248" s="1401" t="n"/>
      <c r="G248" s="344" t="n">
        <v>97</v>
      </c>
      <c r="H248" s="1400" t="n"/>
      <c r="I248" s="1401" t="n"/>
      <c r="J248" s="433">
        <f>SUM(D248:I248)</f>
        <v/>
      </c>
      <c r="K248" s="1372" t="n"/>
      <c r="L248" s="1398" t="n"/>
      <c r="M248" s="88" t="n"/>
      <c r="N248" s="88" t="n"/>
      <c r="O248" s="88" t="n"/>
      <c r="P248" s="88" t="n"/>
      <c r="Q248" s="88" t="n"/>
      <c r="R248" s="88" t="n"/>
      <c r="S248" s="88" t="n"/>
      <c r="T248" s="88" t="n"/>
      <c r="U248" s="88" t="n"/>
      <c r="V248" s="88" t="n"/>
      <c r="W248" s="88" t="n"/>
      <c r="X248" s="88" t="n"/>
      <c r="Y248" s="88" t="n"/>
      <c r="Z248" s="88" t="n"/>
      <c r="AA248" s="88" t="n"/>
      <c r="AB248" s="88" t="n"/>
      <c r="AC248" s="88" t="n"/>
      <c r="AD248" s="88" t="n"/>
      <c r="AE248" s="88" t="n"/>
      <c r="AF248" s="88" t="n"/>
      <c r="AG248" s="88" t="n"/>
      <c r="AH248" s="26" t="n"/>
      <c r="AI248" s="26" t="n"/>
      <c r="AJ248" s="26" t="n"/>
      <c r="AK248" s="26" t="n"/>
    </row>
    <row r="249" ht="15.75" customHeight="1" thickBot="1">
      <c r="A249" s="602" t="inlineStr">
        <is>
          <t>Plus de 365 jours</t>
        </is>
      </c>
      <c r="B249" s="1388" t="n"/>
      <c r="C249" s="1396" t="n"/>
      <c r="D249" s="680" t="n">
        <v>47</v>
      </c>
      <c r="E249" s="1408" t="n"/>
      <c r="F249" s="1409" t="n"/>
      <c r="G249" s="533" t="n">
        <v>8</v>
      </c>
      <c r="H249" s="1408" t="n"/>
      <c r="I249" s="1409" t="n"/>
      <c r="J249" s="606">
        <f>SUM(D249:I249)</f>
        <v/>
      </c>
      <c r="L249" s="1460" t="n"/>
      <c r="M249" s="88" t="n"/>
      <c r="N249" s="88" t="n"/>
      <c r="O249" s="88" t="n"/>
      <c r="P249" s="88" t="n"/>
      <c r="Q249" s="88" t="n"/>
      <c r="R249" s="88" t="n"/>
      <c r="S249" s="88" t="n"/>
      <c r="T249" s="88" t="n"/>
      <c r="U249" s="88" t="n"/>
      <c r="V249" s="88" t="n"/>
      <c r="W249" s="88" t="n"/>
      <c r="X249" s="88" t="n"/>
      <c r="Y249" s="88" t="n"/>
      <c r="Z249" s="88" t="n"/>
      <c r="AA249" s="88" t="n"/>
      <c r="AB249" s="88" t="n"/>
      <c r="AC249" s="88" t="n"/>
      <c r="AD249" s="88" t="n"/>
      <c r="AE249" s="88" t="n"/>
      <c r="AF249" s="88" t="n"/>
      <c r="AG249" s="88" t="n"/>
      <c r="AH249" s="26" t="n"/>
      <c r="AI249" s="26" t="n"/>
      <c r="AJ249" s="26" t="n"/>
      <c r="AK249" s="26" t="n"/>
    </row>
    <row r="250" ht="16.5" customHeight="1" thickBot="1" thickTop="1">
      <c r="A250" s="598" t="inlineStr">
        <is>
          <t>Total</t>
        </is>
      </c>
      <c r="B250" s="1390" t="n"/>
      <c r="C250" s="1443" t="n"/>
      <c r="D250" s="809">
        <f>SUM(D243:F249)</f>
        <v/>
      </c>
      <c r="E250" s="1374" t="n"/>
      <c r="F250" s="1405" t="n"/>
      <c r="G250" s="336">
        <f>SUM(G243:I249)</f>
        <v/>
      </c>
      <c r="H250" s="1390" t="n"/>
      <c r="I250" s="1443" t="n"/>
      <c r="J250" s="321">
        <f>SUM(D250:I250)</f>
        <v/>
      </c>
      <c r="K250" s="1374" t="n"/>
      <c r="L250" s="1375" t="n"/>
      <c r="M250" s="873" t="inlineStr">
        <is>
          <t>Section 4.7.2 - Le total des totaux doit être égal au "Nombre de demandes fermées au-delà des délais prévus par la loi" de la Section 4.7.1</t>
        </is>
      </c>
      <c r="V250" s="88" t="n"/>
      <c r="W250" s="88" t="n"/>
      <c r="X250" s="88" t="n"/>
      <c r="Y250" s="88" t="n"/>
      <c r="Z250" s="88" t="n"/>
      <c r="AA250" s="88" t="n"/>
      <c r="AB250" s="88" t="n"/>
      <c r="AC250" s="88" t="n"/>
      <c r="AD250" s="88" t="n"/>
      <c r="AE250" s="88" t="n"/>
      <c r="AF250" s="88" t="n"/>
      <c r="AG250" s="88" t="n"/>
      <c r="AH250" s="26" t="n"/>
      <c r="AI250" s="26" t="n"/>
      <c r="AJ250" s="26" t="n"/>
      <c r="AK250" s="26" t="n"/>
    </row>
    <row r="251" ht="15.75" customHeight="1" thickTop="1">
      <c r="V251" s="88" t="n"/>
      <c r="W251" s="88" t="n"/>
      <c r="X251" s="88" t="n"/>
      <c r="Y251" s="88" t="n"/>
      <c r="Z251" s="88" t="n"/>
      <c r="AA251" s="88" t="n"/>
      <c r="AB251" s="88" t="n"/>
      <c r="AC251" s="88" t="n"/>
      <c r="AD251" s="88" t="n"/>
      <c r="AE251" s="88" t="n"/>
      <c r="AF251" s="88" t="n"/>
      <c r="AG251" s="88" t="n"/>
      <c r="AH251" s="26" t="n"/>
      <c r="AI251" s="26" t="n"/>
      <c r="AJ251" s="26" t="n"/>
      <c r="AK251" s="26" t="n"/>
    </row>
    <row r="252">
      <c r="A252" s="326" t="inlineStr">
        <is>
          <t>4.8  Demandes de traduction</t>
        </is>
      </c>
      <c r="M252" s="88" t="n"/>
      <c r="N252" s="88" t="n"/>
      <c r="O252" s="88" t="n"/>
      <c r="P252" s="88" t="n"/>
      <c r="Q252" s="88" t="n"/>
      <c r="R252" s="88" t="n"/>
      <c r="S252" s="88" t="n"/>
      <c r="T252" s="88" t="n"/>
      <c r="U252" s="88" t="n"/>
      <c r="V252" s="88" t="n"/>
      <c r="W252" s="88" t="n"/>
      <c r="X252" s="88" t="n"/>
      <c r="Y252" s="88" t="n"/>
      <c r="Z252" s="88" t="n"/>
      <c r="AA252" s="88" t="n"/>
      <c r="AB252" s="88" t="n"/>
      <c r="AC252" s="88" t="n"/>
      <c r="AD252" s="88" t="n"/>
      <c r="AE252" s="88" t="n"/>
      <c r="AF252" s="88" t="n"/>
      <c r="AG252" s="88" t="n"/>
      <c r="AH252" s="26" t="n"/>
      <c r="AI252" s="26" t="n"/>
      <c r="AJ252" s="26" t="n"/>
      <c r="AK252" s="26" t="n"/>
    </row>
    <row r="253" ht="15.75" customHeight="1" thickBot="1">
      <c r="M253" s="88" t="n"/>
      <c r="N253" s="88" t="n"/>
      <c r="O253" s="88" t="n"/>
      <c r="P253" s="88" t="n"/>
      <c r="Q253" s="88" t="n"/>
      <c r="R253" s="88" t="n"/>
      <c r="S253" s="88" t="n"/>
      <c r="T253" s="88" t="n"/>
      <c r="U253" s="88" t="n"/>
      <c r="V253" s="88" t="n"/>
      <c r="W253" s="88" t="n"/>
      <c r="X253" s="88" t="n"/>
      <c r="Y253" s="88" t="n"/>
      <c r="Z253" s="88" t="n"/>
      <c r="AA253" s="88" t="n"/>
      <c r="AB253" s="88" t="n"/>
      <c r="AC253" s="88" t="n"/>
      <c r="AD253" s="88" t="n"/>
      <c r="AE253" s="88" t="n"/>
      <c r="AF253" s="88" t="n"/>
      <c r="AG253" s="88" t="n"/>
      <c r="AH253" s="26" t="n"/>
      <c r="AI253" s="26" t="n"/>
      <c r="AJ253" s="26" t="n"/>
      <c r="AK253" s="26" t="n"/>
    </row>
    <row r="254" ht="16.5" customHeight="1" thickBot="1" thickTop="1">
      <c r="A254" s="857" t="inlineStr">
        <is>
          <t>Demandes de traduction</t>
        </is>
      </c>
      <c r="B254" s="1374" t="n"/>
      <c r="C254" s="1405" t="n"/>
      <c r="D254" s="857" t="inlineStr">
        <is>
          <t>Acceptées</t>
        </is>
      </c>
      <c r="E254" s="1374" t="n"/>
      <c r="F254" s="1405" t="n"/>
      <c r="G254" s="612" t="inlineStr">
        <is>
          <t>Refusées</t>
        </is>
      </c>
      <c r="H254" s="1374" t="n"/>
      <c r="I254" s="1405" t="n"/>
      <c r="J254" s="857" t="inlineStr">
        <is>
          <t>Total</t>
        </is>
      </c>
      <c r="K254" s="1374" t="n"/>
      <c r="L254" s="1405" t="n"/>
      <c r="M254" s="88" t="n"/>
      <c r="N254" s="88" t="n"/>
      <c r="O254" s="88" t="n"/>
      <c r="P254" s="88" t="n"/>
      <c r="Q254" s="88" t="n"/>
      <c r="R254" s="88" t="n"/>
      <c r="S254" s="88" t="n"/>
      <c r="T254" s="88" t="n"/>
      <c r="U254" s="88" t="n"/>
      <c r="V254" s="88" t="n"/>
      <c r="W254" s="88" t="n"/>
      <c r="X254" s="88" t="n"/>
      <c r="Y254" s="88" t="n"/>
      <c r="Z254" s="88" t="n"/>
      <c r="AA254" s="88" t="n"/>
      <c r="AB254" s="88" t="n"/>
      <c r="AC254" s="88" t="n"/>
      <c r="AD254" s="88" t="n"/>
      <c r="AE254" s="88" t="n"/>
      <c r="AF254" s="88" t="n"/>
      <c r="AG254" s="88" t="n"/>
      <c r="AH254" s="26" t="n"/>
      <c r="AI254" s="26" t="n"/>
      <c r="AJ254" s="26" t="n"/>
      <c r="AK254" s="26" t="n"/>
    </row>
    <row r="255" ht="15.75" customHeight="1" thickTop="1">
      <c r="A255" s="593" t="inlineStr">
        <is>
          <t>De l’anglais au français</t>
        </is>
      </c>
      <c r="B255" s="1372" t="n"/>
      <c r="C255" s="1398" t="n"/>
      <c r="D255" s="245" t="n">
        <v>0</v>
      </c>
      <c r="E255" s="1379" t="n"/>
      <c r="F255" s="1399" t="n"/>
      <c r="G255" s="420" t="n">
        <v>0</v>
      </c>
      <c r="H255" s="1370" t="n"/>
      <c r="I255" s="1407" t="n"/>
      <c r="J255" s="433">
        <f>SUM(D255:I255)</f>
        <v/>
      </c>
      <c r="K255" s="1372" t="n"/>
      <c r="L255" s="1398" t="n"/>
      <c r="M255" s="88" t="n"/>
      <c r="N255" s="88" t="n"/>
      <c r="O255" s="88" t="n"/>
      <c r="P255" s="88" t="n"/>
      <c r="Q255" s="88" t="n"/>
      <c r="R255" s="88" t="n"/>
      <c r="S255" s="88" t="n"/>
      <c r="T255" s="88" t="n"/>
      <c r="U255" s="88" t="n"/>
      <c r="V255" s="88" t="n"/>
      <c r="W255" s="88" t="n"/>
      <c r="X255" s="88" t="n"/>
      <c r="Y255" s="88" t="n"/>
      <c r="Z255" s="88" t="n"/>
      <c r="AA255" s="88" t="n"/>
      <c r="AB255" s="88" t="n"/>
      <c r="AC255" s="88" t="n"/>
      <c r="AD255" s="88" t="n"/>
      <c r="AE255" s="88" t="n"/>
      <c r="AF255" s="88" t="n"/>
      <c r="AG255" s="88" t="n"/>
      <c r="AH255" s="26" t="n"/>
      <c r="AI255" s="26" t="n"/>
      <c r="AJ255" s="26" t="n"/>
      <c r="AK255" s="26" t="n"/>
    </row>
    <row r="256" ht="15.75" customHeight="1" thickBot="1">
      <c r="A256" s="602" t="inlineStr">
        <is>
          <t>Du français à l’anglais</t>
        </is>
      </c>
      <c r="B256" s="1388" t="n"/>
      <c r="C256" s="1396" t="n"/>
      <c r="D256" s="680" t="n">
        <v>0</v>
      </c>
      <c r="E256" s="1408" t="n"/>
      <c r="F256" s="1409" t="n"/>
      <c r="G256" s="533" t="n">
        <v>0</v>
      </c>
      <c r="H256" s="1408" t="n"/>
      <c r="I256" s="1409" t="n"/>
      <c r="J256" s="544">
        <f>SUM(D256:I256)</f>
        <v/>
      </c>
      <c r="K256" s="1388" t="n"/>
      <c r="L256" s="1396" t="n"/>
      <c r="M256" s="88" t="n"/>
      <c r="N256" s="88" t="n"/>
      <c r="O256" s="88" t="n"/>
      <c r="P256" s="88" t="n"/>
      <c r="Q256" s="88" t="n"/>
      <c r="R256" s="88" t="n"/>
      <c r="S256" s="88" t="n"/>
      <c r="T256" s="88" t="n"/>
      <c r="U256" s="88" t="n"/>
      <c r="V256" s="88" t="n"/>
      <c r="W256" s="88" t="n"/>
      <c r="X256" s="88" t="n"/>
      <c r="Y256" s="88" t="n"/>
      <c r="Z256" s="88" t="n"/>
      <c r="AA256" s="88" t="n"/>
      <c r="AB256" s="88" t="n"/>
      <c r="AC256" s="88" t="n"/>
      <c r="AD256" s="88" t="n"/>
      <c r="AE256" s="88" t="n"/>
      <c r="AF256" s="88" t="n"/>
      <c r="AG256" s="88" t="n"/>
      <c r="AH256" s="26" t="n"/>
      <c r="AI256" s="26" t="n"/>
      <c r="AJ256" s="26" t="n"/>
      <c r="AK256" s="26" t="n"/>
    </row>
    <row r="257" ht="16.5" customHeight="1" thickBot="1" thickTop="1">
      <c r="A257" s="598" t="inlineStr">
        <is>
          <t>Total</t>
        </is>
      </c>
      <c r="B257" s="1390" t="n"/>
      <c r="C257" s="1443" t="n"/>
      <c r="D257" s="809">
        <f>SUM(D255:F256)</f>
        <v/>
      </c>
      <c r="E257" s="1374" t="n"/>
      <c r="F257" s="1405" t="n"/>
      <c r="G257" s="336">
        <f>SUM(G255:I256)</f>
        <v/>
      </c>
      <c r="H257" s="1390" t="n"/>
      <c r="I257" s="1443" t="n"/>
      <c r="J257" s="543">
        <f>SUM(D257:I257)</f>
        <v/>
      </c>
      <c r="K257" s="1390" t="n"/>
      <c r="L257" s="1443" t="n"/>
      <c r="M257" s="88" t="n"/>
      <c r="N257" s="88" t="n"/>
      <c r="O257" s="88" t="n"/>
      <c r="P257" s="88" t="n"/>
      <c r="Q257" s="88" t="n"/>
      <c r="R257" s="88" t="n"/>
      <c r="S257" s="88" t="n"/>
      <c r="T257" s="88" t="n"/>
      <c r="U257" s="88" t="n"/>
      <c r="V257" s="88" t="n"/>
      <c r="W257" s="88" t="n"/>
      <c r="X257" s="100" t="n"/>
      <c r="Y257" s="100" t="n"/>
      <c r="Z257" s="100" t="n"/>
      <c r="AA257" s="100" t="n"/>
      <c r="AB257" s="100" t="n"/>
      <c r="AC257" s="100" t="n"/>
      <c r="AD257" s="100" t="n"/>
      <c r="AE257" s="100" t="n"/>
      <c r="AF257" s="100" t="n"/>
      <c r="AG257" s="100" t="n"/>
      <c r="AH257" s="32" t="n"/>
      <c r="AI257" s="32" t="n"/>
      <c r="AJ257" s="32" t="n"/>
      <c r="AK257" s="32" t="n"/>
    </row>
    <row r="258" ht="15.75" customHeight="1" thickTop="1">
      <c r="M258" s="88" t="n"/>
      <c r="N258" s="88" t="n"/>
      <c r="O258" s="88" t="n"/>
      <c r="P258" s="88" t="n"/>
      <c r="Q258" s="88" t="n"/>
      <c r="R258" s="88" t="n"/>
      <c r="S258" s="88" t="n"/>
      <c r="T258" s="88" t="n"/>
      <c r="U258" s="88" t="n"/>
      <c r="V258" s="88" t="n"/>
      <c r="W258" s="88" t="n"/>
      <c r="X258" s="88" t="n"/>
      <c r="Y258" s="88" t="n"/>
      <c r="Z258" s="88" t="n"/>
      <c r="AA258" s="88" t="n"/>
      <c r="AB258" s="88" t="n"/>
      <c r="AC258" s="88" t="n"/>
      <c r="AD258" s="88" t="n"/>
      <c r="AE258" s="88" t="n"/>
      <c r="AF258" s="88" t="n"/>
      <c r="AG258" s="88" t="n"/>
      <c r="AH258" s="26" t="n"/>
      <c r="AI258" s="26" t="n"/>
      <c r="AJ258" s="26" t="n"/>
      <c r="AK258" s="26" t="n"/>
    </row>
    <row r="259" ht="15.75" customHeight="1">
      <c r="A259" s="872" t="inlineStr">
        <is>
          <t>Section 5 – Prorogations</t>
        </is>
      </c>
      <c r="M259" s="88" t="n"/>
      <c r="N259" s="88" t="n"/>
      <c r="O259" s="88" t="n"/>
      <c r="P259" s="88" t="n"/>
      <c r="Q259" s="88" t="n"/>
      <c r="R259" s="88" t="n"/>
      <c r="S259" s="88" t="n"/>
      <c r="T259" s="88" t="n"/>
      <c r="U259" s="88" t="n"/>
      <c r="V259" s="88" t="n"/>
      <c r="W259" s="88" t="n"/>
      <c r="X259" s="88" t="n"/>
      <c r="Y259" s="88" t="n"/>
      <c r="Z259" s="88" t="n"/>
      <c r="AA259" s="88" t="n"/>
      <c r="AB259" s="88" t="n"/>
      <c r="AC259" s="88" t="n"/>
      <c r="AD259" s="88" t="n"/>
      <c r="AE259" s="88" t="n"/>
      <c r="AF259" s="88" t="n"/>
      <c r="AG259" s="88" t="n"/>
      <c r="AH259" s="26" t="n"/>
      <c r="AI259" s="26" t="n"/>
      <c r="AJ259" s="26" t="n"/>
      <c r="AK259" s="26" t="n"/>
    </row>
    <row r="260">
      <c r="M260" s="88" t="n"/>
      <c r="N260" s="88" t="n"/>
      <c r="O260" s="88" t="n"/>
      <c r="P260" s="88" t="n"/>
      <c r="Q260" s="88" t="n"/>
      <c r="R260" s="88" t="n"/>
      <c r="S260" s="88" t="n"/>
      <c r="T260" s="88" t="n"/>
      <c r="U260" s="88" t="n"/>
      <c r="V260" s="88" t="n"/>
      <c r="W260" s="88" t="n"/>
      <c r="X260" s="88" t="n"/>
      <c r="Y260" s="88" t="n"/>
      <c r="Z260" s="88" t="n"/>
      <c r="AA260" s="88" t="n"/>
      <c r="AB260" s="88" t="n"/>
      <c r="AC260" s="88" t="n"/>
      <c r="AD260" s="88" t="n"/>
      <c r="AE260" s="88" t="n"/>
      <c r="AF260" s="88" t="n"/>
      <c r="AG260" s="88" t="n"/>
      <c r="AH260" s="26" t="n"/>
      <c r="AI260" s="26" t="n"/>
      <c r="AJ260" s="26" t="n"/>
      <c r="AK260" s="26" t="n"/>
    </row>
    <row r="261">
      <c r="A261" s="411" t="inlineStr">
        <is>
          <t>5.1  Motifs des prorogations et disposition des demandes</t>
        </is>
      </c>
      <c r="M261" s="88" t="n"/>
      <c r="N261" s="88" t="n"/>
      <c r="O261" s="88" t="n"/>
      <c r="P261" s="88" t="n"/>
      <c r="Q261" s="88" t="n"/>
      <c r="R261" s="88" t="n"/>
      <c r="S261" s="88" t="n"/>
      <c r="T261" s="88" t="n"/>
      <c r="U261" s="88" t="n"/>
      <c r="V261" s="88" t="n"/>
      <c r="W261" s="88" t="n"/>
      <c r="X261" s="88" t="n"/>
      <c r="Y261" s="88" t="n"/>
      <c r="Z261" s="88" t="n"/>
      <c r="AA261" s="88" t="n"/>
      <c r="AB261" s="88" t="n"/>
      <c r="AC261" s="88" t="n"/>
      <c r="AD261" s="88" t="n"/>
      <c r="AE261" s="88" t="n"/>
      <c r="AF261" s="88" t="n"/>
      <c r="AG261" s="88" t="n"/>
      <c r="AH261" s="26" t="n"/>
      <c r="AI261" s="26" t="n"/>
      <c r="AJ261" s="26" t="n"/>
      <c r="AK261" s="26" t="n"/>
    </row>
    <row r="262" ht="15.75" customHeight="1" thickBot="1">
      <c r="M262" s="88" t="n"/>
      <c r="N262" s="88" t="n"/>
      <c r="O262" s="88" t="n"/>
      <c r="P262" s="88" t="n"/>
      <c r="Q262" s="88" t="n"/>
      <c r="R262" s="88" t="n"/>
      <c r="S262" s="88" t="n"/>
      <c r="T262" s="88" t="n"/>
      <c r="U262" s="88" t="n"/>
      <c r="V262" s="88" t="n"/>
      <c r="W262" s="88" t="n"/>
      <c r="X262" s="88" t="n"/>
      <c r="Y262" s="88" t="n"/>
      <c r="Z262" s="88" t="n"/>
      <c r="AA262" s="88" t="n"/>
      <c r="AB262" s="88" t="n"/>
      <c r="AC262" s="88" t="n"/>
      <c r="AD262" s="88" t="n"/>
      <c r="AE262" s="88" t="n"/>
      <c r="AF262" s="88" t="n"/>
      <c r="AG262" s="88" t="n"/>
      <c r="AH262" s="26" t="n"/>
      <c r="AI262" s="26" t="n"/>
      <c r="AJ262" s="26" t="n"/>
      <c r="AK262" s="26" t="n"/>
    </row>
    <row r="263" ht="28.5" customHeight="1" thickTop="1">
      <c r="A263" s="1461" t="inlineStr">
        <is>
          <t>Disposition des demandes où le délai a été prorogé</t>
        </is>
      </c>
      <c r="B263" s="1412" t="n"/>
      <c r="C263" s="1412" t="n"/>
      <c r="D263" s="1413" t="n"/>
      <c r="E263" s="626" t="inlineStr">
        <is>
          <t>9(1)a)
Entrave au fonctionnement</t>
        </is>
      </c>
      <c r="F263" s="1423" t="n"/>
      <c r="G263" s="627" t="inlineStr">
        <is>
          <t>9(1)b)
Consultation</t>
        </is>
      </c>
      <c r="H263" s="1377" t="n"/>
      <c r="I263" s="1377" t="n"/>
      <c r="J263" s="1406" t="n"/>
      <c r="K263" s="627" t="inlineStr">
        <is>
          <t>9(1)c)
Avis à un tiers</t>
        </is>
      </c>
      <c r="L263" s="1423" t="n"/>
      <c r="M263" s="88" t="n"/>
      <c r="N263" s="88" t="n"/>
      <c r="O263" s="88" t="n"/>
      <c r="P263" s="88" t="n"/>
      <c r="Q263" s="88" t="n"/>
      <c r="R263" s="88" t="n"/>
      <c r="S263" s="88" t="n"/>
      <c r="T263" s="88" t="n"/>
      <c r="U263" s="88" t="n"/>
      <c r="V263" s="88" t="n"/>
      <c r="W263" s="88" t="n"/>
      <c r="X263" s="88" t="n"/>
      <c r="Y263" s="88" t="n"/>
      <c r="Z263" s="88" t="n"/>
      <c r="AA263" s="88" t="n"/>
      <c r="AB263" s="88" t="n"/>
      <c r="AC263" s="88" t="n"/>
      <c r="AD263" s="88" t="n"/>
      <c r="AE263" s="88" t="n"/>
      <c r="AF263" s="88" t="n"/>
      <c r="AG263" s="88" t="n"/>
      <c r="AH263" s="26" t="n"/>
      <c r="AI263" s="26" t="n"/>
      <c r="AJ263" s="26" t="n"/>
      <c r="AK263" s="26" t="n"/>
    </row>
    <row r="264" ht="18" customHeight="1" thickBot="1">
      <c r="A264" s="1397" t="n"/>
      <c r="B264" s="1390" t="n"/>
      <c r="C264" s="1390" t="n"/>
      <c r="D264" s="1391" t="n"/>
      <c r="E264" s="1425" t="n"/>
      <c r="F264" s="1398" t="n"/>
      <c r="G264" s="741" t="inlineStr">
        <is>
          <t>Article 69</t>
        </is>
      </c>
      <c r="H264" s="1396" t="n"/>
      <c r="I264" s="741" t="inlineStr">
        <is>
          <t>Autres</t>
        </is>
      </c>
      <c r="J264" s="1396" t="n"/>
      <c r="K264" s="1462" t="n"/>
      <c r="L264" s="1398" t="n"/>
      <c r="M264" s="88" t="n"/>
      <c r="N264" s="88" t="n"/>
      <c r="O264" s="88" t="n"/>
      <c r="P264" s="88" t="n"/>
      <c r="Q264" s="88" t="n"/>
      <c r="R264" s="88" t="n"/>
      <c r="S264" s="88" t="n"/>
      <c r="T264" s="88" t="n"/>
      <c r="U264" s="88" t="n"/>
      <c r="V264" s="88" t="n"/>
      <c r="W264" s="88" t="n"/>
      <c r="X264" s="88" t="n"/>
      <c r="Y264" s="88" t="n"/>
      <c r="Z264" s="88" t="n"/>
      <c r="AA264" s="88" t="n"/>
      <c r="AB264" s="88" t="n"/>
      <c r="AC264" s="88" t="n"/>
      <c r="AD264" s="88" t="n"/>
      <c r="AE264" s="88" t="n"/>
      <c r="AF264" s="88" t="n"/>
      <c r="AG264" s="88" t="n"/>
      <c r="AH264" s="26" t="n"/>
      <c r="AI264" s="26" t="n"/>
      <c r="AJ264" s="26" t="n"/>
      <c r="AK264" s="26" t="n"/>
    </row>
    <row r="265" ht="15.75" customHeight="1" thickTop="1">
      <c r="A265" s="1463" t="inlineStr">
        <is>
          <t>Communication totale</t>
        </is>
      </c>
      <c r="B265" s="1377" t="n"/>
      <c r="C265" s="1377" t="n"/>
      <c r="D265" s="1378" t="n"/>
      <c r="E265" s="753" t="n">
        <v>4</v>
      </c>
      <c r="F265" s="1407" t="n"/>
      <c r="G265" s="754" t="n">
        <v>0</v>
      </c>
      <c r="H265" s="1407" t="n"/>
      <c r="I265" s="754" t="n">
        <v>8</v>
      </c>
      <c r="J265" s="1407" t="n"/>
      <c r="K265" s="754" t="n">
        <v>1</v>
      </c>
      <c r="L265" s="1407" t="n"/>
      <c r="M265" s="88" t="n"/>
      <c r="N265" s="88" t="n"/>
      <c r="O265" s="88" t="n"/>
      <c r="P265" s="88" t="n"/>
      <c r="Q265" s="88" t="n"/>
      <c r="R265" s="88" t="n"/>
      <c r="S265" s="88" t="n"/>
      <c r="T265" s="88" t="n"/>
      <c r="U265" s="88" t="n"/>
      <c r="V265" s="88" t="n"/>
      <c r="W265" s="88" t="n"/>
      <c r="X265" s="88" t="n"/>
      <c r="Y265" s="88" t="n"/>
      <c r="Z265" s="88" t="n"/>
      <c r="AA265" s="88" t="n"/>
      <c r="AB265" s="88" t="n"/>
      <c r="AC265" s="88" t="n"/>
      <c r="AD265" s="88" t="n"/>
      <c r="AE265" s="88" t="n"/>
      <c r="AF265" s="88" t="n"/>
      <c r="AG265" s="88" t="n"/>
      <c r="AH265" s="26" t="n"/>
      <c r="AI265" s="26" t="n"/>
      <c r="AJ265" s="26" t="n"/>
      <c r="AK265" s="26" t="n"/>
    </row>
    <row r="266">
      <c r="A266" s="1464" t="inlineStr">
        <is>
          <t>Communication partielle</t>
        </is>
      </c>
      <c r="B266" s="1381" t="n"/>
      <c r="C266" s="1381" t="n"/>
      <c r="D266" s="1383" t="n"/>
      <c r="E266" s="618" t="n">
        <v>70</v>
      </c>
      <c r="F266" s="1401" t="n"/>
      <c r="G266" s="386" t="n">
        <v>3</v>
      </c>
      <c r="H266" s="1401" t="n"/>
      <c r="I266" s="386" t="n">
        <v>107</v>
      </c>
      <c r="J266" s="1401" t="n"/>
      <c r="K266" s="386" t="n">
        <v>10</v>
      </c>
      <c r="L266" s="1401" t="n"/>
      <c r="M266" s="88" t="n"/>
      <c r="N266" s="88" t="n"/>
      <c r="O266" s="88" t="n"/>
      <c r="P266" s="88" t="n"/>
      <c r="Q266" s="88" t="n"/>
      <c r="R266" s="88" t="n"/>
      <c r="S266" s="88" t="n"/>
      <c r="T266" s="88" t="n"/>
      <c r="U266" s="88" t="n"/>
      <c r="V266" s="88" t="n"/>
      <c r="W266" s="88" t="n"/>
      <c r="X266" s="88" t="n"/>
      <c r="Y266" s="88" t="n"/>
      <c r="Z266" s="88" t="n"/>
      <c r="AA266" s="88" t="n"/>
      <c r="AB266" s="88" t="n"/>
      <c r="AC266" s="88" t="n"/>
      <c r="AD266" s="88" t="n"/>
      <c r="AE266" s="88" t="n"/>
      <c r="AF266" s="88" t="n"/>
      <c r="AG266" s="88" t="n"/>
      <c r="AH266" s="26" t="n"/>
      <c r="AI266" s="26" t="n"/>
      <c r="AJ266" s="26" t="n"/>
      <c r="AK266" s="26" t="n"/>
    </row>
    <row r="267">
      <c r="A267" s="1464" t="inlineStr">
        <is>
          <t>Exception totale</t>
        </is>
      </c>
      <c r="B267" s="1381" t="n"/>
      <c r="C267" s="1381" t="n"/>
      <c r="D267" s="1383" t="n"/>
      <c r="E267" s="618" t="n">
        <v>2</v>
      </c>
      <c r="F267" s="1401" t="n"/>
      <c r="G267" s="386" t="n">
        <v>0</v>
      </c>
      <c r="H267" s="1401" t="n"/>
      <c r="I267" s="386" t="n">
        <v>3</v>
      </c>
      <c r="J267" s="1401" t="n"/>
      <c r="K267" s="386" t="n">
        <v>0</v>
      </c>
      <c r="L267" s="1401" t="n"/>
      <c r="M267" s="88" t="n"/>
      <c r="N267" s="88" t="n"/>
      <c r="O267" s="88" t="n"/>
      <c r="P267" s="88" t="n"/>
      <c r="Q267" s="88" t="n"/>
      <c r="R267" s="88" t="n"/>
      <c r="S267" s="88" t="n"/>
      <c r="T267" s="88" t="n"/>
      <c r="U267" s="88" t="n"/>
      <c r="V267" s="88" t="n"/>
      <c r="W267" s="88" t="n"/>
      <c r="X267" s="88" t="n"/>
      <c r="Y267" s="88" t="n"/>
      <c r="Z267" s="88" t="n"/>
      <c r="AA267" s="88" t="n"/>
      <c r="AB267" s="88" t="n"/>
      <c r="AC267" s="88" t="n"/>
      <c r="AD267" s="88" t="n"/>
      <c r="AE267" s="88" t="n"/>
      <c r="AF267" s="88" t="n"/>
      <c r="AG267" s="88" t="n"/>
      <c r="AH267" s="26" t="n"/>
      <c r="AI267" s="26" t="n"/>
      <c r="AJ267" s="26" t="n"/>
      <c r="AK267" s="26" t="n"/>
    </row>
    <row r="268">
      <c r="A268" s="1464" t="inlineStr">
        <is>
          <t>Exclusion totale</t>
        </is>
      </c>
      <c r="B268" s="1381" t="n"/>
      <c r="C268" s="1381" t="n"/>
      <c r="D268" s="1383" t="n"/>
      <c r="E268" s="618" t="n">
        <v>1</v>
      </c>
      <c r="F268" s="1401" t="n"/>
      <c r="G268" s="386" t="n">
        <v>0</v>
      </c>
      <c r="H268" s="1401" t="n"/>
      <c r="I268" s="386" t="n">
        <v>0</v>
      </c>
      <c r="J268" s="1401" t="n"/>
      <c r="K268" s="386" t="n">
        <v>0</v>
      </c>
      <c r="L268" s="1401" t="n"/>
      <c r="M268" s="88" t="n"/>
      <c r="N268" s="88" t="n"/>
      <c r="O268" s="88" t="n"/>
      <c r="P268" s="88" t="n"/>
      <c r="Q268" s="88" t="n"/>
      <c r="R268" s="88" t="n"/>
      <c r="S268" s="88" t="n"/>
      <c r="T268" s="88" t="n"/>
      <c r="U268" s="88" t="n"/>
      <c r="V268" s="88" t="n"/>
      <c r="W268" s="88" t="n"/>
      <c r="X268" s="88" t="n"/>
      <c r="Y268" s="88" t="n"/>
      <c r="Z268" s="88" t="n"/>
      <c r="AA268" s="88" t="n"/>
      <c r="AB268" s="88" t="n"/>
      <c r="AC268" s="88" t="n"/>
      <c r="AD268" s="88" t="n"/>
      <c r="AE268" s="88" t="n"/>
      <c r="AF268" s="88" t="n"/>
      <c r="AG268" s="88" t="n"/>
      <c r="AH268" s="26" t="n"/>
      <c r="AI268" s="26" t="n"/>
      <c r="AJ268" s="26" t="n"/>
      <c r="AK268" s="26" t="n"/>
    </row>
    <row r="269">
      <c r="A269" s="1464" t="inlineStr">
        <is>
          <t>Demande abandonnée</t>
        </is>
      </c>
      <c r="B269" s="1381" t="n"/>
      <c r="C269" s="1381" t="n"/>
      <c r="D269" s="1383" t="n"/>
      <c r="E269" s="618" t="n">
        <v>27</v>
      </c>
      <c r="F269" s="1401" t="n"/>
      <c r="G269" s="386" t="n">
        <v>1</v>
      </c>
      <c r="H269" s="1401" t="n"/>
      <c r="I269" s="386" t="n">
        <v>25</v>
      </c>
      <c r="J269" s="1401" t="n"/>
      <c r="K269" s="387" t="n">
        <v>3</v>
      </c>
      <c r="L269" s="1421" t="n"/>
      <c r="M269" s="88" t="n"/>
      <c r="N269" s="88" t="n"/>
      <c r="O269" s="88" t="n"/>
      <c r="P269" s="88" t="n"/>
      <c r="Q269" s="88" t="n"/>
      <c r="R269" s="88" t="n"/>
      <c r="S269" s="88" t="n"/>
      <c r="T269" s="88" t="n"/>
      <c r="U269" s="88" t="n"/>
      <c r="V269" s="88" t="n"/>
      <c r="W269" s="88" t="n"/>
      <c r="X269" s="88" t="n"/>
      <c r="Y269" s="88" t="n"/>
      <c r="Z269" s="88" t="n"/>
      <c r="AA269" s="88" t="n"/>
      <c r="AB269" s="88" t="n"/>
      <c r="AC269" s="88" t="n"/>
      <c r="AD269" s="88" t="n"/>
      <c r="AE269" s="88" t="n"/>
      <c r="AF269" s="88" t="n"/>
      <c r="AG269" s="88" t="n"/>
      <c r="AH269" s="26" t="n"/>
      <c r="AI269" s="26" t="n"/>
      <c r="AJ269" s="26" t="n"/>
      <c r="AK269" s="26" t="n"/>
    </row>
    <row r="270">
      <c r="A270" s="1464" t="inlineStr">
        <is>
          <t>Aucun document n’existe</t>
        </is>
      </c>
      <c r="B270" s="1381" t="n"/>
      <c r="C270" s="1381" t="n"/>
      <c r="D270" s="1383" t="n"/>
      <c r="E270" s="618" t="n">
        <v>4</v>
      </c>
      <c r="F270" s="1401" t="n"/>
      <c r="G270" s="386" t="n">
        <v>0</v>
      </c>
      <c r="H270" s="1401" t="n"/>
      <c r="I270" s="386" t="n">
        <v>0</v>
      </c>
      <c r="J270" s="1401" t="n"/>
      <c r="K270" s="386" t="n">
        <v>0</v>
      </c>
      <c r="L270" s="1401" t="n"/>
      <c r="M270" s="88" t="n"/>
      <c r="N270" s="88" t="n"/>
      <c r="O270" s="88" t="n"/>
      <c r="P270" s="88" t="n"/>
      <c r="Q270" s="88" t="n"/>
      <c r="R270" s="88" t="n"/>
      <c r="S270" s="88" t="n"/>
      <c r="T270" s="88" t="n"/>
      <c r="U270" s="88" t="n"/>
      <c r="V270" s="88" t="n"/>
      <c r="W270" s="88" t="n"/>
      <c r="X270" s="88" t="n"/>
      <c r="Y270" s="88" t="n"/>
      <c r="Z270" s="88" t="n"/>
      <c r="AA270" s="88" t="n"/>
      <c r="AB270" s="88" t="n"/>
      <c r="AC270" s="88" t="n"/>
      <c r="AD270" s="88" t="n"/>
      <c r="AE270" s="88" t="n"/>
      <c r="AF270" s="88" t="n"/>
      <c r="AG270" s="88" t="n"/>
      <c r="AH270" s="26" t="n"/>
      <c r="AI270" s="26" t="n"/>
      <c r="AJ270" s="26" t="n"/>
      <c r="AK270" s="26" t="n"/>
    </row>
    <row r="271" ht="32.25" customHeight="1" thickBot="1">
      <c r="A271" s="1465" t="inlineStr">
        <is>
          <t>Refus d'agir avec l'approbation de la Commissaire à l'information</t>
        </is>
      </c>
      <c r="B271" s="1388" t="n"/>
      <c r="C271" s="1388" t="n"/>
      <c r="D271" s="1389" t="n"/>
      <c r="E271" s="666" t="n">
        <v>0</v>
      </c>
      <c r="F271" s="1409" t="n"/>
      <c r="G271" s="575" t="n">
        <v>0</v>
      </c>
      <c r="H271" s="1409" t="n"/>
      <c r="I271" s="575" t="n">
        <v>0</v>
      </c>
      <c r="J271" s="1409" t="n"/>
      <c r="K271" s="575" t="n">
        <v>0</v>
      </c>
      <c r="L271" s="1409" t="n"/>
      <c r="M271" s="88" t="n"/>
      <c r="N271" s="88" t="n"/>
      <c r="O271" s="88" t="n"/>
      <c r="P271" s="88" t="n"/>
      <c r="Q271" s="88" t="n"/>
      <c r="R271" s="88" t="n"/>
      <c r="S271" s="88" t="n"/>
      <c r="T271" s="88" t="n"/>
      <c r="U271" s="88" t="n"/>
      <c r="V271" s="88" t="n"/>
      <c r="W271" s="88" t="n"/>
      <c r="X271" s="88" t="n"/>
      <c r="Y271" s="88" t="n"/>
      <c r="Z271" s="88" t="n"/>
      <c r="AA271" s="88" t="n"/>
      <c r="AB271" s="88" t="n"/>
      <c r="AC271" s="88" t="n"/>
      <c r="AD271" s="88" t="n"/>
      <c r="AE271" s="88" t="n"/>
      <c r="AF271" s="88" t="n"/>
      <c r="AG271" s="88" t="n"/>
      <c r="AH271" s="26" t="n"/>
      <c r="AI271" s="26" t="n"/>
      <c r="AJ271" s="26" t="n"/>
      <c r="AK271" s="26" t="n"/>
    </row>
    <row r="272" ht="16.5" customHeight="1" thickBot="1" thickTop="1">
      <c r="A272" s="1451" t="inlineStr">
        <is>
          <t>Total</t>
        </is>
      </c>
      <c r="B272" s="1374" t="n"/>
      <c r="C272" s="1374" t="n"/>
      <c r="D272" s="1375" t="n"/>
      <c r="E272" s="543">
        <f>SUM(E265:F271)</f>
        <v/>
      </c>
      <c r="F272" s="1443" t="n"/>
      <c r="G272" s="336">
        <f>SUM(G265:H271)</f>
        <v/>
      </c>
      <c r="H272" s="1443" t="n"/>
      <c r="I272" s="336">
        <f>SUM(I265:J271)</f>
        <v/>
      </c>
      <c r="J272" s="1443" t="n"/>
      <c r="K272" s="336">
        <f>SUM(K265:L271)</f>
        <v/>
      </c>
      <c r="L272" s="1443" t="n"/>
      <c r="M272" s="88" t="n"/>
      <c r="N272" s="88" t="n"/>
      <c r="O272" s="88" t="n"/>
      <c r="P272" s="88" t="n"/>
      <c r="Q272" s="88" t="n"/>
      <c r="R272" s="88" t="n"/>
      <c r="S272" s="88" t="n"/>
      <c r="T272" s="88" t="n"/>
      <c r="U272" s="88" t="n"/>
      <c r="V272" s="88" t="n"/>
      <c r="W272" s="88" t="n"/>
      <c r="X272" s="88" t="n"/>
      <c r="Y272" s="88" t="n"/>
      <c r="Z272" s="88" t="n"/>
      <c r="AA272" s="88" t="n"/>
      <c r="AB272" s="88" t="n"/>
      <c r="AC272" s="88" t="n"/>
      <c r="AD272" s="88" t="n"/>
      <c r="AE272" s="88" t="n"/>
      <c r="AF272" s="88" t="n"/>
      <c r="AG272" s="88" t="n"/>
      <c r="AH272" s="26" t="n"/>
      <c r="AI272" s="26" t="n"/>
      <c r="AJ272" s="26" t="n"/>
      <c r="AK272" s="26" t="n"/>
    </row>
    <row r="273" ht="15.75" customHeight="1" thickTop="1">
      <c r="F273" s="710" t="n"/>
      <c r="M273" s="88" t="n"/>
      <c r="N273" s="88" t="n"/>
      <c r="O273" s="88" t="n"/>
      <c r="P273" s="88" t="n"/>
      <c r="Q273" s="88" t="n"/>
      <c r="R273" s="88" t="n"/>
      <c r="S273" s="88" t="n"/>
      <c r="T273" s="88" t="n"/>
      <c r="U273" s="88" t="n"/>
      <c r="V273" s="88" t="n"/>
      <c r="W273" s="88" t="n"/>
      <c r="X273" s="88" t="n"/>
      <c r="Y273" s="88" t="n"/>
      <c r="Z273" s="88" t="n"/>
      <c r="AA273" s="88" t="n"/>
      <c r="AB273" s="88" t="n"/>
      <c r="AC273" s="88" t="n"/>
      <c r="AD273" s="88" t="n"/>
      <c r="AE273" s="88" t="n"/>
      <c r="AF273" s="88" t="n"/>
      <c r="AG273" s="88" t="n"/>
      <c r="AH273" s="26" t="n"/>
      <c r="AI273" s="26" t="n"/>
      <c r="AJ273" s="26" t="n"/>
      <c r="AK273" s="26" t="n"/>
    </row>
    <row r="274">
      <c r="A274" s="411" t="inlineStr">
        <is>
          <t>5.2 Durée des prorogations</t>
        </is>
      </c>
      <c r="M274" s="88" t="n"/>
      <c r="N274" s="88" t="n"/>
      <c r="O274" s="88" t="n"/>
      <c r="P274" s="88" t="n"/>
      <c r="Q274" s="88" t="n"/>
      <c r="R274" s="88" t="n"/>
      <c r="S274" s="88" t="n"/>
      <c r="T274" s="88" t="n"/>
      <c r="U274" s="88" t="n"/>
      <c r="V274" s="88" t="n"/>
      <c r="W274" s="88" t="n"/>
      <c r="X274" s="88" t="n"/>
      <c r="Y274" s="88" t="n"/>
      <c r="Z274" s="88" t="n"/>
      <c r="AA274" s="88" t="n"/>
      <c r="AB274" s="88" t="n"/>
      <c r="AC274" s="88" t="n"/>
      <c r="AD274" s="88" t="n"/>
      <c r="AE274" s="88" t="n"/>
      <c r="AF274" s="88" t="n"/>
      <c r="AG274" s="88" t="n"/>
      <c r="AH274" s="26" t="n"/>
      <c r="AI274" s="26" t="n"/>
      <c r="AJ274" s="26" t="n"/>
      <c r="AK274" s="26" t="n"/>
    </row>
    <row r="275" ht="15.75" customHeight="1" thickBot="1">
      <c r="M275" s="88" t="n"/>
      <c r="N275" s="88" t="n"/>
      <c r="O275" s="88" t="n"/>
      <c r="P275" s="88" t="n"/>
      <c r="Q275" s="88" t="n"/>
      <c r="R275" s="88" t="n"/>
      <c r="S275" s="88" t="n"/>
      <c r="T275" s="88" t="n"/>
      <c r="U275" s="88" t="n"/>
      <c r="V275" s="88" t="n"/>
      <c r="W275" s="88" t="n"/>
      <c r="X275" s="88" t="n"/>
      <c r="Y275" s="88" t="n"/>
      <c r="Z275" s="88" t="n"/>
      <c r="AA275" s="88" t="n"/>
      <c r="AB275" s="88" t="n"/>
      <c r="AC275" s="88" t="n"/>
      <c r="AD275" s="88" t="n"/>
      <c r="AE275" s="88" t="n"/>
      <c r="AF275" s="88" t="n"/>
      <c r="AG275" s="88" t="n"/>
      <c r="AH275" s="26" t="n"/>
      <c r="AI275" s="26" t="n"/>
      <c r="AJ275" s="26" t="n"/>
      <c r="AK275" s="26" t="n"/>
    </row>
    <row r="276" ht="30" customHeight="1" thickTop="1">
      <c r="A276" s="1461" t="inlineStr">
        <is>
          <t>Durée des prorogations</t>
        </is>
      </c>
      <c r="B276" s="1412" t="n"/>
      <c r="C276" s="1412" t="n"/>
      <c r="D276" s="1413" t="n"/>
      <c r="E276" s="626" t="inlineStr">
        <is>
          <t>9(1)a)
Entrave au fonctionnement</t>
        </is>
      </c>
      <c r="F276" s="1423" t="n"/>
      <c r="G276" s="627" t="inlineStr">
        <is>
          <t>9(1)b)
Consultation</t>
        </is>
      </c>
      <c r="H276" s="1377" t="n"/>
      <c r="I276" s="1377" t="n"/>
      <c r="J276" s="1406" t="n"/>
      <c r="K276" s="627" t="inlineStr">
        <is>
          <t>9(1)c)
Avis à un tiers</t>
        </is>
      </c>
      <c r="L276" s="1423" t="n"/>
      <c r="M276" s="88" t="n"/>
      <c r="N276" s="88" t="n"/>
      <c r="O276" s="88" t="n"/>
      <c r="P276" s="88" t="n"/>
      <c r="Q276" s="88" t="n"/>
      <c r="R276" s="88" t="n"/>
      <c r="S276" s="88" t="n"/>
      <c r="T276" s="88" t="n"/>
      <c r="U276" s="88" t="n"/>
      <c r="V276" s="88" t="n"/>
      <c r="W276" s="88" t="n"/>
      <c r="X276" s="88" t="n"/>
      <c r="Y276" s="88" t="n"/>
      <c r="Z276" s="88" t="n"/>
      <c r="AA276" s="88" t="n"/>
      <c r="AB276" s="88" t="n"/>
      <c r="AC276" s="88" t="n"/>
      <c r="AD276" s="88" t="n"/>
      <c r="AE276" s="88" t="n"/>
      <c r="AF276" s="88" t="n"/>
      <c r="AG276" s="88" t="n"/>
      <c r="AH276" s="26" t="n"/>
      <c r="AI276" s="26" t="n"/>
      <c r="AJ276" s="26" t="n"/>
      <c r="AK276" s="26" t="n"/>
    </row>
    <row r="277" ht="18.75" customHeight="1" thickBot="1">
      <c r="A277" s="1397" t="n"/>
      <c r="B277" s="1390" t="n"/>
      <c r="C277" s="1390" t="n"/>
      <c r="D277" s="1391" t="n"/>
      <c r="E277" s="1425" t="n"/>
      <c r="F277" s="1398" t="n"/>
      <c r="G277" s="741" t="inlineStr">
        <is>
          <t>Article 69</t>
        </is>
      </c>
      <c r="H277" s="1396" t="n"/>
      <c r="I277" s="741" t="inlineStr">
        <is>
          <t>Autres</t>
        </is>
      </c>
      <c r="J277" s="1396" t="n"/>
      <c r="K277" s="1462" t="n"/>
      <c r="L277" s="1398" t="n"/>
      <c r="M277" s="88" t="n"/>
      <c r="N277" s="88" t="n"/>
      <c r="O277" s="88" t="n"/>
      <c r="P277" s="88" t="n"/>
      <c r="Q277" s="88" t="n"/>
      <c r="R277" s="88" t="n"/>
      <c r="S277" s="88" t="n"/>
      <c r="T277" s="88" t="n"/>
      <c r="U277" s="88" t="n"/>
      <c r="V277" s="88" t="n"/>
      <c r="W277" s="88" t="n"/>
      <c r="X277" s="88" t="n"/>
      <c r="Y277" s="88" t="n"/>
      <c r="Z277" s="88" t="n"/>
      <c r="AA277" s="88" t="n"/>
      <c r="AB277" s="88" t="n"/>
      <c r="AC277" s="88" t="n"/>
      <c r="AD277" s="88" t="n"/>
      <c r="AE277" s="88" t="n"/>
      <c r="AF277" s="88" t="n"/>
      <c r="AG277" s="88" t="n"/>
      <c r="AH277" s="26" t="n"/>
      <c r="AI277" s="26" t="n"/>
      <c r="AJ277" s="26" t="n"/>
      <c r="AK277" s="26" t="n"/>
    </row>
    <row r="278" ht="14.65" customHeight="1" thickTop="1">
      <c r="A278" s="1466" t="inlineStr">
        <is>
          <t>30 jours ou moins</t>
        </is>
      </c>
      <c r="B278" s="1377" t="n"/>
      <c r="C278" s="1377" t="n"/>
      <c r="D278" s="1378" t="n"/>
      <c r="E278" s="742" t="n">
        <v>24</v>
      </c>
      <c r="F278" s="1399" t="n"/>
      <c r="G278" s="744" t="n">
        <v>2</v>
      </c>
      <c r="H278" s="1399" t="n"/>
      <c r="I278" s="744" t="n">
        <v>42</v>
      </c>
      <c r="J278" s="1399" t="n"/>
      <c r="K278" s="743" t="n">
        <v>4</v>
      </c>
      <c r="L278" s="1399" t="n"/>
      <c r="M278" s="88" t="n"/>
      <c r="N278" s="88" t="n"/>
      <c r="O278" s="88" t="n"/>
      <c r="P278" s="88" t="n"/>
      <c r="Q278" s="88" t="n"/>
      <c r="R278" s="88" t="n"/>
      <c r="S278" s="88" t="n"/>
      <c r="T278" s="88" t="n"/>
      <c r="U278" s="88" t="n"/>
      <c r="V278" s="88" t="n"/>
      <c r="W278" s="88" t="n"/>
      <c r="X278" s="88" t="n"/>
      <c r="Y278" s="88" t="n"/>
      <c r="Z278" s="88" t="n"/>
      <c r="AA278" s="88" t="n"/>
      <c r="AB278" s="88" t="n"/>
      <c r="AC278" s="88" t="n"/>
      <c r="AD278" s="88" t="n"/>
      <c r="AE278" s="88" t="n"/>
      <c r="AF278" s="88" t="n"/>
      <c r="AG278" s="88" t="n"/>
      <c r="AH278" s="26" t="n"/>
      <c r="AI278" s="26" t="n"/>
      <c r="AJ278" s="26" t="n"/>
      <c r="AK278" s="26" t="n"/>
    </row>
    <row r="279" ht="14.25" customHeight="1">
      <c r="A279" s="1467" t="inlineStr">
        <is>
          <t>31 à 60 jours</t>
        </is>
      </c>
      <c r="B279" s="1381" t="n"/>
      <c r="C279" s="1381" t="n"/>
      <c r="D279" s="1383" t="n"/>
      <c r="E279" s="654" t="n">
        <v>47</v>
      </c>
      <c r="F279" s="1401" t="n"/>
      <c r="G279" s="656" t="n">
        <v>2</v>
      </c>
      <c r="H279" s="1401" t="n"/>
      <c r="I279" s="656" t="n">
        <v>64</v>
      </c>
      <c r="J279" s="1401" t="n"/>
      <c r="K279" s="655" t="n">
        <v>9</v>
      </c>
      <c r="L279" s="1401" t="n"/>
      <c r="M279" s="88" t="n"/>
      <c r="N279" s="88" t="n"/>
      <c r="O279" s="88" t="n"/>
      <c r="P279" s="88" t="n"/>
      <c r="Q279" s="88" t="n"/>
      <c r="R279" s="88" t="n"/>
      <c r="S279" s="88" t="n"/>
      <c r="T279" s="88" t="n"/>
      <c r="U279" s="88" t="n"/>
      <c r="V279" s="88" t="n"/>
      <c r="W279" s="88" t="n"/>
      <c r="X279" s="88" t="n"/>
      <c r="Y279" s="88" t="n"/>
      <c r="Z279" s="88" t="n"/>
      <c r="AA279" s="88" t="n"/>
      <c r="AB279" s="88" t="n"/>
      <c r="AC279" s="88" t="n"/>
      <c r="AD279" s="88" t="n"/>
      <c r="AE279" s="88" t="n"/>
      <c r="AF279" s="88" t="n"/>
      <c r="AG279" s="88" t="n"/>
      <c r="AH279" s="26" t="n"/>
      <c r="AI279" s="26" t="n"/>
      <c r="AJ279" s="26" t="n"/>
      <c r="AK279" s="26" t="n"/>
    </row>
    <row r="280" ht="14.25" customHeight="1">
      <c r="A280" s="1467" t="inlineStr">
        <is>
          <t>61 à 120 jours</t>
        </is>
      </c>
      <c r="B280" s="1381" t="n"/>
      <c r="C280" s="1381" t="n"/>
      <c r="D280" s="1383" t="n"/>
      <c r="E280" s="654" t="n">
        <v>20</v>
      </c>
      <c r="F280" s="1401" t="n"/>
      <c r="G280" s="656" t="n">
        <v>0</v>
      </c>
      <c r="H280" s="1401" t="n"/>
      <c r="I280" s="656" t="n">
        <v>20</v>
      </c>
      <c r="J280" s="1401" t="n"/>
      <c r="K280" s="655" t="n">
        <v>1</v>
      </c>
      <c r="L280" s="1401" t="n"/>
      <c r="M280" s="905" t="inlineStr">
        <is>
          <t>Section 5.2 - Le "Total" de "9(1)a) Entrave au fonctionnement" doit être égal au "Total" de "9(1)a) Entrave au fonctionnement" de la Section 5.1</t>
        </is>
      </c>
      <c r="V280" s="88" t="n"/>
      <c r="W280" s="88" t="n"/>
      <c r="X280" s="88" t="n"/>
      <c r="Y280" s="88" t="n"/>
      <c r="Z280" s="88" t="n"/>
      <c r="AA280" s="88" t="n"/>
      <c r="AB280" s="88" t="n"/>
      <c r="AC280" s="88" t="n"/>
      <c r="AD280" s="88" t="n"/>
      <c r="AE280" s="88" t="n"/>
      <c r="AF280" s="88" t="n"/>
      <c r="AG280" s="88" t="n"/>
      <c r="AH280" s="26" t="n"/>
      <c r="AI280" s="26" t="n"/>
      <c r="AJ280" s="26" t="n"/>
      <c r="AK280" s="26" t="n"/>
    </row>
    <row r="281" ht="14.25" customHeight="1">
      <c r="A281" s="1467" t="inlineStr">
        <is>
          <t>121 à 180 jours</t>
        </is>
      </c>
      <c r="B281" s="1381" t="n"/>
      <c r="C281" s="1381" t="n"/>
      <c r="D281" s="1383" t="n"/>
      <c r="E281" s="654" t="n">
        <v>5</v>
      </c>
      <c r="F281" s="1401" t="n"/>
      <c r="G281" s="656" t="n">
        <v>0</v>
      </c>
      <c r="H281" s="1401" t="n"/>
      <c r="I281" s="656" t="n">
        <v>10</v>
      </c>
      <c r="J281" s="1401" t="n"/>
      <c r="K281" s="655" t="n">
        <v>0</v>
      </c>
      <c r="L281" s="1401" t="n"/>
      <c r="V281" s="88" t="n"/>
      <c r="W281" s="88" t="n"/>
      <c r="X281" s="88" t="n"/>
      <c r="Y281" s="88" t="n"/>
      <c r="Z281" s="88" t="n"/>
      <c r="AA281" s="88" t="n"/>
      <c r="AB281" s="88" t="n"/>
      <c r="AC281" s="88" t="n"/>
      <c r="AD281" s="88" t="n"/>
      <c r="AE281" s="88" t="n"/>
      <c r="AF281" s="88" t="n"/>
      <c r="AG281" s="88" t="n"/>
      <c r="AH281" s="26" t="n"/>
      <c r="AI281" s="26" t="n"/>
      <c r="AJ281" s="26" t="n"/>
      <c r="AK281" s="26" t="n"/>
    </row>
    <row r="282">
      <c r="A282" s="1464" t="inlineStr">
        <is>
          <t>181 à 365 jours</t>
        </is>
      </c>
      <c r="B282" s="1381" t="n"/>
      <c r="C282" s="1381" t="n"/>
      <c r="D282" s="1383" t="n"/>
      <c r="E282" s="618" t="n">
        <v>7</v>
      </c>
      <c r="F282" s="1401" t="n"/>
      <c r="G282" s="386" t="n">
        <v>0</v>
      </c>
      <c r="H282" s="1401" t="n"/>
      <c r="I282" s="386" t="n">
        <v>7</v>
      </c>
      <c r="J282" s="1401" t="n"/>
      <c r="K282" s="386" t="n">
        <v>0</v>
      </c>
      <c r="L282" s="1401" t="n"/>
      <c r="M282" s="921" t="inlineStr">
        <is>
          <t>Section 5.2 - Le "Total" de "Article 69" doit être égal au "Total" de "Article 69" de la Section 5.1</t>
        </is>
      </c>
      <c r="V282" s="88" t="n"/>
      <c r="W282" s="88" t="n"/>
      <c r="X282" s="88" t="n"/>
      <c r="Y282" s="88" t="n"/>
      <c r="Z282" s="88" t="n"/>
      <c r="AA282" s="88" t="n"/>
      <c r="AB282" s="88" t="n"/>
      <c r="AC282" s="88" t="n"/>
      <c r="AD282" s="88" t="n"/>
      <c r="AE282" s="88" t="n"/>
      <c r="AF282" s="88" t="n"/>
      <c r="AG282" s="88" t="n"/>
      <c r="AH282" s="26" t="n"/>
      <c r="AI282" s="26" t="n"/>
      <c r="AJ282" s="26" t="n"/>
      <c r="AK282" s="26" t="n"/>
    </row>
    <row r="283" ht="15.75" customHeight="1" thickBot="1">
      <c r="A283" s="1468" t="inlineStr">
        <is>
          <t>Plus de 365 jours</t>
        </is>
      </c>
      <c r="B283" s="1388" t="n"/>
      <c r="C283" s="1388" t="n"/>
      <c r="D283" s="1389" t="n"/>
      <c r="E283" s="666" t="n">
        <v>5</v>
      </c>
      <c r="F283" s="1409" t="n"/>
      <c r="G283" s="575" t="n">
        <v>0</v>
      </c>
      <c r="H283" s="1409" t="n"/>
      <c r="I283" s="575" t="n">
        <v>0</v>
      </c>
      <c r="J283" s="1409" t="n"/>
      <c r="K283" s="575" t="n">
        <v>0</v>
      </c>
      <c r="L283" s="1409" t="n"/>
      <c r="M283" s="921" t="inlineStr">
        <is>
          <t>Section 5.2 - Le "Total" de "Autres" doit être égal au "Total" de "Autres" de la Section 5.1</t>
        </is>
      </c>
      <c r="V283" s="88" t="n"/>
      <c r="W283" s="88" t="n"/>
      <c r="X283" s="88" t="n"/>
      <c r="Y283" s="88" t="n"/>
      <c r="Z283" s="88" t="n"/>
      <c r="AA283" s="88" t="n"/>
      <c r="AB283" s="88" t="n"/>
      <c r="AC283" s="88" t="n"/>
      <c r="AD283" s="88" t="n"/>
      <c r="AE283" s="88" t="n"/>
      <c r="AF283" s="88" t="n"/>
      <c r="AG283" s="88" t="n"/>
      <c r="AH283" s="26" t="n"/>
      <c r="AI283" s="26" t="n"/>
      <c r="AJ283" s="26" t="n"/>
      <c r="AK283" s="26" t="n"/>
    </row>
    <row r="284" ht="16.5" customHeight="1" thickBot="1" thickTop="1">
      <c r="A284" s="1451" t="inlineStr">
        <is>
          <t>Total</t>
        </is>
      </c>
      <c r="B284" s="1374" t="n"/>
      <c r="C284" s="1374" t="n"/>
      <c r="D284" s="1375" t="n"/>
      <c r="E284" s="543">
        <f>SUM(E278:F283)</f>
        <v/>
      </c>
      <c r="F284" s="1443" t="n"/>
      <c r="G284" s="336">
        <f>SUM(G278:H283)</f>
        <v/>
      </c>
      <c r="H284" s="1443" t="n"/>
      <c r="I284" s="336">
        <f>SUM(I278:J283)</f>
        <v/>
      </c>
      <c r="J284" s="1443" t="n"/>
      <c r="K284" s="360">
        <f>SUM(K278:L283)</f>
        <v/>
      </c>
      <c r="L284" s="1391" t="n"/>
      <c r="M284" s="905" t="inlineStr">
        <is>
          <t>Section 5.2 - Le "Total" de "9(1)c) Avis à un tiers" doit être égal au "Total" de "9(1)c) Avis à un tier" de la Section 5.1</t>
        </is>
      </c>
      <c r="V284" s="88" t="n"/>
      <c r="W284" s="88" t="n"/>
      <c r="X284" s="88" t="n"/>
      <c r="Y284" s="88" t="n"/>
      <c r="Z284" s="88" t="n"/>
      <c r="AA284" s="88" t="n"/>
      <c r="AB284" s="88" t="n"/>
      <c r="AC284" s="88" t="n"/>
      <c r="AD284" s="88" t="n"/>
      <c r="AE284" s="88" t="n"/>
      <c r="AF284" s="88" t="n"/>
      <c r="AG284" s="88" t="n"/>
      <c r="AH284" s="26" t="n"/>
      <c r="AI284" s="26" t="n"/>
      <c r="AJ284" s="26" t="n"/>
      <c r="AK284" s="26" t="n"/>
    </row>
    <row r="285" ht="15.75" customHeight="1" thickTop="1">
      <c r="V285" s="88" t="n"/>
      <c r="W285" s="88" t="n"/>
      <c r="X285" s="88" t="n"/>
      <c r="Y285" s="88" t="n"/>
      <c r="Z285" s="88" t="n"/>
      <c r="AA285" s="88" t="n"/>
      <c r="AB285" s="88" t="n"/>
      <c r="AC285" s="88" t="n"/>
      <c r="AD285" s="88" t="n"/>
      <c r="AE285" s="88" t="n"/>
      <c r="AF285" s="88" t="n"/>
      <c r="AG285" s="88" t="n"/>
      <c r="AH285" s="26" t="n"/>
      <c r="AI285" s="26" t="n"/>
      <c r="AJ285" s="26" t="n"/>
      <c r="AK285" s="26" t="n"/>
    </row>
    <row r="286" ht="15.75" customHeight="1">
      <c r="A286" s="805" t="inlineStr">
        <is>
          <t>Section 6 – Frais</t>
        </is>
      </c>
      <c r="M286" s="88" t="n"/>
      <c r="N286" s="88" t="n"/>
      <c r="O286" s="88" t="n"/>
      <c r="P286" s="88" t="n"/>
      <c r="Q286" s="88" t="n"/>
      <c r="R286" s="88" t="n"/>
      <c r="S286" s="88" t="n"/>
      <c r="T286" s="88" t="n"/>
      <c r="U286" s="88" t="n"/>
      <c r="V286" s="88" t="n"/>
      <c r="W286" s="88" t="n"/>
      <c r="X286" s="88" t="n"/>
      <c r="Y286" s="88" t="n"/>
      <c r="Z286" s="88" t="n"/>
      <c r="AA286" s="88" t="n"/>
      <c r="AB286" s="88" t="n"/>
      <c r="AC286" s="88" t="n"/>
      <c r="AD286" s="88" t="n"/>
      <c r="AE286" s="88" t="n"/>
      <c r="AF286" s="88" t="n"/>
      <c r="AG286" s="88" t="n"/>
      <c r="AH286" s="26" t="n"/>
      <c r="AI286" s="26" t="n"/>
      <c r="AJ286" s="26" t="n"/>
      <c r="AK286" s="26" t="n"/>
    </row>
    <row r="287" ht="16.5" customHeight="1" thickBot="1">
      <c r="A287" s="105" t="n"/>
      <c r="B287" s="105" t="n"/>
      <c r="C287" s="105" t="n"/>
      <c r="D287" s="105" t="n"/>
      <c r="E287" s="105" t="n"/>
      <c r="F287" s="105" t="n"/>
      <c r="G287" s="105" t="n"/>
      <c r="H287" s="105" t="n"/>
      <c r="I287" s="105" t="n"/>
      <c r="J287" s="105" t="n"/>
      <c r="K287" s="105" t="n"/>
      <c r="L287" s="105" t="n"/>
      <c r="M287" s="194">
        <f>IF(MOD(E292,5)&gt;0,"Le montant total des ""Frais perçus"" doit être divisible par 5$.","")</f>
        <v/>
      </c>
      <c r="N287" s="88" t="n"/>
      <c r="O287" s="88" t="n"/>
      <c r="P287" s="88" t="n"/>
      <c r="Q287" s="88" t="n"/>
      <c r="R287" s="88" t="n"/>
      <c r="S287" s="88" t="n"/>
      <c r="T287" s="88" t="n"/>
      <c r="U287" s="88" t="n"/>
      <c r="V287" s="88" t="n"/>
      <c r="W287" s="88" t="n"/>
      <c r="X287" s="88" t="n"/>
      <c r="Y287" s="88" t="n"/>
      <c r="Z287" s="88" t="n"/>
      <c r="AA287" s="88" t="n"/>
      <c r="AB287" s="88" t="n"/>
      <c r="AC287" s="88" t="n"/>
      <c r="AD287" s="88" t="n"/>
      <c r="AE287" s="88" t="n"/>
      <c r="AF287" s="88" t="n"/>
      <c r="AG287" s="88" t="n"/>
      <c r="AH287" s="26" t="n"/>
      <c r="AI287" s="26" t="n"/>
      <c r="AJ287" s="26" t="n"/>
      <c r="AK287" s="26" t="n"/>
    </row>
    <row r="288" ht="17.25" customHeight="1" thickBot="1" thickTop="1">
      <c r="A288" s="667" t="inlineStr">
        <is>
          <t>Type de frais</t>
        </is>
      </c>
      <c r="B288" s="1413" t="n"/>
      <c r="C288" s="1469" t="inlineStr">
        <is>
          <t>Frais perçus</t>
        </is>
      </c>
      <c r="D288" s="1377" t="n"/>
      <c r="E288" s="1378" t="n"/>
      <c r="F288" s="1469" t="inlineStr">
        <is>
          <t xml:space="preserve">Frais dispensés </t>
        </is>
      </c>
      <c r="G288" s="1377" t="n"/>
      <c r="H288" s="1378" t="n"/>
      <c r="I288" s="1470" t="inlineStr">
        <is>
          <t>Frais remboursés</t>
        </is>
      </c>
      <c r="J288" s="1412" t="n"/>
      <c r="K288" s="1413" t="n"/>
      <c r="L288" s="105" t="n"/>
      <c r="M288" s="194">
        <f>IF(MOD(H292,5)&gt;0,"Le montant total des ""Frais dispensés"" doit être divisible par 5$.","")</f>
        <v/>
      </c>
      <c r="N288" s="88" t="n"/>
      <c r="O288" s="88" t="n"/>
      <c r="P288" s="88" t="n"/>
      <c r="Q288" s="88" t="n"/>
      <c r="R288" s="88" t="n"/>
      <c r="S288" s="88" t="n"/>
      <c r="T288" s="88" t="n"/>
      <c r="U288" s="88" t="n"/>
      <c r="V288" s="88" t="n"/>
      <c r="W288" s="88" t="n"/>
      <c r="X288" s="88" t="n"/>
      <c r="Y288" s="88" t="n"/>
      <c r="Z288" s="88" t="n"/>
      <c r="AA288" s="88" t="n"/>
      <c r="AB288" s="88" t="n"/>
      <c r="AC288" s="88" t="n"/>
      <c r="AD288" s="88" t="n"/>
      <c r="AE288" s="88" t="n"/>
      <c r="AF288" s="88" t="n"/>
      <c r="AG288" s="88" t="n"/>
      <c r="AH288" s="26" t="n"/>
      <c r="AI288" s="26" t="n"/>
      <c r="AJ288" s="26" t="n"/>
      <c r="AK288" s="26" t="n"/>
    </row>
    <row r="289" ht="29.25" customHeight="1" thickBot="1" thickTop="1">
      <c r="A289" s="1397" t="n"/>
      <c r="B289" s="1391" t="n"/>
      <c r="C289" s="1471" t="inlineStr">
        <is>
          <t>Nombre de demandes</t>
        </is>
      </c>
      <c r="D289" s="1396" t="n"/>
      <c r="E289" s="158" t="inlineStr">
        <is>
          <t>Montant</t>
        </is>
      </c>
      <c r="F289" s="1471" t="inlineStr">
        <is>
          <t>Nombre de demandes</t>
        </is>
      </c>
      <c r="G289" s="1396" t="n"/>
      <c r="H289" s="158" t="inlineStr">
        <is>
          <t>Montant</t>
        </is>
      </c>
      <c r="I289" s="1471" t="inlineStr">
        <is>
          <t>Nombre de demandes</t>
        </is>
      </c>
      <c r="J289" s="1396" t="n"/>
      <c r="K289" s="159" t="inlineStr">
        <is>
          <t>Montant</t>
        </is>
      </c>
      <c r="L289" s="105" t="n"/>
      <c r="M289" s="194">
        <f>IF(MOD(K292,5)&gt;0,"Le montant total des ""Frais remboursés"" doit être divisible par 5$.","")</f>
        <v/>
      </c>
      <c r="N289" s="88" t="n"/>
      <c r="O289" s="88" t="n"/>
      <c r="P289" s="88" t="n"/>
      <c r="Q289" s="88" t="n"/>
      <c r="R289" s="88" t="n"/>
      <c r="S289" s="88" t="n"/>
      <c r="T289" s="88" t="n"/>
      <c r="U289" s="88" t="n"/>
      <c r="V289" s="88" t="n"/>
      <c r="W289" s="88" t="n"/>
      <c r="X289" s="88" t="n"/>
      <c r="Y289" s="88" t="n"/>
      <c r="Z289" s="88" t="n"/>
      <c r="AA289" s="88" t="n"/>
      <c r="AB289" s="88" t="n"/>
      <c r="AC289" s="88" t="n"/>
      <c r="AD289" s="88" t="n"/>
      <c r="AE289" s="88" t="n"/>
      <c r="AF289" s="88" t="n"/>
      <c r="AG289" s="88" t="n"/>
      <c r="AH289" s="26" t="n"/>
      <c r="AI289" s="26" t="n"/>
      <c r="AJ289" s="26" t="n"/>
      <c r="AK289" s="26" t="n"/>
    </row>
    <row r="290" ht="15.75" customHeight="1" thickTop="1">
      <c r="A290" s="1463" t="inlineStr">
        <is>
          <t>Présentation</t>
        </is>
      </c>
      <c r="B290" s="1378" t="n"/>
      <c r="C290" s="1472" t="n">
        <v>2192</v>
      </c>
      <c r="D290" s="1399" t="n"/>
      <c r="E290" s="1473" t="n">
        <v>10960</v>
      </c>
      <c r="F290" s="1472" t="n">
        <v>152</v>
      </c>
      <c r="G290" s="1399" t="n"/>
      <c r="H290" s="1473" t="n">
        <v>760</v>
      </c>
      <c r="I290" s="636" t="n">
        <v>3</v>
      </c>
      <c r="J290" s="1379" t="n"/>
      <c r="K290" s="1474" t="n">
        <v>15</v>
      </c>
      <c r="M290" s="980">
        <f>IF(SUM(C290,F290,I290)&gt;H14,"Section 6 - La somme des nombres de demandes reliés aux frais de présentation pour ""Frais perçus"", ""Frais dispensés"" et ""Frais remboursés"" doit être égale ou inférieure à ""Reçues pendant la période d'établissement de rapports"" de Section 1.1","")</f>
        <v/>
      </c>
      <c r="AA290" s="88" t="n"/>
      <c r="AB290" s="88" t="n"/>
      <c r="AC290" s="88" t="n"/>
      <c r="AD290" s="88" t="n"/>
      <c r="AE290" s="88" t="n"/>
      <c r="AF290" s="88" t="n"/>
      <c r="AG290" s="88" t="n"/>
      <c r="AH290" s="26" t="n"/>
      <c r="AI290" s="26" t="n"/>
      <c r="AJ290" s="26" t="n"/>
      <c r="AK290" s="26" t="n"/>
    </row>
    <row r="291" ht="16.5" customHeight="1" thickBot="1">
      <c r="A291" s="1475" t="inlineStr">
        <is>
          <t>Autres frais</t>
        </is>
      </c>
      <c r="B291" s="1389" t="n"/>
      <c r="C291" s="666" t="n">
        <v>0</v>
      </c>
      <c r="D291" s="1409" t="n"/>
      <c r="E291" s="1476" t="n">
        <v>0</v>
      </c>
      <c r="F291" s="666" t="n">
        <v>0</v>
      </c>
      <c r="G291" s="1409" t="n"/>
      <c r="H291" s="1476" t="n">
        <v>0</v>
      </c>
      <c r="I291" s="635" t="n">
        <v>0</v>
      </c>
      <c r="J291" s="1408" t="n"/>
      <c r="K291" s="1476" t="n">
        <v>0</v>
      </c>
      <c r="L291" s="105" t="n"/>
      <c r="AA291" s="88" t="n"/>
      <c r="AB291" s="88" t="n"/>
      <c r="AC291" s="88" t="n"/>
      <c r="AD291" s="88" t="n"/>
      <c r="AE291" s="88" t="n"/>
      <c r="AF291" s="88" t="n"/>
      <c r="AG291" s="88" t="n"/>
      <c r="AH291" s="26" t="n"/>
      <c r="AI291" s="26" t="n"/>
      <c r="AJ291" s="26" t="n"/>
      <c r="AK291" s="26" t="n"/>
    </row>
    <row r="292" ht="17.25" customHeight="1" thickBot="1" thickTop="1">
      <c r="A292" s="1451" t="inlineStr">
        <is>
          <t>Total</t>
        </is>
      </c>
      <c r="B292" s="1375" t="n"/>
      <c r="C292" s="857">
        <f>SUM(C290:D291)</f>
        <v/>
      </c>
      <c r="D292" s="1405" t="n"/>
      <c r="E292" s="1477">
        <f>SUM(E290:E291)</f>
        <v/>
      </c>
      <c r="F292" s="1478">
        <f>SUM(F290:G291)</f>
        <v/>
      </c>
      <c r="G292" s="1396" t="n"/>
      <c r="H292" s="1477">
        <f>SUM(H290:H291)</f>
        <v/>
      </c>
      <c r="I292" s="1478">
        <f>SUM(I290:J291)</f>
        <v/>
      </c>
      <c r="J292" s="1396" t="n"/>
      <c r="K292" s="1477">
        <f>SUM(K290:K291)</f>
        <v/>
      </c>
      <c r="L292" s="105" t="n"/>
      <c r="N292" s="88" t="n"/>
      <c r="O292" s="88" t="n"/>
      <c r="P292" s="88" t="n"/>
      <c r="Q292" s="88" t="n"/>
      <c r="R292" s="88" t="n"/>
      <c r="S292" s="88" t="n"/>
      <c r="T292" s="88" t="n"/>
      <c r="U292" s="88" t="n"/>
      <c r="V292" s="88" t="n"/>
      <c r="W292" s="88" t="n"/>
      <c r="X292" s="88" t="n"/>
      <c r="Y292" s="88" t="n"/>
      <c r="Z292" s="88" t="n"/>
      <c r="AA292" s="88" t="n"/>
      <c r="AB292" s="88" t="n"/>
      <c r="AC292" s="88" t="n"/>
      <c r="AD292" s="88" t="n"/>
      <c r="AE292" s="88" t="n"/>
      <c r="AF292" s="88" t="n"/>
      <c r="AG292" s="88" t="n"/>
      <c r="AH292" s="26" t="n"/>
      <c r="AI292" s="26" t="n"/>
      <c r="AJ292" s="26" t="n"/>
      <c r="AK292" s="26" t="n"/>
    </row>
    <row r="293" ht="16.5" customHeight="1" thickTop="1">
      <c r="A293" s="105" t="n"/>
      <c r="B293" s="105" t="n"/>
      <c r="C293" s="105" t="n"/>
      <c r="D293" s="105" t="n"/>
      <c r="E293" s="105" t="n"/>
      <c r="F293" s="105" t="n"/>
      <c r="G293" s="105" t="n"/>
      <c r="H293" s="105" t="n"/>
      <c r="I293" s="105" t="n"/>
      <c r="J293" s="105" t="n"/>
      <c r="K293" s="105" t="n"/>
      <c r="L293" s="105" t="n"/>
      <c r="M293" s="88" t="n"/>
      <c r="N293" s="88" t="n"/>
      <c r="O293" s="88" t="n"/>
      <c r="P293" s="88" t="n"/>
      <c r="Q293" s="88" t="n"/>
      <c r="R293" s="88" t="n"/>
      <c r="S293" s="88" t="n"/>
      <c r="T293" s="88" t="n"/>
      <c r="U293" s="88" t="n"/>
      <c r="V293" s="88" t="n"/>
      <c r="W293" s="88" t="n"/>
      <c r="X293" s="88" t="n"/>
      <c r="Y293" s="88" t="n"/>
      <c r="Z293" s="88" t="n"/>
      <c r="AA293" s="88" t="n"/>
      <c r="AB293" s="88" t="n"/>
      <c r="AC293" s="88" t="n"/>
      <c r="AD293" s="88" t="n"/>
      <c r="AE293" s="88" t="n"/>
      <c r="AF293" s="88" t="n"/>
      <c r="AG293" s="88" t="n"/>
      <c r="AH293" s="26" t="n"/>
      <c r="AI293" s="26" t="n"/>
      <c r="AJ293" s="26" t="n"/>
      <c r="AK293" s="26" t="n"/>
    </row>
    <row r="294" ht="15.75" customHeight="1">
      <c r="A294" s="631" t="inlineStr">
        <is>
          <t>Section 7 – Demandes de consultation reçues d’autres institutions et organisations</t>
        </is>
      </c>
      <c r="M294" s="88" t="n"/>
      <c r="N294" s="88" t="n"/>
      <c r="O294" s="88" t="n"/>
      <c r="P294" s="88" t="n"/>
      <c r="Q294" s="88" t="n"/>
      <c r="R294" s="88" t="n"/>
      <c r="S294" s="88" t="n"/>
      <c r="T294" s="88" t="n"/>
      <c r="U294" s="88" t="n"/>
      <c r="V294" s="88" t="n"/>
      <c r="W294" s="88" t="n"/>
      <c r="X294" s="88" t="n"/>
      <c r="Y294" s="88" t="n"/>
      <c r="Z294" s="88" t="n"/>
      <c r="AA294" s="88" t="n"/>
      <c r="AB294" s="88" t="n"/>
      <c r="AC294" s="88" t="n"/>
      <c r="AD294" s="88" t="n"/>
      <c r="AE294" s="88" t="n"/>
      <c r="AF294" s="88" t="n"/>
      <c r="AG294" s="88" t="n"/>
      <c r="AH294" s="26" t="n"/>
      <c r="AI294" s="26" t="n"/>
      <c r="AJ294" s="26" t="n"/>
      <c r="AK294" s="26" t="n"/>
    </row>
    <row r="295">
      <c r="M295" s="88" t="n"/>
      <c r="N295" s="88" t="n"/>
      <c r="O295" s="88" t="n"/>
      <c r="P295" s="88" t="n"/>
      <c r="Q295" s="88" t="n"/>
      <c r="R295" s="88" t="n"/>
      <c r="S295" s="88" t="n"/>
      <c r="T295" s="88" t="n"/>
      <c r="U295" s="88" t="n"/>
      <c r="V295" s="88" t="n"/>
      <c r="W295" s="88" t="n"/>
      <c r="X295" s="88" t="n"/>
      <c r="Y295" s="88" t="n"/>
      <c r="Z295" s="88" t="n"/>
      <c r="AA295" s="88" t="n"/>
      <c r="AB295" s="88" t="n"/>
      <c r="AC295" s="88" t="n"/>
      <c r="AD295" s="88" t="n"/>
      <c r="AE295" s="88" t="n"/>
      <c r="AF295" s="88" t="n"/>
      <c r="AG295" s="88" t="n"/>
      <c r="AH295" s="26" t="n"/>
      <c r="AI295" s="26" t="n"/>
      <c r="AJ295" s="26" t="n"/>
      <c r="AK295" s="26" t="n"/>
    </row>
    <row r="296" ht="15" customHeight="1">
      <c r="A296" s="842" t="inlineStr">
        <is>
          <t>7.1  Demandes de consultation reçues d’autres institutions du gouvernement du Canada et autres organisations</t>
        </is>
      </c>
      <c r="M296" s="88" t="n"/>
      <c r="N296" s="88" t="n"/>
      <c r="O296" s="88" t="n"/>
      <c r="P296" s="88" t="n"/>
      <c r="Q296" s="88" t="n"/>
      <c r="R296" s="88" t="n"/>
      <c r="S296" s="88" t="n"/>
      <c r="T296" s="88" t="n"/>
      <c r="U296" s="88" t="n"/>
      <c r="V296" s="88" t="n"/>
      <c r="W296" s="88" t="n"/>
      <c r="X296" s="88" t="n"/>
      <c r="Y296" s="88" t="n"/>
      <c r="Z296" s="88" t="n"/>
      <c r="AA296" s="88" t="n"/>
      <c r="AB296" s="88" t="n"/>
      <c r="AC296" s="88" t="n"/>
      <c r="AD296" s="88" t="n"/>
      <c r="AE296" s="88" t="n"/>
      <c r="AF296" s="88" t="n"/>
      <c r="AG296" s="88" t="n"/>
      <c r="AH296" s="26" t="n"/>
      <c r="AI296" s="26" t="n"/>
      <c r="AJ296" s="26" t="n"/>
      <c r="AK296" s="26" t="n"/>
    </row>
    <row r="297" ht="15" customHeight="1" thickBot="1">
      <c r="M297" s="88" t="n"/>
      <c r="N297" s="88" t="n"/>
      <c r="O297" s="88" t="n"/>
      <c r="P297" s="88" t="n"/>
      <c r="Q297" s="88" t="n"/>
      <c r="R297" s="88" t="n"/>
      <c r="S297" s="88" t="n"/>
      <c r="T297" s="88" t="n"/>
      <c r="U297" s="88" t="n"/>
      <c r="V297" s="88" t="n"/>
      <c r="W297" s="88" t="n"/>
      <c r="X297" s="88" t="n"/>
      <c r="Y297" s="88" t="n"/>
      <c r="Z297" s="88" t="n"/>
      <c r="AA297" s="88" t="n"/>
      <c r="AB297" s="88" t="n"/>
      <c r="AC297" s="88" t="n"/>
      <c r="AD297" s="88" t="n"/>
      <c r="AE297" s="88" t="n"/>
      <c r="AF297" s="88" t="n"/>
      <c r="AG297" s="88" t="n"/>
      <c r="AH297" s="26" t="n"/>
      <c r="AI297" s="26" t="n"/>
      <c r="AJ297" s="26" t="n"/>
      <c r="AK297" s="26" t="n"/>
    </row>
    <row r="298" ht="33.75" customHeight="1" thickBot="1" thickTop="1">
      <c r="A298" s="1479" t="inlineStr">
        <is>
          <t>Consultations</t>
        </is>
      </c>
      <c r="B298" s="1374" t="n"/>
      <c r="C298" s="1374" t="n"/>
      <c r="D298" s="1375" t="n"/>
      <c r="E298" s="650" t="inlineStr">
        <is>
          <t>Autres institutions du gouvernement du Canada</t>
        </is>
      </c>
      <c r="F298" s="1405" t="n"/>
      <c r="G298" s="641" t="inlineStr">
        <is>
          <t>Nombre de pages à traiter</t>
        </is>
      </c>
      <c r="H298" s="1405" t="n"/>
      <c r="I298" s="650" t="inlineStr">
        <is>
          <t>Autres organisations</t>
        </is>
      </c>
      <c r="J298" s="1405" t="n"/>
      <c r="K298" s="641" t="inlineStr">
        <is>
          <t>Nombre de pages à traiter</t>
        </is>
      </c>
      <c r="L298" s="1405" t="n"/>
      <c r="M298" s="88" t="n"/>
      <c r="N298" s="88" t="n"/>
      <c r="O298" s="88" t="n"/>
      <c r="P298" s="88" t="n"/>
      <c r="Q298" s="88" t="n"/>
      <c r="R298" s="88" t="n"/>
      <c r="S298" s="88" t="n"/>
      <c r="T298" s="88" t="n"/>
      <c r="U298" s="88" t="n"/>
      <c r="V298" s="88" t="n"/>
      <c r="W298" s="88" t="n"/>
      <c r="X298" s="88" t="n"/>
      <c r="Y298" s="88" t="n"/>
      <c r="Z298" s="88" t="n"/>
      <c r="AA298" s="88" t="n"/>
      <c r="AB298" s="88" t="n"/>
      <c r="AC298" s="88" t="n"/>
      <c r="AD298" s="88" t="n"/>
      <c r="AE298" s="88" t="n"/>
      <c r="AF298" s="88" t="n"/>
      <c r="AG298" s="88" t="n"/>
      <c r="AH298" s="26" t="n"/>
      <c r="AI298" s="26" t="n"/>
      <c r="AJ298" s="26" t="n"/>
      <c r="AK298" s="26" t="n"/>
    </row>
    <row r="299" ht="29.25" customHeight="1" thickTop="1">
      <c r="A299" s="1480" t="inlineStr">
        <is>
          <t>Reçues pendant la période d'établissement de rapport</t>
        </is>
      </c>
      <c r="B299" s="1377" t="n"/>
      <c r="C299" s="1377" t="n"/>
      <c r="D299" s="1378" t="n"/>
      <c r="E299" s="815" t="n">
        <v>236</v>
      </c>
      <c r="F299" s="1407" t="n"/>
      <c r="G299" s="420" t="n">
        <v>19759</v>
      </c>
      <c r="H299" s="1407" t="n"/>
      <c r="I299" s="815" t="n">
        <v>11</v>
      </c>
      <c r="J299" s="1407" t="n"/>
      <c r="K299" s="420" t="n">
        <v>722</v>
      </c>
      <c r="L299" s="1407" t="n"/>
      <c r="M299" s="885" t="n"/>
      <c r="V299" s="88" t="n"/>
      <c r="W299" s="88" t="n"/>
      <c r="X299" s="88" t="n"/>
      <c r="Y299" s="88" t="n"/>
      <c r="Z299" s="88" t="n"/>
      <c r="AA299" s="88" t="n"/>
      <c r="AB299" s="88" t="n"/>
      <c r="AC299" s="88" t="n"/>
      <c r="AD299" s="88" t="n"/>
      <c r="AE299" s="88" t="n"/>
      <c r="AF299" s="88" t="n"/>
      <c r="AG299" s="88" t="n"/>
      <c r="AH299" s="26" t="n"/>
      <c r="AI299" s="26" t="n"/>
      <c r="AJ299" s="26" t="n"/>
      <c r="AK299" s="26" t="n"/>
    </row>
    <row r="300" ht="29.25" customHeight="1" thickBot="1">
      <c r="A300" s="1481" t="inlineStr">
        <is>
          <t>En suspens à la fin de la période d'établissement de rapport précédente</t>
        </is>
      </c>
      <c r="B300" s="1388" t="n"/>
      <c r="C300" s="1388" t="n"/>
      <c r="D300" s="1389" t="n"/>
      <c r="E300" s="649" t="n">
        <v>149</v>
      </c>
      <c r="F300" s="1404" t="n"/>
      <c r="G300" s="638" t="n">
        <v>100529</v>
      </c>
      <c r="H300" s="1404" t="n"/>
      <c r="I300" s="649" t="n">
        <v>3</v>
      </c>
      <c r="J300" s="1404" t="n"/>
      <c r="K300" s="638" t="n">
        <v>130</v>
      </c>
      <c r="L300" s="1404" t="n"/>
      <c r="M300" s="885" t="n"/>
      <c r="V300" s="88" t="n"/>
      <c r="W300" s="88" t="n"/>
      <c r="X300" s="88" t="n"/>
      <c r="Y300" s="88" t="n"/>
      <c r="Z300" s="88" t="n"/>
      <c r="AA300" s="88" t="n"/>
      <c r="AB300" s="88" t="n"/>
      <c r="AC300" s="88" t="n"/>
      <c r="AD300" s="88" t="n"/>
      <c r="AE300" s="88" t="n"/>
      <c r="AF300" s="88" t="n"/>
      <c r="AG300" s="88" t="n"/>
      <c r="AH300" s="26" t="n"/>
      <c r="AI300" s="26" t="n"/>
      <c r="AJ300" s="26" t="n"/>
      <c r="AK300" s="26" t="n"/>
    </row>
    <row r="301" ht="16.5" customHeight="1" thickBot="1" thickTop="1">
      <c r="A301" s="1482" t="inlineStr">
        <is>
          <t>Total</t>
        </is>
      </c>
      <c r="B301" s="1374" t="n"/>
      <c r="C301" s="1374" t="n"/>
      <c r="D301" s="1375" t="n"/>
      <c r="E301" s="809">
        <f>SUM(E299:F300)</f>
        <v/>
      </c>
      <c r="F301" s="1405" t="n"/>
      <c r="G301" s="810">
        <f>SUM(G299:H300)</f>
        <v/>
      </c>
      <c r="H301" s="1405" t="n"/>
      <c r="I301" s="809">
        <f>SUM(I299:J300)</f>
        <v/>
      </c>
      <c r="J301" s="1405" t="n"/>
      <c r="K301" s="810">
        <f>SUM(K299:L300)</f>
        <v/>
      </c>
      <c r="L301" s="1405" t="n"/>
      <c r="M301" s="873" t="inlineStr">
        <is>
          <t>Section 7.1 - La somme de "Reportées à l'intérieur des délais négociés à la prochaine période d'établissement de rapport" et "Reportées au-delà des délais négociés à la prochaine période d'établissement de rapport" sous "Autres institutions du gouvernement du Canada" doit être égale au "Total" moins "Fermées pendant la période d'établissement de rapport"</t>
        </is>
      </c>
      <c r="V301" s="88" t="n"/>
      <c r="W301" s="88" t="n"/>
      <c r="X301" s="88" t="n"/>
      <c r="Y301" s="88" t="n"/>
      <c r="Z301" s="88" t="n"/>
      <c r="AA301" s="88" t="n"/>
      <c r="AB301" s="88" t="n"/>
      <c r="AC301" s="88" t="n"/>
      <c r="AD301" s="88" t="n"/>
      <c r="AE301" s="88" t="n"/>
      <c r="AF301" s="88" t="n"/>
      <c r="AG301" s="88" t="n"/>
      <c r="AH301" s="26" t="n"/>
      <c r="AI301" s="26" t="n"/>
      <c r="AJ301" s="26" t="n"/>
      <c r="AK301" s="26" t="n"/>
    </row>
    <row r="302" ht="30.75" customHeight="1" thickTop="1">
      <c r="A302" s="1480" t="inlineStr">
        <is>
          <t>Fermées pendant la période d'établissement de rapport</t>
        </is>
      </c>
      <c r="B302" s="1377" t="n"/>
      <c r="C302" s="1377" t="n"/>
      <c r="D302" s="1378" t="n"/>
      <c r="E302" s="815" t="n">
        <v>385</v>
      </c>
      <c r="F302" s="1407" t="n"/>
      <c r="G302" s="420" t="n">
        <v>120288</v>
      </c>
      <c r="H302" s="1407" t="n"/>
      <c r="I302" s="815" t="n">
        <v>14</v>
      </c>
      <c r="J302" s="1407" t="n"/>
      <c r="K302" s="420" t="n">
        <v>852</v>
      </c>
      <c r="L302" s="1407" t="n"/>
      <c r="M302" s="873" t="inlineStr">
        <is>
          <t>Section 7.1 - La somme de "Reportées à l'intérieur des délais négociés à la prochaine période d'établissement de rapport" et "Reportées au-delà des délais négociés à la prochaine période d'établissement de rapport" sous "Nombre de pages à traiter" doit être égale au "Total" moins "Fermées pendant la période d'établissement de rapport"</t>
        </is>
      </c>
      <c r="V302" s="88" t="n"/>
      <c r="W302" s="88" t="n"/>
      <c r="X302" s="88" t="n"/>
      <c r="Y302" s="88" t="n"/>
      <c r="Z302" s="88" t="n"/>
      <c r="AA302" s="88" t="n"/>
      <c r="AB302" s="88" t="n"/>
      <c r="AC302" s="88" t="n"/>
      <c r="AD302" s="88" t="n"/>
      <c r="AE302" s="88" t="n"/>
      <c r="AF302" s="88" t="n"/>
      <c r="AG302" s="88" t="n"/>
      <c r="AH302" s="26" t="n"/>
      <c r="AI302" s="26" t="n"/>
      <c r="AJ302" s="26" t="n"/>
      <c r="AK302" s="26" t="n"/>
    </row>
    <row r="303" ht="42" customHeight="1">
      <c r="A303" s="1483" t="inlineStr">
        <is>
          <t>Reportées à l'intérieur des délais négociés à la prochaine période d'établissement de rapport</t>
        </is>
      </c>
      <c r="B303" s="1381" t="n"/>
      <c r="C303" s="1381" t="n"/>
      <c r="D303" s="1383" t="n"/>
      <c r="E303" s="681" t="n">
        <v>270</v>
      </c>
      <c r="F303" s="1401" t="n"/>
      <c r="G303" s="357" t="n">
        <v>46427</v>
      </c>
      <c r="H303" s="1401" t="n"/>
      <c r="I303" s="681" t="n">
        <v>13</v>
      </c>
      <c r="J303" s="1401" t="n"/>
      <c r="K303" s="357" t="n">
        <v>763</v>
      </c>
      <c r="L303" s="1401" t="n"/>
      <c r="M303" s="873" t="inlineStr">
        <is>
          <t>Section 7.1 - La somme de "Reportées à l'intérieur des délais négociés à la prochaine période d'établissement de rapport" et "Reportées au-delà des délais négociés à la prochaine période d'établissement de rapport" sous "Autres organisations" doit être égale au "Total" moins "Fermées pendant la période d'établissement de rapport"</t>
        </is>
      </c>
      <c r="V303" s="88" t="n"/>
      <c r="W303" s="88" t="n"/>
      <c r="X303" s="88" t="n"/>
      <c r="Y303" s="88" t="n"/>
      <c r="Z303" s="88" t="n"/>
      <c r="AA303" s="88" t="n"/>
      <c r="AB303" s="88" t="n"/>
      <c r="AC303" s="88" t="n"/>
      <c r="AD303" s="88" t="n"/>
      <c r="AE303" s="88" t="n"/>
      <c r="AF303" s="88" t="n"/>
      <c r="AG303" s="88" t="n"/>
      <c r="AH303" s="26" t="n"/>
      <c r="AI303" s="26" t="n"/>
      <c r="AJ303" s="26" t="n"/>
      <c r="AK303" s="26" t="n"/>
    </row>
    <row r="304" ht="41.25" customHeight="1" thickBot="1">
      <c r="A304" s="1481" t="inlineStr">
        <is>
          <t>Reportées au-delà des délais négociés à la prochaine période d'établissement de rapport</t>
        </is>
      </c>
      <c r="B304" s="1388" t="n"/>
      <c r="C304" s="1388" t="n"/>
      <c r="D304" s="1389" t="n"/>
      <c r="E304" s="680" t="n">
        <v>31</v>
      </c>
      <c r="F304" s="1409" t="n"/>
      <c r="G304" s="533" t="n">
        <v>4100</v>
      </c>
      <c r="H304" s="1409" t="n"/>
      <c r="I304" s="680" t="n">
        <v>0</v>
      </c>
      <c r="J304" s="1409" t="n"/>
      <c r="K304" s="533" t="n">
        <v>0</v>
      </c>
      <c r="L304" s="1409" t="n"/>
      <c r="M304" s="873" t="inlineStr">
        <is>
          <t>Section 7.1 - La somme de "Reportées à l'intérieur des délais négociés à la prochaine période d'établissement de rapport" et "Reportées au-delà des délais négociés à la prochaine période d'établissement de rapport" sous "Nombre de pages à traiter" doit être égale au "Total" moins "Fermées pendant la période d'établissement de rapport"</t>
        </is>
      </c>
      <c r="V304" s="88" t="n"/>
      <c r="W304" s="88" t="n"/>
      <c r="X304" s="88" t="n"/>
      <c r="Y304" s="88" t="n"/>
      <c r="Z304" s="88" t="n"/>
      <c r="AA304" s="88" t="n"/>
      <c r="AB304" s="88" t="n"/>
      <c r="AC304" s="88" t="n"/>
      <c r="AD304" s="88" t="n"/>
      <c r="AE304" s="88" t="n"/>
      <c r="AF304" s="88" t="n"/>
      <c r="AG304" s="88" t="n"/>
      <c r="AH304" s="26" t="n"/>
      <c r="AI304" s="26" t="n"/>
      <c r="AJ304" s="26" t="n"/>
      <c r="AK304" s="26" t="n"/>
    </row>
    <row r="305" ht="15.75" customHeight="1" thickTop="1">
      <c r="M305" s="885" t="n"/>
      <c r="V305" s="88" t="n"/>
      <c r="W305" s="88" t="n"/>
      <c r="X305" s="88" t="n"/>
      <c r="Y305" s="88" t="n"/>
      <c r="Z305" s="88" t="n"/>
      <c r="AA305" s="88" t="n"/>
      <c r="AB305" s="88" t="n"/>
      <c r="AC305" s="88" t="n"/>
      <c r="AD305" s="88" t="n"/>
      <c r="AE305" s="88" t="n"/>
      <c r="AF305" s="88" t="n"/>
      <c r="AG305" s="88" t="n"/>
      <c r="AH305" s="26" t="n"/>
      <c r="AI305" s="26" t="n"/>
      <c r="AJ305" s="26" t="n"/>
      <c r="AK305" s="26" t="n"/>
    </row>
    <row r="306" ht="34.9" customHeight="1">
      <c r="A306" s="837" t="inlineStr">
        <is>
          <t>7.2 Recommandation et délai de traitement pour les demandes de consultation reçues d’autres
institutions du gouvernement du Canada</t>
        </is>
      </c>
      <c r="M306" s="885" t="n"/>
      <c r="V306" s="88" t="n"/>
      <c r="W306" s="88" t="n"/>
      <c r="X306" s="88" t="n"/>
      <c r="Y306" s="88" t="n"/>
      <c r="Z306" s="88" t="n"/>
      <c r="AA306" s="88" t="n"/>
      <c r="AB306" s="88" t="n"/>
      <c r="AC306" s="88" t="n"/>
      <c r="AD306" s="88" t="n"/>
      <c r="AE306" s="88" t="n"/>
      <c r="AF306" s="88" t="n"/>
      <c r="AG306" s="88" t="n"/>
      <c r="AH306" s="26" t="n"/>
      <c r="AI306" s="26" t="n"/>
      <c r="AJ306" s="26" t="n"/>
      <c r="AK306" s="26" t="n"/>
    </row>
    <row r="307" ht="15.75" customHeight="1" thickBot="1">
      <c r="M307" s="88" t="n"/>
      <c r="N307" s="88" t="n"/>
      <c r="O307" s="88" t="n"/>
      <c r="P307" s="88" t="n"/>
      <c r="Q307" s="88" t="n"/>
      <c r="R307" s="88" t="n"/>
      <c r="S307" s="88" t="n"/>
      <c r="T307" s="88" t="n"/>
      <c r="U307" s="88" t="n"/>
      <c r="V307" s="88" t="n"/>
      <c r="W307" s="88" t="n"/>
      <c r="X307" s="88" t="n"/>
      <c r="Y307" s="88" t="n"/>
      <c r="Z307" s="88" t="n"/>
      <c r="AA307" s="88" t="n"/>
      <c r="AB307" s="88" t="n"/>
      <c r="AC307" s="88" t="n"/>
      <c r="AD307" s="88" t="n"/>
      <c r="AE307" s="88" t="n"/>
      <c r="AF307" s="88" t="n"/>
      <c r="AG307" s="88" t="n"/>
      <c r="AH307" s="26" t="n"/>
      <c r="AI307" s="26" t="n"/>
      <c r="AJ307" s="26" t="n"/>
      <c r="AK307" s="26" t="n"/>
    </row>
    <row r="308" ht="14.25" customHeight="1" thickTop="1">
      <c r="A308" s="667" t="inlineStr">
        <is>
          <t>Recommandation</t>
        </is>
      </c>
      <c r="B308" s="1412" t="n"/>
      <c r="C308" s="1412" t="n"/>
      <c r="D308" s="1413" t="n"/>
      <c r="E308" s="676" t="inlineStr">
        <is>
          <t>Nombre de jours requis pour traiter les demandes de consultation</t>
        </is>
      </c>
      <c r="F308" s="1377" t="n"/>
      <c r="G308" s="1377" t="n"/>
      <c r="H308" s="1377" t="n"/>
      <c r="I308" s="1377" t="n"/>
      <c r="J308" s="1377" t="n"/>
      <c r="K308" s="1377" t="n"/>
      <c r="L308" s="1406" t="n"/>
      <c r="M308" s="88" t="n"/>
      <c r="N308" s="88" t="n"/>
      <c r="O308" s="88" t="n"/>
      <c r="P308" s="88" t="n"/>
      <c r="Q308" s="88" t="n"/>
      <c r="R308" s="88" t="n"/>
      <c r="S308" s="88" t="n"/>
      <c r="T308" s="88" t="n"/>
      <c r="U308" s="88" t="n"/>
      <c r="V308" s="88" t="n"/>
      <c r="W308" s="88" t="n"/>
      <c r="X308" s="88" t="n"/>
      <c r="Y308" s="88" t="n"/>
      <c r="Z308" s="88" t="n"/>
      <c r="AA308" s="88" t="n"/>
      <c r="AB308" s="88" t="n"/>
      <c r="AC308" s="88" t="n"/>
      <c r="AD308" s="88" t="n"/>
      <c r="AE308" s="88" t="n"/>
      <c r="AF308" s="88" t="n"/>
      <c r="AG308" s="88" t="n"/>
      <c r="AH308" s="26" t="n"/>
      <c r="AI308" s="26" t="n"/>
      <c r="AJ308" s="26" t="n"/>
      <c r="AK308" s="26" t="n"/>
    </row>
    <row r="309" ht="30" customHeight="1" thickBot="1">
      <c r="A309" s="1397" t="n"/>
      <c r="B309" s="1390" t="n"/>
      <c r="C309" s="1390" t="n"/>
      <c r="D309" s="1391" t="n"/>
      <c r="E309" s="250" t="inlineStr">
        <is>
          <t>0 à 15 jours</t>
        </is>
      </c>
      <c r="F309" s="251" t="inlineStr">
        <is>
          <t>16 à 30 jours</t>
        </is>
      </c>
      <c r="G309" s="251" t="inlineStr">
        <is>
          <t>31 à 60 jours</t>
        </is>
      </c>
      <c r="H309" s="251" t="inlineStr">
        <is>
          <t>61 à 120 jours</t>
        </is>
      </c>
      <c r="I309" s="251" t="inlineStr">
        <is>
          <t>121 à 180 jours</t>
        </is>
      </c>
      <c r="J309" s="251" t="inlineStr">
        <is>
          <t>181 à 365 jours</t>
        </is>
      </c>
      <c r="K309" s="252" t="inlineStr">
        <is>
          <t>Plus de 365 jours</t>
        </is>
      </c>
      <c r="L309" s="253" t="inlineStr">
        <is>
          <t>Total</t>
        </is>
      </c>
      <c r="M309" s="88" t="n"/>
      <c r="N309" s="88" t="n"/>
      <c r="O309" s="88" t="n"/>
      <c r="P309" s="88" t="n"/>
      <c r="Q309" s="88" t="n"/>
      <c r="R309" s="88" t="n"/>
      <c r="S309" s="88" t="n"/>
      <c r="T309" s="88" t="n"/>
      <c r="U309" s="88" t="n"/>
      <c r="V309" s="88" t="n"/>
      <c r="W309" s="88" t="n"/>
      <c r="X309" s="88" t="n"/>
      <c r="Y309" s="88" t="n"/>
      <c r="Z309" s="88" t="n"/>
      <c r="AA309" s="88" t="n"/>
      <c r="AB309" s="88" t="n"/>
      <c r="AC309" s="88" t="n"/>
      <c r="AD309" s="88" t="n"/>
      <c r="AE309" s="88" t="n"/>
      <c r="AF309" s="88" t="n"/>
      <c r="AG309" s="88" t="n"/>
      <c r="AH309" s="26" t="n"/>
      <c r="AI309" s="26" t="n"/>
      <c r="AJ309" s="26" t="n"/>
      <c r="AK309" s="26" t="n"/>
    </row>
    <row r="310" ht="15.75" customHeight="1" thickTop="1">
      <c r="A310" s="1463" t="inlineStr">
        <is>
          <t>Communiquer en entier</t>
        </is>
      </c>
      <c r="B310" s="1377" t="n"/>
      <c r="C310" s="1377" t="n"/>
      <c r="D310" s="1378" t="n"/>
      <c r="E310" s="815" t="n">
        <v>43</v>
      </c>
      <c r="F310" s="420" t="n">
        <v>33</v>
      </c>
      <c r="G310" s="420" t="n">
        <v>25</v>
      </c>
      <c r="H310" s="420" t="n">
        <v>26</v>
      </c>
      <c r="I310" s="420" t="n">
        <v>11</v>
      </c>
      <c r="J310" s="420" t="n">
        <v>13</v>
      </c>
      <c r="K310" s="597" t="n">
        <v>11</v>
      </c>
      <c r="L310" s="277">
        <f>SUM(E310:K310)</f>
        <v/>
      </c>
      <c r="M310" s="88" t="n"/>
      <c r="N310" s="88" t="n"/>
      <c r="O310" s="88" t="n"/>
      <c r="P310" s="88" t="n"/>
      <c r="Q310" s="88" t="n"/>
      <c r="R310" s="88" t="n"/>
      <c r="S310" s="88" t="n"/>
      <c r="T310" s="88" t="n"/>
      <c r="U310" s="88" t="n"/>
      <c r="V310" s="88" t="n"/>
      <c r="W310" s="88" t="n"/>
      <c r="X310" s="88" t="n"/>
      <c r="Y310" s="88" t="n"/>
      <c r="Z310" s="88" t="n"/>
      <c r="AA310" s="88" t="n"/>
      <c r="AB310" s="88" t="n"/>
      <c r="AC310" s="88" t="n"/>
      <c r="AD310" s="88" t="n"/>
      <c r="AE310" s="88" t="n"/>
      <c r="AF310" s="88" t="n"/>
      <c r="AG310" s="88" t="n"/>
      <c r="AH310" s="26" t="n"/>
      <c r="AI310" s="26" t="n"/>
      <c r="AJ310" s="26" t="n"/>
      <c r="AK310" s="26" t="n"/>
    </row>
    <row r="311">
      <c r="A311" s="1464" t="inlineStr">
        <is>
          <t>Communiquer en partie</t>
        </is>
      </c>
      <c r="B311" s="1381" t="n"/>
      <c r="C311" s="1381" t="n"/>
      <c r="D311" s="1383" t="n"/>
      <c r="E311" s="681" t="n">
        <v>162</v>
      </c>
      <c r="F311" s="344" t="n">
        <v>4</v>
      </c>
      <c r="G311" s="344" t="n">
        <v>5</v>
      </c>
      <c r="H311" s="344" t="n">
        <v>13</v>
      </c>
      <c r="I311" s="344" t="n">
        <v>24</v>
      </c>
      <c r="J311" s="344" t="n">
        <v>15</v>
      </c>
      <c r="K311" s="358" t="n">
        <v>13</v>
      </c>
      <c r="L311" s="278">
        <f>SUM(E311:K311)</f>
        <v/>
      </c>
      <c r="M311" s="88" t="n"/>
      <c r="N311" s="88" t="n"/>
      <c r="O311" s="88" t="n"/>
      <c r="P311" s="88" t="n"/>
      <c r="Q311" s="88" t="n"/>
      <c r="R311" s="88" t="n"/>
      <c r="S311" s="88" t="n"/>
      <c r="T311" s="88" t="n"/>
      <c r="U311" s="88" t="n"/>
      <c r="V311" s="88" t="n"/>
      <c r="W311" s="88" t="n"/>
      <c r="X311" s="88" t="n"/>
      <c r="Y311" s="88" t="n"/>
      <c r="Z311" s="88" t="n"/>
      <c r="AA311" s="88" t="n"/>
      <c r="AB311" s="88" t="n"/>
      <c r="AC311" s="88" t="n"/>
      <c r="AD311" s="88" t="n"/>
      <c r="AE311" s="88" t="n"/>
      <c r="AF311" s="88" t="n"/>
      <c r="AG311" s="88" t="n"/>
      <c r="AH311" s="26" t="n"/>
      <c r="AI311" s="26" t="n"/>
      <c r="AJ311" s="26" t="n"/>
      <c r="AK311" s="26" t="n"/>
    </row>
    <row r="312">
      <c r="A312" s="1464" t="inlineStr">
        <is>
          <t>Exempter en entier</t>
        </is>
      </c>
      <c r="B312" s="1381" t="n"/>
      <c r="C312" s="1381" t="n"/>
      <c r="D312" s="1383" t="n"/>
      <c r="E312" s="681" t="n">
        <v>10</v>
      </c>
      <c r="F312" s="344" t="n">
        <v>84</v>
      </c>
      <c r="G312" s="344" t="n">
        <v>0</v>
      </c>
      <c r="H312" s="344" t="n">
        <v>1</v>
      </c>
      <c r="I312" s="344" t="n">
        <v>1</v>
      </c>
      <c r="J312" s="344" t="n">
        <v>0</v>
      </c>
      <c r="K312" s="358" t="n">
        <v>0</v>
      </c>
      <c r="L312" s="278">
        <f>SUM(E312:K312)</f>
        <v/>
      </c>
      <c r="M312" s="88" t="n"/>
      <c r="N312" s="88" t="n"/>
      <c r="O312" s="88" t="n"/>
      <c r="P312" s="88" t="n"/>
      <c r="Q312" s="88" t="n"/>
      <c r="R312" s="88" t="n"/>
      <c r="S312" s="88" t="n"/>
      <c r="T312" s="88" t="n"/>
      <c r="U312" s="88" t="n"/>
      <c r="V312" s="88" t="n"/>
      <c r="W312" s="88" t="n"/>
      <c r="X312" s="88" t="n"/>
      <c r="Y312" s="88" t="n"/>
      <c r="Z312" s="88" t="n"/>
      <c r="AA312" s="88" t="n"/>
      <c r="AB312" s="88" t="n"/>
      <c r="AC312" s="88" t="n"/>
      <c r="AD312" s="88" t="n"/>
      <c r="AE312" s="88" t="n"/>
      <c r="AF312" s="88" t="n"/>
      <c r="AG312" s="88" t="n"/>
      <c r="AH312" s="26" t="n"/>
      <c r="AI312" s="26" t="n"/>
      <c r="AJ312" s="26" t="n"/>
      <c r="AK312" s="26" t="n"/>
    </row>
    <row r="313">
      <c r="A313" s="1464" t="inlineStr">
        <is>
          <t>Exclure en entier</t>
        </is>
      </c>
      <c r="B313" s="1381" t="n"/>
      <c r="C313" s="1381" t="n"/>
      <c r="D313" s="1383" t="n"/>
      <c r="E313" s="681" t="n">
        <v>0</v>
      </c>
      <c r="F313" s="344" t="n">
        <v>1</v>
      </c>
      <c r="G313" s="344" t="n">
        <v>3</v>
      </c>
      <c r="H313" s="344" t="n">
        <v>0</v>
      </c>
      <c r="I313" s="344" t="n">
        <v>0</v>
      </c>
      <c r="J313" s="344" t="n">
        <v>0</v>
      </c>
      <c r="K313" s="358" t="n">
        <v>0</v>
      </c>
      <c r="L313" s="278">
        <f>SUM(E313:K313)</f>
        <v/>
      </c>
      <c r="M313" s="88" t="n"/>
      <c r="N313" s="88" t="n"/>
      <c r="O313" s="88" t="n"/>
      <c r="P313" s="88" t="n"/>
      <c r="Q313" s="88" t="n"/>
      <c r="R313" s="88" t="n"/>
      <c r="S313" s="88" t="n"/>
      <c r="T313" s="88" t="n"/>
      <c r="U313" s="88" t="n"/>
      <c r="V313" s="88" t="n"/>
      <c r="W313" s="88" t="n"/>
      <c r="X313" s="88" t="n"/>
      <c r="Y313" s="88" t="n"/>
      <c r="Z313" s="88" t="n"/>
      <c r="AA313" s="88" t="n"/>
      <c r="AB313" s="88" t="n"/>
      <c r="AC313" s="88" t="n"/>
      <c r="AD313" s="88" t="n"/>
      <c r="AE313" s="88" t="n"/>
      <c r="AF313" s="88" t="n"/>
      <c r="AG313" s="88" t="n"/>
      <c r="AH313" s="26" t="n"/>
      <c r="AI313" s="26" t="n"/>
      <c r="AJ313" s="26" t="n"/>
      <c r="AK313" s="26" t="n"/>
    </row>
    <row r="314">
      <c r="A314" s="1464" t="inlineStr">
        <is>
          <t>Consulter une autre institution</t>
        </is>
      </c>
      <c r="B314" s="1381" t="n"/>
      <c r="C314" s="1381" t="n"/>
      <c r="D314" s="1383" t="n"/>
      <c r="E314" s="681" t="n">
        <v>0</v>
      </c>
      <c r="F314" s="344" t="n">
        <v>0</v>
      </c>
      <c r="G314" s="344" t="n">
        <v>0</v>
      </c>
      <c r="H314" s="344" t="n">
        <v>0</v>
      </c>
      <c r="I314" s="344" t="n">
        <v>0</v>
      </c>
      <c r="J314" s="344" t="n">
        <v>0</v>
      </c>
      <c r="K314" s="358" t="n">
        <v>0</v>
      </c>
      <c r="L314" s="278">
        <f>SUM(E314:K314)</f>
        <v/>
      </c>
      <c r="M314" s="88" t="n"/>
      <c r="N314" s="88" t="n"/>
      <c r="O314" s="88" t="n"/>
      <c r="P314" s="88" t="n"/>
      <c r="Q314" s="88" t="n"/>
      <c r="R314" s="88" t="n"/>
      <c r="S314" s="88" t="n"/>
      <c r="T314" s="88" t="n"/>
      <c r="U314" s="88" t="n"/>
      <c r="V314" s="88" t="n"/>
      <c r="W314" s="88" t="n"/>
      <c r="X314" s="88" t="n"/>
      <c r="Y314" s="88" t="n"/>
      <c r="Z314" s="88" t="n"/>
      <c r="AA314" s="88" t="n"/>
      <c r="AB314" s="88" t="n"/>
      <c r="AC314" s="88" t="n"/>
      <c r="AD314" s="88" t="n"/>
      <c r="AE314" s="88" t="n"/>
      <c r="AF314" s="88" t="n"/>
      <c r="AG314" s="88" t="n"/>
      <c r="AH314" s="26" t="n"/>
      <c r="AI314" s="26" t="n"/>
      <c r="AJ314" s="26" t="n"/>
      <c r="AK314" s="26" t="n"/>
    </row>
    <row r="315" ht="15.75" customHeight="1" thickBot="1">
      <c r="A315" s="1468" t="inlineStr">
        <is>
          <t>Autre</t>
        </is>
      </c>
      <c r="B315" s="1388" t="n"/>
      <c r="C315" s="1388" t="n"/>
      <c r="D315" s="1389" t="n"/>
      <c r="E315" s="680" t="n">
        <v>0</v>
      </c>
      <c r="F315" s="533" t="n">
        <v>0</v>
      </c>
      <c r="G315" s="533" t="n">
        <v>0</v>
      </c>
      <c r="H315" s="533" t="n">
        <v>0</v>
      </c>
      <c r="I315" s="533" t="n">
        <v>0</v>
      </c>
      <c r="J315" s="533" t="n">
        <v>5</v>
      </c>
      <c r="K315" s="534" t="n">
        <v>2</v>
      </c>
      <c r="L315" s="279">
        <f>SUM(E315:K315)</f>
        <v/>
      </c>
      <c r="M315" s="88" t="n"/>
      <c r="N315" s="88" t="n"/>
      <c r="O315" s="88" t="n"/>
      <c r="P315" s="88" t="n"/>
      <c r="Q315" s="88" t="n"/>
      <c r="R315" s="88" t="n"/>
      <c r="S315" s="88" t="n"/>
      <c r="T315" s="88" t="n"/>
      <c r="U315" s="88" t="n"/>
      <c r="V315" s="88" t="n"/>
      <c r="W315" s="88" t="n"/>
      <c r="X315" s="88" t="n"/>
      <c r="Y315" s="88" t="n"/>
      <c r="Z315" s="88" t="n"/>
      <c r="AA315" s="88" t="n"/>
      <c r="AB315" s="88" t="n"/>
      <c r="AC315" s="88" t="n"/>
      <c r="AD315" s="88" t="n"/>
      <c r="AE315" s="88" t="n"/>
      <c r="AF315" s="88" t="n"/>
      <c r="AG315" s="88" t="n"/>
      <c r="AH315" s="26" t="n"/>
      <c r="AI315" s="26" t="n"/>
      <c r="AJ315" s="26" t="n"/>
      <c r="AK315" s="26" t="n"/>
    </row>
    <row r="316" ht="15.75" customHeight="1" thickBot="1" thickTop="1">
      <c r="A316" s="1451" t="inlineStr">
        <is>
          <t>Total</t>
        </is>
      </c>
      <c r="B316" s="1374" t="n"/>
      <c r="C316" s="1374" t="n"/>
      <c r="D316" s="1375" t="n"/>
      <c r="E316" s="543">
        <f>SUM(E310:E315)</f>
        <v/>
      </c>
      <c r="F316" s="336">
        <f>SUM(F310:F315)</f>
        <v/>
      </c>
      <c r="G316" s="336">
        <f>SUM(G310:G315)</f>
        <v/>
      </c>
      <c r="H316" s="336">
        <f>SUM(H310:H315)</f>
        <v/>
      </c>
      <c r="I316" s="336">
        <f>SUM(I310:I315)</f>
        <v/>
      </c>
      <c r="J316" s="336">
        <f>SUM(J310:J315)</f>
        <v/>
      </c>
      <c r="K316" s="337">
        <f>SUM(K310:K315)</f>
        <v/>
      </c>
      <c r="L316" s="276">
        <f>SUM(E316:K316)</f>
        <v/>
      </c>
      <c r="M316" s="873" t="inlineStr">
        <is>
          <t>Section 7.2 - Le "Total" des totaux doit être égal au montant "Fermées pendant la période d'établissement de rapport" sous "Autres institutions du gouvernement du Canada" de la Section 7.1</t>
        </is>
      </c>
      <c r="W316" s="88" t="n"/>
      <c r="X316" s="88" t="n"/>
      <c r="Y316" s="88" t="n"/>
      <c r="Z316" s="88" t="n"/>
      <c r="AA316" s="88" t="n"/>
      <c r="AB316" s="88" t="n"/>
      <c r="AC316" s="88" t="n"/>
      <c r="AD316" s="88" t="n"/>
      <c r="AE316" s="88" t="n"/>
      <c r="AF316" s="88" t="n"/>
      <c r="AG316" s="88" t="n"/>
      <c r="AH316" s="26" t="n"/>
      <c r="AI316" s="26" t="n"/>
      <c r="AJ316" s="26" t="n"/>
      <c r="AK316" s="26" t="n"/>
    </row>
    <row r="317" ht="11.25" customHeight="1" thickTop="1">
      <c r="W317" s="88" t="n"/>
      <c r="X317" s="88" t="n"/>
      <c r="Y317" s="88" t="n"/>
      <c r="Z317" s="88" t="n"/>
      <c r="AA317" s="88" t="n"/>
      <c r="AB317" s="88" t="n"/>
      <c r="AC317" s="88" t="n"/>
      <c r="AD317" s="88" t="n"/>
      <c r="AE317" s="88" t="n"/>
      <c r="AF317" s="88" t="n"/>
      <c r="AG317" s="88" t="n"/>
      <c r="AH317" s="26" t="n"/>
      <c r="AI317" s="26" t="n"/>
      <c r="AJ317" s="26" t="n"/>
      <c r="AK317" s="26" t="n"/>
    </row>
    <row r="318" ht="32.65" customHeight="1">
      <c r="A318" s="837" t="inlineStr">
        <is>
          <t>7.3 Recommandation et délai de traitement pour les demandes de consultation reçues d’autres organisations à l'extérieur du gouvernement du Canada</t>
        </is>
      </c>
      <c r="M318" s="88" t="n"/>
      <c r="N318" s="88" t="n"/>
      <c r="O318" s="88" t="n"/>
      <c r="P318" s="88" t="n"/>
      <c r="Q318" s="88" t="n"/>
      <c r="R318" s="88" t="n"/>
      <c r="S318" s="88" t="n"/>
      <c r="T318" s="88" t="n"/>
      <c r="U318" s="88" t="n"/>
      <c r="V318" s="88" t="n"/>
      <c r="W318" s="88" t="n"/>
      <c r="X318" s="88" t="n"/>
      <c r="Y318" s="88" t="n"/>
      <c r="Z318" s="88" t="n"/>
      <c r="AA318" s="88" t="n"/>
      <c r="AB318" s="88" t="n"/>
      <c r="AC318" s="88" t="n"/>
      <c r="AD318" s="88" t="n"/>
      <c r="AE318" s="88" t="n"/>
      <c r="AF318" s="88" t="n"/>
      <c r="AG318" s="88" t="n"/>
      <c r="AH318" s="26" t="n"/>
      <c r="AI318" s="26" t="n"/>
      <c r="AJ318" s="26" t="n"/>
      <c r="AK318" s="26" t="n"/>
    </row>
    <row r="319" ht="15.75" customHeight="1" thickBot="1">
      <c r="M319" s="88" t="n"/>
      <c r="N319" s="88" t="n"/>
      <c r="O319" s="88" t="n"/>
      <c r="P319" s="88" t="n"/>
      <c r="Q319" s="88" t="n"/>
      <c r="R319" s="88" t="n"/>
      <c r="S319" s="88" t="n"/>
      <c r="T319" s="88" t="n"/>
      <c r="U319" s="88" t="n"/>
      <c r="V319" s="88" t="n"/>
      <c r="W319" s="88" t="n"/>
      <c r="X319" s="88" t="n"/>
      <c r="Y319" s="88" t="n"/>
      <c r="Z319" s="88" t="n"/>
      <c r="AA319" s="88" t="n"/>
      <c r="AB319" s="88" t="n"/>
      <c r="AC319" s="88" t="n"/>
      <c r="AD319" s="88" t="n"/>
      <c r="AE319" s="88" t="n"/>
      <c r="AF319" s="88" t="n"/>
      <c r="AG319" s="88" t="n"/>
      <c r="AH319" s="26" t="n"/>
      <c r="AI319" s="26" t="n"/>
      <c r="AJ319" s="26" t="n"/>
      <c r="AK319" s="26" t="n"/>
    </row>
    <row r="320" ht="14.25" customHeight="1" thickTop="1">
      <c r="A320" s="667" t="inlineStr">
        <is>
          <t>Recommandation</t>
        </is>
      </c>
      <c r="B320" s="1412" t="n"/>
      <c r="C320" s="1412" t="n"/>
      <c r="D320" s="1413" t="n"/>
      <c r="E320" s="676" t="inlineStr">
        <is>
          <t>Nombre de jours requis pour traiter les demandes de consultation</t>
        </is>
      </c>
      <c r="F320" s="1377" t="n"/>
      <c r="G320" s="1377" t="n"/>
      <c r="H320" s="1377" t="n"/>
      <c r="I320" s="1377" t="n"/>
      <c r="J320" s="1377" t="n"/>
      <c r="K320" s="1377" t="n"/>
      <c r="L320" s="1406" t="n"/>
      <c r="M320" s="88" t="n"/>
      <c r="N320" s="88" t="n"/>
      <c r="O320" s="88" t="n"/>
      <c r="P320" s="88" t="n"/>
      <c r="Q320" s="88" t="n"/>
      <c r="R320" s="88" t="n"/>
      <c r="S320" s="88" t="n"/>
      <c r="T320" s="88" t="n"/>
      <c r="U320" s="88" t="n"/>
      <c r="V320" s="88" t="n"/>
      <c r="W320" s="88" t="n"/>
      <c r="X320" s="88" t="n"/>
      <c r="Y320" s="88" t="n"/>
      <c r="Z320" s="88" t="n"/>
      <c r="AA320" s="88" t="n"/>
      <c r="AB320" s="88" t="n"/>
      <c r="AC320" s="88" t="n"/>
      <c r="AD320" s="88" t="n"/>
      <c r="AE320" s="88" t="n"/>
      <c r="AF320" s="88" t="n"/>
      <c r="AG320" s="88" t="n"/>
      <c r="AH320" s="26" t="n"/>
      <c r="AI320" s="26" t="n"/>
      <c r="AJ320" s="26" t="n"/>
      <c r="AK320" s="26" t="n"/>
    </row>
    <row r="321" ht="28.5" customHeight="1" thickBot="1">
      <c r="A321" s="1397" t="n"/>
      <c r="B321" s="1390" t="n"/>
      <c r="C321" s="1390" t="n"/>
      <c r="D321" s="1391" t="n"/>
      <c r="E321" s="70" t="inlineStr">
        <is>
          <t>0 à 15 jours</t>
        </is>
      </c>
      <c r="F321" s="71" t="inlineStr">
        <is>
          <t>16 à 30 jours</t>
        </is>
      </c>
      <c r="G321" s="71" t="inlineStr">
        <is>
          <t>31 à 60 jours</t>
        </is>
      </c>
      <c r="H321" s="71" t="inlineStr">
        <is>
          <t>61 à 120 jours</t>
        </is>
      </c>
      <c r="I321" s="71" t="inlineStr">
        <is>
          <t>121 à 180 jours</t>
        </is>
      </c>
      <c r="J321" s="71" t="inlineStr">
        <is>
          <t>181 à 365 jours</t>
        </is>
      </c>
      <c r="K321" s="72" t="inlineStr">
        <is>
          <t>Plus de 365 jours</t>
        </is>
      </c>
      <c r="L321" s="249" t="inlineStr">
        <is>
          <t>Total</t>
        </is>
      </c>
      <c r="M321" s="88" t="n"/>
      <c r="N321" s="88" t="n"/>
      <c r="O321" s="88" t="n"/>
      <c r="P321" s="88" t="n"/>
      <c r="Q321" s="88" t="n"/>
      <c r="R321" s="88" t="n"/>
      <c r="S321" s="88" t="n"/>
      <c r="T321" s="88" t="n"/>
      <c r="U321" s="88" t="n"/>
      <c r="V321" s="88" t="n"/>
      <c r="W321" s="88" t="n"/>
      <c r="X321" s="88" t="n"/>
      <c r="Y321" s="88" t="n"/>
      <c r="Z321" s="88" t="n"/>
      <c r="AA321" s="88" t="n"/>
      <c r="AB321" s="88" t="n"/>
      <c r="AC321" s="88" t="n"/>
      <c r="AD321" s="88" t="n"/>
      <c r="AE321" s="88" t="n"/>
      <c r="AF321" s="88" t="n"/>
      <c r="AG321" s="88" t="n"/>
      <c r="AH321" s="26" t="n"/>
      <c r="AI321" s="26" t="n"/>
      <c r="AJ321" s="26" t="n"/>
      <c r="AK321" s="26" t="n"/>
    </row>
    <row r="322" ht="15.75" customHeight="1" thickTop="1">
      <c r="A322" s="1463" t="inlineStr">
        <is>
          <t>Communiquer en entier</t>
        </is>
      </c>
      <c r="B322" s="1377" t="n"/>
      <c r="C322" s="1377" t="n"/>
      <c r="D322" s="1378" t="n"/>
      <c r="E322" s="815" t="n">
        <v>1</v>
      </c>
      <c r="F322" s="420" t="n">
        <v>3</v>
      </c>
      <c r="G322" s="420" t="n">
        <v>3</v>
      </c>
      <c r="H322" s="420" t="n">
        <v>0</v>
      </c>
      <c r="I322" s="420" t="n">
        <v>0</v>
      </c>
      <c r="J322" s="420" t="n">
        <v>0</v>
      </c>
      <c r="K322" s="597" t="n">
        <v>0</v>
      </c>
      <c r="L322" s="277">
        <f>SUM(E322:K322)</f>
        <v/>
      </c>
      <c r="M322" s="88" t="n"/>
      <c r="N322" s="88" t="n"/>
      <c r="O322" s="88" t="n"/>
      <c r="P322" s="88" t="n"/>
      <c r="Q322" s="88" t="n"/>
      <c r="R322" s="88" t="n"/>
      <c r="S322" s="88" t="n"/>
      <c r="T322" s="88" t="n"/>
      <c r="U322" s="88" t="n"/>
      <c r="V322" s="88" t="n"/>
      <c r="W322" s="88" t="n"/>
      <c r="X322" s="88" t="n"/>
      <c r="Y322" s="88" t="n"/>
      <c r="Z322" s="88" t="n"/>
      <c r="AA322" s="88" t="n"/>
      <c r="AB322" s="88" t="n"/>
      <c r="AC322" s="88" t="n"/>
      <c r="AD322" s="88" t="n"/>
      <c r="AE322" s="88" t="n"/>
      <c r="AF322" s="88" t="n"/>
      <c r="AG322" s="88" t="n"/>
      <c r="AH322" s="26" t="n"/>
      <c r="AI322" s="26" t="n"/>
      <c r="AJ322" s="26" t="n"/>
      <c r="AK322" s="26" t="n"/>
    </row>
    <row r="323">
      <c r="A323" s="1464" t="inlineStr">
        <is>
          <t>Communiquer en partie</t>
        </is>
      </c>
      <c r="B323" s="1381" t="n"/>
      <c r="C323" s="1381" t="n"/>
      <c r="D323" s="1383" t="n"/>
      <c r="E323" s="681" t="n">
        <v>7</v>
      </c>
      <c r="F323" s="344" t="n">
        <v>0</v>
      </c>
      <c r="G323" s="344" t="n">
        <v>1</v>
      </c>
      <c r="H323" s="344" t="n">
        <v>0</v>
      </c>
      <c r="I323" s="344" t="n">
        <v>0</v>
      </c>
      <c r="J323" s="344" t="n">
        <v>1</v>
      </c>
      <c r="K323" s="358" t="n">
        <v>0</v>
      </c>
      <c r="L323" s="278">
        <f>SUM(E323:K323)</f>
        <v/>
      </c>
      <c r="M323" s="88" t="n"/>
      <c r="N323" s="88" t="n"/>
      <c r="O323" s="88" t="n"/>
      <c r="P323" s="88" t="n"/>
      <c r="Q323" s="88" t="n"/>
      <c r="R323" s="88" t="n"/>
      <c r="S323" s="88" t="n"/>
      <c r="T323" s="88" t="n"/>
      <c r="U323" s="88" t="n"/>
      <c r="V323" s="88" t="n"/>
      <c r="W323" s="88" t="n"/>
      <c r="X323" s="88" t="n"/>
      <c r="Y323" s="88" t="n"/>
      <c r="Z323" s="88" t="n"/>
      <c r="AA323" s="88" t="n"/>
      <c r="AB323" s="88" t="n"/>
      <c r="AC323" s="88" t="n"/>
      <c r="AD323" s="88" t="n"/>
      <c r="AE323" s="88" t="n"/>
      <c r="AF323" s="88" t="n"/>
      <c r="AG323" s="88" t="n"/>
      <c r="AH323" s="26" t="n"/>
      <c r="AI323" s="26" t="n"/>
      <c r="AJ323" s="26" t="n"/>
      <c r="AK323" s="26" t="n"/>
    </row>
    <row r="324">
      <c r="A324" s="1464" t="inlineStr">
        <is>
          <t>Exempter en entier</t>
        </is>
      </c>
      <c r="B324" s="1381" t="n"/>
      <c r="C324" s="1381" t="n"/>
      <c r="D324" s="1383" t="n"/>
      <c r="E324" s="681" t="n">
        <v>0</v>
      </c>
      <c r="F324" s="344" t="n">
        <v>2</v>
      </c>
      <c r="G324" s="344" t="n">
        <v>0</v>
      </c>
      <c r="H324" s="344" t="n">
        <v>1</v>
      </c>
      <c r="I324" s="344" t="n">
        <v>0</v>
      </c>
      <c r="J324" s="344" t="n">
        <v>0</v>
      </c>
      <c r="K324" s="358" t="n">
        <v>0</v>
      </c>
      <c r="L324" s="278">
        <f>SUM(E324:K324)</f>
        <v/>
      </c>
      <c r="M324" s="88" t="n"/>
      <c r="N324" s="88" t="n"/>
      <c r="O324" s="88" t="n"/>
      <c r="P324" s="88" t="n"/>
      <c r="Q324" s="88" t="n"/>
      <c r="R324" s="88" t="n"/>
      <c r="S324" s="88" t="n"/>
      <c r="T324" s="88" t="n"/>
      <c r="U324" s="88" t="n"/>
      <c r="V324" s="88" t="n"/>
      <c r="W324" s="88" t="n"/>
      <c r="X324" s="88" t="n"/>
      <c r="Y324" s="88" t="n"/>
      <c r="Z324" s="88" t="n"/>
      <c r="AA324" s="88" t="n"/>
      <c r="AB324" s="88" t="n"/>
      <c r="AC324" s="88" t="n"/>
      <c r="AD324" s="88" t="n"/>
      <c r="AE324" s="88" t="n"/>
      <c r="AF324" s="88" t="n"/>
      <c r="AG324" s="88" t="n"/>
      <c r="AH324" s="26" t="n"/>
      <c r="AI324" s="26" t="n"/>
      <c r="AJ324" s="26" t="n"/>
      <c r="AK324" s="26" t="n"/>
    </row>
    <row r="325">
      <c r="A325" s="1464" t="inlineStr">
        <is>
          <t>Exclure en entier</t>
        </is>
      </c>
      <c r="B325" s="1381" t="n"/>
      <c r="C325" s="1381" t="n"/>
      <c r="D325" s="1383" t="n"/>
      <c r="E325" s="681" t="n">
        <v>0</v>
      </c>
      <c r="F325" s="344" t="n">
        <v>0</v>
      </c>
      <c r="G325" s="344" t="n">
        <v>1</v>
      </c>
      <c r="H325" s="344" t="n">
        <v>0</v>
      </c>
      <c r="I325" s="344" t="n">
        <v>0</v>
      </c>
      <c r="J325" s="344" t="n">
        <v>0</v>
      </c>
      <c r="K325" s="358" t="n">
        <v>0</v>
      </c>
      <c r="L325" s="278">
        <f>SUM(E325:K325)</f>
        <v/>
      </c>
      <c r="M325" s="88" t="n"/>
      <c r="N325" s="88" t="n"/>
      <c r="O325" s="88" t="n"/>
      <c r="P325" s="88" t="n"/>
      <c r="Q325" s="88" t="n"/>
      <c r="R325" s="88" t="n"/>
      <c r="S325" s="88" t="n"/>
      <c r="T325" s="88" t="n"/>
      <c r="U325" s="88" t="n"/>
      <c r="V325" s="88" t="n"/>
      <c r="W325" s="88" t="n"/>
      <c r="X325" s="88" t="n"/>
      <c r="Y325" s="88" t="n"/>
      <c r="Z325" s="88" t="n"/>
      <c r="AA325" s="88" t="n"/>
      <c r="AB325" s="88" t="n"/>
      <c r="AC325" s="88" t="n"/>
      <c r="AD325" s="88" t="n"/>
      <c r="AE325" s="88" t="n"/>
      <c r="AF325" s="88" t="n"/>
      <c r="AG325" s="88" t="n"/>
      <c r="AH325" s="26" t="n"/>
      <c r="AI325" s="26" t="n"/>
      <c r="AJ325" s="26" t="n"/>
      <c r="AK325" s="26" t="n"/>
    </row>
    <row r="326">
      <c r="A326" s="1464" t="inlineStr">
        <is>
          <t>Consulter une autre institution</t>
        </is>
      </c>
      <c r="B326" s="1381" t="n"/>
      <c r="C326" s="1381" t="n"/>
      <c r="D326" s="1383" t="n"/>
      <c r="E326" s="681" t="n">
        <v>0</v>
      </c>
      <c r="F326" s="344" t="n">
        <v>0</v>
      </c>
      <c r="G326" s="344" t="n">
        <v>0</v>
      </c>
      <c r="H326" s="344" t="n">
        <v>0</v>
      </c>
      <c r="I326" s="344" t="n">
        <v>0</v>
      </c>
      <c r="J326" s="344" t="n">
        <v>0</v>
      </c>
      <c r="K326" s="358" t="n">
        <v>0</v>
      </c>
      <c r="L326" s="278">
        <f>SUM(E326:K326)</f>
        <v/>
      </c>
      <c r="M326" s="88" t="n"/>
      <c r="N326" s="88" t="n"/>
      <c r="O326" s="88" t="n"/>
      <c r="P326" s="88" t="n"/>
      <c r="Q326" s="88" t="n"/>
      <c r="R326" s="88" t="n"/>
      <c r="S326" s="88" t="n"/>
      <c r="T326" s="88" t="n"/>
      <c r="U326" s="88" t="n"/>
      <c r="V326" s="88" t="n"/>
      <c r="W326" s="88" t="n"/>
      <c r="X326" s="88" t="n"/>
      <c r="Y326" s="88" t="n"/>
      <c r="Z326" s="88" t="n"/>
      <c r="AA326" s="88" t="n"/>
      <c r="AB326" s="88" t="n"/>
      <c r="AC326" s="88" t="n"/>
      <c r="AD326" s="88" t="n"/>
      <c r="AE326" s="88" t="n"/>
      <c r="AF326" s="88" t="n"/>
      <c r="AG326" s="88" t="n"/>
      <c r="AH326" s="26" t="n"/>
      <c r="AI326" s="26" t="n"/>
      <c r="AJ326" s="26" t="n"/>
      <c r="AK326" s="26" t="n"/>
    </row>
    <row r="327" ht="15.75" customHeight="1" thickBot="1">
      <c r="A327" s="1468" t="inlineStr">
        <is>
          <t>Autre</t>
        </is>
      </c>
      <c r="B327" s="1388" t="n"/>
      <c r="C327" s="1388" t="n"/>
      <c r="D327" s="1389" t="n"/>
      <c r="E327" s="680" t="n">
        <v>0</v>
      </c>
      <c r="F327" s="533" t="n">
        <v>0</v>
      </c>
      <c r="G327" s="533" t="n">
        <v>0</v>
      </c>
      <c r="H327" s="533" t="n">
        <v>0</v>
      </c>
      <c r="I327" s="533" t="n">
        <v>0</v>
      </c>
      <c r="J327" s="533" t="n">
        <v>0</v>
      </c>
      <c r="K327" s="534" t="n">
        <v>0</v>
      </c>
      <c r="L327" s="279">
        <f>SUM(E327:K327)</f>
        <v/>
      </c>
      <c r="M327" s="88" t="n"/>
      <c r="N327" s="88" t="n"/>
      <c r="O327" s="88" t="n"/>
      <c r="P327" s="88" t="n"/>
      <c r="Q327" s="88" t="n"/>
      <c r="R327" s="88" t="n"/>
      <c r="S327" s="88" t="n"/>
      <c r="T327" s="88" t="n"/>
      <c r="U327" s="88" t="n"/>
      <c r="V327" s="88" t="n"/>
      <c r="W327" s="88" t="n"/>
      <c r="X327" s="88" t="n"/>
      <c r="Y327" s="88" t="n"/>
      <c r="Z327" s="88" t="n"/>
      <c r="AA327" s="88" t="n"/>
      <c r="AB327" s="88" t="n"/>
      <c r="AC327" s="88" t="n"/>
      <c r="AD327" s="88" t="n"/>
      <c r="AE327" s="88" t="n"/>
      <c r="AF327" s="88" t="n"/>
      <c r="AG327" s="88" t="n"/>
      <c r="AH327" s="26" t="n"/>
      <c r="AI327" s="26" t="n"/>
      <c r="AJ327" s="26" t="n"/>
      <c r="AK327" s="26" t="n"/>
    </row>
    <row r="328" ht="16.5" customHeight="1" thickBot="1" thickTop="1">
      <c r="A328" s="539" t="inlineStr">
        <is>
          <t>Total</t>
        </is>
      </c>
      <c r="B328" s="1374" t="n"/>
      <c r="C328" s="1374" t="n"/>
      <c r="D328" s="1374" t="n"/>
      <c r="E328" s="543">
        <f>SUM(E322:E327)</f>
        <v/>
      </c>
      <c r="F328" s="336">
        <f>SUM(F322:F327)</f>
        <v/>
      </c>
      <c r="G328" s="336">
        <f>SUM(G322:G327)</f>
        <v/>
      </c>
      <c r="H328" s="336">
        <f>SUM(H322:H327)</f>
        <v/>
      </c>
      <c r="I328" s="336">
        <f>SUM(I322:I327)</f>
        <v/>
      </c>
      <c r="J328" s="336">
        <f>SUM(J322:J327)</f>
        <v/>
      </c>
      <c r="K328" s="337">
        <f>SUM(K322:K327)</f>
        <v/>
      </c>
      <c r="L328" s="276">
        <f>SUM(E328:K328)</f>
        <v/>
      </c>
      <c r="M328" s="884" t="inlineStr">
        <is>
          <t>Section 7.3 - Le "Total" des totaux doit être égal au montant "Fermées pendant la période d'établissement de rapport" sous "Autres organisations" de la Section 7.1</t>
        </is>
      </c>
      <c r="V328" s="88" t="n"/>
      <c r="W328" s="88" t="n"/>
      <c r="X328" s="88" t="n"/>
      <c r="Y328" s="88" t="n"/>
      <c r="Z328" s="88" t="n"/>
      <c r="AA328" s="88" t="n"/>
      <c r="AB328" s="88" t="n"/>
      <c r="AC328" s="88" t="n"/>
      <c r="AD328" s="88" t="n"/>
      <c r="AE328" s="88" t="n"/>
      <c r="AF328" s="88" t="n"/>
      <c r="AG328" s="88" t="n"/>
      <c r="AH328" s="26" t="n"/>
      <c r="AI328" s="26" t="n"/>
      <c r="AJ328" s="26" t="n"/>
      <c r="AK328" s="26" t="n"/>
    </row>
    <row r="329" ht="21" customHeight="1" thickTop="1">
      <c r="A329" s="51" t="n"/>
      <c r="B329" s="51" t="n"/>
      <c r="C329" s="51" t="n"/>
      <c r="D329" s="51" t="n"/>
      <c r="E329" s="451" t="n"/>
      <c r="F329" s="451" t="n"/>
      <c r="G329" s="451" t="n"/>
      <c r="H329" s="451" t="n"/>
      <c r="I329" s="451" t="n"/>
      <c r="J329" s="451" t="n"/>
      <c r="K329" s="451" t="n"/>
      <c r="L329" s="451" t="n"/>
      <c r="V329" s="88" t="n"/>
      <c r="W329" s="88" t="n"/>
      <c r="X329" s="88" t="n"/>
      <c r="Y329" s="88" t="n"/>
      <c r="Z329" s="88" t="n"/>
      <c r="AA329" s="88" t="n"/>
      <c r="AB329" s="88" t="n"/>
      <c r="AC329" s="88" t="n"/>
      <c r="AD329" s="88" t="n"/>
      <c r="AE329" s="88" t="n"/>
      <c r="AF329" s="88" t="n"/>
      <c r="AG329" s="88" t="n"/>
      <c r="AH329" s="26" t="n"/>
      <c r="AI329" s="26" t="n"/>
      <c r="AJ329" s="26" t="n"/>
      <c r="AK329" s="26" t="n"/>
    </row>
    <row r="330" ht="35.25" customHeight="1">
      <c r="A330" s="838" t="inlineStr">
        <is>
          <t>Section 8 – Délais de traitement des demandes de consultation sur les renseignements confidentiels du Cabinet</t>
        </is>
      </c>
      <c r="M330" s="88" t="n"/>
      <c r="N330" s="88" t="n"/>
      <c r="O330" s="88" t="n"/>
      <c r="P330" s="88" t="n"/>
      <c r="Q330" s="88" t="n"/>
      <c r="R330" s="88" t="n"/>
      <c r="S330" s="88" t="n"/>
      <c r="T330" s="88" t="n"/>
      <c r="U330" s="88" t="n"/>
      <c r="V330" s="88" t="n"/>
      <c r="W330" s="88" t="n"/>
      <c r="X330" s="88" t="n"/>
      <c r="Y330" s="88" t="n"/>
      <c r="Z330" s="88" t="n"/>
      <c r="AA330" s="88" t="n"/>
      <c r="AB330" s="88" t="n"/>
      <c r="AC330" s="88" t="n"/>
      <c r="AD330" s="88" t="n"/>
      <c r="AE330" s="88" t="n"/>
      <c r="AF330" s="88" t="n"/>
      <c r="AG330" s="88" t="n"/>
      <c r="AH330" s="26" t="n"/>
      <c r="AI330" s="26" t="n"/>
      <c r="AJ330" s="26" t="n"/>
      <c r="AK330" s="26" t="n"/>
    </row>
    <row r="331">
      <c r="M331" s="88" t="n"/>
      <c r="N331" s="88" t="n"/>
      <c r="O331" s="88" t="n"/>
      <c r="P331" s="88" t="n"/>
      <c r="Q331" s="88" t="n"/>
      <c r="R331" s="88" t="n"/>
      <c r="S331" s="88" t="n"/>
      <c r="T331" s="88" t="n"/>
      <c r="U331" s="88" t="n"/>
      <c r="V331" s="88" t="n"/>
      <c r="W331" s="88" t="n"/>
      <c r="X331" s="88" t="n"/>
      <c r="Y331" s="88" t="n"/>
      <c r="Z331" s="88" t="n"/>
      <c r="AA331" s="88" t="n"/>
      <c r="AB331" s="88" t="n"/>
      <c r="AC331" s="88" t="n"/>
      <c r="AD331" s="88" t="n"/>
      <c r="AE331" s="88" t="n"/>
      <c r="AF331" s="88" t="n"/>
      <c r="AG331" s="88" t="n"/>
      <c r="AH331" s="26" t="n"/>
      <c r="AI331" s="26" t="n"/>
      <c r="AJ331" s="26" t="n"/>
      <c r="AK331" s="26" t="n"/>
    </row>
    <row r="332">
      <c r="A332" s="326" t="inlineStr">
        <is>
          <t>8.1 Demandes auprès des services juridiques</t>
        </is>
      </c>
      <c r="M332" s="194">
        <f>IFERROR(IF(D343/C343&gt;99,"Section 8.1 - Le nombre total de pages ""Pages communiquées"" divisé par le ""Nombre de demandes"" dans ""Moins de 100 pages traitées"" doit être égal ou inférieur à 99.",""),"")</f>
        <v/>
      </c>
      <c r="N332" s="88" t="n"/>
      <c r="O332" s="88" t="n"/>
      <c r="P332" s="88" t="n"/>
      <c r="Q332" s="88" t="n"/>
      <c r="R332" s="88" t="n"/>
      <c r="S332" s="88" t="n"/>
      <c r="T332" s="88" t="n"/>
      <c r="U332" s="88" t="n"/>
      <c r="V332" s="88" t="n"/>
      <c r="W332" s="88" t="n"/>
      <c r="X332" s="88" t="n"/>
      <c r="Y332" s="88" t="n"/>
      <c r="Z332" s="88" t="n"/>
      <c r="AA332" s="88" t="n"/>
      <c r="AB332" s="88" t="n"/>
      <c r="AC332" s="88" t="n"/>
      <c r="AD332" s="88" t="n"/>
      <c r="AE332" s="88" t="n"/>
      <c r="AF332" s="88" t="n"/>
      <c r="AG332" s="88" t="n"/>
      <c r="AH332" s="26" t="n"/>
      <c r="AI332" s="26" t="n"/>
      <c r="AJ332" s="26" t="n"/>
      <c r="AK332" s="26" t="n"/>
    </row>
    <row r="333" ht="15.75" customHeight="1" thickBot="1">
      <c r="M333" s="194">
        <f>IFERROR(IF(F343/E343&gt;500,"Section 8.1 - Le nombre total de pages ""Pages communiquées"" divisé par le ""Nombre de demandes"" dans ""De 100 à 500 pages traitées"" doit être égal ou inférieur à 500.",""),"")</f>
        <v/>
      </c>
      <c r="N333" s="88" t="n"/>
      <c r="O333" s="88" t="n"/>
      <c r="P333" s="88" t="n"/>
      <c r="Q333" s="88" t="n"/>
      <c r="R333" s="88" t="n"/>
      <c r="S333" s="88" t="n"/>
      <c r="T333" s="88" t="n"/>
      <c r="U333" s="88" t="n"/>
      <c r="V333" s="88" t="n"/>
      <c r="W333" s="88" t="n"/>
      <c r="X333" s="88" t="n"/>
      <c r="Y333" s="88" t="n"/>
      <c r="Z333" s="88" t="n"/>
      <c r="AA333" s="88" t="n"/>
      <c r="AB333" s="88" t="n"/>
      <c r="AC333" s="88" t="n"/>
      <c r="AD333" s="88" t="n"/>
      <c r="AE333" s="88" t="n"/>
      <c r="AF333" s="88" t="n"/>
      <c r="AG333" s="88" t="n"/>
      <c r="AH333" s="26" t="n"/>
      <c r="AI333" s="26" t="n"/>
      <c r="AJ333" s="26" t="n"/>
      <c r="AK333" s="26" t="n"/>
    </row>
    <row r="334" ht="27" customHeight="1" thickTop="1">
      <c r="A334" s="1461" t="inlineStr">
        <is>
          <t>Nombre de jours</t>
        </is>
      </c>
      <c r="B334" s="1413" t="n"/>
      <c r="C334" s="1484" t="inlineStr">
        <is>
          <t>Moins de 100 pages traitées</t>
        </is>
      </c>
      <c r="D334" s="1378" t="n"/>
      <c r="E334" s="1484" t="inlineStr">
        <is>
          <t>De 100 à 500 pages traitées</t>
        </is>
      </c>
      <c r="F334" s="1378" t="n"/>
      <c r="G334" s="670" t="inlineStr">
        <is>
          <t>De 501 à 1 000 pages traitées</t>
        </is>
      </c>
      <c r="H334" s="1406" t="n"/>
      <c r="I334" s="803" t="inlineStr">
        <is>
          <t>De 1 001 à 5 000 pages traitées</t>
        </is>
      </c>
      <c r="J334" s="1406" t="n"/>
      <c r="K334" s="670" t="inlineStr">
        <is>
          <t>Plus de 5 000 pages traitées</t>
        </is>
      </c>
      <c r="L334" s="1406" t="n"/>
      <c r="M334" s="194">
        <f>IFERROR(IF(H343/G343&gt;1000,"Section 8.1 - Le nombre total de pages ""Pages communiquées"" divisé par le ""Nombre de demandes"" dans ""De 501 à 1 000 pages traitées"" doit être égal ou inférieur à 1 000.",""),"")</f>
        <v/>
      </c>
      <c r="N334" s="88" t="n"/>
      <c r="O334" s="88" t="n"/>
      <c r="P334" s="88" t="n"/>
      <c r="Q334" s="88" t="n"/>
      <c r="R334" s="88" t="n"/>
      <c r="S334" s="88" t="n"/>
      <c r="T334" s="88" t="n"/>
      <c r="U334" s="88" t="n"/>
      <c r="V334" s="88" t="n"/>
      <c r="W334" s="88" t="n"/>
      <c r="X334" s="88" t="n"/>
      <c r="Y334" s="88" t="n"/>
      <c r="Z334" s="88" t="n"/>
      <c r="AA334" s="88" t="n"/>
      <c r="AB334" s="88" t="n"/>
      <c r="AC334" s="88" t="n"/>
      <c r="AD334" s="88" t="n"/>
      <c r="AE334" s="88" t="n"/>
      <c r="AF334" s="88" t="n"/>
      <c r="AG334" s="88" t="n"/>
      <c r="AH334" s="26" t="n"/>
      <c r="AI334" s="26" t="n"/>
      <c r="AJ334" s="26" t="n"/>
      <c r="AK334" s="26" t="n"/>
    </row>
    <row r="335" ht="37.5" customHeight="1" thickBot="1">
      <c r="A335" s="1397" t="n"/>
      <c r="B335" s="1391" t="n"/>
      <c r="C335" s="73" t="inlineStr">
        <is>
          <t>Nombre de demandes</t>
        </is>
      </c>
      <c r="D335" s="74" t="inlineStr">
        <is>
          <t>Pages communiquées</t>
        </is>
      </c>
      <c r="E335" s="73" t="inlineStr">
        <is>
          <t>Nombre de demandes</t>
        </is>
      </c>
      <c r="F335" s="75" t="inlineStr">
        <is>
          <t>Pages communiquées</t>
        </is>
      </c>
      <c r="G335" s="73" t="inlineStr">
        <is>
          <t>Nombre de demandes</t>
        </is>
      </c>
      <c r="H335" s="74" t="inlineStr">
        <is>
          <t>Pages communiquées</t>
        </is>
      </c>
      <c r="I335" s="73" t="inlineStr">
        <is>
          <t>Nombre de demandes</t>
        </is>
      </c>
      <c r="J335" s="75" t="inlineStr">
        <is>
          <t>Pages communiquées</t>
        </is>
      </c>
      <c r="K335" s="73" t="inlineStr">
        <is>
          <t>Nombre de demandes</t>
        </is>
      </c>
      <c r="L335" s="74" t="inlineStr">
        <is>
          <t>Pages communiquées</t>
        </is>
      </c>
      <c r="M335" s="194">
        <f>IFERROR(IF(J343/I343&gt;5000,"Section 8.1 - Le nombre total de pages ""Pages communiquées"" divisé par le ""Nombre de demandes"" dans ""De 1 001 à 5 000 pages traitées"" doit être égal ou inférieur à 5 000.",""),"")</f>
        <v/>
      </c>
      <c r="N335" s="88" t="n"/>
      <c r="O335" s="88" t="n"/>
      <c r="P335" s="88" t="n"/>
      <c r="Q335" s="88" t="n"/>
      <c r="R335" s="88" t="n"/>
      <c r="S335" s="88" t="n"/>
      <c r="T335" s="88" t="n"/>
      <c r="U335" s="88" t="n"/>
      <c r="V335" s="88" t="n"/>
      <c r="W335" s="88" t="n"/>
      <c r="X335" s="88" t="n"/>
      <c r="Y335" s="88" t="n"/>
      <c r="Z335" s="88" t="n"/>
      <c r="AA335" s="88" t="n"/>
      <c r="AB335" s="88" t="n"/>
      <c r="AC335" s="88" t="n"/>
      <c r="AD335" s="88" t="n"/>
      <c r="AE335" s="88" t="n"/>
      <c r="AF335" s="88" t="n"/>
      <c r="AG335" s="88" t="n"/>
      <c r="AH335" s="26" t="n"/>
      <c r="AI335" s="26" t="n"/>
      <c r="AJ335" s="26" t="n"/>
      <c r="AK335" s="26" t="n"/>
    </row>
    <row r="336" ht="15.75" customHeight="1" thickTop="1">
      <c r="A336" s="593" t="inlineStr">
        <is>
          <t>1 à 15</t>
        </is>
      </c>
      <c r="B336" s="1398" t="n"/>
      <c r="C336" s="753" t="n">
        <v>21</v>
      </c>
      <c r="D336" s="877" t="n">
        <v>497</v>
      </c>
      <c r="E336" s="901" t="n">
        <v>2</v>
      </c>
      <c r="F336" s="902" t="n">
        <v>393</v>
      </c>
      <c r="G336" s="753" t="n">
        <v>0</v>
      </c>
      <c r="H336" s="877" t="n">
        <v>0</v>
      </c>
      <c r="I336" s="901" t="n">
        <v>0</v>
      </c>
      <c r="J336" s="902" t="n">
        <v>0</v>
      </c>
      <c r="K336" s="753" t="n">
        <v>0</v>
      </c>
      <c r="L336" s="877" t="n">
        <v>0</v>
      </c>
      <c r="M336" s="88" t="n"/>
      <c r="N336" s="88" t="n"/>
      <c r="O336" s="88" t="n"/>
      <c r="P336" s="88" t="n"/>
      <c r="Q336" s="88" t="n"/>
      <c r="R336" s="88" t="n"/>
      <c r="S336" s="88" t="n"/>
      <c r="T336" s="88" t="n"/>
      <c r="U336" s="88" t="n"/>
      <c r="V336" s="88" t="n"/>
      <c r="W336" s="88" t="n"/>
      <c r="X336" s="88" t="n"/>
      <c r="Y336" s="88" t="n"/>
      <c r="Z336" s="88" t="n"/>
      <c r="AA336" s="88" t="n"/>
      <c r="AB336" s="88" t="n"/>
      <c r="AC336" s="88" t="n"/>
      <c r="AD336" s="88" t="n"/>
      <c r="AE336" s="88" t="n"/>
      <c r="AF336" s="88" t="n"/>
      <c r="AG336" s="88" t="n"/>
      <c r="AH336" s="26" t="n"/>
      <c r="AI336" s="26" t="n"/>
      <c r="AJ336" s="26" t="n"/>
      <c r="AK336" s="26" t="n"/>
    </row>
    <row r="337" ht="14.25" customHeight="1">
      <c r="A337" s="1485" t="inlineStr">
        <is>
          <t>16 à 30</t>
        </is>
      </c>
      <c r="B337" s="1383" t="n"/>
      <c r="C337" s="618" t="n">
        <v>11</v>
      </c>
      <c r="D337" s="387" t="n">
        <v>141</v>
      </c>
      <c r="E337" s="400" t="n">
        <v>0</v>
      </c>
      <c r="F337" s="401" t="n">
        <v>0</v>
      </c>
      <c r="G337" s="618" t="n">
        <v>0</v>
      </c>
      <c r="H337" s="387" t="n">
        <v>0</v>
      </c>
      <c r="I337" s="400" t="n">
        <v>0</v>
      </c>
      <c r="J337" s="401" t="n">
        <v>0</v>
      </c>
      <c r="K337" s="618" t="n">
        <v>0</v>
      </c>
      <c r="L337" s="387" t="n">
        <v>0</v>
      </c>
      <c r="M337" s="88" t="n"/>
      <c r="N337" s="88" t="n"/>
      <c r="O337" s="88" t="n"/>
      <c r="P337" s="88" t="n"/>
      <c r="Q337" s="88" t="n"/>
      <c r="R337" s="88" t="n"/>
      <c r="S337" s="88" t="n"/>
      <c r="T337" s="88" t="n"/>
      <c r="U337" s="88" t="n"/>
      <c r="V337" s="88" t="n"/>
      <c r="W337" s="88" t="n"/>
      <c r="X337" s="88" t="n"/>
      <c r="Y337" s="88" t="n"/>
      <c r="Z337" s="88" t="n"/>
      <c r="AA337" s="88" t="n"/>
      <c r="AB337" s="88" t="n"/>
      <c r="AC337" s="88" t="n"/>
      <c r="AD337" s="88" t="n"/>
      <c r="AE337" s="88" t="n"/>
      <c r="AF337" s="88" t="n"/>
      <c r="AG337" s="88" t="n"/>
      <c r="AH337" s="26" t="n"/>
      <c r="AI337" s="26" t="n"/>
      <c r="AJ337" s="26" t="n"/>
      <c r="AK337" s="26" t="n"/>
    </row>
    <row r="338">
      <c r="A338" s="576" t="inlineStr">
        <is>
          <t>31 à 60</t>
        </is>
      </c>
      <c r="B338" s="1384" t="n"/>
      <c r="C338" s="618" t="n">
        <v>6</v>
      </c>
      <c r="D338" s="387" t="n">
        <v>127</v>
      </c>
      <c r="E338" s="400" t="n">
        <v>0</v>
      </c>
      <c r="F338" s="401" t="n">
        <v>0</v>
      </c>
      <c r="G338" s="618" t="n">
        <v>0</v>
      </c>
      <c r="H338" s="387" t="n">
        <v>0</v>
      </c>
      <c r="I338" s="400" t="n">
        <v>0</v>
      </c>
      <c r="J338" s="401" t="n">
        <v>0</v>
      </c>
      <c r="K338" s="618" t="n">
        <v>0</v>
      </c>
      <c r="L338" s="387" t="n">
        <v>0</v>
      </c>
      <c r="M338" s="88" t="n"/>
      <c r="N338" s="88" t="n"/>
      <c r="O338" s="88" t="n"/>
      <c r="P338" s="88" t="n"/>
      <c r="Q338" s="88" t="n"/>
      <c r="R338" s="88" t="n"/>
      <c r="S338" s="88" t="n"/>
      <c r="T338" s="88" t="n"/>
      <c r="U338" s="88" t="n"/>
      <c r="V338" s="88" t="n"/>
      <c r="W338" s="88" t="n"/>
      <c r="X338" s="88" t="n"/>
      <c r="Y338" s="88" t="n"/>
      <c r="Z338" s="88" t="n"/>
      <c r="AA338" s="88" t="n"/>
      <c r="AB338" s="88" t="n"/>
      <c r="AC338" s="88" t="n"/>
      <c r="AD338" s="88" t="n"/>
      <c r="AE338" s="88" t="n"/>
      <c r="AF338" s="88" t="n"/>
      <c r="AG338" s="88" t="n"/>
      <c r="AH338" s="26" t="n"/>
      <c r="AI338" s="26" t="n"/>
      <c r="AJ338" s="26" t="n"/>
      <c r="AK338" s="26" t="n"/>
    </row>
    <row r="339">
      <c r="A339" s="576" t="inlineStr">
        <is>
          <t>61 à 120</t>
        </is>
      </c>
      <c r="B339" s="1384" t="n"/>
      <c r="C339" s="618" t="n">
        <v>2</v>
      </c>
      <c r="D339" s="387" t="n">
        <v>22</v>
      </c>
      <c r="E339" s="400" t="n">
        <v>1</v>
      </c>
      <c r="F339" s="401" t="n">
        <v>394</v>
      </c>
      <c r="G339" s="618" t="n">
        <v>0</v>
      </c>
      <c r="H339" s="387" t="n">
        <v>0</v>
      </c>
      <c r="I339" s="400" t="n">
        <v>0</v>
      </c>
      <c r="J339" s="401" t="n">
        <v>0</v>
      </c>
      <c r="K339" s="618" t="n">
        <v>0</v>
      </c>
      <c r="L339" s="387" t="n">
        <v>0</v>
      </c>
      <c r="M339" s="88" t="n"/>
      <c r="N339" s="88" t="n"/>
      <c r="O339" s="88" t="n"/>
      <c r="P339" s="88" t="n"/>
      <c r="Q339" s="88" t="n"/>
      <c r="R339" s="88" t="n"/>
      <c r="S339" s="88" t="n"/>
      <c r="T339" s="88" t="n"/>
      <c r="U339" s="88" t="n"/>
      <c r="V339" s="88" t="n"/>
      <c r="W339" s="88" t="n"/>
      <c r="X339" s="88" t="n"/>
      <c r="Y339" s="88" t="n"/>
      <c r="Z339" s="88" t="n"/>
      <c r="AA339" s="88" t="n"/>
      <c r="AB339" s="88" t="n"/>
      <c r="AC339" s="88" t="n"/>
      <c r="AD339" s="88" t="n"/>
      <c r="AE339" s="88" t="n"/>
      <c r="AF339" s="88" t="n"/>
      <c r="AG339" s="88" t="n"/>
      <c r="AH339" s="26" t="n"/>
      <c r="AI339" s="26" t="n"/>
      <c r="AJ339" s="26" t="n"/>
      <c r="AK339" s="26" t="n"/>
    </row>
    <row r="340">
      <c r="A340" s="1464" t="inlineStr">
        <is>
          <t>121 à 180</t>
        </is>
      </c>
      <c r="B340" s="1383" t="n"/>
      <c r="C340" s="618" t="n">
        <v>0</v>
      </c>
      <c r="D340" s="401" t="n">
        <v>0</v>
      </c>
      <c r="E340" s="618" t="n">
        <v>0</v>
      </c>
      <c r="F340" s="401" t="n">
        <v>0</v>
      </c>
      <c r="G340" s="618" t="n">
        <v>0</v>
      </c>
      <c r="H340" s="401" t="n">
        <v>0</v>
      </c>
      <c r="I340" s="618" t="n">
        <v>0</v>
      </c>
      <c r="J340" s="401" t="n">
        <v>0</v>
      </c>
      <c r="K340" s="618" t="n">
        <v>0</v>
      </c>
      <c r="L340" s="387" t="n">
        <v>0</v>
      </c>
      <c r="M340" s="88" t="n"/>
      <c r="N340" s="88" t="n"/>
      <c r="O340" s="88" t="n"/>
      <c r="P340" s="88" t="n"/>
      <c r="Q340" s="88" t="n"/>
      <c r="R340" s="88" t="n"/>
      <c r="S340" s="88" t="n"/>
      <c r="T340" s="88" t="n"/>
      <c r="U340" s="88" t="n"/>
      <c r="V340" s="88" t="n"/>
      <c r="W340" s="88" t="n"/>
      <c r="X340" s="88" t="n"/>
      <c r="Y340" s="88" t="n"/>
      <c r="Z340" s="88" t="n"/>
      <c r="AA340" s="88" t="n"/>
      <c r="AB340" s="88" t="n"/>
      <c r="AC340" s="88" t="n"/>
      <c r="AD340" s="88" t="n"/>
      <c r="AE340" s="88" t="n"/>
      <c r="AF340" s="88" t="n"/>
      <c r="AG340" s="88" t="n"/>
      <c r="AH340" s="26" t="n"/>
      <c r="AI340" s="26" t="n"/>
      <c r="AJ340" s="26" t="n"/>
      <c r="AK340" s="26" t="n"/>
    </row>
    <row r="341">
      <c r="A341" s="576" t="inlineStr">
        <is>
          <t>181 à 365</t>
        </is>
      </c>
      <c r="B341" s="1384" t="n"/>
      <c r="C341" s="618" t="n">
        <v>0</v>
      </c>
      <c r="D341" s="401" t="n">
        <v>0</v>
      </c>
      <c r="E341" s="618" t="n">
        <v>0</v>
      </c>
      <c r="F341" s="401" t="n">
        <v>0</v>
      </c>
      <c r="G341" s="618" t="n">
        <v>0</v>
      </c>
      <c r="H341" s="401" t="n">
        <v>0</v>
      </c>
      <c r="I341" s="618" t="n">
        <v>0</v>
      </c>
      <c r="J341" s="401" t="n">
        <v>0</v>
      </c>
      <c r="K341" s="618" t="n">
        <v>0</v>
      </c>
      <c r="L341" s="387" t="n">
        <v>0</v>
      </c>
      <c r="M341" s="88" t="n"/>
      <c r="N341" s="88" t="n"/>
      <c r="O341" s="88" t="n"/>
      <c r="P341" s="88" t="n"/>
      <c r="Q341" s="88" t="n"/>
      <c r="R341" s="88" t="n"/>
      <c r="S341" s="88" t="n"/>
      <c r="T341" s="88" t="n"/>
      <c r="U341" s="88" t="n"/>
      <c r="V341" s="88" t="n"/>
      <c r="W341" s="88" t="n"/>
      <c r="X341" s="88" t="n"/>
      <c r="Y341" s="88" t="n"/>
      <c r="Z341" s="88" t="n"/>
      <c r="AA341" s="88" t="n"/>
      <c r="AB341" s="88" t="n"/>
      <c r="AC341" s="88" t="n"/>
      <c r="AD341" s="88" t="n"/>
      <c r="AE341" s="88" t="n"/>
      <c r="AF341" s="88" t="n"/>
      <c r="AG341" s="88" t="n"/>
      <c r="AH341" s="26" t="n"/>
      <c r="AI341" s="26" t="n"/>
      <c r="AJ341" s="26" t="n"/>
      <c r="AK341" s="26" t="n"/>
    </row>
    <row r="342" ht="15.75" customHeight="1" thickBot="1">
      <c r="A342" s="1486" t="inlineStr">
        <is>
          <t>Plus de 365</t>
        </is>
      </c>
      <c r="B342" s="1389" t="n"/>
      <c r="C342" s="1" t="n">
        <v>1</v>
      </c>
      <c r="D342" s="2" t="n">
        <v>46</v>
      </c>
      <c r="E342" s="1" t="n">
        <v>0</v>
      </c>
      <c r="F342" s="2" t="n">
        <v>0</v>
      </c>
      <c r="G342" s="1" t="n">
        <v>0</v>
      </c>
      <c r="H342" s="2" t="n">
        <v>0</v>
      </c>
      <c r="I342" s="1" t="n">
        <v>0</v>
      </c>
      <c r="J342" s="2" t="n">
        <v>0</v>
      </c>
      <c r="K342" s="1" t="n">
        <v>0</v>
      </c>
      <c r="L342" s="254" t="n">
        <v>0</v>
      </c>
      <c r="M342" s="88" t="n"/>
      <c r="N342" s="88" t="n"/>
      <c r="O342" s="88" t="n"/>
      <c r="P342" s="88" t="n"/>
      <c r="Q342" s="88" t="n"/>
      <c r="R342" s="88" t="n"/>
      <c r="S342" s="88" t="n"/>
      <c r="T342" s="88" t="n"/>
      <c r="U342" s="88" t="n"/>
      <c r="V342" s="88" t="n"/>
      <c r="W342" s="88" t="n"/>
      <c r="X342" s="88" t="n"/>
      <c r="Y342" s="88" t="n"/>
      <c r="Z342" s="88" t="n"/>
      <c r="AA342" s="88" t="n"/>
      <c r="AB342" s="88" t="n"/>
      <c r="AC342" s="88" t="n"/>
      <c r="AD342" s="88" t="n"/>
      <c r="AE342" s="88" t="n"/>
      <c r="AF342" s="88" t="n"/>
      <c r="AG342" s="88" t="n"/>
      <c r="AH342" s="26" t="n"/>
      <c r="AI342" s="26" t="n"/>
      <c r="AJ342" s="26" t="n"/>
      <c r="AK342" s="26" t="n"/>
    </row>
    <row r="343" ht="16.5" customHeight="1" thickBot="1" thickTop="1">
      <c r="A343" s="598" t="inlineStr">
        <is>
          <t>Total</t>
        </is>
      </c>
      <c r="B343" s="1443" t="n"/>
      <c r="C343" s="809">
        <f>SUM(C336:C342)</f>
        <v/>
      </c>
      <c r="D343" s="811">
        <f>SUM(D336:D342)</f>
        <v/>
      </c>
      <c r="E343" s="809">
        <f>SUM(E336:E342)</f>
        <v/>
      </c>
      <c r="F343" s="811">
        <f>SUM(F336:F342)</f>
        <v/>
      </c>
      <c r="G343" s="809">
        <f>SUM(G336:G342)</f>
        <v/>
      </c>
      <c r="H343" s="811">
        <f>SUM(H336:H342)</f>
        <v/>
      </c>
      <c r="I343" s="809">
        <f>SUM(I336:I342)</f>
        <v/>
      </c>
      <c r="J343" s="811">
        <f>SUM(J336:J342)</f>
        <v/>
      </c>
      <c r="K343" s="809">
        <f>SUM(K336:K342)</f>
        <v/>
      </c>
      <c r="L343" s="811">
        <f>SUM(L336:L342)</f>
        <v/>
      </c>
      <c r="M343" s="88" t="n"/>
      <c r="N343" s="88" t="n"/>
      <c r="O343" s="88" t="n"/>
      <c r="P343" s="88" t="n"/>
      <c r="Q343" s="88" t="n"/>
      <c r="R343" s="88" t="n"/>
      <c r="S343" s="88" t="n"/>
      <c r="T343" s="88" t="n"/>
      <c r="U343" s="88" t="n"/>
      <c r="V343" s="88" t="n"/>
      <c r="W343" s="88" t="n"/>
      <c r="X343" s="88" t="n"/>
      <c r="Y343" s="88" t="n"/>
      <c r="Z343" s="88" t="n"/>
      <c r="AA343" s="88" t="n"/>
      <c r="AB343" s="88" t="n"/>
      <c r="AC343" s="88" t="n"/>
      <c r="AD343" s="88" t="n"/>
      <c r="AE343" s="88" t="n"/>
      <c r="AF343" s="88" t="n"/>
      <c r="AG343" s="88" t="n"/>
      <c r="AH343" s="26" t="n"/>
      <c r="AI343" s="26" t="n"/>
      <c r="AJ343" s="26" t="n"/>
      <c r="AK343" s="26" t="n"/>
    </row>
    <row r="344" ht="15.75" customHeight="1" thickTop="1">
      <c r="C344" s="32" t="n"/>
      <c r="D344" s="32" t="n"/>
      <c r="E344" s="32" t="n"/>
      <c r="F344" s="816" t="n"/>
      <c r="H344" s="32" t="n"/>
      <c r="I344" s="32" t="n"/>
      <c r="J344" s="32" t="n"/>
      <c r="K344" s="32" t="n"/>
      <c r="L344" s="32" t="n"/>
      <c r="M344" s="88" t="n"/>
      <c r="N344" s="88" t="n"/>
      <c r="O344" s="88" t="n"/>
      <c r="P344" s="88" t="n"/>
      <c r="Q344" s="88" t="n"/>
      <c r="R344" s="88" t="n"/>
      <c r="S344" s="88" t="n"/>
      <c r="T344" s="88" t="n"/>
      <c r="U344" s="88" t="n"/>
      <c r="V344" s="88" t="n"/>
      <c r="W344" s="88" t="n"/>
      <c r="X344" s="88" t="n"/>
      <c r="Y344" s="88" t="n"/>
      <c r="Z344" s="88" t="n"/>
      <c r="AA344" s="88" t="n"/>
      <c r="AB344" s="88" t="n"/>
      <c r="AC344" s="88" t="n"/>
      <c r="AD344" s="88" t="n"/>
      <c r="AE344" s="88" t="n"/>
      <c r="AF344" s="88" t="n"/>
      <c r="AG344" s="88" t="n"/>
      <c r="AH344" s="26" t="n"/>
      <c r="AI344" s="26" t="n"/>
      <c r="AJ344" s="26" t="n"/>
      <c r="AK344" s="26" t="n"/>
    </row>
    <row r="345">
      <c r="A345" s="326" t="inlineStr">
        <is>
          <t>8.2 Demandes auprès du Bureau du Conseil privé</t>
        </is>
      </c>
      <c r="M345" s="194">
        <f>IFERROR(IF(D356/C356&gt;99,"Section 8.2 - Le nombre total de pages ""Pages communiquées"" divisé par le ""Nombre de demandes"" dans ""Moins de 100 pages traitées"" doit être égal ou inférieur à 99.",""),"")</f>
        <v/>
      </c>
      <c r="N345" s="88" t="n"/>
      <c r="O345" s="88" t="n"/>
      <c r="P345" s="88" t="n"/>
      <c r="Q345" s="88" t="n"/>
      <c r="R345" s="88" t="n"/>
      <c r="S345" s="88" t="n"/>
      <c r="T345" s="88" t="n"/>
      <c r="U345" s="88" t="n"/>
      <c r="V345" s="88" t="n"/>
      <c r="W345" s="88" t="n"/>
      <c r="X345" s="88" t="n"/>
      <c r="Y345" s="88" t="n"/>
      <c r="Z345" s="88" t="n"/>
      <c r="AA345" s="88" t="n"/>
      <c r="AB345" s="88" t="n"/>
      <c r="AC345" s="88" t="n"/>
      <c r="AD345" s="88" t="n"/>
      <c r="AE345" s="88" t="n"/>
      <c r="AF345" s="88" t="n"/>
      <c r="AG345" s="88" t="n"/>
      <c r="AH345" s="26" t="n"/>
      <c r="AI345" s="26" t="n"/>
      <c r="AJ345" s="26" t="n"/>
      <c r="AK345" s="26" t="n"/>
    </row>
    <row r="346" ht="15.75" customHeight="1" thickBot="1">
      <c r="M346" s="194">
        <f>IFERROR(IF(F356/E356&gt;500,"Section 8.2 - Le nombre total de pages ""Pages communiquées"" divisé par le ""Nombre de demandes"" dans ""De 100 à 500 pages traitées"" doit être égal ou inférieur à 500.",""),"")</f>
        <v/>
      </c>
      <c r="N346" s="88" t="n"/>
      <c r="O346" s="88" t="n"/>
      <c r="P346" s="88" t="n"/>
      <c r="Q346" s="88" t="n"/>
      <c r="R346" s="88" t="n"/>
      <c r="S346" s="88" t="n"/>
      <c r="T346" s="88" t="n"/>
      <c r="U346" s="88" t="n"/>
      <c r="V346" s="88" t="n"/>
      <c r="W346" s="88" t="n"/>
      <c r="X346" s="88" t="n"/>
      <c r="Y346" s="88" t="n"/>
      <c r="Z346" s="88" t="n"/>
      <c r="AA346" s="88" t="n"/>
      <c r="AB346" s="88" t="n"/>
      <c r="AC346" s="88" t="n"/>
      <c r="AD346" s="88" t="n"/>
      <c r="AE346" s="88" t="n"/>
      <c r="AF346" s="88" t="n"/>
      <c r="AG346" s="88" t="n"/>
      <c r="AH346" s="26" t="n"/>
      <c r="AI346" s="26" t="n"/>
      <c r="AJ346" s="26" t="n"/>
      <c r="AK346" s="26" t="n"/>
    </row>
    <row r="347" ht="27" customHeight="1" thickTop="1">
      <c r="A347" s="1461" t="inlineStr">
        <is>
          <t>Nombre de jours</t>
        </is>
      </c>
      <c r="B347" s="1413" t="n"/>
      <c r="C347" s="1484" t="inlineStr">
        <is>
          <t>Moins de 100 pages traitées</t>
        </is>
      </c>
      <c r="D347" s="1378" t="n"/>
      <c r="E347" s="1484" t="inlineStr">
        <is>
          <t>De 100 à 500 pages traitées</t>
        </is>
      </c>
      <c r="F347" s="1378" t="n"/>
      <c r="G347" s="670" t="inlineStr">
        <is>
          <t>De 501 à 1 000 pages traitées</t>
        </is>
      </c>
      <c r="H347" s="1406" t="n"/>
      <c r="I347" s="803" t="inlineStr">
        <is>
          <t>De 1 001 à 5 000 pages traitées</t>
        </is>
      </c>
      <c r="J347" s="1406" t="n"/>
      <c r="K347" s="670" t="inlineStr">
        <is>
          <t>Plus de 5 000 pages traitées</t>
        </is>
      </c>
      <c r="L347" s="1406" t="n"/>
      <c r="M347" s="194">
        <f>IFERROR(IF(H356/G356&gt;1000,"Section 8.2 - Le nombre total de pages ""Pages communiquées"" divisé par le ""Nombre de demandes"" dans ""De 501 à 1 000 pages traitées"" doit être égal ou inférieur à 1 000.",""),"")</f>
        <v/>
      </c>
      <c r="N347" s="88" t="n"/>
      <c r="O347" s="88" t="n"/>
      <c r="P347" s="88" t="n"/>
      <c r="Q347" s="88" t="n"/>
      <c r="R347" s="88" t="n"/>
      <c r="S347" s="88" t="n"/>
      <c r="T347" s="88" t="n"/>
      <c r="U347" s="88" t="n"/>
      <c r="V347" s="88" t="n"/>
      <c r="W347" s="88" t="n"/>
      <c r="X347" s="88" t="n"/>
      <c r="Y347" s="88" t="n"/>
      <c r="Z347" s="88" t="n"/>
      <c r="AA347" s="88" t="n"/>
      <c r="AB347" s="88" t="n"/>
      <c r="AC347" s="88" t="n"/>
      <c r="AD347" s="88" t="n"/>
      <c r="AE347" s="88" t="n"/>
      <c r="AF347" s="88" t="n"/>
      <c r="AG347" s="88" t="n"/>
      <c r="AH347" s="26" t="n"/>
      <c r="AI347" s="26" t="n"/>
      <c r="AJ347" s="26" t="n"/>
      <c r="AK347" s="26" t="n"/>
    </row>
    <row r="348" ht="38.25" customHeight="1" thickBot="1">
      <c r="A348" s="1397" t="n"/>
      <c r="B348" s="1391" t="n"/>
      <c r="C348" s="73" t="inlineStr">
        <is>
          <t>Nombre de demandes</t>
        </is>
      </c>
      <c r="D348" s="116" t="inlineStr">
        <is>
          <t>Pages communiquées</t>
        </is>
      </c>
      <c r="E348" s="73" t="inlineStr">
        <is>
          <t>Nombre de demandes</t>
        </is>
      </c>
      <c r="F348" s="116" t="inlineStr">
        <is>
          <t>Pages communiquées</t>
        </is>
      </c>
      <c r="G348" s="73" t="inlineStr">
        <is>
          <t>Nombre de demandes</t>
        </is>
      </c>
      <c r="H348" s="116" t="inlineStr">
        <is>
          <t>Pages communiquées</t>
        </is>
      </c>
      <c r="I348" s="73" t="inlineStr">
        <is>
          <t>Nombre de demandes</t>
        </is>
      </c>
      <c r="J348" s="116" t="inlineStr">
        <is>
          <t>Pages communiquées</t>
        </is>
      </c>
      <c r="K348" s="73" t="inlineStr">
        <is>
          <t>Nombre de demandes</t>
        </is>
      </c>
      <c r="L348" s="255" t="inlineStr">
        <is>
          <t>Pages communiquées</t>
        </is>
      </c>
      <c r="M348" s="194">
        <f>IFERROR(IF(J356/I356&gt;5000,"Section 8.2 - Le nombre total de pages ""Pages communiquées"" divisé par le ""Nombre de demandes"" dans ""De 1 001 à 5 000 pages traitées"" doit être égal ou inférieur à 5 000.",""),"")</f>
        <v/>
      </c>
      <c r="N348" s="88" t="n"/>
      <c r="O348" s="88" t="n"/>
      <c r="P348" s="88" t="n"/>
      <c r="Q348" s="88" t="n"/>
      <c r="R348" s="88" t="n"/>
      <c r="S348" s="88" t="n"/>
      <c r="T348" s="88" t="n"/>
      <c r="U348" s="88" t="n"/>
      <c r="V348" s="88" t="n"/>
      <c r="W348" s="88" t="n"/>
      <c r="X348" s="88" t="n"/>
      <c r="Y348" s="88" t="n"/>
      <c r="Z348" s="88" t="n"/>
      <c r="AA348" s="88" t="n"/>
      <c r="AB348" s="88" t="n"/>
      <c r="AC348" s="88" t="n"/>
      <c r="AD348" s="88" t="n"/>
      <c r="AE348" s="88" t="n"/>
      <c r="AF348" s="88" t="n"/>
      <c r="AG348" s="88" t="n"/>
      <c r="AH348" s="26" t="n"/>
      <c r="AI348" s="26" t="n"/>
      <c r="AJ348" s="26" t="n"/>
      <c r="AK348" s="26" t="n"/>
    </row>
    <row r="349" ht="15.75" customHeight="1" thickTop="1">
      <c r="A349" s="593" t="inlineStr">
        <is>
          <t>1 à 15</t>
        </is>
      </c>
      <c r="B349" s="1398" t="n"/>
      <c r="C349" s="753" t="n">
        <v>0</v>
      </c>
      <c r="D349" s="877" t="n">
        <v>0</v>
      </c>
      <c r="E349" s="901" t="n">
        <v>0</v>
      </c>
      <c r="F349" s="902" t="n">
        <v>0</v>
      </c>
      <c r="G349" s="753" t="n">
        <v>0</v>
      </c>
      <c r="H349" s="877" t="n">
        <v>0</v>
      </c>
      <c r="I349" s="901" t="n">
        <v>0</v>
      </c>
      <c r="J349" s="902" t="n">
        <v>0</v>
      </c>
      <c r="K349" s="753" t="n">
        <v>0</v>
      </c>
      <c r="L349" s="877" t="n">
        <v>0</v>
      </c>
      <c r="M349" s="88" t="n"/>
      <c r="N349" s="88" t="n"/>
      <c r="O349" s="88" t="n"/>
      <c r="P349" s="88" t="n"/>
      <c r="Q349" s="88" t="n"/>
      <c r="R349" s="88" t="n"/>
      <c r="S349" s="88" t="n"/>
      <c r="T349" s="88" t="n"/>
      <c r="U349" s="88" t="n"/>
      <c r="V349" s="88" t="n"/>
      <c r="W349" s="88" t="n"/>
      <c r="X349" s="88" t="n"/>
      <c r="Y349" s="88" t="n"/>
      <c r="Z349" s="88" t="n"/>
      <c r="AA349" s="88" t="n"/>
      <c r="AB349" s="88" t="n"/>
      <c r="AC349" s="88" t="n"/>
      <c r="AD349" s="88" t="n"/>
      <c r="AE349" s="88" t="n"/>
      <c r="AF349" s="88" t="n"/>
      <c r="AG349" s="88" t="n"/>
      <c r="AH349" s="26" t="n"/>
      <c r="AI349" s="26" t="n"/>
      <c r="AJ349" s="26" t="n"/>
      <c r="AK349" s="26" t="n"/>
    </row>
    <row r="350" ht="14.25" customHeight="1">
      <c r="A350" s="1485" t="inlineStr">
        <is>
          <t>16 à 30</t>
        </is>
      </c>
      <c r="B350" s="1383" t="n"/>
      <c r="C350" s="618" t="n">
        <v>0</v>
      </c>
      <c r="D350" s="387" t="n">
        <v>0</v>
      </c>
      <c r="E350" s="400" t="n">
        <v>0</v>
      </c>
      <c r="F350" s="401" t="n">
        <v>0</v>
      </c>
      <c r="G350" s="618" t="n">
        <v>0</v>
      </c>
      <c r="H350" s="387" t="n">
        <v>0</v>
      </c>
      <c r="I350" s="400" t="n">
        <v>0</v>
      </c>
      <c r="J350" s="401" t="n">
        <v>0</v>
      </c>
      <c r="K350" s="618" t="n">
        <v>0</v>
      </c>
      <c r="L350" s="387" t="n">
        <v>0</v>
      </c>
      <c r="M350" s="88" t="n"/>
      <c r="N350" s="88" t="n"/>
      <c r="O350" s="88" t="n"/>
      <c r="P350" s="88" t="n"/>
      <c r="Q350" s="88" t="n"/>
      <c r="R350" s="88" t="n"/>
      <c r="S350" s="88" t="n"/>
      <c r="T350" s="88" t="n"/>
      <c r="U350" s="88" t="n"/>
      <c r="V350" s="88" t="n"/>
      <c r="W350" s="88" t="n"/>
      <c r="X350" s="88" t="n"/>
      <c r="Y350" s="88" t="n"/>
      <c r="Z350" s="88" t="n"/>
      <c r="AA350" s="88" t="n"/>
      <c r="AB350" s="88" t="n"/>
      <c r="AC350" s="88" t="n"/>
      <c r="AD350" s="88" t="n"/>
      <c r="AE350" s="88" t="n"/>
      <c r="AF350" s="88" t="n"/>
      <c r="AG350" s="88" t="n"/>
      <c r="AH350" s="26" t="n"/>
      <c r="AI350" s="26" t="n"/>
      <c r="AJ350" s="26" t="n"/>
      <c r="AK350" s="26" t="n"/>
    </row>
    <row r="351">
      <c r="A351" s="576" t="inlineStr">
        <is>
          <t>31 à 60</t>
        </is>
      </c>
      <c r="B351" s="1384" t="n"/>
      <c r="C351" s="618" t="n">
        <v>0</v>
      </c>
      <c r="D351" s="387" t="n">
        <v>0</v>
      </c>
      <c r="E351" s="400" t="n">
        <v>0</v>
      </c>
      <c r="F351" s="401" t="n">
        <v>0</v>
      </c>
      <c r="G351" s="618" t="n">
        <v>0</v>
      </c>
      <c r="H351" s="387" t="n">
        <v>0</v>
      </c>
      <c r="I351" s="400" t="n">
        <v>0</v>
      </c>
      <c r="J351" s="401" t="n">
        <v>0</v>
      </c>
      <c r="K351" s="618" t="n">
        <v>0</v>
      </c>
      <c r="L351" s="387" t="n">
        <v>0</v>
      </c>
      <c r="M351" s="88" t="n"/>
      <c r="N351" s="88" t="n"/>
      <c r="O351" s="88" t="n"/>
      <c r="P351" s="88" t="n"/>
      <c r="Q351" s="88" t="n"/>
      <c r="R351" s="88" t="n"/>
      <c r="S351" s="88" t="n"/>
      <c r="T351" s="88" t="n"/>
      <c r="U351" s="88" t="n"/>
      <c r="V351" s="88" t="n"/>
      <c r="W351" s="88" t="n"/>
      <c r="X351" s="88" t="n"/>
      <c r="Y351" s="88" t="n"/>
      <c r="Z351" s="88" t="n"/>
      <c r="AA351" s="88" t="n"/>
      <c r="AB351" s="88" t="n"/>
      <c r="AC351" s="88" t="n"/>
      <c r="AD351" s="88" t="n"/>
      <c r="AE351" s="88" t="n"/>
      <c r="AF351" s="88" t="n"/>
      <c r="AG351" s="88" t="n"/>
      <c r="AH351" s="26" t="n"/>
      <c r="AI351" s="26" t="n"/>
      <c r="AJ351" s="26" t="n"/>
      <c r="AK351" s="26" t="n"/>
    </row>
    <row r="352">
      <c r="A352" s="576" t="inlineStr">
        <is>
          <t>61 à 120</t>
        </is>
      </c>
      <c r="B352" s="1384" t="n"/>
      <c r="C352" s="618" t="n">
        <v>0</v>
      </c>
      <c r="D352" s="387" t="n">
        <v>0</v>
      </c>
      <c r="E352" s="400" t="n">
        <v>0</v>
      </c>
      <c r="F352" s="401" t="n">
        <v>0</v>
      </c>
      <c r="G352" s="618" t="n">
        <v>0</v>
      </c>
      <c r="H352" s="387" t="n">
        <v>0</v>
      </c>
      <c r="I352" s="400" t="n">
        <v>0</v>
      </c>
      <c r="J352" s="401" t="n">
        <v>0</v>
      </c>
      <c r="K352" s="618" t="n">
        <v>0</v>
      </c>
      <c r="L352" s="387" t="n">
        <v>0</v>
      </c>
      <c r="M352" s="88" t="n"/>
      <c r="N352" s="88" t="n"/>
      <c r="O352" s="88" t="n"/>
      <c r="P352" s="88" t="n"/>
      <c r="Q352" s="88" t="n"/>
      <c r="R352" s="88" t="n"/>
      <c r="S352" s="88" t="n"/>
      <c r="T352" s="88" t="n"/>
      <c r="U352" s="88" t="n"/>
      <c r="V352" s="88" t="n"/>
      <c r="W352" s="88" t="n"/>
      <c r="X352" s="88" t="n"/>
      <c r="Y352" s="88" t="n"/>
      <c r="Z352" s="88" t="n"/>
      <c r="AA352" s="88" t="n"/>
      <c r="AB352" s="88" t="n"/>
      <c r="AC352" s="88" t="n"/>
      <c r="AD352" s="88" t="n"/>
      <c r="AE352" s="88" t="n"/>
      <c r="AF352" s="88" t="n"/>
      <c r="AG352" s="88" t="n"/>
      <c r="AH352" s="26" t="n"/>
      <c r="AI352" s="26" t="n"/>
      <c r="AJ352" s="26" t="n"/>
      <c r="AK352" s="26" t="n"/>
    </row>
    <row r="353">
      <c r="A353" s="1464" t="inlineStr">
        <is>
          <t>121 à 180</t>
        </is>
      </c>
      <c r="B353" s="1383" t="n"/>
      <c r="C353" s="618" t="n">
        <v>0</v>
      </c>
      <c r="D353" s="401" t="n">
        <v>0</v>
      </c>
      <c r="E353" s="618" t="n">
        <v>0</v>
      </c>
      <c r="F353" s="401" t="n">
        <v>0</v>
      </c>
      <c r="G353" s="618" t="n">
        <v>0</v>
      </c>
      <c r="H353" s="401" t="n">
        <v>0</v>
      </c>
      <c r="I353" s="618" t="n">
        <v>0</v>
      </c>
      <c r="J353" s="401" t="n">
        <v>0</v>
      </c>
      <c r="K353" s="618" t="n">
        <v>0</v>
      </c>
      <c r="L353" s="387" t="n">
        <v>0</v>
      </c>
      <c r="M353" s="88" t="n"/>
      <c r="N353" s="88" t="n"/>
      <c r="O353" s="88" t="n"/>
      <c r="P353" s="88" t="n"/>
      <c r="Q353" s="88" t="n"/>
      <c r="R353" s="88" t="n"/>
      <c r="S353" s="88" t="n"/>
      <c r="T353" s="88" t="n"/>
      <c r="U353" s="88" t="n"/>
      <c r="V353" s="88" t="n"/>
      <c r="W353" s="88" t="n"/>
      <c r="X353" s="88" t="n"/>
      <c r="Y353" s="88" t="n"/>
      <c r="Z353" s="88" t="n"/>
      <c r="AA353" s="88" t="n"/>
      <c r="AB353" s="88" t="n"/>
      <c r="AC353" s="88" t="n"/>
      <c r="AD353" s="88" t="n"/>
      <c r="AE353" s="88" t="n"/>
      <c r="AF353" s="88" t="n"/>
      <c r="AG353" s="88" t="n"/>
      <c r="AH353" s="26" t="n"/>
      <c r="AI353" s="26" t="n"/>
      <c r="AJ353" s="26" t="n"/>
      <c r="AK353" s="26" t="n"/>
    </row>
    <row r="354">
      <c r="A354" s="576" t="inlineStr">
        <is>
          <t>181 à 365</t>
        </is>
      </c>
      <c r="B354" s="1384" t="n"/>
      <c r="C354" s="618" t="n">
        <v>0</v>
      </c>
      <c r="D354" s="401" t="n">
        <v>0</v>
      </c>
      <c r="E354" s="618" t="n">
        <v>0</v>
      </c>
      <c r="F354" s="401" t="n">
        <v>0</v>
      </c>
      <c r="G354" s="618" t="n">
        <v>0</v>
      </c>
      <c r="H354" s="401" t="n">
        <v>0</v>
      </c>
      <c r="I354" s="618" t="n">
        <v>0</v>
      </c>
      <c r="J354" s="401" t="n">
        <v>0</v>
      </c>
      <c r="K354" s="618" t="n">
        <v>0</v>
      </c>
      <c r="L354" s="387" t="n">
        <v>0</v>
      </c>
      <c r="M354" s="88" t="n"/>
      <c r="N354" s="88" t="n"/>
      <c r="O354" s="88" t="n"/>
      <c r="P354" s="88" t="n"/>
      <c r="Q354" s="88" t="n"/>
      <c r="R354" s="88" t="n"/>
      <c r="S354" s="88" t="n"/>
      <c r="T354" s="88" t="n"/>
      <c r="U354" s="88" t="n"/>
      <c r="V354" s="88" t="n"/>
      <c r="W354" s="88" t="n"/>
      <c r="X354" s="88" t="n"/>
      <c r="Y354" s="88" t="n"/>
      <c r="Z354" s="88" t="n"/>
      <c r="AA354" s="88" t="n"/>
      <c r="AB354" s="88" t="n"/>
      <c r="AC354" s="88" t="n"/>
      <c r="AD354" s="88" t="n"/>
      <c r="AE354" s="88" t="n"/>
      <c r="AF354" s="88" t="n"/>
      <c r="AG354" s="88" t="n"/>
      <c r="AH354" s="26" t="n"/>
      <c r="AI354" s="26" t="n"/>
      <c r="AJ354" s="26" t="n"/>
      <c r="AK354" s="26" t="n"/>
    </row>
    <row r="355" ht="15.75" customHeight="1" thickBot="1">
      <c r="A355" s="1486" t="inlineStr">
        <is>
          <t>Plus de 365</t>
        </is>
      </c>
      <c r="B355" s="1389" t="n"/>
      <c r="C355" s="1" t="n">
        <v>0</v>
      </c>
      <c r="D355" s="2" t="n">
        <v>0</v>
      </c>
      <c r="E355" s="1" t="n">
        <v>0</v>
      </c>
      <c r="F355" s="2" t="n">
        <v>0</v>
      </c>
      <c r="G355" s="1" t="n">
        <v>0</v>
      </c>
      <c r="H355" s="2" t="n">
        <v>0</v>
      </c>
      <c r="I355" s="1" t="n">
        <v>0</v>
      </c>
      <c r="J355" s="2" t="n">
        <v>0</v>
      </c>
      <c r="K355" s="1" t="n">
        <v>0</v>
      </c>
      <c r="L355" s="254" t="n">
        <v>0</v>
      </c>
      <c r="M355" s="88" t="n"/>
      <c r="N355" s="88" t="n"/>
      <c r="O355" s="88" t="n"/>
      <c r="P355" s="88" t="n"/>
      <c r="Q355" s="88" t="n"/>
      <c r="R355" s="88" t="n"/>
      <c r="S355" s="88" t="n"/>
      <c r="T355" s="88" t="n"/>
      <c r="U355" s="88" t="n"/>
      <c r="V355" s="88" t="n"/>
      <c r="W355" s="88" t="n"/>
      <c r="X355" s="88" t="n"/>
      <c r="Y355" s="88" t="n"/>
      <c r="Z355" s="88" t="n"/>
      <c r="AA355" s="88" t="n"/>
      <c r="AB355" s="88" t="n"/>
      <c r="AC355" s="88" t="n"/>
      <c r="AD355" s="88" t="n"/>
      <c r="AE355" s="88" t="n"/>
      <c r="AF355" s="88" t="n"/>
      <c r="AG355" s="88" t="n"/>
      <c r="AH355" s="26" t="n"/>
      <c r="AI355" s="26" t="n"/>
      <c r="AJ355" s="26" t="n"/>
      <c r="AK355" s="26" t="n"/>
    </row>
    <row r="356" ht="16.5" customHeight="1" thickBot="1" thickTop="1">
      <c r="A356" s="598" t="inlineStr">
        <is>
          <t>Total</t>
        </is>
      </c>
      <c r="B356" s="1443" t="n"/>
      <c r="C356" s="543">
        <f>SUM(C349:C355)</f>
        <v/>
      </c>
      <c r="D356" s="360">
        <f>SUM(D349:D355)</f>
        <v/>
      </c>
      <c r="E356" s="543">
        <f>SUM(E349:E355)</f>
        <v/>
      </c>
      <c r="F356" s="360">
        <f>SUM(F349:F355)</f>
        <v/>
      </c>
      <c r="G356" s="543">
        <f>SUM(G349:G355)</f>
        <v/>
      </c>
      <c r="H356" s="360">
        <f>SUM(H349:H355)</f>
        <v/>
      </c>
      <c r="I356" s="543">
        <f>SUM(I349:I355)</f>
        <v/>
      </c>
      <c r="J356" s="360">
        <f>SUM(J349:J355)</f>
        <v/>
      </c>
      <c r="K356" s="543">
        <f>SUM(K349:K355)</f>
        <v/>
      </c>
      <c r="L356" s="360">
        <f>SUM(L349:L355)</f>
        <v/>
      </c>
      <c r="M356" s="88" t="n"/>
      <c r="N356" s="88" t="n"/>
      <c r="O356" s="88" t="n"/>
      <c r="P356" s="88" t="n"/>
      <c r="Q356" s="88" t="n"/>
      <c r="R356" s="88" t="n"/>
      <c r="S356" s="88" t="n"/>
      <c r="T356" s="88" t="n"/>
      <c r="U356" s="88" t="n"/>
      <c r="V356" s="88" t="n"/>
      <c r="W356" s="88" t="n"/>
      <c r="X356" s="88" t="n"/>
      <c r="Y356" s="88" t="n"/>
      <c r="Z356" s="88" t="n"/>
      <c r="AA356" s="88" t="n"/>
      <c r="AB356" s="88" t="n"/>
      <c r="AC356" s="88" t="n"/>
      <c r="AD356" s="88" t="n"/>
      <c r="AE356" s="88" t="n"/>
      <c r="AF356" s="88" t="n"/>
      <c r="AG356" s="88" t="n"/>
      <c r="AH356" s="26" t="n"/>
      <c r="AI356" s="26" t="n"/>
      <c r="AJ356" s="26" t="n"/>
      <c r="AK356" s="26" t="n"/>
    </row>
    <row r="357" ht="15.75" customHeight="1" thickTop="1">
      <c r="A357" s="51" t="n"/>
      <c r="B357" s="51" t="n"/>
      <c r="C357" s="451" t="n"/>
      <c r="D357" s="451" t="n"/>
      <c r="E357" s="451" t="n"/>
      <c r="F357" s="451" t="n"/>
      <c r="G357" s="451" t="n"/>
      <c r="H357" s="451" t="n"/>
      <c r="I357" s="451" t="n"/>
      <c r="J357" s="451" t="n"/>
      <c r="K357" s="451" t="n"/>
      <c r="L357" s="451" t="n"/>
      <c r="M357" s="88" t="n"/>
      <c r="N357" s="88" t="n"/>
      <c r="O357" s="88" t="n"/>
      <c r="P357" s="88" t="n"/>
      <c r="Q357" s="88" t="n"/>
      <c r="R357" s="88" t="n"/>
      <c r="S357" s="88" t="n"/>
      <c r="T357" s="88" t="n"/>
      <c r="U357" s="88" t="n"/>
      <c r="V357" s="88" t="n"/>
      <c r="W357" s="88" t="n"/>
      <c r="X357" s="100" t="n"/>
      <c r="Y357" s="100" t="n"/>
      <c r="Z357" s="100" t="n"/>
      <c r="AA357" s="100" t="n"/>
      <c r="AB357" s="100" t="n"/>
      <c r="AC357" s="100" t="n"/>
      <c r="AD357" s="100" t="n"/>
      <c r="AE357" s="100" t="n"/>
      <c r="AF357" s="100" t="n"/>
      <c r="AG357" s="100" t="n"/>
      <c r="AH357" s="32" t="n"/>
      <c r="AI357" s="32" t="n"/>
      <c r="AJ357" s="32" t="n"/>
      <c r="AK357" s="32" t="n"/>
    </row>
    <row r="358" ht="15.75" customHeight="1">
      <c r="A358" s="707" t="inlineStr">
        <is>
          <t>Section 9 – Enquêtes et compte rendus de conclusion</t>
        </is>
      </c>
      <c r="M358" s="88" t="n"/>
      <c r="N358" s="88" t="n"/>
      <c r="O358" s="88" t="n"/>
      <c r="P358" s="88" t="n"/>
      <c r="Q358" s="88" t="n"/>
      <c r="R358" s="88" t="n"/>
      <c r="S358" s="88" t="n"/>
      <c r="T358" s="88" t="n"/>
      <c r="U358" s="88" t="n"/>
      <c r="V358" s="88" t="n"/>
      <c r="W358" s="88" t="n"/>
      <c r="X358" s="88" t="n"/>
      <c r="Y358" s="88" t="n"/>
      <c r="Z358" s="88" t="n"/>
      <c r="AA358" s="88" t="n"/>
      <c r="AB358" s="88" t="n"/>
      <c r="AC358" s="88" t="n"/>
      <c r="AD358" s="88" t="n"/>
      <c r="AE358" s="88" t="n"/>
      <c r="AF358" s="88" t="n"/>
      <c r="AG358" s="88" t="n"/>
      <c r="AH358" s="26" t="n"/>
      <c r="AI358" s="26" t="n"/>
      <c r="AJ358" s="26" t="n"/>
      <c r="AK358" s="26" t="n"/>
    </row>
    <row r="359">
      <c r="A359" s="46" t="n"/>
      <c r="B359" s="46" t="n"/>
      <c r="C359" s="46" t="n"/>
      <c r="D359" s="46" t="n"/>
      <c r="E359" s="46" t="n"/>
      <c r="F359" s="46" t="n"/>
      <c r="G359" s="46" t="n"/>
      <c r="H359" s="46" t="n"/>
      <c r="I359" s="46" t="n"/>
      <c r="J359" s="46" t="n"/>
      <c r="K359" s="46" t="n"/>
      <c r="L359" s="46" t="n"/>
      <c r="M359" s="88" t="n"/>
      <c r="N359" s="88" t="n"/>
      <c r="O359" s="88" t="n"/>
      <c r="P359" s="88" t="n"/>
      <c r="Q359" s="88" t="n"/>
      <c r="R359" s="88" t="n"/>
      <c r="S359" s="88" t="n"/>
      <c r="T359" s="88" t="n"/>
      <c r="U359" s="88" t="n"/>
      <c r="V359" s="88" t="n"/>
      <c r="W359" s="88" t="n"/>
      <c r="X359" s="88" t="n"/>
      <c r="Y359" s="88" t="n"/>
      <c r="Z359" s="88" t="n"/>
      <c r="AA359" s="88" t="n"/>
      <c r="AB359" s="88" t="n"/>
      <c r="AC359" s="88" t="n"/>
      <c r="AD359" s="88" t="n"/>
      <c r="AE359" s="88" t="n"/>
      <c r="AF359" s="88" t="n"/>
      <c r="AG359" s="88" t="n"/>
      <c r="AH359" s="26" t="n"/>
      <c r="AI359" s="26" t="n"/>
      <c r="AJ359" s="26" t="n"/>
      <c r="AK359" s="26" t="n"/>
    </row>
    <row r="360">
      <c r="A360" s="323" t="inlineStr">
        <is>
          <t>9.1 Enquêtes</t>
        </is>
      </c>
      <c r="G360" s="46" t="n"/>
      <c r="H360" s="46" t="n"/>
      <c r="I360" s="46" t="n"/>
      <c r="J360" s="46" t="n"/>
      <c r="K360" s="46" t="n"/>
      <c r="L360" s="46" t="n"/>
      <c r="M360" s="88" t="n"/>
      <c r="N360" s="88" t="n"/>
      <c r="O360" s="88" t="n"/>
      <c r="P360" s="88" t="n"/>
      <c r="Q360" s="88" t="n"/>
      <c r="R360" s="88" t="n"/>
      <c r="S360" s="88" t="n"/>
      <c r="T360" s="88" t="n"/>
      <c r="U360" s="88" t="n"/>
      <c r="V360" s="88" t="n"/>
      <c r="W360" s="88" t="n"/>
      <c r="X360" s="88" t="n"/>
      <c r="Y360" s="88" t="n"/>
      <c r="Z360" s="88" t="n"/>
      <c r="AA360" s="88" t="n"/>
      <c r="AB360" s="88" t="n"/>
      <c r="AC360" s="88" t="n"/>
      <c r="AD360" s="88" t="n"/>
      <c r="AE360" s="88" t="n"/>
      <c r="AF360" s="88" t="n"/>
      <c r="AG360" s="88" t="n"/>
      <c r="AH360" s="26" t="n"/>
      <c r="AI360" s="26" t="n"/>
      <c r="AJ360" s="26" t="n"/>
      <c r="AK360" s="26" t="n"/>
    </row>
    <row r="361" ht="15.75" customHeight="1" thickBot="1">
      <c r="A361" s="46" t="n"/>
      <c r="B361" s="46" t="n"/>
      <c r="C361" s="46" t="n"/>
      <c r="D361" s="46" t="n"/>
      <c r="E361" s="46" t="n"/>
      <c r="F361" s="46" t="n"/>
      <c r="G361" s="46" t="n"/>
      <c r="H361" s="46" t="n"/>
      <c r="I361" s="46" t="n"/>
      <c r="J361" s="46" t="n"/>
      <c r="K361" s="46" t="n"/>
      <c r="L361" s="46" t="n"/>
      <c r="M361" s="88" t="n"/>
      <c r="N361" s="88" t="n"/>
      <c r="O361" s="88" t="n"/>
      <c r="P361" s="88" t="n"/>
      <c r="Q361" s="88" t="n"/>
      <c r="R361" s="88" t="n"/>
      <c r="S361" s="88" t="n"/>
      <c r="T361" s="88" t="n"/>
      <c r="U361" s="88" t="n"/>
      <c r="V361" s="88" t="n"/>
      <c r="W361" s="88" t="n"/>
      <c r="X361" s="88" t="n"/>
      <c r="Y361" s="88" t="n"/>
      <c r="Z361" s="88" t="n"/>
      <c r="AA361" s="88" t="n"/>
      <c r="AB361" s="88" t="n"/>
      <c r="AC361" s="88" t="n"/>
      <c r="AD361" s="88" t="n"/>
      <c r="AE361" s="88" t="n"/>
      <c r="AF361" s="88" t="n"/>
      <c r="AG361" s="88" t="n"/>
      <c r="AH361" s="26" t="n"/>
      <c r="AI361" s="26" t="n"/>
      <c r="AJ361" s="26" t="n"/>
      <c r="AK361" s="26" t="n"/>
    </row>
    <row r="362" ht="38.25" customHeight="1" thickBot="1" thickTop="1">
      <c r="A362" s="1487" t="inlineStr">
        <is>
          <t xml:space="preserve">Article 32
Avis d’enquête
</t>
        </is>
      </c>
      <c r="B362" s="1405" t="n"/>
      <c r="C362" s="1488" t="inlineStr">
        <is>
          <t xml:space="preserve">Article 30(5)
Cessation de l’enquête
</t>
        </is>
      </c>
      <c r="D362" s="1405" t="n"/>
      <c r="E362" s="1489" t="inlineStr">
        <is>
          <t xml:space="preserve">Article 35
Présenter des observations
</t>
        </is>
      </c>
      <c r="F362" s="1375" t="n"/>
      <c r="M362" s="88" t="n"/>
      <c r="N362" s="88" t="n"/>
      <c r="O362" s="88" t="n"/>
      <c r="P362" s="88" t="n"/>
      <c r="Q362" s="88" t="n"/>
      <c r="R362" s="88" t="n"/>
      <c r="S362" s="88" t="n"/>
      <c r="T362" s="88" t="n"/>
      <c r="U362" s="88" t="n"/>
      <c r="V362" s="88" t="n"/>
      <c r="W362" s="88" t="n"/>
      <c r="X362" s="88" t="n"/>
      <c r="Y362" s="88" t="n"/>
      <c r="Z362" s="88" t="n"/>
      <c r="AA362" s="88" t="n"/>
      <c r="AB362" s="88" t="n"/>
      <c r="AC362" s="88" t="n"/>
      <c r="AD362" s="88" t="n"/>
      <c r="AE362" s="88" t="n"/>
      <c r="AF362" s="88" t="n"/>
      <c r="AG362" s="88" t="n"/>
      <c r="AH362" s="26" t="n"/>
      <c r="AI362" s="26" t="n"/>
      <c r="AJ362" s="26" t="n"/>
      <c r="AK362" s="26" t="n"/>
    </row>
    <row r="363" ht="16.5" customHeight="1" thickBot="1" thickTop="1">
      <c r="A363" s="1490" t="n">
        <v>123</v>
      </c>
      <c r="B363" s="1459" t="n"/>
      <c r="C363" s="1491" t="n">
        <v>58</v>
      </c>
      <c r="D363" s="1432" t="n"/>
      <c r="E363" s="1492" t="n">
        <v>53</v>
      </c>
      <c r="F363" s="1493" t="n"/>
      <c r="M363" s="88" t="n"/>
      <c r="N363" s="88" t="n"/>
      <c r="O363" s="88" t="n"/>
      <c r="P363" s="88" t="n"/>
      <c r="Q363" s="88" t="n"/>
      <c r="R363" s="88" t="n"/>
      <c r="S363" s="88" t="n"/>
      <c r="T363" s="88" t="n"/>
      <c r="U363" s="88" t="n"/>
      <c r="V363" s="88" t="n"/>
      <c r="W363" s="88" t="n"/>
      <c r="X363" s="88" t="n"/>
      <c r="Y363" s="88" t="n"/>
      <c r="Z363" s="88" t="n"/>
      <c r="AA363" s="88" t="n"/>
      <c r="AB363" s="88" t="n"/>
      <c r="AC363" s="88" t="n"/>
      <c r="AD363" s="88" t="n"/>
      <c r="AE363" s="88" t="n"/>
      <c r="AF363" s="88" t="n"/>
      <c r="AG363" s="88" t="n"/>
      <c r="AH363" s="26" t="n"/>
      <c r="AI363" s="26" t="n"/>
      <c r="AJ363" s="26" t="n"/>
      <c r="AK363" s="26" t="n"/>
    </row>
    <row r="364" ht="15.75" customHeight="1" thickTop="1">
      <c r="A364" s="106" t="n"/>
      <c r="B364" s="107" t="n"/>
      <c r="C364" s="106" t="n"/>
      <c r="D364" s="106" t="n"/>
      <c r="E364" s="106" t="n"/>
      <c r="F364" s="107" t="n"/>
      <c r="G364" s="106" t="n"/>
      <c r="H364" s="107" t="n"/>
      <c r="I364" s="106" t="n"/>
      <c r="J364" s="107" t="n"/>
      <c r="K364" s="106" t="n"/>
      <c r="L364" s="107" t="n"/>
      <c r="M364" s="88" t="n"/>
      <c r="N364" s="88" t="n"/>
      <c r="O364" s="88" t="n"/>
      <c r="P364" s="88" t="n"/>
      <c r="Q364" s="88" t="n"/>
      <c r="R364" s="88" t="n"/>
      <c r="S364" s="88" t="n"/>
      <c r="T364" s="88" t="n"/>
      <c r="U364" s="88" t="n"/>
      <c r="V364" s="88" t="n"/>
      <c r="W364" s="88" t="n"/>
      <c r="X364" s="88" t="n"/>
      <c r="Y364" s="88" t="n"/>
      <c r="Z364" s="88" t="n"/>
      <c r="AA364" s="88" t="n"/>
      <c r="AB364" s="88" t="n"/>
      <c r="AC364" s="88" t="n"/>
      <c r="AD364" s="88" t="n"/>
      <c r="AE364" s="88" t="n"/>
      <c r="AF364" s="88" t="n"/>
      <c r="AG364" s="88" t="n"/>
      <c r="AH364" s="26" t="n"/>
      <c r="AI364" s="26" t="n"/>
      <c r="AJ364" s="26" t="n"/>
      <c r="AK364" s="26" t="n"/>
    </row>
    <row r="365">
      <c r="A365" s="323" t="inlineStr">
        <is>
          <t>9.2 Enquêtes et rapports des conclusions</t>
        </is>
      </c>
      <c r="M365" s="88" t="n"/>
      <c r="N365" s="88" t="n"/>
      <c r="O365" s="88" t="n"/>
      <c r="P365" s="88" t="n"/>
      <c r="Q365" s="88" t="n"/>
      <c r="R365" s="88" t="n"/>
      <c r="S365" s="88" t="n"/>
      <c r="T365" s="88" t="n"/>
      <c r="U365" s="88" t="n"/>
      <c r="V365" s="88" t="n"/>
      <c r="W365" s="88" t="n"/>
      <c r="X365" s="88" t="n"/>
      <c r="Y365" s="88" t="n"/>
      <c r="Z365" s="88" t="n"/>
      <c r="AA365" s="88" t="n"/>
      <c r="AB365" s="88" t="n"/>
      <c r="AC365" s="88" t="n"/>
      <c r="AD365" s="88" t="n"/>
      <c r="AE365" s="88" t="n"/>
      <c r="AF365" s="88" t="n"/>
      <c r="AG365" s="88" t="n"/>
      <c r="AH365" s="26" t="n"/>
      <c r="AI365" s="26" t="n"/>
      <c r="AJ365" s="26" t="n"/>
      <c r="AK365" s="26" t="n"/>
    </row>
    <row r="366" ht="15.75" customHeight="1" thickBot="1">
      <c r="A366" s="106" t="n"/>
      <c r="B366" s="107" t="n"/>
      <c r="C366" s="106" t="n"/>
      <c r="D366" s="106" t="n"/>
      <c r="E366" s="106" t="n"/>
      <c r="F366" s="107" t="n"/>
      <c r="G366" s="106" t="n"/>
      <c r="H366" s="107" t="n"/>
      <c r="I366" s="106" t="n"/>
      <c r="J366" s="107" t="n"/>
      <c r="K366" s="106" t="n"/>
      <c r="L366" s="107" t="n"/>
      <c r="M366" s="88" t="n"/>
      <c r="N366" s="88" t="n"/>
      <c r="O366" s="88" t="n"/>
      <c r="P366" s="88" t="n"/>
      <c r="Q366" s="88" t="n"/>
      <c r="R366" s="88" t="n"/>
      <c r="S366" s="88" t="n"/>
      <c r="T366" s="88" t="n"/>
      <c r="U366" s="88" t="n"/>
      <c r="V366" s="88" t="n"/>
      <c r="W366" s="88" t="n"/>
      <c r="X366" s="88" t="n"/>
      <c r="Y366" s="88" t="n"/>
      <c r="Z366" s="88" t="n"/>
      <c r="AA366" s="88" t="n"/>
      <c r="AB366" s="88" t="n"/>
      <c r="AC366" s="88" t="n"/>
      <c r="AD366" s="88" t="n"/>
      <c r="AE366" s="88" t="n"/>
      <c r="AF366" s="88" t="n"/>
      <c r="AG366" s="88" t="n"/>
      <c r="AH366" s="26" t="n"/>
      <c r="AI366" s="26" t="n"/>
      <c r="AJ366" s="26" t="n"/>
      <c r="AK366" s="26" t="n"/>
    </row>
    <row r="367" ht="15" customHeight="1" thickTop="1">
      <c r="A367" s="1494" t="inlineStr">
        <is>
          <t>Article 37(1) Comptes rendus initiaux</t>
        </is>
      </c>
      <c r="B367" s="1377" t="n"/>
      <c r="C367" s="1377" t="n"/>
      <c r="D367" s="1377" t="n"/>
      <c r="E367" s="1377" t="n"/>
      <c r="F367" s="1378" t="n"/>
      <c r="G367" s="1494" t="inlineStr">
        <is>
          <t>Article 37(2) Comptes rendus finaux</t>
        </is>
      </c>
      <c r="H367" s="1377" t="n"/>
      <c r="I367" s="1377" t="n"/>
      <c r="J367" s="1377" t="n"/>
      <c r="K367" s="1377" t="n"/>
      <c r="L367" s="1378" t="n"/>
      <c r="M367" s="88" t="n"/>
      <c r="N367" s="88" t="n"/>
      <c r="O367" s="88" t="n"/>
      <c r="P367" s="88" t="n"/>
      <c r="Q367" s="88" t="n"/>
      <c r="R367" s="88" t="n"/>
      <c r="S367" s="88" t="n"/>
      <c r="T367" s="88" t="n"/>
      <c r="U367" s="88" t="n"/>
      <c r="V367" s="88" t="n"/>
      <c r="W367" s="88" t="n"/>
      <c r="X367" s="88" t="n"/>
      <c r="Y367" s="88" t="n"/>
      <c r="Z367" s="88" t="n"/>
      <c r="AA367" s="88" t="n"/>
      <c r="AB367" s="88" t="n"/>
      <c r="AC367" s="88" t="n"/>
      <c r="AD367" s="88" t="n"/>
      <c r="AE367" s="88" t="n"/>
      <c r="AF367" s="88" t="n"/>
      <c r="AG367" s="88" t="n"/>
      <c r="AH367" s="26" t="n"/>
      <c r="AI367" s="26" t="n"/>
      <c r="AJ367" s="26" t="n"/>
      <c r="AK367" s="26" t="n"/>
    </row>
    <row r="368" ht="62.25" customHeight="1" thickBot="1">
      <c r="A368" s="1495" t="inlineStr">
        <is>
          <t>Reçus</t>
        </is>
      </c>
      <c r="B368" s="1443" t="n"/>
      <c r="C368" s="1496" t="inlineStr">
        <is>
          <t xml:space="preserve">Contenant des recommandations  émis par la Commissaire à l’information </t>
        </is>
      </c>
      <c r="D368" s="1443" t="n"/>
      <c r="E368" s="696" t="inlineStr">
        <is>
          <t>Contenant une intention d'émettre une ordonnance par la Commissaire à l'information</t>
        </is>
      </c>
      <c r="F368" s="1390" t="n"/>
      <c r="G368" s="1495" t="inlineStr">
        <is>
          <t>Reçus</t>
        </is>
      </c>
      <c r="H368" s="1443" t="n"/>
      <c r="I368" s="1496" t="inlineStr">
        <is>
          <t>Contenant des recommandations  émis par la Commissaire à l’information</t>
        </is>
      </c>
      <c r="J368" s="1443" t="n"/>
      <c r="K368" s="1497" t="inlineStr">
        <is>
          <t>Contenant des ordonnances émis par la Commissaire à l’information</t>
        </is>
      </c>
      <c r="L368" s="1391" t="n"/>
      <c r="M368" s="88" t="n"/>
      <c r="N368" s="88" t="n"/>
      <c r="O368" s="88" t="n"/>
      <c r="P368" s="88" t="n"/>
      <c r="Q368" s="88" t="n"/>
      <c r="R368" s="88" t="n"/>
      <c r="S368" s="88" t="n"/>
      <c r="T368" s="88" t="n"/>
      <c r="U368" s="88" t="n"/>
      <c r="V368" s="88" t="n"/>
      <c r="W368" s="88" t="n"/>
      <c r="X368" s="88" t="n"/>
      <c r="Y368" s="88" t="n"/>
      <c r="Z368" s="88" t="n"/>
      <c r="AA368" s="88" t="n"/>
      <c r="AB368" s="88" t="n"/>
      <c r="AC368" s="88" t="n"/>
      <c r="AD368" s="88" t="n"/>
      <c r="AE368" s="88" t="n"/>
      <c r="AF368" s="88" t="n"/>
      <c r="AG368" s="88" t="n"/>
      <c r="AH368" s="26" t="n"/>
      <c r="AI368" s="26" t="n"/>
      <c r="AJ368" s="26" t="n"/>
      <c r="AK368" s="26" t="n"/>
    </row>
    <row r="369" ht="16.5" customHeight="1" thickBot="1" thickTop="1">
      <c r="A369" s="1490" t="n">
        <v>39</v>
      </c>
      <c r="B369" s="1459" t="n"/>
      <c r="C369" s="1491" t="n">
        <v>1</v>
      </c>
      <c r="D369" s="1432" t="n"/>
      <c r="E369" s="685" t="n">
        <v>37</v>
      </c>
      <c r="F369" s="1498" t="n"/>
      <c r="G369" s="1499" t="n">
        <v>44</v>
      </c>
      <c r="H369" s="1432" t="n"/>
      <c r="I369" s="1500" t="n">
        <v>1</v>
      </c>
      <c r="J369" s="1459" t="n"/>
      <c r="K369" s="1492" t="n">
        <v>32</v>
      </c>
      <c r="L369" s="1493" t="n"/>
      <c r="M369" s="88" t="n"/>
      <c r="N369" s="88" t="n"/>
      <c r="O369" s="88" t="n"/>
      <c r="P369" s="88" t="n"/>
      <c r="Q369" s="88" t="n"/>
      <c r="R369" s="88" t="n"/>
      <c r="S369" s="88" t="n"/>
      <c r="T369" s="88" t="n"/>
      <c r="U369" s="88" t="n"/>
      <c r="V369" s="88" t="n"/>
      <c r="W369" s="88" t="n"/>
      <c r="X369" s="88" t="n"/>
      <c r="Y369" s="88" t="n"/>
      <c r="Z369" s="88" t="n"/>
      <c r="AA369" s="88" t="n"/>
      <c r="AB369" s="88" t="n"/>
      <c r="AC369" s="88" t="n"/>
      <c r="AD369" s="88" t="n"/>
      <c r="AE369" s="88" t="n"/>
      <c r="AF369" s="88" t="n"/>
      <c r="AG369" s="88" t="n"/>
      <c r="AH369" s="26" t="n"/>
      <c r="AI369" s="26" t="n"/>
      <c r="AJ369" s="26" t="n"/>
      <c r="AK369" s="26" t="n"/>
    </row>
    <row r="370" ht="15.75" customHeight="1" thickTop="1">
      <c r="A370" s="106" t="n"/>
      <c r="B370" s="107" t="n"/>
      <c r="C370" s="106" t="n"/>
      <c r="D370" s="106" t="n"/>
      <c r="E370" s="106" t="n"/>
      <c r="F370" s="107" t="n"/>
      <c r="G370" s="106" t="n"/>
      <c r="H370" s="107" t="n"/>
      <c r="I370" s="106" t="n"/>
      <c r="J370" s="107" t="n"/>
      <c r="K370" s="106" t="n"/>
      <c r="L370" s="107" t="n"/>
      <c r="M370" s="88" t="n"/>
      <c r="N370" s="88" t="n"/>
      <c r="O370" s="88" t="n"/>
      <c r="P370" s="88" t="n"/>
      <c r="Q370" s="88" t="n"/>
      <c r="R370" s="88" t="n"/>
      <c r="S370" s="88" t="n"/>
      <c r="T370" s="88" t="n"/>
      <c r="U370" s="88" t="n"/>
      <c r="V370" s="88" t="n"/>
      <c r="W370" s="88" t="n"/>
      <c r="X370" s="88" t="n"/>
      <c r="Y370" s="88" t="n"/>
      <c r="Z370" s="88" t="n"/>
      <c r="AA370" s="88" t="n"/>
      <c r="AB370" s="88" t="n"/>
      <c r="AC370" s="88" t="n"/>
      <c r="AD370" s="88" t="n"/>
      <c r="AE370" s="88" t="n"/>
      <c r="AF370" s="88" t="n"/>
      <c r="AG370" s="88" t="n"/>
      <c r="AH370" s="26" t="n"/>
      <c r="AI370" s="26" t="n"/>
      <c r="AJ370" s="26" t="n"/>
      <c r="AK370" s="26" t="n"/>
    </row>
    <row r="371" ht="15.75" customHeight="1">
      <c r="A371" s="707" t="inlineStr">
        <is>
          <t>Section 10 – Recours judiciaire</t>
        </is>
      </c>
      <c r="M371" s="88" t="n"/>
      <c r="N371" s="88" t="n"/>
      <c r="O371" s="88" t="n"/>
      <c r="P371" s="88" t="n"/>
      <c r="Q371" s="88" t="n"/>
      <c r="R371" s="88" t="n"/>
      <c r="S371" s="88" t="n"/>
      <c r="T371" s="88" t="n"/>
      <c r="U371" s="88" t="n"/>
      <c r="V371" s="88" t="n"/>
      <c r="W371" s="88" t="n"/>
      <c r="X371" s="88" t="n"/>
      <c r="Y371" s="88" t="n"/>
      <c r="Z371" s="88" t="n"/>
      <c r="AA371" s="88" t="n"/>
      <c r="AB371" s="88" t="n"/>
      <c r="AC371" s="88" t="n"/>
      <c r="AD371" s="88" t="n"/>
      <c r="AE371" s="88" t="n"/>
      <c r="AF371" s="88" t="n"/>
      <c r="AG371" s="88" t="n"/>
      <c r="AH371" s="26" t="n"/>
      <c r="AI371" s="26" t="n"/>
      <c r="AJ371" s="26" t="n"/>
      <c r="AK371" s="26" t="n"/>
    </row>
    <row r="372" ht="15.75" customHeight="1">
      <c r="A372" s="108" t="n"/>
      <c r="B372" s="108" t="n"/>
      <c r="C372" s="108" t="n"/>
      <c r="D372" s="108" t="n"/>
      <c r="E372" s="108" t="n"/>
      <c r="F372" s="108" t="n"/>
      <c r="G372" s="108" t="n"/>
      <c r="H372" s="108" t="n"/>
      <c r="I372" s="108" t="n"/>
      <c r="J372" s="108" t="n"/>
      <c r="K372" s="108" t="n"/>
      <c r="L372" s="108" t="n"/>
      <c r="M372" s="88" t="n"/>
      <c r="N372" s="88" t="n"/>
      <c r="O372" s="88" t="n"/>
      <c r="P372" s="88" t="n"/>
      <c r="Q372" s="88" t="n"/>
      <c r="R372" s="88" t="n"/>
      <c r="S372" s="88" t="n"/>
      <c r="T372" s="88" t="n"/>
      <c r="U372" s="88" t="n"/>
      <c r="V372" s="88" t="n"/>
      <c r="W372" s="88" t="n"/>
      <c r="X372" s="88" t="n"/>
      <c r="Y372" s="88" t="n"/>
      <c r="Z372" s="88" t="n"/>
      <c r="AA372" s="88" t="n"/>
      <c r="AB372" s="88" t="n"/>
      <c r="AC372" s="88" t="n"/>
      <c r="AD372" s="88" t="n"/>
      <c r="AE372" s="88" t="n"/>
      <c r="AF372" s="88" t="n"/>
      <c r="AG372" s="88" t="n"/>
      <c r="AH372" s="26" t="n"/>
      <c r="AI372" s="26" t="n"/>
      <c r="AJ372" s="26" t="n"/>
      <c r="AK372" s="26" t="n"/>
    </row>
    <row r="373">
      <c r="A373" s="46" t="n"/>
      <c r="B373" s="46" t="n"/>
      <c r="C373" s="46" t="n"/>
      <c r="D373" s="46" t="n"/>
      <c r="E373" s="46" t="n"/>
      <c r="F373" s="46" t="n"/>
      <c r="G373" s="46" t="n"/>
      <c r="H373" s="46" t="n"/>
      <c r="I373" s="46" t="n"/>
      <c r="J373" s="46" t="n"/>
      <c r="K373" s="46" t="n"/>
      <c r="L373" s="46" t="n"/>
      <c r="M373" s="88" t="n"/>
      <c r="N373" s="88" t="n"/>
      <c r="O373" s="88" t="n"/>
      <c r="P373" s="88" t="n"/>
      <c r="Q373" s="88" t="n"/>
      <c r="R373" s="88" t="n"/>
      <c r="S373" s="88" t="n"/>
      <c r="T373" s="88" t="n"/>
      <c r="U373" s="88" t="n"/>
      <c r="V373" s="88" t="n"/>
      <c r="W373" s="88" t="n"/>
      <c r="X373" s="88" t="n"/>
      <c r="Y373" s="88" t="n"/>
      <c r="Z373" s="88" t="n"/>
      <c r="AA373" s="88" t="n"/>
      <c r="AB373" s="88" t="n"/>
      <c r="AC373" s="88" t="n"/>
      <c r="AD373" s="88" t="n"/>
      <c r="AE373" s="88" t="n"/>
      <c r="AF373" s="88" t="n"/>
      <c r="AG373" s="88" t="n"/>
      <c r="AH373" s="26" t="n"/>
      <c r="AI373" s="26" t="n"/>
      <c r="AJ373" s="26" t="n"/>
      <c r="AK373" s="26" t="n"/>
    </row>
    <row r="374" ht="14.65" customHeight="1">
      <c r="A374" s="324" t="inlineStr">
        <is>
          <t>10.1 Recours judiciaires sur les plaintes</t>
        </is>
      </c>
      <c r="M374" s="88" t="n"/>
      <c r="N374" s="88" t="n"/>
      <c r="O374" s="88" t="n"/>
      <c r="P374" s="88" t="n"/>
      <c r="Q374" s="88" t="n"/>
      <c r="R374" s="88" t="n"/>
      <c r="S374" s="88" t="n"/>
      <c r="T374" s="88" t="n"/>
      <c r="U374" s="88" t="n"/>
      <c r="V374" s="88" t="n"/>
      <c r="W374" s="88" t="n"/>
      <c r="X374" s="88" t="n"/>
      <c r="Y374" s="88" t="n"/>
      <c r="Z374" s="88" t="n"/>
      <c r="AA374" s="88" t="n"/>
      <c r="AB374" s="88" t="n"/>
      <c r="AC374" s="88" t="n"/>
      <c r="AD374" s="88" t="n"/>
      <c r="AE374" s="88" t="n"/>
      <c r="AF374" s="88" t="n"/>
      <c r="AG374" s="88" t="n"/>
      <c r="AH374" s="26" t="n"/>
      <c r="AI374" s="26" t="n"/>
      <c r="AJ374" s="26" t="n"/>
      <c r="AK374" s="26" t="n"/>
    </row>
    <row r="375" ht="15.75" customHeight="1" thickBot="1">
      <c r="A375" s="94" t="n"/>
      <c r="B375" s="94" t="n"/>
      <c r="C375" s="94" t="n"/>
      <c r="D375" s="94" t="n"/>
      <c r="E375" s="94" t="n"/>
      <c r="F375" s="94" t="n"/>
      <c r="G375" s="94" t="n"/>
      <c r="H375" s="94" t="n"/>
      <c r="I375" s="94" t="n"/>
      <c r="J375" s="94" t="n"/>
      <c r="K375" s="94" t="n"/>
      <c r="L375" s="94" t="n"/>
      <c r="M375" s="88" t="n"/>
      <c r="N375" s="88" t="n"/>
      <c r="O375" s="88" t="n"/>
      <c r="P375" s="88" t="n"/>
      <c r="Q375" s="88" t="n"/>
      <c r="R375" s="88" t="n"/>
      <c r="S375" s="88" t="n"/>
      <c r="T375" s="88" t="n"/>
      <c r="U375" s="88" t="n"/>
      <c r="V375" s="88" t="n"/>
      <c r="W375" s="88" t="n"/>
      <c r="X375" s="88" t="n"/>
      <c r="Y375" s="88" t="n"/>
      <c r="Z375" s="88" t="n"/>
      <c r="AA375" s="88" t="n"/>
      <c r="AB375" s="88" t="n"/>
      <c r="AC375" s="88" t="n"/>
      <c r="AD375" s="88" t="n"/>
      <c r="AE375" s="88" t="n"/>
      <c r="AF375" s="88" t="n"/>
      <c r="AG375" s="88" t="n"/>
      <c r="AH375" s="26" t="n"/>
      <c r="AI375" s="26" t="n"/>
      <c r="AJ375" s="26" t="n"/>
      <c r="AK375" s="26" t="n"/>
    </row>
    <row r="376" ht="15.75" customHeight="1" thickTop="1">
      <c r="A376" s="1501" t="inlineStr">
        <is>
          <t>Article 41</t>
        </is>
      </c>
      <c r="B376" s="1377" t="n"/>
      <c r="C376" s="1377" t="n"/>
      <c r="D376" s="1377" t="n"/>
      <c r="E376" s="1377" t="n"/>
      <c r="F376" s="1377" t="n"/>
      <c r="G376" s="1377" t="n"/>
      <c r="H376" s="1377" t="n"/>
      <c r="I376" s="1377" t="n"/>
      <c r="J376" s="1377" t="n"/>
      <c r="K376" s="1377" t="n"/>
      <c r="L376" s="1378" t="n"/>
      <c r="M376" s="88" t="n"/>
      <c r="N376" s="88" t="n"/>
      <c r="O376" s="88" t="n"/>
      <c r="P376" s="88" t="n"/>
      <c r="Q376" s="88" t="n"/>
      <c r="R376" s="88" t="n"/>
      <c r="S376" s="88" t="n"/>
      <c r="T376" s="88" t="n"/>
      <c r="U376" s="88" t="n"/>
      <c r="V376" s="88" t="n"/>
      <c r="W376" s="88" t="n"/>
      <c r="X376" s="88" t="n"/>
      <c r="Y376" s="88" t="n"/>
      <c r="Z376" s="88" t="n"/>
      <c r="AA376" s="88" t="n"/>
      <c r="AB376" s="88" t="n"/>
      <c r="AC376" s="88" t="n"/>
      <c r="AD376" s="88" t="n"/>
      <c r="AE376" s="88" t="n"/>
      <c r="AF376" s="88" t="n"/>
      <c r="AG376" s="88" t="n"/>
      <c r="AH376" s="26" t="n"/>
      <c r="AI376" s="26" t="n"/>
      <c r="AJ376" s="26" t="n"/>
      <c r="AK376" s="26" t="n"/>
    </row>
    <row r="377" ht="29.25" customHeight="1" thickBot="1">
      <c r="A377" s="1502" t="inlineStr">
        <is>
          <t>Plaignant (1)</t>
        </is>
      </c>
      <c r="B377" s="1443" t="n"/>
      <c r="C377" s="259" t="inlineStr">
        <is>
          <t>Institution (2)</t>
        </is>
      </c>
      <c r="D377" s="1443" t="n"/>
      <c r="E377" s="259" t="inlineStr">
        <is>
          <t>Tier  (3)</t>
        </is>
      </c>
      <c r="F377" s="1443" t="n"/>
      <c r="G377" s="745" t="inlineStr">
        <is>
          <t>Commissaire à la protection de la vie privée (4)</t>
        </is>
      </c>
      <c r="H377" s="1390" t="n"/>
      <c r="I377" s="1390" t="n"/>
      <c r="J377" s="1443" t="n"/>
      <c r="K377" s="748" t="inlineStr">
        <is>
          <t>Total</t>
        </is>
      </c>
      <c r="L377" s="1443" t="n"/>
      <c r="M377" s="88" t="n"/>
      <c r="N377" s="88" t="n"/>
      <c r="O377" s="88" t="n"/>
      <c r="P377" s="88" t="n"/>
      <c r="Q377" s="88" t="n"/>
      <c r="R377" s="88" t="n"/>
      <c r="S377" s="88" t="n"/>
      <c r="T377" s="88" t="n"/>
      <c r="U377" s="88" t="n"/>
      <c r="V377" s="88" t="n"/>
      <c r="W377" s="88" t="n"/>
      <c r="X377" s="88" t="n"/>
      <c r="Y377" s="88" t="n"/>
      <c r="Z377" s="88" t="n"/>
      <c r="AA377" s="88" t="n"/>
      <c r="AB377" s="88" t="n"/>
      <c r="AC377" s="88" t="n"/>
      <c r="AD377" s="88" t="n"/>
      <c r="AE377" s="88" t="n"/>
      <c r="AF377" s="88" t="n"/>
      <c r="AG377" s="88" t="n"/>
      <c r="AH377" s="26" t="n"/>
      <c r="AI377" s="26" t="n"/>
      <c r="AJ377" s="26" t="n"/>
      <c r="AK377" s="26" t="n"/>
    </row>
    <row r="378" ht="16.5" customHeight="1" thickBot="1" thickTop="1">
      <c r="A378" s="1503" t="n">
        <v>0</v>
      </c>
      <c r="B378" s="1459" t="n"/>
      <c r="C378" s="283" t="n">
        <v>0</v>
      </c>
      <c r="D378" s="1432" t="n"/>
      <c r="E378" s="1504" t="n">
        <v>0</v>
      </c>
      <c r="F378" s="1459" t="n"/>
      <c r="G378" s="1505" t="n">
        <v>0</v>
      </c>
      <c r="H378" s="1498" t="n"/>
      <c r="I378" s="1498" t="n"/>
      <c r="J378" s="1493" t="n"/>
      <c r="K378" s="1506">
        <f>SUM(A378:J378)</f>
        <v/>
      </c>
      <c r="L378" s="1391" t="n"/>
      <c r="M378" s="88" t="n"/>
      <c r="N378" s="88" t="n"/>
      <c r="O378" s="88" t="n"/>
      <c r="P378" s="88" t="n"/>
      <c r="Q378" s="88" t="n"/>
      <c r="R378" s="88" t="n"/>
      <c r="S378" s="88" t="n"/>
      <c r="T378" s="88" t="n"/>
      <c r="U378" s="88" t="n"/>
      <c r="V378" s="88" t="n"/>
      <c r="W378" s="88" t="n"/>
      <c r="X378" s="88" t="n"/>
      <c r="Y378" s="88" t="n"/>
      <c r="Z378" s="88" t="n"/>
      <c r="AA378" s="88" t="n"/>
      <c r="AB378" s="88" t="n"/>
      <c r="AC378" s="88" t="n"/>
      <c r="AD378" s="88" t="n"/>
      <c r="AE378" s="88" t="n"/>
      <c r="AF378" s="88" t="n"/>
      <c r="AG378" s="88" t="n"/>
      <c r="AH378" s="26" t="n"/>
      <c r="AI378" s="26" t="n"/>
      <c r="AJ378" s="26" t="n"/>
      <c r="AK378" s="26" t="n"/>
    </row>
    <row r="379" ht="15.75" customHeight="1" thickTop="1">
      <c r="A379" s="38" t="n"/>
      <c r="B379" s="109" t="n"/>
      <c r="C379" s="38" t="n"/>
      <c r="D379" s="38" t="n"/>
      <c r="E379" s="38" t="n"/>
      <c r="F379" s="109" t="n"/>
      <c r="G379" s="38" t="n"/>
      <c r="H379" s="109" t="n"/>
      <c r="I379" s="109" t="n"/>
      <c r="J379" s="109" t="n"/>
      <c r="K379" s="38" t="n"/>
      <c r="L379" s="109" t="n"/>
      <c r="M379" s="88" t="n"/>
      <c r="N379" s="88" t="n"/>
      <c r="O379" s="88" t="n"/>
      <c r="P379" s="88" t="n"/>
      <c r="Q379" s="88" t="n"/>
      <c r="R379" s="88" t="n"/>
      <c r="S379" s="88" t="n"/>
      <c r="T379" s="88" t="n"/>
      <c r="U379" s="88" t="n"/>
      <c r="V379" s="88" t="n"/>
      <c r="W379" s="88" t="n"/>
      <c r="X379" s="88" t="n"/>
      <c r="Y379" s="88" t="n"/>
      <c r="Z379" s="88" t="n"/>
      <c r="AA379" s="88" t="n"/>
      <c r="AB379" s="88" t="n"/>
      <c r="AC379" s="88" t="n"/>
      <c r="AD379" s="88" t="n"/>
      <c r="AE379" s="88" t="n"/>
      <c r="AF379" s="88" t="n"/>
      <c r="AG379" s="88" t="n"/>
      <c r="AH379" s="26" t="n"/>
      <c r="AI379" s="26" t="n"/>
      <c r="AJ379" s="26" t="n"/>
      <c r="AK379" s="26" t="n"/>
    </row>
    <row r="380">
      <c r="A380" s="324" t="inlineStr">
        <is>
          <t>10.2 Recours judiciaires sur les plaintes de tiers en vertu de l'alinéa 28(1)b)</t>
        </is>
      </c>
      <c r="I380" s="38" t="n"/>
      <c r="J380" s="109" t="n"/>
      <c r="K380" s="38" t="n"/>
      <c r="L380" s="109" t="n"/>
      <c r="M380" s="88" t="n"/>
      <c r="N380" s="88" t="n"/>
      <c r="O380" s="88" t="n"/>
      <c r="P380" s="88" t="n"/>
      <c r="Q380" s="88" t="n"/>
      <c r="R380" s="88" t="n"/>
      <c r="S380" s="88" t="n"/>
      <c r="T380" s="88" t="n"/>
      <c r="U380" s="88" t="n"/>
      <c r="V380" s="88" t="n"/>
      <c r="W380" s="88" t="n"/>
      <c r="X380" s="88" t="n"/>
      <c r="Y380" s="88" t="n"/>
      <c r="Z380" s="88" t="n"/>
      <c r="AA380" s="88" t="n"/>
      <c r="AB380" s="88" t="n"/>
      <c r="AC380" s="88" t="n"/>
      <c r="AD380" s="88" t="n"/>
      <c r="AE380" s="88" t="n"/>
      <c r="AF380" s="88" t="n"/>
      <c r="AG380" s="88" t="n"/>
      <c r="AH380" s="26" t="n"/>
      <c r="AI380" s="26" t="n"/>
      <c r="AJ380" s="26" t="n"/>
      <c r="AK380" s="26" t="n"/>
    </row>
    <row r="381" ht="15.75" customHeight="1" thickBot="1">
      <c r="A381" s="324" t="n"/>
      <c r="B381" s="38" t="n"/>
      <c r="C381" s="38" t="n"/>
      <c r="D381" s="38" t="n"/>
      <c r="E381" s="38" t="n"/>
      <c r="F381" s="109" t="n"/>
      <c r="G381" s="38" t="n"/>
      <c r="H381" s="38" t="n"/>
      <c r="I381" s="38" t="n"/>
      <c r="J381" s="109" t="n"/>
      <c r="K381" s="38" t="n"/>
      <c r="L381" s="109" t="n"/>
      <c r="M381" s="88" t="n"/>
      <c r="N381" s="88" t="n"/>
      <c r="O381" s="88" t="n"/>
      <c r="P381" s="88" t="n"/>
      <c r="Q381" s="88" t="n"/>
      <c r="R381" s="88" t="n"/>
      <c r="S381" s="88" t="n"/>
      <c r="T381" s="88" t="n"/>
      <c r="U381" s="88" t="n"/>
      <c r="V381" s="88" t="n"/>
      <c r="W381" s="88" t="n"/>
      <c r="X381" s="88" t="n"/>
      <c r="Y381" s="88" t="n"/>
      <c r="Z381" s="88" t="n"/>
      <c r="AA381" s="88" t="n"/>
      <c r="AB381" s="88" t="n"/>
      <c r="AC381" s="88" t="n"/>
      <c r="AD381" s="88" t="n"/>
      <c r="AE381" s="88" t="n"/>
      <c r="AF381" s="88" t="n"/>
      <c r="AG381" s="88" t="n"/>
      <c r="AH381" s="26" t="n"/>
      <c r="AI381" s="26" t="n"/>
      <c r="AJ381" s="26" t="n"/>
      <c r="AK381" s="26" t="n"/>
    </row>
    <row r="382" ht="32.25" customHeight="1" thickBot="1" thickTop="1">
      <c r="A382" s="1507" t="inlineStr">
        <is>
          <t>Article 44 - en vertu de l'alinéa 28(1)b)</t>
        </is>
      </c>
      <c r="B382" s="1374" t="n"/>
      <c r="C382" s="1375" t="n"/>
      <c r="D382" s="38" t="n"/>
      <c r="E382" s="38" t="n"/>
      <c r="F382" s="109" t="n"/>
      <c r="G382" s="38" t="n"/>
      <c r="H382" s="38" t="n"/>
      <c r="I382" s="38" t="n"/>
      <c r="J382" s="109" t="n"/>
      <c r="K382" s="38" t="n"/>
      <c r="L382" s="109" t="n"/>
      <c r="M382" s="88" t="n"/>
      <c r="N382" s="88" t="n"/>
      <c r="O382" s="88" t="n"/>
      <c r="P382" s="88" t="n"/>
      <c r="Q382" s="88" t="n"/>
      <c r="R382" s="88" t="n"/>
      <c r="S382" s="88" t="n"/>
      <c r="T382" s="88" t="n"/>
      <c r="U382" s="88" t="n"/>
      <c r="V382" s="88" t="n"/>
      <c r="W382" s="88" t="n"/>
      <c r="X382" s="88" t="n"/>
      <c r="Y382" s="88" t="n"/>
      <c r="Z382" s="88" t="n"/>
      <c r="AA382" s="88" t="n"/>
      <c r="AB382" s="88" t="n"/>
      <c r="AC382" s="88" t="n"/>
      <c r="AD382" s="88" t="n"/>
      <c r="AE382" s="88" t="n"/>
      <c r="AF382" s="88" t="n"/>
      <c r="AG382" s="88" t="n"/>
      <c r="AH382" s="26" t="n"/>
      <c r="AI382" s="26" t="n"/>
      <c r="AJ382" s="26" t="n"/>
      <c r="AK382" s="26" t="n"/>
    </row>
    <row r="383" ht="16.5" customHeight="1" thickBot="1" thickTop="1">
      <c r="A383" s="1508" t="n">
        <v>0</v>
      </c>
      <c r="B383" s="1430" t="n"/>
      <c r="C383" s="1431" t="n"/>
      <c r="D383" s="109" t="n"/>
      <c r="E383" s="38" t="n"/>
      <c r="F383" s="109" t="n"/>
      <c r="G383" s="38" t="n"/>
      <c r="H383" s="38" t="n"/>
      <c r="I383" s="38" t="n"/>
      <c r="J383" s="109" t="n"/>
      <c r="K383" s="38" t="n"/>
      <c r="L383" s="109" t="n"/>
      <c r="M383" s="88" t="n"/>
      <c r="N383" s="88" t="n"/>
      <c r="O383" s="88" t="n"/>
      <c r="P383" s="88" t="n"/>
      <c r="Q383" s="88" t="n"/>
      <c r="R383" s="88" t="n"/>
      <c r="S383" s="88" t="n"/>
      <c r="T383" s="88" t="n"/>
      <c r="U383" s="88" t="n"/>
      <c r="V383" s="88" t="n"/>
      <c r="W383" s="88" t="n"/>
      <c r="X383" s="88" t="n"/>
      <c r="Y383" s="88" t="n"/>
      <c r="Z383" s="88" t="n"/>
      <c r="AA383" s="88" t="n"/>
      <c r="AB383" s="88" t="n"/>
      <c r="AC383" s="88" t="n"/>
      <c r="AD383" s="88" t="n"/>
      <c r="AE383" s="88" t="n"/>
      <c r="AF383" s="88" t="n"/>
      <c r="AG383" s="88" t="n"/>
      <c r="AH383" s="26" t="n"/>
      <c r="AI383" s="26" t="n"/>
      <c r="AJ383" s="26" t="n"/>
      <c r="AK383" s="26" t="n"/>
    </row>
    <row r="384" ht="15.75" customHeight="1" thickTop="1">
      <c r="M384" s="88" t="n"/>
      <c r="N384" s="88" t="n"/>
      <c r="O384" s="88" t="n"/>
      <c r="P384" s="88" t="n"/>
      <c r="Q384" s="88" t="n"/>
      <c r="R384" s="88" t="n"/>
      <c r="S384" s="88" t="n"/>
      <c r="T384" s="88" t="n"/>
      <c r="U384" s="88" t="n"/>
      <c r="V384" s="88" t="n"/>
      <c r="W384" s="88" t="n"/>
      <c r="X384" s="88" t="n"/>
      <c r="Y384" s="88" t="n"/>
      <c r="Z384" s="88" t="n"/>
      <c r="AA384" s="88" t="n"/>
      <c r="AB384" s="88" t="n"/>
      <c r="AC384" s="88" t="n"/>
      <c r="AD384" s="88" t="n"/>
      <c r="AE384" s="88" t="n"/>
      <c r="AF384" s="88" t="n"/>
      <c r="AG384" s="88" t="n"/>
      <c r="AH384" s="26" t="n"/>
      <c r="AI384" s="26" t="n"/>
      <c r="AJ384" s="26" t="n"/>
      <c r="AK384" s="26" t="n"/>
    </row>
    <row r="385" ht="15.75" customHeight="1">
      <c r="A385" s="707" t="inlineStr">
        <is>
          <t>Section 11 – Ressources liées à la Loi sur l’accès à l’information</t>
        </is>
      </c>
      <c r="M385" s="88" t="n"/>
      <c r="N385" s="88" t="n"/>
      <c r="O385" s="88" t="n"/>
      <c r="P385" s="88" t="n"/>
      <c r="Q385" s="88" t="n"/>
      <c r="R385" s="88" t="n"/>
      <c r="S385" s="88" t="n"/>
      <c r="T385" s="88" t="n"/>
      <c r="U385" s="88" t="n"/>
      <c r="V385" s="88" t="n"/>
      <c r="W385" s="88" t="n"/>
      <c r="X385" s="88" t="n"/>
      <c r="Y385" s="88" t="n"/>
      <c r="Z385" s="88" t="n"/>
      <c r="AA385" s="88" t="n"/>
      <c r="AB385" s="88" t="n"/>
      <c r="AC385" s="88" t="n"/>
      <c r="AD385" s="88" t="n"/>
      <c r="AE385" s="88" t="n"/>
      <c r="AF385" s="88" t="n"/>
      <c r="AG385" s="88" t="n"/>
      <c r="AH385" s="26" t="n"/>
      <c r="AI385" s="26" t="n"/>
      <c r="AJ385" s="26" t="n"/>
      <c r="AK385" s="26" t="n"/>
    </row>
    <row r="386">
      <c r="M386" s="88" t="n"/>
      <c r="N386" s="88" t="n"/>
      <c r="O386" s="88" t="n"/>
      <c r="P386" s="88" t="n"/>
      <c r="Q386" s="88" t="n"/>
      <c r="R386" s="88" t="n"/>
      <c r="S386" s="88" t="n"/>
      <c r="T386" s="88" t="n"/>
      <c r="U386" s="88" t="n"/>
      <c r="V386" s="88" t="n"/>
      <c r="W386" s="88" t="n"/>
      <c r="X386" s="88" t="n"/>
      <c r="Y386" s="88" t="n"/>
      <c r="Z386" s="88" t="n"/>
      <c r="AA386" s="88" t="n"/>
      <c r="AB386" s="88" t="n"/>
      <c r="AC386" s="88" t="n"/>
      <c r="AD386" s="88" t="n"/>
      <c r="AE386" s="88" t="n"/>
      <c r="AF386" s="88" t="n"/>
      <c r="AG386" s="88" t="n"/>
      <c r="AH386" s="26" t="n"/>
      <c r="AI386" s="26" t="n"/>
      <c r="AJ386" s="26" t="n"/>
      <c r="AK386" s="26" t="n"/>
    </row>
    <row r="387">
      <c r="A387" s="411" t="inlineStr">
        <is>
          <t>11.1  Coûts</t>
        </is>
      </c>
      <c r="M387" s="88" t="n"/>
      <c r="N387" s="88" t="n"/>
      <c r="O387" s="88" t="n"/>
      <c r="P387" s="88" t="n"/>
      <c r="Q387" s="88" t="n"/>
      <c r="R387" s="88" t="n"/>
      <c r="S387" s="88" t="n"/>
      <c r="T387" s="88" t="n"/>
      <c r="U387" s="88" t="n"/>
      <c r="V387" s="88" t="n"/>
      <c r="W387" s="88" t="n"/>
      <c r="X387" s="88" t="n"/>
      <c r="Y387" s="88" t="n"/>
      <c r="Z387" s="88" t="n"/>
      <c r="AA387" s="88" t="n"/>
      <c r="AB387" s="88" t="n"/>
      <c r="AC387" s="88" t="n"/>
      <c r="AD387" s="88" t="n"/>
      <c r="AE387" s="88" t="n"/>
      <c r="AF387" s="88" t="n"/>
      <c r="AG387" s="88" t="n"/>
      <c r="AH387" s="26" t="n"/>
      <c r="AI387" s="26" t="n"/>
      <c r="AJ387" s="26" t="n"/>
      <c r="AK387" s="26" t="n"/>
    </row>
    <row r="388" ht="15.75" customHeight="1" thickBot="1">
      <c r="M388" s="88" t="n"/>
      <c r="N388" s="88" t="n"/>
      <c r="O388" s="88" t="n"/>
      <c r="P388" s="88" t="n"/>
      <c r="Q388" s="88" t="n"/>
      <c r="R388" s="88" t="n"/>
      <c r="S388" s="88" t="n"/>
      <c r="T388" s="88" t="n"/>
      <c r="U388" s="88" t="n"/>
      <c r="V388" s="88" t="n"/>
      <c r="W388" s="88" t="n"/>
      <c r="X388" s="88" t="n"/>
      <c r="Y388" s="88" t="n"/>
      <c r="Z388" s="88" t="n"/>
      <c r="AA388" s="88" t="n"/>
      <c r="AB388" s="88" t="n"/>
      <c r="AC388" s="88" t="n"/>
      <c r="AD388" s="88" t="n"/>
      <c r="AE388" s="88" t="n"/>
      <c r="AF388" s="88" t="n"/>
      <c r="AG388" s="88" t="n"/>
      <c r="AH388" s="26" t="n"/>
      <c r="AI388" s="26" t="n"/>
      <c r="AJ388" s="26" t="n"/>
      <c r="AK388" s="26" t="n"/>
    </row>
    <row r="389" ht="16.5" customHeight="1" thickBot="1" thickTop="1">
      <c r="A389" s="1509" t="inlineStr">
        <is>
          <t>Dépenses</t>
        </is>
      </c>
      <c r="B389" s="1374" t="n"/>
      <c r="C389" s="1374" t="n"/>
      <c r="D389" s="1374" t="n"/>
      <c r="E389" s="1374" t="n"/>
      <c r="F389" s="1374" t="n"/>
      <c r="G389" s="1375" t="n"/>
      <c r="H389" s="611" t="inlineStr">
        <is>
          <t>Montant</t>
        </is>
      </c>
      <c r="I389" s="1374" t="n"/>
      <c r="J389" s="1374" t="n"/>
      <c r="K389" s="1405" t="n"/>
      <c r="M389" s="88" t="n"/>
      <c r="N389" s="88" t="n"/>
      <c r="O389" s="88" t="n"/>
      <c r="P389" s="88" t="n"/>
      <c r="Q389" s="88" t="n"/>
      <c r="R389" s="88" t="n"/>
      <c r="S389" s="88" t="n"/>
      <c r="T389" s="88" t="n"/>
      <c r="U389" s="88" t="n"/>
      <c r="V389" s="88" t="n"/>
      <c r="W389" s="88" t="n"/>
      <c r="X389" s="88" t="n"/>
      <c r="Y389" s="88" t="n"/>
      <c r="Z389" s="88" t="n"/>
      <c r="AA389" s="88" t="n"/>
      <c r="AB389" s="88" t="n"/>
      <c r="AC389" s="88" t="n"/>
      <c r="AD389" s="88" t="n"/>
      <c r="AE389" s="88" t="n"/>
      <c r="AF389" s="88" t="n"/>
      <c r="AG389" s="88" t="n"/>
      <c r="AH389" s="26" t="n"/>
      <c r="AI389" s="26" t="n"/>
      <c r="AJ389" s="26" t="n"/>
      <c r="AK389" s="26" t="n"/>
    </row>
    <row r="390" ht="15.75" customHeight="1" thickTop="1">
      <c r="A390" s="1463" t="inlineStr">
        <is>
          <t xml:space="preserve">Salaires </t>
        </is>
      </c>
      <c r="B390" s="1377" t="n"/>
      <c r="C390" s="1377" t="n"/>
      <c r="D390" s="1377" t="n"/>
      <c r="E390" s="1377" t="n"/>
      <c r="F390" s="1377" t="n"/>
      <c r="G390" s="1378" t="n"/>
      <c r="H390" s="1510" t="n">
        <v>4690486</v>
      </c>
      <c r="I390" s="1370" t="n"/>
      <c r="J390" s="1370" t="n"/>
      <c r="K390" s="1407" t="n"/>
      <c r="M390" s="194">
        <f>IFERROR(IF(AND(H390/SUM(F400,F401,F402,F404)&gt;=40000,H390/SUM(F400,F401,F402,F404)&lt;=200000),"","Section 11.1 - Le total des salaires indiqués à la rangée 1 du tableau 11.1 divisé par le total des années-personnes indiqué aux rangées 1, 2, 3 et 5 du tableau 11.2 doit être compris entre 40 000$ et 200 000$."),"")</f>
        <v/>
      </c>
      <c r="N390" s="100" t="n"/>
      <c r="O390" s="100" t="n"/>
      <c r="P390" s="100" t="n"/>
      <c r="Q390" s="100" t="n"/>
      <c r="R390" s="100" t="n"/>
      <c r="S390" s="100" t="n"/>
      <c r="T390" s="100" t="n"/>
      <c r="U390" s="100" t="n"/>
      <c r="V390" s="100" t="n"/>
      <c r="W390" s="100" t="n"/>
      <c r="X390" s="88" t="n"/>
      <c r="Y390" s="88" t="n"/>
      <c r="Z390" s="88" t="n"/>
      <c r="AA390" s="88" t="n"/>
      <c r="AB390" s="88" t="n"/>
      <c r="AC390" s="88" t="n"/>
      <c r="AD390" s="88" t="n"/>
      <c r="AE390" s="88" t="n"/>
      <c r="AF390" s="88" t="n"/>
      <c r="AG390" s="88" t="n"/>
      <c r="AH390" s="26" t="n"/>
      <c r="AI390" s="26" t="n"/>
      <c r="AJ390" s="26" t="n"/>
      <c r="AK390" s="26" t="n"/>
    </row>
    <row r="391">
      <c r="A391" s="1464" t="inlineStr">
        <is>
          <t>Heures supplémentaires</t>
        </is>
      </c>
      <c r="B391" s="1381" t="n"/>
      <c r="C391" s="1381" t="n"/>
      <c r="D391" s="1381" t="n"/>
      <c r="E391" s="1381" t="n"/>
      <c r="F391" s="1381" t="n"/>
      <c r="G391" s="1383" t="n"/>
      <c r="H391" s="1511" t="n">
        <v>28945</v>
      </c>
      <c r="I391" s="1400" t="n"/>
      <c r="J391" s="1400" t="n"/>
      <c r="K391" s="1401" t="n"/>
      <c r="M391" s="88" t="n"/>
      <c r="N391" s="88" t="n"/>
      <c r="O391" s="88" t="n"/>
      <c r="P391" s="88" t="n"/>
      <c r="Q391" s="88" t="n"/>
      <c r="R391" s="88" t="n"/>
      <c r="S391" s="88" t="n"/>
      <c r="T391" s="88" t="n"/>
      <c r="U391" s="88" t="n"/>
      <c r="V391" s="88" t="n"/>
      <c r="W391" s="88" t="n"/>
      <c r="X391" s="88" t="n"/>
      <c r="Y391" s="88" t="n"/>
      <c r="Z391" s="88" t="n"/>
      <c r="AA391" s="88" t="n"/>
      <c r="AB391" s="88" t="n"/>
      <c r="AC391" s="88" t="n"/>
      <c r="AD391" s="88" t="n"/>
      <c r="AE391" s="88" t="n"/>
      <c r="AF391" s="88" t="n"/>
      <c r="AG391" s="88" t="n"/>
      <c r="AH391" s="26" t="n"/>
      <c r="AI391" s="26" t="n"/>
      <c r="AJ391" s="26" t="n"/>
      <c r="AK391" s="26" t="n"/>
    </row>
    <row r="392" ht="15.75" customHeight="1" thickBot="1">
      <c r="A392" s="1464" t="inlineStr">
        <is>
          <t>Biens et services</t>
        </is>
      </c>
      <c r="B392" s="1381" t="n"/>
      <c r="C392" s="1381" t="n"/>
      <c r="D392" s="1381" t="n"/>
      <c r="E392" s="1381" t="n"/>
      <c r="F392" s="1381" t="n"/>
      <c r="G392" s="1383" t="n"/>
      <c r="H392" s="1512">
        <f>SUM(F393:G394)</f>
        <v/>
      </c>
      <c r="I392" s="1381" t="n"/>
      <c r="J392" s="1381" t="n"/>
      <c r="K392" s="1384" t="n"/>
      <c r="M392" s="88" t="n"/>
      <c r="N392" s="88" t="n"/>
      <c r="O392" s="88" t="n"/>
      <c r="P392" s="88" t="n"/>
      <c r="Q392" s="88" t="n"/>
      <c r="R392" s="88" t="n"/>
      <c r="S392" s="88" t="n"/>
      <c r="T392" s="88" t="n"/>
      <c r="U392" s="88" t="n"/>
      <c r="V392" s="88" t="n"/>
      <c r="W392" s="88" t="n"/>
      <c r="X392" s="88" t="n"/>
      <c r="Y392" s="88" t="n"/>
      <c r="Z392" s="88" t="n"/>
      <c r="AA392" s="88" t="n"/>
      <c r="AB392" s="88" t="n"/>
      <c r="AC392" s="88" t="n"/>
      <c r="AD392" s="88" t="n"/>
      <c r="AE392" s="88" t="n"/>
      <c r="AF392" s="88" t="n"/>
      <c r="AG392" s="88" t="n"/>
      <c r="AH392" s="26" t="n"/>
      <c r="AI392" s="26" t="n"/>
      <c r="AJ392" s="26" t="n"/>
      <c r="AK392" s="26" t="n"/>
    </row>
    <row r="393" ht="14.25" customHeight="1" thickTop="1">
      <c r="A393" s="788" t="inlineStr">
        <is>
          <t>• Contrats de services professionnels</t>
        </is>
      </c>
      <c r="B393" s="1372" t="n"/>
      <c r="C393" s="1372" t="n"/>
      <c r="D393" s="1372" t="n"/>
      <c r="E393" s="1372" t="n"/>
      <c r="F393" s="1513" t="n">
        <v>1755935</v>
      </c>
      <c r="G393" s="1399" t="n"/>
      <c r="H393" s="1514" t="n"/>
      <c r="K393" s="1515" t="n"/>
      <c r="M393" s="88" t="n"/>
      <c r="N393" s="88" t="n"/>
      <c r="O393" s="88" t="n"/>
      <c r="P393" s="88" t="n"/>
      <c r="Q393" s="88" t="n"/>
      <c r="R393" s="88" t="n"/>
      <c r="S393" s="88" t="n"/>
      <c r="T393" s="88" t="n"/>
      <c r="U393" s="88" t="n"/>
      <c r="V393" s="88" t="n"/>
      <c r="W393" s="88" t="n"/>
      <c r="X393" s="88" t="n"/>
      <c r="Y393" s="88" t="n"/>
      <c r="Z393" s="88" t="n"/>
      <c r="AA393" s="88" t="n"/>
      <c r="AB393" s="88" t="n"/>
      <c r="AC393" s="88" t="n"/>
      <c r="AD393" s="88" t="n"/>
      <c r="AE393" s="88" t="n"/>
      <c r="AF393" s="88" t="n"/>
      <c r="AG393" s="88" t="n"/>
      <c r="AH393" s="26" t="n"/>
      <c r="AI393" s="26" t="n"/>
      <c r="AJ393" s="26" t="n"/>
      <c r="AK393" s="26" t="n"/>
    </row>
    <row r="394" ht="15.75" customHeight="1" thickBot="1">
      <c r="A394" s="750" t="inlineStr">
        <is>
          <t>• Autres</t>
        </is>
      </c>
      <c r="B394" s="1388" t="n"/>
      <c r="C394" s="1388" t="n"/>
      <c r="D394" s="1388" t="n"/>
      <c r="E394" s="1388" t="n"/>
      <c r="F394" s="1516" t="n">
        <v>902452</v>
      </c>
      <c r="G394" s="1409" t="n"/>
      <c r="H394" s="1390" t="n"/>
      <c r="I394" s="1390" t="n"/>
      <c r="J394" s="1390" t="n"/>
      <c r="K394" s="1391" t="n"/>
      <c r="M394" s="88" t="n"/>
      <c r="N394" s="88" t="n"/>
      <c r="O394" s="88" t="n"/>
      <c r="P394" s="88" t="n"/>
      <c r="Q394" s="88" t="n"/>
      <c r="R394" s="88" t="n"/>
      <c r="S394" s="88" t="n"/>
      <c r="T394" s="88" t="n"/>
      <c r="U394" s="88" t="n"/>
      <c r="V394" s="88" t="n"/>
      <c r="W394" s="88" t="n"/>
      <c r="X394" s="88" t="n"/>
      <c r="Y394" s="88" t="n"/>
      <c r="Z394" s="88" t="n"/>
      <c r="AA394" s="88" t="n"/>
      <c r="AB394" s="88" t="n"/>
      <c r="AC394" s="88" t="n"/>
      <c r="AD394" s="88" t="n"/>
      <c r="AE394" s="88" t="n"/>
      <c r="AF394" s="88" t="n"/>
      <c r="AG394" s="88" t="n"/>
      <c r="AH394" s="26" t="n"/>
      <c r="AI394" s="26" t="n"/>
      <c r="AJ394" s="26" t="n"/>
      <c r="AK394" s="26" t="n"/>
    </row>
    <row r="395" ht="16.5" customHeight="1" thickBot="1" thickTop="1">
      <c r="A395" s="539" t="inlineStr">
        <is>
          <t>Total</t>
        </is>
      </c>
      <c r="B395" s="1374" t="n"/>
      <c r="C395" s="1374" t="n"/>
      <c r="D395" s="1374" t="n"/>
      <c r="E395" s="1374" t="n"/>
      <c r="F395" s="1374" t="n"/>
      <c r="G395" s="1374" t="n"/>
      <c r="H395" s="1517">
        <f>SUM(H390:K392)</f>
        <v/>
      </c>
      <c r="I395" s="1374" t="n"/>
      <c r="J395" s="1374" t="n"/>
      <c r="K395" s="1405" t="n"/>
      <c r="M395" s="88" t="n"/>
      <c r="N395" s="88" t="n"/>
      <c r="O395" s="88" t="n"/>
      <c r="P395" s="88" t="n"/>
      <c r="Q395" s="88" t="n"/>
      <c r="R395" s="88" t="n"/>
      <c r="S395" s="88" t="n"/>
      <c r="T395" s="88" t="n"/>
      <c r="U395" s="88" t="n"/>
      <c r="V395" s="88" t="n"/>
      <c r="W395" s="88" t="n"/>
      <c r="X395" s="88" t="n"/>
      <c r="Y395" s="88" t="n"/>
      <c r="Z395" s="88" t="n"/>
      <c r="AA395" s="88" t="n"/>
      <c r="AB395" s="88" t="n"/>
      <c r="AC395" s="88" t="n"/>
      <c r="AD395" s="88" t="n"/>
      <c r="AE395" s="88" t="n"/>
      <c r="AF395" s="88" t="n"/>
      <c r="AG395" s="88" t="n"/>
      <c r="AH395" s="26" t="n"/>
      <c r="AI395" s="26" t="n"/>
      <c r="AJ395" s="26" t="n"/>
      <c r="AK395" s="26" t="n"/>
    </row>
    <row r="396" ht="15.75" customHeight="1" thickTop="1">
      <c r="M396" s="88" t="n"/>
      <c r="N396" s="88" t="n"/>
      <c r="O396" s="88" t="n"/>
      <c r="P396" s="88" t="n"/>
      <c r="Q396" s="88" t="n"/>
      <c r="R396" s="88" t="n"/>
      <c r="S396" s="88" t="n"/>
      <c r="T396" s="88" t="n"/>
      <c r="U396" s="88" t="n"/>
      <c r="V396" s="88" t="n"/>
      <c r="W396" s="88" t="n"/>
      <c r="X396" s="88" t="n"/>
      <c r="Y396" s="88" t="n"/>
      <c r="Z396" s="88" t="n"/>
      <c r="AA396" s="88" t="n"/>
      <c r="AB396" s="88" t="n"/>
      <c r="AC396" s="88" t="n"/>
      <c r="AD396" s="88" t="n"/>
      <c r="AE396" s="88" t="n"/>
      <c r="AF396" s="88" t="n"/>
      <c r="AG396" s="88" t="n"/>
      <c r="AH396" s="26" t="n"/>
      <c r="AI396" s="26" t="n"/>
      <c r="AJ396" s="26" t="n"/>
      <c r="AK396" s="26" t="n"/>
    </row>
    <row r="397">
      <c r="A397" s="326" t="inlineStr">
        <is>
          <t>11.2  Ressources humaines</t>
        </is>
      </c>
      <c r="M397" s="88" t="n"/>
      <c r="N397" s="88" t="n"/>
      <c r="O397" s="88" t="n"/>
      <c r="P397" s="88" t="n"/>
      <c r="Q397" s="88" t="n"/>
      <c r="R397" s="88" t="n"/>
      <c r="S397" s="88" t="n"/>
      <c r="T397" s="88" t="n"/>
      <c r="U397" s="88" t="n"/>
      <c r="V397" s="88" t="n"/>
      <c r="W397" s="88" t="n"/>
      <c r="X397" s="88" t="n"/>
      <c r="Y397" s="88" t="n"/>
      <c r="Z397" s="88" t="n"/>
      <c r="AA397" s="88" t="n"/>
      <c r="AB397" s="88" t="n"/>
      <c r="AC397" s="88" t="n"/>
      <c r="AD397" s="88" t="n"/>
      <c r="AE397" s="88" t="n"/>
      <c r="AF397" s="88" t="n"/>
      <c r="AG397" s="88" t="n"/>
      <c r="AH397" s="26" t="n"/>
      <c r="AI397" s="26" t="n"/>
      <c r="AJ397" s="26" t="n"/>
      <c r="AK397" s="26" t="n"/>
    </row>
    <row r="398" ht="15.75" customHeight="1" thickBot="1">
      <c r="M398" s="88" t="n"/>
      <c r="N398" s="88" t="n"/>
      <c r="O398" s="88" t="n"/>
      <c r="P398" s="88" t="n"/>
      <c r="Q398" s="88" t="n"/>
      <c r="R398" s="88" t="n"/>
      <c r="S398" s="88" t="n"/>
      <c r="T398" s="88" t="n"/>
      <c r="U398" s="88" t="n"/>
      <c r="V398" s="88" t="n"/>
      <c r="W398" s="88" t="n"/>
      <c r="X398" s="88" t="n"/>
      <c r="Y398" s="88" t="n"/>
      <c r="Z398" s="88" t="n"/>
      <c r="AA398" s="88" t="n"/>
      <c r="AB398" s="88" t="n"/>
      <c r="AC398" s="88" t="n"/>
      <c r="AD398" s="88" t="n"/>
      <c r="AE398" s="88" t="n"/>
      <c r="AF398" s="88" t="n"/>
      <c r="AG398" s="88" t="n"/>
      <c r="AH398" s="26" t="n"/>
      <c r="AI398" s="26" t="n"/>
      <c r="AJ398" s="26" t="n"/>
      <c r="AK398" s="26" t="n"/>
    </row>
    <row r="399" ht="43.5" customHeight="1" thickBot="1" thickTop="1">
      <c r="A399" s="374" t="inlineStr">
        <is>
          <t>Ressources</t>
        </is>
      </c>
      <c r="B399" s="1374" t="n"/>
      <c r="C399" s="1374" t="n"/>
      <c r="D399" s="1374" t="n"/>
      <c r="E399" s="1374" t="n"/>
      <c r="F399" s="731" t="inlineStr">
        <is>
          <t>Années-personnes consacrées aux activités liées à l’accès à l’information</t>
        </is>
      </c>
      <c r="G399" s="1412" t="n"/>
      <c r="H399" s="1423" t="n"/>
      <c r="M399" s="88" t="n"/>
      <c r="N399" s="88" t="n"/>
      <c r="O399" s="88" t="n"/>
      <c r="P399" s="88" t="n"/>
      <c r="Q399" s="88" t="n"/>
      <c r="R399" s="88" t="n"/>
      <c r="S399" s="88" t="n"/>
      <c r="T399" s="88" t="n"/>
      <c r="U399" s="88" t="n"/>
      <c r="V399" s="88" t="n"/>
      <c r="W399" s="88" t="n"/>
      <c r="X399" s="88" t="n"/>
      <c r="Y399" s="88" t="n"/>
      <c r="Z399" s="88" t="n"/>
      <c r="AA399" s="88" t="n"/>
      <c r="AB399" s="88" t="n"/>
      <c r="AC399" s="88" t="n"/>
      <c r="AD399" s="88" t="n"/>
      <c r="AE399" s="88" t="n"/>
      <c r="AF399" s="88" t="n"/>
      <c r="AG399" s="88" t="n"/>
      <c r="AH399" s="26" t="n"/>
      <c r="AI399" s="26" t="n"/>
      <c r="AJ399" s="26" t="n"/>
      <c r="AK399" s="26" t="n"/>
    </row>
    <row r="400" ht="15.75" customHeight="1" thickTop="1">
      <c r="A400" s="644" t="inlineStr">
        <is>
          <t>Employés à temps plein</t>
        </is>
      </c>
      <c r="B400" s="1377" t="n"/>
      <c r="C400" s="1377" t="n"/>
      <c r="D400" s="1377" t="n"/>
      <c r="E400" s="1377" t="n"/>
      <c r="F400" s="1518" t="n">
        <v>49.629</v>
      </c>
      <c r="G400" s="1379" t="n"/>
      <c r="H400" s="1380" t="n"/>
      <c r="M400" s="88" t="n"/>
      <c r="N400" s="88" t="n"/>
      <c r="O400" s="88" t="n"/>
      <c r="P400" s="88" t="n"/>
      <c r="Q400" s="88" t="n"/>
      <c r="R400" s="88" t="n"/>
      <c r="S400" s="88" t="n"/>
      <c r="T400" s="88" t="n"/>
      <c r="U400" s="88" t="n"/>
      <c r="V400" s="88" t="n"/>
      <c r="W400" s="88" t="n"/>
      <c r="X400" s="88" t="n"/>
      <c r="Y400" s="88" t="n"/>
      <c r="Z400" s="88" t="n"/>
      <c r="AA400" s="88" t="n"/>
      <c r="AB400" s="88" t="n"/>
      <c r="AC400" s="88" t="n"/>
      <c r="AD400" s="88" t="n"/>
      <c r="AE400" s="88" t="n"/>
      <c r="AF400" s="88" t="n"/>
      <c r="AG400" s="88" t="n"/>
      <c r="AH400" s="26" t="n"/>
      <c r="AI400" s="26" t="n"/>
      <c r="AJ400" s="26" t="n"/>
      <c r="AK400" s="26" t="n"/>
    </row>
    <row r="401">
      <c r="A401" s="614" t="inlineStr">
        <is>
          <t>Employés à temps partiel et occasionnels</t>
        </is>
      </c>
      <c r="B401" s="1381" t="n"/>
      <c r="C401" s="1381" t="n"/>
      <c r="D401" s="1381" t="n"/>
      <c r="E401" s="1381" t="n"/>
      <c r="F401" s="1519" t="n">
        <v>1.206</v>
      </c>
      <c r="G401" s="1400" t="n"/>
      <c r="H401" s="1421" t="n"/>
      <c r="M401" s="88" t="n"/>
      <c r="N401" s="88" t="n"/>
      <c r="O401" s="88" t="n"/>
      <c r="P401" s="88" t="n"/>
      <c r="Q401" s="88" t="n"/>
      <c r="R401" s="88" t="n"/>
      <c r="S401" s="88" t="n"/>
      <c r="T401" s="88" t="n"/>
      <c r="U401" s="88" t="n"/>
      <c r="V401" s="88" t="n"/>
      <c r="W401" s="88" t="n"/>
      <c r="X401" s="88" t="n"/>
      <c r="Y401" s="88" t="n"/>
      <c r="Z401" s="88" t="n"/>
      <c r="AA401" s="88" t="n"/>
      <c r="AB401" s="88" t="n"/>
      <c r="AC401" s="88" t="n"/>
      <c r="AD401" s="88" t="n"/>
      <c r="AE401" s="88" t="n"/>
      <c r="AF401" s="88" t="n"/>
      <c r="AG401" s="88" t="n"/>
      <c r="AH401" s="26" t="n"/>
      <c r="AI401" s="26" t="n"/>
      <c r="AJ401" s="26" t="n"/>
      <c r="AK401" s="26" t="n"/>
    </row>
    <row r="402">
      <c r="A402" s="614" t="inlineStr">
        <is>
          <t>Employés régionaux</t>
        </is>
      </c>
      <c r="B402" s="1381" t="n"/>
      <c r="C402" s="1381" t="n"/>
      <c r="D402" s="1381" t="n"/>
      <c r="E402" s="1381" t="n"/>
      <c r="F402" s="1519" t="n">
        <v>0</v>
      </c>
      <c r="G402" s="1400" t="n"/>
      <c r="H402" s="1421" t="n"/>
      <c r="M402" s="88" t="n"/>
      <c r="N402" s="88" t="n"/>
      <c r="O402" s="88" t="n"/>
      <c r="P402" s="88" t="n"/>
      <c r="Q402" s="88" t="n"/>
      <c r="R402" s="88" t="n"/>
      <c r="S402" s="88" t="n"/>
      <c r="T402" s="88" t="n"/>
      <c r="U402" s="88" t="n"/>
      <c r="V402" s="88" t="n"/>
      <c r="W402" s="88" t="n"/>
      <c r="X402" s="88" t="n"/>
      <c r="Y402" s="88" t="n"/>
      <c r="Z402" s="88" t="n"/>
      <c r="AA402" s="88" t="n"/>
      <c r="AB402" s="88" t="n"/>
      <c r="AC402" s="88" t="n"/>
      <c r="AD402" s="88" t="n"/>
      <c r="AE402" s="88" t="n"/>
      <c r="AF402" s="88" t="n"/>
      <c r="AG402" s="88" t="n"/>
      <c r="AH402" s="26" t="n"/>
      <c r="AI402" s="26" t="n"/>
      <c r="AJ402" s="26" t="n"/>
      <c r="AK402" s="26" t="n"/>
    </row>
    <row r="403">
      <c r="A403" s="614" t="inlineStr">
        <is>
          <t>Experts-conseils et personnel d’agence</t>
        </is>
      </c>
      <c r="B403" s="1381" t="n"/>
      <c r="C403" s="1381" t="n"/>
      <c r="D403" s="1381" t="n"/>
      <c r="E403" s="1381" t="n"/>
      <c r="F403" s="1519" t="n">
        <v>12.25</v>
      </c>
      <c r="G403" s="1400" t="n"/>
      <c r="H403" s="1421" t="n"/>
      <c r="M403" s="88" t="n"/>
      <c r="N403" s="88" t="n"/>
      <c r="O403" s="88" t="n"/>
      <c r="P403" s="88" t="n"/>
      <c r="Q403" s="88" t="n"/>
      <c r="R403" s="88" t="n"/>
      <c r="S403" s="88" t="n"/>
      <c r="T403" s="88" t="n"/>
      <c r="U403" s="88" t="n"/>
      <c r="V403" s="88" t="n"/>
      <c r="W403" s="88" t="n"/>
      <c r="X403" s="88" t="n"/>
      <c r="Y403" s="88" t="n"/>
      <c r="Z403" s="88" t="n"/>
      <c r="AA403" s="88" t="n"/>
      <c r="AB403" s="88" t="n"/>
      <c r="AC403" s="88" t="n"/>
      <c r="AD403" s="88" t="n"/>
      <c r="AE403" s="88" t="n"/>
      <c r="AF403" s="88" t="n"/>
      <c r="AG403" s="88" t="n"/>
      <c r="AH403" s="26" t="n"/>
      <c r="AI403" s="26" t="n"/>
      <c r="AJ403" s="26" t="n"/>
      <c r="AK403" s="26" t="n"/>
    </row>
    <row r="404" ht="15.75" customHeight="1" thickBot="1">
      <c r="A404" s="663" t="inlineStr">
        <is>
          <t>Étudiants</t>
        </is>
      </c>
      <c r="B404" s="1388" t="n"/>
      <c r="C404" s="1388" t="n"/>
      <c r="D404" s="1388" t="n"/>
      <c r="E404" s="1388" t="n"/>
      <c r="F404" s="1520" t="n">
        <v>3.47</v>
      </c>
      <c r="G404" s="1403" t="n"/>
      <c r="H404" s="1521" t="n"/>
      <c r="M404" s="88" t="n"/>
      <c r="N404" s="88" t="n"/>
      <c r="O404" s="88" t="n"/>
      <c r="P404" s="88" t="n"/>
      <c r="Q404" s="88" t="n"/>
      <c r="R404" s="88" t="n"/>
      <c r="S404" s="88" t="n"/>
      <c r="T404" s="88" t="n"/>
      <c r="U404" s="88" t="n"/>
      <c r="V404" s="88" t="n"/>
      <c r="W404" s="88" t="n"/>
      <c r="X404" s="88" t="n"/>
      <c r="Y404" s="88" t="n"/>
      <c r="Z404" s="88" t="n"/>
      <c r="AA404" s="88" t="n"/>
      <c r="AB404" s="88" t="n"/>
      <c r="AC404" s="88" t="n"/>
      <c r="AD404" s="88" t="n"/>
      <c r="AE404" s="88" t="n"/>
      <c r="AF404" s="88" t="n"/>
      <c r="AG404" s="88" t="n"/>
      <c r="AH404" s="26" t="n"/>
      <c r="AI404" s="26" t="n"/>
      <c r="AJ404" s="26" t="n"/>
      <c r="AK404" s="26" t="n"/>
    </row>
    <row r="405" ht="16.5" customHeight="1" thickBot="1" thickTop="1">
      <c r="A405" s="539" t="inlineStr">
        <is>
          <t>Total</t>
        </is>
      </c>
      <c r="B405" s="1374" t="n"/>
      <c r="C405" s="1374" t="n"/>
      <c r="D405" s="1374" t="n"/>
      <c r="E405" s="1374" t="n"/>
      <c r="F405" s="1522">
        <f>SUM(F400:H404)</f>
        <v/>
      </c>
      <c r="G405" s="1374" t="n"/>
      <c r="H405" s="1405" t="n"/>
      <c r="M405" s="88" t="n"/>
      <c r="N405" s="88" t="n"/>
      <c r="O405" s="88" t="n"/>
      <c r="P405" s="88" t="n"/>
      <c r="Q405" s="88" t="n"/>
      <c r="R405" s="88" t="n"/>
      <c r="S405" s="88" t="n"/>
      <c r="T405" s="88" t="n"/>
      <c r="U405" s="88" t="n"/>
      <c r="V405" s="88" t="n"/>
      <c r="W405" s="88" t="n"/>
      <c r="X405" s="88" t="n"/>
      <c r="Y405" s="88" t="n"/>
      <c r="Z405" s="88" t="n"/>
      <c r="AA405" s="88" t="n"/>
      <c r="AB405" s="88" t="n"/>
      <c r="AC405" s="88" t="n"/>
      <c r="AD405" s="88" t="n"/>
      <c r="AE405" s="88" t="n"/>
      <c r="AF405" s="88" t="n"/>
      <c r="AG405" s="88" t="n"/>
      <c r="AH405" s="26" t="n"/>
      <c r="AI405" s="26" t="n"/>
      <c r="AJ405" s="26" t="n"/>
      <c r="AK405" s="26" t="n"/>
    </row>
    <row r="406" ht="15.75" customHeight="1" thickTop="1">
      <c r="A406" s="173" t="inlineStr">
        <is>
          <t>Remarque : Entrer des valeurs à trois décimales.</t>
        </is>
      </c>
      <c r="M406" s="88" t="n"/>
      <c r="N406" s="89" t="n"/>
      <c r="O406" s="89" t="n"/>
      <c r="P406" s="89" t="n"/>
      <c r="Q406" s="89" t="n"/>
      <c r="R406" s="89" t="n"/>
      <c r="S406" s="89" t="n"/>
      <c r="T406" s="89" t="n"/>
      <c r="U406" s="89" t="n"/>
      <c r="V406" s="89" t="n"/>
      <c r="W406" s="89" t="n"/>
      <c r="X406" s="89" t="n"/>
      <c r="Y406" s="89" t="n"/>
      <c r="Z406" s="89" t="n"/>
      <c r="AA406" s="89" t="n"/>
      <c r="AB406" s="89" t="n"/>
      <c r="AC406" s="89" t="n"/>
      <c r="AD406" s="89" t="n"/>
      <c r="AE406" s="89" t="n"/>
      <c r="AF406" s="89" t="n"/>
      <c r="AG406" s="89" t="n"/>
    </row>
    <row r="407">
      <c r="M407" s="88" t="n"/>
      <c r="N407" s="89" t="n"/>
      <c r="O407" s="89" t="n"/>
      <c r="P407" s="89" t="n"/>
      <c r="Q407" s="89" t="n"/>
      <c r="R407" s="89" t="n"/>
      <c r="S407" s="89" t="n"/>
      <c r="T407" s="89" t="n"/>
      <c r="U407" s="89" t="n"/>
      <c r="V407" s="89" t="n"/>
      <c r="W407" s="89" t="n"/>
      <c r="X407" s="89" t="n"/>
      <c r="Y407" s="89" t="n"/>
      <c r="Z407" s="89" t="n"/>
      <c r="AA407" s="89" t="n"/>
      <c r="AB407" s="89" t="n"/>
      <c r="AC407" s="89" t="n"/>
      <c r="AD407" s="89" t="n"/>
      <c r="AE407" s="89" t="n"/>
      <c r="AF407" s="89" t="n"/>
      <c r="AG407" s="89" t="n"/>
    </row>
    <row r="408">
      <c r="M408" s="88" t="n"/>
      <c r="N408" s="89" t="n"/>
      <c r="O408" s="89" t="n"/>
      <c r="P408" s="89" t="n"/>
      <c r="Q408" s="89" t="n"/>
      <c r="R408" s="89" t="n"/>
      <c r="S408" s="89" t="n"/>
      <c r="T408" s="89" t="n"/>
      <c r="U408" s="89" t="n"/>
      <c r="V408" s="89" t="n"/>
      <c r="W408" s="89" t="n"/>
      <c r="X408" s="89" t="n"/>
      <c r="Y408" s="89" t="n"/>
      <c r="Z408" s="89" t="n"/>
      <c r="AA408" s="89" t="n"/>
      <c r="AB408" s="89" t="n"/>
      <c r="AC408" s="89" t="n"/>
      <c r="AD408" s="89" t="n"/>
      <c r="AE408" s="89" t="n"/>
      <c r="AF408" s="89" t="n"/>
      <c r="AG408" s="89" t="n"/>
    </row>
    <row r="409">
      <c r="M409" s="88" t="n"/>
      <c r="N409" s="89" t="n"/>
      <c r="O409" s="89" t="n"/>
      <c r="P409" s="89" t="n"/>
      <c r="Q409" s="89" t="n"/>
      <c r="R409" s="89" t="n"/>
      <c r="S409" s="89" t="n"/>
      <c r="T409" s="89" t="n"/>
      <c r="U409" s="89" t="n"/>
      <c r="V409" s="89" t="n"/>
      <c r="W409" s="89" t="n"/>
      <c r="X409" s="89" t="n"/>
      <c r="Y409" s="89" t="n"/>
      <c r="Z409" s="89" t="n"/>
      <c r="AA409" s="89" t="n"/>
      <c r="AB409" s="89" t="n"/>
      <c r="AC409" s="89" t="n"/>
      <c r="AD409" s="89" t="n"/>
      <c r="AE409" s="89" t="n"/>
      <c r="AF409" s="89" t="n"/>
      <c r="AG409" s="89" t="n"/>
    </row>
    <row r="410">
      <c r="M410" s="88" t="n"/>
      <c r="N410" s="89" t="n"/>
      <c r="O410" s="89" t="n"/>
      <c r="P410" s="89" t="n"/>
      <c r="Q410" s="89" t="n"/>
      <c r="R410" s="89" t="n"/>
      <c r="S410" s="89" t="n"/>
      <c r="T410" s="89" t="n"/>
      <c r="U410" s="89" t="n"/>
      <c r="V410" s="89" t="n"/>
      <c r="W410" s="89" t="n"/>
      <c r="X410" s="89" t="n"/>
      <c r="Y410" s="89" t="n"/>
      <c r="Z410" s="89" t="n"/>
      <c r="AA410" s="89" t="n"/>
      <c r="AB410" s="89" t="n"/>
      <c r="AC410" s="89" t="n"/>
      <c r="AD410" s="89" t="n"/>
      <c r="AE410" s="89" t="n"/>
      <c r="AF410" s="89" t="n"/>
      <c r="AG410" s="89" t="n"/>
    </row>
    <row r="411">
      <c r="M411" s="88" t="n"/>
      <c r="N411" s="89" t="n"/>
      <c r="O411" s="89" t="n"/>
      <c r="P411" s="89" t="n"/>
      <c r="Q411" s="89" t="n"/>
      <c r="R411" s="89" t="n"/>
      <c r="S411" s="89" t="n"/>
      <c r="T411" s="89" t="n"/>
      <c r="U411" s="89" t="n"/>
      <c r="V411" s="89" t="n"/>
      <c r="W411" s="89" t="n"/>
      <c r="X411" s="89" t="n"/>
      <c r="Y411" s="89" t="n"/>
      <c r="Z411" s="89" t="n"/>
      <c r="AA411" s="89" t="n"/>
      <c r="AB411" s="89" t="n"/>
      <c r="AC411" s="89" t="n"/>
      <c r="AD411" s="89" t="n"/>
      <c r="AE411" s="89" t="n"/>
      <c r="AF411" s="89" t="n"/>
      <c r="AG411" s="89" t="n"/>
    </row>
    <row r="412">
      <c r="M412" s="88" t="n"/>
      <c r="N412" s="89" t="n"/>
      <c r="O412" s="89" t="n"/>
      <c r="P412" s="89" t="n"/>
      <c r="Q412" s="89" t="n"/>
      <c r="R412" s="89" t="n"/>
      <c r="S412" s="89" t="n"/>
      <c r="T412" s="89" t="n"/>
      <c r="U412" s="89" t="n"/>
      <c r="V412" s="89" t="n"/>
      <c r="W412" s="89" t="n"/>
      <c r="X412" s="89" t="n"/>
      <c r="Y412" s="89" t="n"/>
      <c r="Z412" s="89" t="n"/>
      <c r="AA412" s="89" t="n"/>
      <c r="AB412" s="89" t="n"/>
      <c r="AC412" s="89" t="n"/>
      <c r="AD412" s="89" t="n"/>
      <c r="AE412" s="89" t="n"/>
      <c r="AF412" s="89" t="n"/>
      <c r="AG412" s="89" t="n"/>
    </row>
    <row r="413">
      <c r="M413" s="88" t="n"/>
      <c r="N413" s="89" t="n"/>
      <c r="O413" s="89" t="n"/>
      <c r="P413" s="89" t="n"/>
      <c r="Q413" s="89" t="n"/>
      <c r="R413" s="89" t="n"/>
      <c r="S413" s="89" t="n"/>
      <c r="T413" s="89" t="n"/>
      <c r="U413" s="89" t="n"/>
      <c r="V413" s="89" t="n"/>
      <c r="W413" s="89" t="n"/>
      <c r="X413" s="89" t="n"/>
      <c r="Y413" s="89" t="n"/>
      <c r="Z413" s="89" t="n"/>
      <c r="AA413" s="89" t="n"/>
      <c r="AB413" s="89" t="n"/>
      <c r="AC413" s="89" t="n"/>
      <c r="AD413" s="89" t="n"/>
      <c r="AE413" s="89" t="n"/>
      <c r="AF413" s="89" t="n"/>
      <c r="AG413" s="89" t="n"/>
    </row>
    <row r="414">
      <c r="M414" s="88" t="n"/>
      <c r="N414" s="89" t="n"/>
      <c r="O414" s="89" t="n"/>
      <c r="P414" s="89" t="n"/>
      <c r="Q414" s="89" t="n"/>
      <c r="R414" s="89" t="n"/>
      <c r="S414" s="89" t="n"/>
      <c r="T414" s="89" t="n"/>
      <c r="U414" s="89" t="n"/>
      <c r="V414" s="89" t="n"/>
      <c r="W414" s="89" t="n"/>
      <c r="X414" s="89" t="n"/>
      <c r="Y414" s="89" t="n"/>
      <c r="Z414" s="89" t="n"/>
      <c r="AA414" s="89" t="n"/>
      <c r="AB414" s="89" t="n"/>
      <c r="AC414" s="89" t="n"/>
      <c r="AD414" s="89" t="n"/>
      <c r="AE414" s="89" t="n"/>
      <c r="AF414" s="89" t="n"/>
      <c r="AG414" s="89" t="n"/>
    </row>
    <row r="415">
      <c r="M415" s="88" t="n"/>
      <c r="N415" s="89" t="n"/>
      <c r="O415" s="89" t="n"/>
      <c r="P415" s="89" t="n"/>
      <c r="Q415" s="89" t="n"/>
      <c r="R415" s="89" t="n"/>
      <c r="S415" s="89" t="n"/>
      <c r="T415" s="89" t="n"/>
      <c r="U415" s="89" t="n"/>
      <c r="V415" s="89" t="n"/>
      <c r="W415" s="89" t="n"/>
      <c r="X415" s="89" t="n"/>
      <c r="Y415" s="89" t="n"/>
      <c r="Z415" s="89" t="n"/>
      <c r="AA415" s="89" t="n"/>
      <c r="AB415" s="89" t="n"/>
      <c r="AC415" s="89" t="n"/>
      <c r="AD415" s="89" t="n"/>
      <c r="AE415" s="89" t="n"/>
      <c r="AF415" s="89" t="n"/>
      <c r="AG415" s="89" t="n"/>
    </row>
    <row r="416">
      <c r="M416" s="88" t="n"/>
      <c r="N416" s="89" t="n"/>
      <c r="O416" s="89" t="n"/>
      <c r="P416" s="89" t="n"/>
      <c r="Q416" s="89" t="n"/>
      <c r="R416" s="89" t="n"/>
      <c r="S416" s="89" t="n"/>
      <c r="T416" s="89" t="n"/>
      <c r="U416" s="89" t="n"/>
      <c r="V416" s="89" t="n"/>
      <c r="W416" s="89" t="n"/>
      <c r="X416" s="89" t="n"/>
      <c r="Y416" s="89" t="n"/>
      <c r="Z416" s="89" t="n"/>
      <c r="AA416" s="89" t="n"/>
      <c r="AB416" s="89" t="n"/>
      <c r="AC416" s="89" t="n"/>
      <c r="AD416" s="89" t="n"/>
      <c r="AE416" s="89" t="n"/>
      <c r="AF416" s="89" t="n"/>
      <c r="AG416" s="89" t="n"/>
    </row>
    <row r="417">
      <c r="M417" s="88" t="n"/>
      <c r="N417" s="89" t="n"/>
      <c r="O417" s="89" t="n"/>
      <c r="P417" s="89" t="n"/>
      <c r="Q417" s="89" t="n"/>
      <c r="R417" s="89" t="n"/>
      <c r="S417" s="89" t="n"/>
      <c r="T417" s="89" t="n"/>
      <c r="U417" s="89" t="n"/>
      <c r="V417" s="89" t="n"/>
      <c r="W417" s="89" t="n"/>
      <c r="X417" s="89" t="n"/>
      <c r="Y417" s="89" t="n"/>
      <c r="Z417" s="89" t="n"/>
      <c r="AA417" s="89" t="n"/>
      <c r="AB417" s="89" t="n"/>
      <c r="AC417" s="89" t="n"/>
      <c r="AD417" s="89" t="n"/>
      <c r="AE417" s="89" t="n"/>
      <c r="AF417" s="89" t="n"/>
      <c r="AG417" s="89" t="n"/>
    </row>
    <row r="418">
      <c r="M418" s="88" t="n"/>
      <c r="N418" s="89" t="n"/>
      <c r="O418" s="89" t="n"/>
      <c r="P418" s="89" t="n"/>
      <c r="Q418" s="89" t="n"/>
      <c r="R418" s="89" t="n"/>
      <c r="S418" s="89" t="n"/>
      <c r="T418" s="89" t="n"/>
      <c r="U418" s="89" t="n"/>
      <c r="V418" s="89" t="n"/>
      <c r="W418" s="89" t="n"/>
      <c r="X418" s="89" t="n"/>
      <c r="Y418" s="89" t="n"/>
      <c r="Z418" s="89" t="n"/>
      <c r="AA418" s="89" t="n"/>
      <c r="AB418" s="89" t="n"/>
      <c r="AC418" s="89" t="n"/>
      <c r="AD418" s="89" t="n"/>
      <c r="AE418" s="89" t="n"/>
      <c r="AF418" s="89" t="n"/>
      <c r="AG418" s="89" t="n"/>
    </row>
    <row r="419">
      <c r="M419" s="88" t="n"/>
      <c r="N419" s="89" t="n"/>
      <c r="O419" s="89" t="n"/>
      <c r="P419" s="89" t="n"/>
      <c r="Q419" s="89" t="n"/>
      <c r="R419" s="89" t="n"/>
      <c r="S419" s="89" t="n"/>
      <c r="T419" s="89" t="n"/>
      <c r="U419" s="89" t="n"/>
      <c r="V419" s="89" t="n"/>
      <c r="W419" s="89" t="n"/>
      <c r="X419" s="89" t="n"/>
      <c r="Y419" s="89" t="n"/>
      <c r="Z419" s="89" t="n"/>
      <c r="AA419" s="89" t="n"/>
      <c r="AB419" s="89" t="n"/>
      <c r="AC419" s="89" t="n"/>
      <c r="AD419" s="89" t="n"/>
      <c r="AE419" s="89" t="n"/>
      <c r="AF419" s="89" t="n"/>
      <c r="AG419" s="89" t="n"/>
    </row>
    <row r="420">
      <c r="M420" s="88" t="n"/>
      <c r="N420" s="89" t="n"/>
      <c r="O420" s="89" t="n"/>
      <c r="P420" s="89" t="n"/>
      <c r="Q420" s="89" t="n"/>
      <c r="R420" s="89" t="n"/>
      <c r="S420" s="89" t="n"/>
      <c r="T420" s="89" t="n"/>
      <c r="U420" s="89" t="n"/>
      <c r="V420" s="89" t="n"/>
      <c r="W420" s="89" t="n"/>
      <c r="X420" s="89" t="n"/>
      <c r="Y420" s="89" t="n"/>
      <c r="Z420" s="89" t="n"/>
      <c r="AA420" s="89" t="n"/>
      <c r="AB420" s="89" t="n"/>
      <c r="AC420" s="89" t="n"/>
      <c r="AD420" s="89" t="n"/>
      <c r="AE420" s="89" t="n"/>
      <c r="AF420" s="89" t="n"/>
      <c r="AG420" s="89" t="n"/>
    </row>
    <row r="421">
      <c r="M421" s="88" t="n"/>
      <c r="N421" s="89" t="n"/>
      <c r="O421" s="89" t="n"/>
      <c r="P421" s="89" t="n"/>
      <c r="Q421" s="89" t="n"/>
      <c r="R421" s="89" t="n"/>
      <c r="S421" s="89" t="n"/>
      <c r="T421" s="89" t="n"/>
      <c r="U421" s="89" t="n"/>
      <c r="V421" s="89" t="n"/>
      <c r="W421" s="89" t="n"/>
      <c r="X421" s="89" t="n"/>
      <c r="Y421" s="89" t="n"/>
      <c r="Z421" s="89" t="n"/>
      <c r="AA421" s="89" t="n"/>
      <c r="AB421" s="89" t="n"/>
      <c r="AC421" s="89" t="n"/>
      <c r="AD421" s="89" t="n"/>
      <c r="AE421" s="89" t="n"/>
      <c r="AF421" s="89" t="n"/>
      <c r="AG421" s="89" t="n"/>
    </row>
    <row r="422">
      <c r="M422" s="88" t="n"/>
      <c r="N422" s="89" t="n"/>
      <c r="O422" s="89" t="n"/>
      <c r="P422" s="89" t="n"/>
      <c r="Q422" s="89" t="n"/>
      <c r="R422" s="89" t="n"/>
      <c r="S422" s="89" t="n"/>
      <c r="T422" s="89" t="n"/>
      <c r="U422" s="89" t="n"/>
      <c r="V422" s="89" t="n"/>
      <c r="W422" s="89" t="n"/>
      <c r="X422" s="89" t="n"/>
      <c r="Y422" s="89" t="n"/>
      <c r="Z422" s="89" t="n"/>
      <c r="AA422" s="89" t="n"/>
      <c r="AB422" s="89" t="n"/>
      <c r="AC422" s="89" t="n"/>
      <c r="AD422" s="89" t="n"/>
      <c r="AE422" s="89" t="n"/>
      <c r="AF422" s="89" t="n"/>
      <c r="AG422" s="89" t="n"/>
    </row>
    <row r="423">
      <c r="M423" s="88" t="n"/>
      <c r="N423" s="89" t="n"/>
      <c r="O423" s="89" t="n"/>
      <c r="P423" s="89" t="n"/>
      <c r="Q423" s="89" t="n"/>
      <c r="R423" s="89" t="n"/>
      <c r="S423" s="89" t="n"/>
      <c r="T423" s="89" t="n"/>
      <c r="U423" s="89" t="n"/>
      <c r="V423" s="89" t="n"/>
      <c r="W423" s="89" t="n"/>
      <c r="X423" s="89" t="n"/>
      <c r="Y423" s="89" t="n"/>
      <c r="Z423" s="89" t="n"/>
      <c r="AA423" s="89" t="n"/>
      <c r="AB423" s="89" t="n"/>
      <c r="AC423" s="89" t="n"/>
      <c r="AD423" s="89" t="n"/>
      <c r="AE423" s="89" t="n"/>
      <c r="AF423" s="89" t="n"/>
      <c r="AG423" s="89" t="n"/>
    </row>
    <row r="424">
      <c r="M424" s="88" t="n"/>
      <c r="N424" s="89" t="n"/>
      <c r="O424" s="89" t="n"/>
      <c r="P424" s="89" t="n"/>
      <c r="Q424" s="89" t="n"/>
      <c r="R424" s="89" t="n"/>
      <c r="S424" s="89" t="n"/>
      <c r="T424" s="89" t="n"/>
      <c r="U424" s="89" t="n"/>
      <c r="V424" s="89" t="n"/>
      <c r="W424" s="89" t="n"/>
      <c r="X424" s="89" t="n"/>
      <c r="Y424" s="89" t="n"/>
      <c r="Z424" s="89" t="n"/>
      <c r="AA424" s="89" t="n"/>
      <c r="AB424" s="89" t="n"/>
      <c r="AC424" s="89" t="n"/>
      <c r="AD424" s="89" t="n"/>
      <c r="AE424" s="89" t="n"/>
      <c r="AF424" s="89" t="n"/>
      <c r="AG424" s="89" t="n"/>
    </row>
    <row r="425">
      <c r="M425" s="88" t="n"/>
      <c r="N425" s="89" t="n"/>
      <c r="O425" s="89" t="n"/>
      <c r="P425" s="89" t="n"/>
      <c r="Q425" s="89" t="n"/>
      <c r="R425" s="89" t="n"/>
      <c r="S425" s="89" t="n"/>
      <c r="T425" s="89" t="n"/>
      <c r="U425" s="89" t="n"/>
      <c r="V425" s="89" t="n"/>
      <c r="W425" s="89" t="n"/>
      <c r="X425" s="89" t="n"/>
      <c r="Y425" s="89" t="n"/>
      <c r="Z425" s="89" t="n"/>
      <c r="AA425" s="89" t="n"/>
      <c r="AB425" s="89" t="n"/>
      <c r="AC425" s="89" t="n"/>
      <c r="AD425" s="89" t="n"/>
      <c r="AE425" s="89" t="n"/>
      <c r="AF425" s="89" t="n"/>
      <c r="AG425" s="89" t="n"/>
    </row>
    <row r="426">
      <c r="M426" s="88" t="n"/>
      <c r="N426" s="89" t="n"/>
      <c r="O426" s="89" t="n"/>
      <c r="P426" s="89" t="n"/>
      <c r="Q426" s="89" t="n"/>
      <c r="R426" s="89" t="n"/>
      <c r="S426" s="89" t="n"/>
      <c r="T426" s="89" t="n"/>
      <c r="U426" s="89" t="n"/>
      <c r="V426" s="89" t="n"/>
      <c r="W426" s="89" t="n"/>
      <c r="X426" s="89" t="n"/>
      <c r="Y426" s="89" t="n"/>
      <c r="Z426" s="89" t="n"/>
      <c r="AA426" s="89" t="n"/>
      <c r="AB426" s="89" t="n"/>
      <c r="AC426" s="89" t="n"/>
      <c r="AD426" s="89" t="n"/>
      <c r="AE426" s="89" t="n"/>
      <c r="AF426" s="89" t="n"/>
      <c r="AG426" s="89" t="n"/>
    </row>
    <row r="427">
      <c r="M427" s="88" t="n"/>
      <c r="N427" s="89" t="n"/>
      <c r="O427" s="89" t="n"/>
      <c r="P427" s="89" t="n"/>
      <c r="Q427" s="89" t="n"/>
      <c r="R427" s="89" t="n"/>
      <c r="S427" s="89" t="n"/>
      <c r="T427" s="89" t="n"/>
      <c r="U427" s="89" t="n"/>
      <c r="V427" s="89" t="n"/>
      <c r="W427" s="89" t="n"/>
      <c r="X427" s="89" t="n"/>
      <c r="Y427" s="89" t="n"/>
      <c r="Z427" s="89" t="n"/>
      <c r="AA427" s="89" t="n"/>
      <c r="AB427" s="89" t="n"/>
      <c r="AC427" s="89" t="n"/>
      <c r="AD427" s="89" t="n"/>
      <c r="AE427" s="89" t="n"/>
      <c r="AF427" s="89" t="n"/>
      <c r="AG427" s="89" t="n"/>
    </row>
    <row r="428">
      <c r="M428" s="88" t="n"/>
      <c r="N428" s="89" t="n"/>
      <c r="O428" s="89" t="n"/>
      <c r="P428" s="89" t="n"/>
      <c r="Q428" s="89" t="n"/>
      <c r="R428" s="89" t="n"/>
      <c r="S428" s="89" t="n"/>
      <c r="T428" s="89" t="n"/>
      <c r="U428" s="89" t="n"/>
      <c r="V428" s="89" t="n"/>
      <c r="W428" s="89" t="n"/>
      <c r="X428" s="89" t="n"/>
      <c r="Y428" s="89" t="n"/>
      <c r="Z428" s="89" t="n"/>
      <c r="AA428" s="89" t="n"/>
      <c r="AB428" s="89" t="n"/>
      <c r="AC428" s="89" t="n"/>
      <c r="AD428" s="89" t="n"/>
      <c r="AE428" s="89" t="n"/>
      <c r="AF428" s="89" t="n"/>
      <c r="AG428" s="89" t="n"/>
    </row>
    <row r="429">
      <c r="F429" s="710" t="n"/>
      <c r="M429" s="88" t="n"/>
      <c r="N429" s="89" t="n"/>
      <c r="O429" s="89" t="n"/>
      <c r="P429" s="89" t="n"/>
      <c r="Q429" s="89" t="n"/>
      <c r="R429" s="89" t="n"/>
      <c r="S429" s="89" t="n"/>
      <c r="T429" s="89" t="n"/>
      <c r="U429" s="89" t="n"/>
      <c r="V429" s="89" t="n"/>
      <c r="W429" s="89" t="n"/>
      <c r="X429" s="89" t="n"/>
      <c r="Y429" s="89" t="n"/>
      <c r="Z429" s="89" t="n"/>
      <c r="AA429" s="89" t="n"/>
      <c r="AB429" s="89" t="n"/>
      <c r="AC429" s="89" t="n"/>
      <c r="AD429" s="89" t="n"/>
      <c r="AE429" s="89" t="n"/>
      <c r="AF429" s="89" t="n"/>
      <c r="AG429" s="89" t="n"/>
    </row>
    <row r="430">
      <c r="M430" s="88" t="n"/>
      <c r="N430" s="89" t="n"/>
      <c r="O430" s="89" t="n"/>
      <c r="P430" s="89" t="n"/>
      <c r="Q430" s="89" t="n"/>
      <c r="R430" s="89" t="n"/>
      <c r="S430" s="89" t="n"/>
      <c r="T430" s="89" t="n"/>
      <c r="U430" s="89" t="n"/>
      <c r="V430" s="89" t="n"/>
      <c r="W430" s="89" t="n"/>
      <c r="X430" s="89" t="n"/>
      <c r="Y430" s="89" t="n"/>
      <c r="Z430" s="89" t="n"/>
      <c r="AA430" s="89" t="n"/>
      <c r="AB430" s="89" t="n"/>
      <c r="AC430" s="89" t="n"/>
      <c r="AD430" s="89" t="n"/>
      <c r="AE430" s="89" t="n"/>
      <c r="AF430" s="89" t="n"/>
      <c r="AG430" s="89" t="n"/>
    </row>
    <row r="431">
      <c r="M431" s="88" t="n"/>
      <c r="N431" s="89" t="n"/>
      <c r="O431" s="89" t="n"/>
      <c r="P431" s="89" t="n"/>
      <c r="Q431" s="89" t="n"/>
      <c r="R431" s="89" t="n"/>
      <c r="S431" s="89" t="n"/>
      <c r="T431" s="89" t="n"/>
      <c r="U431" s="89" t="n"/>
      <c r="V431" s="89" t="n"/>
      <c r="W431" s="89" t="n"/>
      <c r="X431" s="89" t="n"/>
      <c r="Y431" s="89" t="n"/>
      <c r="Z431" s="89" t="n"/>
      <c r="AA431" s="89" t="n"/>
      <c r="AB431" s="89" t="n"/>
      <c r="AC431" s="89" t="n"/>
      <c r="AD431" s="89" t="n"/>
      <c r="AE431" s="89" t="n"/>
      <c r="AF431" s="89" t="n"/>
      <c r="AG431" s="89" t="n"/>
    </row>
    <row r="432">
      <c r="M432" s="88" t="n"/>
      <c r="N432" s="89" t="n"/>
      <c r="O432" s="89" t="n"/>
      <c r="P432" s="89" t="n"/>
      <c r="Q432" s="89" t="n"/>
      <c r="R432" s="89" t="n"/>
      <c r="S432" s="89" t="n"/>
      <c r="T432" s="89" t="n"/>
      <c r="U432" s="89" t="n"/>
      <c r="V432" s="89" t="n"/>
      <c r="W432" s="89" t="n"/>
      <c r="X432" s="89" t="n"/>
      <c r="Y432" s="89" t="n"/>
      <c r="Z432" s="89" t="n"/>
      <c r="AA432" s="89" t="n"/>
      <c r="AB432" s="89" t="n"/>
      <c r="AC432" s="89" t="n"/>
      <c r="AD432" s="89" t="n"/>
      <c r="AE432" s="89" t="n"/>
      <c r="AF432" s="89" t="n"/>
      <c r="AG432" s="89" t="n"/>
    </row>
    <row r="433">
      <c r="M433" s="88" t="n"/>
      <c r="N433" s="89" t="n"/>
      <c r="O433" s="89" t="n"/>
      <c r="P433" s="89" t="n"/>
      <c r="Q433" s="89" t="n"/>
      <c r="R433" s="89" t="n"/>
      <c r="S433" s="89" t="n"/>
      <c r="T433" s="89" t="n"/>
      <c r="U433" s="89" t="n"/>
      <c r="V433" s="89" t="n"/>
      <c r="W433" s="89" t="n"/>
      <c r="X433" s="89" t="n"/>
      <c r="Y433" s="89" t="n"/>
      <c r="Z433" s="89" t="n"/>
      <c r="AA433" s="89" t="n"/>
      <c r="AB433" s="89" t="n"/>
      <c r="AC433" s="89" t="n"/>
      <c r="AD433" s="89" t="n"/>
      <c r="AE433" s="89" t="n"/>
      <c r="AF433" s="89" t="n"/>
      <c r="AG433" s="89" t="n"/>
    </row>
    <row r="434">
      <c r="M434" s="88" t="n"/>
      <c r="N434" s="89" t="n"/>
      <c r="O434" s="89" t="n"/>
      <c r="P434" s="89" t="n"/>
      <c r="Q434" s="89" t="n"/>
      <c r="R434" s="89" t="n"/>
      <c r="S434" s="89" t="n"/>
      <c r="T434" s="89" t="n"/>
      <c r="U434" s="89" t="n"/>
      <c r="V434" s="89" t="n"/>
      <c r="W434" s="89" t="n"/>
      <c r="X434" s="89" t="n"/>
      <c r="Y434" s="89" t="n"/>
      <c r="Z434" s="89" t="n"/>
      <c r="AA434" s="89" t="n"/>
      <c r="AB434" s="89" t="n"/>
      <c r="AC434" s="89" t="n"/>
      <c r="AD434" s="89" t="n"/>
      <c r="AE434" s="89" t="n"/>
      <c r="AF434" s="89" t="n"/>
      <c r="AG434" s="89" t="n"/>
    </row>
  </sheetData>
  <sheetProtection selectLockedCells="1" selectUnlockedCells="0" algorithmName="SHA-512" sheet="1" objects="0" insertRows="1" insertHyperlinks="1" autoFilter="1" scenarios="0" formatColumns="1" deleteColumns="1" insertColumns="1" pivotTables="1" deleteRows="1" formatCells="1" saltValue="rBM4KjANpbHwvxw38BfBQw==" formatRows="1" sort="1" spinCount="100000" hashValue="iN9YbFFXZz4/IgA/17dlUMMfYo7g4gqZQT/uSPyZ1QzeyXMKCW9YqQnpUaJBg2id2QBS/FOwPryB83o2j8oOrg=="/>
  <mergeCells count="856">
    <mergeCell ref="T205:AB205"/>
    <mergeCell ref="C363:D363"/>
    <mergeCell ref="D195:F195"/>
    <mergeCell ref="A255:C255"/>
    <mergeCell ref="D187:E187"/>
    <mergeCell ref="A186:B186"/>
    <mergeCell ref="A191:B191"/>
    <mergeCell ref="M159:U160"/>
    <mergeCell ref="A349:B349"/>
    <mergeCell ref="F174:G174"/>
    <mergeCell ref="C378:D378"/>
    <mergeCell ref="E142:F142"/>
    <mergeCell ref="M177:W177"/>
    <mergeCell ref="A265:D265"/>
    <mergeCell ref="I302:J302"/>
    <mergeCell ref="I277:J277"/>
    <mergeCell ref="K302:L302"/>
    <mergeCell ref="H19:J19"/>
    <mergeCell ref="A304:D304"/>
    <mergeCell ref="J207:K207"/>
    <mergeCell ref="G250:I250"/>
    <mergeCell ref="A266:D266"/>
    <mergeCell ref="H392:K392"/>
    <mergeCell ref="A38:F38"/>
    <mergeCell ref="M166:U166"/>
    <mergeCell ref="G139:H139"/>
    <mergeCell ref="A204:B204"/>
    <mergeCell ref="D205:E205"/>
    <mergeCell ref="A40:F40"/>
    <mergeCell ref="G206:H206"/>
    <mergeCell ref="A64:F64"/>
    <mergeCell ref="A206:B206"/>
    <mergeCell ref="A179:L180"/>
    <mergeCell ref="G143:H143"/>
    <mergeCell ref="G270:H270"/>
    <mergeCell ref="I270:J270"/>
    <mergeCell ref="A383:C383"/>
    <mergeCell ref="A276:D277"/>
    <mergeCell ref="M32:U33"/>
    <mergeCell ref="A362:B362"/>
    <mergeCell ref="A337:B337"/>
    <mergeCell ref="J120:K120"/>
    <mergeCell ref="G117:H117"/>
    <mergeCell ref="F399:H399"/>
    <mergeCell ref="E303:F303"/>
    <mergeCell ref="A339:B339"/>
    <mergeCell ref="G196:I196"/>
    <mergeCell ref="C290:D290"/>
    <mergeCell ref="D131:E131"/>
    <mergeCell ref="E219:F219"/>
    <mergeCell ref="G219:H219"/>
    <mergeCell ref="A111:D111"/>
    <mergeCell ref="C182:E182"/>
    <mergeCell ref="M283:U283"/>
    <mergeCell ref="A33:F33"/>
    <mergeCell ref="G125:H125"/>
    <mergeCell ref="D124:E124"/>
    <mergeCell ref="A128:B128"/>
    <mergeCell ref="D189:E189"/>
    <mergeCell ref="G283:H283"/>
    <mergeCell ref="I283:J283"/>
    <mergeCell ref="A217:B217"/>
    <mergeCell ref="A62:F62"/>
    <mergeCell ref="M250:U251"/>
    <mergeCell ref="D126:E126"/>
    <mergeCell ref="G127:H127"/>
    <mergeCell ref="G298:H298"/>
    <mergeCell ref="A4:L4"/>
    <mergeCell ref="I347:J347"/>
    <mergeCell ref="A28:F28"/>
    <mergeCell ref="A288:B289"/>
    <mergeCell ref="A296:L297"/>
    <mergeCell ref="T208:AB208"/>
    <mergeCell ref="A129:B129"/>
    <mergeCell ref="M184:X184"/>
    <mergeCell ref="A30:F30"/>
    <mergeCell ref="G201:H201"/>
    <mergeCell ref="T210:AB210"/>
    <mergeCell ref="A268:D268"/>
    <mergeCell ref="H20:J20"/>
    <mergeCell ref="E237:F237"/>
    <mergeCell ref="A131:B131"/>
    <mergeCell ref="A358:L358"/>
    <mergeCell ref="A55:G55"/>
    <mergeCell ref="G203:H203"/>
    <mergeCell ref="E301:F301"/>
    <mergeCell ref="A272:D272"/>
    <mergeCell ref="A61:F61"/>
    <mergeCell ref="G301:H301"/>
    <mergeCell ref="D129:E129"/>
    <mergeCell ref="G140:H140"/>
    <mergeCell ref="G65:J65"/>
    <mergeCell ref="A83:B83"/>
    <mergeCell ref="E238:F238"/>
    <mergeCell ref="G238:H238"/>
    <mergeCell ref="A352:B352"/>
    <mergeCell ref="I267:J267"/>
    <mergeCell ref="A143:B143"/>
    <mergeCell ref="I140:J140"/>
    <mergeCell ref="G303:H303"/>
    <mergeCell ref="M169:U169"/>
    <mergeCell ref="A368:B368"/>
    <mergeCell ref="A193:I193"/>
    <mergeCell ref="D208:E208"/>
    <mergeCell ref="A207:B207"/>
    <mergeCell ref="C334:D334"/>
    <mergeCell ref="A385:L385"/>
    <mergeCell ref="A228:D229"/>
    <mergeCell ref="M15:U15"/>
    <mergeCell ref="I271:J271"/>
    <mergeCell ref="G60:J60"/>
    <mergeCell ref="D245:F245"/>
    <mergeCell ref="M112:V112"/>
    <mergeCell ref="A205:B205"/>
    <mergeCell ref="K271:L271"/>
    <mergeCell ref="H395:K395"/>
    <mergeCell ref="A363:B363"/>
    <mergeCell ref="H13:J13"/>
    <mergeCell ref="E265:F265"/>
    <mergeCell ref="I298:J298"/>
    <mergeCell ref="K237:L237"/>
    <mergeCell ref="A279:D279"/>
    <mergeCell ref="C142:D142"/>
    <mergeCell ref="A378:B378"/>
    <mergeCell ref="M302:U302"/>
    <mergeCell ref="A300:D300"/>
    <mergeCell ref="H15:J15"/>
    <mergeCell ref="E263:F264"/>
    <mergeCell ref="E77:F77"/>
    <mergeCell ref="E304:F304"/>
    <mergeCell ref="A281:D281"/>
    <mergeCell ref="F405:H405"/>
    <mergeCell ref="E369:F369"/>
    <mergeCell ref="G369:H369"/>
    <mergeCell ref="K347:L347"/>
    <mergeCell ref="J244:L244"/>
    <mergeCell ref="K268:L268"/>
    <mergeCell ref="G368:H368"/>
    <mergeCell ref="A148:I148"/>
    <mergeCell ref="M299:U299"/>
    <mergeCell ref="D117:E117"/>
    <mergeCell ref="A224:E224"/>
    <mergeCell ref="A50:G50"/>
    <mergeCell ref="E164:F164"/>
    <mergeCell ref="M170:U170"/>
    <mergeCell ref="A202:B202"/>
    <mergeCell ref="G164:H164"/>
    <mergeCell ref="G217:H217"/>
    <mergeCell ref="I291:J291"/>
    <mergeCell ref="M290:Z291"/>
    <mergeCell ref="F290:G290"/>
    <mergeCell ref="M66:U67"/>
    <mergeCell ref="A65:F65"/>
    <mergeCell ref="K276:L277"/>
    <mergeCell ref="I200:K200"/>
    <mergeCell ref="G378:J378"/>
    <mergeCell ref="G243:I243"/>
    <mergeCell ref="A220:B220"/>
    <mergeCell ref="E276:F277"/>
    <mergeCell ref="M172:U172"/>
    <mergeCell ref="A330:L330"/>
    <mergeCell ref="A164:B165"/>
    <mergeCell ref="I222:J222"/>
    <mergeCell ref="A280:D280"/>
    <mergeCell ref="E282:F282"/>
    <mergeCell ref="M284:U285"/>
    <mergeCell ref="A124:B124"/>
    <mergeCell ref="M187:X187"/>
    <mergeCell ref="J127:K127"/>
    <mergeCell ref="H393:K394"/>
    <mergeCell ref="H92:K92"/>
    <mergeCell ref="A236:D237"/>
    <mergeCell ref="A374:L374"/>
    <mergeCell ref="J255:L255"/>
    <mergeCell ref="G190:H190"/>
    <mergeCell ref="M189:X189"/>
    <mergeCell ref="G146:H146"/>
    <mergeCell ref="J242:L242"/>
    <mergeCell ref="G246:I246"/>
    <mergeCell ref="I146:J146"/>
    <mergeCell ref="M174:W174"/>
    <mergeCell ref="G304:H304"/>
    <mergeCell ref="E320:L320"/>
    <mergeCell ref="G83:H83"/>
    <mergeCell ref="D209:E209"/>
    <mergeCell ref="M14:U14"/>
    <mergeCell ref="K270:L270"/>
    <mergeCell ref="I368:J368"/>
    <mergeCell ref="D122:E122"/>
    <mergeCell ref="A182:B183"/>
    <mergeCell ref="G247:I247"/>
    <mergeCell ref="A144:B144"/>
    <mergeCell ref="A215:B215"/>
    <mergeCell ref="C144:D144"/>
    <mergeCell ref="G28:J28"/>
    <mergeCell ref="I299:J299"/>
    <mergeCell ref="K299:L299"/>
    <mergeCell ref="A380:H380"/>
    <mergeCell ref="H54:J54"/>
    <mergeCell ref="G178:I178"/>
    <mergeCell ref="A152:B152"/>
    <mergeCell ref="A301:D301"/>
    <mergeCell ref="T206:AB206"/>
    <mergeCell ref="J204:K204"/>
    <mergeCell ref="G30:J30"/>
    <mergeCell ref="A102:D103"/>
    <mergeCell ref="H56:J56"/>
    <mergeCell ref="A87:L87"/>
    <mergeCell ref="C145:D145"/>
    <mergeCell ref="E145:F145"/>
    <mergeCell ref="A303:D303"/>
    <mergeCell ref="E272:F272"/>
    <mergeCell ref="A345:L345"/>
    <mergeCell ref="A232:E232"/>
    <mergeCell ref="E139:F139"/>
    <mergeCell ref="J245:L245"/>
    <mergeCell ref="I217:J217"/>
    <mergeCell ref="A46:L46"/>
    <mergeCell ref="G249:I249"/>
    <mergeCell ref="A291:B291"/>
    <mergeCell ref="F344:G344"/>
    <mergeCell ref="T207:AB207"/>
    <mergeCell ref="M192:W193"/>
    <mergeCell ref="A154:I154"/>
    <mergeCell ref="A392:G392"/>
    <mergeCell ref="A376:L376"/>
    <mergeCell ref="A355:B355"/>
    <mergeCell ref="A172:B172"/>
    <mergeCell ref="G267:H267"/>
    <mergeCell ref="I292:J292"/>
    <mergeCell ref="A292:B292"/>
    <mergeCell ref="A234:L234"/>
    <mergeCell ref="M205:S205"/>
    <mergeCell ref="E228:F229"/>
    <mergeCell ref="A100:L100"/>
    <mergeCell ref="A371:L371"/>
    <mergeCell ref="F288:H288"/>
    <mergeCell ref="J191:K191"/>
    <mergeCell ref="D256:F256"/>
    <mergeCell ref="A382:C382"/>
    <mergeCell ref="A115:L115"/>
    <mergeCell ref="J128:K128"/>
    <mergeCell ref="A283:D283"/>
    <mergeCell ref="I83:J83"/>
    <mergeCell ref="A140:B140"/>
    <mergeCell ref="A108:D108"/>
    <mergeCell ref="A308:D309"/>
    <mergeCell ref="A75:J75"/>
    <mergeCell ref="D159:F159"/>
    <mergeCell ref="M188:X188"/>
    <mergeCell ref="G183:H183"/>
    <mergeCell ref="A6:C6"/>
    <mergeCell ref="J129:K129"/>
    <mergeCell ref="A12:J12"/>
    <mergeCell ref="D6:I6"/>
    <mergeCell ref="A278:D278"/>
    <mergeCell ref="G185:H185"/>
    <mergeCell ref="A216:B216"/>
    <mergeCell ref="K142:L142"/>
    <mergeCell ref="C216:D216"/>
    <mergeCell ref="G29:J29"/>
    <mergeCell ref="A387:K387"/>
    <mergeCell ref="A81:J81"/>
    <mergeCell ref="K378:L378"/>
    <mergeCell ref="K263:L264"/>
    <mergeCell ref="G272:H272"/>
    <mergeCell ref="A230:D230"/>
    <mergeCell ref="M21:U21"/>
    <mergeCell ref="G44:J44"/>
    <mergeCell ref="I144:J144"/>
    <mergeCell ref="A218:B218"/>
    <mergeCell ref="K144:L144"/>
    <mergeCell ref="G31:J31"/>
    <mergeCell ref="E280:F280"/>
    <mergeCell ref="G209:H209"/>
    <mergeCell ref="C218:D218"/>
    <mergeCell ref="A159:C159"/>
    <mergeCell ref="A263:D264"/>
    <mergeCell ref="M113:U114"/>
    <mergeCell ref="M185:X185"/>
    <mergeCell ref="A332:L332"/>
    <mergeCell ref="J205:K205"/>
    <mergeCell ref="G204:H204"/>
    <mergeCell ref="G269:H269"/>
    <mergeCell ref="I269:J269"/>
    <mergeCell ref="I8:J8"/>
    <mergeCell ref="F182:H182"/>
    <mergeCell ref="A184:B184"/>
    <mergeCell ref="D118:E118"/>
    <mergeCell ref="G302:H302"/>
    <mergeCell ref="A404:E404"/>
    <mergeCell ref="A171:B171"/>
    <mergeCell ref="A342:B342"/>
    <mergeCell ref="H94:K94"/>
    <mergeCell ref="J125:K125"/>
    <mergeCell ref="M186:X186"/>
    <mergeCell ref="A336:B336"/>
    <mergeCell ref="K284:L284"/>
    <mergeCell ref="D246:F246"/>
    <mergeCell ref="A250:C250"/>
    <mergeCell ref="A95:G95"/>
    <mergeCell ref="A302:D302"/>
    <mergeCell ref="A173:B173"/>
    <mergeCell ref="D257:F257"/>
    <mergeCell ref="M208:S208"/>
    <mergeCell ref="E102:L102"/>
    <mergeCell ref="A322:D322"/>
    <mergeCell ref="A77:B77"/>
    <mergeCell ref="M195:V195"/>
    <mergeCell ref="G245:I245"/>
    <mergeCell ref="C77:D77"/>
    <mergeCell ref="D248:F248"/>
    <mergeCell ref="A198:K199"/>
    <mergeCell ref="M78:U78"/>
    <mergeCell ref="M85:U86"/>
    <mergeCell ref="A166:B166"/>
    <mergeCell ref="G26:J26"/>
    <mergeCell ref="A395:G395"/>
    <mergeCell ref="G130:H130"/>
    <mergeCell ref="A327:D327"/>
    <mergeCell ref="A109:D109"/>
    <mergeCell ref="A324:D324"/>
    <mergeCell ref="A96:G96"/>
    <mergeCell ref="C141:D141"/>
    <mergeCell ref="E141:F141"/>
    <mergeCell ref="C377:D377"/>
    <mergeCell ref="A26:F26"/>
    <mergeCell ref="A299:D299"/>
    <mergeCell ref="J202:K202"/>
    <mergeCell ref="A168:B168"/>
    <mergeCell ref="F404:H404"/>
    <mergeCell ref="M280:U281"/>
    <mergeCell ref="A399:E399"/>
    <mergeCell ref="G122:H122"/>
    <mergeCell ref="A175:I175"/>
    <mergeCell ref="C143:D143"/>
    <mergeCell ref="E143:F143"/>
    <mergeCell ref="A328:D328"/>
    <mergeCell ref="M153:AC153"/>
    <mergeCell ref="I221:J221"/>
    <mergeCell ref="G186:H186"/>
    <mergeCell ref="I215:J215"/>
    <mergeCell ref="A120:B120"/>
    <mergeCell ref="D177:F177"/>
    <mergeCell ref="A347:B348"/>
    <mergeCell ref="A394:E394"/>
    <mergeCell ref="F291:G291"/>
    <mergeCell ref="G39:J39"/>
    <mergeCell ref="M54:U55"/>
    <mergeCell ref="K279:L279"/>
    <mergeCell ref="G158:I158"/>
    <mergeCell ref="A219:B219"/>
    <mergeCell ref="K145:L145"/>
    <mergeCell ref="A290:B290"/>
    <mergeCell ref="I216:J216"/>
    <mergeCell ref="A39:F39"/>
    <mergeCell ref="D178:F178"/>
    <mergeCell ref="C219:D219"/>
    <mergeCell ref="G37:J37"/>
    <mergeCell ref="D243:F243"/>
    <mergeCell ref="A18:G18"/>
    <mergeCell ref="H50:J50"/>
    <mergeCell ref="A98:L98"/>
    <mergeCell ref="J121:K121"/>
    <mergeCell ref="E283:F283"/>
    <mergeCell ref="A104:D104"/>
    <mergeCell ref="G277:H277"/>
    <mergeCell ref="M204:S204"/>
    <mergeCell ref="E214:F214"/>
    <mergeCell ref="A312:D312"/>
    <mergeCell ref="M20:U20"/>
    <mergeCell ref="A177:C177"/>
    <mergeCell ref="G214:H214"/>
    <mergeCell ref="A106:D106"/>
    <mergeCell ref="J254:L254"/>
    <mergeCell ref="D254:F254"/>
    <mergeCell ref="G120:H120"/>
    <mergeCell ref="D119:E119"/>
    <mergeCell ref="D190:E190"/>
    <mergeCell ref="E278:F278"/>
    <mergeCell ref="A123:B123"/>
    <mergeCell ref="M84:U84"/>
    <mergeCell ref="G278:H278"/>
    <mergeCell ref="M22:U22"/>
    <mergeCell ref="A35:J35"/>
    <mergeCell ref="G63:J63"/>
    <mergeCell ref="A21:F21"/>
    <mergeCell ref="I334:J334"/>
    <mergeCell ref="I278:J278"/>
    <mergeCell ref="J256:L256"/>
    <mergeCell ref="K334:L334"/>
    <mergeCell ref="H95:K95"/>
    <mergeCell ref="A195:C195"/>
    <mergeCell ref="D183:E183"/>
    <mergeCell ref="A187:B187"/>
    <mergeCell ref="K300:L300"/>
    <mergeCell ref="T203:AB203"/>
    <mergeCell ref="E230:F230"/>
    <mergeCell ref="D185:E185"/>
    <mergeCell ref="A118:B118"/>
    <mergeCell ref="A259:L259"/>
    <mergeCell ref="K140:L140"/>
    <mergeCell ref="A189:B189"/>
    <mergeCell ref="G27:J27"/>
    <mergeCell ref="A240:L240"/>
    <mergeCell ref="A52:F52"/>
    <mergeCell ref="A325:D325"/>
    <mergeCell ref="G207:H207"/>
    <mergeCell ref="J124:K124"/>
    <mergeCell ref="A8:E8"/>
    <mergeCell ref="E271:F271"/>
    <mergeCell ref="G271:H271"/>
    <mergeCell ref="M154:AC154"/>
    <mergeCell ref="G265:H265"/>
    <mergeCell ref="D130:E130"/>
    <mergeCell ref="A134:B134"/>
    <mergeCell ref="I265:J265"/>
    <mergeCell ref="A334:B335"/>
    <mergeCell ref="D201:E201"/>
    <mergeCell ref="D188:E188"/>
    <mergeCell ref="A121:B121"/>
    <mergeCell ref="D249:F249"/>
    <mergeCell ref="G202:H202"/>
    <mergeCell ref="D132:E132"/>
    <mergeCell ref="H90:K90"/>
    <mergeCell ref="K280:L280"/>
    <mergeCell ref="D242:F242"/>
    <mergeCell ref="A402:E402"/>
    <mergeCell ref="I266:J266"/>
    <mergeCell ref="K266:L266"/>
    <mergeCell ref="A137:L137"/>
    <mergeCell ref="H390:K390"/>
    <mergeCell ref="E347:F347"/>
    <mergeCell ref="D244:F244"/>
    <mergeCell ref="A112:D112"/>
    <mergeCell ref="G347:H347"/>
    <mergeCell ref="G367:L367"/>
    <mergeCell ref="A19:G19"/>
    <mergeCell ref="C368:D368"/>
    <mergeCell ref="G268:H268"/>
    <mergeCell ref="M178:V179"/>
    <mergeCell ref="M43:U44"/>
    <mergeCell ref="H152:I152"/>
    <mergeCell ref="F394:G394"/>
    <mergeCell ref="A247:C247"/>
    <mergeCell ref="E362:F362"/>
    <mergeCell ref="G40:J40"/>
    <mergeCell ref="A69:H69"/>
    <mergeCell ref="A314:D314"/>
    <mergeCell ref="M328:U329"/>
    <mergeCell ref="F400:H400"/>
    <mergeCell ref="C164:D164"/>
    <mergeCell ref="G184:H184"/>
    <mergeCell ref="G128:H128"/>
    <mergeCell ref="D196:F196"/>
    <mergeCell ref="E220:F220"/>
    <mergeCell ref="A107:D107"/>
    <mergeCell ref="G220:H220"/>
    <mergeCell ref="A29:F29"/>
    <mergeCell ref="T209:AB209"/>
    <mergeCell ref="E363:F363"/>
    <mergeCell ref="G121:H121"/>
    <mergeCell ref="M207:S207"/>
    <mergeCell ref="F402:H402"/>
    <mergeCell ref="D125:E125"/>
    <mergeCell ref="C222:D222"/>
    <mergeCell ref="A315:D315"/>
    <mergeCell ref="E284:F284"/>
    <mergeCell ref="A44:F44"/>
    <mergeCell ref="G284:H284"/>
    <mergeCell ref="E222:F222"/>
    <mergeCell ref="G222:H222"/>
    <mergeCell ref="I284:J284"/>
    <mergeCell ref="A31:F31"/>
    <mergeCell ref="G123:H123"/>
    <mergeCell ref="A188:B188"/>
    <mergeCell ref="A126:B126"/>
    <mergeCell ref="D127:E127"/>
    <mergeCell ref="G215:H215"/>
    <mergeCell ref="A261:L261"/>
    <mergeCell ref="G66:J66"/>
    <mergeCell ref="T204:AB204"/>
    <mergeCell ref="M12:U13"/>
    <mergeCell ref="A60:F60"/>
    <mergeCell ref="A267:D267"/>
    <mergeCell ref="K141:L141"/>
    <mergeCell ref="A190:B190"/>
    <mergeCell ref="A117:B117"/>
    <mergeCell ref="K377:L377"/>
    <mergeCell ref="I279:J279"/>
    <mergeCell ref="E146:F146"/>
    <mergeCell ref="A353:B353"/>
    <mergeCell ref="E377:F377"/>
    <mergeCell ref="A196:C196"/>
    <mergeCell ref="A269:D269"/>
    <mergeCell ref="A256:C256"/>
    <mergeCell ref="E298:F298"/>
    <mergeCell ref="A360:F360"/>
    <mergeCell ref="K143:L143"/>
    <mergeCell ref="C83:D83"/>
    <mergeCell ref="H96:K96"/>
    <mergeCell ref="A142:B142"/>
    <mergeCell ref="E368:F368"/>
    <mergeCell ref="D203:E203"/>
    <mergeCell ref="J250:L250"/>
    <mergeCell ref="E299:F299"/>
    <mergeCell ref="M305:U305"/>
    <mergeCell ref="G299:H299"/>
    <mergeCell ref="A200:B201"/>
    <mergeCell ref="A42:F42"/>
    <mergeCell ref="E231:L231"/>
    <mergeCell ref="A58:J58"/>
    <mergeCell ref="H91:K91"/>
    <mergeCell ref="D204:E204"/>
    <mergeCell ref="I268:J268"/>
    <mergeCell ref="A208:B208"/>
    <mergeCell ref="A92:G92"/>
    <mergeCell ref="E308:L308"/>
    <mergeCell ref="A24:J24"/>
    <mergeCell ref="I182:K182"/>
    <mergeCell ref="J206:K206"/>
    <mergeCell ref="G67:J67"/>
    <mergeCell ref="A145:B145"/>
    <mergeCell ref="G61:J61"/>
    <mergeCell ref="H93:K93"/>
    <mergeCell ref="D206:E206"/>
    <mergeCell ref="A139:B139"/>
    <mergeCell ref="M173:V173"/>
    <mergeCell ref="A274:L274"/>
    <mergeCell ref="A94:G94"/>
    <mergeCell ref="C139:D139"/>
    <mergeCell ref="A249:C249"/>
    <mergeCell ref="F273:G273"/>
    <mergeCell ref="A203:B203"/>
    <mergeCell ref="A257:C257"/>
    <mergeCell ref="G62:J62"/>
    <mergeCell ref="G129:H129"/>
    <mergeCell ref="G221:H221"/>
    <mergeCell ref="E302:F302"/>
    <mergeCell ref="F403:H403"/>
    <mergeCell ref="G131:H131"/>
    <mergeCell ref="A252:L252"/>
    <mergeCell ref="A350:B350"/>
    <mergeCell ref="G300:H300"/>
    <mergeCell ref="D128:E128"/>
    <mergeCell ref="A158:C158"/>
    <mergeCell ref="D186:E186"/>
    <mergeCell ref="E83:F83"/>
    <mergeCell ref="A119:B119"/>
    <mergeCell ref="J184:K184"/>
    <mergeCell ref="I281:J281"/>
    <mergeCell ref="A343:B343"/>
    <mergeCell ref="A150:B151"/>
    <mergeCell ref="K281:L281"/>
    <mergeCell ref="K238:L238"/>
    <mergeCell ref="G126:H126"/>
    <mergeCell ref="F200:H200"/>
    <mergeCell ref="M168:U168"/>
    <mergeCell ref="A354:B354"/>
    <mergeCell ref="I218:J218"/>
    <mergeCell ref="M282:U282"/>
    <mergeCell ref="A270:D270"/>
    <mergeCell ref="A133:B133"/>
    <mergeCell ref="A369:B369"/>
    <mergeCell ref="I282:J282"/>
    <mergeCell ref="A356:B356"/>
    <mergeCell ref="K282:L282"/>
    <mergeCell ref="G205:H205"/>
    <mergeCell ref="A63:F63"/>
    <mergeCell ref="H18:J18"/>
    <mergeCell ref="I288:K288"/>
    <mergeCell ref="G255:I255"/>
    <mergeCell ref="J187:K187"/>
    <mergeCell ref="G142:H142"/>
    <mergeCell ref="A271:D271"/>
    <mergeCell ref="E378:F378"/>
    <mergeCell ref="G242:I242"/>
    <mergeCell ref="I142:J142"/>
    <mergeCell ref="M171:U171"/>
    <mergeCell ref="J118:K118"/>
    <mergeCell ref="C150:G150"/>
    <mergeCell ref="E144:F144"/>
    <mergeCell ref="G144:H144"/>
    <mergeCell ref="A209:B209"/>
    <mergeCell ref="G244:I244"/>
    <mergeCell ref="H55:J55"/>
    <mergeCell ref="D207:E207"/>
    <mergeCell ref="C140:D140"/>
    <mergeCell ref="A338:B338"/>
    <mergeCell ref="A298:D298"/>
    <mergeCell ref="I300:J300"/>
    <mergeCell ref="E267:F267"/>
    <mergeCell ref="G64:J64"/>
    <mergeCell ref="I164:J164"/>
    <mergeCell ref="I139:J139"/>
    <mergeCell ref="K164:L164"/>
    <mergeCell ref="T202:AB202"/>
    <mergeCell ref="K139:L139"/>
    <mergeCell ref="A340:B340"/>
    <mergeCell ref="E269:F269"/>
    <mergeCell ref="A146:B146"/>
    <mergeCell ref="A161:L162"/>
    <mergeCell ref="A306:L306"/>
    <mergeCell ref="J123:K123"/>
    <mergeCell ref="J246:L246"/>
    <mergeCell ref="M301:U301"/>
    <mergeCell ref="A284:D284"/>
    <mergeCell ref="I289:J289"/>
    <mergeCell ref="A351:B351"/>
    <mergeCell ref="J248:L248"/>
    <mergeCell ref="G42:J42"/>
    <mergeCell ref="M303:U303"/>
    <mergeCell ref="H14:J14"/>
    <mergeCell ref="A67:F67"/>
    <mergeCell ref="A54:G54"/>
    <mergeCell ref="A141:B141"/>
    <mergeCell ref="D202:E202"/>
    <mergeCell ref="A135:B135"/>
    <mergeCell ref="I303:J303"/>
    <mergeCell ref="A377:B377"/>
    <mergeCell ref="A90:G90"/>
    <mergeCell ref="M167:U167"/>
    <mergeCell ref="I219:J219"/>
    <mergeCell ref="F429:G429"/>
    <mergeCell ref="I290:J290"/>
    <mergeCell ref="A122:B122"/>
    <mergeCell ref="C288:E288"/>
    <mergeCell ref="J243:L243"/>
    <mergeCell ref="M203:S203"/>
    <mergeCell ref="G377:J377"/>
    <mergeCell ref="A56:G56"/>
    <mergeCell ref="M304:U304"/>
    <mergeCell ref="K283:L283"/>
    <mergeCell ref="A390:G390"/>
    <mergeCell ref="J189:K189"/>
    <mergeCell ref="C217:D217"/>
    <mergeCell ref="E217:F217"/>
    <mergeCell ref="C200:E200"/>
    <mergeCell ref="K298:L298"/>
    <mergeCell ref="J188:K188"/>
    <mergeCell ref="J126:K126"/>
    <mergeCell ref="M191:X191"/>
    <mergeCell ref="F289:G289"/>
    <mergeCell ref="M211:S212"/>
    <mergeCell ref="G208:H208"/>
    <mergeCell ref="A66:F66"/>
    <mergeCell ref="J190:K190"/>
    <mergeCell ref="G145:H145"/>
    <mergeCell ref="A365:L365"/>
    <mergeCell ref="A323:D323"/>
    <mergeCell ref="I145:J145"/>
    <mergeCell ref="M16:U16"/>
    <mergeCell ref="I272:J272"/>
    <mergeCell ref="G237:H237"/>
    <mergeCell ref="G32:J32"/>
    <mergeCell ref="K272:L272"/>
    <mergeCell ref="I237:J237"/>
    <mergeCell ref="L95:Z96"/>
    <mergeCell ref="G195:I195"/>
    <mergeCell ref="M18:U18"/>
    <mergeCell ref="A32:F32"/>
    <mergeCell ref="C146:D146"/>
    <mergeCell ref="I301:J301"/>
    <mergeCell ref="K301:L301"/>
    <mergeCell ref="G189:H189"/>
    <mergeCell ref="M17:U17"/>
    <mergeCell ref="I214:J214"/>
    <mergeCell ref="A214:B214"/>
    <mergeCell ref="I238:J238"/>
    <mergeCell ref="A341:B341"/>
    <mergeCell ref="K267:L267"/>
    <mergeCell ref="A156:L156"/>
    <mergeCell ref="C214:D214"/>
    <mergeCell ref="E270:F270"/>
    <mergeCell ref="K303:L303"/>
    <mergeCell ref="K278:L278"/>
    <mergeCell ref="H52:J53"/>
    <mergeCell ref="K269:L269"/>
    <mergeCell ref="J208:K208"/>
    <mergeCell ref="E334:F334"/>
    <mergeCell ref="A405:E405"/>
    <mergeCell ref="G334:H334"/>
    <mergeCell ref="J247:L247"/>
    <mergeCell ref="M209:S210"/>
    <mergeCell ref="H89:K89"/>
    <mergeCell ref="D247:F247"/>
    <mergeCell ref="J201:K201"/>
    <mergeCell ref="J249:L249"/>
    <mergeCell ref="J185:K185"/>
    <mergeCell ref="J203:K203"/>
    <mergeCell ref="A400:E400"/>
    <mergeCell ref="A167:B167"/>
    <mergeCell ref="A41:F41"/>
    <mergeCell ref="A16:F16"/>
    <mergeCell ref="H51:J51"/>
    <mergeCell ref="G77:H77"/>
    <mergeCell ref="A311:D311"/>
    <mergeCell ref="I77:J77"/>
    <mergeCell ref="A246:C246"/>
    <mergeCell ref="I304:J304"/>
    <mergeCell ref="A91:G91"/>
    <mergeCell ref="I369:J369"/>
    <mergeCell ref="A27:F27"/>
    <mergeCell ref="A389:G389"/>
    <mergeCell ref="K369:L369"/>
    <mergeCell ref="A169:B169"/>
    <mergeCell ref="C369:D369"/>
    <mergeCell ref="F292:G292"/>
    <mergeCell ref="G254:I254"/>
    <mergeCell ref="G248:I248"/>
    <mergeCell ref="A248:C248"/>
    <mergeCell ref="A93:G93"/>
    <mergeCell ref="A391:G391"/>
    <mergeCell ref="J117:K117"/>
    <mergeCell ref="M73:U74"/>
    <mergeCell ref="M206:S206"/>
    <mergeCell ref="G191:H191"/>
    <mergeCell ref="A397:H397"/>
    <mergeCell ref="A22:F22"/>
    <mergeCell ref="M147:W148"/>
    <mergeCell ref="J119:K119"/>
    <mergeCell ref="C291:D291"/>
    <mergeCell ref="H150:I151"/>
    <mergeCell ref="K222:S222"/>
    <mergeCell ref="G159:I159"/>
    <mergeCell ref="E266:F266"/>
    <mergeCell ref="A393:E393"/>
    <mergeCell ref="G266:H266"/>
    <mergeCell ref="M149:AC149"/>
    <mergeCell ref="J183:K183"/>
    <mergeCell ref="M197:U197"/>
    <mergeCell ref="A316:D316"/>
    <mergeCell ref="G38:J38"/>
    <mergeCell ref="C347:D347"/>
    <mergeCell ref="A212:J212"/>
    <mergeCell ref="M151:AC151"/>
    <mergeCell ref="C362:D362"/>
    <mergeCell ref="A282:D282"/>
    <mergeCell ref="A226:L226"/>
    <mergeCell ref="A105:D105"/>
    <mergeCell ref="D158:F158"/>
    <mergeCell ref="M196:V196"/>
    <mergeCell ref="K146:L146"/>
    <mergeCell ref="G33:J33"/>
    <mergeCell ref="A313:D313"/>
    <mergeCell ref="C220:D220"/>
    <mergeCell ref="K304:L304"/>
    <mergeCell ref="A243:C243"/>
    <mergeCell ref="A14:G14"/>
    <mergeCell ref="A222:B222"/>
    <mergeCell ref="C151:D151"/>
    <mergeCell ref="J209:K209"/>
    <mergeCell ref="A286:L286"/>
    <mergeCell ref="K368:L368"/>
    <mergeCell ref="J257:L257"/>
    <mergeCell ref="A294:L294"/>
    <mergeCell ref="C215:D215"/>
    <mergeCell ref="E215:F215"/>
    <mergeCell ref="J186:K186"/>
    <mergeCell ref="G141:H141"/>
    <mergeCell ref="C152:D152"/>
    <mergeCell ref="M202:S202"/>
    <mergeCell ref="I141:J141"/>
    <mergeCell ref="A254:C254"/>
    <mergeCell ref="D120:E120"/>
    <mergeCell ref="D255:F255"/>
    <mergeCell ref="A310:D310"/>
    <mergeCell ref="E279:F279"/>
    <mergeCell ref="E236:L236"/>
    <mergeCell ref="A17:F17"/>
    <mergeCell ref="A53:F53"/>
    <mergeCell ref="G256:I256"/>
    <mergeCell ref="G118:H118"/>
    <mergeCell ref="F8:G8"/>
    <mergeCell ref="I143:J143"/>
    <mergeCell ref="A318:L318"/>
    <mergeCell ref="M316:V317"/>
    <mergeCell ref="M190:X190"/>
    <mergeCell ref="A71:H71"/>
    <mergeCell ref="D250:F250"/>
    <mergeCell ref="A185:B185"/>
    <mergeCell ref="G257:I257"/>
    <mergeCell ref="A326:D326"/>
    <mergeCell ref="A320:D321"/>
    <mergeCell ref="A178:C178"/>
    <mergeCell ref="K265:L265"/>
    <mergeCell ref="G263:J263"/>
    <mergeCell ref="J130:K130"/>
    <mergeCell ref="A170:B170"/>
    <mergeCell ref="A401:E401"/>
    <mergeCell ref="C292:D292"/>
    <mergeCell ref="E268:F268"/>
    <mergeCell ref="D133:E133"/>
    <mergeCell ref="H389:K389"/>
    <mergeCell ref="H16:J17"/>
    <mergeCell ref="A113:D113"/>
    <mergeCell ref="M150:AC150"/>
    <mergeCell ref="A403:E403"/>
    <mergeCell ref="H49:J49"/>
    <mergeCell ref="J122:K122"/>
    <mergeCell ref="A130:B130"/>
    <mergeCell ref="D191:E191"/>
    <mergeCell ref="M300:U300"/>
    <mergeCell ref="H391:K391"/>
    <mergeCell ref="A37:F37"/>
    <mergeCell ref="A20:G20"/>
    <mergeCell ref="M152:AC152"/>
    <mergeCell ref="A132:B132"/>
    <mergeCell ref="G41:J41"/>
    <mergeCell ref="G177:I177"/>
    <mergeCell ref="M158:U158"/>
    <mergeCell ref="E140:F140"/>
    <mergeCell ref="A242:C242"/>
    <mergeCell ref="F401:H401"/>
    <mergeCell ref="A221:B221"/>
    <mergeCell ref="F393:G393"/>
    <mergeCell ref="C221:D221"/>
    <mergeCell ref="G276:J276"/>
    <mergeCell ref="E221:F221"/>
    <mergeCell ref="G43:J43"/>
    <mergeCell ref="A244:C244"/>
    <mergeCell ref="A48:J48"/>
    <mergeCell ref="A15:G15"/>
    <mergeCell ref="G264:H264"/>
    <mergeCell ref="I264:J264"/>
    <mergeCell ref="M306:U306"/>
    <mergeCell ref="A51:G51"/>
    <mergeCell ref="I220:J220"/>
    <mergeCell ref="G187:H187"/>
    <mergeCell ref="A43:F43"/>
    <mergeCell ref="H21:J22"/>
    <mergeCell ref="A110:D110"/>
    <mergeCell ref="G279:H279"/>
    <mergeCell ref="A10:L10"/>
    <mergeCell ref="G124:H124"/>
    <mergeCell ref="E300:F300"/>
    <mergeCell ref="D184:E184"/>
    <mergeCell ref="A245:C245"/>
    <mergeCell ref="E216:F216"/>
    <mergeCell ref="G216:H216"/>
    <mergeCell ref="E281:F281"/>
    <mergeCell ref="G281:H281"/>
    <mergeCell ref="G188:H188"/>
    <mergeCell ref="D121:E121"/>
    <mergeCell ref="A125:B125"/>
    <mergeCell ref="C289:D289"/>
    <mergeCell ref="E218:F218"/>
    <mergeCell ref="G280:H280"/>
    <mergeCell ref="A238:D238"/>
    <mergeCell ref="G218:H218"/>
    <mergeCell ref="I280:J280"/>
    <mergeCell ref="G119:H119"/>
    <mergeCell ref="D123:E123"/>
    <mergeCell ref="A127:B127"/>
    <mergeCell ref="G282:H282"/>
    <mergeCell ref="A367:F367"/>
  </mergeCells>
  <conditionalFormatting sqref="A159 D159">
    <cfRule type="expression" priority="386" dxfId="48">
      <formula>$D$159&gt;$A$159</formula>
    </cfRule>
  </conditionalFormatting>
  <conditionalFormatting sqref="A159 D173 F173 H173 J173 L173">
    <cfRule type="expression" priority="356" dxfId="48">
      <formula>SUM($D$173,$F$173,$H$173,$J$173,$L$173)&lt;&gt;$A$159</formula>
    </cfRule>
  </conditionalFormatting>
  <conditionalFormatting sqref="A178 D178">
    <cfRule type="expression" priority="353" dxfId="48">
      <formula>$D$178&gt;$A$178</formula>
    </cfRule>
  </conditionalFormatting>
  <conditionalFormatting sqref="A178 D191 G191 J191">
    <cfRule type="expression" priority="305" dxfId="48">
      <formula>SUM($D$191,$G$191,$J$191)&lt;&gt;$A$178</formula>
    </cfRule>
  </conditionalFormatting>
  <conditionalFormatting sqref="A196 D196">
    <cfRule type="expression" priority="302" dxfId="48">
      <formula>$D$196&gt;$A$196</formula>
    </cfRule>
  </conditionalFormatting>
  <conditionalFormatting sqref="A196 D209 G209 J209">
    <cfRule type="expression" priority="269" dxfId="48">
      <formula>SUM($D$209,$G$209,$J$209)&lt;&gt;$A$196</formula>
    </cfRule>
  </conditionalFormatting>
  <conditionalFormatting sqref="A238 J250">
    <cfRule type="expression" priority="244" dxfId="48">
      <formula>$J$250&lt;&gt;$A$238</formula>
    </cfRule>
  </conditionalFormatting>
  <conditionalFormatting sqref="A79:B79">
    <cfRule type="expression" priority="48" dxfId="48">
      <formula>$B$79/$A$79&gt;99</formula>
    </cfRule>
  </conditionalFormatting>
  <conditionalFormatting sqref="A85:B85">
    <cfRule type="expression" priority="40" dxfId="48">
      <formula>$B$85/$A$85&gt;99</formula>
    </cfRule>
  </conditionalFormatting>
  <conditionalFormatting sqref="A152:B152">
    <cfRule type="expression" priority="63" dxfId="48">
      <formula>A152&gt;SUM(L104:L105)</formula>
    </cfRule>
  </conditionalFormatting>
  <conditionalFormatting sqref="A152:E152 G159 H152">
    <cfRule type="expression" priority="32" dxfId="48">
      <formula>SUM($A$152,$C$152,$E$152,$H$152)&gt;$G$159</formula>
    </cfRule>
  </conditionalFormatting>
  <conditionalFormatting sqref="A152:I152">
    <cfRule type="expression" priority="64" dxfId="48">
      <formula>SUM($A$152:$I$152)&lt;SUM($L$104,$L$105)</formula>
    </cfRule>
  </conditionalFormatting>
  <conditionalFormatting sqref="C79:D79">
    <cfRule type="expression" priority="46" dxfId="48">
      <formula>$D$79/$C$79&gt;500</formula>
    </cfRule>
    <cfRule type="expression" priority="47" dxfId="48">
      <formula>$D$79/$C$79&lt;100</formula>
    </cfRule>
  </conditionalFormatting>
  <conditionalFormatting sqref="C85:D85">
    <cfRule type="expression" priority="39" dxfId="48">
      <formula>$D$85/$C$85&gt;500</formula>
    </cfRule>
    <cfRule type="expression" priority="38" dxfId="48">
      <formula>$D$85/$C$85&lt;100</formula>
    </cfRule>
  </conditionalFormatting>
  <conditionalFormatting sqref="C152:D152">
    <cfRule type="expression" priority="58" dxfId="48">
      <formula>C152&gt;SUM(L104:L105)</formula>
    </cfRule>
  </conditionalFormatting>
  <conditionalFormatting sqref="C173:D173">
    <cfRule type="expression" priority="29" dxfId="48">
      <formula>$D$173/$C$173&gt;99</formula>
    </cfRule>
  </conditionalFormatting>
  <conditionalFormatting sqref="C292:D292 F292:G292 I292:J292">
    <cfRule type="expression" priority="49" dxfId="48">
      <formula>SUM($C$292,$F$292,$I$292)&gt;$H$14</formula>
    </cfRule>
  </conditionalFormatting>
  <conditionalFormatting sqref="C343:D343">
    <cfRule type="expression" priority="10" dxfId="48">
      <formula>$D$343/$C$343&gt;99</formula>
    </cfRule>
  </conditionalFormatting>
  <conditionalFormatting sqref="C356:D356">
    <cfRule type="expression" priority="6" dxfId="48">
      <formula>$D$356/$C$356&gt;99</formula>
    </cfRule>
  </conditionalFormatting>
  <conditionalFormatting sqref="C191:E191">
    <cfRule type="expression" priority="21" dxfId="48">
      <formula>$D$191/$C$191&gt;59</formula>
    </cfRule>
  </conditionalFormatting>
  <conditionalFormatting sqref="C209:E209">
    <cfRule type="expression" priority="17" dxfId="48">
      <formula>$D$209/$C$209&gt;59</formula>
    </cfRule>
  </conditionalFormatting>
  <conditionalFormatting sqref="D6">
    <cfRule type="expression" priority="208" dxfId="48">
      <formula>$D$6=""</formula>
    </cfRule>
  </conditionalFormatting>
  <conditionalFormatting sqref="E152">
    <cfRule type="expression" priority="62" dxfId="48">
      <formula>E152&gt;SUM(L104:L105)</formula>
    </cfRule>
  </conditionalFormatting>
  <conditionalFormatting sqref="E272 E284">
    <cfRule type="expression" priority="241" dxfId="48">
      <formula>$E$284&lt;&gt;$E$272</formula>
    </cfRule>
  </conditionalFormatting>
  <conditionalFormatting sqref="E292">
    <cfRule type="expression" priority="13" dxfId="48">
      <formula>MOD($E$292,5)&gt;0</formula>
    </cfRule>
  </conditionalFormatting>
  <conditionalFormatting sqref="E302 L316">
    <cfRule type="expression" priority="214" dxfId="48">
      <formula>$L$316&lt;&gt;$E$302</formula>
    </cfRule>
  </conditionalFormatting>
  <conditionalFormatting sqref="E79:F79">
    <cfRule type="expression" priority="45" dxfId="48">
      <formula>$F$79/$E$79&gt;1000</formula>
    </cfRule>
    <cfRule type="expression" priority="44" dxfId="48">
      <formula>$F$79/$E$79&lt;=500</formula>
    </cfRule>
  </conditionalFormatting>
  <conditionalFormatting sqref="E85:F85">
    <cfRule type="expression" priority="36" dxfId="48">
      <formula>$F$85/$E$85&lt;501</formula>
    </cfRule>
    <cfRule type="expression" priority="37" dxfId="48">
      <formula>$F$85/$E$85&gt;1000</formula>
    </cfRule>
  </conditionalFormatting>
  <conditionalFormatting sqref="E173:F173">
    <cfRule type="expression" priority="27" dxfId="48">
      <formula>" =$F$173/$E$173&lt;100"</formula>
    </cfRule>
    <cfRule type="expression" priority="28" dxfId="48">
      <formula>$F$173/$E$173&gt;500</formula>
    </cfRule>
  </conditionalFormatting>
  <conditionalFormatting sqref="E301:F304">
    <cfRule type="expression" priority="226" dxfId="48">
      <formula>SUM($E$303,$E$304)&lt;&gt;($E$301-$E$302)</formula>
    </cfRule>
  </conditionalFormatting>
  <conditionalFormatting sqref="E343:F343">
    <cfRule type="expression" priority="9" dxfId="48">
      <formula>$F$343/$E$343&gt;500</formula>
    </cfRule>
  </conditionalFormatting>
  <conditionalFormatting sqref="E356:F356">
    <cfRule type="expression" priority="5" dxfId="48">
      <formula>$F$356/$E$356&gt;500</formula>
    </cfRule>
  </conditionalFormatting>
  <conditionalFormatting sqref="F152 G196">
    <cfRule type="expression" priority="31" dxfId="48">
      <formula>$F$152&gt;$G$196</formula>
    </cfRule>
  </conditionalFormatting>
  <conditionalFormatting sqref="F152">
    <cfRule type="expression" priority="61" dxfId="48">
      <formula>F152&gt;SUM(L104:L105)</formula>
    </cfRule>
  </conditionalFormatting>
  <conditionalFormatting sqref="F191:H191">
    <cfRule type="expression" priority="20" dxfId="48">
      <formula>$G$191/$F$191&gt;120</formula>
    </cfRule>
    <cfRule type="expression" priority="19" dxfId="48">
      <formula>$G$191/$F$191&lt;60</formula>
    </cfRule>
  </conditionalFormatting>
  <conditionalFormatting sqref="F209:H209">
    <cfRule type="expression" priority="15" dxfId="48">
      <formula>$G$209/$F$209&gt;120</formula>
    </cfRule>
    <cfRule type="expression" priority="16" dxfId="48">
      <formula>$G$209/$F$209&lt;60</formula>
    </cfRule>
  </conditionalFormatting>
  <conditionalFormatting sqref="G152 G178">
    <cfRule type="expression" priority="30" dxfId="48">
      <formula>$G$152&gt;$G$178</formula>
    </cfRule>
  </conditionalFormatting>
  <conditionalFormatting sqref="G152">
    <cfRule type="expression" priority="60" dxfId="48">
      <formula>G152&gt;SUM(L104:L105)</formula>
    </cfRule>
  </conditionalFormatting>
  <conditionalFormatting sqref="C173 E173 G159 G173 I173 K173">
    <cfRule type="expression" priority="359" dxfId="48">
      <formula>SUM($C$173,$E$173,$G$173,$I$173,$K$173)&lt;&gt;$G$159</formula>
    </cfRule>
  </conditionalFormatting>
  <conditionalFormatting sqref="C191 F191 G178 I191">
    <cfRule type="expression" priority="308" dxfId="48">
      <formula>SUM($C$191,$F$191,$I$191)&lt;&gt;$G$178</formula>
    </cfRule>
  </conditionalFormatting>
  <conditionalFormatting sqref="C209 F209 G196 I209">
    <cfRule type="expression" priority="272" dxfId="48">
      <formula>SUM($C$209,$F$209,$I$209)&lt;&gt;$G$196</formula>
    </cfRule>
  </conditionalFormatting>
  <conditionalFormatting sqref="G272 G284">
    <cfRule type="expression" priority="238" dxfId="48">
      <formula>$G$284&lt;&gt;$G$272</formula>
    </cfRule>
  </conditionalFormatting>
  <conditionalFormatting sqref="G79:H79">
    <cfRule type="expression" priority="42" dxfId="48">
      <formula>$H$79/$G$79&lt;=1000</formula>
    </cfRule>
    <cfRule type="expression" priority="43" dxfId="48">
      <formula>$H$79/$G$79&gt;5000</formula>
    </cfRule>
  </conditionalFormatting>
  <conditionalFormatting sqref="G85:H85">
    <cfRule type="expression" priority="35" dxfId="48">
      <formula>$H$85/$G$85&gt;5000</formula>
    </cfRule>
    <cfRule type="expression" priority="34" dxfId="48">
      <formula>" =$H$85/$G$85&lt;1001"</formula>
    </cfRule>
  </conditionalFormatting>
  <conditionalFormatting sqref="G173:H173">
    <cfRule type="expression" priority="25" dxfId="48">
      <formula>$H$173/$G$173&gt;1000</formula>
    </cfRule>
    <cfRule type="expression" priority="26" dxfId="48">
      <formula>$H$173/$G$173&lt;501</formula>
    </cfRule>
  </conditionalFormatting>
  <conditionalFormatting sqref="G301:H304">
    <cfRule type="expression" priority="223" dxfId="48">
      <formula>SUM($G$303:$H$304)&lt;&gt;($G$301-$G$302)</formula>
    </cfRule>
  </conditionalFormatting>
  <conditionalFormatting sqref="G343:H343">
    <cfRule type="expression" priority="8" dxfId="48">
      <formula>$H$343/$G$343&gt;1000</formula>
    </cfRule>
  </conditionalFormatting>
  <conditionalFormatting sqref="G356:H356">
    <cfRule type="expression" priority="4" dxfId="48">
      <formula>$H$356/$G$356&gt;1000</formula>
    </cfRule>
  </conditionalFormatting>
  <conditionalFormatting sqref="G33 H14">
    <cfRule type="expression" priority="426" dxfId="48">
      <formula>$H$14&lt;&gt;$G$33</formula>
    </cfRule>
  </conditionalFormatting>
  <conditionalFormatting sqref="G44 H14">
    <cfRule type="expression" priority="72" dxfId="48">
      <formula>$G$44&lt;&gt;$H$14</formula>
    </cfRule>
  </conditionalFormatting>
  <conditionalFormatting sqref="H19 L113">
    <cfRule type="expression" priority="395" dxfId="48">
      <formula>$H$19&lt;&gt;$L$113</formula>
    </cfRule>
  </conditionalFormatting>
  <conditionalFormatting sqref="G67 H50">
    <cfRule type="expression" priority="415" dxfId="48">
      <formula>$G$67&lt;&gt;$H$50</formula>
    </cfRule>
  </conditionalFormatting>
  <conditionalFormatting sqref="A79 A85 C79 C85 E79 E85 G79 G85 H55 I79 I85">
    <cfRule type="expression" priority="397" dxfId="48">
      <formula>$H$55&lt;&gt;SUM($A$79,$C$79,$E$79,$G$79,$I$79,$A$85,$C$85,$E$85,$G$85,$I$85)</formula>
    </cfRule>
  </conditionalFormatting>
  <conditionalFormatting sqref="A79 C79 E79 G79 H55 I79">
    <cfRule type="expression" priority="407" dxfId="48">
      <formula>SUM($A$79,$C$79,$E$79,$G$79,$I$79)&gt;$H$55</formula>
    </cfRule>
  </conditionalFormatting>
  <conditionalFormatting sqref="A85 C85 E85 G85 H55 I85">
    <cfRule type="expression" priority="400" dxfId="48">
      <formula>SUM($A$85,$C$85,$E$85,$G$85,$I$85)&gt;$H$55</formula>
    </cfRule>
  </conditionalFormatting>
  <conditionalFormatting sqref="H55 H73">
    <cfRule type="expression" priority="412" dxfId="48">
      <formula>$H$73&lt;&gt;$H$55</formula>
    </cfRule>
  </conditionalFormatting>
  <conditionalFormatting sqref="H93 L112">
    <cfRule type="expression" priority="393" dxfId="48">
      <formula>$L$112&lt;&gt;$H$93</formula>
    </cfRule>
  </conditionalFormatting>
  <conditionalFormatting sqref="H292">
    <cfRule type="expression" priority="12" dxfId="48">
      <formula>MOD($H$292,5)&gt;0</formula>
    </cfRule>
  </conditionalFormatting>
  <conditionalFormatting sqref="H152:I152">
    <cfRule type="expression" priority="59" dxfId="48">
      <formula>H152&gt;SUM(L104:L105)</formula>
    </cfRule>
  </conditionalFormatting>
  <conditionalFormatting sqref="H18:J20">
    <cfRule type="expression" priority="421" dxfId="48">
      <formula>$H$20&lt;&gt;($H$18-$H$19)</formula>
    </cfRule>
  </conditionalFormatting>
  <conditionalFormatting sqref="H96:K96">
    <cfRule type="expression" priority="65" dxfId="48">
      <formula>SUM(H93:K96)-H92&lt;&gt;0</formula>
    </cfRule>
  </conditionalFormatting>
  <conditionalFormatting sqref="F400:F402 F404 H390:K390">
    <cfRule type="expression" priority="1" dxfId="48">
      <formula>$H$390/SUM($F$400,$F$401,$F$402,$F$404)&lt;40000</formula>
    </cfRule>
    <cfRule type="expression" priority="2" dxfId="48">
      <formula>$H$390/SUM($F$400,$F$401,$F$402,$F$404)&gt;200000</formula>
    </cfRule>
  </conditionalFormatting>
  <conditionalFormatting sqref="I272 I284">
    <cfRule type="expression" priority="235" dxfId="48">
      <formula>$I$284&lt;&gt;$I$272</formula>
    </cfRule>
  </conditionalFormatting>
  <conditionalFormatting sqref="I302 L328">
    <cfRule type="expression" priority="211" dxfId="48">
      <formula>$L$328&lt;&gt;$I$302</formula>
    </cfRule>
  </conditionalFormatting>
  <conditionalFormatting sqref="I79:J79">
    <cfRule type="expression" priority="41" dxfId="48">
      <formula>$J$79/$I$79&lt;=5000</formula>
    </cfRule>
  </conditionalFormatting>
  <conditionalFormatting sqref="I85:J85">
    <cfRule type="expression" priority="33" dxfId="48">
      <formula>$J$85/$I$85&lt;=5000</formula>
    </cfRule>
  </conditionalFormatting>
  <conditionalFormatting sqref="I173:J173">
    <cfRule type="expression" priority="24" dxfId="48">
      <formula>$J$173/$I$173&gt;5000</formula>
    </cfRule>
    <cfRule type="expression" priority="23" dxfId="48">
      <formula>$J$173/$I$173&lt;1001</formula>
    </cfRule>
  </conditionalFormatting>
  <conditionalFormatting sqref="I301:J304">
    <cfRule type="expression" priority="220" dxfId="48">
      <formula>SUM($I$303:$J$304)&lt;&gt;($I$301-$I$302)</formula>
    </cfRule>
  </conditionalFormatting>
  <conditionalFormatting sqref="I343:J343">
    <cfRule type="expression" priority="7" dxfId="48">
      <formula>$J$343/$I$343&gt;5000</formula>
    </cfRule>
  </conditionalFormatting>
  <conditionalFormatting sqref="I356:J356">
    <cfRule type="expression" priority="3" dxfId="48">
      <formula>$J$356/$I$356&gt;5000</formula>
    </cfRule>
  </conditionalFormatting>
  <conditionalFormatting sqref="I191:K191">
    <cfRule type="expression" priority="18" dxfId="48">
      <formula>$J$191/$I$191&lt;=120</formula>
    </cfRule>
  </conditionalFormatting>
  <conditionalFormatting sqref="I209:K209">
    <cfRule type="expression" priority="14" dxfId="48">
      <formula>$J$209/$I$209&lt;=120</formula>
    </cfRule>
  </conditionalFormatting>
  <conditionalFormatting sqref="K6">
    <cfRule type="expression" priority="207" dxfId="17">
      <formula>$D$6=""</formula>
    </cfRule>
    <cfRule type="expression" priority="206" dxfId="16">
      <formula>$D$6&lt;&gt;""</formula>
    </cfRule>
  </conditionalFormatting>
  <conditionalFormatting sqref="K272 K284">
    <cfRule type="expression" priority="232" dxfId="48">
      <formula>$K$284&lt;&gt;$K$272</formula>
    </cfRule>
  </conditionalFormatting>
  <conditionalFormatting sqref="K292">
    <cfRule type="expression" priority="11" dxfId="48">
      <formula>MOD($K$292,5)&gt;0</formula>
    </cfRule>
  </conditionalFormatting>
  <conditionalFormatting sqref="K173:L173">
    <cfRule type="expression" priority="22" dxfId="48">
      <formula>$L$173/$K$173&lt;=5000</formula>
    </cfRule>
  </conditionalFormatting>
  <conditionalFormatting sqref="K301:L304">
    <cfRule type="expression" priority="217" dxfId="48">
      <formula>SUM($K$303:$L$304)&lt;&gt;($K$301-$K$302)</formula>
    </cfRule>
  </conditionalFormatting>
  <conditionalFormatting sqref="C166 C184 C202 E166 F184 F202 G166 I166 I184 I202 K166 L104">
    <cfRule type="expression" priority="266" dxfId="48">
      <formula>$X$104&lt;$L$104</formula>
    </cfRule>
  </conditionalFormatting>
  <conditionalFormatting sqref="C166 E166 G166 I166 K166 L104">
    <cfRule type="expression" priority="380" dxfId="48">
      <formula>SUM($C$166,$E$166,$G$166,$I$166,$K$166)&gt;$L$104</formula>
    </cfRule>
  </conditionalFormatting>
  <conditionalFormatting sqref="C184 F184 I184 L104">
    <cfRule type="expression" priority="329" dxfId="48">
      <formula>SUM($C$184,$F$184,$I$184)&gt;$L$104</formula>
    </cfRule>
  </conditionalFormatting>
  <conditionalFormatting sqref="C202 F202 I202 L104">
    <cfRule type="expression" priority="293" dxfId="48">
      <formula>SUM($C$202,$F$202,$I$202)&gt;$L$104</formula>
    </cfRule>
  </conditionalFormatting>
  <conditionalFormatting sqref="L104:L105">
    <cfRule type="expression" priority="389" dxfId="48">
      <formula>SUM($A$152:$I$152)&lt;SUM($L$104:$L$105)</formula>
    </cfRule>
  </conditionalFormatting>
  <conditionalFormatting sqref="G159 G178 G196 L104:L107 L110:L112">
    <cfRule type="expression" priority="296" dxfId="48">
      <formula>SUM($G$196,$G$178,$G$159)&lt;SUM($L$104,$L$105,$L$106,$L$107,$L$110,$L$111,$L$112)</formula>
    </cfRule>
  </conditionalFormatting>
  <conditionalFormatting sqref="G159 L104:L107 L110:L112">
    <cfRule type="expression" priority="383" dxfId="48">
      <formula>$G$159&gt;SUM($L$104,$L$105,$L$106,$L$107,$L$110,$L$111,$L$112)</formula>
    </cfRule>
  </conditionalFormatting>
  <conditionalFormatting sqref="G178 L104:L107 L110:L112">
    <cfRule type="expression" priority="350" dxfId="48">
      <formula>$G$178&gt;SUM($L$104,$L$105,$L$106,$L$107,$L$110,$L$111,$L$112)</formula>
    </cfRule>
  </conditionalFormatting>
  <conditionalFormatting sqref="G196 L104:L107 L110:L112">
    <cfRule type="expression" priority="299" dxfId="48">
      <formula>$G$196&gt;SUM($L$104,$L$105,$L$106,$L$107,$L$110,$L$111,$L$112)</formula>
    </cfRule>
  </conditionalFormatting>
  <conditionalFormatting sqref="C167 C185 C203 E167 F185 F203 G167 I167 I185 I203 K167 L105">
    <cfRule type="expression" priority="263" dxfId="48">
      <formula>$X$105&lt;$L$105</formula>
    </cfRule>
  </conditionalFormatting>
  <conditionalFormatting sqref="C167 E167 G167 I167 K167 L105">
    <cfRule type="expression" priority="377" dxfId="48">
      <formula>SUM($C$167,$E$167,$G$167,$I$167,$K$167)&gt;$L$105</formula>
    </cfRule>
  </conditionalFormatting>
  <conditionalFormatting sqref="C185 F185 I185 L105">
    <cfRule type="expression" priority="326" dxfId="48">
      <formula>SUM($C$185,$F$185,$I$185)&gt;$L$105</formula>
    </cfRule>
  </conditionalFormatting>
  <conditionalFormatting sqref="C203 F203 I203 L105">
    <cfRule type="expression" priority="290" dxfId="48">
      <formula>SUM($C$203,$F$203,$I$203)&gt;$L$105</formula>
    </cfRule>
  </conditionalFormatting>
  <conditionalFormatting sqref="C168 C186 C204 E168 F186 F204 G168 I168 I186 I204 K168 L106">
    <cfRule type="expression" priority="260" dxfId="48">
      <formula>$X$106&lt;$L$106</formula>
    </cfRule>
  </conditionalFormatting>
  <conditionalFormatting sqref="C168 E168 G168 I168 K168 L106">
    <cfRule type="expression" priority="374" dxfId="48">
      <formula>SUM($C$168,$E$168,$G$168,$I$168,$K$168)&gt;$L$106</formula>
    </cfRule>
  </conditionalFormatting>
  <conditionalFormatting sqref="C186 F186 I186 L106">
    <cfRule type="expression" priority="323" dxfId="48">
      <formula>SUM($C$186,$F$186,$I$186)&gt;$L$106</formula>
    </cfRule>
  </conditionalFormatting>
  <conditionalFormatting sqref="C204 F204 I204 L106">
    <cfRule type="expression" priority="287" dxfId="48">
      <formula>SUM($C$204,$F$204,$I$204)&gt;$L$106</formula>
    </cfRule>
  </conditionalFormatting>
  <conditionalFormatting sqref="C169 C187 C205 E169 F187 F205 G169 I169 I187 I205 K169 L107">
    <cfRule type="expression" priority="257" dxfId="48">
      <formula>$X$107&lt;$L$107</formula>
    </cfRule>
  </conditionalFormatting>
  <conditionalFormatting sqref="C169 E169 G169 I169 K169 L107">
    <cfRule type="expression" priority="371" dxfId="48">
      <formula>SUM($C$169,$E$169,$G$169,$I$169,$K$169)&gt;$L$107</formula>
    </cfRule>
  </conditionalFormatting>
  <conditionalFormatting sqref="C187 F187 I187 L107">
    <cfRule type="expression" priority="320" dxfId="48">
      <formula>SUM($C$187,$F$187,$I$187)&gt;$L$107</formula>
    </cfRule>
  </conditionalFormatting>
  <conditionalFormatting sqref="C205 F205 I205 L107">
    <cfRule type="expression" priority="284" dxfId="48">
      <formula>SUM($C$205,$F$205,$I$205)&gt;$L$107</formula>
    </cfRule>
  </conditionalFormatting>
  <conditionalFormatting sqref="C170 C188 C206 E170 F188 F206 G170 I170 I188 I206 K170 L110">
    <cfRule type="expression" priority="254" dxfId="48">
      <formula>$X$110&lt;$L$110</formula>
    </cfRule>
  </conditionalFormatting>
  <conditionalFormatting sqref="C170 E170 G170 I170 K170 L110">
    <cfRule type="expression" priority="368" dxfId="48">
      <formula>SUM($C$170,$E$170,$G$170,$I$170,$K$170)&gt;$L$110</formula>
    </cfRule>
  </conditionalFormatting>
  <conditionalFormatting sqref="C188 F188 I188 L110">
    <cfRule type="expression" priority="317" dxfId="48">
      <formula>SUM($C$188,$F$188,$I$188)&gt;$L$110</formula>
    </cfRule>
  </conditionalFormatting>
  <conditionalFormatting sqref="C206 F206 I206 L110">
    <cfRule type="expression" priority="281" dxfId="48">
      <formula>SUM($C$206,$F$206,$I$206)&gt;$L$110</formula>
    </cfRule>
  </conditionalFormatting>
  <conditionalFormatting sqref="C171 C189 C207 E171 F189 F207 G171 I171 I189 I207 K171 L111">
    <cfRule type="expression" priority="250" dxfId="48">
      <formula>$X$111&lt;$L$111</formula>
    </cfRule>
  </conditionalFormatting>
  <conditionalFormatting sqref="C171 E171 G171 I171 K171 L111">
    <cfRule type="expression" priority="365" dxfId="48">
      <formula>SUM($C$171,$E$171,$G$171,$I$171,$K$171)&gt;$L$111</formula>
    </cfRule>
  </conditionalFormatting>
  <conditionalFormatting sqref="C189 F189 I189 L111">
    <cfRule type="expression" priority="314" dxfId="48">
      <formula>SUM($C$189,$F$189,$I$189)&gt;$L$111</formula>
    </cfRule>
  </conditionalFormatting>
  <conditionalFormatting sqref="C207 F207 I207 L111">
    <cfRule type="expression" priority="278" dxfId="48">
      <formula>SUM($C$207,$F$207,$I$207)&gt;$L$111</formula>
    </cfRule>
  </conditionalFormatting>
  <conditionalFormatting sqref="C172 C190 C208 E172 F190 F208 G172 I172 I190 I208 K172 L112">
    <cfRule type="expression" priority="247" dxfId="48">
      <formula>$X$112&lt;$L$112</formula>
    </cfRule>
  </conditionalFormatting>
  <conditionalFormatting sqref="C172 E172 G172 I172 K172 L112">
    <cfRule type="expression" priority="362" dxfId="48">
      <formula>SUM($C$172,$E$172,$G$172,$I$172,$K$172)&gt;$L$112</formula>
    </cfRule>
  </conditionalFormatting>
  <conditionalFormatting sqref="C190 F190 I190 L112">
    <cfRule type="expression" priority="311" dxfId="48">
      <formula>SUM($C$190,$F$190,$I$190)&gt;$L$112</formula>
    </cfRule>
  </conditionalFormatting>
  <conditionalFormatting sqref="C208 F208 I208 L112">
    <cfRule type="expression" priority="275" dxfId="48">
      <formula>SUM($C$208,$F$208,$I$208)&gt;$L$112</formula>
    </cfRule>
  </conditionalFormatting>
  <conditionalFormatting sqref="L95:Z96">
    <cfRule type="expression" priority="66" dxfId="48">
      <formula>SUM(H93:K96)-H92&lt;&gt;0</formula>
    </cfRule>
  </conditionalFormatting>
  <conditionalFormatting sqref="M15:M18">
    <cfRule type="expression" priority="147" dxfId="1">
      <formula>$H$14&lt;&gt;$G$44</formula>
    </cfRule>
    <cfRule type="expression" priority="146" dxfId="16">
      <formula>$H$14=$G$44</formula>
    </cfRule>
  </conditionalFormatting>
  <conditionalFormatting sqref="M20">
    <cfRule type="expression" priority="145" dxfId="1">
      <formula>$H$20&lt;&gt;($H$18-$H$19)</formula>
    </cfRule>
    <cfRule type="expression" priority="144" dxfId="16">
      <formula>$H$20=($H$18-$H$19)</formula>
    </cfRule>
  </conditionalFormatting>
  <conditionalFormatting sqref="M21:M22">
    <cfRule type="expression" priority="140" dxfId="16">
      <formula>$H$14=$G$44</formula>
    </cfRule>
    <cfRule type="expression" priority="141" dxfId="1">
      <formula>$H$14&lt;&gt;$G$44</formula>
    </cfRule>
  </conditionalFormatting>
  <conditionalFormatting sqref="M32">
    <cfRule type="expression" priority="416" dxfId="0">
      <formula>$G$33=$H$14</formula>
    </cfRule>
    <cfRule type="expression" priority="417" dxfId="1">
      <formula>$G$33&lt;&gt;$H$14</formula>
    </cfRule>
  </conditionalFormatting>
  <conditionalFormatting sqref="M66">
    <cfRule type="expression" priority="413" dxfId="0">
      <formula>$G$67=$H$50</formula>
    </cfRule>
    <cfRule type="expression" priority="414" dxfId="1">
      <formula>$G$67&lt;&gt;$H$50</formula>
    </cfRule>
  </conditionalFormatting>
  <conditionalFormatting sqref="M73">
    <cfRule type="expression" priority="411" dxfId="1">
      <formula>$H$73&lt;&gt;$H$55</formula>
    </cfRule>
    <cfRule type="expression" priority="410" dxfId="0">
      <formula>$H$73=$H$55</formula>
    </cfRule>
  </conditionalFormatting>
  <conditionalFormatting sqref="M78">
    <cfRule type="expression" priority="405" dxfId="0">
      <formula>SUM($A$79,$C$79,$E$79,$G$79,$I$79)&lt;=$H$55</formula>
    </cfRule>
    <cfRule type="expression" priority="406" dxfId="1">
      <formula>SUM($A$79,$C$79,$E$79,$G$79,$I$79)&gt;$H$55</formula>
    </cfRule>
    <cfRule type="expression" priority="408" dxfId="0">
      <formula>$H$73=$H$55</formula>
    </cfRule>
    <cfRule type="expression" priority="409" dxfId="1">
      <formula>$H$73&lt;&gt;$H$55</formula>
    </cfRule>
  </conditionalFormatting>
  <conditionalFormatting sqref="M79 M85">
    <cfRule type="expression" priority="139" dxfId="0">
      <formula>$H$55=SUM($A$79,$C$79,$E$79,$G$79,$I$79,$A$85,$C$85,$E$85,$G$85,$I$85)</formula>
    </cfRule>
    <cfRule type="expression" priority="396" dxfId="1">
      <formula>$H$55&lt;&gt;SUM($A$79,$C$79,$E$79,$G$79,$I$79,$A$85,$C$85,$E$85,$G$85,$I$85)</formula>
    </cfRule>
  </conditionalFormatting>
  <conditionalFormatting sqref="M84">
    <cfRule type="expression" priority="399" dxfId="1">
      <formula>SUM($A$85,$C$85,$E$85,$G$85,$I$85)&gt;$H$55</formula>
    </cfRule>
    <cfRule type="expression" priority="401" dxfId="0">
      <formula>SUM($A$79,$C$79,$E$79,$G$79,$I$79)=$H$55</formula>
    </cfRule>
    <cfRule type="expression" priority="402" dxfId="1">
      <formula>SUM($A$79,$C$79,$E$79,$G$79,$I$79)&lt;&gt;$H$55</formula>
    </cfRule>
    <cfRule type="expression" priority="398" dxfId="0">
      <formula>SUM($A$85,$C$85,$E$85,$G$85,$I$85)&lt;=$H$55</formula>
    </cfRule>
    <cfRule type="expression" priority="403" dxfId="0">
      <formula>$H$73=$H$55</formula>
    </cfRule>
    <cfRule type="expression" priority="404" dxfId="1">
      <formula>$H$73&lt;&gt;$H$55</formula>
    </cfRule>
  </conditionalFormatting>
  <conditionalFormatting sqref="M112">
    <cfRule type="expression" priority="392" dxfId="1">
      <formula>$L$112&lt;&gt;$H$93</formula>
    </cfRule>
    <cfRule type="expression" priority="391" dxfId="0">
      <formula>$L$112=$H$93</formula>
    </cfRule>
  </conditionalFormatting>
  <conditionalFormatting sqref="M113">
    <cfRule type="expression" priority="394" dxfId="0">
      <formula>$H$19=$L$113</formula>
    </cfRule>
    <cfRule type="expression" priority="390" dxfId="1">
      <formula>$H$19&lt;&gt;$L$113</formula>
    </cfRule>
  </conditionalFormatting>
  <conditionalFormatting sqref="M158">
    <cfRule type="expression" priority="384" dxfId="0">
      <formula>$D$159&lt;=$A$159</formula>
    </cfRule>
    <cfRule type="expression" priority="385" dxfId="1">
      <formula>$D$159&gt;$A$159</formula>
    </cfRule>
  </conditionalFormatting>
  <conditionalFormatting sqref="M159">
    <cfRule type="expression" priority="381" dxfId="0">
      <formula>$G$159&lt;=SUM($L$104,$L$105,$L$106,$L$107,$L$110,$L$111,$L$112)</formula>
    </cfRule>
    <cfRule type="expression" priority="382" dxfId="1">
      <formula>$G$159&gt;SUM($L$104,$L$105,$L$106,$L$107,$L$110,$L$111,$L$112)</formula>
    </cfRule>
  </conditionalFormatting>
  <conditionalFormatting sqref="M166">
    <cfRule type="expression" priority="378" dxfId="0">
      <formula>SUM($C$166,$E$166,$G$166,$I$166,$K$166)&lt;=$L$104</formula>
    </cfRule>
    <cfRule type="expression" priority="379" dxfId="1">
      <formula>SUM($C$166,$E$166,$G$166,$I$166,$K$166)&gt;$L$104</formula>
    </cfRule>
  </conditionalFormatting>
  <conditionalFormatting sqref="M167">
    <cfRule type="expression" priority="375" dxfId="0">
      <formula>SUM($C$167,$E$167,$G$167,$I$167,$K$167)&lt;=$L$105</formula>
    </cfRule>
    <cfRule type="expression" priority="376" dxfId="1">
      <formula>SUM($C$167,$E$167,$G$167,$I$167,$K$167)&gt;$L$105</formula>
    </cfRule>
  </conditionalFormatting>
  <conditionalFormatting sqref="M168">
    <cfRule type="expression" priority="373" dxfId="1">
      <formula>SUM($C$168,$E$168,$G$168,$I$168,$K$168)&gt;$L$106</formula>
    </cfRule>
    <cfRule type="expression" priority="372" dxfId="0">
      <formula>SUM($C$168,$E$168,$G$168,$I$168,$K$168)&lt;=$L$106</formula>
    </cfRule>
  </conditionalFormatting>
  <conditionalFormatting sqref="M169">
    <cfRule type="expression" priority="369" dxfId="0">
      <formula>SUM($C$169,$E$169,$G$169,$I$169,$K$169)&lt;=$L$107</formula>
    </cfRule>
    <cfRule type="expression" priority="370" dxfId="1">
      <formula>SUM($C$169,$E$169,$G$169,$I$169,$K$169)&gt;$L$107</formula>
    </cfRule>
  </conditionalFormatting>
  <conditionalFormatting sqref="M170">
    <cfRule type="expression" priority="366" dxfId="0">
      <formula>SUM($C$170,$E$170,$G$170,$I$170,$K$170)&lt;=$L$110</formula>
    </cfRule>
    <cfRule type="expression" priority="367" dxfId="1">
      <formula>SUM($C$170,$E$170,$G$170,$I$170,$K$170)&gt;$L$110</formula>
    </cfRule>
  </conditionalFormatting>
  <conditionalFormatting sqref="M171">
    <cfRule type="expression" priority="363" dxfId="0">
      <formula>SUM($C$171,$E$171,$G$171,$I$171,$K$171)&lt;=$L$111</formula>
    </cfRule>
    <cfRule type="expression" priority="364" dxfId="1">
      <formula>SUM($C$171,$E$171,$G$171,$I$171,$K$171)&gt;$L$111</formula>
    </cfRule>
  </conditionalFormatting>
  <conditionalFormatting sqref="M172">
    <cfRule type="expression" priority="360" dxfId="0">
      <formula>SUM($C$172,$E$172,$G$172,$I$172,$K$172)&lt;=$L$112</formula>
    </cfRule>
    <cfRule type="expression" priority="361" dxfId="1">
      <formula>SUM($C$172,$E$172,$G$172,$I$172,$K$172)&gt;$L$112</formula>
    </cfRule>
  </conditionalFormatting>
  <conditionalFormatting sqref="M173">
    <cfRule type="expression" priority="357" dxfId="0">
      <formula>SUM($C$173,$E$173,$G$173,$I$173,$K$173)=$G$159</formula>
    </cfRule>
    <cfRule type="expression" priority="358" dxfId="1">
      <formula>SUM($C$173,$E$173,$G$173,$I$173,$K$173)&lt;&gt;$G$159</formula>
    </cfRule>
  </conditionalFormatting>
  <conditionalFormatting sqref="M174">
    <cfRule type="expression" priority="355" dxfId="1">
      <formula>SUM($D$173,$F$173,$H$173,$J$173,$L$173)&lt;&gt;$A$159</formula>
    </cfRule>
    <cfRule type="expression" priority="354" dxfId="0">
      <formula>SUM($D$173,$F$173,$H$173,$J$173,$L$173)=$A$159</formula>
    </cfRule>
  </conditionalFormatting>
  <conditionalFormatting sqref="M177">
    <cfRule type="expression" priority="351" dxfId="0">
      <formula>$D$178&lt;=$A$178</formula>
    </cfRule>
    <cfRule type="expression" priority="352" dxfId="1">
      <formula>$D$178&gt;$A$178</formula>
    </cfRule>
  </conditionalFormatting>
  <conditionalFormatting sqref="M178">
    <cfRule type="expression" priority="348" dxfId="0">
      <formula>$G$178&lt;=SUM($L$104,$L$105,$L$106,$L$107,$L$110,$L$111,$L$112)</formula>
    </cfRule>
    <cfRule type="expression" priority="349" dxfId="1">
      <formula>$G$178&gt;SUM($L$104,$L$105,$L$106,$L$107,$L$110,$L$111,$L$112)</formula>
    </cfRule>
  </conditionalFormatting>
  <conditionalFormatting sqref="M184">
    <cfRule type="expression" priority="117" dxfId="17">
      <formula>SUM($C$184,$F$184,$I$184)&gt;$L$104</formula>
    </cfRule>
    <cfRule type="expression" priority="116" dxfId="16">
      <formula>SUM($C$184,$F$184,$I$184)&lt;=$L$104</formula>
    </cfRule>
  </conditionalFormatting>
  <conditionalFormatting sqref="M185">
    <cfRule type="expression" priority="114" dxfId="16">
      <formula>SUM($C$185,$F$185,$I$185)&lt;=$L$105</formula>
    </cfRule>
    <cfRule type="expression" priority="115" dxfId="17">
      <formula>SUM($C$185,$F$185,$I$185)&gt;$L$105</formula>
    </cfRule>
  </conditionalFormatting>
  <conditionalFormatting sqref="M186">
    <cfRule type="expression" priority="113" dxfId="17">
      <formula>SUM($C$186,$F$186,$I$186)&gt;$L$106</formula>
    </cfRule>
    <cfRule type="expression" priority="112" dxfId="16">
      <formula>SUM($C$186,$F$186,$I$186)&lt;=$L$106</formula>
    </cfRule>
  </conditionalFormatting>
  <conditionalFormatting sqref="M187">
    <cfRule type="expression" priority="110" dxfId="16">
      <formula>SUM($C$187,$F$187,$I$187)&lt;=$L$107</formula>
    </cfRule>
    <cfRule type="expression" priority="111" dxfId="17">
      <formula>SUM($C$187,$F$187,$I$187)&gt;$L$107</formula>
    </cfRule>
  </conditionalFormatting>
  <conditionalFormatting sqref="M188">
    <cfRule type="expression" priority="107" dxfId="16">
      <formula>SUM($C$188,$F$188,$I$188)&lt;=$L$110</formula>
    </cfRule>
    <cfRule type="expression" priority="108" dxfId="17">
      <formula>SUM($C$188,$F$188,$I$188)&gt;$L$110</formula>
    </cfRule>
  </conditionalFormatting>
  <conditionalFormatting sqref="M189">
    <cfRule type="expression" priority="327" dxfId="0">
      <formula>SUM($C$189,$F$189,$I$189)&lt;=$L$111</formula>
    </cfRule>
    <cfRule type="expression" priority="328" dxfId="1">
      <formula>SUM($C$189,$F$189,$I$189)&gt;$L$111</formula>
    </cfRule>
  </conditionalFormatting>
  <conditionalFormatting sqref="M190">
    <cfRule type="expression" priority="105" dxfId="16">
      <formula>SUM($C$190,$F$190,$I$190)&lt;=$L$112</formula>
    </cfRule>
    <cfRule type="expression" priority="106" dxfId="17">
      <formula>SUM($C$190,$F$190,$I$190)&gt;$L$112</formula>
    </cfRule>
  </conditionalFormatting>
  <conditionalFormatting sqref="M191">
    <cfRule type="expression" priority="104" dxfId="17">
      <formula>SUM($C$191,$F$191,$I$191)&lt;&gt;$G$178</formula>
    </cfRule>
    <cfRule type="expression" priority="103" dxfId="16">
      <formula>SUM($C$191,$F$191,$I$191)=$G$178</formula>
    </cfRule>
  </conditionalFormatting>
  <conditionalFormatting sqref="M192">
    <cfRule type="expression" priority="70" dxfId="16">
      <formula>SUM($D$191,$G$191,$J$191)=$A$178</formula>
    </cfRule>
    <cfRule type="expression" priority="71" dxfId="17">
      <formula>SUM($D$191,$G$191,$J$191)&lt;&gt;$A$178</formula>
    </cfRule>
  </conditionalFormatting>
  <conditionalFormatting sqref="M195">
    <cfRule type="expression" priority="300" dxfId="0">
      <formula>$D$196&lt;=$A$196</formula>
    </cfRule>
    <cfRule type="expression" priority="301" dxfId="1">
      <formula>$D$196&gt;$A$196</formula>
    </cfRule>
  </conditionalFormatting>
  <conditionalFormatting sqref="M196">
    <cfRule type="expression" priority="297" dxfId="303">
      <formula>$G$196&lt;=SUM($L$104,$L$105,$L$106,$L$107,$L$110,$L$111,$L$112)</formula>
    </cfRule>
    <cfRule type="expression" priority="298" dxfId="302">
      <formula>$G$196&gt;SUM($L$104,$L$105,$L$106,$L$107,$L$110,$L$111,$L$112)</formula>
    </cfRule>
  </conditionalFormatting>
  <conditionalFormatting sqref="M197">
    <cfRule type="expression" priority="294" dxfId="303">
      <formula>SUM($G$196,$G$178,$G$159)&gt;=SUM($L$104,$L$105,$L$106,$L$107,$L$110,$L$111,$L$112)</formula>
    </cfRule>
    <cfRule type="expression" priority="295" dxfId="302">
      <formula>SUM($G$196,$G$178,$G$159)&lt;SUM($L$104,$L$105,$L$106,$L$107,$L$110,$L$111,$L$112)</formula>
    </cfRule>
  </conditionalFormatting>
  <conditionalFormatting sqref="M202">
    <cfRule type="expression" priority="292" dxfId="1">
      <formula>SUM($C$202,$F$202,$I$202)&gt;$L$104</formula>
    </cfRule>
    <cfRule type="expression" priority="291" dxfId="0">
      <formula>SUM($C$202,$F$202,$I$202)&lt;=$L$104</formula>
    </cfRule>
  </conditionalFormatting>
  <conditionalFormatting sqref="M211">
    <cfRule type="expression" priority="68" dxfId="17">
      <formula>SUM($D$209,$G$209,$J$209)&lt;&gt;$A$196</formula>
    </cfRule>
    <cfRule type="expression" priority="67" dxfId="16">
      <formula>SUM($D$209,$G$209,$J$209)=$A$196</formula>
    </cfRule>
  </conditionalFormatting>
  <conditionalFormatting sqref="M250">
    <cfRule type="expression" priority="243" dxfId="1">
      <formula>$J$250&lt;&gt;$A$238</formula>
    </cfRule>
    <cfRule type="expression" priority="242" dxfId="0">
      <formula>$J$250=$A$238</formula>
    </cfRule>
  </conditionalFormatting>
  <conditionalFormatting sqref="M280">
    <cfRule type="expression" priority="240" dxfId="1">
      <formula>$E$284&lt;&gt;$E$272</formula>
    </cfRule>
    <cfRule type="expression" priority="239" dxfId="0">
      <formula>$E$284=$E$272</formula>
    </cfRule>
  </conditionalFormatting>
  <conditionalFormatting sqref="M282">
    <cfRule type="expression" priority="237" dxfId="1">
      <formula>$G$284&lt;&gt;$G$272</formula>
    </cfRule>
    <cfRule type="expression" priority="236" dxfId="0">
      <formula>$G$284=$G$272</formula>
    </cfRule>
  </conditionalFormatting>
  <conditionalFormatting sqref="M283">
    <cfRule type="expression" priority="234" dxfId="1">
      <formula>$I$284&lt;&gt;$I$272</formula>
    </cfRule>
    <cfRule type="expression" priority="233" dxfId="0">
      <formula>$I$284=$I$272</formula>
    </cfRule>
  </conditionalFormatting>
  <conditionalFormatting sqref="M284">
    <cfRule type="expression" priority="231" dxfId="1">
      <formula>$K$284&lt;&gt;$K$272</formula>
    </cfRule>
    <cfRule type="expression" priority="230" dxfId="0">
      <formula>$K$284=$K$272</formula>
    </cfRule>
  </conditionalFormatting>
  <conditionalFormatting sqref="M299:M301">
    <cfRule type="expression" priority="173" dxfId="1">
      <formula>SUM($E$303,$E$304)&lt;&gt;($E$301-$E$302)</formula>
    </cfRule>
    <cfRule type="expression" priority="172" dxfId="0">
      <formula>SUM($E$303,$E$304)=($E$301-$E$302)</formula>
    </cfRule>
  </conditionalFormatting>
  <conditionalFormatting sqref="M302">
    <cfRule type="expression" priority="75" dxfId="0">
      <formula>SUM($G$303:$H$304)=($G$301-$G$302)</formula>
    </cfRule>
    <cfRule type="expression" priority="171" dxfId="1">
      <formula>SUM($G$303:$H$304)&lt;&gt;($G$301-$G$302)</formula>
    </cfRule>
  </conditionalFormatting>
  <conditionalFormatting sqref="M303">
    <cfRule type="expression" priority="169" dxfId="1">
      <formula>SUM($I$303:$J$304)&lt;&gt;($I$301-$I$302)</formula>
    </cfRule>
    <cfRule type="expression" priority="74" dxfId="0">
      <formula>SUM($I$303:$J$304)=($I$301-$I$302)</formula>
    </cfRule>
  </conditionalFormatting>
  <conditionalFormatting sqref="M304">
    <cfRule type="expression" priority="167" dxfId="1">
      <formula>SUM($K$303:$L$304)&lt;&gt;($K$301-$K$302)</formula>
    </cfRule>
    <cfRule type="expression" priority="73" dxfId="0">
      <formula>SUM($K$303:$L$304)=($K$301-$K$302)</formula>
    </cfRule>
  </conditionalFormatting>
  <conditionalFormatting sqref="M305:M306">
    <cfRule type="expression" priority="162" dxfId="0">
      <formula>SUM($E$303,$E$304)=($E$301-$E$302)</formula>
    </cfRule>
    <cfRule type="expression" priority="163" dxfId="1">
      <formula>SUM($E$303,$E$304)&lt;&gt;($E$301-$E$302)</formula>
    </cfRule>
  </conditionalFormatting>
  <conditionalFormatting sqref="M316">
    <cfRule type="expression" priority="212" dxfId="0">
      <formula>$L$316=$E$302</formula>
    </cfRule>
    <cfRule type="expression" priority="213" dxfId="1">
      <formula>$L$316&lt;&gt;$E$302</formula>
    </cfRule>
  </conditionalFormatting>
  <conditionalFormatting sqref="M328">
    <cfRule type="expression" priority="210" dxfId="1">
      <formula>$L$328&lt;&gt;$I$302</formula>
    </cfRule>
    <cfRule type="expression" priority="209" dxfId="0">
      <formula>$L$328=$I$302</formula>
    </cfRule>
  </conditionalFormatting>
  <conditionalFormatting sqref="M203:S203">
    <cfRule type="expression" priority="102" dxfId="17">
      <formula>SUM($C$203,$F$203,$I$203)&gt;$L$105</formula>
    </cfRule>
    <cfRule type="expression" priority="101" dxfId="16">
      <formula>SUM($C$203,$F$203,$I$203)&lt;=$L$105</formula>
    </cfRule>
  </conditionalFormatting>
  <conditionalFormatting sqref="M204:S204">
    <cfRule type="expression" priority="100" dxfId="17">
      <formula>SUM($C$204,$F$204,$I$204)&gt;$L$106</formula>
    </cfRule>
    <cfRule type="expression" priority="99" dxfId="16">
      <formula>SUM($C$204,$F$204,$I$204)&lt;=$L$106</formula>
    </cfRule>
  </conditionalFormatting>
  <conditionalFormatting sqref="M205:S205">
    <cfRule type="expression" priority="97" dxfId="16">
      <formula>SUM($C$205,$F$205,$I$205)&lt;=$L$107</formula>
    </cfRule>
    <cfRule type="expression" priority="98" dxfId="17">
      <formula>SUM($C$205,$F$205,$I$205)&gt;$L$107</formula>
    </cfRule>
  </conditionalFormatting>
  <conditionalFormatting sqref="M206:S206">
    <cfRule type="expression" priority="96" dxfId="17">
      <formula>SUM($C$206,$F$206,$I$206)&gt;$L$110</formula>
    </cfRule>
    <cfRule type="expression" priority="95" dxfId="16">
      <formula>SUM($C$206,$F$206,$I$206)&lt;=$L$110</formula>
    </cfRule>
  </conditionalFormatting>
  <conditionalFormatting sqref="M207:S207">
    <cfRule type="expression" priority="94" dxfId="17">
      <formula>SUM($C$207,$F$207,$I$207)&gt;$L$111</formula>
    </cfRule>
    <cfRule type="expression" priority="93" dxfId="16">
      <formula>SUM($C$207,$F$207,$I$207)&lt;=$L$111</formula>
    </cfRule>
  </conditionalFormatting>
  <conditionalFormatting sqref="M208:S208">
    <cfRule type="expression" priority="91" dxfId="16">
      <formula>SUM($C$208,$F$208,$I$208)&lt;=$L$112</formula>
    </cfRule>
    <cfRule type="expression" priority="92" dxfId="17">
      <formula>SUM($C$208,$F$208,$I$208)&gt;$L$112</formula>
    </cfRule>
  </conditionalFormatting>
  <conditionalFormatting sqref="M209:S210">
    <cfRule type="expression" priority="90" dxfId="17">
      <formula>SUM($C$209,$F$209,$I$209)&lt;&gt;$G$196</formula>
    </cfRule>
    <cfRule type="expression" priority="89" dxfId="16">
      <formula>SUM($C$209,$F$209,$I$209)=$G$196</formula>
    </cfRule>
  </conditionalFormatting>
  <conditionalFormatting sqref="M43:U44">
    <cfRule type="expression" priority="121" dxfId="16">
      <formula>$G$44=$H$14</formula>
    </cfRule>
    <cfRule type="expression" priority="122" dxfId="17">
      <formula>$G$44&lt;&gt;$H$14</formula>
    </cfRule>
  </conditionalFormatting>
  <conditionalFormatting sqref="M147:W148">
    <cfRule type="expression" priority="51" dxfId="48">
      <formula>SUM(A152:I152)&lt;SUM(L104:L105)</formula>
    </cfRule>
  </conditionalFormatting>
  <conditionalFormatting sqref="M290:Z291">
    <cfRule type="expression" priority="50" dxfId="48">
      <formula>SUM(C290,F290,I290)&gt;H14</formula>
    </cfRule>
  </conditionalFormatting>
  <conditionalFormatting sqref="M149:AC149">
    <cfRule type="expression" priority="57" dxfId="48">
      <formula>A152&gt;SUM(L104:L105)</formula>
    </cfRule>
  </conditionalFormatting>
  <conditionalFormatting sqref="M150:AC150">
    <cfRule type="expression" priority="56" dxfId="48">
      <formula>C152&gt;SUM(L104:L105)</formula>
    </cfRule>
  </conditionalFormatting>
  <conditionalFormatting sqref="M151:AC151">
    <cfRule type="expression" priority="52" dxfId="48">
      <formula>E152&gt;SUM(L104:L105)</formula>
    </cfRule>
  </conditionalFormatting>
  <conditionalFormatting sqref="M152:AC152">
    <cfRule type="expression" priority="55" dxfId="48">
      <formula>F152&gt;SUM(L104:L105)</formula>
    </cfRule>
  </conditionalFormatting>
  <conditionalFormatting sqref="M153:AC153">
    <cfRule type="expression" priority="54" dxfId="48">
      <formula>G152&gt;SUM(L104:L105)</formula>
    </cfRule>
  </conditionalFormatting>
  <conditionalFormatting sqref="M154:AC154">
    <cfRule type="expression" priority="53" dxfId="48">
      <formula>H152&gt;SUM(L104:L105)</formula>
    </cfRule>
  </conditionalFormatting>
  <conditionalFormatting sqref="T202">
    <cfRule type="expression" priority="264" dxfId="0">
      <formula>SUM($C$202,$F$202,$I$202,$C$184,$F$184,$I$184,$C$166,$E$166,$G$166,$I$166,$K$166)&gt;=$L$104</formula>
    </cfRule>
    <cfRule type="expression" priority="265" dxfId="1">
      <formula>SUM($C$202,$F$202,$I$202,$C$184,$F$184,$I$184,$C$166,$E$166,$G$166,$I$166,$K$166)&lt;$L$104</formula>
    </cfRule>
  </conditionalFormatting>
  <conditionalFormatting sqref="T203:AB203">
    <cfRule type="expression" priority="86" dxfId="16">
      <formula>SUM($C$203,$F$203,$I$203+$C$185,$F$185,$I$185,$C$167,$E$167,$G$167,$I$167,$K$167)&gt;=$L$105</formula>
    </cfRule>
    <cfRule type="expression" priority="87" dxfId="17">
      <formula>SUM($C$203,$F$203,$I$203+$C$185,$F$185,$I$185,$C$167,$E$167,$G$167,$I$167,$K$167)&lt;$L$105</formula>
    </cfRule>
  </conditionalFormatting>
  <conditionalFormatting sqref="T204:AB204">
    <cfRule type="expression" priority="84" dxfId="16">
      <formula>SUM($C$204,$F$204,$I$204,$C$186,$F$186,$I$186,$C$168,$E$168,$G$168,$I$168,$K$168)&gt;=$L$106</formula>
    </cfRule>
    <cfRule type="expression" priority="85" dxfId="17">
      <formula>SUM($C$204,$F$204,$I$204,$C$186,$F$186,$I$186,$C$168,$E$168,$G$168,$I$168,$K$168)&lt;$L$106</formula>
    </cfRule>
  </conditionalFormatting>
  <conditionalFormatting sqref="T205:AB205">
    <cfRule type="expression" priority="82" dxfId="16">
      <formula>SUM($C$205,$F$205,$I$205,$C$187,$F$187,$I$187,$C$169,$E$169,$G$169,$I$169,$K$169)&gt;=$L$107</formula>
    </cfRule>
    <cfRule type="expression" priority="83" dxfId="17">
      <formula>SUM($C$205,$F$205,$I$205,$C$187,$F$187,$I$187,$C$169,$E$169,$G$169,$I$169,$K$169)&lt;$L$107</formula>
    </cfRule>
  </conditionalFormatting>
  <conditionalFormatting sqref="T206:AB206">
    <cfRule type="expression" priority="80" dxfId="16">
      <formula>SUM($C$206,$F$206,$I$206,$C$188,$F$188,$I$188,$C$170,$E$170,$G$170,$I$170,$K$170)&gt;=$L$110</formula>
    </cfRule>
    <cfRule type="expression" priority="81" dxfId="17">
      <formula>SUM($C$206,$F$206,$I$206,$C$188,$F$188,$I$188,$C$170,$E$170,$G$170,$I$170,$K$170)&lt;$L$110</formula>
    </cfRule>
  </conditionalFormatting>
  <conditionalFormatting sqref="T207:AB207">
    <cfRule type="expression" priority="79" dxfId="17">
      <formula>SUM($C$207,$F$207,$I$207,$C$189,$F$189,$I$189,$C$171,$E$171,$G$171,$I$171,$K$171)&lt;$L$111</formula>
    </cfRule>
    <cfRule type="expression" priority="78" dxfId="16">
      <formula>SUM($C$207,$F$207,$I$207,$C$189,$F$189,$I$189,$C$171,$E$171,$G$171,$I$171,$K$171)&gt;=$L$111</formula>
    </cfRule>
  </conditionalFormatting>
  <conditionalFormatting sqref="T208:AB208">
    <cfRule type="expression" priority="76" dxfId="16">
      <formula>SUM($C$208,$F$208,$I$208,$C$190,$F$190,$I$190,$C$172,$E$172,$G$172,$I$172,$K$172)&gt;=$L$112</formula>
    </cfRule>
    <cfRule type="expression" priority="77" dxfId="17">
      <formula>SUM($C$208,$F$208,$I$208,$C$190,$F$190,$I$190,$C$172,$E$172,$G$172,$I$172,$K$172)&lt;$L$112</formula>
    </cfRule>
  </conditionalFormatting>
  <dataValidations count="4">
    <dataValidation sqref="F400:H405" showDropDown="0" showInputMessage="1" showErrorMessage="1" allowBlank="0" type="decimal" operator="greaterThanOrEqual">
      <formula1>0</formula1>
    </dataValidation>
    <dataValidation sqref="A74:H74 C174:F174 C192:H192 C210:D210 C223:J223 C357:L357 E290:E292 E329:L329 F210:G210 F393:G394 H174:L174 H290 H390:K392 H395:K395 I210:J210 K290" showDropDown="0" showInputMessage="1" showErrorMessage="1" allowBlank="0" type="whole" operator="greaterThanOrEqual">
      <formula1>0</formula1>
    </dataValidation>
    <dataValidation sqref="G33:J34 G44:J45 H57" showDropDown="0" showInputMessage="1" showErrorMessage="1" allowBlank="0" type="whole" operator="greaterThan">
      <formula1>-1</formula1>
    </dataValidation>
    <dataValidation sqref="A73:H73 A79:J79 A85:J85 A152:I152 A159:I159 A178:I178 A196:I196 A238:L238 A363:F363 A369:L369 A378:L378 A383:C383 C118:C135 C140:D145 C166:L173 C184:K191 C202:K209 C215:J222 C290:D292 C336:L343 C349:L356 D243:L250 D255:L257 E104:L113 E228:F229 E265:L272 E278:L284 E299:L304 E310:L316 E322:L328 F118:F133 F290:G292 G16:G17 G21:G22 G27:J32 G38:J43 G52:G53 G61:J67 G140:H146 H14:J15 H18:J18 H19:J20 H50:J51 H54:J55 H56:J56 H90:K96 I118:I131 I290:J292 K140:L146 L118 L119 L120:L130" showDropDown="0" showInputMessage="1" showErrorMessage="1" allowBlank="0" type="whole">
      <formula1>0</formula1>
      <formula2>1E+39</formula2>
    </dataValidation>
  </dataValidations>
  <pageMargins left="0.25" right="0.25" top="0.75" bottom="0.75" header="0.3" footer="0.3"/>
  <pageSetup orientation="landscape" fitToHeight="0"/>
  <headerFooter differentOddEven="1" differentFirst="1">
    <oddHeader/>
    <oddFooter/>
    <evenHeader/>
    <evenFooter/>
    <firstHeader/>
    <firstFooter/>
  </headerFooter>
  <rowBreaks count="16" manualBreakCount="16">
    <brk id="22" min="0" max="16383" man="1"/>
    <brk id="45" min="0" max="16383" man="1"/>
    <brk id="86" min="0" max="16383" man="1"/>
    <brk id="97" min="0" max="16383" man="1"/>
    <brk id="113" min="0" max="16383" man="1"/>
    <brk id="160" min="0" max="16383" man="1"/>
    <brk id="179" min="0" max="16383" man="1"/>
    <brk id="210" min="0" max="16383" man="1"/>
    <brk id="223" min="0" max="16383" man="1"/>
    <brk id="272" min="0" max="16383" man="1"/>
    <brk id="293" min="0" max="16383" man="1"/>
    <brk id="304" min="0" max="16383" man="1"/>
    <brk id="328" min="0" max="16383" man="1"/>
    <brk id="344" min="0" max="16383" man="1"/>
    <brk id="363" min="0" max="16383" man="1"/>
    <brk id="383" min="0" max="16383" man="1"/>
  </rowBreaks>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1:AL375"/>
  <sheetViews>
    <sheetView showGridLines="0" tabSelected="1" zoomScale="115" zoomScaleNormal="115" workbookViewId="0">
      <selection activeCell="G22" sqref="G22"/>
    </sheetView>
  </sheetViews>
  <sheetFormatPr baseColWidth="8" defaultColWidth="9" defaultRowHeight="15"/>
  <cols>
    <col width="10.140625" customWidth="1" style="26" min="1" max="2"/>
    <col width="10" customWidth="1" style="26" min="3" max="3"/>
    <col width="8.7109375" customWidth="1" style="26" min="4" max="4"/>
    <col width="10" customWidth="1" style="26" min="5" max="6"/>
    <col width="11.140625" customWidth="1" style="26" min="7" max="7"/>
    <col width="9.140625" customWidth="1" style="26" min="8" max="8"/>
    <col width="10.140625" customWidth="1" style="26" min="9" max="9"/>
    <col width="8.85546875" customWidth="1" style="26" min="10" max="10"/>
    <col width="10" customWidth="1" style="26" min="11" max="11"/>
    <col width="9.7109375" customWidth="1" style="26" min="12" max="12"/>
  </cols>
  <sheetData>
    <row r="1">
      <c r="AA1" s="44" t="inlineStr">
        <is>
          <t>JDURAND - 2022-05-13 12:05</t>
        </is>
      </c>
    </row>
    <row r="2" ht="9.75" customHeight="1"/>
    <row r="3" ht="11.45" customHeight="1"/>
    <row r="4" ht="20.25" customHeight="1">
      <c r="A4" s="493" t="inlineStr">
        <is>
          <t>Rapport statistique sur la Loi sur la protection des renseignements personnels</t>
        </is>
      </c>
    </row>
    <row r="6">
      <c r="E6" s="1214" t="inlineStr">
        <is>
          <t>Nom de l’institution:</t>
        </is>
      </c>
      <c r="H6" s="1360" t="n"/>
      <c r="I6" s="1370" t="n"/>
      <c r="J6" s="1370" t="n"/>
      <c r="K6" s="1370" t="n"/>
      <c r="L6" s="1370" t="n"/>
      <c r="M6" s="1370" t="n"/>
      <c r="N6" s="46" t="n"/>
      <c r="O6" s="1030" t="inlineStr">
        <is>
          <t>Vous devez entrer un nom d'institution</t>
        </is>
      </c>
    </row>
    <row r="7">
      <c r="M7" s="26" t="n"/>
      <c r="N7" s="26" t="n"/>
      <c r="O7" s="26" t="n"/>
    </row>
    <row r="8" ht="29.25" customFormat="1" customHeight="1" s="26">
      <c r="E8" s="1215" t="inlineStr">
        <is>
          <t xml:space="preserve">Période d'établissement de rapport : </t>
        </is>
      </c>
      <c r="H8" s="1216" t="n">
        <v>45383</v>
      </c>
      <c r="I8" s="1372" t="n"/>
      <c r="J8" s="1372" t="n"/>
      <c r="K8" s="42" t="inlineStr">
        <is>
          <t>au</t>
        </is>
      </c>
      <c r="L8" s="1216" t="n">
        <v>45747</v>
      </c>
      <c r="M8" s="1372" t="n"/>
      <c r="N8" s="1372" t="n"/>
    </row>
    <row r="10" ht="15.75" customHeight="1">
      <c r="A10" s="496" t="inlineStr">
        <is>
          <t>Section 1 – Demandes en vertu de la Loi sur la protection des renseignements personnels</t>
        </is>
      </c>
    </row>
    <row r="11" ht="12.6" customHeight="1">
      <c r="A11" s="28" t="n"/>
      <c r="B11" s="28" t="n"/>
      <c r="C11" s="28" t="n"/>
      <c r="D11" s="28" t="n"/>
      <c r="E11" s="28" t="n"/>
      <c r="F11" s="28" t="n"/>
      <c r="G11" s="28" t="n"/>
      <c r="H11" s="28" t="n"/>
      <c r="I11" s="28" t="n"/>
      <c r="J11" s="28" t="n"/>
      <c r="K11" s="28" t="n"/>
      <c r="L11" s="28" t="n"/>
      <c r="S11" s="411" t="n"/>
    </row>
    <row r="12" ht="15.75" customHeight="1">
      <c r="A12" s="411" t="inlineStr">
        <is>
          <t>1.1  Nombre de demandes reçues</t>
        </is>
      </c>
      <c r="K12" s="28" t="n"/>
      <c r="L12" s="28" t="n"/>
      <c r="S12" s="411" t="n"/>
    </row>
    <row r="13" ht="15" customHeight="1" thickBot="1">
      <c r="A13" s="28" t="n"/>
      <c r="B13" s="28" t="n"/>
      <c r="C13" s="28" t="n"/>
      <c r="D13" s="28" t="n"/>
      <c r="E13" s="28" t="n"/>
      <c r="F13" s="28" t="n"/>
      <c r="G13" s="28" t="n"/>
      <c r="H13" s="28" t="n"/>
      <c r="I13" s="28" t="n"/>
      <c r="J13" s="28" t="n"/>
      <c r="K13" s="28" t="n"/>
      <c r="L13" s="28" t="n"/>
    </row>
    <row r="14" ht="15" customHeight="1" thickBot="1" thickTop="1">
      <c r="H14" s="1217" t="inlineStr">
        <is>
          <t>Nombre de demandes</t>
        </is>
      </c>
      <c r="I14" s="1412" t="n"/>
      <c r="J14" s="1412" t="n"/>
      <c r="K14" s="280" t="n"/>
    </row>
    <row r="15" ht="15" customHeight="1" thickTop="1">
      <c r="A15" s="1523" t="inlineStr">
        <is>
          <t>Reçues pendant la période d'établissement de rapport</t>
        </is>
      </c>
      <c r="B15" s="1377" t="n"/>
      <c r="C15" s="1377" t="n"/>
      <c r="D15" s="1377" t="n"/>
      <c r="E15" s="1377" t="n"/>
      <c r="F15" s="1377" t="n"/>
      <c r="G15" s="1378" t="n"/>
      <c r="H15" s="1096" t="n">
        <v>0</v>
      </c>
      <c r="I15" s="1379" t="n"/>
      <c r="J15" s="1380" t="n"/>
    </row>
    <row r="16" ht="15" customHeight="1" thickBot="1">
      <c r="A16" s="1222" t="inlineStr">
        <is>
          <t>En suspens à la fin de la période d'établissement de rapport précédente</t>
        </is>
      </c>
      <c r="B16" s="1381" t="n"/>
      <c r="C16" s="1381" t="n"/>
      <c r="D16" s="1381" t="n"/>
      <c r="E16" s="1381" t="n"/>
      <c r="F16" s="1381" t="n"/>
      <c r="G16" s="1381" t="n"/>
      <c r="H16" s="1382">
        <f>SUM(G17:G18)</f>
        <v/>
      </c>
      <c r="I16" s="1381" t="n"/>
      <c r="J16" s="1383" t="n"/>
    </row>
    <row r="17" ht="28.5" customHeight="1" thickTop="1">
      <c r="A17" s="839" t="inlineStr">
        <is>
          <t>• En suspens à la fin de la période d'établissement de rapport précédente</t>
        </is>
      </c>
      <c r="B17" s="1381" t="n"/>
      <c r="C17" s="1381" t="n"/>
      <c r="D17" s="1381" t="n"/>
      <c r="E17" s="1381" t="n"/>
      <c r="F17" s="1381" t="n"/>
      <c r="G17" s="207" t="n">
        <v>0</v>
      </c>
      <c r="H17" s="1395" t="n"/>
      <c r="I17" s="1385" t="n"/>
      <c r="J17" s="1386" t="n"/>
    </row>
    <row r="18" ht="15" customHeight="1" thickBot="1">
      <c r="A18" s="1225" t="inlineStr">
        <is>
          <t>• En suspens pour plus d'une période d'établissement de rapport</t>
        </is>
      </c>
      <c r="B18" s="1385" t="n"/>
      <c r="C18" s="1385" t="n"/>
      <c r="D18" s="1385" t="n"/>
      <c r="E18" s="1385" t="n"/>
      <c r="F18" s="1385" t="n"/>
      <c r="G18" s="209" t="n">
        <v>0</v>
      </c>
      <c r="H18" s="1397" t="n"/>
      <c r="I18" s="1390" t="n"/>
      <c r="J18" s="1391" t="n"/>
    </row>
    <row r="19" ht="15" customHeight="1" thickBot="1" thickTop="1">
      <c r="A19" s="1524" t="inlineStr">
        <is>
          <t>Total</t>
        </is>
      </c>
      <c r="B19" s="1374" t="n"/>
      <c r="C19" s="1374" t="n"/>
      <c r="D19" s="1374" t="n"/>
      <c r="E19" s="1374" t="n"/>
      <c r="F19" s="1374" t="n"/>
      <c r="G19" s="1375" t="n"/>
      <c r="H19" s="1525">
        <f>SUM(H15:J16)</f>
        <v/>
      </c>
      <c r="I19" s="1374" t="n"/>
      <c r="J19" s="1375" t="n"/>
      <c r="O19" s="31" t="n"/>
    </row>
    <row r="20" ht="15" customHeight="1" thickTop="1">
      <c r="A20" s="1071" t="inlineStr">
        <is>
          <t>Fermées pendant la période d'établissement de rapport</t>
        </is>
      </c>
      <c r="B20" s="1372" t="n"/>
      <c r="C20" s="1372" t="n"/>
      <c r="D20" s="1372" t="n"/>
      <c r="E20" s="1372" t="n"/>
      <c r="F20" s="1372" t="n"/>
      <c r="G20" s="1372" t="n"/>
      <c r="H20" s="1526" t="n">
        <v>0</v>
      </c>
      <c r="I20" s="1370" t="n"/>
      <c r="J20" s="1527" t="n"/>
    </row>
    <row r="21" ht="15" customHeight="1" thickBot="1">
      <c r="A21" s="1073" t="inlineStr">
        <is>
          <t>Reportées à la prochaine période d'établissement de rapport</t>
        </is>
      </c>
      <c r="B21" s="1381" t="n"/>
      <c r="C21" s="1381" t="n"/>
      <c r="D21" s="1381" t="n"/>
      <c r="E21" s="1381" t="n"/>
      <c r="F21" s="1381" t="n"/>
      <c r="G21" s="1381" t="n"/>
      <c r="H21" s="1382">
        <f>SUM(G22:G23)</f>
        <v/>
      </c>
      <c r="I21" s="1381" t="n"/>
      <c r="J21" s="1383" t="n"/>
      <c r="K21" s="94" t="inlineStr">
        <is>
          <t xml:space="preserve">Section 1.1 - Le montant "Reportées à la prochaine période d'établissement de rapport" doit être égal au "Total" moins "Fermées pendant la période d'établissement de rapport". </t>
        </is>
      </c>
    </row>
    <row r="22" ht="27.75" customHeight="1" thickTop="1">
      <c r="A22" s="839" t="inlineStr">
        <is>
          <t>• Reportées à la prochaine période d'établissement de rapport dans les délais prévus par la Loi</t>
        </is>
      </c>
      <c r="B22" s="1381" t="n"/>
      <c r="C22" s="1381" t="n"/>
      <c r="D22" s="1381" t="n"/>
      <c r="E22" s="1381" t="n"/>
      <c r="F22" s="1381" t="n"/>
      <c r="G22" s="207" t="n">
        <v>0</v>
      </c>
      <c r="H22" s="1395" t="n"/>
      <c r="I22" s="1385" t="n"/>
      <c r="J22" s="1386" t="n"/>
    </row>
    <row r="23" ht="29.25" customHeight="1" thickBot="1">
      <c r="A23" s="646" t="inlineStr">
        <is>
          <t>• Reportées à la prochaine période d'établissement de rapport au-delà des délais prévus par la Loi</t>
        </is>
      </c>
      <c r="B23" s="1388" t="n"/>
      <c r="C23" s="1388" t="n"/>
      <c r="D23" s="1388" t="n"/>
      <c r="E23" s="1388" t="n"/>
      <c r="F23" s="1388" t="n"/>
      <c r="G23" s="209" t="n">
        <v>0</v>
      </c>
      <c r="H23" s="1397" t="n"/>
      <c r="I23" s="1390" t="n"/>
      <c r="J23" s="1391" t="n"/>
    </row>
    <row r="24" ht="14.25" customHeight="1" thickTop="1">
      <c r="A24" s="28" t="n"/>
      <c r="B24" s="28" t="n"/>
      <c r="C24" s="28" t="n"/>
      <c r="D24" s="28" t="n"/>
      <c r="E24" s="28" t="n"/>
      <c r="F24" s="28" t="n"/>
      <c r="G24" s="28" t="n"/>
      <c r="H24" s="28" t="n"/>
      <c r="I24" s="28" t="n"/>
      <c r="J24" s="28" t="n"/>
      <c r="K24" s="28" t="n"/>
      <c r="L24" s="28" t="n"/>
    </row>
    <row r="25" ht="15" customHeight="1">
      <c r="A25" s="324" t="inlineStr">
        <is>
          <t>1.2  Mode des demandes</t>
        </is>
      </c>
      <c r="K25" s="28" t="n"/>
      <c r="L25" s="28" t="n"/>
    </row>
    <row r="26" ht="15" customHeight="1" thickBot="1">
      <c r="A26" s="33" t="n"/>
      <c r="B26" s="33" t="n"/>
      <c r="C26" s="33" t="n"/>
      <c r="D26" s="33" t="n"/>
      <c r="E26" s="33" t="n"/>
      <c r="F26" s="33" t="n"/>
      <c r="G26" s="710" t="n"/>
      <c r="H26" s="710" t="n"/>
      <c r="I26" s="710" t="n"/>
      <c r="J26" s="710" t="n"/>
      <c r="K26" s="28" t="n"/>
      <c r="L26" s="28" t="n"/>
    </row>
    <row r="27" ht="15" customHeight="1" thickBot="1" thickTop="1">
      <c r="A27" s="258" t="inlineStr">
        <is>
          <t>Mode</t>
        </is>
      </c>
      <c r="B27" s="1374" t="n"/>
      <c r="C27" s="1374" t="n"/>
      <c r="D27" s="1374" t="n"/>
      <c r="E27" s="1374" t="n"/>
      <c r="F27" s="1375" t="n"/>
      <c r="G27" s="258" t="inlineStr">
        <is>
          <t>Nombre des demandes</t>
        </is>
      </c>
      <c r="H27" s="1374" t="n"/>
      <c r="I27" s="1374" t="n"/>
      <c r="J27" s="1375" t="n"/>
      <c r="K27" s="28" t="n"/>
      <c r="L27" s="28" t="n"/>
    </row>
    <row r="28" ht="15" customHeight="1" thickTop="1">
      <c r="A28" s="926" t="inlineStr">
        <is>
          <t>En ligne</t>
        </is>
      </c>
      <c r="B28" s="1372" t="n"/>
      <c r="C28" s="1372" t="n"/>
      <c r="D28" s="1372" t="n"/>
      <c r="E28" s="1372" t="n"/>
      <c r="F28" s="1398" t="n"/>
      <c r="G28" s="943" t="n">
        <v>0</v>
      </c>
      <c r="H28" s="1379" t="n"/>
      <c r="I28" s="1379" t="n"/>
      <c r="J28" s="1399" t="n"/>
      <c r="L28" s="28" t="n"/>
    </row>
    <row r="29" ht="15" customHeight="1">
      <c r="A29" s="505" t="inlineStr">
        <is>
          <t>Courriel</t>
        </is>
      </c>
      <c r="B29" s="1381" t="n"/>
      <c r="C29" s="1381" t="n"/>
      <c r="D29" s="1381" t="n"/>
      <c r="E29" s="1381" t="n"/>
      <c r="F29" s="1384" t="n"/>
      <c r="G29" s="553" t="n">
        <v>0</v>
      </c>
      <c r="H29" s="1400" t="n"/>
      <c r="I29" s="1400" t="n"/>
      <c r="J29" s="1401" t="n"/>
      <c r="L29" s="28" t="n"/>
    </row>
    <row r="30" ht="15" customHeight="1">
      <c r="A30" s="505" t="inlineStr">
        <is>
          <t>Poste</t>
        </is>
      </c>
      <c r="B30" s="1381" t="n"/>
      <c r="C30" s="1381" t="n"/>
      <c r="D30" s="1381" t="n"/>
      <c r="E30" s="1381" t="n"/>
      <c r="F30" s="1384" t="n"/>
      <c r="G30" s="553" t="n">
        <v>0</v>
      </c>
      <c r="H30" s="1400" t="n"/>
      <c r="I30" s="1400" t="n"/>
      <c r="J30" s="1401" t="n"/>
      <c r="L30" s="28" t="n"/>
    </row>
    <row r="31" ht="15" customHeight="1">
      <c r="A31" s="505" t="inlineStr">
        <is>
          <t>En personne</t>
        </is>
      </c>
      <c r="B31" s="1381" t="n"/>
      <c r="C31" s="1381" t="n"/>
      <c r="D31" s="1381" t="n"/>
      <c r="E31" s="1381" t="n"/>
      <c r="F31" s="1384" t="n"/>
      <c r="G31" s="553" t="n">
        <v>0</v>
      </c>
      <c r="H31" s="1400" t="n"/>
      <c r="I31" s="1400" t="n"/>
      <c r="J31" s="1401" t="n"/>
      <c r="L31" s="28" t="n"/>
    </row>
    <row r="32" ht="15" customHeight="1">
      <c r="A32" s="505" t="inlineStr">
        <is>
          <t>Téléphone</t>
        </is>
      </c>
      <c r="B32" s="1381" t="n"/>
      <c r="C32" s="1381" t="n"/>
      <c r="D32" s="1381" t="n"/>
      <c r="E32" s="1381" t="n"/>
      <c r="F32" s="1384" t="n"/>
      <c r="G32" s="502" t="n">
        <v>0</v>
      </c>
      <c r="H32" s="1400" t="n"/>
      <c r="I32" s="1400" t="n"/>
      <c r="J32" s="1401" t="n"/>
      <c r="L32" s="28" t="n"/>
    </row>
    <row r="33" ht="15" customHeight="1" thickBot="1">
      <c r="A33" s="888" t="inlineStr">
        <is>
          <t>Télécopieur</t>
        </is>
      </c>
      <c r="B33" s="1385" t="n"/>
      <c r="C33" s="1385" t="n"/>
      <c r="D33" s="1385" t="n"/>
      <c r="E33" s="1385" t="n"/>
      <c r="F33" s="1402" t="n"/>
      <c r="G33" s="891" t="n">
        <v>0</v>
      </c>
      <c r="H33" s="1408" t="n"/>
      <c r="I33" s="1408" t="n"/>
      <c r="J33" s="1409" t="n"/>
      <c r="L33" s="28" t="n"/>
    </row>
    <row r="34" ht="15" customHeight="1" thickBot="1" thickTop="1">
      <c r="A34" s="894" t="inlineStr">
        <is>
          <t>Total</t>
        </is>
      </c>
      <c r="B34" s="1374" t="n"/>
      <c r="C34" s="1374" t="n"/>
      <c r="D34" s="1374" t="n"/>
      <c r="E34" s="1374" t="n"/>
      <c r="F34" s="1405" t="n"/>
      <c r="G34" s="549">
        <f>SUM(G28:J33)</f>
        <v/>
      </c>
      <c r="H34" s="1374" t="n"/>
      <c r="I34" s="1374" t="n"/>
      <c r="J34" s="1405" t="n"/>
      <c r="K34" s="986" t="inlineStr">
        <is>
          <t>Section 1.2 - Le "Total" doit être égal au montant de "Reçues pendant la période d'établissement de rapport" de la Section 1.1</t>
        </is>
      </c>
    </row>
    <row r="35" ht="15" customHeight="1" thickTop="1">
      <c r="A35" s="34" t="n"/>
      <c r="B35" s="34" t="n"/>
      <c r="C35" s="34" t="n"/>
      <c r="D35" s="34" t="n"/>
      <c r="E35" s="34" t="n"/>
      <c r="F35" s="34" t="n"/>
      <c r="G35" s="35" t="n"/>
      <c r="H35" s="35" t="n"/>
      <c r="I35" s="35" t="n"/>
      <c r="J35" s="35" t="n"/>
    </row>
    <row r="36" ht="15" customHeight="1">
      <c r="A36" s="496" t="inlineStr">
        <is>
          <t>Section 2 – Demandes informelles</t>
        </is>
      </c>
    </row>
    <row r="37" ht="15" customHeight="1">
      <c r="A37" s="28" t="n"/>
      <c r="B37" s="28" t="n"/>
      <c r="C37" s="28" t="n"/>
      <c r="D37" s="28" t="n"/>
      <c r="E37" s="28" t="n"/>
      <c r="F37" s="28" t="n"/>
      <c r="G37" s="28" t="n"/>
      <c r="H37" s="28" t="n"/>
      <c r="I37" s="28" t="n"/>
      <c r="J37" s="28" t="n"/>
      <c r="K37" s="28" t="n"/>
      <c r="L37" s="28" t="n"/>
      <c r="M37" s="28" t="n"/>
      <c r="N37" s="28" t="n"/>
      <c r="O37" s="28" t="n"/>
      <c r="P37" s="28" t="n"/>
      <c r="Q37" s="28" t="n"/>
      <c r="R37" s="28" t="n"/>
      <c r="S37" s="28" t="n"/>
    </row>
    <row r="38" ht="15" customHeight="1">
      <c r="A38" s="28" t="n"/>
      <c r="B38" s="28" t="n"/>
      <c r="C38" s="28" t="n"/>
      <c r="D38" s="28" t="n"/>
      <c r="E38" s="28" t="n"/>
      <c r="F38" s="28" t="n"/>
      <c r="G38" s="28" t="n"/>
      <c r="H38" s="28" t="n"/>
      <c r="I38" s="28" t="n"/>
      <c r="J38" s="28" t="n"/>
      <c r="K38" s="28" t="n"/>
      <c r="L38" s="28" t="n"/>
      <c r="M38" s="28" t="n"/>
      <c r="N38" s="28" t="n"/>
      <c r="O38" s="28" t="n"/>
      <c r="P38" s="28" t="n"/>
      <c r="Q38" s="28" t="n"/>
      <c r="R38" s="28" t="n"/>
      <c r="S38" s="28" t="n"/>
    </row>
    <row r="39" ht="15" customHeight="1">
      <c r="A39" s="36" t="n"/>
      <c r="B39" s="36" t="n"/>
      <c r="C39" s="36" t="n"/>
      <c r="D39" s="36" t="n"/>
      <c r="E39" s="36" t="n"/>
      <c r="F39" s="36" t="n"/>
      <c r="G39" s="36" t="n"/>
      <c r="H39" s="36" t="n"/>
      <c r="I39" s="36" t="n"/>
      <c r="J39" s="36" t="n"/>
      <c r="K39" s="36" t="n"/>
      <c r="L39" s="36" t="n"/>
      <c r="M39" s="36" t="n"/>
      <c r="N39" s="36" t="n"/>
      <c r="O39" s="36" t="n"/>
    </row>
    <row r="40" ht="15" customHeight="1" thickBot="1">
      <c r="A40" s="325" t="inlineStr">
        <is>
          <t>2.1 Nombre de demandes informelles</t>
        </is>
      </c>
    </row>
    <row r="41" ht="15" customHeight="1" thickBot="1" thickTop="1">
      <c r="A41" s="141" t="n"/>
      <c r="B41" s="141" t="n"/>
      <c r="C41" s="141" t="n"/>
      <c r="D41" s="141" t="n"/>
      <c r="E41" s="141" t="n"/>
      <c r="F41" s="141" t="n"/>
      <c r="G41" s="162" t="n"/>
      <c r="H41" s="959" t="inlineStr">
        <is>
          <t>Nombre de demandes</t>
        </is>
      </c>
      <c r="I41" s="1374" t="n"/>
      <c r="J41" s="1374" t="n"/>
      <c r="K41" s="210" t="n"/>
    </row>
    <row r="42" ht="15" customHeight="1" thickTop="1">
      <c r="A42" s="906" t="inlineStr">
        <is>
          <t>Reçues pendant la période d'établissement de rapport</t>
        </is>
      </c>
      <c r="B42" s="1412" t="n"/>
      <c r="C42" s="1412" t="n"/>
      <c r="D42" s="1412" t="n"/>
      <c r="E42" s="1412" t="n"/>
      <c r="F42" s="1412" t="n"/>
      <c r="G42" s="1412" t="n"/>
      <c r="H42" s="1415" t="n">
        <v>0</v>
      </c>
      <c r="I42" s="1379" t="n"/>
      <c r="J42" s="1380" t="n"/>
      <c r="K42" s="131" t="inlineStr">
        <is>
          <t>Section 2.1 - Le "Nombre de demandes" "Reçues pendant la période d'établissement de rapport" doit être égal au "Total" de la Section 2.2</t>
        </is>
      </c>
    </row>
    <row r="43" ht="15" customHeight="1" thickBot="1">
      <c r="A43" s="947" t="inlineStr">
        <is>
          <t>En suspens à la fin de la période d'établissement de rapport précédente</t>
        </is>
      </c>
      <c r="B43" s="1381" t="n"/>
      <c r="C43" s="1381" t="n"/>
      <c r="D43" s="1381" t="n"/>
      <c r="E43" s="1381" t="n"/>
      <c r="F43" s="1381" t="n"/>
      <c r="G43" s="1381" t="n"/>
      <c r="H43" s="1382">
        <f>SUM(G44:G45)</f>
        <v/>
      </c>
      <c r="I43" s="1381" t="n"/>
      <c r="J43" s="1383" t="n"/>
    </row>
    <row r="44" ht="25.5" customHeight="1" thickTop="1">
      <c r="A44" s="886" t="inlineStr">
        <is>
          <t>• En suspens à la fin de la période d'établissement de rapport précédente</t>
        </is>
      </c>
      <c r="B44" s="1381" t="n"/>
      <c r="C44" s="1381" t="n"/>
      <c r="D44" s="1381" t="n"/>
      <c r="E44" s="1381" t="n"/>
      <c r="F44" s="1381" t="n"/>
      <c r="G44" s="212" t="n">
        <v>0</v>
      </c>
      <c r="H44" s="1395" t="n"/>
      <c r="I44" s="1385" t="n"/>
      <c r="J44" s="1386" t="n"/>
    </row>
    <row r="45" ht="17.25" customHeight="1" thickBot="1">
      <c r="A45" s="1026" t="inlineStr">
        <is>
          <t>• En suspens pour plus d'une période d'établissement de rapport</t>
        </is>
      </c>
      <c r="B45" s="1390" t="n"/>
      <c r="C45" s="1390" t="n"/>
      <c r="D45" s="1390" t="n"/>
      <c r="E45" s="1390" t="n"/>
      <c r="F45" s="1390" t="n"/>
      <c r="G45" s="281" t="n">
        <v>0</v>
      </c>
      <c r="H45" s="1397" t="n"/>
      <c r="I45" s="1390" t="n"/>
      <c r="J45" s="1391" t="n"/>
    </row>
    <row r="46" ht="15" customHeight="1" thickBot="1" thickTop="1">
      <c r="A46" s="933" t="inlineStr">
        <is>
          <t>Total</t>
        </is>
      </c>
      <c r="B46" s="1374" t="n"/>
      <c r="C46" s="1374" t="n"/>
      <c r="D46" s="1374" t="n"/>
      <c r="E46" s="1374" t="n"/>
      <c r="F46" s="1374" t="n"/>
      <c r="G46" s="1374" t="n"/>
      <c r="H46" s="258">
        <f>SUM(H42:J43)</f>
        <v/>
      </c>
      <c r="I46" s="1374" t="n"/>
      <c r="J46" s="1375" t="n"/>
    </row>
    <row r="47" ht="15" customHeight="1" thickTop="1">
      <c r="A47" s="965" t="inlineStr">
        <is>
          <t>Fermées pendant la période d'établissement de rapport</t>
        </is>
      </c>
      <c r="H47" s="1415" t="n">
        <v>0</v>
      </c>
      <c r="I47" s="1379" t="n"/>
      <c r="J47" s="1380" t="n"/>
    </row>
    <row r="48" ht="15" customHeight="1" thickBot="1">
      <c r="A48" s="1528" t="inlineStr">
        <is>
          <t>Reportées à la prochaine période d'établissement de rapport</t>
        </is>
      </c>
      <c r="B48" s="1388" t="n"/>
      <c r="C48" s="1388" t="n"/>
      <c r="D48" s="1388" t="n"/>
      <c r="E48" s="1388" t="n"/>
      <c r="F48" s="1388" t="n"/>
      <c r="G48" s="1389" t="n"/>
      <c r="H48" s="972">
        <f>H46-H47</f>
        <v/>
      </c>
      <c r="I48" s="1388" t="n"/>
      <c r="J48" s="1389" t="n"/>
    </row>
    <row r="49" ht="15" customHeight="1" thickTop="1">
      <c r="A49" s="966" t="n"/>
      <c r="B49" s="966" t="n"/>
      <c r="C49" s="966" t="n"/>
      <c r="D49" s="966" t="n"/>
      <c r="E49" s="966" t="n"/>
      <c r="F49" s="966" t="n"/>
      <c r="G49" s="966" t="n"/>
      <c r="H49" s="38" t="n"/>
      <c r="I49" s="38" t="n"/>
      <c r="J49" s="38" t="n"/>
    </row>
    <row r="50" ht="15" customHeight="1">
      <c r="A50" s="324" t="inlineStr">
        <is>
          <t>2.2 Mode des demandes informelles</t>
        </is>
      </c>
    </row>
    <row r="51" ht="15" customHeight="1" thickBot="1">
      <c r="A51" s="32" t="n"/>
      <c r="B51" s="966" t="n"/>
      <c r="C51" s="966" t="n"/>
      <c r="D51" s="966" t="n"/>
      <c r="E51" s="966" t="n"/>
      <c r="F51" s="966" t="n"/>
      <c r="G51" s="816" t="n"/>
      <c r="H51" s="816" t="n"/>
      <c r="I51" s="816" t="n"/>
      <c r="J51" s="816" t="n"/>
    </row>
    <row r="52" ht="15" customHeight="1" thickBot="1" thickTop="1">
      <c r="A52" s="499" t="inlineStr">
        <is>
          <t>Mode</t>
        </is>
      </c>
      <c r="B52" s="1374" t="n"/>
      <c r="C52" s="1374" t="n"/>
      <c r="D52" s="1374" t="n"/>
      <c r="E52" s="1374" t="n"/>
      <c r="F52" s="1374" t="n"/>
      <c r="G52" s="1410" t="inlineStr">
        <is>
          <t>Nombre des demandes</t>
        </is>
      </c>
      <c r="H52" s="1374" t="n"/>
      <c r="I52" s="1374" t="n"/>
      <c r="J52" s="1375" t="n"/>
    </row>
    <row r="53" ht="15" customHeight="1" thickTop="1">
      <c r="A53" s="926" t="inlineStr">
        <is>
          <t>En ligne</t>
        </is>
      </c>
      <c r="B53" s="1372" t="n"/>
      <c r="C53" s="1372" t="n"/>
      <c r="D53" s="1372" t="n"/>
      <c r="E53" s="1372" t="n"/>
      <c r="F53" s="1398" t="n"/>
      <c r="G53" s="943" t="n">
        <v>0</v>
      </c>
      <c r="H53" s="1379" t="n"/>
      <c r="I53" s="1379" t="n"/>
      <c r="J53" s="1399" t="n"/>
    </row>
    <row r="54" ht="15" customHeight="1">
      <c r="A54" s="505" t="inlineStr">
        <is>
          <t>Courriel</t>
        </is>
      </c>
      <c r="B54" s="1381" t="n"/>
      <c r="C54" s="1381" t="n"/>
      <c r="D54" s="1381" t="n"/>
      <c r="E54" s="1381" t="n"/>
      <c r="F54" s="1384" t="n"/>
      <c r="G54" s="553" t="n">
        <v>0</v>
      </c>
      <c r="H54" s="1400" t="n"/>
      <c r="I54" s="1400" t="n"/>
      <c r="J54" s="1401" t="n"/>
    </row>
    <row r="55" ht="15" customHeight="1">
      <c r="A55" s="505" t="inlineStr">
        <is>
          <t>Poste</t>
        </is>
      </c>
      <c r="B55" s="1381" t="n"/>
      <c r="C55" s="1381" t="n"/>
      <c r="D55" s="1381" t="n"/>
      <c r="E55" s="1381" t="n"/>
      <c r="F55" s="1384" t="n"/>
      <c r="G55" s="553" t="n">
        <v>0</v>
      </c>
      <c r="H55" s="1400" t="n"/>
      <c r="I55" s="1400" t="n"/>
      <c r="J55" s="1401" t="n"/>
    </row>
    <row r="56" ht="15" customHeight="1">
      <c r="A56" s="505" t="inlineStr">
        <is>
          <t>En personne</t>
        </is>
      </c>
      <c r="B56" s="1381" t="n"/>
      <c r="C56" s="1381" t="n"/>
      <c r="D56" s="1381" t="n"/>
      <c r="E56" s="1381" t="n"/>
      <c r="F56" s="1384" t="n"/>
      <c r="G56" s="553" t="n">
        <v>0</v>
      </c>
      <c r="H56" s="1400" t="n"/>
      <c r="I56" s="1400" t="n"/>
      <c r="J56" s="1401" t="n"/>
    </row>
    <row r="57" ht="15" customHeight="1">
      <c r="A57" s="505" t="inlineStr">
        <is>
          <t>Téléphone</t>
        </is>
      </c>
      <c r="B57" s="1381" t="n"/>
      <c r="C57" s="1381" t="n"/>
      <c r="D57" s="1381" t="n"/>
      <c r="E57" s="1381" t="n"/>
      <c r="F57" s="1384" t="n"/>
      <c r="G57" s="502" t="n">
        <v>0</v>
      </c>
      <c r="H57" s="1400" t="n"/>
      <c r="I57" s="1400" t="n"/>
      <c r="J57" s="1401" t="n"/>
    </row>
    <row r="58" ht="15" customHeight="1" thickBot="1">
      <c r="A58" s="888" t="inlineStr">
        <is>
          <t>Télécopieur</t>
        </is>
      </c>
      <c r="B58" s="1385" t="n"/>
      <c r="C58" s="1385" t="n"/>
      <c r="D58" s="1385" t="n"/>
      <c r="E58" s="1385" t="n"/>
      <c r="F58" s="1402" t="n"/>
      <c r="G58" s="891" t="n">
        <v>0</v>
      </c>
      <c r="H58" s="1408" t="n"/>
      <c r="I58" s="1408" t="n"/>
      <c r="J58" s="1409" t="n"/>
    </row>
    <row r="59" ht="15" customHeight="1" thickBot="1" thickTop="1">
      <c r="A59" s="894" t="inlineStr">
        <is>
          <t>Total</t>
        </is>
      </c>
      <c r="B59" s="1374" t="n"/>
      <c r="C59" s="1374" t="n"/>
      <c r="D59" s="1374" t="n"/>
      <c r="E59" s="1374" t="n"/>
      <c r="F59" s="1405" t="n"/>
      <c r="G59" s="549">
        <f>SUM(G53:J58)</f>
        <v/>
      </c>
      <c r="H59" s="1374" t="n"/>
      <c r="I59" s="1374" t="n"/>
      <c r="J59" s="1405" t="n"/>
      <c r="K59" s="94" t="inlineStr">
        <is>
          <t>Section 2.2 - Le "Total" doit être égal au montant "Reçues pendant la période d'établissement de rapport" de la Section 2.1</t>
        </is>
      </c>
    </row>
    <row r="60" ht="15" customHeight="1" thickTop="1">
      <c r="A60" s="326" t="n"/>
      <c r="B60" s="33" t="n"/>
      <c r="C60" s="33" t="n"/>
      <c r="D60" s="33" t="n"/>
      <c r="E60" s="33" t="n"/>
      <c r="F60" s="33" t="n"/>
      <c r="G60" s="710" t="n"/>
      <c r="H60" s="710" t="n"/>
      <c r="I60" s="710" t="n"/>
      <c r="J60" s="710" t="n"/>
    </row>
    <row r="61" ht="15" customHeight="1">
      <c r="A61" s="1312" t="inlineStr">
        <is>
          <t xml:space="preserve">2.3 Délai de traitement pour les demandes informelles </t>
        </is>
      </c>
    </row>
    <row r="62" ht="15" customHeight="1" thickBot="1">
      <c r="A62" s="326" t="n"/>
      <c r="B62" s="33" t="n"/>
      <c r="C62" s="33" t="n"/>
      <c r="D62" s="33" t="n"/>
      <c r="E62" s="33" t="n"/>
      <c r="F62" s="33" t="n"/>
      <c r="G62" s="710" t="n"/>
      <c r="H62" s="710" t="n"/>
      <c r="I62" s="710" t="n"/>
      <c r="J62" s="710" t="n"/>
    </row>
    <row r="63" ht="15" customHeight="1" thickTop="1">
      <c r="A63" s="1324" t="inlineStr">
        <is>
          <t>Délai de traitement</t>
        </is>
      </c>
      <c r="B63" s="1377" t="n"/>
      <c r="C63" s="1377" t="n"/>
      <c r="D63" s="1377" t="n"/>
      <c r="E63" s="1377" t="n"/>
      <c r="F63" s="1377" t="n"/>
      <c r="G63" s="1377" t="n"/>
      <c r="H63" s="1406" t="n"/>
      <c r="I63" s="710" t="n"/>
      <c r="J63" s="710" t="n"/>
    </row>
    <row r="64" ht="42.75" customHeight="1" thickBot="1">
      <c r="A64" s="308" t="inlineStr">
        <is>
          <t>0 à 15 jours</t>
        </is>
      </c>
      <c r="B64" s="309" t="inlineStr">
        <is>
          <t>16 à 30 jours</t>
        </is>
      </c>
      <c r="C64" s="309" t="inlineStr">
        <is>
          <t>31 à 60 jours</t>
        </is>
      </c>
      <c r="D64" s="309" t="inlineStr">
        <is>
          <t>61 à 120 jours</t>
        </is>
      </c>
      <c r="E64" s="309" t="inlineStr">
        <is>
          <t>121 à 180 jours</t>
        </is>
      </c>
      <c r="F64" s="309" t="inlineStr">
        <is>
          <t>181 à 365 jours</t>
        </is>
      </c>
      <c r="G64" s="310" t="inlineStr">
        <is>
          <t>Plus de 365 jours</t>
        </is>
      </c>
      <c r="H64" s="311" t="inlineStr">
        <is>
          <t>Total</t>
        </is>
      </c>
      <c r="I64" s="710" t="n"/>
      <c r="J64" s="710" t="n"/>
    </row>
    <row r="65" ht="15" customHeight="1" thickBot="1" thickTop="1">
      <c r="A65" s="282" t="n">
        <v>0</v>
      </c>
      <c r="B65" s="283" t="n">
        <v>0</v>
      </c>
      <c r="C65" s="283" t="n">
        <v>0</v>
      </c>
      <c r="D65" s="283" t="n">
        <v>0</v>
      </c>
      <c r="E65" s="283" t="n">
        <v>0</v>
      </c>
      <c r="F65" s="283" t="n">
        <v>0</v>
      </c>
      <c r="G65" s="795" t="n">
        <v>0</v>
      </c>
      <c r="H65" s="258">
        <f>SUM(A65:G65)</f>
        <v/>
      </c>
      <c r="I65" s="986" t="inlineStr">
        <is>
          <t>Section 2.3 - Le "Total" doit être égal au montant de "Fermées pendant la période d'établissement de rapport" de la Section 2.1</t>
        </is>
      </c>
    </row>
    <row r="66" ht="15" customHeight="1" thickTop="1">
      <c r="A66" s="35" t="n"/>
      <c r="B66" s="35" t="n"/>
      <c r="C66" s="35" t="n"/>
      <c r="D66" s="35" t="n"/>
      <c r="E66" s="35" t="n"/>
      <c r="F66" s="35" t="n"/>
      <c r="G66" s="35" t="n"/>
      <c r="H66" s="35" t="n"/>
    </row>
    <row r="67" ht="15" customHeight="1">
      <c r="A67" s="932" t="inlineStr">
        <is>
          <t>2.4  Pages communiquées informellement</t>
        </is>
      </c>
      <c r="K67" s="194">
        <f>IFERROR(IF(B71/A71&gt;99,"Section 2.4 - Le nombre total de pages ""Pages communiquées"" divisé par le ""Nombre de demandes"" dans ""Moins de 100 pages communiquées"" doit être égal ou inférieur à 99.",""),"")</f>
        <v/>
      </c>
    </row>
    <row r="68" ht="15" customHeight="1" thickBot="1">
      <c r="A68" s="41" t="n"/>
      <c r="B68" s="42" t="n"/>
      <c r="C68" s="42" t="n"/>
      <c r="D68" s="42" t="n"/>
      <c r="E68" s="42" t="n"/>
      <c r="F68" s="42" t="n"/>
      <c r="G68" s="42" t="n"/>
      <c r="H68" s="42" t="n"/>
      <c r="I68" s="42" t="n"/>
      <c r="J68" s="42" t="n"/>
      <c r="K68" s="194">
        <f>IFERROR(IF(AND(D71/C71&gt;=100,D71/C71&lt;=500),"","Section 2.4 - Le nombre total de pages ""Pages communiquées"" divisé par le ""Nombre de demandes"" dans ""De 100 à 500 pages communiquées"" doit être compris entre 100 et 500."),"")</f>
        <v/>
      </c>
    </row>
    <row r="69" ht="30.75" customHeight="1" thickTop="1">
      <c r="A69" s="568" t="inlineStr">
        <is>
          <t>Moins de 100 pages communiquées</t>
        </is>
      </c>
      <c r="B69" s="1406" t="n"/>
      <c r="C69" s="1416" t="inlineStr">
        <is>
          <t>De 100 à 500 pages communiquées</t>
        </is>
      </c>
      <c r="D69" s="1378" t="n"/>
      <c r="E69" s="568" t="inlineStr">
        <is>
          <t>De 501 à 1 000 pages communiquées</t>
        </is>
      </c>
      <c r="F69" s="1406" t="n"/>
      <c r="G69" s="442" t="inlineStr">
        <is>
          <t>De 1 001 à 5 000 pages communiquées</t>
        </is>
      </c>
      <c r="H69" s="1406" t="n"/>
      <c r="I69" s="568" t="inlineStr">
        <is>
          <t>Plus de 5 000 pages communiquées</t>
        </is>
      </c>
      <c r="J69" s="1406" t="n"/>
      <c r="K69" s="196">
        <f>IFERROR(IF(AND(F71/E71&gt;500,F71/E71&lt;=1000),"","Section 2.4 - Le nombre total de pages ""Pages communiquées"" divisé par le ""Nombre de demandes"" dans ""De 501 à 1 000 pages communiquées"" doit être compris entre 501 et 1 000."),"")</f>
        <v/>
      </c>
    </row>
    <row r="70" ht="39" customHeight="1" thickBot="1">
      <c r="A70" s="169" t="inlineStr">
        <is>
          <t>Nombre de demandes</t>
        </is>
      </c>
      <c r="B70" s="1199" t="inlineStr">
        <is>
          <t>Pages communiquées</t>
        </is>
      </c>
      <c r="C70" s="169" t="inlineStr">
        <is>
          <t>Nombre de demandes</t>
        </is>
      </c>
      <c r="D70" s="1199" t="inlineStr">
        <is>
          <t>Pages communiquées</t>
        </is>
      </c>
      <c r="E70" s="169" t="inlineStr">
        <is>
          <t>Nombre de demandes</t>
        </is>
      </c>
      <c r="F70" s="1199" t="inlineStr">
        <is>
          <t>Pages communiquées</t>
        </is>
      </c>
      <c r="G70" s="169" t="inlineStr">
        <is>
          <t>Nombre de demandes</t>
        </is>
      </c>
      <c r="H70" s="1199" t="inlineStr">
        <is>
          <t>Pages communiquées</t>
        </is>
      </c>
      <c r="I70" s="169" t="inlineStr">
        <is>
          <t>Nombre de demandes</t>
        </is>
      </c>
      <c r="J70" s="1237" t="inlineStr">
        <is>
          <t>Pages communiquées</t>
        </is>
      </c>
      <c r="K70" s="194">
        <f>IFERROR(IF(AND(H71/G71&gt;1000,H71/G71&lt;=5000),"","Section 2.4 - Le nombre total de pages ""Pages communiquées"" divisé par le ""Nombre de demandes"" dans ""De 1 001 à 5 000 pages communiquées"" doit être compris entre 1 0001 et 5 000."),"")</f>
        <v/>
      </c>
    </row>
    <row r="71" ht="15" customHeight="1" thickBot="1" thickTop="1">
      <c r="A71" s="220" t="n">
        <v>0</v>
      </c>
      <c r="B71" s="1046" t="n">
        <v>0</v>
      </c>
      <c r="C71" s="220" t="n">
        <v>0</v>
      </c>
      <c r="D71" s="1046" t="n">
        <v>0</v>
      </c>
      <c r="E71" s="220" t="n">
        <v>0</v>
      </c>
      <c r="F71" s="1046" t="n">
        <v>0</v>
      </c>
      <c r="G71" s="220" t="n">
        <v>0</v>
      </c>
      <c r="H71" s="221" t="n">
        <v>0</v>
      </c>
      <c r="I71" s="1353" t="n">
        <v>0</v>
      </c>
      <c r="J71" s="221" t="n">
        <v>0</v>
      </c>
      <c r="K71" s="986" t="inlineStr">
        <is>
          <t>Section 2.4 - La somme des Colonnes "Nombre de demandes" doit être égale au montant de "Fermées pendant la période d'établissement de rapport" de la Section 2.1</t>
        </is>
      </c>
    </row>
    <row r="72" ht="15" customHeight="1" thickTop="1">
      <c r="A72" s="42" t="n"/>
      <c r="B72" s="42" t="n"/>
      <c r="C72" s="42" t="n"/>
      <c r="D72" s="42" t="n"/>
      <c r="E72" s="42" t="n"/>
      <c r="F72" s="42" t="n"/>
      <c r="G72" s="42" t="n"/>
      <c r="H72" s="42" t="n"/>
      <c r="I72" s="42" t="n"/>
      <c r="J72" s="42" t="n"/>
    </row>
    <row r="73">
      <c r="K73" s="194">
        <f>IFERROR(IF(J71/I71&lt;=5000,"Section 2.4 - Le nombre total de pages ""Pages communiquées"" divisé par le ""Nombre de demandes"" dans ""Plus de 5 000 pages communiquées"" doit être supérieur à 5 000.",""),"")</f>
        <v/>
      </c>
    </row>
    <row r="74" ht="15.75" customHeight="1">
      <c r="A74" s="631" t="inlineStr">
        <is>
          <t>Section 3 – Demandes fermées pendant la période d'établissement de rapport</t>
        </is>
      </c>
    </row>
    <row r="76">
      <c r="A76" s="323" t="inlineStr">
        <is>
          <t>3.1 Disposition et délai de traitement</t>
        </is>
      </c>
    </row>
    <row r="77" ht="15.75" customHeight="1" thickBot="1">
      <c r="L77" s="194">
        <f>IF(K81&gt;SUM(C93:D101,G93:H102,K93:L101,C107:D109,G107:H110,K107:L110),"Le nombre total de demandes indiqué dans ""Communication partielle"" doit être égal ou inférieur au nombre total de demandes indiqué dans les tableaux 3.2 et 3.3.","")</f>
        <v/>
      </c>
    </row>
    <row r="78" ht="14.25" customHeight="1" thickTop="1">
      <c r="A78" s="1081" t="inlineStr">
        <is>
          <t>Disposition des demandes</t>
        </is>
      </c>
      <c r="B78" s="1412" t="n"/>
      <c r="C78" s="1423" t="n"/>
      <c r="D78" s="1022" t="inlineStr">
        <is>
          <t>Délai de traitement</t>
        </is>
      </c>
      <c r="E78" s="1377" t="n"/>
      <c r="F78" s="1377" t="n"/>
      <c r="G78" s="1377" t="n"/>
      <c r="H78" s="1377" t="n"/>
      <c r="I78" s="1377" t="n"/>
      <c r="J78" s="1377" t="n"/>
      <c r="K78" s="1406" t="n"/>
      <c r="L78" s="194">
        <f>IF(K82&gt;SUM(C93:D101,G93:H102,K93:L101),"Le nombre total de demandes indiqué dans ""Exception totale"" doit être égal ou inférieur au nombre total de demandes indiqué dans le tableau 3.2.","")</f>
        <v/>
      </c>
    </row>
    <row r="79" ht="27" customHeight="1" thickBot="1">
      <c r="A79" s="1425" t="n"/>
      <c r="B79" s="1372" t="n"/>
      <c r="C79" s="1398" t="n"/>
      <c r="D79" s="234" t="inlineStr">
        <is>
          <t>0  à 15 jours</t>
        </is>
      </c>
      <c r="E79" s="217" t="inlineStr">
        <is>
          <t>16 à 30 jours</t>
        </is>
      </c>
      <c r="F79" s="217" t="inlineStr">
        <is>
          <t>31 à 60 jours</t>
        </is>
      </c>
      <c r="G79" s="217" t="inlineStr">
        <is>
          <t>61 à 120 jours</t>
        </is>
      </c>
      <c r="H79" s="217" t="inlineStr">
        <is>
          <t>121  à 180 jours</t>
        </is>
      </c>
      <c r="I79" s="217" t="inlineStr">
        <is>
          <t>181 à 365 jours</t>
        </is>
      </c>
      <c r="J79" s="235" t="inlineStr">
        <is>
          <t>Plus de 365 jours</t>
        </is>
      </c>
      <c r="K79" s="236" t="inlineStr">
        <is>
          <t>Total</t>
        </is>
      </c>
      <c r="L79" s="194">
        <f>IF(K83&gt;SUM(C107:D109,G107:H110,K107:L110),"Le nombre total de demandes indiqué dans ""Exclusion totale"" doit être égal ou inférieur au nombre total de demandes indiqué dans le tableau 3.3.","")</f>
        <v/>
      </c>
    </row>
    <row r="80" ht="15.75" customHeight="1" thickTop="1">
      <c r="A80" s="486" t="inlineStr">
        <is>
          <t>Communication totale</t>
        </is>
      </c>
      <c r="B80" s="1377" t="n"/>
      <c r="C80" s="1406" t="n"/>
      <c r="D80" s="163" t="n">
        <v>0</v>
      </c>
      <c r="E80" s="164" t="n">
        <v>0</v>
      </c>
      <c r="F80" s="164" t="n">
        <v>0</v>
      </c>
      <c r="G80" s="164" t="n">
        <v>0</v>
      </c>
      <c r="H80" s="164" t="n">
        <v>0</v>
      </c>
      <c r="I80" s="164" t="n">
        <v>0</v>
      </c>
      <c r="J80" s="165" t="n">
        <v>0</v>
      </c>
      <c r="K80" s="312">
        <f>SUM(D80:J80)</f>
        <v/>
      </c>
      <c r="L80" s="986" t="inlineStr">
        <is>
          <t>La somme des Colonnes "Nombre de demandes" en "Communication totale" des Sections 3.5.2, 3.5.4 et 3.5.6 doit être égale ou supérieure au "Total" en "Communication totale" de la Section 3.1</t>
        </is>
      </c>
      <c r="V80" s="120" t="n"/>
      <c r="W80" s="120" t="n"/>
      <c r="X80" s="120" t="n"/>
      <c r="Y80" s="120" t="n"/>
      <c r="Z80" s="120" t="n"/>
      <c r="AA80" s="44">
        <f>SUM(AA130,AC147,AD164)</f>
        <v/>
      </c>
      <c r="AB80" s="119" t="n"/>
      <c r="AC80" s="119" t="n"/>
      <c r="AD80" s="119" t="n"/>
      <c r="AE80" s="119" t="n"/>
      <c r="AF80" s="119" t="n"/>
      <c r="AG80" s="119" t="n"/>
      <c r="AH80" s="119" t="n"/>
      <c r="AI80" s="119" t="n"/>
      <c r="AJ80" s="119" t="n"/>
      <c r="AK80" s="94" t="n"/>
      <c r="AL80" s="94" t="n"/>
    </row>
    <row r="81">
      <c r="A81" s="462" t="inlineStr">
        <is>
          <t>Communication partielle</t>
        </is>
      </c>
      <c r="B81" s="1381" t="n"/>
      <c r="C81" s="1384" t="n"/>
      <c r="D81" s="166" t="n">
        <v>0</v>
      </c>
      <c r="E81" s="167" t="n">
        <v>0</v>
      </c>
      <c r="F81" s="167" t="n">
        <v>0</v>
      </c>
      <c r="G81" s="167" t="n">
        <v>0</v>
      </c>
      <c r="H81" s="167" t="n">
        <v>0</v>
      </c>
      <c r="I81" s="167" t="n">
        <v>0</v>
      </c>
      <c r="J81" s="168" t="n">
        <v>0</v>
      </c>
      <c r="K81" s="313">
        <f>SUM(D81:J81)</f>
        <v/>
      </c>
      <c r="L81" s="986" t="inlineStr">
        <is>
          <t>La somme des Colonnes "Nombre de demandes" en "Communication partielle" des Sections 3.5.2, 3.5.4 et 3.5.6 doit être égale ou supérieure au "Total" en "Communication partielle" de la Section 3.1</t>
        </is>
      </c>
      <c r="V81" s="120" t="n"/>
      <c r="W81" s="120" t="n"/>
      <c r="X81" s="120" t="n"/>
      <c r="Y81" s="120" t="n"/>
      <c r="Z81" s="120" t="n"/>
      <c r="AA81" s="44">
        <f>SUM(AA131,AC148,AD165)</f>
        <v/>
      </c>
      <c r="AB81" s="119" t="n"/>
      <c r="AC81" s="119" t="n"/>
      <c r="AD81" s="119" t="n"/>
      <c r="AE81" s="119" t="n"/>
      <c r="AF81" s="119" t="n"/>
      <c r="AG81" s="119" t="n"/>
      <c r="AH81" s="119" t="n"/>
      <c r="AI81" s="119" t="n"/>
      <c r="AJ81" s="119" t="n"/>
      <c r="AK81" s="94" t="n"/>
      <c r="AL81" s="94" t="n"/>
    </row>
    <row r="82">
      <c r="A82" s="462" t="inlineStr">
        <is>
          <t>Exception totale</t>
        </is>
      </c>
      <c r="B82" s="1381" t="n"/>
      <c r="C82" s="1384" t="n"/>
      <c r="D82" s="166" t="n">
        <v>0</v>
      </c>
      <c r="E82" s="167" t="n">
        <v>0</v>
      </c>
      <c r="F82" s="167" t="n">
        <v>0</v>
      </c>
      <c r="G82" s="167" t="n">
        <v>0</v>
      </c>
      <c r="H82" s="167" t="n">
        <v>0</v>
      </c>
      <c r="I82" s="167" t="n">
        <v>0</v>
      </c>
      <c r="J82" s="168" t="n">
        <v>0</v>
      </c>
      <c r="K82" s="313">
        <f>SUM(D82:J82)</f>
        <v/>
      </c>
      <c r="L82" s="986" t="inlineStr">
        <is>
          <t>La somme des Colonnes "Nombre de demandes" en "Exception totale" des Sections 3.5.2, 3.5.4 et 3.5.6 doit être égale ou supérieure au "Total" en "Exception totale" de la Section 3.1</t>
        </is>
      </c>
      <c r="V82" s="120" t="n"/>
      <c r="W82" s="120" t="n"/>
      <c r="X82" s="120" t="n"/>
      <c r="Y82" s="120" t="n"/>
      <c r="Z82" s="120" t="n"/>
      <c r="AA82" s="44">
        <f>SUM(AA132,AC149,AD166)</f>
        <v/>
      </c>
      <c r="AB82" s="119" t="n"/>
      <c r="AC82" s="119" t="n"/>
      <c r="AD82" s="119" t="n"/>
      <c r="AE82" s="119" t="n"/>
      <c r="AF82" s="119" t="n"/>
      <c r="AG82" s="119" t="n"/>
      <c r="AH82" s="119" t="n"/>
      <c r="AI82" s="119" t="n"/>
      <c r="AJ82" s="119" t="n"/>
      <c r="AK82" s="94" t="n"/>
      <c r="AL82" s="94" t="n"/>
    </row>
    <row r="83">
      <c r="A83" s="462" t="inlineStr">
        <is>
          <t>Exclusion totale</t>
        </is>
      </c>
      <c r="B83" s="1381" t="n"/>
      <c r="C83" s="1384" t="n"/>
      <c r="D83" s="166" t="n">
        <v>0</v>
      </c>
      <c r="E83" s="167" t="n">
        <v>0</v>
      </c>
      <c r="F83" s="167" t="n">
        <v>0</v>
      </c>
      <c r="G83" s="167" t="n">
        <v>0</v>
      </c>
      <c r="H83" s="167" t="n">
        <v>0</v>
      </c>
      <c r="I83" s="167" t="n">
        <v>0</v>
      </c>
      <c r="J83" s="168" t="n">
        <v>0</v>
      </c>
      <c r="K83" s="314">
        <f>SUM(D83:J83)</f>
        <v/>
      </c>
      <c r="L83" s="986" t="inlineStr">
        <is>
          <t>La somme des Colonnes "Nombre de demandes" en "Exclusion totale" des Sections 3.5.2, 3.5.4 et 3.5.6 doit être égale ou supérieure au "Total" en "Exclusion totale" de la Section 3.1</t>
        </is>
      </c>
      <c r="V83" s="120" t="n"/>
      <c r="W83" s="120" t="n"/>
      <c r="X83" s="120" t="n"/>
      <c r="Y83" s="120" t="n"/>
      <c r="Z83" s="120" t="n"/>
      <c r="AA83" s="44">
        <f>SUM(AA133,AC150,AD167)</f>
        <v/>
      </c>
      <c r="AB83" s="119" t="n"/>
      <c r="AC83" s="119" t="n"/>
      <c r="AD83" s="119" t="n"/>
      <c r="AE83" s="119" t="n"/>
      <c r="AF83" s="119" t="n"/>
      <c r="AG83" s="119" t="n"/>
      <c r="AH83" s="119" t="n"/>
      <c r="AI83" s="119" t="n"/>
      <c r="AJ83" s="119" t="n"/>
      <c r="AK83" s="94" t="n"/>
      <c r="AL83" s="94" t="n"/>
    </row>
    <row r="84">
      <c r="A84" s="462" t="inlineStr">
        <is>
          <t>Aucun document n’existe</t>
        </is>
      </c>
      <c r="B84" s="1381" t="n"/>
      <c r="C84" s="1384" t="n"/>
      <c r="D84" s="166" t="n">
        <v>0</v>
      </c>
      <c r="E84" s="167" t="n">
        <v>0</v>
      </c>
      <c r="F84" s="167" t="n">
        <v>0</v>
      </c>
      <c r="G84" s="167" t="n">
        <v>0</v>
      </c>
      <c r="H84" s="167" t="n">
        <v>0</v>
      </c>
      <c r="I84" s="167" t="n">
        <v>0</v>
      </c>
      <c r="J84" s="168" t="n">
        <v>0</v>
      </c>
      <c r="K84" s="315">
        <f>SUM(D84:J84)</f>
        <v/>
      </c>
      <c r="L84" s="118" t="n"/>
      <c r="T84" s="118" t="n"/>
      <c r="U84" s="118" t="n"/>
      <c r="V84" s="118" t="n"/>
      <c r="W84" s="118" t="n"/>
      <c r="X84" s="118" t="n"/>
      <c r="Y84" s="118" t="n"/>
      <c r="Z84" s="118" t="n"/>
      <c r="AA84" s="44" t="n"/>
      <c r="AB84" s="118" t="n"/>
      <c r="AC84" s="118" t="n"/>
      <c r="AD84" s="118" t="n"/>
      <c r="AE84" s="118" t="n"/>
      <c r="AF84" s="118" t="n"/>
      <c r="AG84" s="118" t="n"/>
      <c r="AH84" s="118" t="n"/>
      <c r="AI84" s="118" t="n"/>
      <c r="AJ84" s="118" t="n"/>
    </row>
    <row r="85">
      <c r="A85" s="1485" t="inlineStr">
        <is>
          <t>Demande abandonnée</t>
        </is>
      </c>
      <c r="B85" s="1381" t="n"/>
      <c r="C85" s="1383" t="n"/>
      <c r="D85" s="166" t="n">
        <v>0</v>
      </c>
      <c r="E85" s="167" t="n">
        <v>0</v>
      </c>
      <c r="F85" s="167" t="n">
        <v>0</v>
      </c>
      <c r="G85" s="167" t="n">
        <v>0</v>
      </c>
      <c r="H85" s="167" t="n">
        <v>0</v>
      </c>
      <c r="I85" s="167" t="n">
        <v>0</v>
      </c>
      <c r="J85" s="168" t="n">
        <v>0</v>
      </c>
      <c r="K85" s="314">
        <f>SUM(D85:J85)</f>
        <v/>
      </c>
      <c r="L85" s="986" t="inlineStr">
        <is>
          <t>La somme des Colonnes "Nombre de demandes" en "Demande abandonnée" des Sections 3.5.2, 3.5.4 et 3.5.6 doit être égale ou supérieure au "Total" en "Demande abandonnée" de la Section 3.1</t>
        </is>
      </c>
      <c r="V85" s="120" t="n"/>
      <c r="W85" s="120" t="n"/>
      <c r="X85" s="120" t="n"/>
      <c r="Y85" s="120" t="n"/>
      <c r="Z85" s="120" t="n"/>
      <c r="AA85" s="44">
        <f>SUM(AA134,AC151,AD168)</f>
        <v/>
      </c>
      <c r="AB85" s="119" t="n"/>
      <c r="AC85" s="119" t="n"/>
      <c r="AD85" s="119" t="n"/>
      <c r="AE85" s="119" t="n"/>
      <c r="AF85" s="119" t="n"/>
      <c r="AG85" s="119" t="n"/>
      <c r="AH85" s="119" t="n"/>
      <c r="AI85" s="119" t="n"/>
      <c r="AJ85" s="119" t="n"/>
      <c r="AK85" s="94" t="n"/>
      <c r="AL85" s="94" t="n"/>
    </row>
    <row r="86" ht="15.75" customHeight="1" thickBot="1">
      <c r="A86" s="1077" t="inlineStr">
        <is>
          <t>Ni confirmée ni infirmée</t>
        </is>
      </c>
      <c r="B86" s="1388" t="n"/>
      <c r="C86" s="1396" t="n"/>
      <c r="D86" s="128" t="n">
        <v>0</v>
      </c>
      <c r="E86" s="334" t="n">
        <v>0</v>
      </c>
      <c r="F86" s="334" t="n">
        <v>0</v>
      </c>
      <c r="G86" s="334" t="n">
        <v>0</v>
      </c>
      <c r="H86" s="334" t="n">
        <v>0</v>
      </c>
      <c r="I86" s="334" t="n">
        <v>0</v>
      </c>
      <c r="J86" s="348" t="n">
        <v>0</v>
      </c>
      <c r="K86" s="316">
        <f>SUM(D86:J86)</f>
        <v/>
      </c>
      <c r="L86" s="986" t="inlineStr">
        <is>
          <t>La somme des Colonnes "Nombre de demandes" en "Ni confirmée ni infirmée" des Sections 3.5.2, 3.5.4 et 3.5.6 doit être égale ou supérieure au "Total" en "Ni confirmée ni infirmée" de la Section 3.1</t>
        </is>
      </c>
      <c r="V86" s="120" t="n"/>
      <c r="W86" s="120" t="n"/>
      <c r="X86" s="120" t="n"/>
      <c r="Y86" s="120" t="n"/>
      <c r="Z86" s="120" t="n"/>
      <c r="AA86" s="44">
        <f>SUM(AA135,AC152,AD169)</f>
        <v/>
      </c>
      <c r="AB86" s="119" t="n"/>
      <c r="AC86" s="119" t="n"/>
      <c r="AD86" s="119" t="n"/>
      <c r="AE86" s="119" t="n"/>
      <c r="AF86" s="119" t="n"/>
      <c r="AG86" s="119" t="n"/>
      <c r="AH86" s="119" t="n"/>
      <c r="AI86" s="119" t="n"/>
      <c r="AJ86" s="119" t="n"/>
      <c r="AK86" s="94" t="n"/>
      <c r="AL86" s="94" t="n"/>
    </row>
    <row r="87" ht="15.75" customHeight="1" thickBot="1" thickTop="1">
      <c r="A87" s="598" t="inlineStr">
        <is>
          <t>Total</t>
        </is>
      </c>
      <c r="B87" s="1390" t="n"/>
      <c r="C87" s="1443" t="n"/>
      <c r="D87" s="318">
        <f>SUM(D80:D86)</f>
        <v/>
      </c>
      <c r="E87" s="960">
        <f>SUM(E80:E86)</f>
        <v/>
      </c>
      <c r="F87" s="319">
        <f>SUM(F80:F86)</f>
        <v/>
      </c>
      <c r="G87" s="319">
        <f>SUM(G80:G86)</f>
        <v/>
      </c>
      <c r="H87" s="319">
        <f>SUM(H80:H86)</f>
        <v/>
      </c>
      <c r="I87" s="319">
        <f>SUM(I80:I86)</f>
        <v/>
      </c>
      <c r="J87" s="320">
        <f>SUM(J80:J86)</f>
        <v/>
      </c>
      <c r="K87" s="317">
        <f>SUM(K80:K86)</f>
        <v/>
      </c>
      <c r="L87" s="986" t="inlineStr">
        <is>
          <t>Section 3.1 - La somme des totaux de la Rangée 8 doit être égale au montant de "Fermées pendant la période d'établissement de rapport" de la Section 1.1</t>
        </is>
      </c>
      <c r="V87" s="120" t="n"/>
      <c r="W87" s="120" t="n"/>
      <c r="X87" s="120" t="n"/>
      <c r="Y87" s="120" t="n"/>
      <c r="Z87" s="120" t="n"/>
      <c r="AA87" s="44">
        <f>SUM(AA136,AC153,AD170)</f>
        <v/>
      </c>
      <c r="AB87" s="120" t="n"/>
      <c r="AC87" s="120" t="n"/>
      <c r="AD87" s="120" t="n"/>
      <c r="AE87" s="120" t="n"/>
      <c r="AF87" s="120" t="n"/>
      <c r="AG87" s="120" t="n"/>
      <c r="AH87" s="120" t="n"/>
      <c r="AI87" s="120" t="n"/>
    </row>
    <row r="88" ht="15.75" customHeight="1" thickTop="1">
      <c r="K88" s="125">
        <f>SUM(K80:K83,K85:K86)</f>
        <v/>
      </c>
    </row>
    <row r="90">
      <c r="A90" s="323" t="inlineStr">
        <is>
          <t>3.2 Exceptions</t>
        </is>
      </c>
    </row>
    <row r="91" ht="15.75" customHeight="1" thickBot="1"/>
    <row r="92" ht="27.95" customHeight="1" thickBot="1" thickTop="1">
      <c r="A92" s="491" t="inlineStr">
        <is>
          <t>Article</t>
        </is>
      </c>
      <c r="B92" s="1405" t="n"/>
      <c r="C92" s="430" t="inlineStr">
        <is>
          <t>Nombre de demandes</t>
        </is>
      </c>
      <c r="D92" s="1375" t="n"/>
      <c r="E92" s="491" t="inlineStr">
        <is>
          <t>Article</t>
        </is>
      </c>
      <c r="F92" s="1405" t="n"/>
      <c r="G92" s="332" t="inlineStr">
        <is>
          <t>Nombre de demandes</t>
        </is>
      </c>
      <c r="H92" s="1405" t="n"/>
      <c r="I92" s="491" t="inlineStr">
        <is>
          <t>Article</t>
        </is>
      </c>
      <c r="J92" s="1405" t="n"/>
      <c r="K92" s="332" t="inlineStr">
        <is>
          <t>Nombre de demandes</t>
        </is>
      </c>
      <c r="L92" s="1405" t="n"/>
    </row>
    <row r="93" ht="15.75" customHeight="1" thickTop="1">
      <c r="A93" s="1028" t="inlineStr">
        <is>
          <t>18(2)</t>
        </is>
      </c>
      <c r="B93" s="1398" t="n"/>
      <c r="C93" s="754" t="n">
        <v>0</v>
      </c>
      <c r="D93" s="1407" t="n"/>
      <c r="E93" s="1028" t="inlineStr">
        <is>
          <t>22(1)a)(i)</t>
        </is>
      </c>
      <c r="F93" s="1398" t="n"/>
      <c r="G93" s="754" t="n">
        <v>0</v>
      </c>
      <c r="H93" s="1407" t="n"/>
      <c r="I93" s="1028" t="inlineStr">
        <is>
          <t>23a)</t>
        </is>
      </c>
      <c r="J93" s="1398" t="n"/>
      <c r="K93" s="754" t="n">
        <v>0</v>
      </c>
      <c r="L93" s="1407" t="n"/>
    </row>
    <row r="94">
      <c r="A94" s="1029" t="inlineStr">
        <is>
          <t>19(1)a)</t>
        </is>
      </c>
      <c r="B94" s="1384" t="n"/>
      <c r="C94" s="386" t="n">
        <v>0</v>
      </c>
      <c r="D94" s="1401" t="n"/>
      <c r="E94" s="1029" t="inlineStr">
        <is>
          <t>22(1)a)(ii)</t>
        </is>
      </c>
      <c r="F94" s="1384" t="n"/>
      <c r="G94" s="386" t="n">
        <v>0</v>
      </c>
      <c r="H94" s="1401" t="n"/>
      <c r="I94" s="1029" t="inlineStr">
        <is>
          <t>23b)</t>
        </is>
      </c>
      <c r="J94" s="1384" t="n"/>
      <c r="K94" s="386" t="n">
        <v>0</v>
      </c>
      <c r="L94" s="1401" t="n"/>
    </row>
    <row r="95">
      <c r="A95" s="1029" t="inlineStr">
        <is>
          <t>19(1)b)</t>
        </is>
      </c>
      <c r="B95" s="1384" t="n"/>
      <c r="C95" s="386" t="n">
        <v>0</v>
      </c>
      <c r="D95" s="1401" t="n"/>
      <c r="E95" s="1029" t="inlineStr">
        <is>
          <t>22(1)a)(iii)</t>
        </is>
      </c>
      <c r="F95" s="1384" t="n"/>
      <c r="G95" s="386" t="n">
        <v>0</v>
      </c>
      <c r="H95" s="1401" t="n"/>
      <c r="I95" s="1029" t="inlineStr">
        <is>
          <t>24a)</t>
        </is>
      </c>
      <c r="J95" s="1384" t="n"/>
      <c r="K95" s="386" t="n">
        <v>0</v>
      </c>
      <c r="L95" s="1401" t="n"/>
    </row>
    <row r="96">
      <c r="A96" s="1029" t="inlineStr">
        <is>
          <t>19(1)c)</t>
        </is>
      </c>
      <c r="B96" s="1384" t="n"/>
      <c r="C96" s="386" t="n">
        <v>0</v>
      </c>
      <c r="D96" s="1401" t="n"/>
      <c r="E96" s="1029" t="inlineStr">
        <is>
          <t>22(1)b)</t>
        </is>
      </c>
      <c r="F96" s="1384" t="n"/>
      <c r="G96" s="386" t="n">
        <v>0</v>
      </c>
      <c r="H96" s="1401" t="n"/>
      <c r="I96" s="1029" t="inlineStr">
        <is>
          <t>24b)</t>
        </is>
      </c>
      <c r="J96" s="1384" t="n"/>
      <c r="K96" s="386" t="n">
        <v>0</v>
      </c>
      <c r="L96" s="1401" t="n"/>
    </row>
    <row r="97">
      <c r="A97" s="1029" t="inlineStr">
        <is>
          <t>19(1)d)</t>
        </is>
      </c>
      <c r="B97" s="1384" t="n"/>
      <c r="C97" s="386" t="n">
        <v>0</v>
      </c>
      <c r="D97" s="1401" t="n"/>
      <c r="E97" s="1029" t="inlineStr">
        <is>
          <t>22(1)c)</t>
        </is>
      </c>
      <c r="F97" s="1384" t="n"/>
      <c r="G97" s="386" t="n">
        <v>0</v>
      </c>
      <c r="H97" s="1401" t="n"/>
      <c r="I97" s="1029" t="n">
        <v>25</v>
      </c>
      <c r="J97" s="1384" t="n"/>
      <c r="K97" s="386" t="n">
        <v>0</v>
      </c>
      <c r="L97" s="1401" t="n"/>
    </row>
    <row r="98">
      <c r="A98" s="1029" t="inlineStr">
        <is>
          <t>19(1)e)</t>
        </is>
      </c>
      <c r="B98" s="1384" t="n"/>
      <c r="C98" s="386" t="n">
        <v>0</v>
      </c>
      <c r="D98" s="1401" t="n"/>
      <c r="E98" s="1029" t="inlineStr">
        <is>
          <t>22(2)</t>
        </is>
      </c>
      <c r="F98" s="1384" t="n"/>
      <c r="G98" s="386" t="n">
        <v>0</v>
      </c>
      <c r="H98" s="1401" t="n"/>
      <c r="I98" s="1029" t="n">
        <v>26</v>
      </c>
      <c r="J98" s="1384" t="n"/>
      <c r="K98" s="386" t="n">
        <v>0</v>
      </c>
      <c r="L98" s="1401" t="n"/>
    </row>
    <row r="99">
      <c r="A99" s="1029" t="inlineStr">
        <is>
          <t>19(1)f)</t>
        </is>
      </c>
      <c r="B99" s="1384" t="n"/>
      <c r="C99" s="386" t="n">
        <v>0</v>
      </c>
      <c r="D99" s="1401" t="n"/>
      <c r="E99" s="1029" t="n">
        <v>22.1</v>
      </c>
      <c r="F99" s="1384" t="n"/>
      <c r="G99" s="386" t="n">
        <v>0</v>
      </c>
      <c r="H99" s="1401" t="n"/>
      <c r="I99" s="1029" t="n">
        <v>27</v>
      </c>
      <c r="J99" s="1384" t="n"/>
      <c r="K99" s="386" t="n">
        <v>0</v>
      </c>
      <c r="L99" s="1401" t="n"/>
    </row>
    <row r="100">
      <c r="A100" s="1029" t="inlineStr">
        <is>
          <t>20</t>
        </is>
      </c>
      <c r="B100" s="1384" t="n"/>
      <c r="C100" s="386" t="n">
        <v>0</v>
      </c>
      <c r="D100" s="1401" t="n"/>
      <c r="E100" s="1029" t="n">
        <v>22.2</v>
      </c>
      <c r="F100" s="1384" t="n"/>
      <c r="G100" s="386" t="n">
        <v>0</v>
      </c>
      <c r="H100" s="1401" t="n"/>
      <c r="I100" s="1311" t="n">
        <v>27.1</v>
      </c>
      <c r="J100" s="1384" t="n"/>
      <c r="K100" s="344" t="n">
        <v>0</v>
      </c>
      <c r="L100" s="1401" t="n"/>
    </row>
    <row r="101" ht="15.75" customHeight="1" thickBot="1">
      <c r="A101" s="1321" t="inlineStr">
        <is>
          <t>21</t>
        </is>
      </c>
      <c r="B101" s="1396" t="n"/>
      <c r="C101" s="575" t="n">
        <v>0</v>
      </c>
      <c r="D101" s="1409" t="n"/>
      <c r="E101" s="1029" t="n">
        <v>22.3</v>
      </c>
      <c r="F101" s="1384" t="n"/>
      <c r="G101" s="386" t="n">
        <v>0</v>
      </c>
      <c r="H101" s="1401" t="n"/>
      <c r="I101" s="1321" t="n">
        <v>28</v>
      </c>
      <c r="J101" s="1396" t="n"/>
      <c r="K101" s="575" t="n">
        <v>0</v>
      </c>
      <c r="L101" s="1409" t="n"/>
      <c r="M101" s="197">
        <f>IF(AND(SUM(C93:D101,G93:H102,K93:L101)&gt;0,SUM(K81,K82,K85)=0),"Si le nombre total de demandes indiqué au tableau 3.2 est supérieur à zéro, le nombre total de demandes indiqué aux rangées 2, 3 et 6 de la colonne 8 du tableau 3.1 doit être supérieur à zéro.","")</f>
        <v/>
      </c>
    </row>
    <row r="102" ht="16.5" customHeight="1" thickBot="1" thickTop="1">
      <c r="A102" s="45" t="n"/>
      <c r="B102" s="46" t="n"/>
      <c r="C102" s="46" t="n"/>
      <c r="D102" s="46" t="n"/>
      <c r="E102" s="1319" t="n">
        <v>22.4</v>
      </c>
      <c r="F102" s="1396" t="n"/>
      <c r="G102" s="892" t="n">
        <v>0</v>
      </c>
      <c r="H102" s="1409" t="n"/>
      <c r="I102" s="284" t="n"/>
      <c r="J102" s="46" t="n"/>
      <c r="K102" s="46" t="n"/>
      <c r="L102" s="46" t="n"/>
    </row>
    <row r="103" ht="15.75" customHeight="1" thickTop="1"/>
    <row r="104">
      <c r="A104" s="326" t="inlineStr">
        <is>
          <t xml:space="preserve">3.3 Exclusions </t>
        </is>
      </c>
    </row>
    <row r="105" ht="15.75" customHeight="1" thickBot="1"/>
    <row r="106" ht="27" customHeight="1" thickBot="1" thickTop="1">
      <c r="A106" s="491" t="inlineStr">
        <is>
          <t>Article</t>
        </is>
      </c>
      <c r="B106" s="1405" t="n"/>
      <c r="C106" s="430" t="inlineStr">
        <is>
          <t>Nombre de demandes</t>
        </is>
      </c>
      <c r="D106" s="1375" t="n"/>
      <c r="E106" s="491" t="inlineStr">
        <is>
          <t>Article</t>
        </is>
      </c>
      <c r="F106" s="1405" t="n"/>
      <c r="G106" s="332" t="inlineStr">
        <is>
          <t>Nombre de demandes</t>
        </is>
      </c>
      <c r="H106" s="1405" t="n"/>
      <c r="I106" s="491" t="inlineStr">
        <is>
          <t>Article</t>
        </is>
      </c>
      <c r="J106" s="1405" t="n"/>
      <c r="K106" s="332" t="inlineStr">
        <is>
          <t>Nombre de demandes</t>
        </is>
      </c>
      <c r="L106" s="1405" t="n"/>
    </row>
    <row r="107" ht="15.75" customHeight="1" thickTop="1">
      <c r="A107" s="1028" t="inlineStr">
        <is>
          <t>69(1)a)</t>
        </is>
      </c>
      <c r="B107" s="1398" t="n"/>
      <c r="C107" s="754" t="n">
        <v>0</v>
      </c>
      <c r="D107" s="1407" t="n"/>
      <c r="E107" s="1315" t="inlineStr">
        <is>
          <t>70(1)</t>
        </is>
      </c>
      <c r="F107" s="1406" t="n"/>
      <c r="G107" s="1317" t="n">
        <v>0</v>
      </c>
      <c r="H107" s="1399" t="n"/>
      <c r="I107" s="1028" t="inlineStr">
        <is>
          <t>70(1)d)</t>
        </is>
      </c>
      <c r="J107" s="1398" t="n"/>
      <c r="K107" s="754" t="n">
        <v>0</v>
      </c>
      <c r="L107" s="1407" t="n"/>
    </row>
    <row r="108">
      <c r="A108" s="1029" t="inlineStr">
        <is>
          <t>69(1)b)</t>
        </is>
      </c>
      <c r="B108" s="1384" t="n"/>
      <c r="C108" s="386" t="n">
        <v>0</v>
      </c>
      <c r="D108" s="1401" t="n"/>
      <c r="E108" s="1028" t="inlineStr">
        <is>
          <t>70(1)a)</t>
        </is>
      </c>
      <c r="F108" s="1398" t="n"/>
      <c r="G108" s="754" t="n">
        <v>0</v>
      </c>
      <c r="H108" s="1407" t="n"/>
      <c r="I108" s="1029" t="inlineStr">
        <is>
          <t>70(1)e)</t>
        </is>
      </c>
      <c r="J108" s="1384" t="n"/>
      <c r="K108" s="386" t="n">
        <v>0</v>
      </c>
      <c r="L108" s="1401" t="n"/>
    </row>
    <row r="109" ht="15.75" customHeight="1" thickBot="1">
      <c r="A109" s="1321" t="n">
        <v>69.09999999999999</v>
      </c>
      <c r="B109" s="1396" t="n"/>
      <c r="C109" s="575" t="n">
        <v>0</v>
      </c>
      <c r="D109" s="1409" t="n"/>
      <c r="E109" s="1029" t="inlineStr">
        <is>
          <t>70(1)b)</t>
        </is>
      </c>
      <c r="F109" s="1384" t="n"/>
      <c r="G109" s="387" t="n">
        <v>0</v>
      </c>
      <c r="H109" s="1421" t="n"/>
      <c r="I109" s="1029" t="inlineStr">
        <is>
          <t>70(1)f)</t>
        </is>
      </c>
      <c r="J109" s="1384" t="n"/>
      <c r="K109" s="386" t="n">
        <v>0</v>
      </c>
      <c r="L109" s="1401" t="n"/>
    </row>
    <row r="110" ht="16.5" customHeight="1" thickBot="1" thickTop="1">
      <c r="A110" s="47" t="n"/>
      <c r="B110" s="47" t="n"/>
      <c r="C110" s="47" t="n"/>
      <c r="D110" s="47" t="n"/>
      <c r="E110" s="1321" t="inlineStr">
        <is>
          <t>70(1)c)</t>
        </is>
      </c>
      <c r="F110" s="1396" t="n"/>
      <c r="G110" s="436" t="n">
        <v>0</v>
      </c>
      <c r="H110" s="1418" t="n"/>
      <c r="I110" s="1321" t="n">
        <v>70.09999999999999</v>
      </c>
      <c r="J110" s="1396" t="n"/>
      <c r="K110" s="575" t="n">
        <v>0</v>
      </c>
      <c r="L110" s="1409" t="n"/>
      <c r="M110" s="197">
        <f>IF(AND(SUM(C107:D109,G107:H110,K107:L110)&gt;0,SUM(K81,K83,K85)=0),"Si le nombre total de demandes indiqué au tableau 3.3 est supérieur à zéro, le nombre total de demandes indiqué dans les rangées 2, 4 et 6 de la colonne 8 du tableau 3.1 doit être supérieur à zéro.","")</f>
        <v/>
      </c>
    </row>
    <row r="111" ht="15.75" customHeight="1" thickTop="1">
      <c r="A111" s="47" t="n"/>
      <c r="B111" s="47" t="n"/>
      <c r="C111" s="47" t="n"/>
      <c r="D111" s="47" t="n"/>
      <c r="E111" s="48" t="n"/>
      <c r="F111" s="48" t="n"/>
      <c r="G111" s="451" t="n"/>
      <c r="H111" s="451" t="n"/>
      <c r="I111" s="48" t="n"/>
      <c r="J111" s="50" t="n"/>
      <c r="K111" s="451" t="n"/>
      <c r="L111" s="451" t="n"/>
      <c r="M111" s="980">
        <f>IF(SUM(A116:I116)&lt;SUM(K80,K81),"Section 3.4 - Le montant total de ""Papier, Électronique et Autres"" doit être égal ou supérieur au ""Total"" de ""Communication totale"" et ""Communication partielle"" de Section 3.1","")</f>
        <v/>
      </c>
    </row>
    <row r="112">
      <c r="A112" s="326" t="inlineStr">
        <is>
          <t>3.4  Format des documents communiqués</t>
        </is>
      </c>
    </row>
    <row r="113" ht="15.75" customHeight="1" thickBot="1">
      <c r="A113" s="47" t="n"/>
      <c r="B113" s="47" t="n"/>
      <c r="C113" s="47" t="n"/>
      <c r="D113" s="47" t="n"/>
      <c r="E113" s="48" t="n"/>
      <c r="F113" s="48" t="n"/>
      <c r="G113" s="451" t="n"/>
      <c r="H113" s="451" t="n"/>
      <c r="I113" s="48" t="n"/>
      <c r="M113" s="1030">
        <f>IF(A116&gt;SUM(K80:K81),"Section 3.4 - Le montant total de ""Papier"" de ""Format des documents communiqués"" doit être égal ou inférieur au ""Total"" de ""Communication totale"" et ""Communication partielle"" de Section 3.1","")</f>
        <v/>
      </c>
    </row>
    <row r="114" ht="15.75" customHeight="1" thickTop="1">
      <c r="A114" s="1509" t="inlineStr">
        <is>
          <t>Papier</t>
        </is>
      </c>
      <c r="B114" s="1413" t="n"/>
      <c r="C114" s="1322" t="inlineStr">
        <is>
          <t>Électronique</t>
        </is>
      </c>
      <c r="D114" s="1377" t="n"/>
      <c r="E114" s="1377" t="n"/>
      <c r="F114" s="1377" t="n"/>
      <c r="G114" s="1377" t="n"/>
      <c r="H114" s="1529" t="inlineStr">
        <is>
          <t>Autres</t>
        </is>
      </c>
      <c r="I114" s="1413" t="n"/>
      <c r="M114" s="847">
        <f>IF(C116&gt;SUM(K80,K81),"Section 3.4 - Le montant total de ""Document électronique"" de ""Format des documents communiqués"" doit être égal ou inférieur au ""Total"" de ""Communication totale"" et ""Communication partielle"" de Section 3.1","")</f>
        <v/>
      </c>
    </row>
    <row r="115" ht="39.4" customHeight="1" thickBot="1">
      <c r="A115" s="1397" t="n"/>
      <c r="B115" s="1391" t="n"/>
      <c r="C115" s="1345" t="inlineStr">
        <is>
          <t>Document électronique</t>
        </is>
      </c>
      <c r="D115" s="1396" t="n"/>
      <c r="E115" s="188" t="inlineStr">
        <is>
          <t>Ensemble de données</t>
        </is>
      </c>
      <c r="F115" s="189" t="inlineStr">
        <is>
          <t>Vidéo</t>
        </is>
      </c>
      <c r="G115" s="190" t="inlineStr">
        <is>
          <t>Audio</t>
        </is>
      </c>
      <c r="H115" s="1530" t="n"/>
      <c r="I115" s="1531" t="n"/>
      <c r="M115" s="847">
        <f>IF(E116&gt;SUM(K80,K81),"Section 3.4 - Le montant total de ""Ensemble de données"" de ""Format des documents communiqués"" doit être égal ou inférieur au ""Total"" de ""Communication totale"" et ""Communication partielle"" de Section 3.1","")</f>
        <v/>
      </c>
    </row>
    <row r="116" ht="15.75" customHeight="1" thickBot="1" thickTop="1">
      <c r="A116" s="900" t="n">
        <v>0</v>
      </c>
      <c r="B116" s="1431" t="n"/>
      <c r="C116" s="861" t="n">
        <v>0</v>
      </c>
      <c r="D116" s="1459" t="n"/>
      <c r="E116" s="327" t="n">
        <v>0</v>
      </c>
      <c r="F116" s="242" t="n">
        <v>0</v>
      </c>
      <c r="G116" s="285" t="n">
        <v>0</v>
      </c>
      <c r="H116" s="900" t="n">
        <v>0</v>
      </c>
      <c r="I116" s="1431" t="n"/>
      <c r="J116" s="120" t="n"/>
      <c r="K116" s="120" t="n"/>
      <c r="L116" s="120" t="n"/>
      <c r="M116" s="848">
        <f>IF(F116&gt;SUM(K80,K81),"Section 3.4 - Le montant total de ""Vidéo"" de ""Format des documents communiqués"" doit être égal ou inférieur au ""Total"" de ""Communication totale"" et ""Communication partielle"" de Section 3.1","")</f>
        <v/>
      </c>
    </row>
    <row r="117" ht="17.25" customHeight="1" thickTop="1">
      <c r="A117" s="47" t="n"/>
      <c r="B117" s="47" t="n"/>
      <c r="C117" s="47" t="n"/>
      <c r="D117" s="47" t="n"/>
      <c r="E117" s="48" t="n"/>
      <c r="F117" s="48" t="n"/>
      <c r="G117" s="451" t="n"/>
      <c r="H117" s="451" t="n"/>
      <c r="I117" s="48" t="n"/>
      <c r="J117" s="120" t="n"/>
      <c r="K117" s="120" t="n"/>
      <c r="L117" s="120" t="n"/>
      <c r="M117" s="848">
        <f>IF(G116&gt;SUM(K80,K81),"Section 3.4 - Le montant total de ""Audio"" de ""Format des documents communiqués"" doit être égal ou inférieur au ""Total"" de ""Communication totale"" et ""Communication partielle"" de Section 3.1","")</f>
        <v/>
      </c>
    </row>
    <row r="118">
      <c r="A118" s="323" t="inlineStr">
        <is>
          <t>3.5 Complexité</t>
        </is>
      </c>
      <c r="M118" s="847">
        <f>IF(H116&gt;SUM(K80,K81),"Section 3.4 - Le montant total de ""Autres"" de ""Format des documents communiqués"" doit être égal ou inférieur au ""Total"" de ""Communication totale"" et ""Communication partielle"" de Section 3.1","")</f>
        <v/>
      </c>
    </row>
    <row r="119">
      <c r="A119" s="323" t="n"/>
      <c r="L119" s="451" t="n"/>
      <c r="M119" s="197">
        <f>IF(SUM(A116,C116,E116,H116)&lt;= G123,"","Le nombre total de demandes en formats ""Papier"", ""Document électronique"", ""Ensemble de données"" et ""Autres"" du tableau 3.4 doit être égal ou inférieur au nombre total de demandes indiqué dans ""Nombre de demandes"" du tableau 3.5.1.")</f>
        <v/>
      </c>
    </row>
    <row r="120">
      <c r="A120" s="439" t="inlineStr">
        <is>
          <t>3.5.1 Pages pertinentes traitées et communiquées en formats papier, document électronique et ensemble de données</t>
        </is>
      </c>
      <c r="M120" s="197">
        <f>IF(F116&lt;=G158,"","Le nombre total de demandes de documents ""Vidéo"" indiqué dans le tableau 3.4 doit être égal ou inférieur au ""Nombre de demandes"" indiqué dans le tableau 3.5.5.")</f>
        <v/>
      </c>
    </row>
    <row r="121" ht="15.75" customHeight="1" thickBot="1">
      <c r="L121" s="451" t="n"/>
      <c r="M121" s="197">
        <f>IF(G116&lt;=G141,"","Le nombre total de demandes de documents ""Audio"" indiqué dans le tableau 3.4 doit être égal ou inférieur au ""Nombre de demandes"" indiqué dans le tableau 3.5.3.")</f>
        <v/>
      </c>
    </row>
    <row r="122" ht="28.5" customHeight="1" thickBot="1" thickTop="1">
      <c r="A122" s="731" t="inlineStr">
        <is>
          <t>Nombre de pages traitées</t>
        </is>
      </c>
      <c r="B122" s="1412" t="n"/>
      <c r="C122" s="1423" t="n"/>
      <c r="D122" s="732" t="inlineStr">
        <is>
          <t>Nombre de pages communiquées</t>
        </is>
      </c>
      <c r="E122" s="1412" t="n"/>
      <c r="F122" s="1423" t="n"/>
      <c r="G122" s="973" t="inlineStr">
        <is>
          <t>Nombre de demandes</t>
        </is>
      </c>
      <c r="H122" s="1412" t="n"/>
      <c r="I122" s="1423" t="n"/>
      <c r="J122" s="985" t="inlineStr">
        <is>
          <t>Section 3.5.1 - Le "Nombre de pages communiquées" doit être égal ou inférieur au "Nombre de pages traitées".</t>
        </is>
      </c>
    </row>
    <row r="123" ht="15.75" customHeight="1" thickBot="1" thickTop="1">
      <c r="A123" s="412" t="n">
        <v>0</v>
      </c>
      <c r="B123" s="1430" t="n"/>
      <c r="C123" s="1432" t="n"/>
      <c r="D123" s="413" t="n">
        <v>0</v>
      </c>
      <c r="E123" s="1430" t="n"/>
      <c r="F123" s="1432" t="n"/>
      <c r="G123" s="413" t="n">
        <v>0</v>
      </c>
      <c r="H123" s="1430" t="n"/>
      <c r="I123" s="1432" t="n"/>
      <c r="J123" s="986" t="inlineStr">
        <is>
          <t>Section 3.5.1 - Le "Nombre de demandes" doit être égal ou inférieur à la somme des demandes en dispositions "Communication totale", "Communication partielle", "Exception totale", "Exclusion totale", "Demande abandonnée" et "Ni confirmée ni infirmée" de la Section 3.1</t>
        </is>
      </c>
    </row>
    <row r="124" ht="24" customHeight="1" thickTop="1">
      <c r="A124" s="47" t="n"/>
      <c r="B124" s="47" t="n"/>
      <c r="C124" s="47" t="n"/>
      <c r="D124" s="47" t="n"/>
      <c r="E124" s="48" t="n"/>
      <c r="F124" s="48" t="n"/>
      <c r="G124" s="451" t="n"/>
      <c r="H124" s="451" t="n"/>
      <c r="I124" s="48" t="n"/>
    </row>
    <row r="125">
      <c r="A125" s="438" t="inlineStr">
        <is>
          <t>3.5.2 Pages pertinentes traitées en fonction de l’ampleur des demandes en formats papier, document électronique et ensemble de données par disposition des demandes</t>
        </is>
      </c>
      <c r="M125" s="197">
        <f>IFERROR(IF(D136/C136&gt;99,"Section 3.5.2 - Le nombre total de pages ""Pages traitées"" divisé par le ""Nombre de demandes"" dans ""Moins de 100 pages traitées"" doit être égal ou inférieur à 99.",""),"")</f>
        <v/>
      </c>
    </row>
    <row r="126">
      <c r="M126" s="197">
        <f>IFERROR(IF(AND(F136/E136&gt;=100,F136/E136&lt;=500),"","Section 3.5.2 - Le nombre total de pages ""Pages traitées"" divisé par le ""Nombre de demandes"" dans ""De 100 à 500 pages traitées"" doit être compris entre 100 et 500."),"")</f>
        <v/>
      </c>
    </row>
    <row r="127" ht="15.75" customHeight="1" thickBot="1">
      <c r="M127" s="197">
        <f>IFERROR(IF(AND(H136/G136&gt;500,H136/G136&lt;=1000),"","Section 3.5.2 - Le nombre total de pages ""Pages traitées"" divisé par le ""Nombre de demandes"" dans ""De 501 à 1 000 pages traitées"" doit être compris entre 501 et 1 000."),"")</f>
        <v/>
      </c>
    </row>
    <row r="128" ht="30.75" customHeight="1" thickTop="1">
      <c r="A128" s="1433" t="inlineStr">
        <is>
          <t>Disposition</t>
        </is>
      </c>
      <c r="B128" s="1413" t="n"/>
      <c r="C128" s="1416" t="inlineStr">
        <is>
          <t>Moins de 100 pages traitées</t>
        </is>
      </c>
      <c r="D128" s="1378" t="n"/>
      <c r="E128" s="442" t="inlineStr">
        <is>
          <t>100 à 500 pages traitées</t>
        </is>
      </c>
      <c r="F128" s="1406" t="n"/>
      <c r="G128" s="568" t="inlineStr">
        <is>
          <t>501 à 1 000 pages traitées</t>
        </is>
      </c>
      <c r="H128" s="1406" t="n"/>
      <c r="I128" s="442" t="inlineStr">
        <is>
          <t>1 001 à 5 000 pages traitées</t>
        </is>
      </c>
      <c r="J128" s="1406" t="n"/>
      <c r="K128" s="568" t="inlineStr">
        <is>
          <t>Plus de 5 000 pages traitées</t>
        </is>
      </c>
      <c r="L128" s="1406" t="n"/>
      <c r="M128" s="197">
        <f>IFERROR(IF(AND(J136/I136&gt;1000,J136/I136&lt;=5000),"","Section 3.5.2 - Le nombre total de pages ""Pages traitées"" divisé par le ""Nombre de demandes"" dans ""De 1 001 à 5 000 pages traitées"" doit être compris entre 1 0001 et 5 000."),"")</f>
        <v/>
      </c>
    </row>
    <row r="129" ht="29.25" customHeight="1" thickBot="1">
      <c r="A129" s="1397" t="n"/>
      <c r="B129" s="1391" t="n"/>
      <c r="C129" s="169" t="inlineStr">
        <is>
          <t>Nombre de demandes</t>
        </is>
      </c>
      <c r="D129" s="350" t="inlineStr">
        <is>
          <t>Pages traitées</t>
        </is>
      </c>
      <c r="E129" s="169" t="inlineStr">
        <is>
          <t>Nombre de demandes</t>
        </is>
      </c>
      <c r="F129" s="148" t="inlineStr">
        <is>
          <t>Pages traitées</t>
        </is>
      </c>
      <c r="G129" s="169" t="inlineStr">
        <is>
          <t>Nombre de demandes</t>
        </is>
      </c>
      <c r="H129" s="350" t="inlineStr">
        <is>
          <t>Pages traitées</t>
        </is>
      </c>
      <c r="I129" s="169" t="inlineStr">
        <is>
          <t>Nombre de demandes</t>
        </is>
      </c>
      <c r="J129" s="350" t="inlineStr">
        <is>
          <t>Pages traitées</t>
        </is>
      </c>
      <c r="K129" s="169" t="inlineStr">
        <is>
          <t>Nombre de demandes</t>
        </is>
      </c>
      <c r="L129" s="350" t="inlineStr">
        <is>
          <t>Pages traitées</t>
        </is>
      </c>
      <c r="M129" s="197">
        <f>IFERROR(IF(L136/K136&lt;=5000,"Section 3.5.2 - Le nombre total de pages ""Pages traitées"" divisé par le ""Nombre de demandes"" dans ""Plus de 5 000 pages traitées"" doit être supérieur à 5 000.",""),"")</f>
        <v/>
      </c>
    </row>
    <row r="130" ht="15.75" customHeight="1" thickTop="1">
      <c r="A130" s="1434" t="inlineStr">
        <is>
          <t>Communication totale</t>
        </is>
      </c>
      <c r="B130" s="1378" t="n"/>
      <c r="C130" s="815" t="n">
        <v>0</v>
      </c>
      <c r="D130" s="421" t="n">
        <v>0</v>
      </c>
      <c r="E130" s="1154" t="n">
        <v>0</v>
      </c>
      <c r="F130" s="597" t="n">
        <v>0</v>
      </c>
      <c r="G130" s="815" t="n">
        <v>0</v>
      </c>
      <c r="H130" s="421" t="n">
        <v>0</v>
      </c>
      <c r="I130" s="1154" t="n">
        <v>0</v>
      </c>
      <c r="J130" s="597" t="n">
        <v>0</v>
      </c>
      <c r="K130" s="815" t="n">
        <v>0</v>
      </c>
      <c r="L130" s="421" t="n">
        <v>0</v>
      </c>
      <c r="M130" s="986" t="inlineStr">
        <is>
          <t>Section 3.5.2 - La somme des Colonnes "Nombre de demandes" en "Communication totale" doit être égale ou inférieure au "Total" en "Communication totale" de la Section 3.1</t>
        </is>
      </c>
      <c r="AA130" s="126">
        <f>SUM(C130,E130,G130,I130,K130)</f>
        <v/>
      </c>
      <c r="AB130" s="119" t="n"/>
      <c r="AC130" s="119" t="n"/>
      <c r="AD130" s="119" t="n"/>
    </row>
    <row r="131" ht="27.75" customHeight="1">
      <c r="A131" s="1435" t="inlineStr">
        <is>
          <t>Communication partielle</t>
        </is>
      </c>
      <c r="B131" s="1383" t="n"/>
      <c r="C131" s="681" t="n">
        <v>0</v>
      </c>
      <c r="D131" s="345" t="n">
        <v>0</v>
      </c>
      <c r="E131" s="357" t="n">
        <v>0</v>
      </c>
      <c r="F131" s="358" t="n">
        <v>0</v>
      </c>
      <c r="G131" s="681" t="n">
        <v>0</v>
      </c>
      <c r="H131" s="345" t="n">
        <v>0</v>
      </c>
      <c r="I131" s="357" t="n">
        <v>0</v>
      </c>
      <c r="J131" s="358" t="n">
        <v>0</v>
      </c>
      <c r="K131" s="681" t="n">
        <v>0</v>
      </c>
      <c r="L131" s="345" t="n">
        <v>0</v>
      </c>
      <c r="M131" s="986" t="inlineStr">
        <is>
          <t>Section 3.5.2 - La somme des Colonnes "Nombre de demandes" en "Communication partielle" doit être égale ou inférieure au "Total" en "Communication partielle" de la Section 3.1</t>
        </is>
      </c>
      <c r="AA131" s="126">
        <f>SUM(C131,E131,G131,I131,K131)</f>
        <v/>
      </c>
      <c r="AB131" s="119" t="n"/>
      <c r="AC131" s="119" t="n"/>
      <c r="AD131" s="119" t="n"/>
    </row>
    <row r="132">
      <c r="A132" s="1435" t="inlineStr">
        <is>
          <t>Exception totale</t>
        </is>
      </c>
      <c r="B132" s="1383" t="n"/>
      <c r="C132" s="681" t="n">
        <v>0</v>
      </c>
      <c r="D132" s="345" t="n">
        <v>0</v>
      </c>
      <c r="E132" s="357" t="n">
        <v>0</v>
      </c>
      <c r="F132" s="358" t="n">
        <v>0</v>
      </c>
      <c r="G132" s="681" t="n">
        <v>0</v>
      </c>
      <c r="H132" s="345" t="n">
        <v>0</v>
      </c>
      <c r="I132" s="357" t="n">
        <v>0</v>
      </c>
      <c r="J132" s="358" t="n">
        <v>0</v>
      </c>
      <c r="K132" s="681" t="n">
        <v>0</v>
      </c>
      <c r="L132" s="345" t="n">
        <v>0</v>
      </c>
      <c r="M132" s="986" t="inlineStr">
        <is>
          <t>Section 3.5.2 - La somme des Colonnes "Nombre de demandes" en "Exception totale" doit être égale ou inférieure au "Total" en "Exception totale" de la Section 3.1</t>
        </is>
      </c>
      <c r="AA132" s="126">
        <f>SUM(C132,E132,G132,I132,K132)</f>
        <v/>
      </c>
      <c r="AB132" s="119" t="n"/>
      <c r="AC132" s="119" t="n"/>
      <c r="AD132" s="119" t="n"/>
    </row>
    <row r="133">
      <c r="A133" s="1435" t="inlineStr">
        <is>
          <t>Exclusion totale</t>
        </is>
      </c>
      <c r="B133" s="1383" t="n"/>
      <c r="C133" s="681" t="n">
        <v>0</v>
      </c>
      <c r="D133" s="345" t="n">
        <v>0</v>
      </c>
      <c r="E133" s="357" t="n">
        <v>0</v>
      </c>
      <c r="F133" s="358" t="n">
        <v>0</v>
      </c>
      <c r="G133" s="681" t="n">
        <v>0</v>
      </c>
      <c r="H133" s="345" t="n">
        <v>0</v>
      </c>
      <c r="I133" s="357" t="n">
        <v>0</v>
      </c>
      <c r="J133" s="358" t="n">
        <v>0</v>
      </c>
      <c r="K133" s="681" t="n">
        <v>0</v>
      </c>
      <c r="L133" s="345" t="n">
        <v>0</v>
      </c>
      <c r="M133" s="986" t="inlineStr">
        <is>
          <t>Section 3.5.2 - La somme des Colonnes "Nombre de demandes" en "Exclusion totale" doit être égale ou inférieure au "Total" en "Exclusion totale" de la Section 3.1</t>
        </is>
      </c>
      <c r="AA133" s="126">
        <f>SUM(C133,E133,G133,I133,K133)</f>
        <v/>
      </c>
      <c r="AB133" s="119" t="n"/>
      <c r="AC133" s="119" t="n"/>
      <c r="AD133" s="119" t="n"/>
    </row>
    <row r="134">
      <c r="A134" s="1435" t="inlineStr">
        <is>
          <t>Demande abandonnée</t>
        </is>
      </c>
      <c r="B134" s="1383" t="n"/>
      <c r="C134" s="681" t="n">
        <v>0</v>
      </c>
      <c r="D134" s="358" t="n">
        <v>0</v>
      </c>
      <c r="E134" s="681" t="n">
        <v>0</v>
      </c>
      <c r="F134" s="358" t="n">
        <v>0</v>
      </c>
      <c r="G134" s="681" t="n">
        <v>0</v>
      </c>
      <c r="H134" s="358" t="n">
        <v>0</v>
      </c>
      <c r="I134" s="681" t="n">
        <v>0</v>
      </c>
      <c r="J134" s="358" t="n">
        <v>0</v>
      </c>
      <c r="K134" s="681" t="n">
        <v>0</v>
      </c>
      <c r="L134" s="345" t="n">
        <v>0</v>
      </c>
      <c r="M134" s="986" t="inlineStr">
        <is>
          <t>Section 3.5.2 - La somme des Colonnes "Nombre de demandes" en "Demande abandonnée" doit être égale ou inférieure au "Total" en "Demande abandonnée" de la Section 3.1</t>
        </is>
      </c>
      <c r="AA134" s="126">
        <f>SUM(C134,E134,G134,I134,K134)</f>
        <v/>
      </c>
      <c r="AB134" s="119" t="n"/>
      <c r="AC134" s="119" t="n"/>
      <c r="AD134" s="119" t="n"/>
    </row>
    <row r="135" ht="27.75" customHeight="1" thickBot="1">
      <c r="A135" s="1436" t="inlineStr">
        <is>
          <t>Ni confirmée ni infirmée</t>
        </is>
      </c>
      <c r="B135" s="1386" t="n"/>
      <c r="C135" s="680" t="n">
        <v>0</v>
      </c>
      <c r="D135" s="180" t="n">
        <v>0</v>
      </c>
      <c r="E135" s="161" t="n">
        <v>0</v>
      </c>
      <c r="F135" s="180" t="n">
        <v>0</v>
      </c>
      <c r="G135" s="161" t="n">
        <v>0</v>
      </c>
      <c r="H135" s="180" t="n">
        <v>0</v>
      </c>
      <c r="I135" s="161" t="n">
        <v>0</v>
      </c>
      <c r="J135" s="180" t="n">
        <v>0</v>
      </c>
      <c r="K135" s="161" t="n">
        <v>0</v>
      </c>
      <c r="L135" s="286" t="n">
        <v>0</v>
      </c>
      <c r="M135" s="986" t="inlineStr">
        <is>
          <t>Section 3.5.2 - La somme des Colonnes "Nombre de demandes" en "Ni confirmée ni infirmée" doit être égale ou inférieure au "Total" en "Ni confirmée ni infirmée" de la Section 3.1</t>
        </is>
      </c>
      <c r="AA135" s="126">
        <f>SUM(C135,E135,G135,I135,K135)</f>
        <v/>
      </c>
      <c r="AB135" s="119" t="n"/>
      <c r="AC135" s="119" t="n"/>
      <c r="AD135" s="119" t="n"/>
    </row>
    <row r="136" ht="16.5" customHeight="1" thickBot="1" thickTop="1">
      <c r="A136" s="1437" t="inlineStr">
        <is>
          <t>Total</t>
        </is>
      </c>
      <c r="B136" s="1375" t="n"/>
      <c r="C136" s="543">
        <f>SUM(C130:C135)</f>
        <v/>
      </c>
      <c r="D136" s="360">
        <f>SUM(D130:D135)</f>
        <v/>
      </c>
      <c r="E136" s="543">
        <f>SUM(E130:E135)</f>
        <v/>
      </c>
      <c r="F136" s="360">
        <f>SUM(F130:F135)</f>
        <v/>
      </c>
      <c r="G136" s="543">
        <f>SUM(G130:G135)</f>
        <v/>
      </c>
      <c r="H136" s="360">
        <f>SUM(H130:H135)</f>
        <v/>
      </c>
      <c r="I136" s="543">
        <f>SUM(I130:I135)</f>
        <v/>
      </c>
      <c r="J136" s="360">
        <f>SUM(J130:J135)</f>
        <v/>
      </c>
      <c r="K136" s="543">
        <f>SUM(K130:K135)</f>
        <v/>
      </c>
      <c r="L136" s="360">
        <f>SUM(L130:L135)</f>
        <v/>
      </c>
      <c r="M136" s="986" t="inlineStr">
        <is>
          <t>Section 3.5.2 - La somme des totaux des Colonnes "Nombre de demandes" doit être égale au "Nombre de demandes" de la Section 3.5.1</t>
        </is>
      </c>
      <c r="AA136" s="126">
        <f>SUM(C136,E136,G136,I136,K136)</f>
        <v/>
      </c>
      <c r="AB136" s="119" t="n"/>
      <c r="AC136" s="119" t="n"/>
      <c r="AD136" s="119" t="n"/>
    </row>
    <row r="137" ht="15.75" customHeight="1" thickTop="1">
      <c r="A137" s="66" t="n"/>
      <c r="B137" s="66" t="n"/>
      <c r="C137" s="1305" t="n"/>
      <c r="D137" s="1305" t="n"/>
      <c r="E137" s="1305" t="n"/>
      <c r="F137" s="1305" t="n"/>
      <c r="H137" s="1305" t="n"/>
      <c r="I137" s="1305" t="n"/>
      <c r="J137" s="1305" t="n"/>
      <c r="K137" s="1305" t="n"/>
      <c r="L137" s="1305" t="n"/>
      <c r="M137" s="1368" t="inlineStr">
        <is>
          <t>Section 3.5.2 - La somme des totaux des Colonnes "Pages traitées" doit être égale au "Nombre de page traitées" de la Section 3.5.1</t>
        </is>
      </c>
    </row>
    <row r="138">
      <c r="A138" s="439" t="inlineStr">
        <is>
          <t>3.5.3 Minutes pertinentes traitées et communiquées en format audio</t>
        </is>
      </c>
    </row>
    <row r="139" ht="15.75" customHeight="1" thickBot="1"/>
    <row r="140" ht="27.75" customHeight="1" thickBot="1" thickTop="1">
      <c r="A140" s="1438" t="inlineStr">
        <is>
          <t>Nombre de minutes traitées</t>
        </is>
      </c>
      <c r="B140" s="1374" t="n"/>
      <c r="C140" s="1405" t="n"/>
      <c r="D140" s="1439" t="inlineStr">
        <is>
          <t>Nombre de minutes communiquées</t>
        </is>
      </c>
      <c r="E140" s="1374" t="n"/>
      <c r="F140" s="1405" t="n"/>
      <c r="G140" s="1440" t="inlineStr">
        <is>
          <t>Nombre de demandes</t>
        </is>
      </c>
      <c r="H140" s="1374" t="n"/>
      <c r="I140" s="1375" t="n"/>
      <c r="J140" s="1034" t="inlineStr">
        <is>
          <t>Section 3.5.3 - Le "Nombre de pages communiquées" doit être égal ou inférieur au "Nombre de pages traitées".</t>
        </is>
      </c>
      <c r="U140" s="119" t="n"/>
      <c r="V140" s="118" t="n"/>
    </row>
    <row r="141" ht="15.75" customHeight="1" thickBot="1" thickTop="1">
      <c r="A141" s="282" t="n">
        <v>0</v>
      </c>
      <c r="B141" s="1430" t="n"/>
      <c r="C141" s="1432" t="n"/>
      <c r="D141" s="283" t="n">
        <v>0</v>
      </c>
      <c r="E141" s="1430" t="n"/>
      <c r="F141" s="1432" t="n"/>
      <c r="G141" s="1441" t="n">
        <v>0</v>
      </c>
      <c r="H141" s="1430" t="n"/>
      <c r="I141" s="1431" t="n"/>
      <c r="J141" s="986" t="inlineStr">
        <is>
          <t>Section 3.5.3 - Le "Nombre de demandes" doit être égal ou inférieur à la somme des demandes en dispositions "Communication totale", "Communication partielle", "Exception totale", "Exclusion totale", "Demande abandonnée" et "Ni confirmée ni infirmée" de la Section 3.1</t>
        </is>
      </c>
      <c r="T141" s="120" t="n"/>
      <c r="U141" s="120" t="n"/>
      <c r="V141" s="120" t="n"/>
    </row>
    <row r="142" ht="21" customHeight="1" thickTop="1">
      <c r="A142" s="1532" t="n"/>
      <c r="B142" s="1532" t="n"/>
      <c r="C142" s="1532" t="n"/>
      <c r="D142" s="1532" t="n"/>
      <c r="E142" s="1533" t="n"/>
      <c r="F142" s="1533" t="n"/>
      <c r="G142" s="35" t="n"/>
      <c r="H142" s="35" t="n"/>
      <c r="I142" s="35" t="n"/>
      <c r="T142" s="120" t="n"/>
      <c r="U142" s="120" t="n"/>
      <c r="V142" s="120" t="n"/>
    </row>
    <row r="143">
      <c r="A143" s="1031" t="inlineStr">
        <is>
          <t xml:space="preserve">3.5.4 Minutes pertinentes traitées en fonction de l'ampleur des demandes en format audio par dispositions des demandes </t>
        </is>
      </c>
      <c r="S143" s="197">
        <f>IFERROR(IF(G153/D153&gt;59,"Section 3.5.4 - Le nombre total de minutes indiqué dans ""Minutes traitées"" divisé par le ""Nombre de demandes"" dans ""Moins de 60 minutes traitées"" doit être égal ou inférieur à 59.",""),"")</f>
        <v/>
      </c>
    </row>
    <row r="144" ht="15.75" customHeight="1" thickBot="1">
      <c r="A144" s="30" t="n"/>
      <c r="B144" s="54" t="n"/>
      <c r="C144" s="54" t="n"/>
      <c r="D144" s="54" t="n"/>
      <c r="E144" s="54" t="n"/>
      <c r="F144" s="54" t="n"/>
      <c r="G144" s="54" t="n"/>
      <c r="H144" s="54" t="n"/>
      <c r="I144" s="54" t="n"/>
      <c r="J144" s="54" t="n"/>
      <c r="K144" s="54" t="n"/>
      <c r="L144" s="54" t="n"/>
      <c r="S144" s="197">
        <f>IFERROR(IF(AND(L153/I153&gt;=60,L153/I153&lt;=120),"","Section 3.5.4 - Le nombre total de minutes indiqué dans ""Minutes traitées"" divisé par le ""Nombre de demandes"" dans ""60-120 minutes traitées"" doit être compris entre 60 et 120."),"")</f>
        <v/>
      </c>
    </row>
    <row r="145" ht="15" customFormat="1" customHeight="1" s="55" thickTop="1">
      <c r="A145" s="1347" t="inlineStr">
        <is>
          <t>Disposition</t>
        </is>
      </c>
      <c r="B145" s="1412" t="n"/>
      <c r="C145" s="1423" t="n"/>
      <c r="D145" s="1204" t="inlineStr">
        <is>
          <t xml:space="preserve">Moins de 60 minutes traitées </t>
        </is>
      </c>
      <c r="E145" s="1377" t="n"/>
      <c r="F145" s="1377" t="n"/>
      <c r="G145" s="1377" t="n"/>
      <c r="H145" s="1406" t="n"/>
      <c r="I145" s="1338" t="inlineStr">
        <is>
          <t xml:space="preserve">60-120 minutes traitées </t>
        </is>
      </c>
      <c r="J145" s="1377" t="n"/>
      <c r="K145" s="1377" t="n"/>
      <c r="L145" s="1377" t="n"/>
      <c r="M145" s="1406" t="n"/>
      <c r="N145" s="1196" t="inlineStr">
        <is>
          <t xml:space="preserve">Plus de 120 minutes traitées </t>
        </is>
      </c>
      <c r="O145" s="1377" t="n"/>
      <c r="P145" s="1377" t="n"/>
      <c r="Q145" s="1377" t="n"/>
      <c r="R145" s="1406" t="n"/>
      <c r="S145" s="194">
        <f>IFERROR(IF(Q153/N153&lt;=120,"Section 3.5.4 - Le nombre total de minutes indiqué dans ""Minutes traitées"" divisé par le ""Nombre de demandes"" dans ""Plus de 120 minutes traitées"" doit être supérieur à 120.",""),"")</f>
        <v/>
      </c>
    </row>
    <row r="146" ht="15.75" customFormat="1" customHeight="1" s="55" thickBot="1">
      <c r="A146" s="1425" t="n"/>
      <c r="B146" s="1372" t="n"/>
      <c r="C146" s="1398" t="n"/>
      <c r="D146" s="1198" t="inlineStr">
        <is>
          <t>Nombre de demandes</t>
        </is>
      </c>
      <c r="E146" s="1388" t="n"/>
      <c r="F146" s="1396" t="n"/>
      <c r="G146" s="1199" t="inlineStr">
        <is>
          <t>Minutes  traitées</t>
        </is>
      </c>
      <c r="H146" s="1396" t="n"/>
      <c r="I146" s="1201" t="inlineStr">
        <is>
          <t>Nombre de demandes</t>
        </is>
      </c>
      <c r="J146" s="1388" t="n"/>
      <c r="K146" s="1396" t="n"/>
      <c r="L146" s="1199" t="inlineStr">
        <is>
          <t>Minutes traitées</t>
        </is>
      </c>
      <c r="M146" s="1396" t="n"/>
      <c r="N146" s="1198" t="inlineStr">
        <is>
          <t>Nombre de demandes</t>
        </is>
      </c>
      <c r="O146" s="1388" t="n"/>
      <c r="P146" s="1396" t="n"/>
      <c r="Q146" s="1202" t="inlineStr">
        <is>
          <t>Minutes  traitées</t>
        </is>
      </c>
      <c r="R146" s="1396" t="n"/>
      <c r="S146" s="32" t="n"/>
    </row>
    <row r="147" ht="13.5" customFormat="1" customHeight="1" s="55" thickTop="1">
      <c r="A147" s="1189" t="inlineStr">
        <is>
          <t>Communication totale</t>
        </is>
      </c>
      <c r="B147" s="1372" t="n"/>
      <c r="C147" s="1398" t="n"/>
      <c r="D147" s="1195" t="n">
        <v>0</v>
      </c>
      <c r="E147" s="1370" t="n"/>
      <c r="F147" s="1407" t="n"/>
      <c r="G147" s="1020" t="n">
        <v>0</v>
      </c>
      <c r="H147" s="1407" t="n"/>
      <c r="I147" s="1195" t="n">
        <v>0</v>
      </c>
      <c r="J147" s="1370" t="n"/>
      <c r="K147" s="1407" t="n"/>
      <c r="L147" s="1020" t="n">
        <v>0</v>
      </c>
      <c r="M147" s="1407" t="n"/>
      <c r="N147" s="1192" t="n">
        <v>0</v>
      </c>
      <c r="O147" s="1370" t="n"/>
      <c r="P147" s="1407" t="n"/>
      <c r="Q147" s="1020" t="n">
        <v>0</v>
      </c>
      <c r="R147" s="1407" t="n"/>
      <c r="S147" s="986" t="inlineStr">
        <is>
          <t>Section 3.5.4 - La somme des Colonnes "Nombre de demandes" en "Communication totale" doit être égale ou inférieure au "Total" en "Communication totale" de la Section 3.1</t>
        </is>
      </c>
      <c r="AC147" s="127">
        <f>SUM(D147,I147,N147)</f>
        <v/>
      </c>
      <c r="AD147" s="120" t="n"/>
      <c r="AE147" s="120" t="n"/>
      <c r="AF147" s="120" t="n"/>
      <c r="AG147" s="120" t="n"/>
      <c r="AH147" s="120" t="n"/>
      <c r="AI147" s="120" t="n"/>
      <c r="AJ147" s="120" t="n"/>
    </row>
    <row r="148" ht="12.75" customFormat="1" customHeight="1" s="55">
      <c r="A148" s="1167" t="inlineStr">
        <is>
          <t>Communication partielle</t>
        </is>
      </c>
      <c r="B148" s="1381" t="n"/>
      <c r="C148" s="1384" t="n"/>
      <c r="D148" s="991" t="n">
        <v>0</v>
      </c>
      <c r="E148" s="1400" t="n"/>
      <c r="F148" s="1401" t="n"/>
      <c r="G148" s="992" t="n">
        <v>0</v>
      </c>
      <c r="H148" s="1401" t="n"/>
      <c r="I148" s="991" t="n">
        <v>0</v>
      </c>
      <c r="J148" s="1400" t="n"/>
      <c r="K148" s="1401" t="n"/>
      <c r="L148" s="992" t="n">
        <v>0</v>
      </c>
      <c r="M148" s="1401" t="n"/>
      <c r="N148" s="1170" t="n">
        <v>0</v>
      </c>
      <c r="O148" s="1400" t="n"/>
      <c r="P148" s="1401" t="n"/>
      <c r="Q148" s="992" t="n">
        <v>0</v>
      </c>
      <c r="R148" s="1401" t="n"/>
      <c r="S148" s="986" t="inlineStr">
        <is>
          <t>Section 3.5.4 - La somme des Colonnes "Nombre de demandes" en "Communication partielle" doit être égale ou inférieure au "Total" en "Communication partielle" de la Section 3.1</t>
        </is>
      </c>
      <c r="AC148" s="127">
        <f>SUM(D148,I148,N148)</f>
        <v/>
      </c>
      <c r="AD148" s="120" t="n"/>
      <c r="AE148" s="120" t="n"/>
      <c r="AF148" s="120" t="n"/>
      <c r="AG148" s="120" t="n"/>
      <c r="AH148" s="120" t="n"/>
      <c r="AI148" s="120" t="n"/>
      <c r="AJ148" s="120" t="n"/>
    </row>
    <row r="149" ht="12.75" customFormat="1" customHeight="1" s="55">
      <c r="A149" s="988" t="inlineStr">
        <is>
          <t>Exception totale</t>
        </is>
      </c>
      <c r="B149" s="1381" t="n"/>
      <c r="C149" s="1384" t="n"/>
      <c r="D149" s="991" t="n">
        <v>0</v>
      </c>
      <c r="E149" s="1400" t="n"/>
      <c r="F149" s="1401" t="n"/>
      <c r="G149" s="992" t="n">
        <v>0</v>
      </c>
      <c r="H149" s="1401" t="n"/>
      <c r="I149" s="991" t="n">
        <v>0</v>
      </c>
      <c r="J149" s="1400" t="n"/>
      <c r="K149" s="1401" t="n"/>
      <c r="L149" s="992" t="n">
        <v>0</v>
      </c>
      <c r="M149" s="1401" t="n"/>
      <c r="N149" s="1170" t="n">
        <v>0</v>
      </c>
      <c r="O149" s="1400" t="n"/>
      <c r="P149" s="1401" t="n"/>
      <c r="Q149" s="992" t="n">
        <v>0</v>
      </c>
      <c r="R149" s="1401" t="n"/>
      <c r="S149" s="986" t="inlineStr">
        <is>
          <t>Section 3.5.4 - La somme des Colonnes "Nombre de demandes" en "Exception totale" doit être égale ou inférieure au "Total" en "Exception totale" de la Section 3.1</t>
        </is>
      </c>
      <c r="AC149" s="127">
        <f>SUM(D149,I149,N149)</f>
        <v/>
      </c>
      <c r="AD149" s="120" t="n"/>
      <c r="AE149" s="120" t="n"/>
      <c r="AF149" s="120" t="n"/>
      <c r="AG149" s="120" t="n"/>
      <c r="AH149" s="120" t="n"/>
      <c r="AI149" s="120" t="n"/>
      <c r="AJ149" s="120" t="n"/>
    </row>
    <row r="150" ht="12.75" customFormat="1" customHeight="1" s="55">
      <c r="A150" s="988" t="inlineStr">
        <is>
          <t>Exclusion totale</t>
        </is>
      </c>
      <c r="B150" s="1381" t="n"/>
      <c r="C150" s="1384" t="n"/>
      <c r="D150" s="991" t="n">
        <v>0</v>
      </c>
      <c r="E150" s="1400" t="n"/>
      <c r="F150" s="1401" t="n"/>
      <c r="G150" s="992" t="n">
        <v>0</v>
      </c>
      <c r="H150" s="1401" t="n"/>
      <c r="I150" s="991" t="n">
        <v>0</v>
      </c>
      <c r="J150" s="1400" t="n"/>
      <c r="K150" s="1401" t="n"/>
      <c r="L150" s="992" t="n">
        <v>0</v>
      </c>
      <c r="M150" s="1401" t="n"/>
      <c r="N150" s="1170" t="n">
        <v>0</v>
      </c>
      <c r="O150" s="1400" t="n"/>
      <c r="P150" s="1401" t="n"/>
      <c r="Q150" s="992" t="n">
        <v>0</v>
      </c>
      <c r="R150" s="1401" t="n"/>
      <c r="S150" s="986" t="inlineStr">
        <is>
          <t>Section 3.5.4 - La somme des Colonnes "Nombre de demandes" en "Exclusion totale" doit être égale ou inférieure au "Total" en "Exclusion totale" de la Section 3.1</t>
        </is>
      </c>
      <c r="AC150" s="127">
        <f>SUM(D150,I150,N150)</f>
        <v/>
      </c>
      <c r="AD150" s="120" t="n"/>
      <c r="AE150" s="120" t="n"/>
      <c r="AF150" s="120" t="n"/>
      <c r="AG150" s="120" t="n"/>
      <c r="AH150" s="120" t="n"/>
      <c r="AI150" s="120" t="n"/>
      <c r="AJ150" s="120" t="n"/>
    </row>
    <row r="151" ht="12.75" customFormat="1" customHeight="1" s="55">
      <c r="A151" s="1167" t="inlineStr">
        <is>
          <t>Demande abandonnée</t>
        </is>
      </c>
      <c r="B151" s="1381" t="n"/>
      <c r="C151" s="1384" t="n"/>
      <c r="D151" s="991" t="n">
        <v>0</v>
      </c>
      <c r="E151" s="1400" t="n"/>
      <c r="F151" s="1401" t="n"/>
      <c r="G151" s="992" t="n">
        <v>0</v>
      </c>
      <c r="H151" s="1401" t="n"/>
      <c r="I151" s="991" t="n">
        <v>0</v>
      </c>
      <c r="J151" s="1400" t="n"/>
      <c r="K151" s="1401" t="n"/>
      <c r="L151" s="992" t="n">
        <v>0</v>
      </c>
      <c r="M151" s="1401" t="n"/>
      <c r="N151" s="1170" t="n">
        <v>0</v>
      </c>
      <c r="O151" s="1400" t="n"/>
      <c r="P151" s="1401" t="n"/>
      <c r="Q151" s="992" t="n">
        <v>0</v>
      </c>
      <c r="R151" s="1401" t="n"/>
      <c r="S151" s="986" t="inlineStr">
        <is>
          <t>Section 3.5.4 - La somme des Colonnes "Nombre de demandes" en "Demande abandonnée" doit être égale ou inférieure au "Total" en "Demande abandonnée" de la Section 3.1</t>
        </is>
      </c>
      <c r="AC151" s="127">
        <f>SUM(D151,I151,N151)</f>
        <v/>
      </c>
      <c r="AD151" s="120" t="n"/>
      <c r="AE151" s="120" t="n"/>
      <c r="AF151" s="120" t="n"/>
      <c r="AG151" s="120" t="n"/>
      <c r="AH151" s="120" t="n"/>
      <c r="AI151" s="120" t="n"/>
      <c r="AJ151" s="120" t="n"/>
    </row>
    <row r="152" ht="13.5" customFormat="1" customHeight="1" s="55" thickBot="1">
      <c r="A152" s="1013" t="inlineStr">
        <is>
          <t>Ni confirmée ni infirmée</t>
        </is>
      </c>
      <c r="B152" s="1388" t="n"/>
      <c r="C152" s="1396" t="n"/>
      <c r="D152" s="1367" t="n">
        <v>0</v>
      </c>
      <c r="E152" s="1408" t="n"/>
      <c r="F152" s="1409" t="n"/>
      <c r="G152" s="1182" t="n">
        <v>0</v>
      </c>
      <c r="H152" s="1396" t="n"/>
      <c r="I152" s="1181" t="n">
        <v>0</v>
      </c>
      <c r="J152" s="1388" t="n"/>
      <c r="K152" s="1396" t="n"/>
      <c r="L152" s="1182" t="n">
        <v>0</v>
      </c>
      <c r="M152" s="1396" t="n"/>
      <c r="N152" s="1186" t="n">
        <v>0</v>
      </c>
      <c r="O152" s="1388" t="n"/>
      <c r="P152" s="1396" t="n"/>
      <c r="Q152" s="1182" t="n">
        <v>0</v>
      </c>
      <c r="R152" s="1396" t="n"/>
      <c r="S152" s="986" t="inlineStr">
        <is>
          <t>Section 3.5.4 - La somme des Colonnes "Nombre de demandes" en "Ni confirmée ni infirmée" doit être égale ou inférieure au "Total" en "Ni confirmée ni infirmée" de la Section 3.1</t>
        </is>
      </c>
      <c r="AC152" s="127">
        <f>SUM(D152,I152,N152)</f>
        <v/>
      </c>
      <c r="AD152" s="120" t="n"/>
      <c r="AE152" s="120" t="n"/>
      <c r="AF152" s="120" t="n"/>
      <c r="AG152" s="120" t="n"/>
      <c r="AH152" s="120" t="n"/>
      <c r="AI152" s="120" t="n"/>
      <c r="AJ152" s="120" t="n"/>
    </row>
    <row r="153" ht="14.25" customFormat="1" customHeight="1" s="55" thickBot="1" thickTop="1">
      <c r="A153" s="1174" t="inlineStr">
        <is>
          <t>Total</t>
        </is>
      </c>
      <c r="B153" s="1390" t="n"/>
      <c r="C153" s="1443" t="n"/>
      <c r="D153" s="1341">
        <f>SUM(D147:F152)</f>
        <v/>
      </c>
      <c r="E153" s="1390" t="n"/>
      <c r="F153" s="1443" t="n"/>
      <c r="G153" s="1187">
        <f>SUM(G147:H152)</f>
        <v/>
      </c>
      <c r="H153" s="1443" t="n"/>
      <c r="I153" s="1341">
        <f>SUM(I147:K152)</f>
        <v/>
      </c>
      <c r="J153" s="1390" t="n"/>
      <c r="K153" s="1443" t="n"/>
      <c r="L153" s="1187">
        <f>SUM(L147:M152)</f>
        <v/>
      </c>
      <c r="M153" s="1443" t="n"/>
      <c r="N153" s="1361">
        <f>SUM(N147:P152)</f>
        <v/>
      </c>
      <c r="O153" s="1390" t="n"/>
      <c r="P153" s="1443" t="n"/>
      <c r="Q153" s="1187">
        <f>SUM(Q147:R152)</f>
        <v/>
      </c>
      <c r="R153" s="1443" t="n"/>
      <c r="S153" s="986" t="inlineStr">
        <is>
          <t>Section 3.5.4 - La somme des totaux des Colonnes "Nombre de demandes" doit être égale au "Nombre de demandes" de la Section 3.5.3</t>
        </is>
      </c>
      <c r="AC153" s="127">
        <f>SUM(D153,I153,N153)</f>
        <v/>
      </c>
      <c r="AD153" s="120" t="n"/>
      <c r="AE153" s="120" t="n"/>
      <c r="AF153" s="120" t="n"/>
      <c r="AG153" s="120" t="n"/>
      <c r="AH153" s="120" t="n"/>
      <c r="AI153" s="120" t="n"/>
      <c r="AJ153" s="120" t="n"/>
    </row>
    <row r="154" ht="24.75" customHeight="1" thickTop="1">
      <c r="A154" s="30" t="n"/>
      <c r="B154" s="54" t="n"/>
      <c r="C154" s="54" t="n"/>
      <c r="D154" s="54" t="n"/>
      <c r="E154" s="54" t="n"/>
      <c r="F154" s="54" t="n"/>
      <c r="G154" s="54" t="n"/>
      <c r="H154" s="54" t="n"/>
      <c r="I154" s="54" t="n"/>
      <c r="J154" s="54" t="n"/>
      <c r="K154" s="54" t="n"/>
      <c r="L154" s="54" t="n"/>
      <c r="S154" s="986" t="inlineStr">
        <is>
          <t>Section 3.5.4 - La somme des totaux des Colonnes "Minutes traitées" doit être égale au "Nombre de minutes traitées" de la Section 3.5.3</t>
        </is>
      </c>
      <c r="AC154" s="181" t="n"/>
      <c r="AD154" s="120" t="n"/>
      <c r="AE154" s="120" t="n"/>
      <c r="AF154" s="120" t="n"/>
      <c r="AG154" s="120" t="n"/>
      <c r="AH154" s="120" t="n"/>
      <c r="AI154" s="120" t="n"/>
      <c r="AJ154" s="120" t="n"/>
    </row>
    <row r="155">
      <c r="A155" s="439" t="inlineStr">
        <is>
          <t>3.5.5 Minutes pertinentes traitées et communiquées en format vidéo</t>
        </is>
      </c>
      <c r="J155" s="451" t="n"/>
      <c r="K155" s="451" t="n"/>
      <c r="L155" s="451" t="n"/>
    </row>
    <row r="156" ht="15.75" customHeight="1" thickBot="1"/>
    <row r="157" ht="30" customHeight="1" thickBot="1" thickTop="1">
      <c r="A157" s="1438" t="inlineStr">
        <is>
          <t>Nombre de minutes traitées</t>
        </is>
      </c>
      <c r="B157" s="1374" t="n"/>
      <c r="C157" s="1405" t="n"/>
      <c r="D157" s="343" t="inlineStr">
        <is>
          <t>Nombre de minutes communiquées</t>
        </is>
      </c>
      <c r="E157" s="1374" t="n"/>
      <c r="F157" s="1405" t="n"/>
      <c r="G157" s="1440" t="inlineStr">
        <is>
          <t>Nombre de demandes</t>
        </is>
      </c>
      <c r="H157" s="1374" t="n"/>
      <c r="I157" s="1375" t="n"/>
      <c r="J157" s="985" t="inlineStr">
        <is>
          <t>Section 3.5.5 - Le "Nombre de pages communiquées" doit être égal ou inférieur au "Nombre de pages traitées".</t>
        </is>
      </c>
      <c r="U157" s="119" t="n"/>
      <c r="V157" s="119" t="n"/>
      <c r="W157" s="119" t="n"/>
      <c r="X157" s="119" t="n"/>
      <c r="Y157" s="119" t="n"/>
      <c r="Z157" s="119" t="n"/>
      <c r="AA157" s="118" t="n"/>
      <c r="AB157" s="118" t="n"/>
      <c r="AC157" s="118" t="n"/>
      <c r="AD157" s="118" t="n"/>
      <c r="AE157" s="118" t="n"/>
      <c r="AF157" s="118" t="n"/>
      <c r="AG157" s="118" t="n"/>
      <c r="AH157" s="118" t="n"/>
      <c r="AI157" s="118" t="n"/>
      <c r="AJ157" s="118" t="n"/>
    </row>
    <row r="158" ht="16.5" customHeight="1" thickBot="1" thickTop="1">
      <c r="A158" s="1534" t="n">
        <v>0</v>
      </c>
      <c r="B158" s="1430" t="n"/>
      <c r="C158" s="1432" t="n"/>
      <c r="D158" s="1535" t="n">
        <v>0</v>
      </c>
      <c r="E158" s="1430" t="n"/>
      <c r="F158" s="1432" t="n"/>
      <c r="G158" s="1441" t="n">
        <v>0</v>
      </c>
      <c r="H158" s="1430" t="n"/>
      <c r="I158" s="1431" t="n"/>
      <c r="J158" s="986" t="inlineStr">
        <is>
          <t>Section 3.5.5 - Le "Nombre de demandes" doit être égal ou inférieur à la somme des demandes en dispositions "Communication totale", "Communication partielle", "Exception totale", "Exclusion totale", "Demande abandonnée" et "Ni confirmée ni infirmée" de la Section 3.1</t>
        </is>
      </c>
    </row>
    <row r="159" ht="38.25" customHeight="1" thickTop="1">
      <c r="A159" s="1532" t="n"/>
      <c r="B159" s="1532" t="n"/>
      <c r="C159" s="1532" t="n"/>
      <c r="D159" s="1532" t="n"/>
      <c r="E159" s="1533" t="n"/>
      <c r="F159" s="1533" t="n"/>
      <c r="G159" s="35" t="n"/>
      <c r="H159" s="35" t="n"/>
      <c r="I159" s="35" t="n"/>
      <c r="J159" s="1210" t="inlineStr">
        <is>
          <t>La somme des Colonnes "Nombre de demandes" des Sections 3.5.5, 3.5.3 et 3.5.1 doit être égale ou supérieure à la somme des demandes en dispositions "Communication totale", "Communication partielle", "Exception totale", "Exclusion totale", "Demande abandonnée" et "Ni confirmée ni infirmée" de la Section 3.1</t>
        </is>
      </c>
      <c r="T159" s="122" t="n"/>
      <c r="U159" s="122" t="n"/>
      <c r="V159" s="122" t="n"/>
      <c r="W159" s="122" t="n"/>
      <c r="X159" s="122" t="n"/>
      <c r="Y159" s="122" t="n"/>
      <c r="Z159" s="122" t="n"/>
      <c r="AA159" s="122" t="n"/>
      <c r="AB159" s="122" t="n"/>
      <c r="AC159" s="122" t="n"/>
      <c r="AD159" s="122" t="n"/>
      <c r="AE159" s="122" t="n"/>
      <c r="AF159" s="122" t="n"/>
      <c r="AG159" s="122" t="n"/>
      <c r="AH159" s="122" t="n"/>
      <c r="AI159" s="122" t="n"/>
      <c r="AJ159" s="122" t="n"/>
    </row>
    <row r="160" ht="15" customHeight="1">
      <c r="A160" s="1031" t="inlineStr">
        <is>
          <t xml:space="preserve">3.5.6 Minutes pertinentes traitées en fonction de l'ampleur des demandes en format vidéo par dispositions des demandes </t>
        </is>
      </c>
      <c r="S160" s="197">
        <f>IFERROR(IF(G170/D170&gt;59,"Section 3.5.6 - Le nombre total de minutes indiqué dans ""Minutes traitées"" divisé par le ""Nombre de demandes"" dans ""Moins de 60 minutes traitées"" doit être égal ou inférieur à 59.",""),"")</f>
        <v/>
      </c>
    </row>
    <row r="161" ht="15.75" customFormat="1" customHeight="1" s="55" thickBot="1">
      <c r="A161" s="359" t="n"/>
      <c r="B161" s="359" t="n"/>
      <c r="C161" s="359" t="n"/>
      <c r="D161" s="359" t="n"/>
      <c r="E161" s="359" t="n"/>
      <c r="F161" s="359" t="n"/>
      <c r="G161" s="359" t="n"/>
      <c r="H161" s="359" t="n"/>
      <c r="I161" s="359" t="n"/>
      <c r="J161" s="359" t="n"/>
      <c r="K161" s="359" t="n"/>
      <c r="L161" s="359" t="n"/>
      <c r="M161" s="1305" t="n"/>
      <c r="O161" s="32" t="n"/>
      <c r="P161" s="32" t="n"/>
      <c r="Q161" s="32" t="n"/>
      <c r="R161" s="32" t="n"/>
      <c r="S161" s="194">
        <f>IFERROR(IF(AND(L170/I170&gt;=60,L170/I170&lt;=120),"","Section 3.5.6 - Le nombre total de minutes indiqué dans ""Minutes traitées"" divisé par le ""Nombre de demandes"" dans ""60-120 minutes traitées"" doit être compris entre 60 et 120."),"")</f>
        <v/>
      </c>
      <c r="T161" s="32" t="n"/>
    </row>
    <row r="162" customFormat="1" s="55" thickTop="1">
      <c r="A162" s="1347" t="inlineStr">
        <is>
          <t>Disposition</t>
        </is>
      </c>
      <c r="B162" s="1412" t="n"/>
      <c r="C162" s="1423" t="n"/>
      <c r="D162" s="1204" t="inlineStr">
        <is>
          <t xml:space="preserve">Moins de 60 minutes traitées </t>
        </is>
      </c>
      <c r="E162" s="1377" t="n"/>
      <c r="F162" s="1377" t="n"/>
      <c r="G162" s="1377" t="n"/>
      <c r="H162" s="1406" t="n"/>
      <c r="I162" s="1338" t="inlineStr">
        <is>
          <t xml:space="preserve">60-120 minutes traitées </t>
        </is>
      </c>
      <c r="J162" s="1377" t="n"/>
      <c r="K162" s="1377" t="n"/>
      <c r="L162" s="1377" t="n"/>
      <c r="M162" s="1406" t="n"/>
      <c r="N162" s="1196" t="inlineStr">
        <is>
          <t xml:space="preserve">Plus de 120 minutes traitées </t>
        </is>
      </c>
      <c r="O162" s="1377" t="n"/>
      <c r="P162" s="1377" t="n"/>
      <c r="Q162" s="1377" t="n"/>
      <c r="R162" s="1406" t="n"/>
      <c r="S162" s="194">
        <f>IFERROR(IF(Q170/N170&lt;=120,"Section 3.5.6 - Le nombre total de minutes indiqué dans ""Minutes traitées"" divisé par le ""Nombre de demandes"" dans ""Plus de 120 minutes traitées"" doit être supérieur à 120.",""),"")</f>
        <v/>
      </c>
      <c r="T162" s="32" t="n"/>
    </row>
    <row r="163" customFormat="1" s="55" thickBot="1">
      <c r="A163" s="1425" t="n"/>
      <c r="B163" s="1372" t="n"/>
      <c r="C163" s="1398" t="n"/>
      <c r="D163" s="1198" t="inlineStr">
        <is>
          <t>Nombre de demandes</t>
        </is>
      </c>
      <c r="E163" s="1388" t="n"/>
      <c r="F163" s="1396" t="n"/>
      <c r="G163" s="1199" t="inlineStr">
        <is>
          <t>Minutes  traitées</t>
        </is>
      </c>
      <c r="H163" s="1396" t="n"/>
      <c r="I163" s="1201" t="inlineStr">
        <is>
          <t>Nombre de demandes</t>
        </is>
      </c>
      <c r="J163" s="1388" t="n"/>
      <c r="K163" s="1396" t="n"/>
      <c r="L163" s="1199" t="inlineStr">
        <is>
          <t>Minutes traitées</t>
        </is>
      </c>
      <c r="M163" s="1396" t="n"/>
      <c r="N163" s="1201" t="inlineStr">
        <is>
          <t>Nombre de demandes</t>
        </is>
      </c>
      <c r="O163" s="1388" t="n"/>
      <c r="P163" s="1396" t="n"/>
      <c r="Q163" s="1202" t="inlineStr">
        <is>
          <t>Minutes  traitées</t>
        </is>
      </c>
      <c r="R163" s="1396" t="n"/>
      <c r="S163" s="32" t="n"/>
      <c r="T163" s="32" t="n"/>
    </row>
    <row r="164" ht="13.5" customFormat="1" customHeight="1" s="55" thickTop="1">
      <c r="A164" s="1189" t="inlineStr">
        <is>
          <t>Communication totale</t>
        </is>
      </c>
      <c r="B164" s="1372" t="n"/>
      <c r="C164" s="1398" t="n"/>
      <c r="D164" s="1192" t="n">
        <v>0</v>
      </c>
      <c r="E164" s="1370" t="n"/>
      <c r="F164" s="1407" t="n"/>
      <c r="G164" s="1193" t="n">
        <v>0</v>
      </c>
      <c r="H164" s="1407" t="n"/>
      <c r="I164" s="1195" t="n">
        <v>0</v>
      </c>
      <c r="J164" s="1370" t="n"/>
      <c r="K164" s="1407" t="n"/>
      <c r="L164" s="1193" t="n">
        <v>0</v>
      </c>
      <c r="M164" s="1407" t="n"/>
      <c r="N164" s="1195" t="n">
        <v>0</v>
      </c>
      <c r="O164" s="1370" t="n"/>
      <c r="P164" s="1407" t="n"/>
      <c r="Q164" s="1193" t="n">
        <v>0</v>
      </c>
      <c r="R164" s="1407" t="n"/>
      <c r="S164" s="986" t="inlineStr">
        <is>
          <t>Section 3.5.6 - La somme des Colonnes "Nombre de demandes" en "Communication totale" doit être égale ou inférieure au "Total" en "Communication totale" de la Section 3.1</t>
        </is>
      </c>
      <c r="AD164" s="126">
        <f>SUM(D164,I164,N164)</f>
        <v/>
      </c>
      <c r="AE164" s="119" t="n"/>
      <c r="AF164" s="119" t="n"/>
      <c r="AG164" s="119" t="n"/>
      <c r="AH164" s="119" t="n"/>
      <c r="AI164" s="119" t="n"/>
      <c r="AJ164" s="119" t="n"/>
    </row>
    <row r="165" ht="12.75" customFormat="1" customHeight="1" s="55">
      <c r="A165" s="1167" t="inlineStr">
        <is>
          <t>Communication partielle</t>
        </is>
      </c>
      <c r="B165" s="1381" t="n"/>
      <c r="C165" s="1384" t="n"/>
      <c r="D165" s="1170" t="n">
        <v>0</v>
      </c>
      <c r="E165" s="1400" t="n"/>
      <c r="F165" s="1401" t="n"/>
      <c r="G165" s="1171" t="n">
        <v>0</v>
      </c>
      <c r="H165" s="1401" t="n"/>
      <c r="I165" s="991" t="n">
        <v>0</v>
      </c>
      <c r="J165" s="1400" t="n"/>
      <c r="K165" s="1401" t="n"/>
      <c r="L165" s="1171" t="n">
        <v>0</v>
      </c>
      <c r="M165" s="1401" t="n"/>
      <c r="N165" s="1170" t="n">
        <v>0</v>
      </c>
      <c r="O165" s="1400" t="n"/>
      <c r="P165" s="1401" t="n"/>
      <c r="Q165" s="1171" t="n">
        <v>0</v>
      </c>
      <c r="R165" s="1401" t="n"/>
      <c r="S165" s="986" t="inlineStr">
        <is>
          <t>Section 3.5.6 - La somme des Colonnes "Nombre de demandes" en "Communication partielle" doit être égale ou inférieure au "Total" en "Communication partielle" de la Section 3.1</t>
        </is>
      </c>
      <c r="AD165" s="126">
        <f>SUM(D165,I165,N165)</f>
        <v/>
      </c>
      <c r="AE165" s="119" t="n"/>
      <c r="AF165" s="119" t="n"/>
      <c r="AG165" s="119" t="n"/>
      <c r="AH165" s="119" t="n"/>
      <c r="AI165" s="119" t="n"/>
      <c r="AJ165" s="119" t="n"/>
    </row>
    <row r="166" ht="12.75" customFormat="1" customHeight="1" s="55">
      <c r="A166" s="988" t="inlineStr">
        <is>
          <t>Exception totale</t>
        </is>
      </c>
      <c r="B166" s="1381" t="n"/>
      <c r="C166" s="1384" t="n"/>
      <c r="D166" s="1170" t="n">
        <v>0</v>
      </c>
      <c r="E166" s="1400" t="n"/>
      <c r="F166" s="1401" t="n"/>
      <c r="G166" s="1171" t="n">
        <v>0</v>
      </c>
      <c r="H166" s="1401" t="n"/>
      <c r="I166" s="991" t="n">
        <v>0</v>
      </c>
      <c r="J166" s="1400" t="n"/>
      <c r="K166" s="1401" t="n"/>
      <c r="L166" s="1171" t="n">
        <v>0</v>
      </c>
      <c r="M166" s="1401" t="n"/>
      <c r="N166" s="991" t="n">
        <v>0</v>
      </c>
      <c r="O166" s="1400" t="n"/>
      <c r="P166" s="1401" t="n"/>
      <c r="Q166" s="1171" t="n">
        <v>0</v>
      </c>
      <c r="R166" s="1401" t="n"/>
      <c r="S166" s="986" t="inlineStr">
        <is>
          <t>Section 3.5.6 - La somme des Colonnes "Nombre de demandes" en "Exception totale" doit être égale ou inférieure au "Total" en "Exception totale" de la Section 3.1</t>
        </is>
      </c>
      <c r="AD166" s="126">
        <f>SUM(D166,I166,N166)</f>
        <v/>
      </c>
      <c r="AE166" s="119" t="n"/>
      <c r="AF166" s="119" t="n"/>
      <c r="AG166" s="119" t="n"/>
      <c r="AH166" s="119" t="n"/>
      <c r="AI166" s="119" t="n"/>
      <c r="AJ166" s="119" t="n"/>
    </row>
    <row r="167" ht="12.75" customFormat="1" customHeight="1" s="55">
      <c r="A167" s="988" t="inlineStr">
        <is>
          <t>Exclusion totale</t>
        </is>
      </c>
      <c r="B167" s="1381" t="n"/>
      <c r="C167" s="1384" t="n"/>
      <c r="D167" s="991" t="n">
        <v>0</v>
      </c>
      <c r="E167" s="1400" t="n"/>
      <c r="F167" s="1401" t="n"/>
      <c r="G167" s="1171" t="n">
        <v>0</v>
      </c>
      <c r="H167" s="1401" t="n"/>
      <c r="I167" s="1170" t="n">
        <v>0</v>
      </c>
      <c r="J167" s="1400" t="n"/>
      <c r="K167" s="1401" t="n"/>
      <c r="L167" s="1171" t="n">
        <v>0</v>
      </c>
      <c r="M167" s="1401" t="n"/>
      <c r="N167" s="991" t="n">
        <v>0</v>
      </c>
      <c r="O167" s="1400" t="n"/>
      <c r="P167" s="1401" t="n"/>
      <c r="Q167" s="1171" t="n">
        <v>0</v>
      </c>
      <c r="R167" s="1401" t="n"/>
      <c r="S167" s="986" t="inlineStr">
        <is>
          <t>Section 3.5.6 - La somme des Colonnes "Nombre de demandes" en "Exclusion totale" doit être égale ou inférieure au "Total" en "Exclusion totale" de la Section 3.1</t>
        </is>
      </c>
      <c r="AC167" s="119" t="n"/>
      <c r="AD167" s="126">
        <f>SUM(D167,I167,N167)</f>
        <v/>
      </c>
      <c r="AE167" s="119" t="n"/>
      <c r="AF167" s="119" t="n"/>
      <c r="AG167" s="119" t="n"/>
      <c r="AH167" s="119" t="n"/>
      <c r="AI167" s="119" t="n"/>
      <c r="AJ167" s="119" t="n"/>
    </row>
    <row r="168" ht="12.75" customFormat="1" customHeight="1" s="55">
      <c r="A168" s="1167" t="inlineStr">
        <is>
          <t>Demande abandonnée</t>
        </is>
      </c>
      <c r="B168" s="1381" t="n"/>
      <c r="C168" s="1384" t="n"/>
      <c r="D168" s="1170" t="n">
        <v>0</v>
      </c>
      <c r="E168" s="1400" t="n"/>
      <c r="F168" s="1401" t="n"/>
      <c r="G168" s="1171" t="n">
        <v>0</v>
      </c>
      <c r="H168" s="1401" t="n"/>
      <c r="I168" s="1170" t="n">
        <v>0</v>
      </c>
      <c r="J168" s="1400" t="n"/>
      <c r="K168" s="1401" t="n"/>
      <c r="L168" s="1171" t="n">
        <v>0</v>
      </c>
      <c r="M168" s="1401" t="n"/>
      <c r="N168" s="991" t="n">
        <v>0</v>
      </c>
      <c r="O168" s="1400" t="n"/>
      <c r="P168" s="1401" t="n"/>
      <c r="Q168" s="1171" t="n">
        <v>0</v>
      </c>
      <c r="R168" s="1401" t="n"/>
      <c r="S168" s="986" t="inlineStr">
        <is>
          <t>Section 3.5.6 - La somme des Colonnes "Nombre de demandes" en "Demande abandonnée" doit être égale ou inférieure au "Total" en "Demande abandonnée" de la Section 3.1</t>
        </is>
      </c>
      <c r="AD168" s="126">
        <f>SUM(D168,I168,N168)</f>
        <v/>
      </c>
      <c r="AE168" s="119" t="n"/>
      <c r="AF168" s="119" t="n"/>
      <c r="AG168" s="119" t="n"/>
      <c r="AH168" s="119" t="n"/>
      <c r="AI168" s="119" t="n"/>
      <c r="AJ168" s="119" t="n"/>
    </row>
    <row r="169" ht="13.5" customFormat="1" customHeight="1" s="55" thickBot="1">
      <c r="A169" s="1013" t="inlineStr">
        <is>
          <t>Ni confirmée ni infirmée</t>
        </is>
      </c>
      <c r="B169" s="1388" t="n"/>
      <c r="C169" s="1396" t="n"/>
      <c r="D169" s="1177" t="n">
        <v>0</v>
      </c>
      <c r="E169" s="1408" t="n"/>
      <c r="F169" s="1409" t="n"/>
      <c r="G169" s="1179" t="n">
        <v>0</v>
      </c>
      <c r="H169" s="1396" t="n"/>
      <c r="I169" s="1181" t="n">
        <v>0</v>
      </c>
      <c r="J169" s="1388" t="n"/>
      <c r="K169" s="1396" t="n"/>
      <c r="L169" s="1179" t="n">
        <v>0</v>
      </c>
      <c r="M169" s="1396" t="n"/>
      <c r="N169" s="1181" t="n">
        <v>0</v>
      </c>
      <c r="O169" s="1388" t="n"/>
      <c r="P169" s="1396" t="n"/>
      <c r="Q169" s="1179" t="n">
        <v>0</v>
      </c>
      <c r="R169" s="1396" t="n"/>
      <c r="S169" s="986" t="inlineStr">
        <is>
          <t>Section 3.5.6 - La somme des Colonnes "Nombre de demandes" en "Ni confirmée ni infirmée" doit être égale ou inférieure au "Total" en "Ni confirmée ni infirmée" de la Section 3.1</t>
        </is>
      </c>
      <c r="AD169" s="126">
        <f>SUM(D169,I169,N169)</f>
        <v/>
      </c>
      <c r="AE169" s="119" t="n"/>
      <c r="AF169" s="119" t="n"/>
      <c r="AG169" s="119" t="n"/>
      <c r="AH169" s="119" t="n"/>
      <c r="AI169" s="119" t="n"/>
      <c r="AJ169" s="119" t="n"/>
    </row>
    <row r="170" ht="14.25" customFormat="1" customHeight="1" s="55" thickBot="1" thickTop="1">
      <c r="A170" s="1174" t="inlineStr">
        <is>
          <t>Total</t>
        </is>
      </c>
      <c r="B170" s="1390" t="n"/>
      <c r="C170" s="1443" t="n"/>
      <c r="D170" s="1016">
        <f>SUM(D164:F169)</f>
        <v/>
      </c>
      <c r="E170" s="1374" t="n"/>
      <c r="F170" s="1405" t="n"/>
      <c r="G170" s="1018">
        <f>SUM(G164:H169)</f>
        <v/>
      </c>
      <c r="H170" s="1443" t="n"/>
      <c r="I170" s="1016">
        <f>SUM(I164:K169)</f>
        <v/>
      </c>
      <c r="J170" s="1374" t="n"/>
      <c r="K170" s="1405" t="n"/>
      <c r="L170" s="1018">
        <f>SUM(L164:M169)</f>
        <v/>
      </c>
      <c r="M170" s="1443" t="n"/>
      <c r="N170" s="1016">
        <f>SUM(N164:P169)</f>
        <v/>
      </c>
      <c r="O170" s="1374" t="n"/>
      <c r="P170" s="1405" t="n"/>
      <c r="Q170" s="1018">
        <f>SUM(Q164:R169)</f>
        <v/>
      </c>
      <c r="R170" s="1443" t="n"/>
      <c r="S170" s="986" t="inlineStr">
        <is>
          <t>Section 3.5.6 - La somme des totaux des Colonnes "Nombre de demandes" doit être égale au "Nombre de demandes" de la Section 3.5.5</t>
        </is>
      </c>
      <c r="AD170" s="126">
        <f>SUM(D170,I170,N170)</f>
        <v/>
      </c>
      <c r="AE170" s="119" t="n"/>
      <c r="AF170" s="119" t="n"/>
      <c r="AG170" s="119" t="n"/>
      <c r="AH170" s="119" t="n"/>
      <c r="AI170" s="119" t="n"/>
      <c r="AJ170" s="119" t="n"/>
    </row>
    <row r="171" ht="24" customHeight="1" thickTop="1">
      <c r="A171" s="57" t="n"/>
      <c r="B171" s="57" t="n"/>
      <c r="C171" s="57" t="n"/>
      <c r="D171" s="57" t="n"/>
      <c r="E171" s="57" t="n"/>
      <c r="F171" s="57" t="n"/>
      <c r="G171" s="57" t="n"/>
      <c r="H171" s="57" t="n"/>
      <c r="I171" s="57" t="n"/>
      <c r="J171" s="57" t="n"/>
      <c r="K171" s="57" t="n"/>
      <c r="L171" s="57" t="n"/>
      <c r="S171" s="986" t="inlineStr">
        <is>
          <t>Section 3.5.6 - La somme des totaux des Colonnes "Minutes traitées" doit être égale au "Nombre de minutes traitées" de la Section 3.5.5</t>
        </is>
      </c>
      <c r="AD171" s="119" t="n"/>
      <c r="AE171" s="119" t="n"/>
      <c r="AF171" s="119" t="n"/>
      <c r="AG171" s="119" t="n"/>
      <c r="AH171" s="119" t="n"/>
      <c r="AI171" s="119" t="n"/>
      <c r="AJ171" s="119" t="n"/>
    </row>
    <row r="172">
      <c r="A172" s="1032" t="inlineStr">
        <is>
          <t>3.5.7 Autres complexités</t>
        </is>
      </c>
      <c r="T172" s="32" t="n"/>
    </row>
    <row r="173" ht="15.75" customHeight="1" thickBot="1">
      <c r="T173" s="32" t="n"/>
    </row>
    <row r="174" ht="31.5" customHeight="1" thickBot="1" thickTop="1">
      <c r="A174" s="1446" t="inlineStr">
        <is>
          <t>Disposition</t>
        </is>
      </c>
      <c r="B174" s="1375" t="n"/>
      <c r="C174" s="1278" t="inlineStr">
        <is>
          <t>Consultation requise</t>
        </is>
      </c>
      <c r="D174" s="1405" t="n"/>
      <c r="E174" s="1070" t="inlineStr">
        <is>
          <t>Avis juridique</t>
        </is>
      </c>
      <c r="F174" s="1405" t="n"/>
      <c r="G174" s="1070" t="inlineStr">
        <is>
          <t>Renseignements entremêlés</t>
        </is>
      </c>
      <c r="H174" s="1405" t="n"/>
      <c r="I174" s="1070" t="inlineStr">
        <is>
          <t>Autres</t>
        </is>
      </c>
      <c r="J174" s="1405" t="n"/>
      <c r="K174" s="429" t="inlineStr">
        <is>
          <t>Total</t>
        </is>
      </c>
      <c r="L174" s="1405" t="n"/>
      <c r="T174" s="32" t="n"/>
    </row>
    <row r="175" ht="15.75" customHeight="1" thickTop="1">
      <c r="A175" s="1447" t="inlineStr">
        <is>
          <t>Communication totale</t>
        </is>
      </c>
      <c r="B175" s="1378" t="n"/>
      <c r="C175" s="815" t="n">
        <v>0</v>
      </c>
      <c r="D175" s="1407" t="n"/>
      <c r="E175" s="420" t="n">
        <v>0</v>
      </c>
      <c r="F175" s="1407" t="n"/>
      <c r="G175" s="420" t="n">
        <v>0</v>
      </c>
      <c r="H175" s="1407" t="n"/>
      <c r="I175" s="420" t="n">
        <v>0</v>
      </c>
      <c r="J175" s="1407" t="n"/>
      <c r="K175" s="433">
        <f>SUM(C175:J175)</f>
        <v/>
      </c>
      <c r="L175" s="1398" t="n"/>
      <c r="M175" s="26" t="n"/>
      <c r="T175" s="32" t="n"/>
    </row>
    <row r="176" ht="28.5" customHeight="1">
      <c r="A176" s="1448" t="inlineStr">
        <is>
          <t>Communication partielle</t>
        </is>
      </c>
      <c r="B176" s="1383" t="n"/>
      <c r="C176" s="681" t="n">
        <v>0</v>
      </c>
      <c r="D176" s="1401" t="n"/>
      <c r="E176" s="344" t="n">
        <v>0</v>
      </c>
      <c r="F176" s="1401" t="n"/>
      <c r="G176" s="344" t="n">
        <v>0</v>
      </c>
      <c r="H176" s="1401" t="n"/>
      <c r="I176" s="344" t="n">
        <v>0</v>
      </c>
      <c r="J176" s="1401" t="n"/>
      <c r="K176" s="414">
        <f>SUM(C176:J176)</f>
        <v/>
      </c>
      <c r="L176" s="1384" t="n"/>
      <c r="M176" s="26" t="n"/>
      <c r="T176" s="32" t="n"/>
    </row>
    <row r="177" ht="15" customHeight="1">
      <c r="A177" s="1448" t="inlineStr">
        <is>
          <t>Exception totale</t>
        </is>
      </c>
      <c r="B177" s="1383" t="n"/>
      <c r="C177" s="681" t="n">
        <v>0</v>
      </c>
      <c r="D177" s="1401" t="n"/>
      <c r="E177" s="344" t="n">
        <v>0</v>
      </c>
      <c r="F177" s="1401" t="n"/>
      <c r="G177" s="344" t="n">
        <v>0</v>
      </c>
      <c r="H177" s="1401" t="n"/>
      <c r="I177" s="344" t="n">
        <v>0</v>
      </c>
      <c r="J177" s="1401" t="n"/>
      <c r="K177" s="414">
        <f>SUM(C177:J177)</f>
        <v/>
      </c>
      <c r="L177" s="1384" t="n"/>
      <c r="M177" s="26" t="n"/>
      <c r="T177" s="32" t="n"/>
    </row>
    <row r="178" ht="15" customHeight="1">
      <c r="A178" s="1448" t="inlineStr">
        <is>
          <t>Exclusion totale</t>
        </is>
      </c>
      <c r="B178" s="1383" t="n"/>
      <c r="C178" s="681" t="n">
        <v>0</v>
      </c>
      <c r="D178" s="1401" t="n"/>
      <c r="E178" s="344" t="n">
        <v>0</v>
      </c>
      <c r="F178" s="1401" t="n"/>
      <c r="G178" s="344" t="n">
        <v>0</v>
      </c>
      <c r="H178" s="1401" t="n"/>
      <c r="I178" s="345" t="n">
        <v>0</v>
      </c>
      <c r="J178" s="1421" t="n"/>
      <c r="K178" s="414">
        <f>SUM(C178:J178)</f>
        <v/>
      </c>
      <c r="L178" s="1384" t="n"/>
      <c r="M178" s="26" t="n"/>
      <c r="T178" s="32" t="n"/>
    </row>
    <row r="179">
      <c r="A179" s="1448" t="inlineStr">
        <is>
          <t>Demande abandonnée</t>
        </is>
      </c>
      <c r="B179" s="1383" t="n"/>
      <c r="C179" s="681" t="n">
        <v>0</v>
      </c>
      <c r="D179" s="1401" t="n"/>
      <c r="E179" s="344" t="n">
        <v>0</v>
      </c>
      <c r="F179" s="1401" t="n"/>
      <c r="G179" s="344" t="n">
        <v>0</v>
      </c>
      <c r="H179" s="1401" t="n"/>
      <c r="I179" s="344" t="n">
        <v>0</v>
      </c>
      <c r="J179" s="1401" t="n"/>
      <c r="K179" s="414">
        <f>SUM(C179:J179)</f>
        <v/>
      </c>
      <c r="L179" s="1384" t="n"/>
      <c r="M179" s="26" t="n"/>
      <c r="T179" s="32" t="n"/>
    </row>
    <row r="180" ht="26.65" customHeight="1" thickBot="1">
      <c r="A180" s="1536" t="inlineStr">
        <is>
          <t>Ni confirmée ni infirmée</t>
        </is>
      </c>
      <c r="B180" s="1389" t="n"/>
      <c r="C180" s="680" t="n">
        <v>0</v>
      </c>
      <c r="D180" s="1409" t="n"/>
      <c r="E180" s="533" t="n">
        <v>0</v>
      </c>
      <c r="F180" s="1409" t="n"/>
      <c r="G180" s="533" t="n">
        <v>0</v>
      </c>
      <c r="H180" s="1409" t="n"/>
      <c r="I180" s="533" t="n">
        <v>0</v>
      </c>
      <c r="J180" s="1409" t="n"/>
      <c r="K180" s="544">
        <f>SUM(C180:J180)</f>
        <v/>
      </c>
      <c r="L180" s="1396" t="n"/>
      <c r="M180" s="26" t="n"/>
      <c r="T180" s="32" t="n"/>
    </row>
    <row r="181" ht="16.5" customHeight="1" thickBot="1" thickTop="1">
      <c r="A181" s="598" t="inlineStr">
        <is>
          <t>Total</t>
        </is>
      </c>
      <c r="B181" s="1443" t="n"/>
      <c r="C181" s="543">
        <f>SUM(C175:D180)</f>
        <v/>
      </c>
      <c r="D181" s="1443" t="n"/>
      <c r="E181" s="336">
        <f>SUM(E175:F180)</f>
        <v/>
      </c>
      <c r="F181" s="1443" t="n"/>
      <c r="G181" s="336">
        <f>SUM(G175:H180)</f>
        <v/>
      </c>
      <c r="H181" s="1443" t="n"/>
      <c r="I181" s="336">
        <f>SUM(I175:J180)</f>
        <v/>
      </c>
      <c r="J181" s="1443" t="n"/>
      <c r="K181" s="543">
        <f>SUM(K175:L180)</f>
        <v/>
      </c>
      <c r="L181" s="1443" t="n"/>
      <c r="M181" s="26" t="n"/>
      <c r="T181" s="32" t="n"/>
    </row>
    <row r="182" ht="15.75" customHeight="1" thickTop="1">
      <c r="T182" s="32" t="n"/>
    </row>
    <row r="183">
      <c r="A183" s="323" t="inlineStr">
        <is>
          <t>3.6 Demandes fermées</t>
        </is>
      </c>
      <c r="T183" s="32" t="n"/>
    </row>
    <row r="184">
      <c r="T184" s="32" t="n"/>
    </row>
    <row r="185">
      <c r="A185" s="1033" t="inlineStr">
        <is>
          <t>3.6.1 Nombre de demandes fermées dans les délais prévus par la Loi</t>
        </is>
      </c>
      <c r="T185" s="32" t="n"/>
    </row>
    <row r="186" ht="15.75" customHeight="1" thickBot="1">
      <c r="A186" s="323" t="n"/>
      <c r="T186" s="32" t="n"/>
    </row>
    <row r="187" customFormat="1" s="32" thickTop="1">
      <c r="A187" s="993" t="inlineStr">
        <is>
          <t>Nombre de demandes fermées dans les délais prévus par la Loi</t>
        </is>
      </c>
      <c r="B187" s="1412" t="n"/>
      <c r="C187" s="1412" t="n"/>
      <c r="D187" s="1423" t="n"/>
      <c r="E187" s="999">
        <f>H20-A198</f>
        <v/>
      </c>
      <c r="F187" s="1423" t="n"/>
      <c r="G187" s="58" t="n"/>
      <c r="N187" s="55" t="n"/>
    </row>
    <row r="188" ht="15" customFormat="1" customHeight="1" s="32">
      <c r="A188" s="1425" t="n"/>
      <c r="B188" s="1372" t="n"/>
      <c r="C188" s="1372" t="n"/>
      <c r="D188" s="1398" t="n"/>
      <c r="E188" s="1425" t="n"/>
      <c r="F188" s="1398" t="n"/>
      <c r="G188" s="59" t="n"/>
      <c r="N188" s="60" t="n"/>
    </row>
    <row r="189" ht="18" customFormat="1" customHeight="1" s="32">
      <c r="A189" s="1003" t="inlineStr">
        <is>
          <t>Pourcentage des demandes fermées dans les délais prévus par la Loi (%)</t>
        </is>
      </c>
      <c r="B189" s="1385" t="n"/>
      <c r="C189" s="1385" t="n"/>
      <c r="D189" s="1402" t="n"/>
      <c r="E189" s="1009">
        <f>IF(H20=0,"0",(E187/H20)*100)</f>
        <v/>
      </c>
      <c r="F189" s="1402" t="n"/>
      <c r="G189" s="61" t="n"/>
      <c r="N189" s="60" t="n"/>
    </row>
    <row r="190" ht="12.75" customFormat="1" customHeight="1" s="32" thickBot="1">
      <c r="A190" s="1425" t="n"/>
      <c r="B190" s="1372" t="n"/>
      <c r="C190" s="1372" t="n"/>
      <c r="D190" s="1398" t="n"/>
      <c r="E190" s="1372" t="n"/>
      <c r="F190" s="1398" t="n"/>
      <c r="G190" s="61" t="n"/>
      <c r="N190" s="60" t="n"/>
    </row>
    <row r="191" ht="15.75" customHeight="1" thickTop="1">
      <c r="A191" s="323" t="n"/>
      <c r="T191" s="32" t="n"/>
    </row>
    <row r="192">
      <c r="A192" s="326" t="inlineStr">
        <is>
          <t>3.7 Présomptions de refus</t>
        </is>
      </c>
      <c r="T192" s="32" t="n"/>
    </row>
    <row r="193">
      <c r="A193" s="62" t="n"/>
      <c r="T193" s="32" t="n"/>
    </row>
    <row r="194">
      <c r="A194" s="439" t="inlineStr">
        <is>
          <t>3.7.1 Motifs du non-respect des délais prévus par la Loi</t>
        </is>
      </c>
      <c r="T194" s="32" t="n"/>
    </row>
    <row r="195" ht="15.75" customHeight="1" thickBot="1">
      <c r="T195" s="32" t="n"/>
    </row>
    <row r="196" ht="14.25" customHeight="1" thickTop="1">
      <c r="A196" s="1537" t="inlineStr">
        <is>
          <t>Nombre de demandes fermées au-delà des délais prévus par la Loi</t>
        </is>
      </c>
      <c r="B196" s="1412" t="n"/>
      <c r="C196" s="1412" t="n"/>
      <c r="D196" s="1413" t="n"/>
      <c r="E196" s="626" t="inlineStr">
        <is>
          <t>Motif principal</t>
        </is>
      </c>
      <c r="F196" s="1377" t="n"/>
      <c r="G196" s="1377" t="n"/>
      <c r="H196" s="1377" t="n"/>
      <c r="I196" s="1377" t="n"/>
      <c r="J196" s="1377" t="n"/>
      <c r="K196" s="1377" t="n"/>
      <c r="L196" s="1406" t="n"/>
      <c r="T196" s="32" t="n"/>
    </row>
    <row r="197" ht="42" customHeight="1" thickBot="1">
      <c r="A197" s="1397" t="n"/>
      <c r="B197" s="1390" t="n"/>
      <c r="C197" s="1390" t="n"/>
      <c r="D197" s="1391" t="n"/>
      <c r="E197" s="1247" t="inlineStr">
        <is>
          <t>Entrave au fonctionnement /Charge de travail</t>
        </is>
      </c>
      <c r="F197" s="1443" t="n"/>
      <c r="G197" s="1248" t="inlineStr">
        <is>
          <t xml:space="preserve">Consultation externe </t>
        </is>
      </c>
      <c r="H197" s="1443" t="n"/>
      <c r="I197" s="1248" t="inlineStr">
        <is>
          <t>Consultation interne</t>
        </is>
      </c>
      <c r="J197" s="1443" t="n"/>
      <c r="K197" s="1248" t="inlineStr">
        <is>
          <t>Autres</t>
        </is>
      </c>
      <c r="L197" s="1443" t="n"/>
      <c r="T197" s="32" t="n"/>
    </row>
    <row r="198" ht="16.5" customHeight="1" thickBot="1" thickTop="1">
      <c r="A198" s="1250">
        <f>SUM(E198:L198)</f>
        <v/>
      </c>
      <c r="B198" s="1390" t="n"/>
      <c r="C198" s="1390" t="n"/>
      <c r="D198" s="1443" t="n"/>
      <c r="E198" s="861" t="n">
        <v>0</v>
      </c>
      <c r="F198" s="1459" t="n"/>
      <c r="G198" s="327" t="n">
        <v>0</v>
      </c>
      <c r="H198" s="1459" t="n"/>
      <c r="I198" s="327" t="n">
        <v>0</v>
      </c>
      <c r="J198" s="1459" t="n"/>
      <c r="K198" s="327" t="n">
        <v>0</v>
      </c>
      <c r="L198" s="1459" t="n"/>
      <c r="T198" s="32" t="n"/>
    </row>
    <row r="199" ht="15.75" customHeight="1" thickTop="1">
      <c r="A199" s="451" t="n"/>
      <c r="B199" s="451" t="n"/>
      <c r="C199" s="451" t="n"/>
      <c r="D199" s="451" t="n"/>
      <c r="E199" s="451" t="n"/>
      <c r="F199" s="451" t="n"/>
      <c r="G199" s="451" t="n"/>
      <c r="H199" s="451" t="n"/>
      <c r="I199" s="451" t="n"/>
      <c r="J199" s="451" t="n"/>
      <c r="K199" s="451" t="n"/>
      <c r="L199" s="451" t="n"/>
      <c r="T199" s="32" t="n"/>
    </row>
    <row r="200">
      <c r="A200" s="439" t="inlineStr">
        <is>
          <t xml:space="preserve">3.7.2 Demandes fermées au-delà des délais prévus par la Loi (y compris toute prolongation prise) </t>
        </is>
      </c>
      <c r="M200" s="63" t="n"/>
      <c r="N200" s="63" t="n"/>
      <c r="T200" s="32" t="n"/>
    </row>
    <row r="201" ht="15.75" customHeight="1" thickBot="1">
      <c r="T201" s="32" t="n"/>
    </row>
    <row r="202" ht="58.5" customHeight="1" thickBot="1" thickTop="1">
      <c r="A202" s="1461" t="inlineStr">
        <is>
          <t xml:space="preserve">Nombre de jours au-delà des délais prévus par la Loi
</t>
        </is>
      </c>
      <c r="B202" s="1374" t="n"/>
      <c r="C202" s="1375" t="n"/>
      <c r="D202" s="329" t="inlineStr">
        <is>
          <t>Nombre de demandes
fermées au-delà des délais prévus par la Loi où aucune prolongation n’a été prise</t>
        </is>
      </c>
      <c r="E202" s="1374" t="n"/>
      <c r="F202" s="1405" t="n"/>
      <c r="G202" s="330" t="inlineStr">
        <is>
          <t>Nombre de demandes fermées
au-delà des délais prévus par la Loi où une prolongation a été prise</t>
        </is>
      </c>
      <c r="H202" s="1374" t="n"/>
      <c r="I202" s="1405" t="n"/>
      <c r="J202" s="389" t="inlineStr">
        <is>
          <t>Total</t>
        </is>
      </c>
      <c r="K202" s="1374" t="n"/>
      <c r="L202" s="1375" t="n"/>
      <c r="T202" s="32" t="n"/>
    </row>
    <row r="203" ht="15.75" customHeight="1" thickTop="1">
      <c r="A203" s="1463" t="inlineStr">
        <is>
          <t>1 à 15 jours</t>
        </is>
      </c>
      <c r="B203" s="1377" t="n"/>
      <c r="C203" s="1378" t="n"/>
      <c r="D203" s="815" t="n">
        <v>0</v>
      </c>
      <c r="E203" s="1370" t="n"/>
      <c r="F203" s="1407" t="n"/>
      <c r="G203" s="420" t="n">
        <v>0</v>
      </c>
      <c r="H203" s="1370" t="n"/>
      <c r="I203" s="1407" t="n"/>
      <c r="J203" s="433">
        <f>SUM(D203:I203)</f>
        <v/>
      </c>
      <c r="K203" s="1372" t="n"/>
      <c r="L203" s="1398" t="n"/>
      <c r="M203" s="26" t="n"/>
      <c r="T203" s="32" t="n"/>
    </row>
    <row r="204">
      <c r="A204" s="1464" t="inlineStr">
        <is>
          <t>16 à 30 jours</t>
        </is>
      </c>
      <c r="B204" s="1381" t="n"/>
      <c r="C204" s="1383" t="n"/>
      <c r="D204" s="681" t="n">
        <v>0</v>
      </c>
      <c r="E204" s="1400" t="n"/>
      <c r="F204" s="1401" t="n"/>
      <c r="G204" s="344" t="n">
        <v>0</v>
      </c>
      <c r="H204" s="1400" t="n"/>
      <c r="I204" s="1401" t="n"/>
      <c r="J204" s="414">
        <f>SUM(D204:I204)</f>
        <v/>
      </c>
      <c r="K204" s="1381" t="n"/>
      <c r="L204" s="1384" t="n"/>
      <c r="M204" s="26" t="n"/>
      <c r="T204" s="32" t="n"/>
    </row>
    <row r="205">
      <c r="A205" s="1464" t="inlineStr">
        <is>
          <t>31 à 60 jours</t>
        </is>
      </c>
      <c r="B205" s="1381" t="n"/>
      <c r="C205" s="1383" t="n"/>
      <c r="D205" s="681" t="n">
        <v>0</v>
      </c>
      <c r="E205" s="1400" t="n"/>
      <c r="F205" s="1401" t="n"/>
      <c r="G205" s="344" t="n">
        <v>0</v>
      </c>
      <c r="H205" s="1400" t="n"/>
      <c r="I205" s="1401" t="n"/>
      <c r="J205" s="414">
        <f>SUM(D205:I205)</f>
        <v/>
      </c>
      <c r="K205" s="1381" t="n"/>
      <c r="L205" s="1384" t="n"/>
      <c r="M205" s="26" t="n"/>
      <c r="T205" s="32" t="n"/>
    </row>
    <row r="206">
      <c r="A206" s="1464" t="inlineStr">
        <is>
          <t>61 à 120 jours</t>
        </is>
      </c>
      <c r="B206" s="1381" t="n"/>
      <c r="C206" s="1383" t="n"/>
      <c r="D206" s="681" t="n">
        <v>0</v>
      </c>
      <c r="E206" s="1400" t="n"/>
      <c r="F206" s="1401" t="n"/>
      <c r="G206" s="344" t="n">
        <v>0</v>
      </c>
      <c r="H206" s="1400" t="n"/>
      <c r="I206" s="1401" t="n"/>
      <c r="J206" s="414">
        <f>SUM(D206:I206)</f>
        <v/>
      </c>
      <c r="K206" s="1381" t="n"/>
      <c r="L206" s="1384" t="n"/>
      <c r="M206" s="26" t="n"/>
      <c r="T206" s="32" t="n"/>
    </row>
    <row r="207">
      <c r="A207" s="1464" t="inlineStr">
        <is>
          <t>121 à 180 jours</t>
        </is>
      </c>
      <c r="B207" s="1381" t="n"/>
      <c r="C207" s="1383" t="n"/>
      <c r="D207" s="681" t="n">
        <v>0</v>
      </c>
      <c r="E207" s="1400" t="n"/>
      <c r="F207" s="1401" t="n"/>
      <c r="G207" s="344" t="n">
        <v>0</v>
      </c>
      <c r="H207" s="1400" t="n"/>
      <c r="I207" s="1401" t="n"/>
      <c r="J207" s="414">
        <f>SUM(D207:I207)</f>
        <v/>
      </c>
      <c r="K207" s="1381" t="n"/>
      <c r="L207" s="1384" t="n"/>
      <c r="M207" s="26" t="n"/>
      <c r="T207" s="32" t="n"/>
    </row>
    <row r="208">
      <c r="A208" s="1464" t="inlineStr">
        <is>
          <t>181 à 365 jours</t>
        </is>
      </c>
      <c r="B208" s="1381" t="n"/>
      <c r="C208" s="1383" t="n"/>
      <c r="D208" s="681" t="n">
        <v>0</v>
      </c>
      <c r="E208" s="1400" t="n"/>
      <c r="F208" s="1401" t="n"/>
      <c r="G208" s="344" t="n">
        <v>0</v>
      </c>
      <c r="H208" s="1400" t="n"/>
      <c r="I208" s="1401" t="n"/>
      <c r="J208" s="414">
        <f>SUM(D208:I208)</f>
        <v/>
      </c>
      <c r="K208" s="1381" t="n"/>
      <c r="L208" s="1384" t="n"/>
      <c r="M208" s="26" t="n"/>
      <c r="T208" s="32" t="n"/>
    </row>
    <row r="209" ht="15.75" customHeight="1" thickBot="1">
      <c r="A209" s="1468" t="inlineStr">
        <is>
          <t>Plus de 365 jours</t>
        </is>
      </c>
      <c r="B209" s="1388" t="n"/>
      <c r="C209" s="1389" t="n"/>
      <c r="D209" s="680" t="n">
        <v>0</v>
      </c>
      <c r="E209" s="1408" t="n"/>
      <c r="F209" s="1409" t="n"/>
      <c r="G209" s="533" t="n">
        <v>0</v>
      </c>
      <c r="H209" s="1408" t="n"/>
      <c r="I209" s="1409" t="n"/>
      <c r="J209" s="544">
        <f>SUM(D209:I209)</f>
        <v/>
      </c>
      <c r="K209" s="1388" t="n"/>
      <c r="L209" s="1396" t="n"/>
      <c r="M209" s="26" t="n"/>
      <c r="T209" s="32" t="n"/>
    </row>
    <row r="210" ht="15.75" customHeight="1" thickBot="1" thickTop="1">
      <c r="A210" s="598" t="inlineStr">
        <is>
          <t>Total</t>
        </is>
      </c>
      <c r="B210" s="1390" t="n"/>
      <c r="C210" s="1443" t="n"/>
      <c r="D210" s="543">
        <f>SUM(D203:F209)</f>
        <v/>
      </c>
      <c r="E210" s="1390" t="n"/>
      <c r="F210" s="1443" t="n"/>
      <c r="G210" s="336">
        <f>SUM(G203:I209)</f>
        <v/>
      </c>
      <c r="H210" s="1390" t="n"/>
      <c r="I210" s="1443" t="n"/>
      <c r="J210" s="543">
        <f>SUM(D210:I210)</f>
        <v/>
      </c>
      <c r="K210" s="1390" t="n"/>
      <c r="L210" s="1443" t="n"/>
      <c r="M210" s="836" t="inlineStr">
        <is>
          <t>Section 3.7.2 - La somme des totaux doit être égale au "Nombre de demandes fermées au-delà des délais prévus par la Loi" de la Section 3.7.1</t>
        </is>
      </c>
      <c r="U210" s="123" t="n"/>
      <c r="V210" s="123" t="n"/>
      <c r="W210" s="123" t="n"/>
      <c r="X210" s="123" t="n"/>
      <c r="Y210" s="117" t="n"/>
    </row>
    <row r="211" ht="15.75" customHeight="1" thickTop="1">
      <c r="A211" s="51" t="n"/>
      <c r="B211" s="51" t="n"/>
      <c r="C211" s="51" t="n"/>
      <c r="D211" s="451" t="n"/>
      <c r="E211" s="451" t="n"/>
      <c r="F211" s="451" t="n"/>
      <c r="G211" s="451" t="n"/>
      <c r="H211" s="451" t="n"/>
      <c r="I211" s="451" t="n"/>
      <c r="J211" s="451" t="n"/>
      <c r="K211" s="451" t="n"/>
      <c r="L211" s="451" t="n"/>
    </row>
    <row r="212">
      <c r="A212" s="326" t="inlineStr">
        <is>
          <t>3.8  Demandes de traduction</t>
        </is>
      </c>
      <c r="T212" s="32" t="n"/>
    </row>
    <row r="213" ht="15.75" customHeight="1" thickBot="1">
      <c r="T213" s="32" t="n"/>
    </row>
    <row r="214" ht="16.5" customHeight="1" thickBot="1" thickTop="1">
      <c r="A214" s="1537" t="inlineStr">
        <is>
          <t>Demandes de traduction</t>
        </is>
      </c>
      <c r="B214" s="1374" t="n"/>
      <c r="C214" s="1375" t="n"/>
      <c r="D214" s="857" t="inlineStr">
        <is>
          <t>Acceptées</t>
        </is>
      </c>
      <c r="E214" s="1374" t="n"/>
      <c r="F214" s="1405" t="n"/>
      <c r="G214" s="612" t="inlineStr">
        <is>
          <t>Refusées</t>
        </is>
      </c>
      <c r="H214" s="1374" t="n"/>
      <c r="I214" s="1405" t="n"/>
      <c r="J214" s="857" t="inlineStr">
        <is>
          <t>Total</t>
        </is>
      </c>
      <c r="K214" s="1374" t="n"/>
      <c r="L214" s="1405" t="n"/>
      <c r="T214" s="32" t="n"/>
    </row>
    <row r="215" ht="15.75" customHeight="1" thickTop="1">
      <c r="A215" s="1463" t="inlineStr">
        <is>
          <t>De l’anglais au français</t>
        </is>
      </c>
      <c r="B215" s="1377" t="n"/>
      <c r="C215" s="1378" t="n"/>
      <c r="D215" s="815" t="n">
        <v>0</v>
      </c>
      <c r="E215" s="1370" t="n"/>
      <c r="F215" s="1407" t="n"/>
      <c r="G215" s="420" t="n">
        <v>0</v>
      </c>
      <c r="H215" s="1370" t="n"/>
      <c r="I215" s="1407" t="n"/>
      <c r="J215" s="433">
        <f>SUM(D215:I215)</f>
        <v/>
      </c>
      <c r="K215" s="1372" t="n"/>
      <c r="L215" s="1398" t="n"/>
      <c r="T215" s="32" t="n"/>
    </row>
    <row r="216" ht="15.75" customHeight="1" thickBot="1">
      <c r="A216" s="1468" t="inlineStr">
        <is>
          <t>Du français à l’anglais</t>
        </is>
      </c>
      <c r="B216" s="1388" t="n"/>
      <c r="C216" s="1389" t="n"/>
      <c r="D216" s="680" t="n">
        <v>0</v>
      </c>
      <c r="E216" s="1408" t="n"/>
      <c r="F216" s="1409" t="n"/>
      <c r="G216" s="533" t="n">
        <v>0</v>
      </c>
      <c r="H216" s="1408" t="n"/>
      <c r="I216" s="1409" t="n"/>
      <c r="J216" s="544">
        <f>SUM(D216:I216)</f>
        <v/>
      </c>
      <c r="K216" s="1388" t="n"/>
      <c r="L216" s="1396" t="n"/>
      <c r="T216" s="32" t="n"/>
    </row>
    <row r="217" ht="16.5" customHeight="1" thickBot="1" thickTop="1">
      <c r="A217" s="1039" t="inlineStr">
        <is>
          <t>Total</t>
        </is>
      </c>
      <c r="B217" s="1374" t="n"/>
      <c r="C217" s="1405" t="n"/>
      <c r="D217" s="809">
        <f>SUM(D215:F216)</f>
        <v/>
      </c>
      <c r="E217" s="1374" t="n"/>
      <c r="F217" s="1405" t="n"/>
      <c r="G217" s="810">
        <f>SUM(G215:I216)</f>
        <v/>
      </c>
      <c r="H217" s="1374" t="n"/>
      <c r="I217" s="1405" t="n"/>
      <c r="J217" s="809">
        <f>SUM(D217:I217)</f>
        <v/>
      </c>
      <c r="K217" s="1374" t="n"/>
      <c r="L217" s="1405" t="n"/>
      <c r="T217" s="32" t="n"/>
    </row>
    <row r="218" ht="15.75" customHeight="1" thickTop="1">
      <c r="T218" s="32" t="n"/>
    </row>
    <row r="219">
      <c r="T219" s="32" t="n"/>
    </row>
    <row r="220" ht="15.75" customHeight="1">
      <c r="A220" s="707" t="inlineStr">
        <is>
          <t>Section 4 – Communications en vertu des paragraphes 8(2) et 8(5)</t>
        </is>
      </c>
      <c r="T220" s="32" t="n"/>
    </row>
    <row r="221" ht="15.75" customHeight="1" thickBot="1">
      <c r="T221" s="32" t="n"/>
    </row>
    <row r="222" ht="14.65" customHeight="1" thickBot="1" thickTop="1">
      <c r="A222" s="429" t="inlineStr">
        <is>
          <t>Alinéa 8(2)e)</t>
        </is>
      </c>
      <c r="B222" s="1374" t="n"/>
      <c r="C222" s="1405" t="n"/>
      <c r="D222" s="332" t="inlineStr">
        <is>
          <t>Alinéa 8(2)m)</t>
        </is>
      </c>
      <c r="E222" s="1374" t="n"/>
      <c r="F222" s="1405" t="n"/>
      <c r="G222" s="375" t="inlineStr">
        <is>
          <t>Paragraphe 8(5)</t>
        </is>
      </c>
      <c r="H222" s="1374" t="n"/>
      <c r="I222" s="1405" t="n"/>
      <c r="J222" s="375" t="inlineStr">
        <is>
          <t>Total</t>
        </is>
      </c>
      <c r="K222" s="1374" t="n"/>
      <c r="L222" s="1405" t="n"/>
      <c r="T222" s="32" t="n"/>
    </row>
    <row r="223" ht="16.5" customHeight="1" thickBot="1" thickTop="1">
      <c r="A223" s="1354" t="n">
        <v>0</v>
      </c>
      <c r="B223" s="1498" t="n"/>
      <c r="C223" s="1459" t="n"/>
      <c r="D223" s="327" t="n">
        <v>0</v>
      </c>
      <c r="E223" s="1498" t="n"/>
      <c r="F223" s="1459" t="n"/>
      <c r="G223" s="861" t="n">
        <v>0</v>
      </c>
      <c r="H223" s="1498" t="n"/>
      <c r="I223" s="1459" t="n"/>
      <c r="J223" s="640">
        <f>SUM(A223:I223)</f>
        <v/>
      </c>
      <c r="K223" s="1390" t="n"/>
      <c r="L223" s="1443" t="n"/>
      <c r="T223" s="32" t="n"/>
    </row>
    <row r="224" ht="15.75" customHeight="1" thickTop="1">
      <c r="T224" s="32" t="n"/>
    </row>
    <row r="225" ht="15.75" customHeight="1">
      <c r="A225" s="1065" t="inlineStr">
        <is>
          <t>Section 5 – Demandes de correction de renseignements personnels et mentions</t>
        </is>
      </c>
      <c r="T225" s="32" t="n"/>
    </row>
    <row r="226" ht="15.75" customHeight="1" thickBot="1">
      <c r="T226" s="32" t="n"/>
    </row>
    <row r="227" ht="15" customFormat="1" customHeight="1" s="55" thickBot="1" thickTop="1">
      <c r="A227" s="1162" t="inlineStr">
        <is>
          <t>Disposition des demandes de correction reçues</t>
        </is>
      </c>
      <c r="B227" s="1374" t="n"/>
      <c r="C227" s="1374" t="n"/>
      <c r="D227" s="1374" t="n"/>
      <c r="E227" s="1374" t="n"/>
      <c r="F227" s="1374" t="n"/>
      <c r="G227" s="1374" t="n"/>
      <c r="H227" s="1374" t="n"/>
      <c r="I227" s="1410" t="inlineStr">
        <is>
          <t>Nombre</t>
        </is>
      </c>
      <c r="J227" s="1375" t="n"/>
      <c r="K227" s="32" t="n"/>
      <c r="L227" s="32" t="n"/>
      <c r="M227" s="32" t="n"/>
      <c r="O227" s="32" t="n"/>
      <c r="P227" s="32" t="n"/>
      <c r="Q227" s="32" t="n"/>
      <c r="R227" s="32" t="n"/>
      <c r="S227" s="32" t="n"/>
      <c r="T227" s="32" t="n"/>
      <c r="U227" s="32" t="n"/>
      <c r="V227" s="32" t="n"/>
      <c r="W227" s="32" t="n"/>
      <c r="X227" s="32" t="n"/>
      <c r="Y227" s="32" t="n"/>
      <c r="Z227" s="32" t="n"/>
      <c r="AA227" s="32" t="n"/>
      <c r="AB227" s="32" t="n"/>
      <c r="AC227" s="32" t="n"/>
      <c r="AD227" s="32" t="n"/>
    </row>
    <row r="228" ht="12.75" customFormat="1" customHeight="1" s="55" thickTop="1">
      <c r="A228" s="1538" t="inlineStr">
        <is>
          <t>Mentions annexées</t>
        </is>
      </c>
      <c r="B228" s="1377" t="n"/>
      <c r="C228" s="1377" t="n"/>
      <c r="D228" s="1377" t="n"/>
      <c r="E228" s="1377" t="n"/>
      <c r="F228" s="1377" t="n"/>
      <c r="G228" s="1377" t="n"/>
      <c r="H228" s="1378" t="n"/>
      <c r="I228" s="514" t="n">
        <v>0</v>
      </c>
      <c r="J228" s="1380" t="n"/>
      <c r="K228" s="32" t="n"/>
      <c r="L228" s="32" t="n"/>
      <c r="M228" s="32" t="n"/>
      <c r="O228" s="32" t="n"/>
      <c r="P228" s="32" t="n"/>
      <c r="Q228" s="32" t="n"/>
      <c r="R228" s="32" t="n"/>
      <c r="S228" s="32" t="n"/>
      <c r="T228" s="32" t="n"/>
      <c r="U228" s="32" t="n"/>
      <c r="V228" s="32" t="n"/>
      <c r="W228" s="32" t="n"/>
      <c r="X228" s="32" t="n"/>
      <c r="Y228" s="32" t="n"/>
      <c r="Z228" s="32" t="n"/>
      <c r="AA228" s="32" t="n"/>
      <c r="AB228" s="32" t="n"/>
      <c r="AC228" s="32" t="n"/>
      <c r="AD228" s="32" t="n"/>
    </row>
    <row r="229" ht="16.5" customFormat="1" customHeight="1" s="32" thickBot="1">
      <c r="A229" s="968" t="inlineStr">
        <is>
          <t>Demandes de correction acceptées</t>
        </is>
      </c>
      <c r="B229" s="1388" t="n"/>
      <c r="C229" s="1388" t="n"/>
      <c r="D229" s="1388" t="n"/>
      <c r="E229" s="1388" t="n"/>
      <c r="F229" s="1388" t="n"/>
      <c r="G229" s="1388" t="n"/>
      <c r="H229" s="1388" t="n"/>
      <c r="I229" s="1539" t="n">
        <v>0</v>
      </c>
      <c r="J229" s="1418" t="n"/>
      <c r="M229" s="64" t="n"/>
      <c r="N229" s="55" t="n"/>
    </row>
    <row r="230" ht="17.25" customFormat="1" customHeight="1" s="32" thickBot="1" thickTop="1">
      <c r="A230" s="933" t="inlineStr">
        <is>
          <t>Total</t>
        </is>
      </c>
      <c r="B230" s="1374" t="n"/>
      <c r="C230" s="1374" t="n"/>
      <c r="D230" s="1374" t="n"/>
      <c r="E230" s="1374" t="n"/>
      <c r="F230" s="1374" t="n"/>
      <c r="G230" s="1374" t="n"/>
      <c r="H230" s="1374" t="n"/>
      <c r="I230" s="258">
        <f>SUM(I228:J229)</f>
        <v/>
      </c>
      <c r="J230" s="1375" t="n"/>
      <c r="M230" s="64" t="n"/>
      <c r="N230" s="55" t="n"/>
    </row>
    <row r="231" ht="15.75" customHeight="1" thickTop="1">
      <c r="T231" s="32" t="n"/>
    </row>
    <row r="232" ht="15.75" customHeight="1">
      <c r="A232" s="707" t="inlineStr">
        <is>
          <t>Section 6 – Prorogations</t>
        </is>
      </c>
      <c r="T232" s="32" t="n"/>
    </row>
    <row r="233" ht="15.75" customFormat="1" customHeight="1" s="63">
      <c r="A233" s="65" t="n"/>
      <c r="B233" s="65" t="n"/>
      <c r="C233" s="65" t="n"/>
      <c r="D233" s="65" t="n"/>
      <c r="E233" s="65" t="n"/>
      <c r="F233" s="65" t="n"/>
      <c r="G233" s="65" t="n"/>
      <c r="H233" s="65" t="n"/>
      <c r="I233" s="65" t="n"/>
      <c r="J233" s="65" t="n"/>
      <c r="K233" s="65" t="n"/>
      <c r="L233" s="65" t="n"/>
      <c r="M233" s="65" t="n"/>
      <c r="N233" s="65" t="n"/>
      <c r="O233" s="65" t="n"/>
      <c r="T233" s="32" t="n"/>
    </row>
    <row r="234" customFormat="1" s="32">
      <c r="A234" s="411" t="inlineStr">
        <is>
          <t>6.1  Motifs des prorogations</t>
        </is>
      </c>
    </row>
    <row r="235" ht="15" customFormat="1" customHeight="1" s="32" thickBot="1">
      <c r="N235" s="55" t="n"/>
    </row>
    <row r="236" ht="15.75" customFormat="1" customHeight="1" s="32" thickTop="1">
      <c r="A236" s="63" t="n"/>
      <c r="B236" s="63" t="n"/>
      <c r="C236" s="63" t="n"/>
      <c r="D236" s="121" t="n"/>
      <c r="E236" s="1041" t="inlineStr">
        <is>
          <t>15a)(i) Entrave au fonctionnement de l'institution</t>
        </is>
      </c>
      <c r="F236" s="1377" t="n"/>
      <c r="G236" s="1377" t="n"/>
      <c r="H236" s="1377" t="n"/>
      <c r="I236" s="1377" t="n"/>
      <c r="J236" s="1377" t="n"/>
      <c r="K236" s="1377" t="n"/>
      <c r="L236" s="1377" t="n"/>
      <c r="M236" s="1540" t="inlineStr">
        <is>
          <t>15a)(ii) Consultation</t>
        </is>
      </c>
      <c r="N236" s="1377" t="n"/>
      <c r="O236" s="1377" t="n"/>
      <c r="P236" s="1377" t="n"/>
      <c r="Q236" s="1406" t="n"/>
      <c r="R236" s="1541" t="inlineStr">
        <is>
          <t>15b) Traduction ou cas de transfert sur support de substitution</t>
        </is>
      </c>
      <c r="S236" s="1413" t="n"/>
    </row>
    <row r="237" ht="15.75" customFormat="1" customHeight="1" s="32" thickBot="1">
      <c r="D237" s="295" t="n"/>
      <c r="E237" s="1056" t="inlineStr">
        <is>
          <t>Examen approfondi nécessaire pour déterminer les exceptions</t>
        </is>
      </c>
      <c r="F237" s="1402" t="n"/>
      <c r="G237" s="1061" t="inlineStr">
        <is>
          <t>Grand nombre de pages</t>
        </is>
      </c>
      <c r="H237" s="1402" t="n"/>
      <c r="I237" s="1061" t="inlineStr">
        <is>
          <t>Grand volume de demandes</t>
        </is>
      </c>
      <c r="J237" s="1402" t="n"/>
      <c r="K237" s="1061" t="inlineStr">
        <is>
          <t>Les documents sont difficiles à obtenir</t>
        </is>
      </c>
      <c r="L237" s="1402" t="n"/>
      <c r="M237" s="1061" t="inlineStr">
        <is>
          <t>Document confidentiels du Cabinet (article 70)</t>
        </is>
      </c>
      <c r="N237" s="1402" t="n"/>
      <c r="O237" s="1062" t="inlineStr">
        <is>
          <t>Externe</t>
        </is>
      </c>
      <c r="P237" s="1062" t="inlineStr">
        <is>
          <t>Interne</t>
        </is>
      </c>
      <c r="Q237" s="1402" t="n"/>
      <c r="R237" s="1542" t="n"/>
      <c r="S237" s="1515" t="n"/>
    </row>
    <row r="238" ht="12" customFormat="1" customHeight="1" s="32" thickTop="1">
      <c r="A238" s="1457" t="inlineStr">
        <is>
          <t>Nombre de prorogations prises</t>
        </is>
      </c>
      <c r="B238" s="1412" t="n"/>
      <c r="C238" s="1412" t="n"/>
      <c r="D238" s="1413" t="n"/>
      <c r="E238" s="1543" t="n"/>
      <c r="F238" s="1460" t="n"/>
      <c r="G238" s="1542" t="n"/>
      <c r="H238" s="1460" t="n"/>
      <c r="I238" s="1542" t="n"/>
      <c r="J238" s="1460" t="n"/>
      <c r="K238" s="1542" t="n"/>
      <c r="L238" s="1460" t="n"/>
      <c r="M238" s="1542" t="n"/>
      <c r="N238" s="1460" t="n"/>
      <c r="O238" s="1544" t="n"/>
      <c r="P238" s="1542" t="n"/>
      <c r="Q238" s="1460" t="n"/>
      <c r="R238" s="1542" t="n"/>
      <c r="S238" s="1515" t="n"/>
    </row>
    <row r="239" ht="27.75" customFormat="1" customHeight="1" s="32" thickBot="1">
      <c r="A239" s="1397" t="n"/>
      <c r="B239" s="1390" t="n"/>
      <c r="C239" s="1390" t="n"/>
      <c r="D239" s="1391" t="n"/>
      <c r="E239" s="1425" t="n"/>
      <c r="F239" s="1398" t="n"/>
      <c r="G239" s="1462" t="n"/>
      <c r="H239" s="1398" t="n"/>
      <c r="I239" s="1462" t="n"/>
      <c r="J239" s="1398" t="n"/>
      <c r="K239" s="1462" t="n"/>
      <c r="L239" s="1398" t="n"/>
      <c r="M239" s="1462" t="n"/>
      <c r="N239" s="1398" t="n"/>
      <c r="O239" s="1545" t="n"/>
      <c r="P239" s="1462" t="n"/>
      <c r="Q239" s="1398" t="n"/>
      <c r="R239" s="1546" t="n"/>
      <c r="S239" s="1391" t="n"/>
    </row>
    <row r="240" ht="15.75" customFormat="1" customHeight="1" s="32" thickBot="1" thickTop="1">
      <c r="A240" s="809">
        <f>SUM(E240:S240)</f>
        <v/>
      </c>
      <c r="B240" s="1374" t="n"/>
      <c r="C240" s="1374" t="n"/>
      <c r="D240" s="1405" t="n"/>
      <c r="E240" s="220" t="n">
        <v>0</v>
      </c>
      <c r="F240" s="1459" t="n"/>
      <c r="G240" s="296" t="n">
        <v>0</v>
      </c>
      <c r="H240" s="1459" t="n"/>
      <c r="I240" s="296" t="n">
        <v>0</v>
      </c>
      <c r="J240" s="1459" t="n"/>
      <c r="K240" s="296" t="n">
        <v>0</v>
      </c>
      <c r="L240" s="1459" t="n"/>
      <c r="M240" s="1547" t="n">
        <v>0</v>
      </c>
      <c r="N240" s="1459" t="n"/>
      <c r="O240" s="296" t="n">
        <v>0</v>
      </c>
      <c r="P240" s="296" t="n">
        <v>0</v>
      </c>
      <c r="Q240" s="1459" t="n"/>
      <c r="R240" s="221" t="n">
        <v>0</v>
      </c>
      <c r="S240" s="1493" t="n"/>
    </row>
    <row r="241" ht="16.5" customFormat="1" customHeight="1" s="32" thickTop="1">
      <c r="A241" s="66" t="n"/>
      <c r="B241" s="66" t="n"/>
      <c r="C241" s="66" t="n"/>
      <c r="D241" s="66" t="n"/>
      <c r="E241" s="816" t="n"/>
      <c r="F241" s="816" t="n"/>
      <c r="G241" s="816" t="n"/>
      <c r="H241" s="816" t="n"/>
      <c r="I241" s="816" t="n"/>
      <c r="J241" s="816" t="n"/>
      <c r="K241" s="816" t="n"/>
      <c r="L241" s="816" t="n"/>
    </row>
    <row r="242" customFormat="1" s="32">
      <c r="A242" s="411" t="inlineStr">
        <is>
          <t>6.2  Durée des prorogations</t>
        </is>
      </c>
    </row>
    <row r="243" ht="15.75" customFormat="1" customHeight="1" s="32" thickBot="1">
      <c r="A243" s="67" t="n"/>
      <c r="E243" s="63" t="n"/>
      <c r="F243" s="63" t="n"/>
      <c r="G243" s="63" t="n"/>
      <c r="H243" s="63" t="n"/>
      <c r="I243" s="63" t="n"/>
      <c r="J243" s="63" t="n"/>
      <c r="K243" s="63" t="n"/>
      <c r="L243" s="63" t="n"/>
    </row>
    <row r="244" ht="16.5" customFormat="1" customHeight="1" s="32" thickBot="1" thickTop="1">
      <c r="A244" s="63" t="n"/>
      <c r="B244" s="63" t="n"/>
      <c r="C244" s="63" t="n"/>
      <c r="D244" s="121" t="n"/>
      <c r="E244" s="1041" t="inlineStr">
        <is>
          <t>15a)(i) Entrave au fonctionnement de l'institution</t>
        </is>
      </c>
      <c r="F244" s="1377" t="n"/>
      <c r="G244" s="1377" t="n"/>
      <c r="H244" s="1377" t="n"/>
      <c r="I244" s="1377" t="n"/>
      <c r="J244" s="1377" t="n"/>
      <c r="K244" s="1377" t="n"/>
      <c r="L244" s="1377" t="n"/>
      <c r="M244" s="1548" t="inlineStr">
        <is>
          <t>15a)(ii) Consultation</t>
        </is>
      </c>
      <c r="N244" s="1549" t="n"/>
      <c r="O244" s="1549" t="n"/>
      <c r="P244" s="1549" t="n"/>
      <c r="Q244" s="1550" t="n"/>
      <c r="R244" s="772" t="inlineStr">
        <is>
          <t>15b) Traduction ou cas de transfert sur support de substitution</t>
        </is>
      </c>
      <c r="S244" s="1413" t="n"/>
      <c r="T244" s="986" t="inlineStr">
        <is>
          <t>Section 6.2 - Le total sous "Examen approfondi nécessaire pour déterminer les exceptions" doit être égal au nombre sous "Examen approfondi nécessaire pour déterminer les exceptions" de la Section 6.1</t>
        </is>
      </c>
    </row>
    <row r="245" ht="18.75" customFormat="1" customHeight="1" s="32" thickTop="1">
      <c r="A245" s="1507" t="inlineStr">
        <is>
          <t>Durée des prorogations</t>
        </is>
      </c>
      <c r="B245" s="1412" t="n"/>
      <c r="C245" s="1412" t="n"/>
      <c r="D245" s="1413" t="n"/>
      <c r="E245" s="1056" t="inlineStr">
        <is>
          <t>Examen approfondi nécessaire pour déterminer les exceptions</t>
        </is>
      </c>
      <c r="F245" s="1402" t="n"/>
      <c r="G245" s="1061" t="inlineStr">
        <is>
          <t>Grand nombre de pages</t>
        </is>
      </c>
      <c r="H245" s="1402" t="n"/>
      <c r="I245" s="1061" t="inlineStr">
        <is>
          <t>Grand volume de demandes</t>
        </is>
      </c>
      <c r="J245" s="1402" t="n"/>
      <c r="K245" s="1061" t="inlineStr">
        <is>
          <t>Les documents sont difficiles à obtenir</t>
        </is>
      </c>
      <c r="L245" s="1402" t="n"/>
      <c r="M245" s="1151" t="inlineStr">
        <is>
          <t>Document confidentiels du Cabinet (article 70)</t>
        </is>
      </c>
      <c r="N245" s="1460" t="n"/>
      <c r="O245" s="1153" t="inlineStr">
        <is>
          <t>Externe</t>
        </is>
      </c>
      <c r="P245" s="1153" t="inlineStr">
        <is>
          <t>Interne</t>
        </is>
      </c>
      <c r="Q245" s="1460" t="n"/>
      <c r="S245" s="1515" t="n"/>
      <c r="T245" s="986" t="inlineStr">
        <is>
          <t>Section 6.2 - Le total sous "Grand nombre de pages" doit être égal au nombre sous "Grand nombre de pages" de la Section 6.1</t>
        </is>
      </c>
    </row>
    <row r="246" ht="16.5" customFormat="1" customHeight="1" s="32">
      <c r="A246" s="1543" t="n"/>
      <c r="D246" s="1515" t="n"/>
      <c r="E246" s="1543" t="n"/>
      <c r="F246" s="1460" t="n"/>
      <c r="G246" s="1542" t="n"/>
      <c r="H246" s="1460" t="n"/>
      <c r="I246" s="1542" t="n"/>
      <c r="J246" s="1460" t="n"/>
      <c r="K246" s="1542" t="n"/>
      <c r="L246" s="1460" t="n"/>
      <c r="M246" s="1542" t="n"/>
      <c r="N246" s="1460" t="n"/>
      <c r="O246" s="1544" t="n"/>
      <c r="P246" s="1542" t="n"/>
      <c r="Q246" s="1460" t="n"/>
      <c r="S246" s="1515" t="n"/>
      <c r="T246" s="986" t="inlineStr">
        <is>
          <t>Section 6.2 - Le total sous "Grand volume de demandes" doit être égal au nombre sous "Grand volume de demandes" de la Section 6.1</t>
        </is>
      </c>
    </row>
    <row r="247" ht="16.5" customFormat="1" customHeight="1" s="32" thickBot="1">
      <c r="A247" s="1397" t="n"/>
      <c r="B247" s="1390" t="n"/>
      <c r="C247" s="1390" t="n"/>
      <c r="D247" s="1391" t="n"/>
      <c r="E247" s="1425" t="n"/>
      <c r="F247" s="1398" t="n"/>
      <c r="G247" s="1462" t="n"/>
      <c r="H247" s="1398" t="n"/>
      <c r="I247" s="1462" t="n"/>
      <c r="J247" s="1398" t="n"/>
      <c r="K247" s="1462" t="n"/>
      <c r="L247" s="1398" t="n"/>
      <c r="M247" s="1462" t="n"/>
      <c r="N247" s="1398" t="n"/>
      <c r="O247" s="1545" t="n"/>
      <c r="P247" s="1462" t="n"/>
      <c r="Q247" s="1398" t="n"/>
      <c r="R247" s="1390" t="n"/>
      <c r="S247" s="1391" t="n"/>
      <c r="T247" s="986" t="inlineStr">
        <is>
          <t>Section 6.2 - Le total sous "Les documents sont difficiles à obtenir" doit être égal au nombre sous "Les documents sont difficiles à obtenir" de la Section 6.1</t>
        </is>
      </c>
    </row>
    <row r="248" ht="18" customFormat="1" customHeight="1" s="32" thickTop="1">
      <c r="A248" s="1551" t="inlineStr">
        <is>
          <t>1 à 15 jours</t>
        </is>
      </c>
      <c r="B248" s="1372" t="n"/>
      <c r="C248" s="1372" t="n"/>
      <c r="D248" s="1454" t="n"/>
      <c r="E248" s="815" t="n">
        <v>0</v>
      </c>
      <c r="F248" s="1407" t="n"/>
      <c r="G248" s="420" t="n">
        <v>0</v>
      </c>
      <c r="H248" s="1407" t="n"/>
      <c r="I248" s="420" t="n">
        <v>0</v>
      </c>
      <c r="J248" s="1407" t="n"/>
      <c r="K248" s="420" t="n">
        <v>0</v>
      </c>
      <c r="L248" s="1407" t="n"/>
      <c r="M248" s="420" t="n">
        <v>0</v>
      </c>
      <c r="N248" s="1407" t="n"/>
      <c r="O248" s="420" t="n">
        <v>0</v>
      </c>
      <c r="P248" s="420" t="n">
        <v>0</v>
      </c>
      <c r="Q248" s="1407" t="n"/>
      <c r="R248" s="421" t="n">
        <v>0</v>
      </c>
      <c r="S248" s="1527" t="n"/>
      <c r="T248" s="986" t="inlineStr">
        <is>
          <t>Section 6.2 - Le total sous "Document confidentiels du Cabinet (article 70)" doit être égal au nombre sous "Document confidentiels du Cabinet (article 70)" de la Section 6.1</t>
        </is>
      </c>
    </row>
    <row r="249" ht="14.25" customFormat="1" customHeight="1" s="32">
      <c r="A249" s="1552" t="inlineStr">
        <is>
          <t>16 à 30 jours</t>
        </is>
      </c>
      <c r="B249" s="1381" t="n"/>
      <c r="C249" s="1381" t="n"/>
      <c r="D249" s="1383" t="n"/>
      <c r="E249" s="649" t="n">
        <v>0</v>
      </c>
      <c r="F249" s="1404" t="n"/>
      <c r="G249" s="638" t="n">
        <v>0</v>
      </c>
      <c r="H249" s="1404" t="n"/>
      <c r="I249" s="638" t="n">
        <v>0</v>
      </c>
      <c r="J249" s="1404" t="n"/>
      <c r="K249" s="638" t="n">
        <v>0</v>
      </c>
      <c r="L249" s="1404" t="n"/>
      <c r="M249" s="638" t="n">
        <v>0</v>
      </c>
      <c r="N249" s="1404" t="n"/>
      <c r="O249" s="638" t="n">
        <v>0</v>
      </c>
      <c r="P249" s="638" t="n">
        <v>0</v>
      </c>
      <c r="Q249" s="1404" t="n"/>
      <c r="R249" s="345" t="n">
        <v>0</v>
      </c>
      <c r="S249" s="1421" t="n"/>
      <c r="T249" s="986" t="inlineStr">
        <is>
          <t>Section 6.2 - Le total sous "Externe" doit être égal au nombre sous "Externe" de la Section 6.1</t>
        </is>
      </c>
    </row>
    <row r="250" customFormat="1" s="32" thickBot="1">
      <c r="A250" s="1553" t="inlineStr">
        <is>
          <t>Plus de 31 jours</t>
        </is>
      </c>
      <c r="B250" s="1390" t="n"/>
      <c r="C250" s="1390" t="n"/>
      <c r="D250" s="1391" t="n"/>
      <c r="E250" s="1554" t="n">
        <v>0</v>
      </c>
      <c r="F250" s="1402" t="n"/>
      <c r="G250" s="68" t="n">
        <v>0</v>
      </c>
      <c r="H250" s="1402" t="n"/>
      <c r="I250" s="68" t="n">
        <v>0</v>
      </c>
      <c r="J250" s="1402" t="n"/>
      <c r="K250" s="68" t="n">
        <v>0</v>
      </c>
      <c r="L250" s="1402" t="n"/>
      <c r="M250" s="68" t="n">
        <v>0</v>
      </c>
      <c r="N250" s="1402" t="n"/>
      <c r="O250" s="68" t="n">
        <v>0</v>
      </c>
      <c r="P250" s="68" t="n">
        <v>0</v>
      </c>
      <c r="Q250" s="1402" t="n"/>
      <c r="R250" s="679" t="n">
        <v>0</v>
      </c>
      <c r="S250" s="1418" t="n"/>
      <c r="T250" s="986" t="inlineStr">
        <is>
          <t>Section 6.2 - Le total sous "Interne" doit être égal au nombre sous "Interne" de la Section 6.1</t>
        </is>
      </c>
    </row>
    <row r="251" ht="15" customFormat="1" customHeight="1" s="32" thickBot="1" thickTop="1">
      <c r="A251" s="1437" t="inlineStr">
        <is>
          <t>Total</t>
        </is>
      </c>
      <c r="B251" s="1374" t="n"/>
      <c r="C251" s="1374" t="n"/>
      <c r="D251" s="1375" t="n"/>
      <c r="E251" s="809">
        <f>SUM(E248:F249)</f>
        <v/>
      </c>
      <c r="F251" s="1405" t="n"/>
      <c r="G251" s="810">
        <f>SUM(G248:H249)</f>
        <v/>
      </c>
      <c r="H251" s="1405" t="n"/>
      <c r="I251" s="810">
        <f>SUM(I248:J249)</f>
        <v/>
      </c>
      <c r="J251" s="1405" t="n"/>
      <c r="K251" s="810">
        <f>SUM(K248:L249)</f>
        <v/>
      </c>
      <c r="L251" s="1405" t="n"/>
      <c r="M251" s="810">
        <f>SUM(M248:N249)</f>
        <v/>
      </c>
      <c r="N251" s="1405" t="n"/>
      <c r="O251" s="601">
        <f>SUM(O248:O249)</f>
        <v/>
      </c>
      <c r="P251" s="810">
        <f>SUM(P248:Q249)</f>
        <v/>
      </c>
      <c r="Q251" s="1405" t="n"/>
      <c r="R251" s="360">
        <f>SUM(R248:S250)</f>
        <v/>
      </c>
      <c r="S251" s="1391" t="n"/>
      <c r="T251" s="986" t="inlineStr">
        <is>
          <t>Section 6.2 - Le total sous "15b) Traduction ou cas de transfert sur support de substitution" doit être égal au nombre sous "15b) Traduction ou cas de transfert sur support de substitution" de la Section 6.1</t>
        </is>
      </c>
    </row>
    <row r="252" ht="15" customHeight="1" thickTop="1"/>
    <row r="253" ht="18.75" customHeight="1">
      <c r="A253" s="1065" t="inlineStr">
        <is>
          <t>Section 7 – Demandes de consultation reçues d’autres institutions et organisations</t>
        </is>
      </c>
      <c r="T253" s="32" t="n"/>
    </row>
    <row r="254">
      <c r="T254" s="32" t="n"/>
    </row>
    <row r="255" ht="15" customHeight="1">
      <c r="A255" s="837" t="inlineStr">
        <is>
          <t>7.1 Demandes de consultation reçues d’autres institutions du gouvernement du Canada et autres organisations</t>
        </is>
      </c>
      <c r="T255" s="32" t="n"/>
    </row>
    <row r="256" ht="15.75" customHeight="1" thickBot="1">
      <c r="T256" s="32" t="n"/>
    </row>
    <row r="257" ht="42.75" customHeight="1" thickBot="1" thickTop="1">
      <c r="A257" s="1446" t="inlineStr">
        <is>
          <t>Consultations</t>
        </is>
      </c>
      <c r="B257" s="1374" t="n"/>
      <c r="C257" s="1374" t="n"/>
      <c r="D257" s="1375" t="n"/>
      <c r="E257" s="1278" t="inlineStr">
        <is>
          <t>Autres institutions du gouvernement du Canada</t>
        </is>
      </c>
      <c r="F257" s="1405" t="n"/>
      <c r="G257" s="1070" t="inlineStr">
        <is>
          <t>Nombre de pages à traiter</t>
        </is>
      </c>
      <c r="H257" s="1405" t="n"/>
      <c r="I257" s="1278" t="inlineStr">
        <is>
          <t>Autres organisations</t>
        </is>
      </c>
      <c r="J257" s="1405" t="n"/>
      <c r="K257" s="1070" t="inlineStr">
        <is>
          <t>Nombre de pages à traiter</t>
        </is>
      </c>
      <c r="L257" s="1405" t="n"/>
      <c r="T257" s="32" t="n"/>
    </row>
    <row r="258" ht="29.65" customHeight="1" thickTop="1">
      <c r="A258" s="1555" t="inlineStr">
        <is>
          <t>Reçues pendant la période d'établissement de rapport</t>
        </is>
      </c>
      <c r="B258" s="1377" t="n"/>
      <c r="C258" s="1377" t="n"/>
      <c r="D258" s="1378" t="n"/>
      <c r="E258" s="1472" t="n">
        <v>0</v>
      </c>
      <c r="F258" s="1399" t="n"/>
      <c r="G258" s="754" t="n">
        <v>0</v>
      </c>
      <c r="H258" s="1407" t="n"/>
      <c r="I258" s="753" t="n">
        <v>0</v>
      </c>
      <c r="J258" s="1407" t="n"/>
      <c r="K258" s="754" t="n">
        <v>0</v>
      </c>
      <c r="L258" s="1407" t="n"/>
      <c r="M258" s="26" t="n"/>
      <c r="T258" s="32" t="n"/>
    </row>
    <row r="259" ht="32.25" customHeight="1" thickBot="1">
      <c r="A259" s="1465" t="inlineStr">
        <is>
          <t>En suspens à la fin de la période d'établissement de rapport précédente</t>
        </is>
      </c>
      <c r="B259" s="1388" t="n"/>
      <c r="C259" s="1388" t="n"/>
      <c r="D259" s="1389" t="n"/>
      <c r="E259" s="666" t="n">
        <v>0</v>
      </c>
      <c r="F259" s="1409" t="n"/>
      <c r="G259" s="1035" t="n">
        <v>0</v>
      </c>
      <c r="H259" s="1404" t="n"/>
      <c r="I259" s="1146" t="n">
        <v>0</v>
      </c>
      <c r="J259" s="1404" t="n"/>
      <c r="K259" s="1035" t="n">
        <v>0</v>
      </c>
      <c r="L259" s="1404" t="n"/>
      <c r="M259" s="875" t="inlineStr">
        <is>
          <t>Section 7.1 - La somme des Rangées 5 et 6 sous "Autres institutions du gouvernement du Canada" doit être égale au "Total" moins "Fermées pendant la période d'établissement de rapport" de la même Colonne.</t>
        </is>
      </c>
      <c r="AA259" s="115" t="n"/>
      <c r="AB259" s="115" t="n"/>
      <c r="AC259" s="115" t="n"/>
      <c r="AD259" s="115" t="n"/>
      <c r="AE259" s="115" t="n"/>
      <c r="AF259" s="115" t="n"/>
      <c r="AG259" s="115" t="n"/>
      <c r="AH259" s="115" t="n"/>
      <c r="AI259" s="115" t="n"/>
      <c r="AJ259" s="115" t="n"/>
      <c r="AK259" s="115" t="n"/>
    </row>
    <row r="260" ht="16.5" customHeight="1" thickBot="1" thickTop="1">
      <c r="A260" s="1482" t="inlineStr">
        <is>
          <t>Total</t>
        </is>
      </c>
      <c r="B260" s="1374" t="n"/>
      <c r="C260" s="1374" t="n"/>
      <c r="D260" s="1375" t="n"/>
      <c r="E260" s="809">
        <f>SUM(E258:F259)</f>
        <v/>
      </c>
      <c r="F260" s="1405" t="n"/>
      <c r="G260" s="810">
        <f>SUM(G258:H259)</f>
        <v/>
      </c>
      <c r="H260" s="1405" t="n"/>
      <c r="I260" s="809">
        <f>SUM(I258:J259)</f>
        <v/>
      </c>
      <c r="J260" s="1405" t="n"/>
      <c r="K260" s="810">
        <f>SUM(K258:L259)</f>
        <v/>
      </c>
      <c r="L260" s="1405" t="n"/>
      <c r="AA260" s="115" t="n"/>
      <c r="AB260" s="115" t="n"/>
      <c r="AC260" s="115" t="n"/>
      <c r="AD260" s="115" t="n"/>
      <c r="AE260" s="115" t="n"/>
      <c r="AF260" s="115" t="n"/>
      <c r="AG260" s="115" t="n"/>
      <c r="AH260" s="115" t="n"/>
      <c r="AI260" s="115" t="n"/>
      <c r="AJ260" s="115" t="n"/>
      <c r="AK260" s="115" t="n"/>
    </row>
    <row r="261" ht="31.5" customHeight="1" thickTop="1">
      <c r="A261" s="1480" t="inlineStr">
        <is>
          <t>Fermées pendant la période d'établissement de rapport</t>
        </is>
      </c>
      <c r="B261" s="1377" t="n"/>
      <c r="C261" s="1377" t="n"/>
      <c r="D261" s="1378" t="n"/>
      <c r="E261" s="245" t="n">
        <v>0</v>
      </c>
      <c r="F261" s="1399" t="n"/>
      <c r="G261" s="420" t="n">
        <v>0</v>
      </c>
      <c r="H261" s="1407" t="n"/>
      <c r="I261" s="815" t="n">
        <v>0</v>
      </c>
      <c r="J261" s="1407" t="n"/>
      <c r="K261" s="420" t="n">
        <v>0</v>
      </c>
      <c r="L261" s="1407" t="n"/>
      <c r="M261" s="836" t="inlineStr">
        <is>
          <t>Section 7.1 - La somme des Rangées 5 et 6 sous "Nombre de pages à traiter" doit être égale au "Total" moins "Fermées pendant la période d'établissement de rapport" de la même Colonne.</t>
        </is>
      </c>
      <c r="AA261" s="124" t="n"/>
      <c r="AB261" s="124" t="n"/>
      <c r="AC261" s="124" t="n"/>
      <c r="AD261" s="124" t="n"/>
      <c r="AE261" s="124" t="n"/>
      <c r="AF261" s="124" t="n"/>
      <c r="AG261" s="124" t="n"/>
      <c r="AH261" s="124" t="n"/>
      <c r="AI261" s="124" t="n"/>
      <c r="AJ261" s="124" t="n"/>
      <c r="AK261" s="124" t="n"/>
    </row>
    <row r="262" ht="41.25" customHeight="1">
      <c r="A262" s="1137" t="inlineStr">
        <is>
          <t>Reportées à l'intérieur des délais négociés à la prochaine période d'établissement de rapport</t>
        </is>
      </c>
      <c r="B262" s="1381" t="n"/>
      <c r="C262" s="1381" t="n"/>
      <c r="D262" s="1384" t="n"/>
      <c r="E262" s="357" t="n">
        <v>0</v>
      </c>
      <c r="F262" s="1401" t="n"/>
      <c r="G262" s="345" t="n">
        <v>0</v>
      </c>
      <c r="H262" s="1421" t="n"/>
      <c r="I262" s="357" t="n">
        <v>0</v>
      </c>
      <c r="J262" s="1401" t="n"/>
      <c r="K262" s="532" t="n">
        <v>0</v>
      </c>
      <c r="L262" s="1421" t="n"/>
      <c r="M262" s="836" t="inlineStr">
        <is>
          <t>Section 7.1 - La somme des Rangées 5 et 6 sous "Autres organisations" doit être égale au "Total" moins "Fermées pendant la période d'établissement de rapport" de la même Colonne.</t>
        </is>
      </c>
      <c r="AA262" s="124" t="n"/>
      <c r="AB262" s="124" t="n"/>
      <c r="AC262" s="124" t="n"/>
      <c r="AD262" s="124" t="n"/>
      <c r="AE262" s="124" t="n"/>
      <c r="AF262" s="124" t="n"/>
      <c r="AG262" s="124" t="n"/>
      <c r="AH262" s="124" t="n"/>
      <c r="AI262" s="124" t="n"/>
      <c r="AJ262" s="124" t="n"/>
      <c r="AK262" s="124" t="n"/>
    </row>
    <row r="263" ht="33" customHeight="1" thickBot="1">
      <c r="A263" s="1556" t="inlineStr">
        <is>
          <t>Reportées au-delà des délais négociés à la prochaine période d'établissement de rapport</t>
        </is>
      </c>
      <c r="B263" s="1388" t="n"/>
      <c r="C263" s="1388" t="n"/>
      <c r="D263" s="1389" t="n"/>
      <c r="E263" s="1557" t="n">
        <v>0</v>
      </c>
      <c r="F263" s="1409" t="n"/>
      <c r="G263" s="1144" t="n">
        <v>0</v>
      </c>
      <c r="H263" s="1409" t="n"/>
      <c r="I263" s="1557" t="n">
        <v>0</v>
      </c>
      <c r="J263" s="1409" t="n"/>
      <c r="K263" s="1147" t="n">
        <v>0</v>
      </c>
      <c r="L263" s="1418" t="n"/>
      <c r="M263" s="836" t="inlineStr">
        <is>
          <t>Section 7.1 - La somme des Rangées 5 et 6 sous "Nombre de pages à traiter" doit être égale au "Total" moins "Fermées pendant la période d'établissement de rapport" de la même Colonne.</t>
        </is>
      </c>
      <c r="AA263" s="124" t="n"/>
      <c r="AB263" s="124" t="n"/>
      <c r="AC263" s="124" t="n"/>
      <c r="AD263" s="124" t="n"/>
      <c r="AE263" s="124" t="n"/>
      <c r="AF263" s="124" t="n"/>
      <c r="AG263" s="124" t="n"/>
      <c r="AH263" s="124" t="n"/>
      <c r="AI263" s="124" t="n"/>
      <c r="AJ263" s="124" t="n"/>
      <c r="AK263" s="124" t="n"/>
    </row>
    <row r="264" ht="16.5" customHeight="1" thickTop="1">
      <c r="A264" s="69" t="n"/>
      <c r="B264" s="69" t="n"/>
      <c r="C264" s="69" t="n"/>
      <c r="D264" s="69" t="n"/>
      <c r="E264" s="69" t="n"/>
      <c r="F264" s="69" t="n"/>
      <c r="G264" s="451" t="n"/>
      <c r="H264" s="451" t="n"/>
      <c r="I264" s="69" t="n"/>
      <c r="J264" s="69" t="n"/>
      <c r="K264" s="69" t="n"/>
      <c r="L264" s="69" t="n"/>
      <c r="M264" s="26" t="n"/>
      <c r="T264" s="32" t="n"/>
    </row>
    <row r="265" ht="30.75" customHeight="1">
      <c r="A265" s="837" t="inlineStr">
        <is>
          <t>7.2 Recommandations et délai de traitement pour les demandes de consultation reçues d’autres institutions du gouvernement du Canada</t>
        </is>
      </c>
      <c r="T265" s="32" t="n"/>
    </row>
    <row r="266" ht="15.75" customHeight="1" thickBot="1">
      <c r="T266" s="32" t="n"/>
    </row>
    <row r="267" ht="14.25" customHeight="1" thickTop="1">
      <c r="A267" s="667" t="inlineStr">
        <is>
          <t>Recommandation</t>
        </is>
      </c>
      <c r="B267" s="1412" t="n"/>
      <c r="C267" s="1412" t="n"/>
      <c r="D267" s="1413" t="n"/>
      <c r="E267" s="626" t="inlineStr">
        <is>
          <t>Nombre de jours requis pour traiter les demandes de consultation</t>
        </is>
      </c>
      <c r="F267" s="1377" t="n"/>
      <c r="G267" s="1377" t="n"/>
      <c r="H267" s="1377" t="n"/>
      <c r="I267" s="1377" t="n"/>
      <c r="J267" s="1377" t="n"/>
      <c r="K267" s="1377" t="n"/>
      <c r="L267" s="1406" t="n"/>
      <c r="T267" s="32" t="n"/>
    </row>
    <row r="268" ht="28.9" customHeight="1" thickBot="1">
      <c r="A268" s="1397" t="n"/>
      <c r="B268" s="1390" t="n"/>
      <c r="C268" s="1390" t="n"/>
      <c r="D268" s="1391" t="n"/>
      <c r="E268" s="70" t="inlineStr">
        <is>
          <t>0 à 15 jours</t>
        </is>
      </c>
      <c r="F268" s="71" t="inlineStr">
        <is>
          <t>16 à 30 jours</t>
        </is>
      </c>
      <c r="G268" s="71" t="inlineStr">
        <is>
          <t>31 à 60 jours</t>
        </is>
      </c>
      <c r="H268" s="71" t="inlineStr">
        <is>
          <t>61 à 120 jours</t>
        </is>
      </c>
      <c r="I268" s="71" t="inlineStr">
        <is>
          <t>121 à 180 jours</t>
        </is>
      </c>
      <c r="J268" s="71" t="inlineStr">
        <is>
          <t>181 à 365 jours</t>
        </is>
      </c>
      <c r="K268" s="72" t="inlineStr">
        <is>
          <t>Plus de 365 jours</t>
        </is>
      </c>
      <c r="L268" s="249" t="inlineStr">
        <is>
          <t>Total</t>
        </is>
      </c>
      <c r="T268" s="32" t="n"/>
    </row>
    <row r="269" ht="15.75" customHeight="1" thickTop="1">
      <c r="A269" s="1463" t="inlineStr">
        <is>
          <t>Communiquer en entier</t>
        </is>
      </c>
      <c r="B269" s="1377" t="n"/>
      <c r="C269" s="1377" t="n"/>
      <c r="D269" s="1378" t="n"/>
      <c r="E269" s="815" t="n">
        <v>0</v>
      </c>
      <c r="F269" s="420" t="n">
        <v>0</v>
      </c>
      <c r="G269" s="420" t="n">
        <v>0</v>
      </c>
      <c r="H269" s="420" t="n">
        <v>0</v>
      </c>
      <c r="I269" s="420" t="n">
        <v>0</v>
      </c>
      <c r="J269" s="420" t="n">
        <v>0</v>
      </c>
      <c r="K269" s="597" t="n">
        <v>0</v>
      </c>
      <c r="L269" s="277">
        <f>SUM(E269:K269)</f>
        <v/>
      </c>
      <c r="M269" s="26" t="n"/>
      <c r="T269" s="32" t="n"/>
    </row>
    <row r="270">
      <c r="A270" s="1464" t="inlineStr">
        <is>
          <t>Communiquer en partie</t>
        </is>
      </c>
      <c r="B270" s="1381" t="n"/>
      <c r="C270" s="1381" t="n"/>
      <c r="D270" s="1383" t="n"/>
      <c r="E270" s="681" t="n">
        <v>0</v>
      </c>
      <c r="F270" s="344" t="n">
        <v>0</v>
      </c>
      <c r="G270" s="344" t="n">
        <v>0</v>
      </c>
      <c r="H270" s="344" t="n">
        <v>0</v>
      </c>
      <c r="I270" s="344" t="n">
        <v>0</v>
      </c>
      <c r="J270" s="344" t="n">
        <v>0</v>
      </c>
      <c r="K270" s="358" t="n">
        <v>0</v>
      </c>
      <c r="L270" s="278">
        <f>SUM(E270:K270)</f>
        <v/>
      </c>
      <c r="M270" s="26" t="n"/>
      <c r="T270" s="32" t="n"/>
    </row>
    <row r="271">
      <c r="A271" s="576" t="inlineStr">
        <is>
          <t>Exempter en entier</t>
        </is>
      </c>
      <c r="B271" s="1381" t="n"/>
      <c r="C271" s="1381" t="n"/>
      <c r="D271" s="1384" t="n"/>
      <c r="E271" s="681" t="n">
        <v>0</v>
      </c>
      <c r="F271" s="344" t="n">
        <v>0</v>
      </c>
      <c r="G271" s="344" t="n">
        <v>0</v>
      </c>
      <c r="H271" s="344" t="n">
        <v>0</v>
      </c>
      <c r="I271" s="344" t="n">
        <v>0</v>
      </c>
      <c r="J271" s="344" t="n">
        <v>0</v>
      </c>
      <c r="K271" s="358" t="n">
        <v>0</v>
      </c>
      <c r="L271" s="278">
        <f>SUM(E271:K271)</f>
        <v/>
      </c>
      <c r="M271" s="26" t="n"/>
      <c r="T271" s="32" t="n"/>
    </row>
    <row r="272">
      <c r="A272" s="576" t="inlineStr">
        <is>
          <t>Exclure en entier</t>
        </is>
      </c>
      <c r="B272" s="1381" t="n"/>
      <c r="C272" s="1381" t="n"/>
      <c r="D272" s="1384" t="n"/>
      <c r="E272" s="681" t="n">
        <v>0</v>
      </c>
      <c r="F272" s="344" t="n">
        <v>0</v>
      </c>
      <c r="G272" s="344" t="n">
        <v>0</v>
      </c>
      <c r="H272" s="344" t="n">
        <v>0</v>
      </c>
      <c r="I272" s="344" t="n">
        <v>0</v>
      </c>
      <c r="J272" s="344" t="n">
        <v>0</v>
      </c>
      <c r="K272" s="358" t="n">
        <v>0</v>
      </c>
      <c r="L272" s="278">
        <f>SUM(E272:K272)</f>
        <v/>
      </c>
      <c r="M272" s="26" t="n"/>
      <c r="T272" s="32" t="n"/>
    </row>
    <row r="273">
      <c r="A273" s="1464" t="inlineStr">
        <is>
          <t>Consulter une autre institution</t>
        </is>
      </c>
      <c r="B273" s="1381" t="n"/>
      <c r="C273" s="1381" t="n"/>
      <c r="D273" s="1383" t="n"/>
      <c r="E273" s="681" t="n">
        <v>0</v>
      </c>
      <c r="F273" s="344" t="n">
        <v>0</v>
      </c>
      <c r="G273" s="344" t="n">
        <v>0</v>
      </c>
      <c r="H273" s="344" t="n">
        <v>0</v>
      </c>
      <c r="I273" s="344" t="n">
        <v>0</v>
      </c>
      <c r="J273" s="344" t="n">
        <v>0</v>
      </c>
      <c r="K273" s="358" t="n">
        <v>0</v>
      </c>
      <c r="L273" s="278">
        <f>SUM(E273:K273)</f>
        <v/>
      </c>
      <c r="M273" s="26" t="n"/>
      <c r="T273" s="32" t="n"/>
    </row>
    <row r="274" ht="15.75" customHeight="1" thickBot="1">
      <c r="A274" s="1468" t="inlineStr">
        <is>
          <t>Autre</t>
        </is>
      </c>
      <c r="B274" s="1388" t="n"/>
      <c r="C274" s="1388" t="n"/>
      <c r="D274" s="1389" t="n"/>
      <c r="E274" s="680" t="n">
        <v>0</v>
      </c>
      <c r="F274" s="533" t="n">
        <v>0</v>
      </c>
      <c r="G274" s="533" t="n">
        <v>0</v>
      </c>
      <c r="H274" s="533" t="n">
        <v>0</v>
      </c>
      <c r="I274" s="533" t="n">
        <v>0</v>
      </c>
      <c r="J274" s="533" t="n">
        <v>0</v>
      </c>
      <c r="K274" s="534" t="n">
        <v>0</v>
      </c>
      <c r="L274" s="279">
        <f>SUM(E274:K274)</f>
        <v/>
      </c>
      <c r="M274" s="26" t="n"/>
      <c r="T274" s="32" t="n"/>
    </row>
    <row r="275" ht="16.5" customHeight="1" thickBot="1" thickTop="1">
      <c r="A275" s="598" t="inlineStr">
        <is>
          <t>Total</t>
        </is>
      </c>
      <c r="B275" s="1390" t="n"/>
      <c r="C275" s="1390" t="n"/>
      <c r="D275" s="1443" t="n"/>
      <c r="E275" s="543">
        <f>SUM(E269:E274)</f>
        <v/>
      </c>
      <c r="F275" s="336">
        <f>SUM(F269:F274)</f>
        <v/>
      </c>
      <c r="G275" s="336">
        <f>SUM(G269:G274)</f>
        <v/>
      </c>
      <c r="H275" s="336">
        <f>SUM(H269:H274)</f>
        <v/>
      </c>
      <c r="I275" s="336">
        <f>SUM(I269:I274)</f>
        <v/>
      </c>
      <c r="J275" s="336">
        <f>SUM(J269:J274)</f>
        <v/>
      </c>
      <c r="K275" s="337">
        <f>SUM(K269:K274)</f>
        <v/>
      </c>
      <c r="L275" s="276">
        <f>SUM(L269:L274)</f>
        <v/>
      </c>
      <c r="M275" s="836" t="inlineStr">
        <is>
          <t>Section 7.2 - Le total des totaux doit être égal à "Fermées pendant la période d'établissement de rapport" sous la colonne "Autres institution du gouvernement du Canada" de la Section 7.1</t>
        </is>
      </c>
    </row>
    <row r="276" ht="15.75" customHeight="1" thickTop="1"/>
    <row r="277">
      <c r="A277" s="837" t="inlineStr">
        <is>
          <t>7.3 Recommandations et délai de traitement pour les demandes de consultation reçues d’autres organisations</t>
        </is>
      </c>
      <c r="T277" s="32" t="n"/>
    </row>
    <row r="278" ht="15.75" customHeight="1" thickBot="1">
      <c r="T278" s="32" t="n"/>
    </row>
    <row r="279" ht="14.25" customHeight="1" thickTop="1">
      <c r="A279" s="667" t="inlineStr">
        <is>
          <t>Recommandation</t>
        </is>
      </c>
      <c r="B279" s="1412" t="n"/>
      <c r="C279" s="1412" t="n"/>
      <c r="D279" s="1413" t="n"/>
      <c r="E279" s="626" t="inlineStr">
        <is>
          <t>Nombre de jours requis pour traiter les demandes de consultation</t>
        </is>
      </c>
      <c r="F279" s="1377" t="n"/>
      <c r="G279" s="1377" t="n"/>
      <c r="H279" s="1377" t="n"/>
      <c r="I279" s="1377" t="n"/>
      <c r="J279" s="1377" t="n"/>
      <c r="K279" s="1377" t="n"/>
      <c r="L279" s="1406" t="n"/>
      <c r="T279" s="32" t="n"/>
    </row>
    <row r="280" ht="29.65" customHeight="1" thickBot="1">
      <c r="A280" s="1397" t="n"/>
      <c r="B280" s="1390" t="n"/>
      <c r="C280" s="1390" t="n"/>
      <c r="D280" s="1391" t="n"/>
      <c r="E280" s="70" t="inlineStr">
        <is>
          <t>0 à 15 jours</t>
        </is>
      </c>
      <c r="F280" s="71" t="inlineStr">
        <is>
          <t>16 à 30 jours</t>
        </is>
      </c>
      <c r="G280" s="71" t="inlineStr">
        <is>
          <t>31 à 60 jours</t>
        </is>
      </c>
      <c r="H280" s="71" t="inlineStr">
        <is>
          <t>61 à 120 jours</t>
        </is>
      </c>
      <c r="I280" s="71" t="inlineStr">
        <is>
          <t>121 à 180 jours</t>
        </is>
      </c>
      <c r="J280" s="71" t="inlineStr">
        <is>
          <t>181 à 365 jours</t>
        </is>
      </c>
      <c r="K280" s="72" t="inlineStr">
        <is>
          <t>Plus de 365 jours</t>
        </is>
      </c>
      <c r="L280" s="249" t="inlineStr">
        <is>
          <t>Total</t>
        </is>
      </c>
      <c r="T280" s="32" t="n"/>
    </row>
    <row r="281" ht="15.75" customHeight="1" thickTop="1">
      <c r="A281" s="1463" t="inlineStr">
        <is>
          <t>Communiquer en entier</t>
        </is>
      </c>
      <c r="B281" s="1377" t="n"/>
      <c r="C281" s="1377" t="n"/>
      <c r="D281" s="1378" t="n"/>
      <c r="E281" s="815" t="n">
        <v>0</v>
      </c>
      <c r="F281" s="420" t="n">
        <v>0</v>
      </c>
      <c r="G281" s="420" t="n">
        <v>0</v>
      </c>
      <c r="H281" s="420" t="n">
        <v>0</v>
      </c>
      <c r="I281" s="420" t="n">
        <v>0</v>
      </c>
      <c r="J281" s="420" t="n">
        <v>0</v>
      </c>
      <c r="K281" s="597" t="n">
        <v>0</v>
      </c>
      <c r="L281" s="277">
        <f>SUM(E281:K281)</f>
        <v/>
      </c>
      <c r="M281" s="26" t="n"/>
      <c r="T281" s="32" t="n"/>
    </row>
    <row r="282">
      <c r="A282" s="1464" t="inlineStr">
        <is>
          <t>Communiquer en partie</t>
        </is>
      </c>
      <c r="B282" s="1381" t="n"/>
      <c r="C282" s="1381" t="n"/>
      <c r="D282" s="1383" t="n"/>
      <c r="E282" s="681" t="n">
        <v>0</v>
      </c>
      <c r="F282" s="344" t="n">
        <v>0</v>
      </c>
      <c r="G282" s="344" t="n">
        <v>0</v>
      </c>
      <c r="H282" s="344" t="n">
        <v>0</v>
      </c>
      <c r="I282" s="344" t="n">
        <v>0</v>
      </c>
      <c r="J282" s="344" t="n">
        <v>0</v>
      </c>
      <c r="K282" s="358" t="n">
        <v>0</v>
      </c>
      <c r="L282" s="278">
        <f>SUM(E282:K282)</f>
        <v/>
      </c>
      <c r="M282" s="26" t="n"/>
      <c r="T282" s="32" t="n"/>
    </row>
    <row r="283">
      <c r="A283" s="576" t="inlineStr">
        <is>
          <t>Exempter en entier</t>
        </is>
      </c>
      <c r="B283" s="1381" t="n"/>
      <c r="C283" s="1381" t="n"/>
      <c r="D283" s="1384" t="n"/>
      <c r="E283" s="681" t="n">
        <v>0</v>
      </c>
      <c r="F283" s="344" t="n">
        <v>0</v>
      </c>
      <c r="G283" s="344" t="n">
        <v>0</v>
      </c>
      <c r="H283" s="344" t="n">
        <v>0</v>
      </c>
      <c r="I283" s="344" t="n">
        <v>0</v>
      </c>
      <c r="J283" s="344" t="n">
        <v>0</v>
      </c>
      <c r="K283" s="358" t="n">
        <v>0</v>
      </c>
      <c r="L283" s="278">
        <f>SUM(E283:K283)</f>
        <v/>
      </c>
      <c r="M283" s="26" t="n"/>
      <c r="T283" s="32" t="n"/>
    </row>
    <row r="284">
      <c r="A284" s="576" t="inlineStr">
        <is>
          <t>Exclure en entier</t>
        </is>
      </c>
      <c r="B284" s="1381" t="n"/>
      <c r="C284" s="1381" t="n"/>
      <c r="D284" s="1384" t="n"/>
      <c r="E284" s="681" t="n">
        <v>0</v>
      </c>
      <c r="F284" s="344" t="n">
        <v>0</v>
      </c>
      <c r="G284" s="344" t="n">
        <v>0</v>
      </c>
      <c r="H284" s="344" t="n">
        <v>0</v>
      </c>
      <c r="I284" s="344" t="n">
        <v>0</v>
      </c>
      <c r="J284" s="344" t="n">
        <v>0</v>
      </c>
      <c r="K284" s="358" t="n">
        <v>0</v>
      </c>
      <c r="L284" s="278">
        <f>SUM(E284:K284)</f>
        <v/>
      </c>
      <c r="M284" s="26" t="n"/>
      <c r="T284" s="32" t="n"/>
    </row>
    <row r="285">
      <c r="A285" s="1464" t="inlineStr">
        <is>
          <t>Consulter une autre institution</t>
        </is>
      </c>
      <c r="B285" s="1381" t="n"/>
      <c r="C285" s="1381" t="n"/>
      <c r="D285" s="1383" t="n"/>
      <c r="E285" s="681" t="n">
        <v>0</v>
      </c>
      <c r="F285" s="344" t="n">
        <v>0</v>
      </c>
      <c r="G285" s="344" t="n">
        <v>0</v>
      </c>
      <c r="H285" s="344" t="n">
        <v>0</v>
      </c>
      <c r="I285" s="344" t="n">
        <v>0</v>
      </c>
      <c r="J285" s="344" t="n">
        <v>0</v>
      </c>
      <c r="K285" s="358" t="n">
        <v>0</v>
      </c>
      <c r="L285" s="278">
        <f>SUM(E285:K285)</f>
        <v/>
      </c>
      <c r="M285" s="26" t="n"/>
      <c r="T285" s="32" t="n"/>
    </row>
    <row r="286" ht="15.75" customHeight="1" thickBot="1">
      <c r="A286" s="1468" t="inlineStr">
        <is>
          <t>Autre</t>
        </is>
      </c>
      <c r="B286" s="1388" t="n"/>
      <c r="C286" s="1388" t="n"/>
      <c r="D286" s="1389" t="n"/>
      <c r="E286" s="680" t="n">
        <v>0</v>
      </c>
      <c r="F286" s="533" t="n">
        <v>0</v>
      </c>
      <c r="G286" s="533" t="n">
        <v>0</v>
      </c>
      <c r="H286" s="533" t="n">
        <v>0</v>
      </c>
      <c r="I286" s="533" t="n">
        <v>0</v>
      </c>
      <c r="J286" s="533" t="n">
        <v>0</v>
      </c>
      <c r="K286" s="534" t="n">
        <v>0</v>
      </c>
      <c r="L286" s="279">
        <f>SUM(E286:K286)</f>
        <v/>
      </c>
      <c r="M286" s="26" t="n"/>
      <c r="T286" s="32" t="n"/>
    </row>
    <row r="287" ht="16.5" customHeight="1" thickBot="1" thickTop="1">
      <c r="A287" s="1039" t="inlineStr">
        <is>
          <t>Total</t>
        </is>
      </c>
      <c r="B287" s="1374" t="n"/>
      <c r="C287" s="1374" t="n"/>
      <c r="D287" s="1405" t="n"/>
      <c r="E287" s="809">
        <f>SUM(E281:E286)</f>
        <v/>
      </c>
      <c r="F287" s="810">
        <f>SUM(F281:F286)</f>
        <v/>
      </c>
      <c r="G287" s="810">
        <f>SUM(G281:G286)</f>
        <v/>
      </c>
      <c r="H287" s="810">
        <f>SUM(H281:H286)</f>
        <v/>
      </c>
      <c r="I287" s="810">
        <f>SUM(I281:I286)</f>
        <v/>
      </c>
      <c r="J287" s="810">
        <f>SUM(J281:J286)</f>
        <v/>
      </c>
      <c r="K287" s="1148">
        <f>SUM(K281:K286)</f>
        <v/>
      </c>
      <c r="L287" s="321">
        <f>SUM(E287:K287)</f>
        <v/>
      </c>
      <c r="M287" s="836" t="inlineStr">
        <is>
          <t>Section 7.3 - Le "Total" des totaux doit être égal à "Fermées pendant la période d'établissement de rapport" sous la colonne "Autres organisations" de la Section 7.1</t>
        </is>
      </c>
    </row>
    <row r="288" ht="15.75" customHeight="1" thickTop="1">
      <c r="A288" s="710" t="n"/>
      <c r="B288" s="710" t="n"/>
      <c r="C288" s="710" t="n"/>
      <c r="D288" s="710" t="n"/>
      <c r="E288" s="710" t="n"/>
      <c r="F288" s="710" t="n"/>
      <c r="G288" s="710" t="n"/>
      <c r="H288" s="710" t="n"/>
      <c r="I288" s="710" t="n"/>
      <c r="J288" s="710" t="n"/>
      <c r="K288" s="710" t="n"/>
      <c r="L288" s="710" t="n"/>
    </row>
    <row r="289" ht="15.75" customHeight="1">
      <c r="A289" s="496" t="inlineStr">
        <is>
          <t>Section 8 – Délais de traitement des demandes de consultation sur les documents confidentiels du Cabinet</t>
        </is>
      </c>
      <c r="T289" s="32" t="n"/>
    </row>
    <row r="290">
      <c r="T290" s="32" t="n"/>
    </row>
    <row r="291">
      <c r="A291" s="326" t="inlineStr">
        <is>
          <t>8.1  Demandes auprès des services juridiques</t>
        </is>
      </c>
      <c r="T291" s="32" t="n"/>
    </row>
    <row r="292" ht="15.75" customHeight="1" thickBot="1">
      <c r="T292" s="32" t="n"/>
    </row>
    <row r="293" ht="26.25" customHeight="1" thickTop="1">
      <c r="A293" s="1461" t="inlineStr">
        <is>
          <t>Nombre de jours</t>
        </is>
      </c>
      <c r="B293" s="1413" t="n"/>
      <c r="C293" s="1484" t="inlineStr">
        <is>
          <t>Moins de 100 pages traitées</t>
        </is>
      </c>
      <c r="D293" s="1378" t="n"/>
      <c r="E293" s="1484" t="inlineStr">
        <is>
          <t>De 100 à 500 pages traitées</t>
        </is>
      </c>
      <c r="F293" s="1378" t="n"/>
      <c r="G293" s="670" t="inlineStr">
        <is>
          <t>De 501 à 1 000 pages traitées</t>
        </is>
      </c>
      <c r="H293" s="1406" t="n"/>
      <c r="I293" s="803" t="inlineStr">
        <is>
          <t>De 1 001 à 5 000 pages traitées</t>
        </is>
      </c>
      <c r="J293" s="1406" t="n"/>
      <c r="K293" s="670" t="inlineStr">
        <is>
          <t>Plus de 5 000 pages traitées</t>
        </is>
      </c>
      <c r="L293" s="1406" t="n"/>
      <c r="T293" s="32" t="n"/>
    </row>
    <row r="294" ht="40.5" customHeight="1" thickBot="1">
      <c r="A294" s="1397" t="n"/>
      <c r="B294" s="1391" t="n"/>
      <c r="C294" s="73" t="inlineStr">
        <is>
          <t>Nombre de demandes</t>
        </is>
      </c>
      <c r="D294" s="74" t="inlineStr">
        <is>
          <t>Pages communiquées</t>
        </is>
      </c>
      <c r="E294" s="73" t="inlineStr">
        <is>
          <t>Nombre de demandes</t>
        </is>
      </c>
      <c r="F294" s="75" t="inlineStr">
        <is>
          <t>Pages communiquées</t>
        </is>
      </c>
      <c r="G294" s="73" t="inlineStr">
        <is>
          <t>Nombre de demandes</t>
        </is>
      </c>
      <c r="H294" s="74" t="inlineStr">
        <is>
          <t>Pages communiquées</t>
        </is>
      </c>
      <c r="I294" s="73" t="inlineStr">
        <is>
          <t>Nombre de demandes</t>
        </is>
      </c>
      <c r="J294" s="75" t="inlineStr">
        <is>
          <t>Pages communiquées</t>
        </is>
      </c>
      <c r="K294" s="73" t="inlineStr">
        <is>
          <t>Nombre de demandes</t>
        </is>
      </c>
      <c r="L294" s="74" t="inlineStr">
        <is>
          <t>Pages communiquées</t>
        </is>
      </c>
      <c r="T294" s="32" t="n"/>
    </row>
    <row r="295" ht="15.75" customHeight="1" thickTop="1">
      <c r="A295" s="593" t="inlineStr">
        <is>
          <t>1 à 15</t>
        </is>
      </c>
      <c r="B295" s="1398" t="n"/>
      <c r="C295" s="753" t="n">
        <v>0</v>
      </c>
      <c r="D295" s="877" t="n">
        <v>0</v>
      </c>
      <c r="E295" s="901" t="n">
        <v>0</v>
      </c>
      <c r="F295" s="902" t="n">
        <v>0</v>
      </c>
      <c r="G295" s="753" t="n">
        <v>0</v>
      </c>
      <c r="H295" s="877" t="n">
        <v>0</v>
      </c>
      <c r="I295" s="901" t="n">
        <v>0</v>
      </c>
      <c r="J295" s="902" t="n">
        <v>0</v>
      </c>
      <c r="K295" s="753" t="n">
        <v>0</v>
      </c>
      <c r="L295" s="877" t="n">
        <v>0</v>
      </c>
      <c r="M295" s="197">
        <f>IFERROR(IF(D302/C302&gt;99,"Section 8.1 - Le nombre total de pages ""Pages communiquées"" divisé par le ""Nombre de demandes"" dans ""Moins de 100 pages traitées"" doit être égal ou inférieur à 99.",""),"")</f>
        <v/>
      </c>
      <c r="T295" s="32" t="n"/>
    </row>
    <row r="296" ht="14.25" customHeight="1">
      <c r="A296" s="1485" t="inlineStr">
        <is>
          <t>16 à 30</t>
        </is>
      </c>
      <c r="B296" s="1383" t="n"/>
      <c r="C296" s="618" t="n">
        <v>0</v>
      </c>
      <c r="D296" s="387" t="n">
        <v>0</v>
      </c>
      <c r="E296" s="400" t="n">
        <v>0</v>
      </c>
      <c r="F296" s="401" t="n">
        <v>0</v>
      </c>
      <c r="G296" s="618" t="n">
        <v>0</v>
      </c>
      <c r="H296" s="387" t="n">
        <v>0</v>
      </c>
      <c r="I296" s="400" t="n">
        <v>0</v>
      </c>
      <c r="J296" s="401" t="n">
        <v>0</v>
      </c>
      <c r="K296" s="618" t="n">
        <v>0</v>
      </c>
      <c r="L296" s="387" t="n">
        <v>0</v>
      </c>
      <c r="M296" s="197">
        <f>IFERROR(IF(F302/E302&gt;500,"Section 8.1 - Le nombre total de pages ""Pages communiquées"" divisé par le ""Nombre de demandes"" dans ""De 100 à 500 pages traitées"" doit être égal ou inférieur à 500.",""),"")</f>
        <v/>
      </c>
      <c r="T296" s="32" t="n"/>
    </row>
    <row r="297">
      <c r="A297" s="576" t="inlineStr">
        <is>
          <t>31 à 60</t>
        </is>
      </c>
      <c r="B297" s="1384" t="n"/>
      <c r="C297" s="618" t="n">
        <v>0</v>
      </c>
      <c r="D297" s="387" t="n">
        <v>0</v>
      </c>
      <c r="E297" s="400" t="n">
        <v>0</v>
      </c>
      <c r="F297" s="401" t="n">
        <v>0</v>
      </c>
      <c r="G297" s="618" t="n">
        <v>0</v>
      </c>
      <c r="H297" s="387" t="n">
        <v>0</v>
      </c>
      <c r="I297" s="400" t="n">
        <v>0</v>
      </c>
      <c r="J297" s="401" t="n">
        <v>0</v>
      </c>
      <c r="K297" s="618" t="n">
        <v>0</v>
      </c>
      <c r="L297" s="387" t="n">
        <v>0</v>
      </c>
      <c r="M297" s="197">
        <f>IFERROR(IF(H302/G302&gt;1000,"Section 8.1 - Le nombre total de pages ""Pages communiquées"" divisé par le ""Nombre de demandes"" dans ""De 501 à 1 000 pages traitées"" doit être égal ou inférieur à 1 000.",""),"")</f>
        <v/>
      </c>
      <c r="T297" s="32" t="n"/>
    </row>
    <row r="298">
      <c r="A298" s="576" t="inlineStr">
        <is>
          <t>61 à 120</t>
        </is>
      </c>
      <c r="B298" s="1384" t="n"/>
      <c r="C298" s="618" t="n">
        <v>0</v>
      </c>
      <c r="D298" s="387" t="n">
        <v>0</v>
      </c>
      <c r="E298" s="400" t="n">
        <v>0</v>
      </c>
      <c r="F298" s="401" t="n">
        <v>0</v>
      </c>
      <c r="G298" s="618" t="n">
        <v>0</v>
      </c>
      <c r="H298" s="387" t="n">
        <v>0</v>
      </c>
      <c r="I298" s="400" t="n">
        <v>0</v>
      </c>
      <c r="J298" s="401" t="n">
        <v>0</v>
      </c>
      <c r="K298" s="618" t="n">
        <v>0</v>
      </c>
      <c r="L298" s="387" t="n">
        <v>0</v>
      </c>
      <c r="M298" s="197">
        <f>IFERROR(IF(J302/I302&gt;5000,"Section 8.1 - Le nombre total de pages ""Pages communiquées"" divisé par le ""Nombre de demandes"" dans ""De 1 001 à 5 000 pages traitées"" doit être égal ou inférieur à 5 000.",""),"")</f>
        <v/>
      </c>
      <c r="T298" s="32" t="n"/>
    </row>
    <row r="299">
      <c r="A299" s="1464" t="inlineStr">
        <is>
          <t>121 à 180</t>
        </is>
      </c>
      <c r="B299" s="1383" t="n"/>
      <c r="C299" s="618" t="n">
        <v>0</v>
      </c>
      <c r="D299" s="401" t="n">
        <v>0</v>
      </c>
      <c r="E299" s="618" t="n">
        <v>0</v>
      </c>
      <c r="F299" s="401" t="n">
        <v>0</v>
      </c>
      <c r="G299" s="618" t="n">
        <v>0</v>
      </c>
      <c r="H299" s="401" t="n">
        <v>0</v>
      </c>
      <c r="I299" s="618" t="n">
        <v>0</v>
      </c>
      <c r="J299" s="401" t="n">
        <v>0</v>
      </c>
      <c r="K299" s="618" t="n">
        <v>0</v>
      </c>
      <c r="L299" s="387" t="n">
        <v>0</v>
      </c>
      <c r="T299" s="32" t="n"/>
    </row>
    <row r="300">
      <c r="A300" s="576" t="inlineStr">
        <is>
          <t>181 à 365</t>
        </is>
      </c>
      <c r="B300" s="1384" t="n"/>
      <c r="C300" s="618" t="n">
        <v>0</v>
      </c>
      <c r="D300" s="401" t="n">
        <v>0</v>
      </c>
      <c r="E300" s="618" t="n">
        <v>0</v>
      </c>
      <c r="F300" s="401" t="n">
        <v>0</v>
      </c>
      <c r="G300" s="618" t="n">
        <v>0</v>
      </c>
      <c r="H300" s="401" t="n">
        <v>0</v>
      </c>
      <c r="I300" s="618" t="n">
        <v>0</v>
      </c>
      <c r="J300" s="401" t="n">
        <v>0</v>
      </c>
      <c r="K300" s="618" t="n">
        <v>0</v>
      </c>
      <c r="L300" s="387" t="n">
        <v>0</v>
      </c>
      <c r="T300" s="32" t="n"/>
    </row>
    <row r="301" ht="14.65" customHeight="1" thickBot="1">
      <c r="A301" s="1486" t="inlineStr">
        <is>
          <t>Plus de 365</t>
        </is>
      </c>
      <c r="B301" s="1389" t="n"/>
      <c r="C301" s="1" t="n">
        <v>0</v>
      </c>
      <c r="D301" s="2" t="n">
        <v>0</v>
      </c>
      <c r="E301" s="1" t="n">
        <v>0</v>
      </c>
      <c r="F301" s="2" t="n">
        <v>0</v>
      </c>
      <c r="G301" s="1" t="n">
        <v>0</v>
      </c>
      <c r="H301" s="2" t="n">
        <v>0</v>
      </c>
      <c r="I301" s="1" t="n">
        <v>0</v>
      </c>
      <c r="J301" s="2" t="n">
        <v>0</v>
      </c>
      <c r="K301" s="1" t="n">
        <v>0</v>
      </c>
      <c r="L301" s="254" t="n">
        <v>0</v>
      </c>
      <c r="T301" s="32" t="n"/>
    </row>
    <row r="302" ht="16.5" customHeight="1" thickBot="1" thickTop="1">
      <c r="A302" s="598" t="inlineStr">
        <is>
          <t>Total</t>
        </is>
      </c>
      <c r="B302" s="1443" t="n"/>
      <c r="C302" s="543">
        <f>SUM(C295:C301)</f>
        <v/>
      </c>
      <c r="D302" s="360">
        <f>SUM(D295:D301)</f>
        <v/>
      </c>
      <c r="E302" s="543">
        <f>SUM(E295:E301)</f>
        <v/>
      </c>
      <c r="F302" s="360">
        <f>SUM(F295:F301)</f>
        <v/>
      </c>
      <c r="G302" s="543">
        <f>SUM(G295:G301)</f>
        <v/>
      </c>
      <c r="H302" s="360">
        <f>SUM(H295:H301)</f>
        <v/>
      </c>
      <c r="I302" s="543">
        <f>SUM(I295:I301)</f>
        <v/>
      </c>
      <c r="J302" s="360">
        <f>SUM(J295:J301)</f>
        <v/>
      </c>
      <c r="K302" s="543">
        <f>SUM(K295:K301)</f>
        <v/>
      </c>
      <c r="L302" s="360">
        <f>SUM(L295:L301)</f>
        <v/>
      </c>
      <c r="T302" s="32" t="n"/>
    </row>
    <row r="303" ht="15.75" customHeight="1" thickTop="1">
      <c r="A303" s="51" t="n"/>
      <c r="B303" s="51" t="n"/>
      <c r="C303" s="451" t="n"/>
      <c r="D303" s="451" t="n"/>
      <c r="E303" s="451" t="n"/>
      <c r="F303" s="451" t="n"/>
      <c r="G303" s="451" t="n"/>
      <c r="H303" s="451" t="n"/>
      <c r="I303" s="451" t="n"/>
      <c r="J303" s="451" t="n"/>
      <c r="K303" s="451" t="n"/>
      <c r="L303" s="451" t="n"/>
      <c r="T303" s="32" t="n"/>
    </row>
    <row r="304">
      <c r="A304" s="326" t="inlineStr">
        <is>
          <t>8.2 Demandes auprès du Bureau du Conseil privé</t>
        </is>
      </c>
      <c r="T304" s="32" t="n"/>
    </row>
    <row r="305" ht="15.75" customHeight="1" thickBot="1">
      <c r="T305" s="32" t="n"/>
    </row>
    <row r="306" ht="27.75" customHeight="1" thickTop="1">
      <c r="A306" s="1461" t="inlineStr">
        <is>
          <t>Nombre de jours</t>
        </is>
      </c>
      <c r="B306" s="1413" t="n"/>
      <c r="C306" s="1484" t="inlineStr">
        <is>
          <t>Moins de 100 pages traitées</t>
        </is>
      </c>
      <c r="D306" s="1378" t="n"/>
      <c r="E306" s="1484" t="inlineStr">
        <is>
          <t>De 100 à 500 pages traitées</t>
        </is>
      </c>
      <c r="F306" s="1378" t="n"/>
      <c r="G306" s="670" t="inlineStr">
        <is>
          <t>De 501 à 1 000 pages traitées</t>
        </is>
      </c>
      <c r="H306" s="1406" t="n"/>
      <c r="I306" s="803" t="inlineStr">
        <is>
          <t>De 1 001 à 5 000 pages traitées</t>
        </is>
      </c>
      <c r="J306" s="1406" t="n"/>
      <c r="K306" s="670" t="inlineStr">
        <is>
          <t>Plus de 5 000 pages traitées</t>
        </is>
      </c>
      <c r="L306" s="1406" t="n"/>
      <c r="T306" s="32" t="n"/>
    </row>
    <row r="307" ht="37.5" customHeight="1" thickBot="1">
      <c r="A307" s="1397" t="n"/>
      <c r="B307" s="1391" t="n"/>
      <c r="C307" s="73" t="inlineStr">
        <is>
          <t>Nombre de demandes</t>
        </is>
      </c>
      <c r="D307" s="74" t="inlineStr">
        <is>
          <t>Pages communiquées</t>
        </is>
      </c>
      <c r="E307" s="73" t="inlineStr">
        <is>
          <t>Nombre de demandes</t>
        </is>
      </c>
      <c r="F307" s="75" t="inlineStr">
        <is>
          <t>Pages communiquées</t>
        </is>
      </c>
      <c r="G307" s="73" t="inlineStr">
        <is>
          <t>Nombre de demandes</t>
        </is>
      </c>
      <c r="H307" s="74" t="inlineStr">
        <is>
          <t>Pages communiquées</t>
        </is>
      </c>
      <c r="I307" s="73" t="inlineStr">
        <is>
          <t>Nombre de demandes</t>
        </is>
      </c>
      <c r="J307" s="75" t="inlineStr">
        <is>
          <t>Pages communiquées</t>
        </is>
      </c>
      <c r="K307" s="73" t="inlineStr">
        <is>
          <t>Nombre de demandes</t>
        </is>
      </c>
      <c r="L307" s="74" t="inlineStr">
        <is>
          <t>Pages communiquées</t>
        </is>
      </c>
      <c r="T307" s="32" t="n"/>
    </row>
    <row r="308" ht="15.75" customHeight="1" thickTop="1">
      <c r="A308" s="593" t="inlineStr">
        <is>
          <t>1 à 15</t>
        </is>
      </c>
      <c r="B308" s="1398" t="n"/>
      <c r="C308" s="753" t="n">
        <v>0</v>
      </c>
      <c r="D308" s="877" t="n">
        <v>0</v>
      </c>
      <c r="E308" s="901" t="n">
        <v>0</v>
      </c>
      <c r="F308" s="902" t="n">
        <v>0</v>
      </c>
      <c r="G308" s="753" t="n">
        <v>0</v>
      </c>
      <c r="H308" s="877" t="n">
        <v>0</v>
      </c>
      <c r="I308" s="901" t="n">
        <v>0</v>
      </c>
      <c r="J308" s="902" t="n">
        <v>0</v>
      </c>
      <c r="K308" s="753" t="n">
        <v>0</v>
      </c>
      <c r="L308" s="877" t="n">
        <v>0</v>
      </c>
      <c r="M308" s="197">
        <f>IFERROR(IF(D315/C315&gt;99,"Section 8.2 - Le nombre total de pages ""Pages communiquées"" divisé par le ""Nombre de demandes"" dans ""Moins de 100 pages traitées"" doit être égal ou inférieur à 99.",""),"")</f>
        <v/>
      </c>
      <c r="T308" s="32" t="n"/>
    </row>
    <row r="309" ht="14.25" customHeight="1">
      <c r="A309" s="1485" t="inlineStr">
        <is>
          <t>16 à 30</t>
        </is>
      </c>
      <c r="B309" s="1383" t="n"/>
      <c r="C309" s="618" t="n">
        <v>0</v>
      </c>
      <c r="D309" s="387" t="n">
        <v>0</v>
      </c>
      <c r="E309" s="400" t="n">
        <v>0</v>
      </c>
      <c r="F309" s="401" t="n">
        <v>0</v>
      </c>
      <c r="G309" s="618" t="n">
        <v>0</v>
      </c>
      <c r="H309" s="387" t="n">
        <v>0</v>
      </c>
      <c r="I309" s="400" t="n">
        <v>0</v>
      </c>
      <c r="J309" s="401" t="n">
        <v>0</v>
      </c>
      <c r="K309" s="618" t="n">
        <v>0</v>
      </c>
      <c r="L309" s="387" t="n">
        <v>0</v>
      </c>
      <c r="M309" s="197">
        <f>IFERROR(IF(F315/E315&gt;500,"Section 8.2 - Le nombre total de pages ""Pages communiquées"" divisé par le ""Nombre de demandes"" dans ""De 100 à 500 pages traitées"" doit être égal ou inférieur à 500.",""),"")</f>
        <v/>
      </c>
      <c r="T309" s="32" t="n"/>
    </row>
    <row r="310">
      <c r="A310" s="576" t="inlineStr">
        <is>
          <t>31 à 60</t>
        </is>
      </c>
      <c r="B310" s="1384" t="n"/>
      <c r="C310" s="618" t="n">
        <v>0</v>
      </c>
      <c r="D310" s="387" t="n">
        <v>0</v>
      </c>
      <c r="E310" s="400" t="n">
        <v>0</v>
      </c>
      <c r="F310" s="401" t="n">
        <v>0</v>
      </c>
      <c r="G310" s="618" t="n">
        <v>0</v>
      </c>
      <c r="H310" s="387" t="n">
        <v>0</v>
      </c>
      <c r="I310" s="400" t="n">
        <v>0</v>
      </c>
      <c r="J310" s="401" t="n">
        <v>0</v>
      </c>
      <c r="K310" s="618" t="n">
        <v>0</v>
      </c>
      <c r="L310" s="387" t="n">
        <v>0</v>
      </c>
      <c r="M310" s="197">
        <f>IFERROR(IF(H315/G315&gt;1000,"Section 8.2 - Le nombre total de pages ""Pages communiquées"" divisé par le ""Nombre de demandes"" dans ""De 501 à 1 000 pages traitées"" doit être égal ou inférieur à 1 000.",""),"")</f>
        <v/>
      </c>
      <c r="T310" s="32" t="n"/>
    </row>
    <row r="311">
      <c r="A311" s="576" t="inlineStr">
        <is>
          <t>61 à 120</t>
        </is>
      </c>
      <c r="B311" s="1384" t="n"/>
      <c r="C311" s="618" t="n">
        <v>0</v>
      </c>
      <c r="D311" s="387" t="n">
        <v>0</v>
      </c>
      <c r="E311" s="400" t="n">
        <v>0</v>
      </c>
      <c r="F311" s="401" t="n">
        <v>0</v>
      </c>
      <c r="G311" s="618" t="n">
        <v>0</v>
      </c>
      <c r="H311" s="387" t="n">
        <v>0</v>
      </c>
      <c r="I311" s="400" t="n">
        <v>0</v>
      </c>
      <c r="J311" s="401" t="n">
        <v>0</v>
      </c>
      <c r="K311" s="618" t="n">
        <v>0</v>
      </c>
      <c r="L311" s="387" t="n">
        <v>0</v>
      </c>
      <c r="M311" s="197">
        <f>IFERROR(IF(J315/I315&gt;5000,"Section 8.2 - Le nombre total de pages ""Pages communiquées"" divisé par le ""Nombre de demandes"" dans ""De 1 001 à 5 000 pages traitées"" doit être égal ou inférieur à 5 000.",""),"")</f>
        <v/>
      </c>
      <c r="T311" s="32" t="n"/>
    </row>
    <row r="312">
      <c r="A312" s="1464" t="inlineStr">
        <is>
          <t>121 à 180</t>
        </is>
      </c>
      <c r="B312" s="1383" t="n"/>
      <c r="C312" s="618" t="n">
        <v>0</v>
      </c>
      <c r="D312" s="401" t="n">
        <v>0</v>
      </c>
      <c r="E312" s="618" t="n">
        <v>0</v>
      </c>
      <c r="F312" s="401" t="n">
        <v>0</v>
      </c>
      <c r="G312" s="618" t="n">
        <v>0</v>
      </c>
      <c r="H312" s="401" t="n">
        <v>0</v>
      </c>
      <c r="I312" s="618" t="n">
        <v>0</v>
      </c>
      <c r="J312" s="401" t="n">
        <v>0</v>
      </c>
      <c r="K312" s="618" t="n">
        <v>0</v>
      </c>
      <c r="L312" s="387" t="n">
        <v>0</v>
      </c>
      <c r="T312" s="32" t="n"/>
    </row>
    <row r="313">
      <c r="A313" s="576" t="inlineStr">
        <is>
          <t>181 à 365</t>
        </is>
      </c>
      <c r="B313" s="1384" t="n"/>
      <c r="C313" s="618" t="n">
        <v>0</v>
      </c>
      <c r="D313" s="401" t="n">
        <v>0</v>
      </c>
      <c r="E313" s="618" t="n">
        <v>0</v>
      </c>
      <c r="F313" s="401" t="n">
        <v>0</v>
      </c>
      <c r="G313" s="618" t="n">
        <v>0</v>
      </c>
      <c r="H313" s="401" t="n">
        <v>0</v>
      </c>
      <c r="I313" s="618" t="n">
        <v>0</v>
      </c>
      <c r="J313" s="401" t="n">
        <v>0</v>
      </c>
      <c r="K313" s="618" t="n">
        <v>0</v>
      </c>
      <c r="L313" s="387" t="n">
        <v>0</v>
      </c>
      <c r="T313" s="32" t="n"/>
    </row>
    <row r="314" ht="14.65" customHeight="1" thickBot="1">
      <c r="A314" s="1486" t="inlineStr">
        <is>
          <t>Plus de 365</t>
        </is>
      </c>
      <c r="B314" s="1389" t="n"/>
      <c r="C314" s="1" t="n">
        <v>0</v>
      </c>
      <c r="D314" s="2" t="n">
        <v>0</v>
      </c>
      <c r="E314" s="1" t="n">
        <v>0</v>
      </c>
      <c r="F314" s="2" t="n">
        <v>0</v>
      </c>
      <c r="G314" s="1" t="n">
        <v>0</v>
      </c>
      <c r="H314" s="2" t="n">
        <v>0</v>
      </c>
      <c r="I314" s="1" t="n">
        <v>0</v>
      </c>
      <c r="J314" s="2" t="n">
        <v>0</v>
      </c>
      <c r="K314" s="1" t="n">
        <v>0</v>
      </c>
      <c r="L314" s="254" t="n">
        <v>0</v>
      </c>
      <c r="T314" s="32" t="n"/>
    </row>
    <row r="315" ht="16.5" customHeight="1" thickBot="1" thickTop="1">
      <c r="A315" s="598" t="inlineStr">
        <is>
          <t>Total</t>
        </is>
      </c>
      <c r="B315" s="1443" t="n"/>
      <c r="C315" s="543">
        <f>SUM(C308:C314)</f>
        <v/>
      </c>
      <c r="D315" s="360">
        <f>SUM(D308:D314)</f>
        <v/>
      </c>
      <c r="E315" s="543">
        <f>SUM(E308:E314)</f>
        <v/>
      </c>
      <c r="F315" s="360">
        <f>SUM(F308:F314)</f>
        <v/>
      </c>
      <c r="G315" s="543">
        <f>SUM(G308:G314)</f>
        <v/>
      </c>
      <c r="H315" s="360">
        <f>SUM(H308:H314)</f>
        <v/>
      </c>
      <c r="I315" s="543">
        <f>SUM(I308:I314)</f>
        <v/>
      </c>
      <c r="J315" s="360">
        <f>SUM(J308:J314)</f>
        <v/>
      </c>
      <c r="K315" s="543">
        <f>SUM(K308:K314)</f>
        <v/>
      </c>
      <c r="L315" s="360">
        <f>SUM(L308:L314)</f>
        <v/>
      </c>
      <c r="T315" s="32" t="n"/>
    </row>
    <row r="316" ht="15.75" customHeight="1" thickTop="1">
      <c r="A316" s="710" t="n"/>
      <c r="T316" s="32" t="n"/>
    </row>
    <row r="317" ht="15.75" customHeight="1">
      <c r="A317" s="631" t="inlineStr">
        <is>
          <t>Section 9 – Avis de plaintes et d'enquêtes reçus</t>
        </is>
      </c>
      <c r="T317" s="32" t="n"/>
    </row>
    <row r="318" ht="15.75" customHeight="1" thickBot="1">
      <c r="T318" s="32" t="n"/>
    </row>
    <row r="319" ht="15.75" customFormat="1" customHeight="1" s="32" thickBot="1" thickTop="1">
      <c r="A319" s="429" t="inlineStr">
        <is>
          <t>Article 31</t>
        </is>
      </c>
      <c r="B319" s="1405" t="n"/>
      <c r="C319" s="332" t="inlineStr">
        <is>
          <t>Article 33</t>
        </is>
      </c>
      <c r="D319" s="1405" t="n"/>
      <c r="E319" s="1439" t="inlineStr">
        <is>
          <t>Article 35</t>
        </is>
      </c>
      <c r="F319" s="1405" t="n"/>
      <c r="G319" s="1541" t="inlineStr">
        <is>
          <t>Recours judiciaire</t>
        </is>
      </c>
      <c r="H319" s="1375" t="n"/>
      <c r="I319" s="1507" t="inlineStr">
        <is>
          <t>Total</t>
        </is>
      </c>
      <c r="J319" s="1375" t="n"/>
      <c r="M319" s="76" t="n"/>
      <c r="N319" s="76" t="n"/>
    </row>
    <row r="320" ht="17.25" customFormat="1" customHeight="1" s="77" thickBot="1" thickTop="1">
      <c r="A320" s="412" t="n">
        <v>0</v>
      </c>
      <c r="B320" s="1432" t="n"/>
      <c r="C320" s="413" t="n">
        <v>0</v>
      </c>
      <c r="D320" s="1432" t="n"/>
      <c r="E320" s="413" t="n">
        <v>0</v>
      </c>
      <c r="F320" s="1432" t="n"/>
      <c r="G320" s="824" t="n">
        <v>0</v>
      </c>
      <c r="H320" s="1431" t="n"/>
      <c r="I320" s="321">
        <f>SUM(A320:H320)</f>
        <v/>
      </c>
      <c r="J320" s="1375" t="n"/>
      <c r="L320" s="32" t="n"/>
      <c r="M320" s="76" t="n"/>
      <c r="N320" s="76" t="n"/>
      <c r="T320" s="32" t="n"/>
      <c r="U320" s="32" t="n"/>
      <c r="V320" s="32" t="n"/>
      <c r="W320" s="32" t="n"/>
      <c r="X320" s="32" t="n"/>
      <c r="Y320" s="32" t="n"/>
      <c r="Z320" s="32" t="n"/>
      <c r="AA320" s="32" t="n"/>
      <c r="AB320" s="32" t="n"/>
      <c r="AC320" s="32" t="n"/>
      <c r="AD320" s="32" t="n"/>
    </row>
    <row r="321" ht="15.75" customHeight="1" thickTop="1">
      <c r="T321" s="32" t="n"/>
    </row>
    <row r="322" ht="15.75" customHeight="1">
      <c r="A322" s="496" t="inlineStr">
        <is>
          <t>Section 10 – Évaluations des facteurs relatifs à la vie privée (ÉFVP) et des Fichiers de renseignements personnels (FRP)</t>
        </is>
      </c>
      <c r="T322" s="32" t="n"/>
    </row>
    <row r="323">
      <c r="T323" s="32" t="n"/>
    </row>
    <row r="324" ht="15" customHeight="1" thickBot="1">
      <c r="A324" s="1274" t="inlineStr">
        <is>
          <t>10.1 Évaluations des facteurs relatifs à la vie privée</t>
        </is>
      </c>
      <c r="T324" s="32" t="n"/>
    </row>
    <row r="325" ht="15.75" customHeight="1" thickTop="1">
      <c r="A325" s="1558" t="inlineStr">
        <is>
          <t xml:space="preserve">Nombre d’ÉFVP terminées </t>
        </is>
      </c>
      <c r="B325" s="1377" t="n"/>
      <c r="C325" s="1377" t="n"/>
      <c r="D325" s="1377" t="n"/>
      <c r="E325" s="1378" t="n"/>
      <c r="F325" s="559" t="n">
        <v>0</v>
      </c>
      <c r="G325" s="1379" t="n"/>
      <c r="H325" s="1379" t="n"/>
      <c r="I325" s="1380" t="n"/>
      <c r="T325" s="32" t="n"/>
    </row>
    <row r="326" ht="15.75" customHeight="1" thickBot="1">
      <c r="A326" s="1283" t="inlineStr">
        <is>
          <t>Nombre d’ÉFVP modifiées</t>
        </is>
      </c>
      <c r="B326" s="1388" t="n"/>
      <c r="C326" s="1388" t="n"/>
      <c r="D326" s="1388" t="n"/>
      <c r="E326" s="1388" t="n"/>
      <c r="F326" s="1276" t="n">
        <v>0</v>
      </c>
      <c r="G326" s="1408" t="n"/>
      <c r="H326" s="1408" t="n"/>
      <c r="I326" s="1418" t="n"/>
      <c r="T326" s="32" t="n"/>
    </row>
    <row r="327" ht="15.75" customHeight="1" thickTop="1">
      <c r="A327" s="78" t="n"/>
      <c r="B327" s="78" t="n"/>
      <c r="C327" s="78" t="n"/>
      <c r="D327" s="78" t="n"/>
      <c r="E327" s="78" t="n"/>
      <c r="F327" s="35" t="n"/>
      <c r="G327" s="35" t="n"/>
      <c r="H327" s="35" t="n"/>
      <c r="T327" s="32" t="n"/>
    </row>
    <row r="328" ht="15.75" customHeight="1" thickBot="1">
      <c r="A328" s="1275" t="inlineStr">
        <is>
          <t>10.2 Fichiers de renseignements personnels spécifiques à l'institution et centraux</t>
        </is>
      </c>
      <c r="B328" s="1390" t="n"/>
      <c r="C328" s="1390" t="n"/>
      <c r="D328" s="1390" t="n"/>
      <c r="E328" s="1390" t="n"/>
      <c r="F328" s="1390" t="n"/>
      <c r="G328" s="1390" t="n"/>
      <c r="H328" s="1390" t="n"/>
      <c r="I328" s="1390" t="n"/>
      <c r="J328" s="1390" t="n"/>
      <c r="K328" s="1390" t="n"/>
      <c r="L328" s="79" t="n"/>
      <c r="T328" s="32" t="n"/>
    </row>
    <row r="329" ht="16.5" customHeight="1" thickBot="1" thickTop="1">
      <c r="A329" s="1559" t="inlineStr">
        <is>
          <t>Fichiers de renseignements personnels</t>
        </is>
      </c>
      <c r="B329" s="1412" t="n"/>
      <c r="C329" s="1412" t="n"/>
      <c r="D329" s="1412" t="n"/>
      <c r="E329" s="1413" t="n"/>
      <c r="F329" s="303" t="inlineStr">
        <is>
          <t>Actifs</t>
        </is>
      </c>
      <c r="G329" s="1302" t="inlineStr">
        <is>
          <t>Créés</t>
        </is>
      </c>
      <c r="H329" s="1302" t="inlineStr">
        <is>
          <t>Supprimés</t>
        </is>
      </c>
      <c r="I329" s="1405" t="n"/>
      <c r="J329" s="1302" t="inlineStr">
        <is>
          <t>Modifiés</t>
        </is>
      </c>
      <c r="K329" s="1405" t="n"/>
      <c r="T329" s="32" t="n"/>
    </row>
    <row r="330" ht="15.75" customHeight="1" thickTop="1">
      <c r="A330" s="1288" t="inlineStr">
        <is>
          <t>Spécifiques à l'institution</t>
        </is>
      </c>
      <c r="B330" s="1377" t="n"/>
      <c r="C330" s="1377" t="n"/>
      <c r="D330" s="1377" t="n"/>
      <c r="E330" s="1406" t="n"/>
      <c r="F330" s="301" t="n">
        <v>0</v>
      </c>
      <c r="G330" s="1297" t="n">
        <v>0</v>
      </c>
      <c r="H330" s="1297" t="n">
        <v>0</v>
      </c>
      <c r="I330" s="1407" t="n"/>
      <c r="J330" s="1297" t="n">
        <v>0</v>
      </c>
      <c r="K330" s="1407" t="n"/>
      <c r="T330" s="32" t="n"/>
    </row>
    <row r="331" ht="15.75" customHeight="1" thickBot="1">
      <c r="A331" s="1291" t="inlineStr">
        <is>
          <t>Centraux</t>
        </is>
      </c>
      <c r="B331" s="1388" t="n"/>
      <c r="C331" s="1388" t="n"/>
      <c r="D331" s="1388" t="n"/>
      <c r="E331" s="1396" t="n"/>
      <c r="F331" s="299" t="n">
        <v>0</v>
      </c>
      <c r="G331" s="171" t="n">
        <v>0</v>
      </c>
      <c r="H331" s="1298" t="n">
        <v>0</v>
      </c>
      <c r="I331" s="1404" t="n"/>
      <c r="J331" s="1298" t="n">
        <v>0</v>
      </c>
      <c r="K331" s="1404" t="n"/>
      <c r="T331" s="32" t="n"/>
    </row>
    <row r="332" ht="16.5" customHeight="1" thickBot="1" thickTop="1">
      <c r="A332" s="1294" t="inlineStr">
        <is>
          <t xml:space="preserve">Total </t>
        </is>
      </c>
      <c r="B332" s="1374" t="n"/>
      <c r="C332" s="1374" t="n"/>
      <c r="D332" s="1374" t="n"/>
      <c r="E332" s="1405" t="n"/>
      <c r="F332" s="297">
        <f>SUM(F330:F331)</f>
        <v/>
      </c>
      <c r="G332" s="298">
        <f>SUM(G330:G331)</f>
        <v/>
      </c>
      <c r="H332" s="1270">
        <f>SUM(H330:I331)</f>
        <v/>
      </c>
      <c r="I332" s="1405" t="n"/>
      <c r="J332" s="1270">
        <f>SUM(J330:K331)</f>
        <v/>
      </c>
      <c r="K332" s="1405" t="n"/>
      <c r="T332" s="32" t="n"/>
    </row>
    <row r="333" ht="15.75" customHeight="1" thickTop="1">
      <c r="A333" s="78" t="n"/>
      <c r="B333" s="78" t="n"/>
      <c r="C333" s="78" t="n"/>
      <c r="D333" s="78" t="n"/>
      <c r="E333" s="78" t="n"/>
      <c r="F333" s="710" t="n"/>
      <c r="G333" s="710" t="n"/>
      <c r="H333" s="710" t="n"/>
      <c r="T333" s="32" t="n"/>
    </row>
    <row r="334" ht="15.75" customHeight="1">
      <c r="A334" s="631" t="inlineStr">
        <is>
          <t>Section 11 – Atteintes à la vie privée</t>
        </is>
      </c>
      <c r="T334" s="32" t="n"/>
    </row>
    <row r="335">
      <c r="A335" s="80" t="n"/>
      <c r="B335" s="81" t="n"/>
      <c r="C335" s="81" t="n"/>
      <c r="D335" s="81" t="n"/>
      <c r="E335" s="81" t="n"/>
      <c r="F335" s="81" t="n"/>
      <c r="G335" s="81" t="n"/>
      <c r="H335" s="81" t="n"/>
      <c r="I335" s="81" t="n"/>
      <c r="J335" s="81" t="n"/>
      <c r="K335" s="81" t="n"/>
      <c r="L335" s="81" t="n"/>
      <c r="T335" s="32" t="n"/>
    </row>
    <row r="336" ht="15.75" customHeight="1" thickBot="1">
      <c r="A336" s="324" t="inlineStr">
        <is>
          <t>11.1 Atteintes substantielles à la vie privée signalée</t>
        </is>
      </c>
      <c r="K336" s="81" t="n"/>
      <c r="L336" s="81" t="n"/>
      <c r="T336" s="32" t="n"/>
    </row>
    <row r="337" ht="15" customFormat="1" customHeight="1" s="32" thickTop="1">
      <c r="A337" s="1090" t="inlineStr">
        <is>
          <t>Nombre d’atteintes substantielles à la vie privée signalées au SCT</t>
        </is>
      </c>
      <c r="B337" s="1377" t="n"/>
      <c r="C337" s="1377" t="n"/>
      <c r="D337" s="1377" t="n"/>
      <c r="E337" s="1377" t="n"/>
      <c r="F337" s="1377" t="n"/>
      <c r="G337" s="1377" t="n"/>
      <c r="H337" s="1377" t="n"/>
      <c r="I337" s="1406" t="n"/>
      <c r="J337" s="304" t="n">
        <v>0</v>
      </c>
      <c r="L337" s="83" t="n"/>
      <c r="N337" s="55" t="n"/>
    </row>
    <row r="338" ht="15" customFormat="1" customHeight="1" s="32" thickBot="1">
      <c r="A338" s="1093" t="inlineStr">
        <is>
          <t>Nombre d’atteintes substantielles à la vie privée signalées au CPVP</t>
        </is>
      </c>
      <c r="B338" s="1388" t="n"/>
      <c r="C338" s="1388" t="n"/>
      <c r="D338" s="1388" t="n"/>
      <c r="E338" s="1388" t="n"/>
      <c r="F338" s="1388" t="n"/>
      <c r="G338" s="1388" t="n"/>
      <c r="H338" s="1388" t="n"/>
      <c r="I338" s="1396" t="n"/>
      <c r="J338" s="305" t="n">
        <v>0</v>
      </c>
      <c r="K338" s="986" t="inlineStr">
        <is>
          <t>Section 11.1 - Le "Nombre d’atteintes substantielles à la vie privée signalées au CPVP" doit être égal au "Nombre d’atteintes substantielles à la vie privée signalées au SCT"</t>
        </is>
      </c>
    </row>
    <row r="339" ht="15" customFormat="1" customHeight="1" s="32" thickTop="1">
      <c r="A339" s="84" t="n"/>
      <c r="B339" s="84" t="n"/>
      <c r="C339" s="84" t="n"/>
      <c r="D339" s="84" t="n"/>
      <c r="E339" s="84" t="n"/>
      <c r="F339" s="84" t="n"/>
      <c r="G339" s="84" t="n"/>
      <c r="H339" s="84" t="n"/>
      <c r="I339" s="85" t="n"/>
      <c r="J339" s="86" t="n"/>
      <c r="N339" s="55" t="n"/>
    </row>
    <row r="340" ht="15.75" customFormat="1" customHeight="1" s="32" thickBot="1">
      <c r="A340" s="324" t="inlineStr">
        <is>
          <t>11.2 Atteintes à la vie privée signalée non-substantielles</t>
        </is>
      </c>
      <c r="N340" s="55" t="n"/>
    </row>
    <row r="341" ht="17.25" customFormat="1" customHeight="1" s="32" thickBot="1" thickTop="1">
      <c r="A341" s="1087" t="inlineStr">
        <is>
          <t>Nombre d’atteintes à la vie privée non-substantielles</t>
        </is>
      </c>
      <c r="B341" s="1374" t="n"/>
      <c r="C341" s="1374" t="n"/>
      <c r="D341" s="1374" t="n"/>
      <c r="E341" s="1374" t="n"/>
      <c r="F341" s="1374" t="n"/>
      <c r="G341" s="1374" t="n"/>
      <c r="H341" s="1374" t="n"/>
      <c r="I341" s="1405" t="n"/>
      <c r="J341" s="306" t="n">
        <v>0</v>
      </c>
      <c r="L341" s="83" t="n"/>
      <c r="M341" s="64" t="n"/>
      <c r="N341" s="55" t="n"/>
    </row>
    <row r="342" ht="15.75" customHeight="1" thickTop="1">
      <c r="A342" s="78" t="n"/>
      <c r="B342" s="78" t="n"/>
      <c r="C342" s="78" t="n"/>
      <c r="D342" s="78" t="n"/>
      <c r="E342" s="78" t="n"/>
      <c r="F342" s="710" t="n"/>
      <c r="G342" s="710" t="n"/>
      <c r="H342" s="710" t="n"/>
      <c r="T342" s="32" t="n"/>
    </row>
    <row r="343" ht="15.75" customHeight="1">
      <c r="A343" s="1136" t="inlineStr">
        <is>
          <t>Section 12 – Ressources liées à la Loi sur la protection des renseignements personnels</t>
        </is>
      </c>
      <c r="T343" s="32" t="n"/>
    </row>
    <row r="344">
      <c r="T344" s="32" t="n"/>
      <c r="U344" s="87" t="n"/>
      <c r="V344" s="87" t="n"/>
      <c r="W344" s="87" t="n"/>
      <c r="X344" s="87" t="n"/>
      <c r="Y344" s="87" t="n"/>
    </row>
    <row r="345">
      <c r="A345" s="411" t="inlineStr">
        <is>
          <t xml:space="preserve">12.1  Coûts répartis </t>
        </is>
      </c>
      <c r="T345" s="32" t="n"/>
      <c r="U345" s="87" t="n"/>
      <c r="V345" s="87" t="n"/>
      <c r="W345" s="87" t="n"/>
      <c r="X345" s="87" t="n"/>
      <c r="Y345" s="87" t="n"/>
    </row>
    <row r="346" customFormat="1" s="32" thickBot="1">
      <c r="N346" s="60" t="n"/>
    </row>
    <row r="347" ht="15.75" customFormat="1" customHeight="1" s="32" thickBot="1" thickTop="1">
      <c r="A347" s="809" t="inlineStr">
        <is>
          <t>Dépenses</t>
        </is>
      </c>
      <c r="B347" s="1374" t="n"/>
      <c r="C347" s="1374" t="n"/>
      <c r="D347" s="1374" t="n"/>
      <c r="E347" s="1374" t="n"/>
      <c r="F347" s="1374" t="n"/>
      <c r="G347" s="1374" t="n"/>
      <c r="H347" s="1405" t="n"/>
      <c r="I347" s="857" t="inlineStr">
        <is>
          <t>Montant</t>
        </is>
      </c>
      <c r="J347" s="1374" t="n"/>
      <c r="K347" s="1374" t="n"/>
      <c r="L347" s="1405" t="n"/>
      <c r="N347" s="60" t="n"/>
    </row>
    <row r="348" customFormat="1" s="32" thickTop="1">
      <c r="A348" s="1285" t="inlineStr">
        <is>
          <t xml:space="preserve">Salaires </t>
        </is>
      </c>
      <c r="B348" s="1372" t="n"/>
      <c r="C348" s="1372" t="n"/>
      <c r="D348" s="1372" t="n"/>
      <c r="E348" s="1372" t="n"/>
      <c r="F348" s="1372" t="n"/>
      <c r="G348" s="1372" t="n"/>
      <c r="H348" s="1398" t="n"/>
      <c r="I348" s="1560" t="n">
        <v>0</v>
      </c>
      <c r="J348" s="1379" t="n"/>
      <c r="K348" s="1379" t="n"/>
      <c r="L348" s="1380" t="n"/>
      <c r="M348" s="194">
        <f>IFERROR(IF(AND(I348/SUM(F357,F358,F359,F361)&gt;=40000,I348/SUM(F357,F358,F359,F361)&lt;=200000),"","Section 12.1 - Le total des salaires indiqués à la rangée 1 du tableau 12.1 divisé par le total des années-personnes indiqué aux rangées 1, 2, 3 et 5 du tableau 12.2 doit être compris entre 40 000$ et 200 000$."),"")</f>
        <v/>
      </c>
      <c r="N348" s="60" t="n"/>
    </row>
    <row r="349" ht="14.25" customFormat="1" customHeight="1" s="32">
      <c r="A349" s="1103" t="inlineStr">
        <is>
          <t>Heures supplémentaires</t>
        </is>
      </c>
      <c r="B349" s="1381" t="n"/>
      <c r="C349" s="1381" t="n"/>
      <c r="D349" s="1381" t="n"/>
      <c r="E349" s="1381" t="n"/>
      <c r="F349" s="1381" t="n"/>
      <c r="G349" s="1381" t="n"/>
      <c r="H349" s="1384" t="n"/>
      <c r="I349" s="1561" t="n">
        <v>0</v>
      </c>
      <c r="J349" s="1400" t="n"/>
      <c r="K349" s="1400" t="n"/>
      <c r="L349" s="1421" t="n"/>
      <c r="N349" s="60" t="n"/>
    </row>
    <row r="350" customFormat="1" s="32" thickBot="1">
      <c r="A350" s="1103" t="inlineStr">
        <is>
          <t>Biens et services</t>
        </is>
      </c>
      <c r="B350" s="1381" t="n"/>
      <c r="C350" s="1381" t="n"/>
      <c r="D350" s="1381" t="n"/>
      <c r="E350" s="1381" t="n"/>
      <c r="F350" s="1381" t="n"/>
      <c r="G350" s="1381" t="n"/>
      <c r="H350" s="1384" t="n"/>
      <c r="I350" s="1562">
        <f>SUM(F351:H352)</f>
        <v/>
      </c>
      <c r="J350" s="1381" t="n"/>
      <c r="K350" s="1381" t="n"/>
      <c r="L350" s="1383" t="n"/>
      <c r="N350" s="60" t="n"/>
    </row>
    <row r="351" customFormat="1" s="32" thickTop="1">
      <c r="A351" s="956" t="inlineStr">
        <is>
          <t>• Contrats de services professionnels</t>
        </is>
      </c>
      <c r="B351" s="1381" t="n"/>
      <c r="C351" s="1381" t="n"/>
      <c r="D351" s="1381" t="n"/>
      <c r="E351" s="1384" t="n"/>
      <c r="F351" s="1563" t="n">
        <v>0</v>
      </c>
      <c r="G351" s="1379" t="n"/>
      <c r="H351" s="1399" t="n"/>
      <c r="I351" s="1564" t="n"/>
      <c r="J351" s="1385" t="n"/>
      <c r="K351" s="1385" t="n"/>
      <c r="L351" s="1386" t="n"/>
      <c r="N351" s="60" t="n"/>
    </row>
    <row r="352" customFormat="1" s="32" thickBot="1">
      <c r="A352" s="1117" t="inlineStr">
        <is>
          <t>• Autres</t>
        </is>
      </c>
      <c r="B352" s="1388" t="n"/>
      <c r="C352" s="1388" t="n"/>
      <c r="D352" s="1388" t="n"/>
      <c r="E352" s="1396" t="n"/>
      <c r="F352" s="1565" t="n">
        <v>0</v>
      </c>
      <c r="G352" s="1408" t="n"/>
      <c r="H352" s="1409" t="n"/>
      <c r="I352" s="1397" t="n"/>
      <c r="J352" s="1390" t="n"/>
      <c r="K352" s="1390" t="n"/>
      <c r="L352" s="1391" t="n"/>
      <c r="N352" s="60" t="n"/>
    </row>
    <row r="353" ht="15.75" customFormat="1" customHeight="1" s="32" thickBot="1" thickTop="1">
      <c r="A353" s="1123" t="inlineStr">
        <is>
          <t>Total</t>
        </is>
      </c>
      <c r="B353" s="1390" t="n"/>
      <c r="C353" s="1390" t="n"/>
      <c r="D353" s="1390" t="n"/>
      <c r="E353" s="1390" t="n"/>
      <c r="F353" s="1390" t="n"/>
      <c r="G353" s="1390" t="n"/>
      <c r="H353" s="1443" t="n"/>
      <c r="I353" s="1566">
        <f>SUM(I348:L350)</f>
        <v/>
      </c>
      <c r="J353" s="1374" t="n"/>
      <c r="K353" s="1374" t="n"/>
      <c r="L353" s="1375" t="n"/>
      <c r="N353" s="60" t="n"/>
    </row>
    <row r="354" customFormat="1" s="32" thickTop="1">
      <c r="F354" s="816" t="n"/>
      <c r="N354" s="60" t="n"/>
    </row>
    <row r="355" ht="15.75" customFormat="1" customHeight="1" s="32" thickBot="1">
      <c r="A355" s="326" t="inlineStr">
        <is>
          <t>12.2  Ressources humaines</t>
        </is>
      </c>
      <c r="N355" s="60" t="n"/>
    </row>
    <row r="356" ht="52.5" customFormat="1" customHeight="1" s="32" thickBot="1" thickTop="1">
      <c r="A356" s="1461" t="inlineStr">
        <is>
          <t>Ressources</t>
        </is>
      </c>
      <c r="B356" s="1374" t="n"/>
      <c r="C356" s="1374" t="n"/>
      <c r="D356" s="1374" t="n"/>
      <c r="E356" s="1375" t="n"/>
      <c r="F356" s="731" t="inlineStr">
        <is>
          <t>Années-personnes consacrées aux activités liées à la protection des renseignements personnels</t>
        </is>
      </c>
      <c r="G356" s="1412" t="n"/>
      <c r="H356" s="1423" t="n"/>
      <c r="N356" s="60" t="n"/>
    </row>
    <row r="357" customFormat="1" s="32" thickTop="1">
      <c r="A357" s="1463" t="inlineStr">
        <is>
          <t>Employés à temps plein</t>
        </is>
      </c>
      <c r="B357" s="1377" t="n"/>
      <c r="C357" s="1377" t="n"/>
      <c r="D357" s="1377" t="n"/>
      <c r="E357" s="1378" t="n"/>
      <c r="F357" s="1518" t="n">
        <v>0</v>
      </c>
      <c r="G357" s="1379" t="n"/>
      <c r="H357" s="1380" t="n"/>
      <c r="N357" s="60" t="n"/>
    </row>
    <row r="358" ht="14.25" customFormat="1" customHeight="1" s="32">
      <c r="A358" s="1464" t="inlineStr">
        <is>
          <t>Employés à temps partiel et occasionnels</t>
        </is>
      </c>
      <c r="B358" s="1381" t="n"/>
      <c r="C358" s="1381" t="n"/>
      <c r="D358" s="1381" t="n"/>
      <c r="E358" s="1383" t="n"/>
      <c r="F358" s="1519" t="n">
        <v>0</v>
      </c>
      <c r="G358" s="1400" t="n"/>
      <c r="H358" s="1421" t="n"/>
      <c r="N358" s="60" t="n"/>
    </row>
    <row r="359" ht="14.25" customFormat="1" customHeight="1" s="32">
      <c r="A359" s="1464" t="inlineStr">
        <is>
          <t>Employés régionaux</t>
        </is>
      </c>
      <c r="B359" s="1381" t="n"/>
      <c r="C359" s="1381" t="n"/>
      <c r="D359" s="1381" t="n"/>
      <c r="E359" s="1383" t="n"/>
      <c r="F359" s="1519" t="n">
        <v>0</v>
      </c>
      <c r="G359" s="1400" t="n"/>
      <c r="H359" s="1421" t="n"/>
      <c r="N359" s="60" t="n"/>
    </row>
    <row r="360" ht="15.75" customFormat="1" customHeight="1" s="32">
      <c r="A360" s="1464" t="inlineStr">
        <is>
          <t>Experts-conseils et personnel d’agence</t>
        </is>
      </c>
      <c r="B360" s="1381" t="n"/>
      <c r="C360" s="1381" t="n"/>
      <c r="D360" s="1381" t="n"/>
      <c r="E360" s="1383" t="n"/>
      <c r="F360" s="1519" t="n">
        <v>0</v>
      </c>
      <c r="G360" s="1400" t="n"/>
      <c r="H360" s="1421" t="n"/>
      <c r="N360" s="60" t="n"/>
    </row>
    <row r="361" customFormat="1" s="32" thickBot="1">
      <c r="A361" s="1468" t="inlineStr">
        <is>
          <t>Étudiants</t>
        </is>
      </c>
      <c r="B361" s="1388" t="n"/>
      <c r="C361" s="1388" t="n"/>
      <c r="D361" s="1388" t="n"/>
      <c r="E361" s="1389" t="n"/>
      <c r="F361" s="1567" t="n">
        <v>0</v>
      </c>
      <c r="G361" s="1408" t="n"/>
      <c r="H361" s="1418" t="n"/>
      <c r="N361" s="55" t="n"/>
    </row>
    <row r="362" ht="15.75" customFormat="1" customHeight="1" s="32" thickBot="1" thickTop="1">
      <c r="A362" s="1437" t="inlineStr">
        <is>
          <t>Total</t>
        </is>
      </c>
      <c r="B362" s="1374" t="n"/>
      <c r="C362" s="1374" t="n"/>
      <c r="D362" s="1374" t="n"/>
      <c r="E362" s="1375" t="n"/>
      <c r="F362" s="1568">
        <f>SUM(F357:H361)</f>
        <v/>
      </c>
      <c r="G362" s="1374" t="n"/>
      <c r="H362" s="1375" t="n"/>
      <c r="N362" s="55" t="n"/>
    </row>
    <row r="363" customFormat="1" s="32" thickTop="1">
      <c r="A363" s="322" t="inlineStr">
        <is>
          <t>Remarque : Entrer des valeurs à trois décimales.</t>
        </is>
      </c>
      <c r="N363" s="55" t="n"/>
    </row>
    <row r="364">
      <c r="T364" s="32" t="n"/>
    </row>
    <row r="375">
      <c r="A375" s="710" t="n"/>
    </row>
  </sheetData>
  <sheetProtection selectLockedCells="1" selectUnlockedCells="0" algorithmName="SHA-512" sheet="1" objects="0" insertRows="1" insertHyperlinks="1" autoFilter="1" scenarios="0" formatColumns="1" deleteColumns="1" insertColumns="1" pivotTables="1" deleteRows="1" formatCells="1" saltValue="seaj6pkvupij5k1NtHv1QA==" formatRows="1" sort="1" spinCount="100000" hashValue="a1DpMAP7/qKbwArH384Pvf5M802Pjy91sU/4GtIby8Lmy7crBpT9vjDgy0hSF5ATnNDKWxVL3qYy7i8zzs1aFw=="/>
  <mergeCells count="781">
    <mergeCell ref="A263:D263"/>
    <mergeCell ref="I257:J257"/>
    <mergeCell ref="J222:L222"/>
    <mergeCell ref="A255:L255"/>
    <mergeCell ref="Q164:R164"/>
    <mergeCell ref="A107:B107"/>
    <mergeCell ref="K177:L177"/>
    <mergeCell ref="A178:B178"/>
    <mergeCell ref="C107:D107"/>
    <mergeCell ref="S164:AC164"/>
    <mergeCell ref="N148:P148"/>
    <mergeCell ref="A192:L192"/>
    <mergeCell ref="A315:B315"/>
    <mergeCell ref="F351:H351"/>
    <mergeCell ref="I106:J106"/>
    <mergeCell ref="A258:D258"/>
    <mergeCell ref="H19:J19"/>
    <mergeCell ref="J159:S159"/>
    <mergeCell ref="A194:L194"/>
    <mergeCell ref="K99:L99"/>
    <mergeCell ref="A260:D260"/>
    <mergeCell ref="K180:L180"/>
    <mergeCell ref="G148:H148"/>
    <mergeCell ref="G203:I203"/>
    <mergeCell ref="G214:I214"/>
    <mergeCell ref="A83:C83"/>
    <mergeCell ref="K245:L247"/>
    <mergeCell ref="G57:J57"/>
    <mergeCell ref="G168:H168"/>
    <mergeCell ref="K101:L101"/>
    <mergeCell ref="D208:F208"/>
    <mergeCell ref="A21:G21"/>
    <mergeCell ref="A251:D251"/>
    <mergeCell ref="J210:L210"/>
    <mergeCell ref="G58:J58"/>
    <mergeCell ref="A205:C205"/>
    <mergeCell ref="K92:L92"/>
    <mergeCell ref="C92:D92"/>
    <mergeCell ref="A259:D259"/>
    <mergeCell ref="A306:B307"/>
    <mergeCell ref="P240:Q240"/>
    <mergeCell ref="A240:D240"/>
    <mergeCell ref="A325:E325"/>
    <mergeCell ref="C97:D97"/>
    <mergeCell ref="M113:AC113"/>
    <mergeCell ref="D214:F214"/>
    <mergeCell ref="E6:G6"/>
    <mergeCell ref="K248:L248"/>
    <mergeCell ref="I175:J175"/>
    <mergeCell ref="A33:F33"/>
    <mergeCell ref="A40:J40"/>
    <mergeCell ref="A67:J67"/>
    <mergeCell ref="S153:AB153"/>
    <mergeCell ref="J157:T157"/>
    <mergeCell ref="L151:M151"/>
    <mergeCell ref="Q147:R147"/>
    <mergeCell ref="K106:L106"/>
    <mergeCell ref="A136:B136"/>
    <mergeCell ref="J223:L223"/>
    <mergeCell ref="A200:L200"/>
    <mergeCell ref="A356:E356"/>
    <mergeCell ref="C114:G114"/>
    <mergeCell ref="K249:L249"/>
    <mergeCell ref="I176:J176"/>
    <mergeCell ref="A340:J340"/>
    <mergeCell ref="A28:F28"/>
    <mergeCell ref="A202:C202"/>
    <mergeCell ref="I107:J107"/>
    <mergeCell ref="A181:B181"/>
    <mergeCell ref="K107:L107"/>
    <mergeCell ref="E250:F250"/>
    <mergeCell ref="C181:D181"/>
    <mergeCell ref="E110:F110"/>
    <mergeCell ref="G250:H250"/>
    <mergeCell ref="A30:F30"/>
    <mergeCell ref="A59:F59"/>
    <mergeCell ref="A131:B131"/>
    <mergeCell ref="H20:J20"/>
    <mergeCell ref="F354:H354"/>
    <mergeCell ref="C174:D174"/>
    <mergeCell ref="E174:F174"/>
    <mergeCell ref="A272:D272"/>
    <mergeCell ref="E251:F251"/>
    <mergeCell ref="A54:F54"/>
    <mergeCell ref="M118:AC118"/>
    <mergeCell ref="A84:C84"/>
    <mergeCell ref="N167:P167"/>
    <mergeCell ref="I146:K146"/>
    <mergeCell ref="A149:C149"/>
    <mergeCell ref="D210:F210"/>
    <mergeCell ref="F137:G137"/>
    <mergeCell ref="I198:J198"/>
    <mergeCell ref="A56:F56"/>
    <mergeCell ref="K198:L198"/>
    <mergeCell ref="E92:F92"/>
    <mergeCell ref="C128:D128"/>
    <mergeCell ref="A86:C86"/>
    <mergeCell ref="A151:C151"/>
    <mergeCell ref="S170:AC170"/>
    <mergeCell ref="L87:U88"/>
    <mergeCell ref="C100:D100"/>
    <mergeCell ref="J123:S124"/>
    <mergeCell ref="D122:F122"/>
    <mergeCell ref="G123:I123"/>
    <mergeCell ref="C94:D94"/>
    <mergeCell ref="K262:L262"/>
    <mergeCell ref="E94:F94"/>
    <mergeCell ref="A150:C150"/>
    <mergeCell ref="I166:K166"/>
    <mergeCell ref="A215:C215"/>
    <mergeCell ref="E69:F69"/>
    <mergeCell ref="A78:C79"/>
    <mergeCell ref="G69:H69"/>
    <mergeCell ref="L82:U82"/>
    <mergeCell ref="H15:J15"/>
    <mergeCell ref="A287:D287"/>
    <mergeCell ref="A152:C152"/>
    <mergeCell ref="A281:D281"/>
    <mergeCell ref="A61:J61"/>
    <mergeCell ref="E108:F108"/>
    <mergeCell ref="C95:D95"/>
    <mergeCell ref="E95:F95"/>
    <mergeCell ref="H8:J8"/>
    <mergeCell ref="G95:H95"/>
    <mergeCell ref="A34:F34"/>
    <mergeCell ref="A338:I338"/>
    <mergeCell ref="K71:S72"/>
    <mergeCell ref="K176:L176"/>
    <mergeCell ref="E306:F306"/>
    <mergeCell ref="K97:L97"/>
    <mergeCell ref="G306:H306"/>
    <mergeCell ref="L152:M152"/>
    <mergeCell ref="M116:AC116"/>
    <mergeCell ref="G153:H153"/>
    <mergeCell ref="Q153:R153"/>
    <mergeCell ref="E196:L196"/>
    <mergeCell ref="A63:H63"/>
    <mergeCell ref="D140:F140"/>
    <mergeCell ref="A291:L291"/>
    <mergeCell ref="I128:J128"/>
    <mergeCell ref="K128:L128"/>
    <mergeCell ref="G164:H164"/>
    <mergeCell ref="P251:Q251"/>
    <mergeCell ref="E258:F258"/>
    <mergeCell ref="D204:F204"/>
    <mergeCell ref="I245:J247"/>
    <mergeCell ref="A350:H350"/>
    <mergeCell ref="F356:H356"/>
    <mergeCell ref="G251:H251"/>
    <mergeCell ref="D141:F141"/>
    <mergeCell ref="D206:F206"/>
    <mergeCell ref="A274:D274"/>
    <mergeCell ref="A359:E359"/>
    <mergeCell ref="I145:M145"/>
    <mergeCell ref="E259:F259"/>
    <mergeCell ref="K110:L110"/>
    <mergeCell ref="M250:N250"/>
    <mergeCell ref="A293:B294"/>
    <mergeCell ref="E180:F180"/>
    <mergeCell ref="E240:F240"/>
    <mergeCell ref="A203:C203"/>
    <mergeCell ref="G240:H240"/>
    <mergeCell ref="Q166:R166"/>
    <mergeCell ref="A160:R160"/>
    <mergeCell ref="K174:L174"/>
    <mergeCell ref="G146:H146"/>
    <mergeCell ref="A275:D275"/>
    <mergeCell ref="A140:C140"/>
    <mergeCell ref="A232:S232"/>
    <mergeCell ref="I181:J181"/>
    <mergeCell ref="M259:Z260"/>
    <mergeCell ref="E319:F319"/>
    <mergeCell ref="G248:H248"/>
    <mergeCell ref="C115:D115"/>
    <mergeCell ref="I248:J248"/>
    <mergeCell ref="G319:H319"/>
    <mergeCell ref="A225:S225"/>
    <mergeCell ref="F359:H359"/>
    <mergeCell ref="D153:F153"/>
    <mergeCell ref="I149:K149"/>
    <mergeCell ref="S171:AC171"/>
    <mergeCell ref="E179:F179"/>
    <mergeCell ref="G28:J28"/>
    <mergeCell ref="L148:M148"/>
    <mergeCell ref="K293:L293"/>
    <mergeCell ref="M244:Q244"/>
    <mergeCell ref="A216:C216"/>
    <mergeCell ref="D217:F217"/>
    <mergeCell ref="I151:K151"/>
    <mergeCell ref="H41:J41"/>
    <mergeCell ref="L83:U83"/>
    <mergeCell ref="G30:J30"/>
    <mergeCell ref="E97:F97"/>
    <mergeCell ref="A87:C87"/>
    <mergeCell ref="I353:L353"/>
    <mergeCell ref="E109:F109"/>
    <mergeCell ref="M240:N240"/>
    <mergeCell ref="E267:L267"/>
    <mergeCell ref="A229:H229"/>
    <mergeCell ref="L85:U85"/>
    <mergeCell ref="A345:L345"/>
    <mergeCell ref="A316:L316"/>
    <mergeCell ref="S148:AB148"/>
    <mergeCell ref="M117:AC117"/>
    <mergeCell ref="D166:F166"/>
    <mergeCell ref="I228:J228"/>
    <mergeCell ref="A341:I341"/>
    <mergeCell ref="J205:L205"/>
    <mergeCell ref="L166:M166"/>
    <mergeCell ref="A220:S220"/>
    <mergeCell ref="D168:F168"/>
    <mergeCell ref="A99:B99"/>
    <mergeCell ref="K181:L181"/>
    <mergeCell ref="K258:L258"/>
    <mergeCell ref="A165:C165"/>
    <mergeCell ref="E261:F261"/>
    <mergeCell ref="A101:B101"/>
    <mergeCell ref="R248:S248"/>
    <mergeCell ref="D207:F207"/>
    <mergeCell ref="A250:D250"/>
    <mergeCell ref="G108:H108"/>
    <mergeCell ref="M251:N251"/>
    <mergeCell ref="K260:L260"/>
    <mergeCell ref="D222:F222"/>
    <mergeCell ref="A283:D283"/>
    <mergeCell ref="A148:C148"/>
    <mergeCell ref="A311:B311"/>
    <mergeCell ref="A46:G46"/>
    <mergeCell ref="M287:U288"/>
    <mergeCell ref="A317:S317"/>
    <mergeCell ref="A285:D285"/>
    <mergeCell ref="G34:J34"/>
    <mergeCell ref="N164:P164"/>
    <mergeCell ref="A12:J12"/>
    <mergeCell ref="J202:L202"/>
    <mergeCell ref="G157:I157"/>
    <mergeCell ref="E198:F198"/>
    <mergeCell ref="E93:F93"/>
    <mergeCell ref="G122:I122"/>
    <mergeCell ref="G198:H198"/>
    <mergeCell ref="G149:H149"/>
    <mergeCell ref="G320:H320"/>
    <mergeCell ref="I320:J320"/>
    <mergeCell ref="A125:L126"/>
    <mergeCell ref="G257:H257"/>
    <mergeCell ref="I150:K150"/>
    <mergeCell ref="G151:H151"/>
    <mergeCell ref="G178:H178"/>
    <mergeCell ref="G29:J29"/>
    <mergeCell ref="I165:K165"/>
    <mergeCell ref="A120:L120"/>
    <mergeCell ref="I152:K152"/>
    <mergeCell ref="C109:D109"/>
    <mergeCell ref="G31:J31"/>
    <mergeCell ref="A289:S289"/>
    <mergeCell ref="N146:P146"/>
    <mergeCell ref="L86:U86"/>
    <mergeCell ref="G175:H175"/>
    <mergeCell ref="A238:D239"/>
    <mergeCell ref="T248:AL248"/>
    <mergeCell ref="D157:F157"/>
    <mergeCell ref="A324:I324"/>
    <mergeCell ref="L163:M163"/>
    <mergeCell ref="H42:J42"/>
    <mergeCell ref="A155:I155"/>
    <mergeCell ref="G177:H177"/>
    <mergeCell ref="A313:B313"/>
    <mergeCell ref="I177:J177"/>
    <mergeCell ref="A114:B115"/>
    <mergeCell ref="M275:U276"/>
    <mergeCell ref="H22:J23"/>
    <mergeCell ref="Q170:R170"/>
    <mergeCell ref="J215:L215"/>
    <mergeCell ref="L167:M167"/>
    <mergeCell ref="A25:J25"/>
    <mergeCell ref="M136:Z136"/>
    <mergeCell ref="A100:B100"/>
    <mergeCell ref="M263:Z263"/>
    <mergeCell ref="A123:C123"/>
    <mergeCell ref="A308:B308"/>
    <mergeCell ref="G99:H99"/>
    <mergeCell ref="K197:L197"/>
    <mergeCell ref="I163:K163"/>
    <mergeCell ref="I99:J99"/>
    <mergeCell ref="L169:M169"/>
    <mergeCell ref="K259:L259"/>
    <mergeCell ref="I147:K147"/>
    <mergeCell ref="S151:AB151"/>
    <mergeCell ref="M131:Z131"/>
    <mergeCell ref="C179:D179"/>
    <mergeCell ref="A310:B310"/>
    <mergeCell ref="D150:F150"/>
    <mergeCell ref="Q146:R146"/>
    <mergeCell ref="A214:C214"/>
    <mergeCell ref="A187:D188"/>
    <mergeCell ref="A118:L118"/>
    <mergeCell ref="L81:U81"/>
    <mergeCell ref="H329:I329"/>
    <mergeCell ref="J329:K329"/>
    <mergeCell ref="E107:F107"/>
    <mergeCell ref="A189:D190"/>
    <mergeCell ref="A227:H227"/>
    <mergeCell ref="G207:I207"/>
    <mergeCell ref="A245:D247"/>
    <mergeCell ref="G101:H101"/>
    <mergeCell ref="J208:L208"/>
    <mergeCell ref="H331:I331"/>
    <mergeCell ref="H47:J47"/>
    <mergeCell ref="A301:B301"/>
    <mergeCell ref="G263:H263"/>
    <mergeCell ref="D164:F164"/>
    <mergeCell ref="G152:H152"/>
    <mergeCell ref="I263:J263"/>
    <mergeCell ref="L153:M153"/>
    <mergeCell ref="J158:AJ158"/>
    <mergeCell ref="A265:L265"/>
    <mergeCell ref="J203:L203"/>
    <mergeCell ref="G202:I202"/>
    <mergeCell ref="G158:I158"/>
    <mergeCell ref="I229:J229"/>
    <mergeCell ref="A167:C167"/>
    <mergeCell ref="A16:G16"/>
    <mergeCell ref="A128:B129"/>
    <mergeCell ref="H17:J18"/>
    <mergeCell ref="I168:K168"/>
    <mergeCell ref="A304:L304"/>
    <mergeCell ref="A96:B96"/>
    <mergeCell ref="A169:C169"/>
    <mergeCell ref="P248:Q248"/>
    <mergeCell ref="A248:D248"/>
    <mergeCell ref="G106:H106"/>
    <mergeCell ref="A279:D280"/>
    <mergeCell ref="N145:R145"/>
    <mergeCell ref="A353:H353"/>
    <mergeCell ref="A47:G47"/>
    <mergeCell ref="R236:S239"/>
    <mergeCell ref="I178:J178"/>
    <mergeCell ref="A164:C164"/>
    <mergeCell ref="N151:P151"/>
    <mergeCell ref="J216:L216"/>
    <mergeCell ref="A336:J336"/>
    <mergeCell ref="S154:AB154"/>
    <mergeCell ref="G107:H107"/>
    <mergeCell ref="I101:J101"/>
    <mergeCell ref="A10:S10"/>
    <mergeCell ref="A57:F57"/>
    <mergeCell ref="G237:H239"/>
    <mergeCell ref="E293:F293"/>
    <mergeCell ref="I237:J239"/>
    <mergeCell ref="G222:I222"/>
    <mergeCell ref="I100:J100"/>
    <mergeCell ref="A174:B174"/>
    <mergeCell ref="A108:B108"/>
    <mergeCell ref="K100:L100"/>
    <mergeCell ref="A23:F23"/>
    <mergeCell ref="K94:L94"/>
    <mergeCell ref="I148:K148"/>
    <mergeCell ref="G52:J52"/>
    <mergeCell ref="A261:D261"/>
    <mergeCell ref="G215:I215"/>
    <mergeCell ref="C180:D180"/>
    <mergeCell ref="I350:L350"/>
    <mergeCell ref="S149:AB149"/>
    <mergeCell ref="G27:J27"/>
    <mergeCell ref="I162:M162"/>
    <mergeCell ref="A52:F52"/>
    <mergeCell ref="J330:K330"/>
    <mergeCell ref="J209:L209"/>
    <mergeCell ref="T244:AK244"/>
    <mergeCell ref="D203:F203"/>
    <mergeCell ref="J332:K332"/>
    <mergeCell ref="A134:B134"/>
    <mergeCell ref="A198:D198"/>
    <mergeCell ref="I262:J262"/>
    <mergeCell ref="Q163:R163"/>
    <mergeCell ref="C96:D96"/>
    <mergeCell ref="A362:E362"/>
    <mergeCell ref="A42:G42"/>
    <mergeCell ref="A208:C208"/>
    <mergeCell ref="G55:J55"/>
    <mergeCell ref="A98:B98"/>
    <mergeCell ref="C98:D98"/>
    <mergeCell ref="I95:J95"/>
    <mergeCell ref="K95:L95"/>
    <mergeCell ref="I260:J260"/>
    <mergeCell ref="C116:D116"/>
    <mergeCell ref="G176:H176"/>
    <mergeCell ref="N170:P170"/>
    <mergeCell ref="G210:I210"/>
    <mergeCell ref="J206:L206"/>
    <mergeCell ref="G97:H97"/>
    <mergeCell ref="I197:J197"/>
    <mergeCell ref="C306:D306"/>
    <mergeCell ref="P237:Q239"/>
    <mergeCell ref="A19:G19"/>
    <mergeCell ref="A210:C210"/>
    <mergeCell ref="R244:S247"/>
    <mergeCell ref="A55:F55"/>
    <mergeCell ref="A249:D249"/>
    <mergeCell ref="I351:L352"/>
    <mergeCell ref="E187:F188"/>
    <mergeCell ref="A185:L185"/>
    <mergeCell ref="C177:D177"/>
    <mergeCell ref="E128:F128"/>
    <mergeCell ref="A48:G48"/>
    <mergeCell ref="K261:L261"/>
    <mergeCell ref="G128:H128"/>
    <mergeCell ref="A257:D257"/>
    <mergeCell ref="C93:D93"/>
    <mergeCell ref="A29:F29"/>
    <mergeCell ref="E189:F190"/>
    <mergeCell ref="E245:F247"/>
    <mergeCell ref="G245:H247"/>
    <mergeCell ref="A36:S36"/>
    <mergeCell ref="L147:M147"/>
    <mergeCell ref="A44:F44"/>
    <mergeCell ref="A334:S334"/>
    <mergeCell ref="A309:B309"/>
    <mergeCell ref="A31:F31"/>
    <mergeCell ref="A58:F58"/>
    <mergeCell ref="F326:I326"/>
    <mergeCell ref="G223:I223"/>
    <mergeCell ref="A337:I337"/>
    <mergeCell ref="M111:AC112"/>
    <mergeCell ref="G110:H110"/>
    <mergeCell ref="A109:B109"/>
    <mergeCell ref="I110:J110"/>
    <mergeCell ref="K179:L179"/>
    <mergeCell ref="I250:J250"/>
    <mergeCell ref="K250:L250"/>
    <mergeCell ref="G53:J53"/>
    <mergeCell ref="A138:L138"/>
    <mergeCell ref="Q168:R168"/>
    <mergeCell ref="H114:I115"/>
    <mergeCell ref="N152:P152"/>
    <mergeCell ref="A347:H347"/>
    <mergeCell ref="A269:D269"/>
    <mergeCell ref="H21:J21"/>
    <mergeCell ref="A352:E352"/>
    <mergeCell ref="A319:B319"/>
    <mergeCell ref="C319:D319"/>
    <mergeCell ref="E248:F248"/>
    <mergeCell ref="C175:D175"/>
    <mergeCell ref="A183:L183"/>
    <mergeCell ref="E175:F175"/>
    <mergeCell ref="A262:D262"/>
    <mergeCell ref="A349:H349"/>
    <mergeCell ref="G205:I205"/>
    <mergeCell ref="A4:S4"/>
    <mergeCell ref="M245:N247"/>
    <mergeCell ref="M236:Q236"/>
    <mergeCell ref="S169:AC169"/>
    <mergeCell ref="N147:P147"/>
    <mergeCell ref="S165:AC165"/>
    <mergeCell ref="H16:J16"/>
    <mergeCell ref="E244:L244"/>
    <mergeCell ref="G293:H293"/>
    <mergeCell ref="S150:AB150"/>
    <mergeCell ref="I293:J293"/>
    <mergeCell ref="I167:K167"/>
    <mergeCell ref="D146:F146"/>
    <mergeCell ref="M262:Z262"/>
    <mergeCell ref="J214:L214"/>
    <mergeCell ref="A209:C209"/>
    <mergeCell ref="I169:K169"/>
    <mergeCell ref="A147:C147"/>
    <mergeCell ref="K96:L96"/>
    <mergeCell ref="I96:J96"/>
    <mergeCell ref="F362:H362"/>
    <mergeCell ref="I65:S66"/>
    <mergeCell ref="D78:K78"/>
    <mergeCell ref="P249:Q249"/>
    <mergeCell ref="I98:J98"/>
    <mergeCell ref="N163:P163"/>
    <mergeCell ref="K98:L98"/>
    <mergeCell ref="A145:C146"/>
    <mergeCell ref="A76:K76"/>
    <mergeCell ref="A143:R143"/>
    <mergeCell ref="I348:L348"/>
    <mergeCell ref="I164:K164"/>
    <mergeCell ref="A82:C82"/>
    <mergeCell ref="I347:L347"/>
    <mergeCell ref="E8:G8"/>
    <mergeCell ref="A50:J50"/>
    <mergeCell ref="K93:L93"/>
    <mergeCell ref="A329:E329"/>
    <mergeCell ref="Q149:R149"/>
    <mergeCell ref="A92:B92"/>
    <mergeCell ref="I174:J174"/>
    <mergeCell ref="C108:D108"/>
    <mergeCell ref="I251:J251"/>
    <mergeCell ref="A358:E358"/>
    <mergeCell ref="K251:L251"/>
    <mergeCell ref="M114:AC114"/>
    <mergeCell ref="A158:C158"/>
    <mergeCell ref="Q151:R151"/>
    <mergeCell ref="A94:B94"/>
    <mergeCell ref="A300:B300"/>
    <mergeCell ref="A204:C204"/>
    <mergeCell ref="A69:B69"/>
    <mergeCell ref="A360:E360"/>
    <mergeCell ref="K109:L109"/>
    <mergeCell ref="F357:H357"/>
    <mergeCell ref="K240:L240"/>
    <mergeCell ref="A141:C141"/>
    <mergeCell ref="D202:F202"/>
    <mergeCell ref="A270:D270"/>
    <mergeCell ref="A133:B133"/>
    <mergeCell ref="A206:C206"/>
    <mergeCell ref="E177:F177"/>
    <mergeCell ref="S166:AC166"/>
    <mergeCell ref="A122:C122"/>
    <mergeCell ref="D145:H145"/>
    <mergeCell ref="C320:D320"/>
    <mergeCell ref="E249:F249"/>
    <mergeCell ref="C176:D176"/>
    <mergeCell ref="M210:T211"/>
    <mergeCell ref="N168:P168"/>
    <mergeCell ref="G249:H249"/>
    <mergeCell ref="E176:F176"/>
    <mergeCell ref="E320:F320"/>
    <mergeCell ref="K257:L257"/>
    <mergeCell ref="E257:F257"/>
    <mergeCell ref="F358:H358"/>
    <mergeCell ref="M248:N248"/>
    <mergeCell ref="F352:H352"/>
    <mergeCell ref="A271:D271"/>
    <mergeCell ref="C178:D178"/>
    <mergeCell ref="E178:F178"/>
    <mergeCell ref="L168:M168"/>
    <mergeCell ref="N162:R162"/>
    <mergeCell ref="G208:I208"/>
    <mergeCell ref="A273:D273"/>
    <mergeCell ref="A45:F45"/>
    <mergeCell ref="A74:S74"/>
    <mergeCell ref="D149:F149"/>
    <mergeCell ref="A153:C153"/>
    <mergeCell ref="A230:H230"/>
    <mergeCell ref="M134:Z134"/>
    <mergeCell ref="M115:AC115"/>
    <mergeCell ref="D151:F151"/>
    <mergeCell ref="A217:C217"/>
    <mergeCell ref="A212:L212"/>
    <mergeCell ref="E106:F106"/>
    <mergeCell ref="A90:L90"/>
    <mergeCell ref="A277:L277"/>
    <mergeCell ref="A375:L375"/>
    <mergeCell ref="I349:L349"/>
    <mergeCell ref="D215:F215"/>
    <mergeCell ref="N166:P166"/>
    <mergeCell ref="H332:I332"/>
    <mergeCell ref="G170:H170"/>
    <mergeCell ref="O237:O239"/>
    <mergeCell ref="E262:F262"/>
    <mergeCell ref="G262:H262"/>
    <mergeCell ref="A85:C85"/>
    <mergeCell ref="A330:E330"/>
    <mergeCell ref="H44:J45"/>
    <mergeCell ref="C99:D99"/>
    <mergeCell ref="O245:O247"/>
    <mergeCell ref="Q150:R150"/>
    <mergeCell ref="A284:D284"/>
    <mergeCell ref="H48:J48"/>
    <mergeCell ref="G92:H92"/>
    <mergeCell ref="Q152:R152"/>
    <mergeCell ref="A95:B95"/>
    <mergeCell ref="H14:J14"/>
    <mergeCell ref="A343:S343"/>
    <mergeCell ref="I92:J92"/>
    <mergeCell ref="G140:I140"/>
    <mergeCell ref="A135:B135"/>
    <mergeCell ref="A361:E361"/>
    <mergeCell ref="T251:AK252"/>
    <mergeCell ref="A97:B97"/>
    <mergeCell ref="H43:J43"/>
    <mergeCell ref="A207:C207"/>
    <mergeCell ref="P245:Q247"/>
    <mergeCell ref="J141:S142"/>
    <mergeCell ref="G150:H150"/>
    <mergeCell ref="H116:I116"/>
    <mergeCell ref="F360:H360"/>
    <mergeCell ref="H6:M6"/>
    <mergeCell ref="M249:N249"/>
    <mergeCell ref="E263:F263"/>
    <mergeCell ref="A242:S242"/>
    <mergeCell ref="A80:C80"/>
    <mergeCell ref="A234:S234"/>
    <mergeCell ref="F361:H361"/>
    <mergeCell ref="T246:AK246"/>
    <mergeCell ref="E181:F181"/>
    <mergeCell ref="L146:M146"/>
    <mergeCell ref="G181:H181"/>
    <mergeCell ref="G32:J32"/>
    <mergeCell ref="G147:H147"/>
    <mergeCell ref="G174:H174"/>
    <mergeCell ref="A32:F32"/>
    <mergeCell ref="Q165:R165"/>
    <mergeCell ref="D165:F165"/>
    <mergeCell ref="T247:AK247"/>
    <mergeCell ref="D152:F152"/>
    <mergeCell ref="K178:L178"/>
    <mergeCell ref="D223:F223"/>
    <mergeCell ref="I153:K153"/>
    <mergeCell ref="N149:P149"/>
    <mergeCell ref="E279:L279"/>
    <mergeCell ref="O6:R6"/>
    <mergeCell ref="E99:F99"/>
    <mergeCell ref="T249:AK249"/>
    <mergeCell ref="A162:C163"/>
    <mergeCell ref="J331:K331"/>
    <mergeCell ref="D216:F216"/>
    <mergeCell ref="G217:I217"/>
    <mergeCell ref="E101:F101"/>
    <mergeCell ref="G163:H163"/>
    <mergeCell ref="A157:C157"/>
    <mergeCell ref="A286:D286"/>
    <mergeCell ref="A222:C222"/>
    <mergeCell ref="R240:S240"/>
    <mergeCell ref="E237:F239"/>
    <mergeCell ref="E100:F100"/>
    <mergeCell ref="G100:H100"/>
    <mergeCell ref="L164:M164"/>
    <mergeCell ref="G94:H94"/>
    <mergeCell ref="G165:H165"/>
    <mergeCell ref="I94:J94"/>
    <mergeCell ref="A295:B295"/>
    <mergeCell ref="I69:J69"/>
    <mergeCell ref="S152:AB152"/>
    <mergeCell ref="E102:F102"/>
    <mergeCell ref="C69:D69"/>
    <mergeCell ref="G102:H102"/>
    <mergeCell ref="D170:F170"/>
    <mergeCell ref="G141:I141"/>
    <mergeCell ref="I108:J108"/>
    <mergeCell ref="G169:H169"/>
    <mergeCell ref="M130:Z130"/>
    <mergeCell ref="D163:F163"/>
    <mergeCell ref="A27:F27"/>
    <mergeCell ref="H330:I330"/>
    <mergeCell ref="L8:N8"/>
    <mergeCell ref="P250:Q250"/>
    <mergeCell ref="M261:Z261"/>
    <mergeCell ref="A18:F18"/>
    <mergeCell ref="M137:AD137"/>
    <mergeCell ref="D209:F209"/>
    <mergeCell ref="R250:S250"/>
    <mergeCell ref="D147:F147"/>
    <mergeCell ref="A296:B296"/>
    <mergeCell ref="S147:AB147"/>
    <mergeCell ref="I306:J306"/>
    <mergeCell ref="A228:H228"/>
    <mergeCell ref="M132:Z132"/>
    <mergeCell ref="A355:H355"/>
    <mergeCell ref="I227:J227"/>
    <mergeCell ref="A104:L104"/>
    <mergeCell ref="A177:B177"/>
    <mergeCell ref="A22:F22"/>
    <mergeCell ref="R251:S251"/>
    <mergeCell ref="G258:H258"/>
    <mergeCell ref="A326:E326"/>
    <mergeCell ref="A351:E351"/>
    <mergeCell ref="I258:J258"/>
    <mergeCell ref="A81:C81"/>
    <mergeCell ref="J204:L204"/>
    <mergeCell ref="D162:H162"/>
    <mergeCell ref="A179:B179"/>
    <mergeCell ref="A302:B302"/>
    <mergeCell ref="A170:C170"/>
    <mergeCell ref="E260:F260"/>
    <mergeCell ref="A331:E331"/>
    <mergeCell ref="A298:B298"/>
    <mergeCell ref="G260:H260"/>
    <mergeCell ref="A116:B116"/>
    <mergeCell ref="E197:F197"/>
    <mergeCell ref="G259:H259"/>
    <mergeCell ref="G197:H197"/>
    <mergeCell ref="Q148:R148"/>
    <mergeCell ref="I259:J259"/>
    <mergeCell ref="L149:M149"/>
    <mergeCell ref="A282:D282"/>
    <mergeCell ref="I240:J240"/>
    <mergeCell ref="A180:B180"/>
    <mergeCell ref="A332:E332"/>
    <mergeCell ref="A299:B299"/>
    <mergeCell ref="D158:F158"/>
    <mergeCell ref="N150:P150"/>
    <mergeCell ref="G261:H261"/>
    <mergeCell ref="A93:B93"/>
    <mergeCell ref="C293:D293"/>
    <mergeCell ref="A348:H348"/>
    <mergeCell ref="G33:J33"/>
    <mergeCell ref="N165:P165"/>
    <mergeCell ref="S168:AC168"/>
    <mergeCell ref="A172:L172"/>
    <mergeCell ref="H46:J46"/>
    <mergeCell ref="I319:J319"/>
    <mergeCell ref="A328:K328"/>
    <mergeCell ref="K338:AA338"/>
    <mergeCell ref="K306:L306"/>
    <mergeCell ref="A223:C223"/>
    <mergeCell ref="A196:D197"/>
    <mergeCell ref="A267:D268"/>
    <mergeCell ref="A43:G43"/>
    <mergeCell ref="G179:H179"/>
    <mergeCell ref="I179:J179"/>
    <mergeCell ref="G166:H166"/>
    <mergeCell ref="T250:AK250"/>
    <mergeCell ref="J140:T140"/>
    <mergeCell ref="G216:I216"/>
    <mergeCell ref="J217:L217"/>
    <mergeCell ref="E236:L236"/>
    <mergeCell ref="G59:J59"/>
    <mergeCell ref="A17:F17"/>
    <mergeCell ref="I97:J97"/>
    <mergeCell ref="I230:J230"/>
    <mergeCell ref="A53:F53"/>
    <mergeCell ref="Q167:R167"/>
    <mergeCell ref="G167:H167"/>
    <mergeCell ref="A112:L112"/>
    <mergeCell ref="A297:B297"/>
    <mergeCell ref="A175:B175"/>
    <mergeCell ref="D148:F148"/>
    <mergeCell ref="D123:F123"/>
    <mergeCell ref="M133:Z133"/>
    <mergeCell ref="A312:B312"/>
    <mergeCell ref="K263:L263"/>
    <mergeCell ref="A106:B106"/>
    <mergeCell ref="T245:AK245"/>
    <mergeCell ref="C106:D106"/>
    <mergeCell ref="F325:I325"/>
    <mergeCell ref="I249:J249"/>
    <mergeCell ref="M135:Z135"/>
    <mergeCell ref="A357:E357"/>
    <mergeCell ref="G209:I209"/>
    <mergeCell ref="E96:F96"/>
    <mergeCell ref="L170:M170"/>
    <mergeCell ref="G96:H96"/>
    <mergeCell ref="C101:D101"/>
    <mergeCell ref="A130:B130"/>
    <mergeCell ref="I261:J261"/>
    <mergeCell ref="A322:S322"/>
    <mergeCell ref="J122:T122"/>
    <mergeCell ref="K34:S35"/>
    <mergeCell ref="N169:P169"/>
    <mergeCell ref="J207:L207"/>
    <mergeCell ref="K108:L108"/>
    <mergeCell ref="E98:F98"/>
    <mergeCell ref="G98:H98"/>
    <mergeCell ref="L150:M150"/>
    <mergeCell ref="A20:G20"/>
    <mergeCell ref="G54:J54"/>
    <mergeCell ref="A253:S253"/>
    <mergeCell ref="A132:B132"/>
    <mergeCell ref="L80:U80"/>
    <mergeCell ref="G204:I204"/>
    <mergeCell ref="L165:M165"/>
    <mergeCell ref="D205:F205"/>
    <mergeCell ref="G56:J56"/>
    <mergeCell ref="I170:K170"/>
    <mergeCell ref="G206:I206"/>
    <mergeCell ref="D167:F167"/>
    <mergeCell ref="S167:AB167"/>
    <mergeCell ref="A15:G15"/>
    <mergeCell ref="G93:H93"/>
    <mergeCell ref="K237:L239"/>
    <mergeCell ref="I93:J93"/>
    <mergeCell ref="M237:N239"/>
    <mergeCell ref="D169:F169"/>
    <mergeCell ref="G180:H180"/>
    <mergeCell ref="I180:J180"/>
    <mergeCell ref="A166:C166"/>
    <mergeCell ref="N153:P153"/>
    <mergeCell ref="R249:S249"/>
    <mergeCell ref="G109:H109"/>
    <mergeCell ref="Q169:R169"/>
    <mergeCell ref="I109:J109"/>
    <mergeCell ref="A168:C168"/>
    <mergeCell ref="K175:L175"/>
    <mergeCell ref="A320:B320"/>
    <mergeCell ref="A176:B176"/>
    <mergeCell ref="A314:B314"/>
  </mergeCells>
  <conditionalFormatting sqref="A123 D123">
    <cfRule type="expression" priority="251" dxfId="48">
      <formula>$D$123&gt;$A$123</formula>
    </cfRule>
  </conditionalFormatting>
  <conditionalFormatting sqref="A123 D136 F136 H136 J136 L136">
    <cfRule type="expression" priority="223" dxfId="48">
      <formula>SUM($D$136,$F$136,$H$136,$J$136,$L$136)&lt;&gt;$A$123</formula>
    </cfRule>
  </conditionalFormatting>
  <conditionalFormatting sqref="A141 D141">
    <cfRule type="expression" priority="220" dxfId="48">
      <formula>$D$141&gt;$A$141</formula>
    </cfRule>
  </conditionalFormatting>
  <conditionalFormatting sqref="A141 G153 L153 Q153">
    <cfRule type="expression" priority="193" dxfId="48">
      <formula>SUM($G$153,$L$153,$Q$153)&lt;&gt;$A$141</formula>
    </cfRule>
  </conditionalFormatting>
  <conditionalFormatting sqref="A158 D158">
    <cfRule type="expression" priority="190" dxfId="231">
      <formula>$D$158&gt;$A$158</formula>
    </cfRule>
  </conditionalFormatting>
  <conditionalFormatting sqref="A158 G170 L170 Q170">
    <cfRule type="expression" priority="160" dxfId="48">
      <formula>SUM($G$170,$L$170,$Q$170)&lt;&gt;$A$158</formula>
    </cfRule>
  </conditionalFormatting>
  <conditionalFormatting sqref="A198 J210">
    <cfRule type="expression" priority="136" dxfId="48">
      <formula>$J$210&lt;&gt;$A$198</formula>
    </cfRule>
  </conditionalFormatting>
  <conditionalFormatting sqref="A71:B71">
    <cfRule type="expression" priority="37" dxfId="48">
      <formula>$B$71/$A$71&gt;99</formula>
    </cfRule>
  </conditionalFormatting>
  <conditionalFormatting sqref="A116:B116">
    <cfRule type="expression" priority="43" dxfId="48">
      <formula>A116&gt;SUM(K80:K81)</formula>
    </cfRule>
  </conditionalFormatting>
  <conditionalFormatting sqref="A116:C116 E116 G123 H116">
    <cfRule type="expression" priority="29" dxfId="48">
      <formula>SUM($A$116,$C$116,$E$116,$H$116)&gt;$G$123</formula>
    </cfRule>
  </conditionalFormatting>
  <conditionalFormatting sqref="A116:I116">
    <cfRule type="expression" priority="44" dxfId="48">
      <formula>SUM($A$116:$I$116)&lt;SUM($K$80:$K$81)</formula>
    </cfRule>
  </conditionalFormatting>
  <conditionalFormatting sqref="C131 E131 G131 I131 K131">
    <cfRule type="expression" priority="242" dxfId="48">
      <formula>SUM($C$131,$E$131,$G$131,$I$131,$K$131)&gt;$K$81</formula>
    </cfRule>
  </conditionalFormatting>
  <conditionalFormatting sqref="C132 E132 G132 I132 K132">
    <cfRule type="expression" priority="238" dxfId="48">
      <formula>SUM($C$132,$E$132,$G$132,$I$132,$K$132)&gt;$K$82</formula>
    </cfRule>
  </conditionalFormatting>
  <conditionalFormatting sqref="C133 E133 G133 I133 K133">
    <cfRule type="expression" priority="235" dxfId="48">
      <formula>SUM($C$133,$E$133,$G$133,$I$133,$K$133)&gt;$K$83</formula>
    </cfRule>
  </conditionalFormatting>
  <conditionalFormatting sqref="C134 E134 G134 I134 K134">
    <cfRule type="expression" priority="232" dxfId="48">
      <formula>SUM($C$134,$E$134,$G$134,$I$134,$K$134)&gt;$K$85</formula>
    </cfRule>
  </conditionalFormatting>
  <conditionalFormatting sqref="C135 E135 G135 I135 K135">
    <cfRule type="expression" priority="229" dxfId="48">
      <formula>SUM($C$135,$E$135,$G$135,$I$135,$K$135)&gt;$K$86</formula>
    </cfRule>
  </conditionalFormatting>
  <conditionalFormatting sqref="C71:D71">
    <cfRule type="expression" priority="36" dxfId="48">
      <formula>$D$71/$C$71&gt;500</formula>
    </cfRule>
    <cfRule type="expression" priority="35" dxfId="48">
      <formula>$D$71/$C$71&lt;100</formula>
    </cfRule>
  </conditionalFormatting>
  <conditionalFormatting sqref="C116:D116">
    <cfRule type="expression" priority="42" dxfId="48">
      <formula>C116&gt;SUM(K80,K81)</formula>
    </cfRule>
  </conditionalFormatting>
  <conditionalFormatting sqref="C136:D136">
    <cfRule type="expression" priority="26" dxfId="48">
      <formula>$D$136/$C$136&gt;99</formula>
    </cfRule>
  </conditionalFormatting>
  <conditionalFormatting sqref="C302:D302">
    <cfRule type="expression" priority="10" dxfId="48">
      <formula>$D$302/$C$302&gt;99</formula>
    </cfRule>
  </conditionalFormatting>
  <conditionalFormatting sqref="C315:D315">
    <cfRule type="expression" priority="6" dxfId="48">
      <formula>$D$315/$C$315&gt;99</formula>
    </cfRule>
  </conditionalFormatting>
  <conditionalFormatting sqref="D148 I148 N148">
    <cfRule type="expression" priority="211" dxfId="48">
      <formula>SUM($D$148,$I$148,$N$148)&gt;$K$81</formula>
    </cfRule>
  </conditionalFormatting>
  <conditionalFormatting sqref="D149 I149 N149">
    <cfRule type="expression" priority="208" dxfId="48">
      <formula>SUM($D$149,$I$149,$N$149)&gt;$K$82</formula>
    </cfRule>
  </conditionalFormatting>
  <conditionalFormatting sqref="D150 I150 N150">
    <cfRule type="expression" priority="205" dxfId="48">
      <formula>SUM($D$150,$I$150,$N$150)&gt;$K$83</formula>
    </cfRule>
  </conditionalFormatting>
  <conditionalFormatting sqref="D151 I151 N151">
    <cfRule type="expression" priority="202" dxfId="48">
      <formula>SUM($D$151,$I$151,$N$151)&gt;$K$85</formula>
    </cfRule>
  </conditionalFormatting>
  <conditionalFormatting sqref="D152 I152 N152">
    <cfRule type="expression" priority="199" dxfId="48">
      <formula>SUM($D$152,$I$152,$N$152)&gt;$K$86</formula>
    </cfRule>
  </conditionalFormatting>
  <conditionalFormatting sqref="D153 G153:H153">
    <cfRule type="expression" priority="18" dxfId="48">
      <formula>$G$153/$D$153&gt;59</formula>
    </cfRule>
  </conditionalFormatting>
  <conditionalFormatting sqref="D165 I165 N165">
    <cfRule type="expression" priority="178" dxfId="48">
      <formula>SUM($D$165,$I$165,$N$165)&gt;$K$81</formula>
    </cfRule>
  </conditionalFormatting>
  <conditionalFormatting sqref="D166 I166 N166">
    <cfRule type="expression" priority="175" dxfId="48">
      <formula>SUM($D$166,$I$166,$N$166)&gt;$K$82</formula>
    </cfRule>
  </conditionalFormatting>
  <conditionalFormatting sqref="D167 I167 N167">
    <cfRule type="expression" priority="172" dxfId="48">
      <formula>SUM($D$167,$I$167,$N$167)&gt;$K$83</formula>
    </cfRule>
  </conditionalFormatting>
  <conditionalFormatting sqref="D168 I168 N168">
    <cfRule type="expression" priority="169" dxfId="48">
      <formula>SUM($D$168,$I$168,$N$168)&gt;$K$85</formula>
    </cfRule>
  </conditionalFormatting>
  <conditionalFormatting sqref="D169 I169 N169">
    <cfRule type="expression" priority="166" dxfId="48">
      <formula>SUM($D$169,$I$169,$N$169)&gt;$K$86</formula>
    </cfRule>
  </conditionalFormatting>
  <conditionalFormatting sqref="D170 G170:H170">
    <cfRule type="expression" priority="14" dxfId="48">
      <formula>$G$170/$D$170&gt;59</formula>
    </cfRule>
  </conditionalFormatting>
  <conditionalFormatting sqref="E116">
    <cfRule type="expression" priority="41" dxfId="48">
      <formula>E116&gt;SUM(K80,K81)</formula>
    </cfRule>
  </conditionalFormatting>
  <conditionalFormatting sqref="E240 E251">
    <cfRule type="expression" priority="133" dxfId="48">
      <formula>$E$251&lt;&gt;$E$240</formula>
    </cfRule>
  </conditionalFormatting>
  <conditionalFormatting sqref="E261 L275">
    <cfRule type="expression" priority="97" dxfId="48">
      <formula>$L$275&lt;&gt;$E$261</formula>
    </cfRule>
  </conditionalFormatting>
  <conditionalFormatting sqref="E71:F71">
    <cfRule type="expression" priority="34" dxfId="48">
      <formula>$F$71/$E$71&gt;1000</formula>
    </cfRule>
    <cfRule type="expression" priority="33" dxfId="48">
      <formula>$F$71/$E$71&lt;501</formula>
    </cfRule>
  </conditionalFormatting>
  <conditionalFormatting sqref="E136:F136">
    <cfRule type="expression" priority="25" dxfId="48">
      <formula>$F$136/$E$136&gt;500</formula>
    </cfRule>
    <cfRule type="expression" priority="24" dxfId="48">
      <formula>$F$136/$E$136&lt;100</formula>
    </cfRule>
  </conditionalFormatting>
  <conditionalFormatting sqref="E260:F263">
    <cfRule type="expression" priority="109" dxfId="48">
      <formula>SUM($E$262,$E$263)&lt;&gt;($E$260-$E$261)</formula>
    </cfRule>
  </conditionalFormatting>
  <conditionalFormatting sqref="E302:F302">
    <cfRule type="expression" priority="9" dxfId="48">
      <formula>$F$302/$E$302&gt;500</formula>
    </cfRule>
  </conditionalFormatting>
  <conditionalFormatting sqref="E315:F315">
    <cfRule type="expression" priority="5" dxfId="48">
      <formula>$F$315/$E$315&gt;500</formula>
    </cfRule>
  </conditionalFormatting>
  <conditionalFormatting sqref="F116 G158">
    <cfRule type="expression" priority="28" dxfId="48">
      <formula>$F$116&gt;$G$158</formula>
    </cfRule>
  </conditionalFormatting>
  <conditionalFormatting sqref="F116">
    <cfRule type="expression" priority="40" dxfId="48">
      <formula>F116&gt;SUM(K80,K81)</formula>
    </cfRule>
  </conditionalFormatting>
  <conditionalFormatting sqref="G116 G141">
    <cfRule type="expression" priority="27" dxfId="48">
      <formula>$G$116&gt;$G$141</formula>
    </cfRule>
  </conditionalFormatting>
  <conditionalFormatting sqref="G116">
    <cfRule type="expression" priority="39" dxfId="48">
      <formula>G116&gt;SUM(K80,K81)</formula>
    </cfRule>
  </conditionalFormatting>
  <conditionalFormatting sqref="C136 E136 G123 G136 I136 K136">
    <cfRule type="expression" priority="226" dxfId="48">
      <formula>SUM($C$136,$E$136,$G$136,$I$136,$K$136)&lt;&gt;$G$123</formula>
    </cfRule>
  </conditionalFormatting>
  <conditionalFormatting sqref="D153 G141 I153 N153">
    <cfRule type="expression" priority="196" dxfId="48">
      <formula>SUM($D$153,$I$153,$N$153)&lt;&gt;$G$141</formula>
    </cfRule>
  </conditionalFormatting>
  <conditionalFormatting sqref="D170 G158 I170 N170">
    <cfRule type="expression" priority="163" dxfId="48">
      <formula>SUM($D$170,$I$170,$N$170)&lt;&gt;$G$158</formula>
    </cfRule>
  </conditionalFormatting>
  <conditionalFormatting sqref="G240 G251">
    <cfRule type="expression" priority="130" dxfId="48">
      <formula>$G$251&lt;&gt;$G$240</formula>
    </cfRule>
  </conditionalFormatting>
  <conditionalFormatting sqref="G71:H71">
    <cfRule type="expression" priority="31" dxfId="48">
      <formula>" =$H$71/$G$71&lt;1001"</formula>
    </cfRule>
    <cfRule type="expression" priority="32" dxfId="48">
      <formula>$H$71/$G$71&gt;5000</formula>
    </cfRule>
  </conditionalFormatting>
  <conditionalFormatting sqref="G136:H136">
    <cfRule type="expression" priority="22" dxfId="48">
      <formula>$H$136/$G$136&lt;501</formula>
    </cfRule>
    <cfRule type="expression" priority="23" dxfId="48">
      <formula>$H$136/$G$136&gt;1000</formula>
    </cfRule>
  </conditionalFormatting>
  <conditionalFormatting sqref="G260:H263">
    <cfRule type="expression" priority="106" dxfId="48">
      <formula>SUM($G$262,$G$263)&lt;&gt;($G$260-$G$261)</formula>
    </cfRule>
  </conditionalFormatting>
  <conditionalFormatting sqref="G302:H302">
    <cfRule type="expression" priority="8" dxfId="48">
      <formula>$H$302/$G$302&gt;1000</formula>
    </cfRule>
  </conditionalFormatting>
  <conditionalFormatting sqref="G315:H315">
    <cfRule type="expression" priority="4" dxfId="48">
      <formula>$H$315/$G$315&gt;1000</formula>
    </cfRule>
  </conditionalFormatting>
  <conditionalFormatting sqref="H6">
    <cfRule type="expression" priority="88" dxfId="48">
      <formula>$H$6=""</formula>
    </cfRule>
  </conditionalFormatting>
  <conditionalFormatting sqref="G34 H15">
    <cfRule type="expression" priority="269" dxfId="48">
      <formula>$G$34&lt;&gt;$H$15</formula>
    </cfRule>
  </conditionalFormatting>
  <conditionalFormatting sqref="G22:G23 H19:H20">
    <cfRule type="expression" priority="272" dxfId="48">
      <formula>($H$19-$H$20)&lt;&gt;SUM($G$22,$G$23)</formula>
    </cfRule>
  </conditionalFormatting>
  <conditionalFormatting sqref="H20 K87">
    <cfRule type="expression" priority="257" dxfId="48">
      <formula>$K$87&lt;&gt;$H$20</formula>
    </cfRule>
  </conditionalFormatting>
  <conditionalFormatting sqref="G59 H42">
    <cfRule type="expression" priority="266" dxfId="48">
      <formula>$G$59&lt;&gt;$H$42</formula>
    </cfRule>
  </conditionalFormatting>
  <conditionalFormatting sqref="A71 C71 E71 G71 H47 I71">
    <cfRule type="expression" priority="260" dxfId="48">
      <formula>SUM($A$71,$C$71,$E$71,$G$71,$I$71)&lt;&gt;$H$47</formula>
    </cfRule>
  </conditionalFormatting>
  <conditionalFormatting sqref="H47 H65">
    <cfRule type="expression" priority="263" dxfId="48">
      <formula>$H$65&lt;&gt;$H$47</formula>
    </cfRule>
  </conditionalFormatting>
  <conditionalFormatting sqref="H116:I116">
    <cfRule type="expression" priority="38" dxfId="48">
      <formula>H116&gt;SUM(K80,K81)</formula>
    </cfRule>
  </conditionalFormatting>
  <conditionalFormatting sqref="I65">
    <cfRule type="expression" priority="262" dxfId="1">
      <formula>$H$65&lt;&gt;$H$47</formula>
    </cfRule>
    <cfRule type="expression" priority="261" dxfId="0">
      <formula>$H$65=$H$47</formula>
    </cfRule>
  </conditionalFormatting>
  <conditionalFormatting sqref="I153 L153:M153">
    <cfRule type="expression" priority="17" dxfId="48">
      <formula>$L$153/$I$153&lt;60</formula>
    </cfRule>
    <cfRule type="expression" priority="16" dxfId="48">
      <formula>$L$153/$I$153&gt;120</formula>
    </cfRule>
  </conditionalFormatting>
  <conditionalFormatting sqref="I170 L170:M170">
    <cfRule type="expression" priority="12" dxfId="48">
      <formula>$L$170/$I$170&gt;120</formula>
    </cfRule>
    <cfRule type="expression" priority="13" dxfId="48">
      <formula>$L$170/$I$170&lt;60</formula>
    </cfRule>
  </conditionalFormatting>
  <conditionalFormatting sqref="I240 I251">
    <cfRule type="expression" priority="127" dxfId="48">
      <formula>$I$240&lt;&gt;$I$251</formula>
    </cfRule>
  </conditionalFormatting>
  <conditionalFormatting sqref="I261 L287">
    <cfRule type="expression" priority="94" dxfId="48">
      <formula>$L$287&lt;&gt;$I$261</formula>
    </cfRule>
  </conditionalFormatting>
  <conditionalFormatting sqref="I71:J71">
    <cfRule type="expression" priority="30" dxfId="48">
      <formula>$J$71/$I$71&lt;=5000</formula>
    </cfRule>
  </conditionalFormatting>
  <conditionalFormatting sqref="I136:J136">
    <cfRule type="expression" priority="21" dxfId="48">
      <formula>$J$136/$I$136&gt;5000</formula>
    </cfRule>
    <cfRule type="expression" priority="20" dxfId="48">
      <formula>$J$136/$I$136&lt;1001</formula>
    </cfRule>
  </conditionalFormatting>
  <conditionalFormatting sqref="I260:J263">
    <cfRule type="expression" priority="103" dxfId="48">
      <formula>SUM($I$262,$I$263)&lt;&gt;($I$260-$I$261)</formula>
    </cfRule>
  </conditionalFormatting>
  <conditionalFormatting sqref="I302:J302">
    <cfRule type="expression" priority="7" dxfId="48">
      <formula>$J$302/$I$302&gt;5000</formula>
    </cfRule>
  </conditionalFormatting>
  <conditionalFormatting sqref="I315:J315">
    <cfRule type="expression" priority="3" dxfId="48">
      <formula>$J$315/$I$315&gt;5000</formula>
    </cfRule>
  </conditionalFormatting>
  <conditionalFormatting sqref="F357:F359 F361 I348:L348">
    <cfRule type="expression" priority="2" dxfId="48">
      <formula>$I$348/SUM($F$357,$F$358,$F$359,$F$361)&gt;200000</formula>
    </cfRule>
    <cfRule type="expression" priority="1" dxfId="48">
      <formula>$I$348/SUM($F$357,$F$358,$F$359,$F$361)&lt;40000</formula>
    </cfRule>
  </conditionalFormatting>
  <conditionalFormatting sqref="J116">
    <cfRule type="expression" priority="253" dxfId="1">
      <formula>SUM($A$116:$I$116)&lt;SUM($K$80,$K$81)</formula>
    </cfRule>
    <cfRule type="expression" priority="252" dxfId="0">
      <formula>SUM($A$116:$I$116)&gt;=SUM($K$80,$K$81)</formula>
    </cfRule>
  </conditionalFormatting>
  <conditionalFormatting sqref="J122">
    <cfRule type="expression" priority="250" dxfId="1">
      <formula>$D$123&gt;$A$123</formula>
    </cfRule>
    <cfRule type="expression" priority="249" dxfId="0">
      <formula>$D$123&lt;=$A$123</formula>
    </cfRule>
  </conditionalFormatting>
  <conditionalFormatting sqref="J123">
    <cfRule type="expression" priority="247" dxfId="1">
      <formula>$G$123&gt;SUM($K$80,$K$81,$K$82,$K$83,$K$85,$K$86)</formula>
    </cfRule>
    <cfRule type="expression" priority="246" dxfId="0">
      <formula>$G$123&lt;=SUM($K$80,$K$81,$K$82,$K$83,$K$85,$K$86)</formula>
    </cfRule>
  </conditionalFormatting>
  <conditionalFormatting sqref="J140">
    <cfRule type="expression" priority="219" dxfId="1">
      <formula>$D$141&gt;$A$141</formula>
    </cfRule>
    <cfRule type="expression" priority="218" dxfId="0">
      <formula>$D$141&lt;=$A$141</formula>
    </cfRule>
  </conditionalFormatting>
  <conditionalFormatting sqref="J141">
    <cfRule type="expression" priority="215" dxfId="0">
      <formula>$G$141&lt;=SUM($K$80,$K$81,$K$82,$K$83,$K$85,$K$86)</formula>
    </cfRule>
    <cfRule type="expression" priority="216" dxfId="1">
      <formula>$G$141&gt;SUM($K$80,$K$81,$K$82,$K$83,$K$85,$K$86)</formula>
    </cfRule>
  </conditionalFormatting>
  <conditionalFormatting sqref="J157">
    <cfRule type="expression" priority="189" dxfId="1">
      <formula>$D$158&gt;$A$158</formula>
    </cfRule>
    <cfRule type="expression" priority="188" dxfId="0">
      <formula>$D$158&lt;=$A$158</formula>
    </cfRule>
  </conditionalFormatting>
  <conditionalFormatting sqref="J158">
    <cfRule type="expression" priority="186" dxfId="1">
      <formula>$G$158&gt;SUM($K$80,$K$81,$K$82,$K$83,$K$85,$K$86)</formula>
    </cfRule>
    <cfRule type="expression" priority="185" dxfId="0">
      <formula>$G$158&lt;=SUM($K$80,$K$81,$K$82,$K$83,$K$85,$K$86)</formula>
    </cfRule>
  </conditionalFormatting>
  <conditionalFormatting sqref="J159">
    <cfRule type="expression" priority="183" dxfId="1">
      <formula>SUM($G$158,$G$141,$G$123)&lt;$K$88</formula>
    </cfRule>
    <cfRule type="expression" priority="182" dxfId="0">
      <formula>SUM($G$158,$G$141,$G$123)&gt;=SUM($K$80,$K$81,$K$82,$K$83,$K$85,$K$86)</formula>
    </cfRule>
  </conditionalFormatting>
  <conditionalFormatting sqref="J337:J338">
    <cfRule type="expression" priority="91" dxfId="48">
      <formula>$J$338&lt;&gt;$J$337</formula>
    </cfRule>
  </conditionalFormatting>
  <conditionalFormatting sqref="K21">
    <cfRule type="expression" priority="270" dxfId="0">
      <formula>($H$19-$H$20)=SUM($G$22,$G$23)</formula>
    </cfRule>
    <cfRule type="expression" priority="271" dxfId="1">
      <formula>($H$19-$H$20)&lt;&gt;SUM($G$22,$G$23)</formula>
    </cfRule>
  </conditionalFormatting>
  <conditionalFormatting sqref="K34">
    <cfRule type="expression" priority="267" dxfId="0">
      <formula>$G$34=$H$15</formula>
    </cfRule>
    <cfRule type="expression" priority="268" dxfId="1">
      <formula>$G$34&lt;&gt;$H$15</formula>
    </cfRule>
  </conditionalFormatting>
  <conditionalFormatting sqref="K42">
    <cfRule type="expression" priority="52" dxfId="16">
      <formula>$H$42=$G$59</formula>
    </cfRule>
    <cfRule type="expression" priority="53" dxfId="17">
      <formula>$H$42&lt;&gt;$G$59</formula>
    </cfRule>
  </conditionalFormatting>
  <conditionalFormatting sqref="K59">
    <cfRule type="expression" priority="264" dxfId="0">
      <formula>$G$59=$H$42</formula>
    </cfRule>
    <cfRule type="expression" priority="265" dxfId="1">
      <formula>$G$59&lt;&gt;$H$42</formula>
    </cfRule>
  </conditionalFormatting>
  <conditionalFormatting sqref="K71">
    <cfRule type="expression" priority="259" dxfId="1">
      <formula>SUM($A$71,$C$71,$E$71,$G$71,$I$71)&lt;&gt;$H$47</formula>
    </cfRule>
    <cfRule type="expression" priority="258" dxfId="0">
      <formula>SUM($A$71,$C$71,$E$71,$G$71,$I$71)=$H$47</formula>
    </cfRule>
  </conditionalFormatting>
  <conditionalFormatting sqref="C130 D147 D164 E130 G130 I130 I147 I164 K80 K130 N147 N164">
    <cfRule type="expression" priority="474" dxfId="48">
      <formula>$AA$80&lt;$K$80</formula>
    </cfRule>
  </conditionalFormatting>
  <conditionalFormatting sqref="C130 E130 G130 I130 K80 K130">
    <cfRule type="expression" priority="245" dxfId="48">
      <formula>SUM($C$130,$E$130,$G$130,$I$130,$K$130)&gt;$K$80</formula>
    </cfRule>
  </conditionalFormatting>
  <conditionalFormatting sqref="D147 I147 K80 N147">
    <cfRule type="expression" priority="214" dxfId="48">
      <formula>SUM($D$147,$I$147,$N$147)&gt;$K$80</formula>
    </cfRule>
  </conditionalFormatting>
  <conditionalFormatting sqref="D164 I164 K80 N164">
    <cfRule type="expression" priority="181" dxfId="48">
      <formula>SUM($D$164,$I$164,$N$164)&gt;$K$80</formula>
    </cfRule>
  </conditionalFormatting>
  <conditionalFormatting sqref="G123 G141 G158 K80:K83 K85:K86">
    <cfRule type="expression" priority="184" dxfId="48">
      <formula>SUM($G$158,$G$141,$G$123)&lt;$K$88</formula>
    </cfRule>
  </conditionalFormatting>
  <conditionalFormatting sqref="G123 K80:K83 K85:K86">
    <cfRule type="expression" priority="248" dxfId="48">
      <formula>$G$123&gt;$K$88</formula>
    </cfRule>
  </conditionalFormatting>
  <conditionalFormatting sqref="G141 K80:K83 K85:K86">
    <cfRule type="expression" priority="217" dxfId="48">
      <formula>$G$141&gt;$K$88</formula>
    </cfRule>
  </conditionalFormatting>
  <conditionalFormatting sqref="G158 K80:K83 K85:K86">
    <cfRule type="expression" priority="187" dxfId="48">
      <formula>$G$158&gt;$K$88</formula>
    </cfRule>
  </conditionalFormatting>
  <conditionalFormatting sqref="K80:K83 K85:K86">
    <cfRule type="expression" priority="254" dxfId="48">
      <formula>SUM($A$116:$I$116)&lt;SUM($K$80:$K$81)</formula>
    </cfRule>
  </conditionalFormatting>
  <conditionalFormatting sqref="C131 D148 D165 E131 G131 I131 I148 I165 K81 K131 N148 N165">
    <cfRule type="expression" priority="55" dxfId="48">
      <formula>$AA$81&lt;$K$81</formula>
    </cfRule>
  </conditionalFormatting>
  <conditionalFormatting sqref="C132 D149 D166 E132 G132 I132 I149 I166 K82 K132 N149 N166">
    <cfRule type="expression" priority="501" dxfId="48">
      <formula>$AA$82&lt;$K$82</formula>
    </cfRule>
  </conditionalFormatting>
  <conditionalFormatting sqref="C133 D150 D167 E133 G133 I133 I150 I167 K83 K133 N150 N167">
    <cfRule type="expression" priority="514" dxfId="48">
      <formula>$AA$83&lt;$K$83</formula>
    </cfRule>
  </conditionalFormatting>
  <conditionalFormatting sqref="C134 D151 D168 E134 G134 I134 I151 I168 K85 K134 N151 N168">
    <cfRule type="expression" priority="527" dxfId="48">
      <formula>$AA$85&lt;$K$85</formula>
    </cfRule>
  </conditionalFormatting>
  <conditionalFormatting sqref="C135 D152 D169 E135 G135 I135 I152 I169 K86 K135 N152 N169">
    <cfRule type="expression" priority="460" dxfId="48">
      <formula>$AA$86&lt;$K$86</formula>
    </cfRule>
  </conditionalFormatting>
  <conditionalFormatting sqref="K240 K251">
    <cfRule type="expression" priority="124" dxfId="48">
      <formula>$K$240&lt;&gt;$K$251</formula>
    </cfRule>
  </conditionalFormatting>
  <conditionalFormatting sqref="K338">
    <cfRule type="expression" priority="90" dxfId="1">
      <formula>$J$338&lt;&gt;$J$337</formula>
    </cfRule>
    <cfRule type="expression" priority="89" dxfId="0">
      <formula>$J$338=$J$337</formula>
    </cfRule>
  </conditionalFormatting>
  <conditionalFormatting sqref="K136:L136">
    <cfRule type="expression" priority="19" dxfId="48">
      <formula>$L$136/$K$136&lt;=5000</formula>
    </cfRule>
  </conditionalFormatting>
  <conditionalFormatting sqref="K260:L263">
    <cfRule type="expression" priority="100" dxfId="48">
      <formula>SUM($K$262,$K$263)&lt;&gt;($K$260-$K$261)</formula>
    </cfRule>
  </conditionalFormatting>
  <conditionalFormatting sqref="L80">
    <cfRule type="expression" priority="487" dxfId="1">
      <formula>$AA$80&lt;$K$80</formula>
    </cfRule>
    <cfRule type="expression" priority="486" dxfId="0">
      <formula>$AA$80&gt;=$K$80</formula>
    </cfRule>
  </conditionalFormatting>
  <conditionalFormatting sqref="L81">
    <cfRule type="expression" priority="500" dxfId="1">
      <formula>$AA$81&lt;$K$81</formula>
    </cfRule>
    <cfRule type="expression" priority="499" dxfId="0">
      <formula>$AA$81&gt;=$K$81</formula>
    </cfRule>
  </conditionalFormatting>
  <conditionalFormatting sqref="L82">
    <cfRule type="expression" priority="512" dxfId="0">
      <formula>$AA$82&gt;=$K$82</formula>
    </cfRule>
    <cfRule type="expression" priority="513" dxfId="1">
      <formula>$AA$82&lt;$K$82</formula>
    </cfRule>
  </conditionalFormatting>
  <conditionalFormatting sqref="L83">
    <cfRule type="expression" priority="526" dxfId="1">
      <formula>$AA$83&lt;$K$83</formula>
    </cfRule>
    <cfRule type="expression" priority="525" dxfId="0">
      <formula>$AA$83&gt;=$K$83</formula>
    </cfRule>
  </conditionalFormatting>
  <conditionalFormatting sqref="L85">
    <cfRule type="expression" priority="71" dxfId="0">
      <formula>$AA$85&gt;=$K$85</formula>
    </cfRule>
    <cfRule type="expression" priority="459" dxfId="1">
      <formula>$AA$85&lt;$K$85</formula>
    </cfRule>
  </conditionalFormatting>
  <conditionalFormatting sqref="L86">
    <cfRule type="expression" priority="473" dxfId="1">
      <formula>$AA$86&lt;$K$86</formula>
    </cfRule>
    <cfRule type="expression" priority="472" dxfId="0">
      <formula>$AA$86&gt;=$K$86</formula>
    </cfRule>
  </conditionalFormatting>
  <conditionalFormatting sqref="L87">
    <cfRule type="expression" priority="256" dxfId="1">
      <formula>$K$87&lt;&gt;$H$20</formula>
    </cfRule>
    <cfRule type="expression" priority="255" dxfId="0">
      <formula>$K$87=$H$20</formula>
    </cfRule>
  </conditionalFormatting>
  <conditionalFormatting sqref="M130">
    <cfRule type="expression" priority="244" dxfId="1">
      <formula>SUM($C$130,$E$130,$G$130,$I$130,$K$130)&gt;$K$80</formula>
    </cfRule>
    <cfRule type="expression" priority="243" dxfId="0">
      <formula>SUM($C$130,$E$130,$G$130,$I$130,$K$130)&lt;=$K$80</formula>
    </cfRule>
  </conditionalFormatting>
  <conditionalFormatting sqref="M131">
    <cfRule type="expression" priority="241" dxfId="1">
      <formula>SUM($C$131,$E$131,$G$131,$I$131,$K$131)&gt;$K$81</formula>
    </cfRule>
    <cfRule type="expression" priority="239" dxfId="0">
      <formula>SUM($C$131,$E$131,$G$131,$I$131,$K$131)&lt;=$K$81</formula>
    </cfRule>
  </conditionalFormatting>
  <conditionalFormatting sqref="M132">
    <cfRule type="expression" priority="237" dxfId="1">
      <formula>SUM($C$132,$E$132,$G$132,$I$132,$K$132)&gt;$K$82</formula>
    </cfRule>
    <cfRule type="expression" priority="236" dxfId="0">
      <formula>SUM($C$132,$E$132,$G$132,$I$132,$K$132)&lt;=$K$82</formula>
    </cfRule>
  </conditionalFormatting>
  <conditionalFormatting sqref="M133">
    <cfRule type="expression" priority="234" dxfId="1">
      <formula>SUM($C$133,$E$133,$G$133,$I$133,$K$133)&gt;$K$83</formula>
    </cfRule>
    <cfRule type="expression" priority="233" dxfId="0">
      <formula>SUM($C$133,$E$133,$G$133,$I$133,$K$133)&lt;=$K$83</formula>
    </cfRule>
  </conditionalFormatting>
  <conditionalFormatting sqref="M134">
    <cfRule type="expression" priority="231" dxfId="1">
      <formula>SUM($C$134,$E$134,$G$134,$I$134,$K$134)&gt;$K$85</formula>
    </cfRule>
    <cfRule type="expression" priority="230" dxfId="0">
      <formula>SUM($C$134,$E$134,$G$134,$I$134,$K$134)&lt;=$K$85</formula>
    </cfRule>
  </conditionalFormatting>
  <conditionalFormatting sqref="M135">
    <cfRule type="expression" priority="228" dxfId="1">
      <formula>SUM($C$135,$E$135,$G$135,$I$135,$K$135)&gt;$K$86</formula>
    </cfRule>
    <cfRule type="expression" priority="227" dxfId="0">
      <formula>SUM($C$135,$E$135,$G$135,$I$135,$K$135)&lt;=$K$86</formula>
    </cfRule>
  </conditionalFormatting>
  <conditionalFormatting sqref="M136">
    <cfRule type="expression" priority="225" dxfId="1">
      <formula>SUM($C$136,$E$136,$G$136,$I$136,$K$136)&lt;&gt;$G$123</formula>
    </cfRule>
    <cfRule type="expression" priority="224" dxfId="0">
      <formula>SUM($C$136,$E$136,$G$136,$I$136,$K$136)=$G$123</formula>
    </cfRule>
  </conditionalFormatting>
  <conditionalFormatting sqref="M137">
    <cfRule type="expression" priority="222" dxfId="1">
      <formula>SUM($D$136,$F$136,$H$136,$J$136,$L$136)&lt;&gt;$A$123</formula>
    </cfRule>
    <cfRule type="expression" priority="221" dxfId="0">
      <formula>SUM($D$136,$F$136,$H$136,$J$136,$L$136)=$A$123</formula>
    </cfRule>
  </conditionalFormatting>
  <conditionalFormatting sqref="M210">
    <cfRule type="expression" priority="135" dxfId="1">
      <formula>$J$210&lt;&gt;$A$198</formula>
    </cfRule>
    <cfRule type="expression" priority="134" dxfId="0">
      <formula>$J$210=$A$198</formula>
    </cfRule>
  </conditionalFormatting>
  <conditionalFormatting sqref="M240 M251">
    <cfRule type="expression" priority="121" dxfId="48">
      <formula>$M$240&lt;&gt;$M$251</formula>
    </cfRule>
  </conditionalFormatting>
  <conditionalFormatting sqref="M259">
    <cfRule type="expression" priority="107" dxfId="0">
      <formula>SUM($E$262,$E$263)=($E$260-$E$261)</formula>
    </cfRule>
    <cfRule type="expression" priority="108" dxfId="1">
      <formula>SUM($E$262,$E$263)&lt;&gt;($E$260-$E$261)</formula>
    </cfRule>
  </conditionalFormatting>
  <conditionalFormatting sqref="M261">
    <cfRule type="expression" priority="104" dxfId="0">
      <formula>SUM($G$262,$G$263)=($G$260-$G$261)</formula>
    </cfRule>
    <cfRule type="expression" priority="105" dxfId="1">
      <formula>SUM($G$262,$G$263)&lt;&gt;($G$260-$G$261)</formula>
    </cfRule>
  </conditionalFormatting>
  <conditionalFormatting sqref="M262">
    <cfRule type="expression" priority="101" dxfId="0">
      <formula>SUM($I$262,$I$263)=($I$260-$I$261)</formula>
    </cfRule>
    <cfRule type="expression" priority="102" dxfId="1">
      <formula>SUM($I$262,$I$263)&lt;&gt;($I$260-$I$261)</formula>
    </cfRule>
  </conditionalFormatting>
  <conditionalFormatting sqref="M263">
    <cfRule type="expression" priority="99" dxfId="1">
      <formula>SUM($K$262,$K$263)&lt;&gt;($K$260-$K$261)</formula>
    </cfRule>
    <cfRule type="expression" priority="98" dxfId="0">
      <formula>SUM($K$262,$K$263)=($K$260-$K$261)</formula>
    </cfRule>
  </conditionalFormatting>
  <conditionalFormatting sqref="M275">
    <cfRule type="expression" priority="96" dxfId="1">
      <formula>$L$275&lt;&gt;$E$261</formula>
    </cfRule>
    <cfRule type="expression" priority="95" dxfId="0">
      <formula>$L$275=$E$261</formula>
    </cfRule>
  </conditionalFormatting>
  <conditionalFormatting sqref="M287">
    <cfRule type="expression" priority="93" dxfId="1">
      <formula>$L$287&lt;&gt;$I$261</formula>
    </cfRule>
    <cfRule type="expression" priority="92" dxfId="0">
      <formula>$L$287=$I$261</formula>
    </cfRule>
  </conditionalFormatting>
  <conditionalFormatting sqref="M111:AC112">
    <cfRule type="expression" priority="51" dxfId="48">
      <formula>SUM(A116:I116)&lt;SUM(K80,K81)</formula>
    </cfRule>
  </conditionalFormatting>
  <conditionalFormatting sqref="M113:AC113">
    <cfRule type="expression" priority="50" dxfId="48">
      <formula>A116&gt;SUM(K80:K81)</formula>
    </cfRule>
  </conditionalFormatting>
  <conditionalFormatting sqref="M114:AC114">
    <cfRule type="expression" priority="49" dxfId="48">
      <formula>C116&gt;SUM(K80,K81)</formula>
    </cfRule>
  </conditionalFormatting>
  <conditionalFormatting sqref="M115:AC115">
    <cfRule type="expression" priority="48" dxfId="48">
      <formula>E116&gt;SUM(K80,K81)</formula>
    </cfRule>
  </conditionalFormatting>
  <conditionalFormatting sqref="M116:AC116">
    <cfRule type="expression" priority="47" dxfId="48">
      <formula>F116&gt;SUM(K80,K81)</formula>
    </cfRule>
  </conditionalFormatting>
  <conditionalFormatting sqref="M117:AC117">
    <cfRule type="expression" priority="45" dxfId="48">
      <formula>G116&gt;SUM(K80,K81)</formula>
    </cfRule>
  </conditionalFormatting>
  <conditionalFormatting sqref="M118:AC118">
    <cfRule type="expression" priority="46" dxfId="48">
      <formula>H116&gt;SUM(K80,K81)</formula>
    </cfRule>
  </conditionalFormatting>
  <conditionalFormatting sqref="N153 Q153:R153">
    <cfRule type="expression" priority="15" dxfId="48">
      <formula>$Q$153/$N$153&lt;=120</formula>
    </cfRule>
  </conditionalFormatting>
  <conditionalFormatting sqref="N170 Q170:R170">
    <cfRule type="expression" priority="11" dxfId="48">
      <formula>$Q$170/$N$170&lt;=120</formula>
    </cfRule>
  </conditionalFormatting>
  <conditionalFormatting sqref="O6">
    <cfRule type="expression" priority="86" dxfId="16">
      <formula>$H$6&lt;&gt;""</formula>
    </cfRule>
    <cfRule type="expression" priority="87" dxfId="17">
      <formula>$H$6=""</formula>
    </cfRule>
  </conditionalFormatting>
  <conditionalFormatting sqref="O240 O251">
    <cfRule type="expression" priority="118" dxfId="48">
      <formula>$O$240&lt;&gt;$O$251</formula>
    </cfRule>
  </conditionalFormatting>
  <conditionalFormatting sqref="P240 P251">
    <cfRule type="expression" priority="115" dxfId="48">
      <formula>$P$240&lt;&gt;$P$251</formula>
    </cfRule>
  </conditionalFormatting>
  <conditionalFormatting sqref="R240 R251">
    <cfRule type="expression" priority="112" dxfId="48">
      <formula>$R$240&lt;&gt;$R$251</formula>
    </cfRule>
  </conditionalFormatting>
  <conditionalFormatting sqref="S147">
    <cfRule type="expression" priority="213" dxfId="1">
      <formula>SUM($D$147,$I$147,$N$147)&gt;$K$80</formula>
    </cfRule>
    <cfRule type="expression" priority="212" dxfId="0">
      <formula>SUM($D$147,$I$147,$N$147)&lt;=$K$80</formula>
    </cfRule>
  </conditionalFormatting>
  <conditionalFormatting sqref="S148">
    <cfRule type="expression" priority="70" dxfId="1">
      <formula>SUM($D$148,$I$148,$N$148)&gt;$K$81</formula>
    </cfRule>
    <cfRule type="expression" priority="69" dxfId="0">
      <formula>SUM($D$148,$I$148,$N$148)&lt;=$K$81</formula>
    </cfRule>
  </conditionalFormatting>
  <conditionalFormatting sqref="S149">
    <cfRule type="expression" priority="67" dxfId="0">
      <formula>SUM($D$149,$I$149,$N$149)&lt;=$K$82</formula>
    </cfRule>
    <cfRule type="expression" priority="68" dxfId="1">
      <formula>SUM($D$149,$I$149,$N$149)&gt;$K$82</formula>
    </cfRule>
  </conditionalFormatting>
  <conditionalFormatting sqref="S150">
    <cfRule type="expression" priority="65" dxfId="0">
      <formula>SUM($D$150,$I$150,$N$150)&lt;=$K$83</formula>
    </cfRule>
    <cfRule type="expression" priority="66" dxfId="1">
      <formula>SUM($D$150,$I$150,$N$150)&gt;$K$83</formula>
    </cfRule>
  </conditionalFormatting>
  <conditionalFormatting sqref="S151">
    <cfRule type="expression" priority="63" dxfId="0">
      <formula>SUM($D$151,$I$151,$N$151)&lt;=$K$85</formula>
    </cfRule>
    <cfRule type="expression" priority="64" dxfId="1">
      <formula>SUM($D$151,$I$151,$N$151)&gt;$K$85</formula>
    </cfRule>
  </conditionalFormatting>
  <conditionalFormatting sqref="S152">
    <cfRule type="expression" priority="62" dxfId="1">
      <formula>SUM($D$152,$I$152,$N$152)&gt;$K$86</formula>
    </cfRule>
    <cfRule type="expression" priority="61" dxfId="0">
      <formula>SUM($D$152,$I$152,$N$152)&lt;=$K$86</formula>
    </cfRule>
  </conditionalFormatting>
  <conditionalFormatting sqref="S153">
    <cfRule type="expression" priority="59" dxfId="16">
      <formula>SUM($D$153,$I$153,$N$153)=$G$141</formula>
    </cfRule>
    <cfRule type="expression" priority="60" dxfId="17">
      <formula>SUM($D$153,$I$153,$N$153)&lt;&gt;$G$141</formula>
    </cfRule>
  </conditionalFormatting>
  <conditionalFormatting sqref="S164">
    <cfRule type="expression" priority="180" dxfId="1">
      <formula>SUM($D$164,$I$164,$N$164)&gt;$K$80</formula>
    </cfRule>
    <cfRule type="expression" priority="179" dxfId="0">
      <formula>SUM($D$164,$I$164,$N$164)&lt;=$K$80</formula>
    </cfRule>
  </conditionalFormatting>
  <conditionalFormatting sqref="S165">
    <cfRule type="expression" priority="177" dxfId="1">
      <formula>SUM($D$165,$I$165,$N$165)&gt;$K$81</formula>
    </cfRule>
    <cfRule type="expression" priority="176" dxfId="0">
      <formula>SUM($D$165,$I$165,$N$165)&lt;=$K$81</formula>
    </cfRule>
  </conditionalFormatting>
  <conditionalFormatting sqref="S166">
    <cfRule type="expression" priority="173" dxfId="0">
      <formula>SUM($D$166,$I$166,$N$166)&lt;=$K$82</formula>
    </cfRule>
    <cfRule type="expression" priority="174" dxfId="1">
      <formula>SUM($D$166,$I$166,$N$166)&gt;$K$82</formula>
    </cfRule>
  </conditionalFormatting>
  <conditionalFormatting sqref="S167">
    <cfRule type="expression" priority="170" dxfId="0">
      <formula>SUM($D$167,$I$167,$N$167)&lt;=$K$83</formula>
    </cfRule>
    <cfRule type="expression" priority="171" dxfId="1">
      <formula>SUM($D$167,$I$167,$N$167)&gt;$K$83</formula>
    </cfRule>
  </conditionalFormatting>
  <conditionalFormatting sqref="S168">
    <cfRule type="expression" priority="167" dxfId="0">
      <formula>SUM($D$168,$I$168,$N$168)&lt;=$K$85</formula>
    </cfRule>
    <cfRule type="expression" priority="168" dxfId="1">
      <formula>SUM($D$168,$I$168,$N$168)&gt;$K$85</formula>
    </cfRule>
  </conditionalFormatting>
  <conditionalFormatting sqref="S169">
    <cfRule type="expression" priority="165" dxfId="1">
      <formula>SUM($D$169,$I$169,$N$169)&gt;$K$86</formula>
    </cfRule>
    <cfRule type="expression" priority="164" dxfId="0">
      <formula>SUM($D$169,$I$169,$N$169)&lt;=$K$86</formula>
    </cfRule>
  </conditionalFormatting>
  <conditionalFormatting sqref="S170">
    <cfRule type="expression" priority="162" dxfId="1">
      <formula>SUM($D$170,$I$170,$N$170)&lt;&gt;$G$158</formula>
    </cfRule>
    <cfRule type="expression" priority="161" dxfId="0">
      <formula>SUM($D$170,$I$170,$N$170)=$G$158</formula>
    </cfRule>
  </conditionalFormatting>
  <conditionalFormatting sqref="S171">
    <cfRule type="expression" priority="159" dxfId="1">
      <formula>SUM($G$170,$L$170,$Q$170)&lt;&gt;$A$158</formula>
    </cfRule>
    <cfRule type="expression" priority="158" dxfId="0">
      <formula>SUM($G$170,$L$170,$Q$170)=$A$158</formula>
    </cfRule>
  </conditionalFormatting>
  <conditionalFormatting sqref="S154:AB154">
    <cfRule type="expression" priority="57" dxfId="17">
      <formula>SUM($G$153,$L$153,$Q$153)&lt;&gt;$A$141</formula>
    </cfRule>
    <cfRule type="expression" priority="56" dxfId="16">
      <formula>SUM($G$153,$L$153,$Q$153)=$A$141</formula>
    </cfRule>
  </conditionalFormatting>
  <conditionalFormatting sqref="T244">
    <cfRule type="expression" priority="131" dxfId="0">
      <formula>$E$251=$E$240</formula>
    </cfRule>
    <cfRule type="expression" priority="132" dxfId="1">
      <formula>$E$251&lt;&gt;$E$240</formula>
    </cfRule>
  </conditionalFormatting>
  <conditionalFormatting sqref="T245">
    <cfRule type="expression" priority="128" dxfId="0">
      <formula>$G$251=$G$240</formula>
    </cfRule>
    <cfRule type="expression" priority="129" dxfId="1">
      <formula>$G$251&lt;&gt;$G$240</formula>
    </cfRule>
  </conditionalFormatting>
  <conditionalFormatting sqref="T246">
    <cfRule type="expression" priority="126" dxfId="1">
      <formula>$I$240&lt;&gt;$I$251</formula>
    </cfRule>
    <cfRule type="expression" priority="125" dxfId="0">
      <formula>$I$240=$I$251</formula>
    </cfRule>
  </conditionalFormatting>
  <conditionalFormatting sqref="T247">
    <cfRule type="expression" priority="123" dxfId="1">
      <formula>$K$240&lt;&gt;$K$251</formula>
    </cfRule>
    <cfRule type="expression" priority="122" dxfId="0">
      <formula>$K$240=$K$251</formula>
    </cfRule>
  </conditionalFormatting>
  <conditionalFormatting sqref="T248">
    <cfRule type="expression" priority="120" dxfId="1">
      <formula>$M$240&lt;&gt;$M$251</formula>
    </cfRule>
    <cfRule type="expression" priority="119" dxfId="0">
      <formula>$M$240=$M$251</formula>
    </cfRule>
  </conditionalFormatting>
  <conditionalFormatting sqref="T249">
    <cfRule type="expression" priority="117" dxfId="1">
      <formula>$O$240&lt;&gt;$O$251</formula>
    </cfRule>
    <cfRule type="expression" priority="116" dxfId="0">
      <formula>$O$240=$O$251</formula>
    </cfRule>
  </conditionalFormatting>
  <conditionalFormatting sqref="T250">
    <cfRule type="expression" priority="114" dxfId="1">
      <formula>$P$240&lt;&gt;$P$251</formula>
    </cfRule>
    <cfRule type="expression" priority="113" dxfId="0">
      <formula>$P$240=$P$251</formula>
    </cfRule>
  </conditionalFormatting>
  <conditionalFormatting sqref="T251">
    <cfRule type="expression" priority="111" dxfId="1">
      <formula>$R$240&lt;&gt;$R$251</formula>
    </cfRule>
    <cfRule type="expression" priority="110" dxfId="0">
      <formula>$R$240=$R$251</formula>
    </cfRule>
  </conditionalFormatting>
  <dataValidations count="6">
    <dataValidation sqref="A199:L199" showDropDown="0" showInputMessage="1" showErrorMessage="1" allowBlank="0" type="whole">
      <formula1>0</formula1>
      <formula2>1000000000</formula2>
    </dataValidation>
    <dataValidation sqref="A66:H66 A142 A159 C137:F137 D142 D159 F333:H333 F342:H342 F351:H352 G142 G159 H137:L137 I348:L350 I353:L353" showDropDown="0" showInputMessage="1" showErrorMessage="1" allowBlank="0" type="whole" operator="greaterThanOrEqual">
      <formula1>0</formula1>
    </dataValidation>
    <dataValidation sqref="C303:L303 D211:L211 E250 F115:G115 F327:H327 G35:J35 G111:H111 G113:H113 G117:H117 G124:H124 H17 H49 K15:K16 K19 K28:K29 K32 K43 K46 K53:K54 K57 K111:L111 L84 L119 L121 M175:M176 M179 M203:M204 M207 M250 M258 M269:M270 M273 M281:M282 M285 P248:Q248 P250 S248" showDropDown="0" showInputMessage="1" showErrorMessage="1" allowBlank="0" type="whole" operator="greaterThan">
      <formula1>-1</formula1>
    </dataValidation>
    <dataValidation sqref="H22 K20:K21 K33:K34 K47:K48 K58:K59 M180:M181 M208:M209 M264 M274:M275 M286:M287" showDropDown="0" showInputMessage="1" showErrorMessage="1" allowBlank="0" operator="greaterThan"/>
    <dataValidation sqref="F357:H362" showDropDown="0" showInputMessage="1" showErrorMessage="1" allowBlank="0" type="decimal" operator="greaterThanOrEqual">
      <formula1>0</formula1>
    </dataValidation>
    <dataValidation sqref="A65:H65 A71:J71 A116:I116 A123:I123 A141:I141 A158:I158 A198:L198 A223:L223 A240:S240 A320:J320 C93:D101 C107:D109 C130:L136 C175:L181 C295:L302 C308:L315 D80:K87 D147:R153 D164:R170 D203:L210 D215:L217 E187:F188 E248:S249 E251:S251 E258:L263 E269:L275 E281:L287 F325:I326 F330:K332 G17:G18 G22:G23 G28:J34 G44:G45 G53:J59 G93:H102 G107:H110 H15:J16 H19:J21 H42:J43 H46:J48 I228:J230 J337:J338 J341 K93:L101 K107:L110 R250:S250" showDropDown="0" showInputMessage="1" showErrorMessage="1" allowBlank="0" type="whole">
      <formula1>0</formula1>
      <formula2>1E+39</formula2>
    </dataValidation>
  </dataValidations>
  <pageMargins left="0.25" right="0.25" top="0.75" bottom="0.75" header="0.3" footer="0.3"/>
  <pageSetup orientation="landscape" fitToHeight="0"/>
  <headerFooter differentOddEven="1" differentFirst="1">
    <oddHeader/>
    <oddFooter/>
    <evenHeader/>
    <evenFooter/>
    <firstHeader/>
    <firstFooter/>
  </headerFooter>
  <rowBreaks count="7" manualBreakCount="7">
    <brk id="65" min="0" max="16383" man="1"/>
    <brk id="87" min="0" max="16383" man="1"/>
    <brk id="136" min="0" max="16383" man="1"/>
    <brk id="263" min="0" max="16383" man="1"/>
    <brk id="287" min="0" max="16383" man="1"/>
    <brk id="315" min="0" max="16383" man="1"/>
    <brk id="341" min="0" max="16383" man="1"/>
  </rowBreaks>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E764"/>
  <sheetViews>
    <sheetView workbookViewId="0">
      <selection activeCell="D70" sqref="D70"/>
    </sheetView>
  </sheetViews>
  <sheetFormatPr baseColWidth="8" defaultColWidth="9.140625" defaultRowHeight="15"/>
  <cols>
    <col width="12.5703125" customWidth="1" min="3" max="3"/>
    <col width="20" customWidth="1" min="4" max="4"/>
  </cols>
  <sheetData>
    <row r="1">
      <c r="A1" s="9" t="inlineStr">
        <is>
          <t>Inst</t>
        </is>
      </c>
      <c r="B1" s="9">
        <f>LAI!D6</f>
        <v/>
      </c>
      <c r="C1" s="11" t="n"/>
      <c r="D1" s="10" t="n"/>
      <c r="E1" s="10" t="n"/>
    </row>
    <row r="2" customFormat="1" s="3">
      <c r="A2" s="9" t="inlineStr">
        <is>
          <t>Report</t>
        </is>
      </c>
      <c r="B2" s="9" t="inlineStr">
        <is>
          <t>2021;2022</t>
        </is>
      </c>
      <c r="C2" s="11" t="n"/>
      <c r="D2" s="10" t="n"/>
      <c r="E2" s="10" t="n"/>
    </row>
    <row r="3">
      <c r="A3" s="9" t="inlineStr">
        <is>
          <t>Q1R1C1</t>
        </is>
      </c>
      <c r="B3" s="9">
        <f>LAI!H14</f>
        <v/>
      </c>
      <c r="C3" s="11" t="inlineStr">
        <is>
          <t>1,1</t>
        </is>
      </c>
      <c r="D3" s="10" t="n"/>
      <c r="E3" s="10" t="n"/>
    </row>
    <row r="4">
      <c r="A4" s="9" t="inlineStr">
        <is>
          <t>Q1R2C1</t>
        </is>
      </c>
      <c r="B4" s="9">
        <f>LAI!H15</f>
        <v/>
      </c>
      <c r="C4" s="11" t="inlineStr">
        <is>
          <t>1,1</t>
        </is>
      </c>
      <c r="D4" s="10" t="n"/>
      <c r="E4" s="10" t="n"/>
    </row>
    <row r="5">
      <c r="A5" s="12" t="inlineStr">
        <is>
          <t>Q1R3C1</t>
        </is>
      </c>
      <c r="B5" s="12">
        <f>LAI!G16</f>
        <v/>
      </c>
      <c r="C5" s="13" t="inlineStr">
        <is>
          <t>1,1</t>
        </is>
      </c>
      <c r="D5" s="10" t="n"/>
      <c r="E5" s="10" t="n"/>
    </row>
    <row r="6">
      <c r="A6" s="12" t="inlineStr">
        <is>
          <t>Q1R4C1</t>
        </is>
      </c>
      <c r="B6" s="12">
        <f>LAI!G17</f>
        <v/>
      </c>
      <c r="C6" s="13" t="inlineStr">
        <is>
          <t>1,1</t>
        </is>
      </c>
      <c r="D6" s="10" t="n"/>
      <c r="E6" s="10" t="n"/>
    </row>
    <row r="7">
      <c r="A7" s="9" t="inlineStr">
        <is>
          <t>Q1R5C1</t>
        </is>
      </c>
      <c r="B7" s="9">
        <f>LAI!H18</f>
        <v/>
      </c>
      <c r="C7" s="11" t="inlineStr">
        <is>
          <t>1,1</t>
        </is>
      </c>
      <c r="D7" s="10" t="n"/>
      <c r="E7" s="10" t="n"/>
    </row>
    <row r="8" customFormat="1" s="3">
      <c r="A8" s="9" t="inlineStr">
        <is>
          <t>Q1R6C1</t>
        </is>
      </c>
      <c r="B8" s="9">
        <f>LAI!H19</f>
        <v/>
      </c>
      <c r="C8" s="11" t="inlineStr">
        <is>
          <t>1,1</t>
        </is>
      </c>
      <c r="D8" s="10" t="n"/>
      <c r="E8" s="10" t="n"/>
    </row>
    <row r="9" customFormat="1" s="3">
      <c r="A9" s="9" t="inlineStr">
        <is>
          <t>Q1R7C1</t>
        </is>
      </c>
      <c r="B9" s="9">
        <f>LAI!H20</f>
        <v/>
      </c>
      <c r="C9" s="11" t="inlineStr">
        <is>
          <t>1,1</t>
        </is>
      </c>
      <c r="D9" s="10" t="n"/>
      <c r="E9" s="10" t="n"/>
    </row>
    <row r="10" customFormat="1" s="3">
      <c r="A10" s="12" t="inlineStr">
        <is>
          <t>Q1R8C1</t>
        </is>
      </c>
      <c r="B10" s="12">
        <f>LAI!G21</f>
        <v/>
      </c>
      <c r="C10" s="13" t="inlineStr">
        <is>
          <t>1,1</t>
        </is>
      </c>
      <c r="D10" s="10" t="n"/>
      <c r="E10" s="10" t="n"/>
    </row>
    <row r="11" customFormat="1" s="3">
      <c r="A11" s="12" t="inlineStr">
        <is>
          <t>Q1R9C1</t>
        </is>
      </c>
      <c r="B11" s="12">
        <f>LAI!G22</f>
        <v/>
      </c>
      <c r="C11" s="13" t="inlineStr">
        <is>
          <t>1,1</t>
        </is>
      </c>
      <c r="D11" s="10" t="n"/>
      <c r="E11" s="10" t="n"/>
    </row>
    <row r="12" customFormat="1" s="3">
      <c r="A12" s="9" t="inlineStr">
        <is>
          <t>Q2R1C1</t>
        </is>
      </c>
      <c r="B12" s="9">
        <f>LAI!G27</f>
        <v/>
      </c>
      <c r="C12" s="11" t="inlineStr">
        <is>
          <t>1,2</t>
        </is>
      </c>
      <c r="D12" s="10" t="n"/>
      <c r="E12" s="10" t="n"/>
    </row>
    <row r="13" customFormat="1" s="3">
      <c r="A13" s="9" t="inlineStr">
        <is>
          <t>Q2R2C1</t>
        </is>
      </c>
      <c r="B13" s="9">
        <f>LAI!G28</f>
        <v/>
      </c>
      <c r="C13" s="11" t="inlineStr">
        <is>
          <t>1,2</t>
        </is>
      </c>
      <c r="D13" s="10" t="n"/>
      <c r="E13" s="10" t="n"/>
    </row>
    <row r="14" customFormat="1" s="4">
      <c r="A14" s="9" t="inlineStr">
        <is>
          <t>Q2R3C1</t>
        </is>
      </c>
      <c r="B14" s="9">
        <f>LAI!G29</f>
        <v/>
      </c>
      <c r="C14" s="11" t="inlineStr">
        <is>
          <t>1,2</t>
        </is>
      </c>
      <c r="D14" s="10" t="n"/>
      <c r="E14" s="10" t="n"/>
    </row>
    <row r="15">
      <c r="A15" s="9" t="inlineStr">
        <is>
          <t>Q2R4C1</t>
        </is>
      </c>
      <c r="B15" s="9">
        <f>LAI!G30</f>
        <v/>
      </c>
      <c r="C15" s="11" t="inlineStr">
        <is>
          <t>1,2</t>
        </is>
      </c>
      <c r="D15" s="10" t="n"/>
      <c r="E15" s="10" t="n"/>
    </row>
    <row r="16">
      <c r="A16" s="9" t="inlineStr">
        <is>
          <t>Q2R5C1</t>
        </is>
      </c>
      <c r="B16" s="9">
        <f>LAI!G31</f>
        <v/>
      </c>
      <c r="C16" s="11" t="inlineStr">
        <is>
          <t>1,2</t>
        </is>
      </c>
      <c r="D16" s="10" t="n"/>
      <c r="E16" s="10" t="n"/>
    </row>
    <row r="17">
      <c r="A17" s="9" t="inlineStr">
        <is>
          <t>Q2R6C1</t>
        </is>
      </c>
      <c r="B17" s="9">
        <f>LAI!G32</f>
        <v/>
      </c>
      <c r="C17" s="11" t="inlineStr">
        <is>
          <t>1,2</t>
        </is>
      </c>
      <c r="D17" s="10" t="n"/>
      <c r="E17" s="10" t="n"/>
    </row>
    <row r="18">
      <c r="A18" s="9" t="inlineStr">
        <is>
          <t>Q2R7C1</t>
        </is>
      </c>
      <c r="B18" s="9">
        <f>LAI!G33</f>
        <v/>
      </c>
      <c r="C18" s="11" t="inlineStr">
        <is>
          <t>1,2</t>
        </is>
      </c>
      <c r="D18" s="10" t="n"/>
      <c r="E18" s="10" t="n"/>
    </row>
    <row r="19">
      <c r="A19" s="12" t="inlineStr">
        <is>
          <t>Q3R1C1</t>
        </is>
      </c>
      <c r="B19" s="12">
        <f>LAI!G38</f>
        <v/>
      </c>
      <c r="C19" s="13" t="inlineStr">
        <is>
          <t>1,3</t>
        </is>
      </c>
      <c r="D19" s="10" t="n"/>
      <c r="E19" s="10" t="n"/>
    </row>
    <row r="20">
      <c r="A20" s="12" t="inlineStr">
        <is>
          <t>Q3R2C1</t>
        </is>
      </c>
      <c r="B20" s="12">
        <f>LAI!G39</f>
        <v/>
      </c>
      <c r="C20" s="13" t="inlineStr">
        <is>
          <t>1,3</t>
        </is>
      </c>
      <c r="D20" s="10" t="n"/>
      <c r="E20" s="10" t="n"/>
    </row>
    <row r="21">
      <c r="A21" s="12" t="inlineStr">
        <is>
          <t>Q3R3C1</t>
        </is>
      </c>
      <c r="B21" s="12">
        <f>LAI!G40</f>
        <v/>
      </c>
      <c r="C21" s="13" t="inlineStr">
        <is>
          <t>1,3</t>
        </is>
      </c>
      <c r="D21" s="10" t="n"/>
      <c r="E21" s="10" t="n"/>
    </row>
    <row r="22">
      <c r="A22" s="12" t="inlineStr">
        <is>
          <t>Q3R4C1</t>
        </is>
      </c>
      <c r="B22" s="12">
        <f>LAI!G41</f>
        <v/>
      </c>
      <c r="C22" s="13" t="inlineStr">
        <is>
          <t>1,3</t>
        </is>
      </c>
      <c r="D22" s="10" t="n"/>
      <c r="E22" s="10" t="n"/>
    </row>
    <row r="23">
      <c r="A23" s="12" t="inlineStr">
        <is>
          <t>Q3R5C1</t>
        </is>
      </c>
      <c r="B23" s="12">
        <f>LAI!G42</f>
        <v/>
      </c>
      <c r="C23" s="13" t="inlineStr">
        <is>
          <t>1,3</t>
        </is>
      </c>
      <c r="D23" s="10" t="n"/>
      <c r="E23" s="10" t="n"/>
    </row>
    <row r="24">
      <c r="A24" s="12" t="inlineStr">
        <is>
          <t>Q3R6C1</t>
        </is>
      </c>
      <c r="B24" s="12">
        <f>LAI!G43</f>
        <v/>
      </c>
      <c r="C24" s="13" t="inlineStr">
        <is>
          <t>1,3</t>
        </is>
      </c>
      <c r="D24" s="10" t="n"/>
      <c r="E24" s="10" t="n"/>
    </row>
    <row r="25">
      <c r="A25" s="12" t="inlineStr">
        <is>
          <t>Q3R7C1</t>
        </is>
      </c>
      <c r="B25" s="12">
        <f>LAI!G44</f>
        <v/>
      </c>
      <c r="C25" s="13" t="inlineStr">
        <is>
          <t>1,3</t>
        </is>
      </c>
      <c r="D25" s="10" t="n"/>
      <c r="E25" s="10" t="n"/>
    </row>
    <row r="26">
      <c r="A26" s="12" t="inlineStr">
        <is>
          <t>Q4R1C1</t>
        </is>
      </c>
      <c r="B26" s="12">
        <f>LAI!H50</f>
        <v/>
      </c>
      <c r="C26" s="13" t="inlineStr">
        <is>
          <t>2,1</t>
        </is>
      </c>
      <c r="D26" s="10" t="n"/>
      <c r="E26" s="10" t="n"/>
    </row>
    <row r="27">
      <c r="A27" s="12" t="inlineStr">
        <is>
          <t>Q4R2C1</t>
        </is>
      </c>
      <c r="B27" s="12">
        <f>LAI!H51</f>
        <v/>
      </c>
      <c r="C27" s="13" t="inlineStr">
        <is>
          <t>2,1</t>
        </is>
      </c>
      <c r="D27" s="10" t="n"/>
      <c r="E27" s="10" t="n"/>
    </row>
    <row r="28" customFormat="1" s="3">
      <c r="A28" s="12" t="inlineStr">
        <is>
          <t>Q4R3C1</t>
        </is>
      </c>
      <c r="B28" s="12">
        <f>LAI!G52</f>
        <v/>
      </c>
      <c r="C28" s="13" t="inlineStr">
        <is>
          <t>2,1</t>
        </is>
      </c>
      <c r="D28" s="10" t="n"/>
      <c r="E28" s="10" t="n"/>
    </row>
    <row r="29" customFormat="1" s="3">
      <c r="A29" s="12" t="inlineStr">
        <is>
          <t>Q4R4C1</t>
        </is>
      </c>
      <c r="B29" s="12">
        <f>LAI!G53</f>
        <v/>
      </c>
      <c r="C29" s="13" t="inlineStr">
        <is>
          <t>2,1</t>
        </is>
      </c>
      <c r="D29" s="10" t="n"/>
      <c r="E29" s="10" t="n"/>
    </row>
    <row r="30" customFormat="1" s="3">
      <c r="A30" s="12" t="inlineStr">
        <is>
          <t>Q4R5C1</t>
        </is>
      </c>
      <c r="B30" s="12">
        <f>LAI!H54</f>
        <v/>
      </c>
      <c r="C30" s="13" t="inlineStr">
        <is>
          <t>2,1</t>
        </is>
      </c>
      <c r="D30" s="10" t="n"/>
      <c r="E30" s="10" t="n"/>
    </row>
    <row r="31" customFormat="1" s="3">
      <c r="A31" s="12" t="inlineStr">
        <is>
          <t>Q4R6C1</t>
        </is>
      </c>
      <c r="B31" s="12">
        <f>LAI!H55</f>
        <v/>
      </c>
      <c r="C31" s="13" t="inlineStr">
        <is>
          <t>2,1</t>
        </is>
      </c>
      <c r="D31" s="10" t="n"/>
      <c r="E31" s="10" t="n"/>
    </row>
    <row r="32" customFormat="1" s="3">
      <c r="A32" s="12" t="inlineStr">
        <is>
          <t>Q4R7C1</t>
        </is>
      </c>
      <c r="B32" s="12">
        <f>LAI!H56</f>
        <v/>
      </c>
      <c r="C32" s="13" t="inlineStr">
        <is>
          <t>2,1</t>
        </is>
      </c>
      <c r="D32" s="10" t="n"/>
      <c r="E32" s="10" t="n"/>
    </row>
    <row r="33" customFormat="1" s="3">
      <c r="A33" s="12" t="inlineStr">
        <is>
          <t>Q5R1C1</t>
        </is>
      </c>
      <c r="B33" s="12">
        <f>LAI!G61</f>
        <v/>
      </c>
      <c r="C33" s="13" t="inlineStr">
        <is>
          <t>2,2</t>
        </is>
      </c>
      <c r="D33" s="10" t="n"/>
      <c r="E33" s="10" t="n"/>
    </row>
    <row r="34" customFormat="1" s="3">
      <c r="A34" s="12" t="inlineStr">
        <is>
          <t>Q5R2C1</t>
        </is>
      </c>
      <c r="B34" s="12">
        <f>LAI!G62</f>
        <v/>
      </c>
      <c r="C34" s="13" t="inlineStr">
        <is>
          <t>2,2</t>
        </is>
      </c>
      <c r="D34" s="10" t="n"/>
      <c r="E34" s="10" t="n"/>
    </row>
    <row r="35" customFormat="1" s="3">
      <c r="A35" s="12" t="inlineStr">
        <is>
          <t>Q5R3C1</t>
        </is>
      </c>
      <c r="B35" s="12">
        <f>LAI!G63</f>
        <v/>
      </c>
      <c r="C35" s="13" t="inlineStr">
        <is>
          <t>2,2</t>
        </is>
      </c>
      <c r="D35" s="10" t="n"/>
      <c r="E35" s="10" t="n"/>
    </row>
    <row r="36" customFormat="1" s="3">
      <c r="A36" s="12" t="inlineStr">
        <is>
          <t>Q5R4C1</t>
        </is>
      </c>
      <c r="B36" s="12">
        <f>LAI!G64</f>
        <v/>
      </c>
      <c r="C36" s="13" t="inlineStr">
        <is>
          <t>2,2</t>
        </is>
      </c>
      <c r="D36" s="10" t="n"/>
      <c r="E36" s="10" t="n"/>
    </row>
    <row r="37" customFormat="1" s="3">
      <c r="A37" s="12" t="inlineStr">
        <is>
          <t>Q5R5C1</t>
        </is>
      </c>
      <c r="B37" s="12">
        <f>LAI!G65</f>
        <v/>
      </c>
      <c r="C37" s="13" t="inlineStr">
        <is>
          <t>2,2</t>
        </is>
      </c>
      <c r="D37" s="10" t="n"/>
      <c r="E37" s="10" t="n"/>
    </row>
    <row r="38" customFormat="1" s="3">
      <c r="A38" s="12" t="inlineStr">
        <is>
          <t>Q5R6C1</t>
        </is>
      </c>
      <c r="B38" s="12">
        <f>LAI!G66</f>
        <v/>
      </c>
      <c r="C38" s="13" t="inlineStr">
        <is>
          <t>2,2</t>
        </is>
      </c>
      <c r="D38" s="10" t="n"/>
      <c r="E38" s="10" t="n"/>
    </row>
    <row r="39" customFormat="1" s="3">
      <c r="A39" s="12" t="inlineStr">
        <is>
          <t>Q5R7C1</t>
        </is>
      </c>
      <c r="B39" s="12">
        <f>LAI!G67</f>
        <v/>
      </c>
      <c r="C39" s="13" t="inlineStr">
        <is>
          <t>2,2</t>
        </is>
      </c>
      <c r="D39" s="10" t="n"/>
      <c r="E39" s="10" t="n"/>
    </row>
    <row r="40" customFormat="1" s="3">
      <c r="A40" s="9" t="inlineStr">
        <is>
          <t>Q6R1C1</t>
        </is>
      </c>
      <c r="B40" s="9">
        <f>LAI!A73</f>
        <v/>
      </c>
      <c r="C40" s="11" t="inlineStr">
        <is>
          <t>2,3</t>
        </is>
      </c>
      <c r="D40" s="10" t="n"/>
      <c r="E40" s="10" t="n"/>
    </row>
    <row r="41" customFormat="1" s="3">
      <c r="A41" s="9" t="inlineStr">
        <is>
          <t>Q6R1C2</t>
        </is>
      </c>
      <c r="B41" s="9">
        <f>LAI!B73</f>
        <v/>
      </c>
      <c r="C41" s="11" t="inlineStr">
        <is>
          <t>2,3</t>
        </is>
      </c>
      <c r="D41" s="10" t="n"/>
      <c r="E41" s="10" t="n"/>
    </row>
    <row r="42" customFormat="1" s="3">
      <c r="A42" s="9" t="inlineStr">
        <is>
          <t>Q6R1C3</t>
        </is>
      </c>
      <c r="B42" s="9">
        <f>LAI!C73</f>
        <v/>
      </c>
      <c r="C42" s="11" t="inlineStr">
        <is>
          <t>2,3</t>
        </is>
      </c>
      <c r="D42" s="10" t="n"/>
      <c r="E42" s="10" t="n"/>
    </row>
    <row r="43" customFormat="1" s="3">
      <c r="A43" s="9" t="inlineStr">
        <is>
          <t>Q6R1C4</t>
        </is>
      </c>
      <c r="B43" s="9">
        <f>LAI!D73</f>
        <v/>
      </c>
      <c r="C43" s="11" t="inlineStr">
        <is>
          <t>2,3</t>
        </is>
      </c>
      <c r="D43" s="10" t="n"/>
      <c r="E43" s="10" t="n"/>
    </row>
    <row r="44" customFormat="1" s="3">
      <c r="A44" s="9" t="inlineStr">
        <is>
          <t>Q6R1C5</t>
        </is>
      </c>
      <c r="B44" s="9">
        <f>LAI!E73</f>
        <v/>
      </c>
      <c r="C44" s="11" t="inlineStr">
        <is>
          <t>2,3</t>
        </is>
      </c>
      <c r="D44" s="10" t="n"/>
      <c r="E44" s="10" t="n"/>
    </row>
    <row r="45" customFormat="1" s="3">
      <c r="A45" s="9" t="inlineStr">
        <is>
          <t>Q6R1C6</t>
        </is>
      </c>
      <c r="B45" s="9">
        <f>LAI!F73</f>
        <v/>
      </c>
      <c r="C45" s="11" t="inlineStr">
        <is>
          <t>2,3</t>
        </is>
      </c>
      <c r="D45" s="10" t="n"/>
      <c r="E45" s="10" t="n"/>
    </row>
    <row r="46" customFormat="1" s="3">
      <c r="A46" s="9" t="inlineStr">
        <is>
          <t>Q6R1C7</t>
        </is>
      </c>
      <c r="B46" s="9">
        <f>LAI!G73</f>
        <v/>
      </c>
      <c r="C46" s="11" t="inlineStr">
        <is>
          <t>2,3</t>
        </is>
      </c>
      <c r="D46" s="10" t="n"/>
      <c r="E46" s="10" t="n"/>
    </row>
    <row r="47" customFormat="1" s="3">
      <c r="A47" s="12" t="inlineStr">
        <is>
          <t>Q7R1C1</t>
        </is>
      </c>
      <c r="B47" s="12">
        <f>LAI!A79</f>
        <v/>
      </c>
      <c r="C47" s="13" t="inlineStr">
        <is>
          <t>2,4</t>
        </is>
      </c>
      <c r="D47" s="10" t="n"/>
      <c r="E47" s="10" t="n"/>
    </row>
    <row r="48" customFormat="1" s="3">
      <c r="A48" s="12" t="inlineStr">
        <is>
          <t>Q7R1C2</t>
        </is>
      </c>
      <c r="B48" s="12">
        <f>LAI!B79</f>
        <v/>
      </c>
      <c r="C48" s="13" t="inlineStr">
        <is>
          <t>2,4</t>
        </is>
      </c>
      <c r="D48" s="10" t="n"/>
      <c r="E48" s="10" t="n"/>
    </row>
    <row r="49" customFormat="1" s="3">
      <c r="A49" s="12" t="inlineStr">
        <is>
          <t>Q7R1C3</t>
        </is>
      </c>
      <c r="B49" s="12">
        <f>LAI!C79</f>
        <v/>
      </c>
      <c r="C49" s="13" t="inlineStr">
        <is>
          <t>2,4</t>
        </is>
      </c>
      <c r="D49" s="10" t="n"/>
      <c r="E49" s="10" t="n"/>
    </row>
    <row r="50" customFormat="1" s="3">
      <c r="A50" s="12" t="inlineStr">
        <is>
          <t>Q7R1C4</t>
        </is>
      </c>
      <c r="B50" s="12">
        <f>LAI!D79</f>
        <v/>
      </c>
      <c r="C50" s="13" t="inlineStr">
        <is>
          <t>2,4</t>
        </is>
      </c>
      <c r="D50" s="10" t="n"/>
      <c r="E50" s="10" t="n"/>
    </row>
    <row r="51" customFormat="1" s="3">
      <c r="A51" s="12" t="inlineStr">
        <is>
          <t>Q7R1C5</t>
        </is>
      </c>
      <c r="B51" s="12">
        <f>LAI!E79</f>
        <v/>
      </c>
      <c r="C51" s="13" t="inlineStr">
        <is>
          <t>2,4</t>
        </is>
      </c>
      <c r="D51" s="10" t="n"/>
      <c r="E51" s="10" t="n"/>
    </row>
    <row r="52" customFormat="1" s="3">
      <c r="A52" s="12" t="inlineStr">
        <is>
          <t>Q7R1C6</t>
        </is>
      </c>
      <c r="B52" s="12">
        <f>LAI!F79</f>
        <v/>
      </c>
      <c r="C52" s="13" t="inlineStr">
        <is>
          <t>2,4</t>
        </is>
      </c>
      <c r="D52" s="10" t="n"/>
      <c r="E52" s="10" t="n"/>
    </row>
    <row r="53" customFormat="1" s="3">
      <c r="A53" s="12" t="inlineStr">
        <is>
          <t>Q7R1C7</t>
        </is>
      </c>
      <c r="B53" s="12">
        <f>LAI!G79</f>
        <v/>
      </c>
      <c r="C53" s="13" t="inlineStr">
        <is>
          <t>2,4</t>
        </is>
      </c>
      <c r="D53" s="10" t="n"/>
      <c r="E53" s="10" t="n"/>
    </row>
    <row r="54" customFormat="1" s="3">
      <c r="A54" s="12" t="inlineStr">
        <is>
          <t>Q7R1C8</t>
        </is>
      </c>
      <c r="B54" s="12">
        <f>LAI!H79</f>
        <v/>
      </c>
      <c r="C54" s="13" t="inlineStr">
        <is>
          <t>2,4</t>
        </is>
      </c>
      <c r="D54" s="10" t="n"/>
      <c r="E54" s="10" t="n"/>
    </row>
    <row r="55" customFormat="1" s="3">
      <c r="A55" s="12" t="inlineStr">
        <is>
          <t>Q7R1C9</t>
        </is>
      </c>
      <c r="B55" s="12">
        <f>LAI!I79</f>
        <v/>
      </c>
      <c r="C55" s="13" t="inlineStr">
        <is>
          <t>2,4</t>
        </is>
      </c>
      <c r="D55" s="10" t="n"/>
      <c r="E55" s="10" t="n"/>
    </row>
    <row r="56" customFormat="1" s="3">
      <c r="A56" s="12" t="inlineStr">
        <is>
          <t>Q7R1C10</t>
        </is>
      </c>
      <c r="B56" s="12">
        <f>LAI!J79</f>
        <v/>
      </c>
      <c r="C56" s="13" t="inlineStr">
        <is>
          <t>2,4</t>
        </is>
      </c>
      <c r="D56" s="10" t="n"/>
      <c r="E56" s="10" t="n"/>
    </row>
    <row r="57" customFormat="1" s="3">
      <c r="A57" s="12" t="inlineStr">
        <is>
          <t>Q8R1C1</t>
        </is>
      </c>
      <c r="B57" s="12">
        <f>LAI!A85</f>
        <v/>
      </c>
      <c r="C57" s="13" t="inlineStr">
        <is>
          <t>2,5</t>
        </is>
      </c>
      <c r="D57" s="10" t="n"/>
      <c r="E57" s="10" t="n"/>
    </row>
    <row r="58" customFormat="1" s="3">
      <c r="A58" s="12" t="inlineStr">
        <is>
          <t>Q8R1C2</t>
        </is>
      </c>
      <c r="B58" s="12">
        <f>LAI!B85</f>
        <v/>
      </c>
      <c r="C58" s="13" t="inlineStr">
        <is>
          <t>2,5</t>
        </is>
      </c>
      <c r="D58" s="10" t="n"/>
      <c r="E58" s="10" t="n"/>
    </row>
    <row r="59" customFormat="1" s="3">
      <c r="A59" s="12" t="inlineStr">
        <is>
          <t>Q8R1C3</t>
        </is>
      </c>
      <c r="B59" s="12">
        <f>LAI!C85</f>
        <v/>
      </c>
      <c r="C59" s="13" t="inlineStr">
        <is>
          <t>2,5</t>
        </is>
      </c>
      <c r="D59" s="10" t="n"/>
      <c r="E59" s="10" t="n"/>
    </row>
    <row r="60" customFormat="1" s="3">
      <c r="A60" s="12" t="inlineStr">
        <is>
          <t>Q8R1C4</t>
        </is>
      </c>
      <c r="B60" s="12">
        <f>LAI!D85</f>
        <v/>
      </c>
      <c r="C60" s="13" t="inlineStr">
        <is>
          <t>2,5</t>
        </is>
      </c>
      <c r="D60" s="10" t="n"/>
      <c r="E60" s="10" t="n"/>
    </row>
    <row r="61" customFormat="1" s="3">
      <c r="A61" s="12" t="inlineStr">
        <is>
          <t>Q8R1C5</t>
        </is>
      </c>
      <c r="B61" s="12">
        <f>LAI!E85</f>
        <v/>
      </c>
      <c r="C61" s="13" t="inlineStr">
        <is>
          <t>2,5</t>
        </is>
      </c>
      <c r="D61" s="10" t="n"/>
      <c r="E61" s="10" t="n"/>
    </row>
    <row r="62" customFormat="1" s="3">
      <c r="A62" s="12" t="inlineStr">
        <is>
          <t>Q8R1C6</t>
        </is>
      </c>
      <c r="B62" s="12">
        <f>LAI!F85</f>
        <v/>
      </c>
      <c r="C62" s="13" t="inlineStr">
        <is>
          <t>2,5</t>
        </is>
      </c>
      <c r="D62" s="10" t="n"/>
      <c r="E62" s="10" t="n"/>
    </row>
    <row r="63" customFormat="1" s="3">
      <c r="A63" s="12" t="inlineStr">
        <is>
          <t>Q8R1C7</t>
        </is>
      </c>
      <c r="B63" s="12">
        <f>LAI!G85</f>
        <v/>
      </c>
      <c r="C63" s="13" t="inlineStr">
        <is>
          <t>2,5</t>
        </is>
      </c>
      <c r="D63" s="10" t="n"/>
      <c r="E63" s="10" t="n"/>
    </row>
    <row r="64" customFormat="1" s="3">
      <c r="A64" s="12" t="inlineStr">
        <is>
          <t>Q8R1C8</t>
        </is>
      </c>
      <c r="B64" s="12">
        <f>LAI!H85</f>
        <v/>
      </c>
      <c r="C64" s="13" t="inlineStr">
        <is>
          <t>2,5</t>
        </is>
      </c>
      <c r="D64" s="10" t="n"/>
      <c r="E64" s="10" t="n"/>
    </row>
    <row r="65" customFormat="1" s="3">
      <c r="A65" s="12" t="inlineStr">
        <is>
          <t>Q8R1C9</t>
        </is>
      </c>
      <c r="B65" s="12">
        <f>LAI!I85</f>
        <v/>
      </c>
      <c r="C65" s="13" t="inlineStr">
        <is>
          <t>2,5</t>
        </is>
      </c>
      <c r="D65" s="10" t="n"/>
      <c r="E65" s="10" t="n"/>
    </row>
    <row r="66" customFormat="1" s="3">
      <c r="A66" s="12" t="inlineStr">
        <is>
          <t>Q8R1C10</t>
        </is>
      </c>
      <c r="B66" s="12">
        <f>LAI!J85</f>
        <v/>
      </c>
      <c r="C66" s="13" t="inlineStr">
        <is>
          <t>2,5</t>
        </is>
      </c>
      <c r="D66" s="10" t="n"/>
      <c r="E66" s="10" t="n"/>
    </row>
    <row r="67" customFormat="1" s="3">
      <c r="A67" s="9" t="inlineStr">
        <is>
          <t>Q9R1C1</t>
        </is>
      </c>
      <c r="B67" s="9">
        <f>LAI!H90</f>
        <v/>
      </c>
      <c r="C67" s="11" t="n">
        <v>3</v>
      </c>
      <c r="D67" s="10" t="n"/>
      <c r="E67" s="10" t="n"/>
    </row>
    <row r="68" customFormat="1" s="3">
      <c r="A68" s="9" t="inlineStr">
        <is>
          <t>Q9R2C1</t>
        </is>
      </c>
      <c r="B68" s="9">
        <f>LAI!H91</f>
        <v/>
      </c>
      <c r="C68" s="11" t="n">
        <v>3</v>
      </c>
      <c r="D68" s="10" t="n"/>
      <c r="E68" s="10" t="n"/>
    </row>
    <row r="69" customFormat="1" s="3">
      <c r="A69" s="9" t="inlineStr">
        <is>
          <t>Q9R3C1</t>
        </is>
      </c>
      <c r="B69" s="9">
        <f>LAI!H92</f>
        <v/>
      </c>
      <c r="C69" s="11" t="n">
        <v>3</v>
      </c>
      <c r="D69" s="10" t="n"/>
      <c r="E69" s="10" t="n"/>
    </row>
    <row r="70" customFormat="1" s="3">
      <c r="A70" s="9" t="inlineStr">
        <is>
          <t>Q9R4C1</t>
        </is>
      </c>
      <c r="B70" s="9">
        <f>LAI!H93</f>
        <v/>
      </c>
      <c r="C70" s="11" t="n">
        <v>3</v>
      </c>
      <c r="D70" s="10" t="n"/>
      <c r="E70" s="10" t="n"/>
    </row>
    <row r="71" customFormat="1" s="3">
      <c r="A71" s="9" t="inlineStr">
        <is>
          <t>Q9R5C1</t>
        </is>
      </c>
      <c r="B71" s="9">
        <f>LAI!H94</f>
        <v/>
      </c>
      <c r="C71" s="11" t="n">
        <v>3</v>
      </c>
      <c r="D71" s="10" t="n"/>
      <c r="E71" s="10" t="n"/>
    </row>
    <row r="72" customFormat="1" s="3">
      <c r="A72" s="12" t="inlineStr">
        <is>
          <t>Q9R6C1</t>
        </is>
      </c>
      <c r="B72" s="12">
        <f>LAI!H95</f>
        <v/>
      </c>
      <c r="C72" s="13" t="n">
        <v>3</v>
      </c>
      <c r="D72" s="10" t="n"/>
      <c r="E72" s="10" t="n"/>
    </row>
    <row r="73" customFormat="1" s="3">
      <c r="A73" s="9" t="inlineStr">
        <is>
          <t>Q9R7C1</t>
        </is>
      </c>
      <c r="B73" s="9">
        <f>LAI!H96</f>
        <v/>
      </c>
      <c r="C73" s="11" t="n">
        <v>3</v>
      </c>
      <c r="D73" s="10" t="n"/>
      <c r="E73" s="10" t="n"/>
    </row>
    <row r="74" customFormat="1" s="3">
      <c r="A74" s="9" t="inlineStr">
        <is>
          <t>Q10R1C1</t>
        </is>
      </c>
      <c r="B74" s="9">
        <f>LAI!E104</f>
        <v/>
      </c>
      <c r="C74" s="11" t="inlineStr">
        <is>
          <t>4,1</t>
        </is>
      </c>
      <c r="D74" s="10" t="n"/>
      <c r="E74" s="10" t="n"/>
    </row>
    <row r="75" customFormat="1" s="3">
      <c r="A75" s="9" t="inlineStr">
        <is>
          <t>Q10R1C2</t>
        </is>
      </c>
      <c r="B75" s="9">
        <f>LAI!F104</f>
        <v/>
      </c>
      <c r="C75" s="11" t="inlineStr">
        <is>
          <t>4,1</t>
        </is>
      </c>
      <c r="D75" s="10" t="n"/>
      <c r="E75" s="10" t="n"/>
    </row>
    <row r="76" customFormat="1" s="3">
      <c r="A76" s="9" t="inlineStr">
        <is>
          <t>Q10R1C3</t>
        </is>
      </c>
      <c r="B76" s="9">
        <f>LAI!G104</f>
        <v/>
      </c>
      <c r="C76" s="11" t="inlineStr">
        <is>
          <t>4,1</t>
        </is>
      </c>
      <c r="D76" s="10" t="n"/>
      <c r="E76" s="10" t="n"/>
    </row>
    <row r="77" customFormat="1" s="3">
      <c r="A77" s="9" t="inlineStr">
        <is>
          <t>Q10R1C4</t>
        </is>
      </c>
      <c r="B77" s="9">
        <f>LAI!H104</f>
        <v/>
      </c>
      <c r="C77" s="11" t="inlineStr">
        <is>
          <t>4,1</t>
        </is>
      </c>
      <c r="D77" s="10" t="n"/>
      <c r="E77" s="10" t="n"/>
    </row>
    <row r="78" customFormat="1" s="3">
      <c r="A78" s="9" t="inlineStr">
        <is>
          <t>Q10R1C5</t>
        </is>
      </c>
      <c r="B78" s="9">
        <f>LAI!I104</f>
        <v/>
      </c>
      <c r="C78" s="11" t="inlineStr">
        <is>
          <t>4,1</t>
        </is>
      </c>
      <c r="D78" s="10" t="n"/>
      <c r="E78" s="10" t="n"/>
    </row>
    <row r="79" customFormat="1" s="3">
      <c r="A79" s="9" t="inlineStr">
        <is>
          <t>Q10R1C6</t>
        </is>
      </c>
      <c r="B79" s="9">
        <f>LAI!J104</f>
        <v/>
      </c>
      <c r="C79" s="11" t="inlineStr">
        <is>
          <t>4,1</t>
        </is>
      </c>
      <c r="D79" s="10" t="n"/>
      <c r="E79" s="10" t="n"/>
    </row>
    <row r="80" customFormat="1" s="3">
      <c r="A80" s="9" t="inlineStr">
        <is>
          <t>Q10R1C7</t>
        </is>
      </c>
      <c r="B80" s="9">
        <f>LAI!K104</f>
        <v/>
      </c>
      <c r="C80" s="11" t="inlineStr">
        <is>
          <t>4,1</t>
        </is>
      </c>
      <c r="D80" s="10" t="n"/>
      <c r="E80" s="10" t="n"/>
    </row>
    <row r="81" customFormat="1" s="3">
      <c r="A81" s="9" t="inlineStr">
        <is>
          <t>Q10R2C1</t>
        </is>
      </c>
      <c r="B81" s="9">
        <f>LAI!E105</f>
        <v/>
      </c>
      <c r="C81" s="11" t="inlineStr">
        <is>
          <t>4,1</t>
        </is>
      </c>
      <c r="D81" s="10" t="n"/>
      <c r="E81" s="10" t="n"/>
    </row>
    <row r="82" customFormat="1" s="3">
      <c r="A82" s="9" t="inlineStr">
        <is>
          <t>Q10R2C2</t>
        </is>
      </c>
      <c r="B82" s="9">
        <f>LAI!F105</f>
        <v/>
      </c>
      <c r="C82" s="11" t="inlineStr">
        <is>
          <t>4,1</t>
        </is>
      </c>
      <c r="D82" s="10" t="n"/>
      <c r="E82" s="10" t="n"/>
    </row>
    <row r="83" customFormat="1" s="3">
      <c r="A83" s="9" t="inlineStr">
        <is>
          <t>Q10R2C3</t>
        </is>
      </c>
      <c r="B83" s="9">
        <f>LAI!G105</f>
        <v/>
      </c>
      <c r="C83" s="11" t="inlineStr">
        <is>
          <t>4,1</t>
        </is>
      </c>
      <c r="D83" s="10" t="n"/>
      <c r="E83" s="10" t="n"/>
    </row>
    <row r="84" customFormat="1" s="3">
      <c r="A84" s="9" t="inlineStr">
        <is>
          <t>Q10R2C4</t>
        </is>
      </c>
      <c r="B84" s="9">
        <f>LAI!H105</f>
        <v/>
      </c>
      <c r="C84" s="11" t="inlineStr">
        <is>
          <t>4,1</t>
        </is>
      </c>
      <c r="D84" s="10" t="n"/>
      <c r="E84" s="10" t="n"/>
    </row>
    <row r="85" customFormat="1" s="3">
      <c r="A85" s="9" t="inlineStr">
        <is>
          <t>Q10R2C5</t>
        </is>
      </c>
      <c r="B85" s="9">
        <f>LAI!I105</f>
        <v/>
      </c>
      <c r="C85" s="11" t="inlineStr">
        <is>
          <t>4,1</t>
        </is>
      </c>
      <c r="D85" s="10" t="n"/>
      <c r="E85" s="10" t="n"/>
    </row>
    <row r="86" customFormat="1" s="3">
      <c r="A86" s="9" t="inlineStr">
        <is>
          <t>Q10R2C6</t>
        </is>
      </c>
      <c r="B86" s="9">
        <f>LAI!J105</f>
        <v/>
      </c>
      <c r="C86" s="11" t="inlineStr">
        <is>
          <t>4,1</t>
        </is>
      </c>
      <c r="D86" s="10" t="n"/>
      <c r="E86" s="10" t="n"/>
    </row>
    <row r="87" customFormat="1" s="3">
      <c r="A87" s="9" t="inlineStr">
        <is>
          <t>Q10R2C7</t>
        </is>
      </c>
      <c r="B87" s="9">
        <f>LAI!K105</f>
        <v/>
      </c>
      <c r="C87" s="11" t="inlineStr">
        <is>
          <t>4,1</t>
        </is>
      </c>
      <c r="D87" s="10" t="n"/>
      <c r="E87" s="10" t="n"/>
    </row>
    <row r="88" customFormat="1" s="3">
      <c r="A88" s="9" t="inlineStr">
        <is>
          <t>Q10R3C1</t>
        </is>
      </c>
      <c r="B88" s="9">
        <f>LAI!E106</f>
        <v/>
      </c>
      <c r="C88" s="11" t="inlineStr">
        <is>
          <t>4,1</t>
        </is>
      </c>
      <c r="D88" s="10" t="n"/>
      <c r="E88" s="10" t="n"/>
    </row>
    <row r="89" customFormat="1" s="3">
      <c r="A89" s="9" t="inlineStr">
        <is>
          <t>Q10R3C2</t>
        </is>
      </c>
      <c r="B89" s="9">
        <f>LAI!F106</f>
        <v/>
      </c>
      <c r="C89" s="11" t="inlineStr">
        <is>
          <t>4,1</t>
        </is>
      </c>
      <c r="D89" s="10" t="n"/>
      <c r="E89" s="10" t="n"/>
    </row>
    <row r="90" customFormat="1" s="3">
      <c r="A90" s="9" t="inlineStr">
        <is>
          <t>Q10R3C3</t>
        </is>
      </c>
      <c r="B90" s="9">
        <f>LAI!G106</f>
        <v/>
      </c>
      <c r="C90" s="11" t="inlineStr">
        <is>
          <t>4,1</t>
        </is>
      </c>
      <c r="D90" s="10" t="n"/>
      <c r="E90" s="10" t="n"/>
    </row>
    <row r="91">
      <c r="A91" s="9" t="inlineStr">
        <is>
          <t>Q10R3C4</t>
        </is>
      </c>
      <c r="B91" s="9">
        <f>LAI!H106</f>
        <v/>
      </c>
      <c r="C91" s="11" t="inlineStr">
        <is>
          <t>4,1</t>
        </is>
      </c>
      <c r="D91" s="10" t="n"/>
      <c r="E91" s="10" t="n"/>
    </row>
    <row r="92">
      <c r="A92" s="9" t="inlineStr">
        <is>
          <t>Q10R3C5</t>
        </is>
      </c>
      <c r="B92" s="9">
        <f>LAI!I106</f>
        <v/>
      </c>
      <c r="C92" s="11" t="inlineStr">
        <is>
          <t>4,1</t>
        </is>
      </c>
      <c r="D92" s="10" t="n"/>
      <c r="E92" s="10" t="n"/>
    </row>
    <row r="93">
      <c r="A93" s="9" t="inlineStr">
        <is>
          <t>Q10R3C6</t>
        </is>
      </c>
      <c r="B93" s="9">
        <f>LAI!J106</f>
        <v/>
      </c>
      <c r="C93" s="11" t="inlineStr">
        <is>
          <t>4,1</t>
        </is>
      </c>
      <c r="D93" s="10" t="n"/>
      <c r="E93" s="10" t="n"/>
    </row>
    <row r="94">
      <c r="A94" s="9" t="inlineStr">
        <is>
          <t>Q10R3C7</t>
        </is>
      </c>
      <c r="B94" s="9">
        <f>LAI!K106</f>
        <v/>
      </c>
      <c r="C94" s="11" t="inlineStr">
        <is>
          <t>4,1</t>
        </is>
      </c>
      <c r="D94" s="10" t="n"/>
      <c r="E94" s="10" t="n"/>
    </row>
    <row r="95">
      <c r="A95" s="9" t="inlineStr">
        <is>
          <t>Q10R4C1</t>
        </is>
      </c>
      <c r="B95" s="9">
        <f>LAI!E107</f>
        <v/>
      </c>
      <c r="C95" s="11" t="inlineStr">
        <is>
          <t>4,1</t>
        </is>
      </c>
      <c r="D95" s="10" t="n"/>
      <c r="E95" s="10" t="n"/>
    </row>
    <row r="96">
      <c r="A96" s="9" t="inlineStr">
        <is>
          <t>Q10R4C2</t>
        </is>
      </c>
      <c r="B96" s="9">
        <f>LAI!F107</f>
        <v/>
      </c>
      <c r="C96" s="11" t="inlineStr">
        <is>
          <t>4,1</t>
        </is>
      </c>
      <c r="D96" s="10" t="n"/>
      <c r="E96" s="10" t="n"/>
    </row>
    <row r="97">
      <c r="A97" s="9" t="inlineStr">
        <is>
          <t>Q10R4C3</t>
        </is>
      </c>
      <c r="B97" s="9">
        <f>LAI!G107</f>
        <v/>
      </c>
      <c r="C97" s="11" t="inlineStr">
        <is>
          <t>4,1</t>
        </is>
      </c>
      <c r="D97" s="10" t="n"/>
      <c r="E97" s="10" t="n"/>
    </row>
    <row r="98">
      <c r="A98" s="9" t="inlineStr">
        <is>
          <t>Q10R4C4</t>
        </is>
      </c>
      <c r="B98" s="9">
        <f>LAI!H107</f>
        <v/>
      </c>
      <c r="C98" s="11" t="inlineStr">
        <is>
          <t>4,1</t>
        </is>
      </c>
      <c r="D98" s="10" t="n"/>
      <c r="E98" s="10" t="n"/>
    </row>
    <row r="99">
      <c r="A99" s="9" t="inlineStr">
        <is>
          <t>Q10R4C5</t>
        </is>
      </c>
      <c r="B99" s="9">
        <f>LAI!I107</f>
        <v/>
      </c>
      <c r="C99" s="11" t="inlineStr">
        <is>
          <t>4,1</t>
        </is>
      </c>
      <c r="D99" s="10" t="n"/>
      <c r="E99" s="10" t="n"/>
    </row>
    <row r="100">
      <c r="A100" s="9" t="inlineStr">
        <is>
          <t>Q10R4C6</t>
        </is>
      </c>
      <c r="B100" s="9">
        <f>LAI!J107</f>
        <v/>
      </c>
      <c r="C100" s="11" t="inlineStr">
        <is>
          <t>4,1</t>
        </is>
      </c>
      <c r="D100" s="10" t="n"/>
      <c r="E100" s="10" t="n"/>
    </row>
    <row r="101">
      <c r="A101" s="9" t="inlineStr">
        <is>
          <t>Q10R4C7</t>
        </is>
      </c>
      <c r="B101" s="9">
        <f>LAI!K107</f>
        <v/>
      </c>
      <c r="C101" s="11" t="inlineStr">
        <is>
          <t>4,1</t>
        </is>
      </c>
      <c r="D101" s="10" t="n"/>
      <c r="E101" s="10" t="n"/>
    </row>
    <row r="102">
      <c r="A102" s="9" t="inlineStr">
        <is>
          <t>Q10R5C1</t>
        </is>
      </c>
      <c r="B102" s="9">
        <f>LAI!E108</f>
        <v/>
      </c>
      <c r="C102" s="11" t="inlineStr">
        <is>
          <t>4,1</t>
        </is>
      </c>
      <c r="D102" s="10" t="n"/>
      <c r="E102" s="10" t="n"/>
    </row>
    <row r="103">
      <c r="A103" s="9" t="inlineStr">
        <is>
          <t>Q10R5C2</t>
        </is>
      </c>
      <c r="B103" s="9">
        <f>LAI!F108</f>
        <v/>
      </c>
      <c r="C103" s="11" t="inlineStr">
        <is>
          <t>4,1</t>
        </is>
      </c>
      <c r="D103" s="10" t="n"/>
      <c r="E103" s="10" t="n"/>
    </row>
    <row r="104">
      <c r="A104" s="9" t="inlineStr">
        <is>
          <t>Q10R5C3</t>
        </is>
      </c>
      <c r="B104" s="9">
        <f>LAI!G108</f>
        <v/>
      </c>
      <c r="C104" s="11" t="inlineStr">
        <is>
          <t>4,1</t>
        </is>
      </c>
      <c r="D104" s="10" t="n"/>
      <c r="E104" s="10" t="n"/>
    </row>
    <row r="105">
      <c r="A105" s="9" t="inlineStr">
        <is>
          <t>Q10R5C4</t>
        </is>
      </c>
      <c r="B105" s="9">
        <f>LAI!H108</f>
        <v/>
      </c>
      <c r="C105" s="11" t="inlineStr">
        <is>
          <t>4,1</t>
        </is>
      </c>
      <c r="D105" s="10" t="n"/>
      <c r="E105" s="10" t="n"/>
    </row>
    <row r="106">
      <c r="A106" s="9" t="inlineStr">
        <is>
          <t>Q10R5C5</t>
        </is>
      </c>
      <c r="B106" s="9">
        <f>LAI!I108</f>
        <v/>
      </c>
      <c r="C106" s="11" t="inlineStr">
        <is>
          <t>4,1</t>
        </is>
      </c>
      <c r="D106" s="10" t="n"/>
      <c r="E106" s="10" t="n"/>
    </row>
    <row r="107">
      <c r="A107" s="9" t="inlineStr">
        <is>
          <t>Q10R5C6</t>
        </is>
      </c>
      <c r="B107" s="9">
        <f>LAI!J108</f>
        <v/>
      </c>
      <c r="C107" s="11" t="inlineStr">
        <is>
          <t>4,1</t>
        </is>
      </c>
      <c r="D107" s="10" t="n"/>
      <c r="E107" s="10" t="n"/>
    </row>
    <row r="108">
      <c r="A108" s="9" t="inlineStr">
        <is>
          <t>Q10R5C7</t>
        </is>
      </c>
      <c r="B108" s="9">
        <f>LAI!K108</f>
        <v/>
      </c>
      <c r="C108" s="11" t="inlineStr">
        <is>
          <t>4,1</t>
        </is>
      </c>
      <c r="D108" s="10" t="n"/>
      <c r="E108" s="10" t="n"/>
    </row>
    <row r="109">
      <c r="A109" s="9" t="inlineStr">
        <is>
          <t>Q10R6C1</t>
        </is>
      </c>
      <c r="B109" s="9">
        <f>LAI!E109</f>
        <v/>
      </c>
      <c r="C109" s="11" t="inlineStr">
        <is>
          <t>4,1</t>
        </is>
      </c>
      <c r="D109" s="10" t="n"/>
      <c r="E109" s="10" t="n"/>
    </row>
    <row r="110">
      <c r="A110" s="9" t="inlineStr">
        <is>
          <t>Q10R6C2</t>
        </is>
      </c>
      <c r="B110" s="9">
        <f>LAI!F109</f>
        <v/>
      </c>
      <c r="C110" s="11" t="inlineStr">
        <is>
          <t>4,1</t>
        </is>
      </c>
      <c r="D110" s="10" t="n"/>
      <c r="E110" s="10" t="n"/>
    </row>
    <row r="111">
      <c r="A111" s="9" t="inlineStr">
        <is>
          <t>Q10R6C3</t>
        </is>
      </c>
      <c r="B111" s="9">
        <f>LAI!G109</f>
        <v/>
      </c>
      <c r="C111" s="11" t="inlineStr">
        <is>
          <t>4,1</t>
        </is>
      </c>
      <c r="D111" s="10" t="n"/>
      <c r="E111" s="10" t="n"/>
    </row>
    <row r="112">
      <c r="A112" s="9" t="inlineStr">
        <is>
          <t>Q10R6C4</t>
        </is>
      </c>
      <c r="B112" s="9">
        <f>LAI!H109</f>
        <v/>
      </c>
      <c r="C112" s="11" t="inlineStr">
        <is>
          <t>4,1</t>
        </is>
      </c>
      <c r="D112" s="10" t="n"/>
      <c r="E112" s="10" t="n"/>
    </row>
    <row r="113">
      <c r="A113" s="9" t="inlineStr">
        <is>
          <t>Q10R6C5</t>
        </is>
      </c>
      <c r="B113" s="9">
        <f>LAI!I109</f>
        <v/>
      </c>
      <c r="C113" s="11" t="inlineStr">
        <is>
          <t>4,1</t>
        </is>
      </c>
      <c r="D113" s="10" t="n"/>
      <c r="E113" s="10" t="n"/>
    </row>
    <row r="114">
      <c r="A114" s="9" t="inlineStr">
        <is>
          <t>Q10R6C6</t>
        </is>
      </c>
      <c r="B114" s="9">
        <f>LAI!J109</f>
        <v/>
      </c>
      <c r="C114" s="11" t="inlineStr">
        <is>
          <t>4,1</t>
        </is>
      </c>
      <c r="D114" s="10" t="n"/>
      <c r="E114" s="10" t="n"/>
    </row>
    <row r="115">
      <c r="A115" s="9" t="inlineStr">
        <is>
          <t>Q10R6C7</t>
        </is>
      </c>
      <c r="B115" s="9">
        <f>LAI!K109</f>
        <v/>
      </c>
      <c r="C115" s="11" t="inlineStr">
        <is>
          <t>4,1</t>
        </is>
      </c>
      <c r="D115" s="10" t="n"/>
      <c r="E115" s="10" t="n"/>
    </row>
    <row r="116">
      <c r="A116" s="9" t="inlineStr">
        <is>
          <t>Q10R7C1</t>
        </is>
      </c>
      <c r="B116" s="9">
        <f>LAI!E110</f>
        <v/>
      </c>
      <c r="C116" s="11" t="inlineStr">
        <is>
          <t>4,1</t>
        </is>
      </c>
      <c r="D116" s="10" t="n"/>
      <c r="E116" s="10" t="n"/>
    </row>
    <row r="117">
      <c r="A117" s="9" t="inlineStr">
        <is>
          <t>Q10R7C2</t>
        </is>
      </c>
      <c r="B117" s="9">
        <f>LAI!F110</f>
        <v/>
      </c>
      <c r="C117" s="11" t="inlineStr">
        <is>
          <t>4,1</t>
        </is>
      </c>
      <c r="D117" s="10" t="n"/>
      <c r="E117" s="10" t="n"/>
    </row>
    <row r="118">
      <c r="A118" s="9" t="inlineStr">
        <is>
          <t>Q10R7C3</t>
        </is>
      </c>
      <c r="B118" s="9">
        <f>LAI!G110</f>
        <v/>
      </c>
      <c r="C118" s="11" t="inlineStr">
        <is>
          <t>4,1</t>
        </is>
      </c>
      <c r="D118" s="10" t="n"/>
      <c r="E118" s="10" t="n"/>
    </row>
    <row r="119">
      <c r="A119" s="9" t="inlineStr">
        <is>
          <t>Q10R7C4</t>
        </is>
      </c>
      <c r="B119" s="9">
        <f>LAI!H110</f>
        <v/>
      </c>
      <c r="C119" s="11" t="inlineStr">
        <is>
          <t>4,1</t>
        </is>
      </c>
      <c r="D119" s="10" t="n"/>
      <c r="E119" s="10" t="n"/>
    </row>
    <row r="120">
      <c r="A120" s="9" t="inlineStr">
        <is>
          <t>Q10R7C5</t>
        </is>
      </c>
      <c r="B120" s="9">
        <f>LAI!I110</f>
        <v/>
      </c>
      <c r="C120" s="11" t="inlineStr">
        <is>
          <t>4,1</t>
        </is>
      </c>
      <c r="D120" s="10" t="n"/>
      <c r="E120" s="10" t="n"/>
    </row>
    <row r="121">
      <c r="A121" s="9" t="inlineStr">
        <is>
          <t>Q10R7C6</t>
        </is>
      </c>
      <c r="B121" s="9">
        <f>LAI!J110</f>
        <v/>
      </c>
      <c r="C121" s="11" t="inlineStr">
        <is>
          <t>4,1</t>
        </is>
      </c>
      <c r="D121" s="10" t="n"/>
      <c r="E121" s="10" t="n"/>
    </row>
    <row r="122">
      <c r="A122" s="9" t="inlineStr">
        <is>
          <t>Q10R7C7</t>
        </is>
      </c>
      <c r="B122" s="9">
        <f>LAI!K110</f>
        <v/>
      </c>
      <c r="C122" s="11" t="inlineStr">
        <is>
          <t>4,1</t>
        </is>
      </c>
      <c r="D122" s="10" t="n"/>
      <c r="E122" s="10" t="n"/>
    </row>
    <row r="123">
      <c r="A123" s="9" t="inlineStr">
        <is>
          <t>Q10R8C1</t>
        </is>
      </c>
      <c r="B123" s="9">
        <f>LAI!E111</f>
        <v/>
      </c>
      <c r="C123" s="11" t="inlineStr">
        <is>
          <t>4,1</t>
        </is>
      </c>
      <c r="D123" s="10" t="n"/>
      <c r="E123" s="10" t="n"/>
    </row>
    <row r="124">
      <c r="A124" s="9" t="inlineStr">
        <is>
          <t>Q10R8C2</t>
        </is>
      </c>
      <c r="B124" s="9">
        <f>LAI!F111</f>
        <v/>
      </c>
      <c r="C124" s="11" t="inlineStr">
        <is>
          <t>4,1</t>
        </is>
      </c>
      <c r="D124" s="10" t="n"/>
      <c r="E124" s="10" t="n"/>
    </row>
    <row r="125">
      <c r="A125" s="9" t="inlineStr">
        <is>
          <t>Q10R8C3</t>
        </is>
      </c>
      <c r="B125" s="9">
        <f>LAI!G111</f>
        <v/>
      </c>
      <c r="C125" s="11" t="inlineStr">
        <is>
          <t>4,1</t>
        </is>
      </c>
      <c r="D125" s="10" t="n"/>
      <c r="E125" s="10" t="n"/>
    </row>
    <row r="126">
      <c r="A126" s="9" t="inlineStr">
        <is>
          <t>Q10R8C4</t>
        </is>
      </c>
      <c r="B126" s="9">
        <f>LAI!H111</f>
        <v/>
      </c>
      <c r="C126" s="11" t="inlineStr">
        <is>
          <t>4,1</t>
        </is>
      </c>
      <c r="D126" s="10" t="n"/>
      <c r="E126" s="10" t="n"/>
    </row>
    <row r="127">
      <c r="A127" s="9" t="inlineStr">
        <is>
          <t>Q10R8C5</t>
        </is>
      </c>
      <c r="B127" s="9">
        <f>LAI!I111</f>
        <v/>
      </c>
      <c r="C127" s="11" t="inlineStr">
        <is>
          <t>4,1</t>
        </is>
      </c>
      <c r="D127" s="10" t="n"/>
      <c r="E127" s="10" t="n"/>
    </row>
    <row r="128">
      <c r="A128" s="9" t="inlineStr">
        <is>
          <t>Q10R8C6</t>
        </is>
      </c>
      <c r="B128" s="9">
        <f>LAI!J111</f>
        <v/>
      </c>
      <c r="C128" s="11" t="inlineStr">
        <is>
          <t>4,1</t>
        </is>
      </c>
      <c r="D128" s="10" t="n"/>
      <c r="E128" s="10" t="n"/>
    </row>
    <row r="129">
      <c r="A129" s="9" t="inlineStr">
        <is>
          <t>Q10R8C7</t>
        </is>
      </c>
      <c r="B129" s="9">
        <f>LAI!K111</f>
        <v/>
      </c>
      <c r="C129" s="11" t="inlineStr">
        <is>
          <t>4,1</t>
        </is>
      </c>
      <c r="D129" s="10" t="n"/>
      <c r="E129" s="10" t="n"/>
    </row>
    <row r="130">
      <c r="A130" s="9" t="inlineStr">
        <is>
          <t>Q10R9C1</t>
        </is>
      </c>
      <c r="B130" s="9">
        <f>LAI!E112</f>
        <v/>
      </c>
      <c r="C130" s="11" t="inlineStr">
        <is>
          <t>4,1</t>
        </is>
      </c>
      <c r="D130" s="10" t="n"/>
      <c r="E130" s="10" t="n"/>
    </row>
    <row r="131">
      <c r="A131" s="9" t="inlineStr">
        <is>
          <t>Q10R9C2</t>
        </is>
      </c>
      <c r="B131" s="9">
        <f>LAI!F112</f>
        <v/>
      </c>
      <c r="C131" s="11" t="inlineStr">
        <is>
          <t>4,1</t>
        </is>
      </c>
      <c r="D131" s="10" t="n"/>
      <c r="E131" s="10" t="n"/>
    </row>
    <row r="132">
      <c r="A132" s="9" t="inlineStr">
        <is>
          <t>Q10R9C3</t>
        </is>
      </c>
      <c r="B132" s="9">
        <f>LAI!G112</f>
        <v/>
      </c>
      <c r="C132" s="11" t="inlineStr">
        <is>
          <t>4,1</t>
        </is>
      </c>
      <c r="D132" s="10" t="n"/>
      <c r="E132" s="10" t="n"/>
    </row>
    <row r="133">
      <c r="A133" s="9" t="inlineStr">
        <is>
          <t>Q10R9C4</t>
        </is>
      </c>
      <c r="B133" s="9">
        <f>LAI!H112</f>
        <v/>
      </c>
      <c r="C133" s="11" t="inlineStr">
        <is>
          <t>4,1</t>
        </is>
      </c>
      <c r="D133" s="10" t="n"/>
      <c r="E133" s="10" t="n"/>
    </row>
    <row r="134">
      <c r="A134" s="9" t="inlineStr">
        <is>
          <t>Q10R9C5</t>
        </is>
      </c>
      <c r="B134" s="9">
        <f>LAI!I112</f>
        <v/>
      </c>
      <c r="C134" s="11" t="inlineStr">
        <is>
          <t>4,1</t>
        </is>
      </c>
      <c r="D134" s="10" t="n"/>
      <c r="E134" s="10" t="n"/>
    </row>
    <row r="135">
      <c r="A135" s="9" t="inlineStr">
        <is>
          <t>Q10R9C6</t>
        </is>
      </c>
      <c r="B135" s="9">
        <f>LAI!J112</f>
        <v/>
      </c>
      <c r="C135" s="11" t="inlineStr">
        <is>
          <t>4,1</t>
        </is>
      </c>
      <c r="D135" s="10" t="n"/>
      <c r="E135" s="10" t="n"/>
    </row>
    <row r="136">
      <c r="A136" s="9" t="inlineStr">
        <is>
          <t>Q10R9C7</t>
        </is>
      </c>
      <c r="B136" s="9">
        <f>LAI!K112</f>
        <v/>
      </c>
      <c r="C136" s="11" t="inlineStr">
        <is>
          <t>4,1</t>
        </is>
      </c>
      <c r="D136" s="10" t="n"/>
      <c r="E136" s="10" t="n"/>
    </row>
    <row r="137">
      <c r="A137" s="9" t="inlineStr">
        <is>
          <t>Q11R1C1</t>
        </is>
      </c>
      <c r="B137" s="9">
        <f>LAI!C118</f>
        <v/>
      </c>
      <c r="C137" s="11" t="inlineStr">
        <is>
          <t>4,2</t>
        </is>
      </c>
      <c r="D137" s="10" t="n"/>
      <c r="E137" s="10" t="n"/>
    </row>
    <row r="138">
      <c r="A138" s="9" t="inlineStr">
        <is>
          <t>Q11R2C1</t>
        </is>
      </c>
      <c r="B138" s="9">
        <f>LAI!C119</f>
        <v/>
      </c>
      <c r="C138" s="11" t="inlineStr">
        <is>
          <t>4,2</t>
        </is>
      </c>
      <c r="D138" s="10" t="n"/>
      <c r="E138" s="10" t="n"/>
    </row>
    <row r="139">
      <c r="A139" s="9" t="inlineStr">
        <is>
          <t>Q11R3C1</t>
        </is>
      </c>
      <c r="B139" s="9">
        <f>LAI!C120</f>
        <v/>
      </c>
      <c r="C139" s="11" t="inlineStr">
        <is>
          <t>4,2</t>
        </is>
      </c>
      <c r="D139" s="10" t="n"/>
      <c r="E139" s="10" t="n"/>
    </row>
    <row r="140">
      <c r="A140" s="9" t="inlineStr">
        <is>
          <t>Q11R4C1</t>
        </is>
      </c>
      <c r="B140" s="9">
        <f>LAI!C121</f>
        <v/>
      </c>
      <c r="C140" s="11" t="inlineStr">
        <is>
          <t>4,2</t>
        </is>
      </c>
      <c r="D140" s="10" t="n"/>
      <c r="E140" s="10" t="n"/>
    </row>
    <row r="141">
      <c r="A141" s="9" t="inlineStr">
        <is>
          <t>Q11R5C1</t>
        </is>
      </c>
      <c r="B141" s="9">
        <f>LAI!C122</f>
        <v/>
      </c>
      <c r="C141" s="11" t="inlineStr">
        <is>
          <t>4,2</t>
        </is>
      </c>
      <c r="D141" s="10" t="n"/>
      <c r="E141" s="10" t="n"/>
    </row>
    <row r="142">
      <c r="A142" s="9" t="inlineStr">
        <is>
          <t>Q11R6C1</t>
        </is>
      </c>
      <c r="B142" s="9">
        <f>LAI!C123</f>
        <v/>
      </c>
      <c r="C142" s="11" t="inlineStr">
        <is>
          <t>4,2</t>
        </is>
      </c>
      <c r="D142" s="10" t="n"/>
      <c r="E142" s="10" t="n"/>
    </row>
    <row r="143">
      <c r="A143" s="9" t="inlineStr">
        <is>
          <t>Q11R7C1</t>
        </is>
      </c>
      <c r="B143" s="9">
        <f>LAI!C124</f>
        <v/>
      </c>
      <c r="C143" s="11" t="inlineStr">
        <is>
          <t>4,2</t>
        </is>
      </c>
      <c r="D143" s="10" t="n"/>
      <c r="E143" s="10" t="n"/>
    </row>
    <row r="144">
      <c r="A144" s="9" t="inlineStr">
        <is>
          <t>Q11R8C1</t>
        </is>
      </c>
      <c r="B144" s="9">
        <f>LAI!C125</f>
        <v/>
      </c>
      <c r="C144" s="11" t="inlineStr">
        <is>
          <t>4,2</t>
        </is>
      </c>
      <c r="D144" s="10" t="n"/>
      <c r="E144" s="10" t="n"/>
    </row>
    <row r="145">
      <c r="A145" s="9" t="inlineStr">
        <is>
          <t>Q11R9C1</t>
        </is>
      </c>
      <c r="B145" s="9">
        <f>LAI!C126</f>
        <v/>
      </c>
      <c r="C145" s="11" t="inlineStr">
        <is>
          <t>4,2</t>
        </is>
      </c>
      <c r="D145" s="10" t="n"/>
      <c r="E145" s="10" t="n"/>
    </row>
    <row r="146">
      <c r="A146" s="9" t="inlineStr">
        <is>
          <t>Q11R10C1</t>
        </is>
      </c>
      <c r="B146" s="9">
        <f>LAI!C127</f>
        <v/>
      </c>
      <c r="C146" s="11" t="inlineStr">
        <is>
          <t>4,2</t>
        </is>
      </c>
      <c r="D146" s="10" t="n"/>
      <c r="E146" s="10" t="n"/>
    </row>
    <row r="147">
      <c r="A147" s="9" t="inlineStr">
        <is>
          <t>Q11R11C1</t>
        </is>
      </c>
      <c r="B147" s="9">
        <f>LAI!C128</f>
        <v/>
      </c>
      <c r="C147" s="11" t="inlineStr">
        <is>
          <t>4,2</t>
        </is>
      </c>
      <c r="D147" s="10" t="n"/>
      <c r="E147" s="10" t="n"/>
    </row>
    <row r="148">
      <c r="A148" s="9" t="inlineStr">
        <is>
          <t>Q11R12C1</t>
        </is>
      </c>
      <c r="B148" s="9">
        <f>LAI!C129</f>
        <v/>
      </c>
      <c r="C148" s="11" t="inlineStr">
        <is>
          <t>4,2</t>
        </is>
      </c>
      <c r="D148" s="10" t="n"/>
      <c r="E148" s="10" t="n"/>
    </row>
    <row r="149">
      <c r="A149" s="9" t="inlineStr">
        <is>
          <t>Q11R13C1</t>
        </is>
      </c>
      <c r="B149" s="9">
        <f>LAI!C130</f>
        <v/>
      </c>
      <c r="C149" s="11" t="inlineStr">
        <is>
          <t>4,2</t>
        </is>
      </c>
      <c r="D149" s="10" t="n"/>
      <c r="E149" s="10" t="n"/>
    </row>
    <row r="150">
      <c r="A150" s="9" t="inlineStr">
        <is>
          <t>Q11R14C1</t>
        </is>
      </c>
      <c r="B150" s="9">
        <f>LAI!C131</f>
        <v/>
      </c>
      <c r="C150" s="11" t="inlineStr">
        <is>
          <t>4,2</t>
        </is>
      </c>
      <c r="D150" s="10" t="n"/>
      <c r="E150" s="10" t="n"/>
    </row>
    <row r="151">
      <c r="A151" s="9" t="inlineStr">
        <is>
          <t>Q11R15C1</t>
        </is>
      </c>
      <c r="B151" s="9">
        <f>LAI!C132</f>
        <v/>
      </c>
      <c r="C151" s="11" t="inlineStr">
        <is>
          <t>4,2</t>
        </is>
      </c>
      <c r="D151" s="10" t="n"/>
      <c r="E151" s="10" t="n"/>
    </row>
    <row r="152">
      <c r="A152" s="9" t="inlineStr">
        <is>
          <t>Q11R16C1</t>
        </is>
      </c>
      <c r="B152" s="9">
        <f>LAI!C133</f>
        <v/>
      </c>
      <c r="C152" s="11" t="inlineStr">
        <is>
          <t>4,2</t>
        </is>
      </c>
      <c r="D152" s="10" t="n"/>
      <c r="E152" s="10" t="n"/>
    </row>
    <row r="153" customFormat="1" s="3">
      <c r="A153" s="9" t="inlineStr">
        <is>
          <t>Q11R17C1</t>
        </is>
      </c>
      <c r="B153" s="9">
        <f>LAI!C134</f>
        <v/>
      </c>
      <c r="C153" s="11" t="inlineStr">
        <is>
          <t>4,2</t>
        </is>
      </c>
      <c r="D153" s="10" t="n"/>
      <c r="E153" s="10" t="n"/>
    </row>
    <row r="154" customFormat="1" s="3">
      <c r="A154" s="9" t="inlineStr">
        <is>
          <t>Q11R18C1</t>
        </is>
      </c>
      <c r="B154" s="9">
        <f>LAI!C135</f>
        <v/>
      </c>
      <c r="C154" s="11" t="inlineStr">
        <is>
          <t>4,2</t>
        </is>
      </c>
      <c r="D154" s="10" t="n"/>
      <c r="E154" s="10" t="n"/>
    </row>
    <row r="155" customFormat="1" s="3">
      <c r="A155" s="9" t="inlineStr">
        <is>
          <t>Q11R19C1</t>
        </is>
      </c>
      <c r="B155" s="9">
        <f>LAI!F118</f>
        <v/>
      </c>
      <c r="C155" s="11" t="inlineStr">
        <is>
          <t>4,2</t>
        </is>
      </c>
      <c r="D155" s="10" t="n"/>
      <c r="E155" s="10" t="n"/>
    </row>
    <row r="156" customFormat="1" s="3">
      <c r="A156" s="9" t="inlineStr">
        <is>
          <t>Q11R20C1</t>
        </is>
      </c>
      <c r="B156" s="9">
        <f>LAI!F119</f>
        <v/>
      </c>
      <c r="C156" s="11" t="inlineStr">
        <is>
          <t>4,2</t>
        </is>
      </c>
      <c r="D156" s="10" t="n"/>
      <c r="E156" s="10" t="n"/>
    </row>
    <row r="157" customFormat="1" s="3">
      <c r="A157" s="9" t="inlineStr">
        <is>
          <t>Q11R21C1</t>
        </is>
      </c>
      <c r="B157" s="9">
        <f>LAI!F120</f>
        <v/>
      </c>
      <c r="C157" s="11" t="inlineStr">
        <is>
          <t>4,2</t>
        </is>
      </c>
      <c r="D157" s="10" t="n"/>
      <c r="E157" s="10" t="n"/>
    </row>
    <row r="158" customFormat="1" s="3">
      <c r="A158" s="9" t="inlineStr">
        <is>
          <t>Q11R22C1</t>
        </is>
      </c>
      <c r="B158" s="9">
        <f>LAI!F121</f>
        <v/>
      </c>
      <c r="C158" s="11" t="inlineStr">
        <is>
          <t>4,2</t>
        </is>
      </c>
      <c r="D158" s="10" t="n"/>
      <c r="E158" s="10" t="n"/>
    </row>
    <row r="159" customFormat="1" s="3">
      <c r="A159" s="9" t="inlineStr">
        <is>
          <t>Q11R23C1</t>
        </is>
      </c>
      <c r="B159" s="9">
        <f>LAI!F122</f>
        <v/>
      </c>
      <c r="C159" s="11" t="inlineStr">
        <is>
          <t>4,2</t>
        </is>
      </c>
      <c r="D159" s="10" t="n"/>
      <c r="E159" s="10" t="n"/>
    </row>
    <row r="160" customFormat="1" s="3">
      <c r="A160" s="9" t="inlineStr">
        <is>
          <t>Q11R24C1</t>
        </is>
      </c>
      <c r="B160" s="9">
        <f>LAI!F123</f>
        <v/>
      </c>
      <c r="C160" s="11" t="inlineStr">
        <is>
          <t>4,2</t>
        </is>
      </c>
      <c r="D160" s="10" t="n"/>
      <c r="E160" s="10" t="n"/>
    </row>
    <row r="161" customFormat="1" s="3">
      <c r="A161" s="9" t="inlineStr">
        <is>
          <t>Q11R25C1</t>
        </is>
      </c>
      <c r="B161" s="9">
        <f>LAI!F124</f>
        <v/>
      </c>
      <c r="C161" s="11" t="inlineStr">
        <is>
          <t>4,2</t>
        </is>
      </c>
      <c r="D161" s="10" t="n"/>
      <c r="E161" s="10" t="n"/>
    </row>
    <row r="162" customFormat="1" s="3">
      <c r="A162" s="9" t="inlineStr">
        <is>
          <t>Q11R26C1</t>
        </is>
      </c>
      <c r="B162" s="9">
        <f>LAI!F125</f>
        <v/>
      </c>
      <c r="C162" s="11" t="inlineStr">
        <is>
          <t>4,2</t>
        </is>
      </c>
      <c r="D162" s="10" t="n"/>
      <c r="E162" s="10" t="n"/>
    </row>
    <row r="163" customFormat="1" s="3">
      <c r="A163" s="9" t="inlineStr">
        <is>
          <t>Q11R27C1</t>
        </is>
      </c>
      <c r="B163" s="9">
        <f>LAI!F126</f>
        <v/>
      </c>
      <c r="C163" s="11" t="inlineStr">
        <is>
          <t>4,2</t>
        </is>
      </c>
      <c r="D163" s="10" t="n"/>
      <c r="E163" s="10" t="n"/>
    </row>
    <row r="164" customFormat="1" s="3">
      <c r="A164" s="9" t="inlineStr">
        <is>
          <t>Q11R28C1</t>
        </is>
      </c>
      <c r="B164" s="9">
        <f>LAI!F127</f>
        <v/>
      </c>
      <c r="C164" s="11" t="inlineStr">
        <is>
          <t>4,2</t>
        </is>
      </c>
      <c r="D164" s="10" t="n"/>
      <c r="E164" s="10" t="n"/>
    </row>
    <row r="165" customFormat="1" s="3">
      <c r="A165" s="9" t="inlineStr">
        <is>
          <t>Q11R29C1</t>
        </is>
      </c>
      <c r="B165" s="9">
        <f>LAI!F128</f>
        <v/>
      </c>
      <c r="C165" s="11" t="inlineStr">
        <is>
          <t>4,2</t>
        </is>
      </c>
      <c r="D165" s="10" t="n"/>
      <c r="E165" s="10" t="n"/>
    </row>
    <row r="166" customFormat="1" s="3">
      <c r="A166" s="9" t="inlineStr">
        <is>
          <t>Q11R30C1</t>
        </is>
      </c>
      <c r="B166" s="9">
        <f>LAI!F129</f>
        <v/>
      </c>
      <c r="C166" s="11" t="inlineStr">
        <is>
          <t>4,2</t>
        </is>
      </c>
      <c r="D166" s="10" t="n"/>
      <c r="E166" s="10" t="n"/>
    </row>
    <row r="167" customFormat="1" s="3">
      <c r="A167" s="9" t="inlineStr">
        <is>
          <t>Q11R31C1</t>
        </is>
      </c>
      <c r="B167" s="9">
        <f>LAI!F130</f>
        <v/>
      </c>
      <c r="C167" s="11" t="inlineStr">
        <is>
          <t>4,2</t>
        </is>
      </c>
      <c r="D167" s="10" t="n"/>
      <c r="E167" s="10" t="n"/>
    </row>
    <row r="168" customFormat="1" s="3">
      <c r="A168" s="9" t="inlineStr">
        <is>
          <t>Q11R32C1</t>
        </is>
      </c>
      <c r="B168" s="9">
        <f>LAI!F131</f>
        <v/>
      </c>
      <c r="C168" s="11" t="inlineStr">
        <is>
          <t>4,2</t>
        </is>
      </c>
      <c r="D168" s="10" t="n"/>
      <c r="E168" s="10" t="n"/>
    </row>
    <row r="169" customFormat="1" s="3">
      <c r="A169" s="9" t="inlineStr">
        <is>
          <t>Q11R33C1</t>
        </is>
      </c>
      <c r="B169" s="9">
        <f>LAI!F132</f>
        <v/>
      </c>
      <c r="C169" s="11" t="inlineStr">
        <is>
          <t>4,2</t>
        </is>
      </c>
      <c r="D169" s="10" t="n"/>
      <c r="E169" s="10" t="n"/>
    </row>
    <row r="170" customFormat="1" s="3">
      <c r="A170" s="9" t="inlineStr">
        <is>
          <t>Q11R34C1</t>
        </is>
      </c>
      <c r="B170" s="9">
        <f>LAI!F133</f>
        <v/>
      </c>
      <c r="C170" s="11" t="inlineStr">
        <is>
          <t>4,2</t>
        </is>
      </c>
      <c r="D170" s="10" t="n"/>
      <c r="E170" s="10" t="n"/>
    </row>
    <row r="171" customFormat="1" s="3">
      <c r="A171" s="9" t="inlineStr">
        <is>
          <t>Q11R35C1</t>
        </is>
      </c>
      <c r="B171" s="9">
        <f>LAI!I118</f>
        <v/>
      </c>
      <c r="C171" s="11" t="inlineStr">
        <is>
          <t>4,2</t>
        </is>
      </c>
      <c r="D171" s="10" t="n"/>
      <c r="E171" s="10" t="n"/>
    </row>
    <row r="172" customFormat="1" s="3">
      <c r="A172" s="9" t="inlineStr">
        <is>
          <t>Q11R36C1</t>
        </is>
      </c>
      <c r="B172" s="9">
        <f>LAI!I119</f>
        <v/>
      </c>
      <c r="C172" s="11" t="inlineStr">
        <is>
          <t>4,2</t>
        </is>
      </c>
      <c r="D172" s="10" t="n"/>
      <c r="E172" s="10" t="n"/>
    </row>
    <row r="173">
      <c r="A173" s="9" t="inlineStr">
        <is>
          <t>Q11R37C1</t>
        </is>
      </c>
      <c r="B173" s="9">
        <f>LAI!I120</f>
        <v/>
      </c>
      <c r="C173" s="11" t="inlineStr">
        <is>
          <t>4,2</t>
        </is>
      </c>
      <c r="D173" s="10" t="n"/>
      <c r="E173" s="10" t="n"/>
    </row>
    <row r="174">
      <c r="A174" s="9" t="inlineStr">
        <is>
          <t>Q11R38C1</t>
        </is>
      </c>
      <c r="B174" s="9">
        <f>LAI!I121</f>
        <v/>
      </c>
      <c r="C174" s="11" t="inlineStr">
        <is>
          <t>4,2</t>
        </is>
      </c>
      <c r="D174" s="10" t="n"/>
      <c r="E174" s="10" t="n"/>
    </row>
    <row r="175">
      <c r="A175" s="9" t="inlineStr">
        <is>
          <t>Q11R39C1</t>
        </is>
      </c>
      <c r="B175" s="9">
        <f>LAI!I122</f>
        <v/>
      </c>
      <c r="C175" s="11" t="inlineStr">
        <is>
          <t>4,2</t>
        </is>
      </c>
      <c r="D175" s="10" t="n"/>
      <c r="E175" s="10" t="n"/>
    </row>
    <row r="176">
      <c r="A176" s="9" t="inlineStr">
        <is>
          <t>Q11R40C1</t>
        </is>
      </c>
      <c r="B176" s="9">
        <f>LAI!I123</f>
        <v/>
      </c>
      <c r="C176" s="11" t="inlineStr">
        <is>
          <t>4,2</t>
        </is>
      </c>
      <c r="D176" s="10" t="n"/>
      <c r="E176" s="10" t="n"/>
    </row>
    <row r="177">
      <c r="A177" s="9" t="inlineStr">
        <is>
          <t>Q11R41C1</t>
        </is>
      </c>
      <c r="B177" s="9">
        <f>LAI!I124</f>
        <v/>
      </c>
      <c r="C177" s="11" t="inlineStr">
        <is>
          <t>4,2</t>
        </is>
      </c>
      <c r="D177" s="10" t="n"/>
      <c r="E177" s="10" t="n"/>
    </row>
    <row r="178">
      <c r="A178" s="9" t="inlineStr">
        <is>
          <t>Q11R42C1</t>
        </is>
      </c>
      <c r="B178" s="9">
        <f>LAI!I125</f>
        <v/>
      </c>
      <c r="C178" s="11" t="inlineStr">
        <is>
          <t>4,2</t>
        </is>
      </c>
      <c r="D178" s="10" t="n"/>
      <c r="E178" s="10" t="n"/>
    </row>
    <row r="179">
      <c r="A179" s="9" t="inlineStr">
        <is>
          <t>Q11R43C1</t>
        </is>
      </c>
      <c r="B179" s="9">
        <f>LAI!I126</f>
        <v/>
      </c>
      <c r="C179" s="11" t="inlineStr">
        <is>
          <t>4,2</t>
        </is>
      </c>
      <c r="D179" s="10" t="n"/>
      <c r="E179" s="10" t="n"/>
    </row>
    <row r="180">
      <c r="A180" s="9" t="inlineStr">
        <is>
          <t>Q11R44C1</t>
        </is>
      </c>
      <c r="B180" s="9">
        <f>LAI!I127</f>
        <v/>
      </c>
      <c r="C180" s="11" t="inlineStr">
        <is>
          <t>4,2</t>
        </is>
      </c>
      <c r="D180" s="10" t="n"/>
      <c r="E180" s="10" t="n"/>
    </row>
    <row r="181">
      <c r="A181" s="9" t="inlineStr">
        <is>
          <t>Q11R45C1</t>
        </is>
      </c>
      <c r="B181" s="9">
        <f>LAI!I128</f>
        <v/>
      </c>
      <c r="C181" s="11" t="inlineStr">
        <is>
          <t>4,2</t>
        </is>
      </c>
      <c r="D181" s="10" t="n"/>
      <c r="E181" s="10" t="n"/>
    </row>
    <row r="182">
      <c r="A182" s="9" t="inlineStr">
        <is>
          <t>Q11R46C1</t>
        </is>
      </c>
      <c r="B182" s="9">
        <f>LAI!I129</f>
        <v/>
      </c>
      <c r="C182" s="11" t="inlineStr">
        <is>
          <t>4,2</t>
        </is>
      </c>
      <c r="D182" s="10" t="n"/>
      <c r="E182" s="10" t="n"/>
    </row>
    <row r="183">
      <c r="A183" s="9" t="inlineStr">
        <is>
          <t>Q11R47C1</t>
        </is>
      </c>
      <c r="B183" s="9">
        <f>LAI!I130</f>
        <v/>
      </c>
      <c r="C183" s="11" t="inlineStr">
        <is>
          <t>4,2</t>
        </is>
      </c>
      <c r="D183" s="10" t="n"/>
      <c r="E183" s="10" t="n"/>
    </row>
    <row r="184">
      <c r="A184" s="9" t="inlineStr">
        <is>
          <t>Q11R48C1</t>
        </is>
      </c>
      <c r="B184" s="9">
        <f>LAI!I131</f>
        <v/>
      </c>
      <c r="C184" s="11" t="inlineStr">
        <is>
          <t>4,2</t>
        </is>
      </c>
      <c r="D184" s="10" t="n"/>
      <c r="E184" s="10" t="n"/>
    </row>
    <row r="185">
      <c r="A185" s="9" t="inlineStr">
        <is>
          <t>Q11R49C1</t>
        </is>
      </c>
      <c r="B185" s="9">
        <f>LAI!L118</f>
        <v/>
      </c>
      <c r="C185" s="11" t="inlineStr">
        <is>
          <t>4,2</t>
        </is>
      </c>
      <c r="D185" s="10" t="n"/>
      <c r="E185" s="10" t="n"/>
    </row>
    <row r="186">
      <c r="A186" s="9" t="inlineStr">
        <is>
          <t>Q11R50C1</t>
        </is>
      </c>
      <c r="B186" s="9">
        <f>LAI!L119</f>
        <v/>
      </c>
      <c r="C186" s="11" t="inlineStr">
        <is>
          <t>4,2</t>
        </is>
      </c>
      <c r="D186" s="10" t="n"/>
      <c r="E186" s="10" t="n"/>
    </row>
    <row r="187">
      <c r="A187" s="9" t="inlineStr">
        <is>
          <t>Q11R51C1</t>
        </is>
      </c>
      <c r="B187" s="9">
        <f>LAI!L120</f>
        <v/>
      </c>
      <c r="C187" s="11" t="inlineStr">
        <is>
          <t>4,2</t>
        </is>
      </c>
      <c r="D187" s="10" t="n"/>
      <c r="E187" s="10" t="n"/>
    </row>
    <row r="188">
      <c r="A188" s="9" t="inlineStr">
        <is>
          <t>Q11R52C1</t>
        </is>
      </c>
      <c r="B188" s="9">
        <f>LAI!L121</f>
        <v/>
      </c>
      <c r="C188" s="11" t="inlineStr">
        <is>
          <t>4,2</t>
        </is>
      </c>
      <c r="D188" s="10" t="n"/>
      <c r="E188" s="10" t="n"/>
    </row>
    <row r="189">
      <c r="A189" s="9" t="inlineStr">
        <is>
          <t>Q11R53C1</t>
        </is>
      </c>
      <c r="B189" s="9">
        <f>LAI!L122</f>
        <v/>
      </c>
      <c r="C189" s="11" t="inlineStr">
        <is>
          <t>4,2</t>
        </is>
      </c>
      <c r="D189" s="10" t="n"/>
      <c r="E189" s="10" t="n"/>
    </row>
    <row r="190">
      <c r="A190" s="9" t="inlineStr">
        <is>
          <t>Q11R54C1</t>
        </is>
      </c>
      <c r="B190" s="9">
        <f>LAI!L123</f>
        <v/>
      </c>
      <c r="C190" s="11" t="inlineStr">
        <is>
          <t>4,2</t>
        </is>
      </c>
      <c r="D190" s="10" t="n"/>
      <c r="E190" s="10" t="n"/>
    </row>
    <row r="191">
      <c r="A191" s="9" t="inlineStr">
        <is>
          <t>Q11R55C1</t>
        </is>
      </c>
      <c r="B191" s="9">
        <f>LAI!L124</f>
        <v/>
      </c>
      <c r="C191" s="11" t="inlineStr">
        <is>
          <t>4,2</t>
        </is>
      </c>
      <c r="D191" s="10" t="n"/>
      <c r="E191" s="10" t="n"/>
    </row>
    <row r="192">
      <c r="A192" s="9" t="inlineStr">
        <is>
          <t>Q11R56C1</t>
        </is>
      </c>
      <c r="B192" s="9">
        <f>LAI!L125</f>
        <v/>
      </c>
      <c r="C192" s="11" t="inlineStr">
        <is>
          <t>4,2</t>
        </is>
      </c>
      <c r="D192" s="10" t="n"/>
      <c r="E192" s="10" t="n"/>
    </row>
    <row r="193">
      <c r="A193" s="9" t="inlineStr">
        <is>
          <t>Q11R57C1</t>
        </is>
      </c>
      <c r="B193" s="9">
        <f>LAI!L126</f>
        <v/>
      </c>
      <c r="C193" s="11" t="inlineStr">
        <is>
          <t>4,2</t>
        </is>
      </c>
      <c r="D193" s="10" t="n"/>
      <c r="E193" s="10" t="n"/>
    </row>
    <row r="194">
      <c r="A194" s="9" t="inlineStr">
        <is>
          <t>Q11R58C1</t>
        </is>
      </c>
      <c r="B194" s="9">
        <f>LAI!L127</f>
        <v/>
      </c>
      <c r="C194" s="11" t="inlineStr">
        <is>
          <t>4,2</t>
        </is>
      </c>
      <c r="D194" s="10" t="n"/>
      <c r="E194" s="10" t="n"/>
    </row>
    <row r="195">
      <c r="A195" s="9" t="inlineStr">
        <is>
          <t>Q11R59C1</t>
        </is>
      </c>
      <c r="B195" s="9">
        <f>LAI!L128</f>
        <v/>
      </c>
      <c r="C195" s="11" t="inlineStr">
        <is>
          <t>4,2</t>
        </is>
      </c>
      <c r="D195" s="10" t="n"/>
      <c r="E195" s="10" t="n"/>
    </row>
    <row r="196">
      <c r="A196" s="9" t="inlineStr">
        <is>
          <t>Q11R60C1</t>
        </is>
      </c>
      <c r="B196" s="9">
        <f>LAI!L129</f>
        <v/>
      </c>
      <c r="C196" s="11" t="inlineStr">
        <is>
          <t>4,2</t>
        </is>
      </c>
      <c r="D196" s="10" t="n"/>
      <c r="E196" s="10" t="n"/>
    </row>
    <row r="197">
      <c r="A197" s="9" t="inlineStr">
        <is>
          <t>Q11R61C1</t>
        </is>
      </c>
      <c r="B197" s="9">
        <f>LAI!L130</f>
        <v/>
      </c>
      <c r="C197" s="11" t="inlineStr">
        <is>
          <t>4,2</t>
        </is>
      </c>
      <c r="D197" s="10" t="n"/>
      <c r="E197" s="10" t="n"/>
    </row>
    <row r="198">
      <c r="A198" s="9" t="inlineStr">
        <is>
          <t>Q12R1C1</t>
        </is>
      </c>
      <c r="B198" s="9">
        <f>LAI!C140</f>
        <v/>
      </c>
      <c r="C198" s="11" t="inlineStr">
        <is>
          <t>4,3</t>
        </is>
      </c>
      <c r="D198" s="10" t="n"/>
      <c r="E198" s="10" t="n"/>
    </row>
    <row r="199">
      <c r="A199" s="9" t="inlineStr">
        <is>
          <t>Q12R2C1</t>
        </is>
      </c>
      <c r="B199" s="9">
        <f>LAI!C141</f>
        <v/>
      </c>
      <c r="C199" s="11" t="inlineStr">
        <is>
          <t>4,3</t>
        </is>
      </c>
      <c r="D199" s="10" t="n"/>
      <c r="E199" s="10" t="n"/>
    </row>
    <row r="200">
      <c r="A200" s="9" t="inlineStr">
        <is>
          <t>Q12R3C1</t>
        </is>
      </c>
      <c r="B200" s="9">
        <f>LAI!C142</f>
        <v/>
      </c>
      <c r="C200" s="11" t="inlineStr">
        <is>
          <t>4,3</t>
        </is>
      </c>
      <c r="D200" s="10" t="n"/>
      <c r="E200" s="10" t="n"/>
    </row>
    <row r="201">
      <c r="A201" s="9" t="inlineStr">
        <is>
          <t>Q12R4C1</t>
        </is>
      </c>
      <c r="B201" s="9">
        <f>LAI!C143</f>
        <v/>
      </c>
      <c r="C201" s="11" t="inlineStr">
        <is>
          <t>4,3</t>
        </is>
      </c>
      <c r="D201" s="10" t="n"/>
      <c r="E201" s="10" t="n"/>
    </row>
    <row r="202">
      <c r="A202" s="9" t="inlineStr">
        <is>
          <t>Q12R5C1</t>
        </is>
      </c>
      <c r="B202" s="9">
        <f>LAI!C144</f>
        <v/>
      </c>
      <c r="C202" s="11" t="inlineStr">
        <is>
          <t>4,3</t>
        </is>
      </c>
      <c r="D202" s="10" t="n"/>
      <c r="E202" s="10" t="n"/>
    </row>
    <row r="203">
      <c r="A203" s="9" t="inlineStr">
        <is>
          <t>Q12R6C1</t>
        </is>
      </c>
      <c r="B203" s="9">
        <f>LAI!C145</f>
        <v/>
      </c>
      <c r="C203" s="11" t="inlineStr">
        <is>
          <t>4,3</t>
        </is>
      </c>
      <c r="D203" s="10" t="n"/>
      <c r="E203" s="10" t="n"/>
    </row>
    <row r="204">
      <c r="A204" s="9" t="inlineStr">
        <is>
          <t>Q12R7C1</t>
        </is>
      </c>
      <c r="B204" s="9">
        <f>LAI!G140</f>
        <v/>
      </c>
      <c r="C204" s="11" t="inlineStr">
        <is>
          <t>4,3</t>
        </is>
      </c>
      <c r="D204" s="10" t="n"/>
      <c r="E204" s="10" t="n"/>
    </row>
    <row r="205">
      <c r="A205" s="9" t="inlineStr">
        <is>
          <t>Q12R8C1</t>
        </is>
      </c>
      <c r="B205" s="9">
        <f>LAI!G141</f>
        <v/>
      </c>
      <c r="C205" s="11" t="inlineStr">
        <is>
          <t>4,3</t>
        </is>
      </c>
      <c r="D205" s="10" t="n"/>
      <c r="E205" s="10" t="n"/>
    </row>
    <row r="206">
      <c r="A206" s="9" t="inlineStr">
        <is>
          <t>Q12R9C1</t>
        </is>
      </c>
      <c r="B206" s="9">
        <f>LAI!G142</f>
        <v/>
      </c>
      <c r="C206" s="11" t="inlineStr">
        <is>
          <t>4,3</t>
        </is>
      </c>
      <c r="D206" s="10" t="n"/>
      <c r="E206" s="10" t="n"/>
    </row>
    <row r="207">
      <c r="A207" s="9" t="inlineStr">
        <is>
          <t>Q12R10C1</t>
        </is>
      </c>
      <c r="B207" s="9">
        <f>LAI!G143</f>
        <v/>
      </c>
      <c r="C207" s="11" t="inlineStr">
        <is>
          <t>4,3</t>
        </is>
      </c>
      <c r="D207" s="10" t="n"/>
      <c r="E207" s="10" t="n"/>
    </row>
    <row r="208">
      <c r="A208" s="9" t="inlineStr">
        <is>
          <t>Q12R11C1</t>
        </is>
      </c>
      <c r="B208" s="9">
        <f>LAI!G144</f>
        <v/>
      </c>
      <c r="C208" s="11" t="inlineStr">
        <is>
          <t>4,3</t>
        </is>
      </c>
      <c r="D208" s="10" t="n"/>
      <c r="E208" s="10" t="n"/>
    </row>
    <row r="209">
      <c r="A209" s="9" t="inlineStr">
        <is>
          <t>Q12R12C1</t>
        </is>
      </c>
      <c r="B209" s="9">
        <f>LAI!G145</f>
        <v/>
      </c>
      <c r="C209" s="11" t="inlineStr">
        <is>
          <t>4,3</t>
        </is>
      </c>
      <c r="D209" s="10" t="n"/>
      <c r="E209" s="10" t="n"/>
    </row>
    <row r="210">
      <c r="A210" s="9" t="inlineStr">
        <is>
          <t>Q12R13C1</t>
        </is>
      </c>
      <c r="B210" s="9">
        <f>LAI!G146</f>
        <v/>
      </c>
      <c r="C210" s="11" t="inlineStr">
        <is>
          <t>4,3</t>
        </is>
      </c>
      <c r="D210" s="10" t="n"/>
      <c r="E210" s="10" t="n"/>
    </row>
    <row r="211">
      <c r="A211" s="9" t="inlineStr">
        <is>
          <t>Q12R14C1</t>
        </is>
      </c>
      <c r="B211" s="9">
        <f>LAI!K140</f>
        <v/>
      </c>
      <c r="C211" s="11" t="inlineStr">
        <is>
          <t>4,3</t>
        </is>
      </c>
      <c r="D211" s="10" t="n"/>
      <c r="E211" s="10" t="n"/>
    </row>
    <row r="212">
      <c r="A212" s="9" t="inlineStr">
        <is>
          <t>Q12R15C1</t>
        </is>
      </c>
      <c r="B212" s="9">
        <f>LAI!K141</f>
        <v/>
      </c>
      <c r="C212" s="11" t="inlineStr">
        <is>
          <t>4,3</t>
        </is>
      </c>
      <c r="D212" s="10" t="n"/>
      <c r="E212" s="10" t="n"/>
    </row>
    <row r="213">
      <c r="A213" s="9" t="inlineStr">
        <is>
          <t>Q12R16C1</t>
        </is>
      </c>
      <c r="B213" s="9">
        <f>LAI!K142</f>
        <v/>
      </c>
      <c r="C213" s="11" t="inlineStr">
        <is>
          <t>4,3</t>
        </is>
      </c>
      <c r="D213" s="10" t="n"/>
      <c r="E213" s="10" t="n"/>
    </row>
    <row r="214">
      <c r="A214" s="9" t="inlineStr">
        <is>
          <t>Q12R17C1</t>
        </is>
      </c>
      <c r="B214" s="9">
        <f>LAI!K143</f>
        <v/>
      </c>
      <c r="C214" s="11" t="inlineStr">
        <is>
          <t>4,3</t>
        </is>
      </c>
      <c r="D214" s="10" t="n"/>
      <c r="E214" s="10" t="n"/>
    </row>
    <row r="215">
      <c r="A215" s="9" t="inlineStr">
        <is>
          <t>Q12R18C1</t>
        </is>
      </c>
      <c r="B215" s="9">
        <f>LAI!K144</f>
        <v/>
      </c>
      <c r="C215" s="11" t="inlineStr">
        <is>
          <t>4,3</t>
        </is>
      </c>
      <c r="D215" s="10" t="n"/>
      <c r="E215" s="10" t="n"/>
    </row>
    <row r="216">
      <c r="A216" s="9" t="inlineStr">
        <is>
          <t>Q12R19C1</t>
        </is>
      </c>
      <c r="B216" s="9">
        <f>LAI!K145</f>
        <v/>
      </c>
      <c r="C216" s="11" t="inlineStr">
        <is>
          <t>4,3</t>
        </is>
      </c>
      <c r="D216" s="10" t="n"/>
      <c r="E216" s="10" t="n"/>
    </row>
    <row r="217">
      <c r="A217" s="9" t="inlineStr">
        <is>
          <t>Q12R20C1</t>
        </is>
      </c>
      <c r="B217" s="9">
        <f>LAI!K146</f>
        <v/>
      </c>
      <c r="C217" s="11" t="inlineStr">
        <is>
          <t>4,3</t>
        </is>
      </c>
      <c r="D217" s="10" t="n"/>
      <c r="E217" s="10" t="n"/>
    </row>
    <row r="218">
      <c r="A218" s="9" t="inlineStr">
        <is>
          <t>Q13R1C1</t>
        </is>
      </c>
      <c r="B218" s="9">
        <f>LAI!A152</f>
        <v/>
      </c>
      <c r="C218" s="11" t="inlineStr">
        <is>
          <t>4,4</t>
        </is>
      </c>
      <c r="D218" s="10" t="n"/>
      <c r="E218" s="10" t="n"/>
    </row>
    <row r="219">
      <c r="A219" s="12" t="inlineStr">
        <is>
          <t>Q13R1C2</t>
        </is>
      </c>
      <c r="B219" s="12">
        <f>LAI!C152</f>
        <v/>
      </c>
      <c r="C219" s="13" t="inlineStr">
        <is>
          <t>4,4</t>
        </is>
      </c>
      <c r="D219" s="10" t="n"/>
      <c r="E219" s="10" t="n"/>
    </row>
    <row r="220">
      <c r="A220" s="12" t="inlineStr">
        <is>
          <t>Q13R1C3</t>
        </is>
      </c>
      <c r="B220" s="12">
        <f>LAI!E152</f>
        <v/>
      </c>
      <c r="C220" s="13" t="inlineStr">
        <is>
          <t>4,4</t>
        </is>
      </c>
      <c r="D220" s="10" t="n"/>
      <c r="E220" s="10" t="n"/>
    </row>
    <row r="221">
      <c r="A221" s="12" t="inlineStr">
        <is>
          <t>Q13R1C4</t>
        </is>
      </c>
      <c r="B221" s="12">
        <f>LAI!F152</f>
        <v/>
      </c>
      <c r="C221" s="13" t="inlineStr">
        <is>
          <t>4,4</t>
        </is>
      </c>
      <c r="D221" s="10" t="n"/>
      <c r="E221" s="10" t="n"/>
    </row>
    <row r="222">
      <c r="A222" s="12" t="inlineStr">
        <is>
          <t>Q13R1C5</t>
        </is>
      </c>
      <c r="B222" s="12">
        <f>LAI!G152</f>
        <v/>
      </c>
      <c r="C222" s="13" t="inlineStr">
        <is>
          <t>4,4</t>
        </is>
      </c>
      <c r="D222" s="10" t="n"/>
      <c r="E222" s="10" t="n"/>
    </row>
    <row r="223">
      <c r="A223" s="9" t="inlineStr">
        <is>
          <t>Q13R1C6</t>
        </is>
      </c>
      <c r="B223" s="9">
        <f>LAI!H152</f>
        <v/>
      </c>
      <c r="C223" s="11" t="inlineStr">
        <is>
          <t>4,4</t>
        </is>
      </c>
      <c r="D223" s="10" t="n"/>
      <c r="E223" s="10" t="n"/>
    </row>
    <row r="224">
      <c r="A224" s="12" t="inlineStr">
        <is>
          <t>Q14R1C1</t>
        </is>
      </c>
      <c r="B224" s="12">
        <f>LAI!A159</f>
        <v/>
      </c>
      <c r="C224" s="13" t="inlineStr">
        <is>
          <t>4.5.1</t>
        </is>
      </c>
      <c r="D224" s="10" t="n"/>
      <c r="E224" s="10" t="n"/>
    </row>
    <row r="225">
      <c r="A225" s="12" t="inlineStr">
        <is>
          <t>Q14R1C2</t>
        </is>
      </c>
      <c r="B225" s="12">
        <f>LAI!D159</f>
        <v/>
      </c>
      <c r="C225" s="13" t="inlineStr">
        <is>
          <t>4.5.1</t>
        </is>
      </c>
      <c r="D225" s="10" t="n"/>
      <c r="E225" s="10" t="n"/>
    </row>
    <row r="226">
      <c r="A226" s="12" t="inlineStr">
        <is>
          <t>Q14R1C3</t>
        </is>
      </c>
      <c r="B226" s="12">
        <f>LAI!G159</f>
        <v/>
      </c>
      <c r="C226" s="13" t="inlineStr">
        <is>
          <t>4.5.1</t>
        </is>
      </c>
      <c r="D226" s="10" t="n"/>
      <c r="E226" s="10" t="n"/>
    </row>
    <row r="227">
      <c r="A227" s="12" t="inlineStr">
        <is>
          <t>Q15R1C1</t>
        </is>
      </c>
      <c r="B227" s="12">
        <f t="array" ref="B227:B236">TRANSPOSE(LAI!C166:L166)</f>
        <v/>
      </c>
      <c r="C227" s="13" t="inlineStr">
        <is>
          <t>4.5.2</t>
        </is>
      </c>
      <c r="D227" s="10" t="n"/>
      <c r="E227" s="10" t="n"/>
    </row>
    <row r="228">
      <c r="A228" s="12" t="inlineStr">
        <is>
          <t>Q15R1C2</t>
        </is>
      </c>
      <c r="B228" s="12" t="n">
        <v>0</v>
      </c>
      <c r="C228" s="13" t="inlineStr">
        <is>
          <t>4.5.2</t>
        </is>
      </c>
      <c r="D228" s="10" t="n"/>
      <c r="E228" s="10" t="n"/>
    </row>
    <row r="229">
      <c r="A229" s="12" t="inlineStr">
        <is>
          <t>Q15R1C3</t>
        </is>
      </c>
      <c r="B229" s="12" t="n">
        <v>0</v>
      </c>
      <c r="C229" s="13" t="inlineStr">
        <is>
          <t>4.5.2</t>
        </is>
      </c>
      <c r="D229" s="10" t="n"/>
      <c r="E229" s="10" t="n"/>
    </row>
    <row r="230">
      <c r="A230" s="12" t="inlineStr">
        <is>
          <t>Q15R1C4</t>
        </is>
      </c>
      <c r="B230" s="12" t="n">
        <v>0</v>
      </c>
      <c r="C230" s="13" t="inlineStr">
        <is>
          <t>4.5.2</t>
        </is>
      </c>
      <c r="D230" s="10" t="n"/>
      <c r="E230" s="10" t="n"/>
    </row>
    <row r="231">
      <c r="A231" s="12" t="inlineStr">
        <is>
          <t>Q15R1C5</t>
        </is>
      </c>
      <c r="B231" s="12" t="n">
        <v>0</v>
      </c>
      <c r="C231" s="13" t="inlineStr">
        <is>
          <t>4.5.2</t>
        </is>
      </c>
      <c r="D231" s="10" t="n"/>
      <c r="E231" s="10" t="n"/>
    </row>
    <row r="232">
      <c r="A232" s="12" t="inlineStr">
        <is>
          <t>Q15R1C6</t>
        </is>
      </c>
      <c r="B232" s="12" t="n">
        <v>0</v>
      </c>
      <c r="C232" s="13" t="inlineStr">
        <is>
          <t>4.5.2</t>
        </is>
      </c>
      <c r="D232" s="10" t="n"/>
      <c r="E232" s="10" t="n"/>
    </row>
    <row r="233">
      <c r="A233" s="12" t="inlineStr">
        <is>
          <t>Q15R1C7</t>
        </is>
      </c>
      <c r="B233" s="12" t="n">
        <v>0</v>
      </c>
      <c r="C233" s="13" t="inlineStr">
        <is>
          <t>4.5.2</t>
        </is>
      </c>
      <c r="D233" s="10" t="n"/>
      <c r="E233" s="10" t="n"/>
    </row>
    <row r="234">
      <c r="A234" s="12" t="inlineStr">
        <is>
          <t>Q15R1C8</t>
        </is>
      </c>
      <c r="B234" s="12" t="n">
        <v>0</v>
      </c>
      <c r="C234" s="13" t="inlineStr">
        <is>
          <t>4.5.2</t>
        </is>
      </c>
      <c r="D234" s="10" t="n"/>
      <c r="E234" s="10" t="n"/>
    </row>
    <row r="235">
      <c r="A235" s="12" t="inlineStr">
        <is>
          <t>Q15R1C9</t>
        </is>
      </c>
      <c r="B235" s="12" t="n">
        <v>0</v>
      </c>
      <c r="C235" s="13" t="inlineStr">
        <is>
          <t>4.5.2</t>
        </is>
      </c>
      <c r="D235" s="10" t="n"/>
      <c r="E235" s="10" t="n"/>
    </row>
    <row r="236">
      <c r="A236" s="12" t="inlineStr">
        <is>
          <t>Q15R1C10</t>
        </is>
      </c>
      <c r="B236" s="12" t="n">
        <v>0</v>
      </c>
      <c r="C236" s="13" t="inlineStr">
        <is>
          <t>4.5.2</t>
        </is>
      </c>
      <c r="D236" s="10" t="n"/>
      <c r="E236" s="10" t="n"/>
    </row>
    <row r="237">
      <c r="A237" s="12" t="inlineStr">
        <is>
          <t>Q15R2C1</t>
        </is>
      </c>
      <c r="B237" s="12">
        <f t="array" ref="B237:B246">TRANSPOSE(LAI!C167:L167)</f>
        <v/>
      </c>
      <c r="C237" s="13" t="inlineStr">
        <is>
          <t>4.5.2</t>
        </is>
      </c>
      <c r="D237" s="10" t="n"/>
      <c r="E237" s="10" t="n"/>
    </row>
    <row r="238">
      <c r="A238" s="12" t="inlineStr">
        <is>
          <t>Q15R2C2</t>
        </is>
      </c>
      <c r="B238" s="12" t="n">
        <v>0</v>
      </c>
      <c r="C238" s="13" t="inlineStr">
        <is>
          <t>4.5.2</t>
        </is>
      </c>
      <c r="D238" s="10" t="n"/>
      <c r="E238" s="10" t="n"/>
    </row>
    <row r="239" customFormat="1" s="3">
      <c r="A239" s="12" t="inlineStr">
        <is>
          <t>Q15R2C3</t>
        </is>
      </c>
      <c r="B239" s="12" t="n">
        <v>0</v>
      </c>
      <c r="C239" s="13" t="inlineStr">
        <is>
          <t>4.5.2</t>
        </is>
      </c>
      <c r="D239" s="10" t="n"/>
      <c r="E239" s="10" t="n"/>
    </row>
    <row r="240" customFormat="1" s="3">
      <c r="A240" s="12" t="inlineStr">
        <is>
          <t>Q15R2C4</t>
        </is>
      </c>
      <c r="B240" s="12" t="n">
        <v>0</v>
      </c>
      <c r="C240" s="13" t="inlineStr">
        <is>
          <t>4.5.2</t>
        </is>
      </c>
      <c r="D240" s="10" t="n"/>
      <c r="E240" s="10" t="n"/>
    </row>
    <row r="241" customFormat="1" s="3">
      <c r="A241" s="12" t="inlineStr">
        <is>
          <t>Q15R2C5</t>
        </is>
      </c>
      <c r="B241" s="12" t="n">
        <v>0</v>
      </c>
      <c r="C241" s="13" t="inlineStr">
        <is>
          <t>4.5.2</t>
        </is>
      </c>
      <c r="D241" s="10" t="n"/>
      <c r="E241" s="10" t="n"/>
    </row>
    <row r="242" customFormat="1" s="3">
      <c r="A242" s="12" t="inlineStr">
        <is>
          <t>Q15R2C6</t>
        </is>
      </c>
      <c r="B242" s="12" t="n">
        <v>0</v>
      </c>
      <c r="C242" s="13" t="inlineStr">
        <is>
          <t>4.5.2</t>
        </is>
      </c>
      <c r="D242" s="10" t="n"/>
      <c r="E242" s="10" t="n"/>
    </row>
    <row r="243" customFormat="1" s="3">
      <c r="A243" s="12" t="inlineStr">
        <is>
          <t>Q15R2C7</t>
        </is>
      </c>
      <c r="B243" s="12" t="n">
        <v>0</v>
      </c>
      <c r="C243" s="13" t="inlineStr">
        <is>
          <t>4.5.2</t>
        </is>
      </c>
      <c r="D243" s="10" t="n"/>
      <c r="E243" s="10" t="n"/>
    </row>
    <row r="244" customFormat="1" s="3">
      <c r="A244" s="12" t="inlineStr">
        <is>
          <t>Q15R2C8</t>
        </is>
      </c>
      <c r="B244" s="12" t="n">
        <v>0</v>
      </c>
      <c r="C244" s="13" t="inlineStr">
        <is>
          <t>4.5.2</t>
        </is>
      </c>
      <c r="D244" s="10" t="n"/>
      <c r="E244" s="10" t="n"/>
    </row>
    <row r="245" customFormat="1" s="3">
      <c r="A245" s="12" t="inlineStr">
        <is>
          <t>Q15R2C9</t>
        </is>
      </c>
      <c r="B245" s="12" t="n">
        <v>0</v>
      </c>
      <c r="C245" s="13" t="inlineStr">
        <is>
          <t>4.5.2</t>
        </is>
      </c>
      <c r="D245" s="10" t="n"/>
      <c r="E245" s="10" t="n"/>
    </row>
    <row r="246" customFormat="1" s="3">
      <c r="A246" s="12" t="inlineStr">
        <is>
          <t>Q15R2C10</t>
        </is>
      </c>
      <c r="B246" s="12" t="n">
        <v>0</v>
      </c>
      <c r="C246" s="13" t="inlineStr">
        <is>
          <t>4.5.2</t>
        </is>
      </c>
      <c r="D246" s="10" t="n"/>
      <c r="E246" s="10" t="n"/>
    </row>
    <row r="247" customFormat="1" s="3">
      <c r="A247" s="12" t="inlineStr">
        <is>
          <t>Q15R3C1</t>
        </is>
      </c>
      <c r="B247" s="12">
        <f t="array" ref="B247:B256">TRANSPOSE(LAI!C168:L168)</f>
        <v/>
      </c>
      <c r="C247" s="13" t="inlineStr">
        <is>
          <t>4.5.2</t>
        </is>
      </c>
      <c r="D247" s="10" t="n"/>
      <c r="E247" s="10" t="n"/>
    </row>
    <row r="248" customFormat="1" s="3">
      <c r="A248" s="12" t="inlineStr">
        <is>
          <t>Q15R3C2</t>
        </is>
      </c>
      <c r="B248" s="12" t="n">
        <v>0</v>
      </c>
      <c r="C248" s="13" t="inlineStr">
        <is>
          <t>4.5.2</t>
        </is>
      </c>
      <c r="D248" s="10" t="n"/>
      <c r="E248" s="10" t="n"/>
    </row>
    <row r="249" customFormat="1" s="3">
      <c r="A249" s="12" t="inlineStr">
        <is>
          <t>Q15R3C3</t>
        </is>
      </c>
      <c r="B249" s="12" t="n">
        <v>0</v>
      </c>
      <c r="C249" s="13" t="inlineStr">
        <is>
          <t>4.5.2</t>
        </is>
      </c>
      <c r="D249" s="10" t="n"/>
      <c r="E249" s="10" t="n"/>
    </row>
    <row r="250" customFormat="1" s="3">
      <c r="A250" s="12" t="inlineStr">
        <is>
          <t>Q15R3C4</t>
        </is>
      </c>
      <c r="B250" s="12" t="n">
        <v>0</v>
      </c>
      <c r="C250" s="13" t="inlineStr">
        <is>
          <t>4.5.2</t>
        </is>
      </c>
      <c r="D250" s="10" t="n"/>
      <c r="E250" s="10" t="n"/>
    </row>
    <row r="251" customFormat="1" s="3">
      <c r="A251" s="12" t="inlineStr">
        <is>
          <t>Q15R3C5</t>
        </is>
      </c>
      <c r="B251" s="12" t="n">
        <v>0</v>
      </c>
      <c r="C251" s="13" t="inlineStr">
        <is>
          <t>4.5.2</t>
        </is>
      </c>
      <c r="D251" s="10" t="n"/>
      <c r="E251" s="10" t="n"/>
    </row>
    <row r="252" customFormat="1" s="3">
      <c r="A252" s="12" t="inlineStr">
        <is>
          <t>Q15R3C6</t>
        </is>
      </c>
      <c r="B252" s="12" t="n">
        <v>0</v>
      </c>
      <c r="C252" s="13" t="inlineStr">
        <is>
          <t>4.5.2</t>
        </is>
      </c>
      <c r="D252" s="10" t="n"/>
      <c r="E252" s="10" t="n"/>
    </row>
    <row r="253" customFormat="1" s="3">
      <c r="A253" s="12" t="inlineStr">
        <is>
          <t>Q15R3C7</t>
        </is>
      </c>
      <c r="B253" s="12" t="n">
        <v>0</v>
      </c>
      <c r="C253" s="13" t="inlineStr">
        <is>
          <t>4.5.2</t>
        </is>
      </c>
      <c r="D253" s="10" t="n"/>
      <c r="E253" s="10" t="n"/>
    </row>
    <row r="254" customFormat="1" s="3">
      <c r="A254" s="12" t="inlineStr">
        <is>
          <t>Q15R3C8</t>
        </is>
      </c>
      <c r="B254" s="12" t="n">
        <v>0</v>
      </c>
      <c r="C254" s="13" t="inlineStr">
        <is>
          <t>4.5.2</t>
        </is>
      </c>
      <c r="D254" s="10" t="n"/>
      <c r="E254" s="10" t="n"/>
    </row>
    <row r="255" customFormat="1" s="3">
      <c r="A255" s="12" t="inlineStr">
        <is>
          <t>Q15R3C9</t>
        </is>
      </c>
      <c r="B255" s="12" t="n">
        <v>0</v>
      </c>
      <c r="C255" s="13" t="inlineStr">
        <is>
          <t>4.5.2</t>
        </is>
      </c>
      <c r="D255" s="10" t="n"/>
      <c r="E255" s="10" t="n"/>
    </row>
    <row r="256" customFormat="1" s="3">
      <c r="A256" s="12" t="inlineStr">
        <is>
          <t>Q15R3C10</t>
        </is>
      </c>
      <c r="B256" s="12" t="n">
        <v>0</v>
      </c>
      <c r="C256" s="13" t="inlineStr">
        <is>
          <t>4.5.2</t>
        </is>
      </c>
      <c r="D256" s="10" t="n"/>
      <c r="E256" s="10" t="n"/>
    </row>
    <row r="257" customFormat="1" s="3">
      <c r="A257" s="12" t="inlineStr">
        <is>
          <t>Q15R4C1</t>
        </is>
      </c>
      <c r="B257" s="12">
        <f t="array" ref="B257:B266">TRANSPOSE(LAI!C169:L169)</f>
        <v/>
      </c>
      <c r="C257" s="13" t="inlineStr">
        <is>
          <t>4.5.2</t>
        </is>
      </c>
      <c r="D257" s="10" t="n"/>
      <c r="E257" s="10" t="n"/>
    </row>
    <row r="258" customFormat="1" s="3">
      <c r="A258" s="12" t="inlineStr">
        <is>
          <t>Q15R4C2</t>
        </is>
      </c>
      <c r="B258" s="12" t="n">
        <v>0</v>
      </c>
      <c r="C258" s="13" t="inlineStr">
        <is>
          <t>4.5.2</t>
        </is>
      </c>
      <c r="D258" s="10" t="n"/>
      <c r="E258" s="10" t="n"/>
    </row>
    <row r="259" customFormat="1" s="3">
      <c r="A259" s="12" t="inlineStr">
        <is>
          <t>Q15R4C3</t>
        </is>
      </c>
      <c r="B259" s="12" t="n">
        <v>0</v>
      </c>
      <c r="C259" s="13" t="inlineStr">
        <is>
          <t>4.5.2</t>
        </is>
      </c>
      <c r="D259" s="10" t="n"/>
      <c r="E259" s="10" t="n"/>
    </row>
    <row r="260" customFormat="1" s="3">
      <c r="A260" s="12" t="inlineStr">
        <is>
          <t>Q15R4C4</t>
        </is>
      </c>
      <c r="B260" s="12" t="n">
        <v>0</v>
      </c>
      <c r="C260" s="13" t="inlineStr">
        <is>
          <t>4.5.2</t>
        </is>
      </c>
      <c r="D260" s="10" t="n"/>
      <c r="E260" s="10" t="n"/>
    </row>
    <row r="261" customFormat="1" s="3">
      <c r="A261" s="12" t="inlineStr">
        <is>
          <t>Q15R4C5</t>
        </is>
      </c>
      <c r="B261" s="12" t="n">
        <v>0</v>
      </c>
      <c r="C261" s="13" t="inlineStr">
        <is>
          <t>4.5.2</t>
        </is>
      </c>
      <c r="D261" s="10" t="n"/>
      <c r="E261" s="10" t="n"/>
    </row>
    <row r="262" customFormat="1" s="3">
      <c r="A262" s="12" t="inlineStr">
        <is>
          <t>Q15R4C6</t>
        </is>
      </c>
      <c r="B262" s="12" t="n">
        <v>0</v>
      </c>
      <c r="C262" s="13" t="inlineStr">
        <is>
          <t>4.5.2</t>
        </is>
      </c>
      <c r="D262" s="10" t="n"/>
      <c r="E262" s="10" t="n"/>
    </row>
    <row r="263" customFormat="1" s="3">
      <c r="A263" s="12" t="inlineStr">
        <is>
          <t>Q15R4C7</t>
        </is>
      </c>
      <c r="B263" s="12" t="n">
        <v>0</v>
      </c>
      <c r="C263" s="13" t="inlineStr">
        <is>
          <t>4.5.2</t>
        </is>
      </c>
      <c r="D263" s="10" t="n"/>
      <c r="E263" s="10" t="n"/>
    </row>
    <row r="264" customFormat="1" s="3">
      <c r="A264" s="12" t="inlineStr">
        <is>
          <t>Q15R4C8</t>
        </is>
      </c>
      <c r="B264" s="12" t="n">
        <v>0</v>
      </c>
      <c r="C264" s="13" t="inlineStr">
        <is>
          <t>4.5.2</t>
        </is>
      </c>
      <c r="D264" s="10" t="n"/>
      <c r="E264" s="10" t="n"/>
    </row>
    <row r="265">
      <c r="A265" s="12" t="inlineStr">
        <is>
          <t>Q15R4C9</t>
        </is>
      </c>
      <c r="B265" s="12" t="n">
        <v>0</v>
      </c>
      <c r="C265" s="13" t="inlineStr">
        <is>
          <t>4.5.2</t>
        </is>
      </c>
      <c r="D265" s="10" t="n"/>
      <c r="E265" s="10" t="n"/>
    </row>
    <row r="266">
      <c r="A266" s="12" t="inlineStr">
        <is>
          <t>Q15R4C10</t>
        </is>
      </c>
      <c r="B266" s="12" t="n">
        <v>0</v>
      </c>
      <c r="C266" s="13" t="inlineStr">
        <is>
          <t>4.5.2</t>
        </is>
      </c>
      <c r="D266" s="10" t="n"/>
      <c r="E266" s="10" t="n"/>
    </row>
    <row r="267">
      <c r="A267" s="12" t="inlineStr">
        <is>
          <t>Q15R5C1</t>
        </is>
      </c>
      <c r="B267" s="12">
        <f t="array" ref="B267:B276">TRANSPOSE(LAI!C170:L170)</f>
        <v/>
      </c>
      <c r="C267" s="13" t="inlineStr">
        <is>
          <t>4.5.2</t>
        </is>
      </c>
      <c r="D267" s="10" t="n"/>
      <c r="E267" s="10" t="n"/>
    </row>
    <row r="268">
      <c r="A268" s="12" t="inlineStr">
        <is>
          <t>Q15R5C2</t>
        </is>
      </c>
      <c r="B268" s="12" t="n">
        <v>0</v>
      </c>
      <c r="C268" s="13" t="inlineStr">
        <is>
          <t>4.5.2</t>
        </is>
      </c>
      <c r="D268" s="10" t="n"/>
      <c r="E268" s="10" t="n"/>
    </row>
    <row r="269">
      <c r="A269" s="12" t="inlineStr">
        <is>
          <t>Q15R5C3</t>
        </is>
      </c>
      <c r="B269" s="12" t="n">
        <v>0</v>
      </c>
      <c r="C269" s="13" t="inlineStr">
        <is>
          <t>4.5.2</t>
        </is>
      </c>
      <c r="D269" s="10" t="n"/>
      <c r="E269" s="10" t="n"/>
    </row>
    <row r="270" customFormat="1" s="3">
      <c r="A270" s="12" t="inlineStr">
        <is>
          <t>Q15R5C4</t>
        </is>
      </c>
      <c r="B270" s="12" t="n">
        <v>0</v>
      </c>
      <c r="C270" s="13" t="inlineStr">
        <is>
          <t>4.5.2</t>
        </is>
      </c>
      <c r="D270" s="10" t="n"/>
      <c r="E270" s="10" t="n"/>
    </row>
    <row r="271" customFormat="1" s="3">
      <c r="A271" s="12" t="inlineStr">
        <is>
          <t>Q15R5C5</t>
        </is>
      </c>
      <c r="B271" s="12" t="n">
        <v>0</v>
      </c>
      <c r="C271" s="13" t="inlineStr">
        <is>
          <t>4.5.2</t>
        </is>
      </c>
      <c r="D271" s="10" t="n"/>
      <c r="E271" s="10" t="n"/>
    </row>
    <row r="272" customFormat="1" s="3">
      <c r="A272" s="12" t="inlineStr">
        <is>
          <t>Q15R5C6</t>
        </is>
      </c>
      <c r="B272" s="12" t="n">
        <v>0</v>
      </c>
      <c r="C272" s="13" t="inlineStr">
        <is>
          <t>4.5.2</t>
        </is>
      </c>
      <c r="D272" s="10" t="n"/>
      <c r="E272" s="10" t="n"/>
    </row>
    <row r="273" customFormat="1" s="3">
      <c r="A273" s="12" t="inlineStr">
        <is>
          <t>Q15R5C7</t>
        </is>
      </c>
      <c r="B273" s="12" t="n">
        <v>0</v>
      </c>
      <c r="C273" s="13" t="inlineStr">
        <is>
          <t>4.5.2</t>
        </is>
      </c>
      <c r="D273" s="10" t="n"/>
      <c r="E273" s="10" t="n"/>
    </row>
    <row r="274" customFormat="1" s="3">
      <c r="A274" s="12" t="inlineStr">
        <is>
          <t>Q15R5C8</t>
        </is>
      </c>
      <c r="B274" s="12" t="n">
        <v>0</v>
      </c>
      <c r="C274" s="13" t="inlineStr">
        <is>
          <t>4.5.2</t>
        </is>
      </c>
      <c r="D274" s="10" t="n"/>
      <c r="E274" s="10" t="n"/>
    </row>
    <row r="275" customFormat="1" s="3">
      <c r="A275" s="12" t="inlineStr">
        <is>
          <t>Q15R5C9</t>
        </is>
      </c>
      <c r="B275" s="12" t="n">
        <v>0</v>
      </c>
      <c r="C275" s="13" t="inlineStr">
        <is>
          <t>4.5.2</t>
        </is>
      </c>
      <c r="D275" s="10" t="n"/>
      <c r="E275" s="10" t="n"/>
    </row>
    <row r="276" customFormat="1" s="3">
      <c r="A276" s="12" t="inlineStr">
        <is>
          <t>Q15R5C10</t>
        </is>
      </c>
      <c r="B276" s="12" t="n">
        <v>0</v>
      </c>
      <c r="C276" s="13" t="inlineStr">
        <is>
          <t>4.5.2</t>
        </is>
      </c>
      <c r="D276" s="10" t="n"/>
      <c r="E276" s="10" t="n"/>
    </row>
    <row r="277" customFormat="1" s="3">
      <c r="A277" s="12" t="inlineStr">
        <is>
          <t>Q15R6C1</t>
        </is>
      </c>
      <c r="B277" s="12">
        <f t="array" ref="B277:B286">TRANSPOSE(LAI!C171:L171)</f>
        <v/>
      </c>
      <c r="C277" s="13" t="inlineStr">
        <is>
          <t>4.5.2</t>
        </is>
      </c>
      <c r="D277" s="10" t="n"/>
      <c r="E277" s="10" t="n"/>
    </row>
    <row r="278" customFormat="1" s="3">
      <c r="A278" s="12" t="inlineStr">
        <is>
          <t>Q15R6C2</t>
        </is>
      </c>
      <c r="B278" s="12" t="n">
        <v>0</v>
      </c>
      <c r="C278" s="13" t="inlineStr">
        <is>
          <t>4.5.2</t>
        </is>
      </c>
      <c r="D278" s="10" t="n"/>
      <c r="E278" s="10" t="n"/>
    </row>
    <row r="279" customFormat="1" s="3">
      <c r="A279" s="12" t="inlineStr">
        <is>
          <t>Q15R6C3</t>
        </is>
      </c>
      <c r="B279" s="12" t="n">
        <v>0</v>
      </c>
      <c r="C279" s="13" t="inlineStr">
        <is>
          <t>4.5.2</t>
        </is>
      </c>
      <c r="D279" s="10" t="n"/>
      <c r="E279" s="10" t="n"/>
    </row>
    <row r="280" customFormat="1" s="3">
      <c r="A280" s="12" t="inlineStr">
        <is>
          <t>Q15R6C4</t>
        </is>
      </c>
      <c r="B280" s="12" t="n">
        <v>0</v>
      </c>
      <c r="C280" s="13" t="inlineStr">
        <is>
          <t>4.5.2</t>
        </is>
      </c>
      <c r="D280" s="10" t="n"/>
      <c r="E280" s="10" t="n"/>
    </row>
    <row r="281" customFormat="1" s="3">
      <c r="A281" s="12" t="inlineStr">
        <is>
          <t>Q15R6C5</t>
        </is>
      </c>
      <c r="B281" s="12" t="n">
        <v>0</v>
      </c>
      <c r="C281" s="13" t="inlineStr">
        <is>
          <t>4.5.2</t>
        </is>
      </c>
      <c r="D281" s="10" t="n"/>
      <c r="E281" s="10" t="n"/>
    </row>
    <row r="282" customFormat="1" s="3">
      <c r="A282" s="12" t="inlineStr">
        <is>
          <t>Q15R6C6</t>
        </is>
      </c>
      <c r="B282" s="12" t="n">
        <v>0</v>
      </c>
      <c r="C282" s="13" t="inlineStr">
        <is>
          <t>4.5.2</t>
        </is>
      </c>
      <c r="D282" s="10" t="n"/>
      <c r="E282" s="10" t="n"/>
    </row>
    <row r="283" customFormat="1" s="3">
      <c r="A283" s="12" t="inlineStr">
        <is>
          <t>Q15R6C7</t>
        </is>
      </c>
      <c r="B283" s="12" t="n">
        <v>0</v>
      </c>
      <c r="C283" s="13" t="inlineStr">
        <is>
          <t>4.5.2</t>
        </is>
      </c>
      <c r="D283" s="10" t="n"/>
      <c r="E283" s="10" t="n"/>
    </row>
    <row r="284">
      <c r="A284" s="12" t="inlineStr">
        <is>
          <t>Q15R6C8</t>
        </is>
      </c>
      <c r="B284" s="12" t="n">
        <v>0</v>
      </c>
      <c r="C284" s="13" t="inlineStr">
        <is>
          <t>4.5.2</t>
        </is>
      </c>
      <c r="D284" s="10" t="n"/>
      <c r="E284" s="10" t="n"/>
    </row>
    <row r="285">
      <c r="A285" s="12" t="inlineStr">
        <is>
          <t>Q15R6C9</t>
        </is>
      </c>
      <c r="B285" s="12" t="n">
        <v>0</v>
      </c>
      <c r="C285" s="13" t="inlineStr">
        <is>
          <t>4.5.2</t>
        </is>
      </c>
      <c r="D285" s="10" t="n"/>
      <c r="E285" s="10" t="n"/>
    </row>
    <row r="286">
      <c r="A286" s="12" t="inlineStr">
        <is>
          <t>Q15R6C10</t>
        </is>
      </c>
      <c r="B286" s="12" t="n">
        <v>0</v>
      </c>
      <c r="C286" s="13" t="inlineStr">
        <is>
          <t>4.5.2</t>
        </is>
      </c>
      <c r="D286" s="10" t="n"/>
      <c r="E286" s="10" t="n"/>
    </row>
    <row r="287">
      <c r="A287" s="12" t="inlineStr">
        <is>
          <t>Q15R7C1</t>
        </is>
      </c>
      <c r="B287" s="12">
        <f t="array" ref="B287:B296">TRANSPOSE(LAI!C172:L172)</f>
        <v/>
      </c>
      <c r="C287" s="13" t="inlineStr">
        <is>
          <t>4.5.2</t>
        </is>
      </c>
      <c r="D287" s="10" t="n"/>
      <c r="E287" s="10" t="n"/>
    </row>
    <row r="288" customFormat="1" s="5">
      <c r="A288" s="12" t="inlineStr">
        <is>
          <t>Q15R7C2</t>
        </is>
      </c>
      <c r="B288" s="12" t="n">
        <v>0</v>
      </c>
      <c r="C288" s="13" t="inlineStr">
        <is>
          <t>4.5.2</t>
        </is>
      </c>
      <c r="D288" s="10" t="n"/>
      <c r="E288" s="10" t="n"/>
    </row>
    <row r="289" customFormat="1" s="5">
      <c r="A289" s="12" t="inlineStr">
        <is>
          <t>Q15R7C3</t>
        </is>
      </c>
      <c r="B289" s="12" t="n">
        <v>0</v>
      </c>
      <c r="C289" s="13" t="inlineStr">
        <is>
          <t>4.5.2</t>
        </is>
      </c>
      <c r="D289" s="10" t="n"/>
      <c r="E289" s="10" t="n"/>
    </row>
    <row r="290" customFormat="1" s="5">
      <c r="A290" s="12" t="inlineStr">
        <is>
          <t>Q15R7C4</t>
        </is>
      </c>
      <c r="B290" s="12" t="n">
        <v>0</v>
      </c>
      <c r="C290" s="13" t="inlineStr">
        <is>
          <t>4.5.2</t>
        </is>
      </c>
      <c r="D290" s="10" t="n"/>
      <c r="E290" s="10" t="n"/>
    </row>
    <row r="291" customFormat="1" s="5">
      <c r="A291" s="12" t="inlineStr">
        <is>
          <t>Q15R7C5</t>
        </is>
      </c>
      <c r="B291" s="12" t="n">
        <v>0</v>
      </c>
      <c r="C291" s="13" t="inlineStr">
        <is>
          <t>4.5.2</t>
        </is>
      </c>
      <c r="D291" s="10" t="n"/>
      <c r="E291" s="10" t="n"/>
    </row>
    <row r="292" customFormat="1" s="5">
      <c r="A292" s="12" t="inlineStr">
        <is>
          <t>Q15R7C6</t>
        </is>
      </c>
      <c r="B292" s="12" t="n">
        <v>0</v>
      </c>
      <c r="C292" s="13" t="inlineStr">
        <is>
          <t>4.5.2</t>
        </is>
      </c>
      <c r="D292" s="10" t="n"/>
      <c r="E292" s="10" t="n"/>
    </row>
    <row r="293" customFormat="1" s="5">
      <c r="A293" s="12" t="inlineStr">
        <is>
          <t>Q15R7C7</t>
        </is>
      </c>
      <c r="B293" s="12" t="n">
        <v>0</v>
      </c>
      <c r="C293" s="13" t="inlineStr">
        <is>
          <t>4.5.2</t>
        </is>
      </c>
      <c r="D293" s="10" t="n"/>
      <c r="E293" s="10" t="n"/>
    </row>
    <row r="294" customFormat="1" s="5">
      <c r="A294" s="12" t="inlineStr">
        <is>
          <t>Q15R7C8</t>
        </is>
      </c>
      <c r="B294" s="12" t="n">
        <v>0</v>
      </c>
      <c r="C294" s="13" t="inlineStr">
        <is>
          <t>4.5.2</t>
        </is>
      </c>
      <c r="D294" s="10" t="n"/>
      <c r="E294" s="10" t="n"/>
    </row>
    <row r="295" customFormat="1" s="5">
      <c r="A295" s="12" t="inlineStr">
        <is>
          <t>Q15R7C9</t>
        </is>
      </c>
      <c r="B295" s="12" t="n">
        <v>0</v>
      </c>
      <c r="C295" s="13" t="inlineStr">
        <is>
          <t>4.5.2</t>
        </is>
      </c>
      <c r="D295" s="10" t="n"/>
      <c r="E295" s="10" t="n"/>
    </row>
    <row r="296" customFormat="1" s="5">
      <c r="A296" s="12" t="inlineStr">
        <is>
          <t>Q15R7C10</t>
        </is>
      </c>
      <c r="B296" s="12" t="n">
        <v>0</v>
      </c>
      <c r="C296" s="13" t="inlineStr">
        <is>
          <t>4.5.2</t>
        </is>
      </c>
      <c r="D296" s="10" t="n"/>
      <c r="E296" s="10" t="n"/>
    </row>
    <row r="297" customFormat="1" s="5">
      <c r="A297" s="12" t="inlineStr">
        <is>
          <t>Q16R1C1</t>
        </is>
      </c>
      <c r="B297" s="12">
        <f>LAI!A178</f>
        <v/>
      </c>
      <c r="C297" s="13" t="inlineStr">
        <is>
          <t>4.5.3</t>
        </is>
      </c>
      <c r="D297" s="10" t="n"/>
      <c r="E297" s="10" t="n"/>
    </row>
    <row r="298" customFormat="1" s="5">
      <c r="A298" s="12" t="inlineStr">
        <is>
          <t>Q16R1C2</t>
        </is>
      </c>
      <c r="B298" s="12">
        <f>LAI!D178</f>
        <v/>
      </c>
      <c r="C298" s="13" t="inlineStr">
        <is>
          <t>4.5.3</t>
        </is>
      </c>
      <c r="D298" s="10" t="n"/>
      <c r="E298" s="10" t="n"/>
    </row>
    <row r="299" customFormat="1" s="5">
      <c r="A299" s="12" t="inlineStr">
        <is>
          <t>Q16R1C3</t>
        </is>
      </c>
      <c r="B299" s="12">
        <f>LAI!G178</f>
        <v/>
      </c>
      <c r="C299" s="13" t="inlineStr">
        <is>
          <t>4.5.3</t>
        </is>
      </c>
      <c r="D299" s="10" t="n"/>
      <c r="E299" s="10" t="n"/>
    </row>
    <row r="300" customFormat="1" s="5">
      <c r="A300" s="12" t="inlineStr">
        <is>
          <t>Q17R1C1</t>
        </is>
      </c>
      <c r="B300" s="12">
        <f>LAI!C184</f>
        <v/>
      </c>
      <c r="C300" s="13" t="inlineStr">
        <is>
          <t>4.5.4</t>
        </is>
      </c>
      <c r="D300" s="10" t="n"/>
      <c r="E300" s="10" t="n"/>
    </row>
    <row r="301" customFormat="1" s="5">
      <c r="A301" s="12" t="inlineStr">
        <is>
          <t>Q17R1C2</t>
        </is>
      </c>
      <c r="B301" s="12">
        <f>LAI!D184</f>
        <v/>
      </c>
      <c r="C301" s="13" t="inlineStr">
        <is>
          <t>4.5.4</t>
        </is>
      </c>
      <c r="D301" s="10" t="n"/>
      <c r="E301" s="10" t="n"/>
    </row>
    <row r="302" customFormat="1" s="5">
      <c r="A302" s="12" t="inlineStr">
        <is>
          <t>Q17R1C3</t>
        </is>
      </c>
      <c r="B302" s="12">
        <f>LAI!F184</f>
        <v/>
      </c>
      <c r="C302" s="13" t="inlineStr">
        <is>
          <t>4.5.4</t>
        </is>
      </c>
      <c r="D302" s="10" t="n"/>
      <c r="E302" s="10" t="n"/>
    </row>
    <row r="303" customFormat="1" s="5">
      <c r="A303" s="12" t="inlineStr">
        <is>
          <t>Q17R1C4</t>
        </is>
      </c>
      <c r="B303" s="12">
        <f>LAI!G184</f>
        <v/>
      </c>
      <c r="C303" s="13" t="inlineStr">
        <is>
          <t>4.5.4</t>
        </is>
      </c>
      <c r="D303" s="10" t="n"/>
      <c r="E303" s="10" t="n"/>
    </row>
    <row r="304" customFormat="1" s="5">
      <c r="A304" s="12" t="inlineStr">
        <is>
          <t>Q17R1C5</t>
        </is>
      </c>
      <c r="B304" s="12">
        <f>LAI!I184</f>
        <v/>
      </c>
      <c r="C304" s="13" t="inlineStr">
        <is>
          <t>4.5.4</t>
        </is>
      </c>
      <c r="D304" s="10" t="n"/>
      <c r="E304" s="10" t="n"/>
    </row>
    <row r="305" customFormat="1" s="5">
      <c r="A305" s="12" t="inlineStr">
        <is>
          <t>Q17R1C6</t>
        </is>
      </c>
      <c r="B305" s="12">
        <f>LAI!J184</f>
        <v/>
      </c>
      <c r="C305" s="13" t="inlineStr">
        <is>
          <t>4.5.4</t>
        </is>
      </c>
      <c r="D305" s="10" t="n"/>
      <c r="E305" s="10" t="n"/>
    </row>
    <row r="306" customFormat="1" s="5">
      <c r="A306" s="12" t="inlineStr">
        <is>
          <t>Q17R2C1</t>
        </is>
      </c>
      <c r="B306" s="12">
        <f>LAI!C185</f>
        <v/>
      </c>
      <c r="C306" s="13" t="inlineStr">
        <is>
          <t>4.5.4</t>
        </is>
      </c>
      <c r="D306" s="10" t="n"/>
      <c r="E306" s="10" t="n"/>
    </row>
    <row r="307" customFormat="1" s="5">
      <c r="A307" s="12" t="inlineStr">
        <is>
          <t>Q17R2C2</t>
        </is>
      </c>
      <c r="B307" s="14">
        <f>LAI!D185</f>
        <v/>
      </c>
      <c r="C307" s="13" t="inlineStr">
        <is>
          <t>4.5.4</t>
        </is>
      </c>
      <c r="D307" s="10" t="n"/>
      <c r="E307" s="10" t="n"/>
    </row>
    <row r="308" customFormat="1" s="5">
      <c r="A308" s="12" t="inlineStr">
        <is>
          <t>Q17R2C3</t>
        </is>
      </c>
      <c r="B308" s="12">
        <f>LAI!F185</f>
        <v/>
      </c>
      <c r="C308" s="13" t="inlineStr">
        <is>
          <t>4.5.4</t>
        </is>
      </c>
      <c r="D308" s="10" t="n"/>
      <c r="E308" s="10" t="n"/>
    </row>
    <row r="309" customFormat="1" s="5">
      <c r="A309" s="12" t="inlineStr">
        <is>
          <t>Q17R2C4</t>
        </is>
      </c>
      <c r="B309" s="12">
        <f>LAI!G185</f>
        <v/>
      </c>
      <c r="C309" s="13" t="inlineStr">
        <is>
          <t>4.5.4</t>
        </is>
      </c>
      <c r="D309" s="10" t="n"/>
      <c r="E309" s="10" t="n"/>
    </row>
    <row r="310" customFormat="1" s="5">
      <c r="A310" s="12" t="inlineStr">
        <is>
          <t>Q17R2C5</t>
        </is>
      </c>
      <c r="B310" s="12">
        <f>LAI!I185</f>
        <v/>
      </c>
      <c r="C310" s="13" t="inlineStr">
        <is>
          <t>4.5.4</t>
        </is>
      </c>
      <c r="D310" s="10" t="n"/>
      <c r="E310" s="10" t="n"/>
    </row>
    <row r="311" customFormat="1" s="5">
      <c r="A311" s="12" t="inlineStr">
        <is>
          <t>Q17R2C6</t>
        </is>
      </c>
      <c r="B311" s="12">
        <f>LAI!J185</f>
        <v/>
      </c>
      <c r="C311" s="13" t="inlineStr">
        <is>
          <t>4.5.4</t>
        </is>
      </c>
      <c r="D311" s="10" t="n"/>
      <c r="E311" s="10" t="n"/>
    </row>
    <row r="312">
      <c r="A312" s="12" t="inlineStr">
        <is>
          <t>Q17R3C1</t>
        </is>
      </c>
      <c r="B312" s="12">
        <f>LAI!C186</f>
        <v/>
      </c>
      <c r="C312" s="13" t="inlineStr">
        <is>
          <t>4.5.4</t>
        </is>
      </c>
      <c r="D312" s="10" t="n"/>
      <c r="E312" s="10" t="n"/>
    </row>
    <row r="313">
      <c r="A313" s="12" t="inlineStr">
        <is>
          <t>Q17R3C2</t>
        </is>
      </c>
      <c r="B313" s="12">
        <f>LAI!D186</f>
        <v/>
      </c>
      <c r="C313" s="13" t="inlineStr">
        <is>
          <t>4.5.4</t>
        </is>
      </c>
      <c r="D313" s="10" t="n"/>
      <c r="E313" s="10" t="n"/>
    </row>
    <row r="314">
      <c r="A314" s="12" t="inlineStr">
        <is>
          <t>Q17R3C3</t>
        </is>
      </c>
      <c r="B314" s="12">
        <f>LAI!F186</f>
        <v/>
      </c>
      <c r="C314" s="13" t="inlineStr">
        <is>
          <t>4.5.4</t>
        </is>
      </c>
      <c r="D314" s="10" t="n"/>
      <c r="E314" s="10" t="n"/>
    </row>
    <row r="315">
      <c r="A315" s="12" t="inlineStr">
        <is>
          <t>Q17R3C4</t>
        </is>
      </c>
      <c r="B315" s="12">
        <f>LAI!G186</f>
        <v/>
      </c>
      <c r="C315" s="13" t="inlineStr">
        <is>
          <t>4.5.4</t>
        </is>
      </c>
      <c r="D315" s="10" t="n"/>
      <c r="E315" s="10" t="n"/>
    </row>
    <row r="316">
      <c r="A316" s="12" t="inlineStr">
        <is>
          <t>Q17R3C5</t>
        </is>
      </c>
      <c r="B316" s="12">
        <f>LAI!I186</f>
        <v/>
      </c>
      <c r="C316" s="13" t="inlineStr">
        <is>
          <t>4.5.4</t>
        </is>
      </c>
      <c r="D316" s="10" t="n"/>
      <c r="E316" s="10" t="n"/>
    </row>
    <row r="317">
      <c r="A317" s="12" t="inlineStr">
        <is>
          <t>Q17R3C6</t>
        </is>
      </c>
      <c r="B317" s="12">
        <f>LAI!J186</f>
        <v/>
      </c>
      <c r="C317" s="13" t="inlineStr">
        <is>
          <t>4.5.4</t>
        </is>
      </c>
      <c r="D317" s="10" t="n"/>
      <c r="E317" s="10" t="n"/>
    </row>
    <row r="318">
      <c r="A318" s="12" t="inlineStr">
        <is>
          <t>Q17R4C1</t>
        </is>
      </c>
      <c r="B318" s="12">
        <f>LAI!C187</f>
        <v/>
      </c>
      <c r="C318" s="13" t="inlineStr">
        <is>
          <t>4.5.4</t>
        </is>
      </c>
      <c r="D318" s="10" t="n"/>
      <c r="E318" s="10" t="n"/>
    </row>
    <row r="319">
      <c r="A319" s="12" t="inlineStr">
        <is>
          <t>Q17R4C2</t>
        </is>
      </c>
      <c r="B319" s="12">
        <f>LAI!D187</f>
        <v/>
      </c>
      <c r="C319" s="13" t="inlineStr">
        <is>
          <t>4.5.4</t>
        </is>
      </c>
      <c r="D319" s="10" t="n"/>
      <c r="E319" s="10" t="n"/>
    </row>
    <row r="320">
      <c r="A320" s="12" t="inlineStr">
        <is>
          <t>Q17R4C3</t>
        </is>
      </c>
      <c r="B320" s="12">
        <f>LAI!F187</f>
        <v/>
      </c>
      <c r="C320" s="13" t="inlineStr">
        <is>
          <t>4.5.4</t>
        </is>
      </c>
      <c r="D320" s="10" t="n"/>
      <c r="E320" s="10" t="n"/>
    </row>
    <row r="321">
      <c r="A321" s="12" t="inlineStr">
        <is>
          <t>Q17R4C4</t>
        </is>
      </c>
      <c r="B321" s="12">
        <f>LAI!G187</f>
        <v/>
      </c>
      <c r="C321" s="13" t="inlineStr">
        <is>
          <t>4.5.4</t>
        </is>
      </c>
      <c r="D321" s="10" t="n"/>
      <c r="E321" s="10" t="n"/>
    </row>
    <row r="322">
      <c r="A322" s="12" t="inlineStr">
        <is>
          <t>Q17R4C5</t>
        </is>
      </c>
      <c r="B322" s="12">
        <f>LAI!I187</f>
        <v/>
      </c>
      <c r="C322" s="13" t="inlineStr">
        <is>
          <t>4.5.4</t>
        </is>
      </c>
      <c r="D322" s="10" t="n"/>
      <c r="E322" s="10" t="n"/>
    </row>
    <row r="323">
      <c r="A323" s="12" t="inlineStr">
        <is>
          <t>Q17R4C6</t>
        </is>
      </c>
      <c r="B323" s="12">
        <f>LAI!J187</f>
        <v/>
      </c>
      <c r="C323" s="13" t="inlineStr">
        <is>
          <t>4.5.4</t>
        </is>
      </c>
      <c r="D323" s="10" t="n"/>
      <c r="E323" s="10" t="n"/>
    </row>
    <row r="324">
      <c r="A324" s="12" t="inlineStr">
        <is>
          <t>Q17R5C1</t>
        </is>
      </c>
      <c r="B324" s="12">
        <f>LAI!C188</f>
        <v/>
      </c>
      <c r="C324" s="13" t="inlineStr">
        <is>
          <t>4.5.4</t>
        </is>
      </c>
      <c r="D324" s="10" t="n"/>
      <c r="E324" s="10" t="n"/>
    </row>
    <row r="325">
      <c r="A325" s="12" t="inlineStr">
        <is>
          <t>Q17R5C2</t>
        </is>
      </c>
      <c r="B325" s="12">
        <f>LAI!D188</f>
        <v/>
      </c>
      <c r="C325" s="13" t="inlineStr">
        <is>
          <t>4.5.4</t>
        </is>
      </c>
      <c r="D325" s="10" t="n"/>
      <c r="E325" s="10" t="n"/>
    </row>
    <row r="326">
      <c r="A326" s="12" t="inlineStr">
        <is>
          <t>Q17R5C3</t>
        </is>
      </c>
      <c r="B326" s="12">
        <f>LAI!F188</f>
        <v/>
      </c>
      <c r="C326" s="13" t="inlineStr">
        <is>
          <t>4.5.4</t>
        </is>
      </c>
      <c r="D326" s="10" t="n"/>
      <c r="E326" s="10" t="n"/>
    </row>
    <row r="327">
      <c r="A327" s="12" t="inlineStr">
        <is>
          <t>Q17R5C4</t>
        </is>
      </c>
      <c r="B327" s="12">
        <f>LAI!G188</f>
        <v/>
      </c>
      <c r="C327" s="13" t="inlineStr">
        <is>
          <t>4.5.4</t>
        </is>
      </c>
      <c r="D327" s="10" t="n"/>
      <c r="E327" s="10" t="n"/>
    </row>
    <row r="328">
      <c r="A328" s="12" t="inlineStr">
        <is>
          <t>Q17R5C5</t>
        </is>
      </c>
      <c r="B328" s="12">
        <f>LAI!I188</f>
        <v/>
      </c>
      <c r="C328" s="13" t="inlineStr">
        <is>
          <t>4.5.4</t>
        </is>
      </c>
      <c r="D328" s="10" t="n"/>
      <c r="E328" s="10" t="n"/>
    </row>
    <row r="329">
      <c r="A329" s="12" t="inlineStr">
        <is>
          <t>Q17R5C6</t>
        </is>
      </c>
      <c r="B329" s="12">
        <f>LAI!J188</f>
        <v/>
      </c>
      <c r="C329" s="13" t="inlineStr">
        <is>
          <t>4.5.4</t>
        </is>
      </c>
      <c r="D329" s="10" t="n"/>
      <c r="E329" s="10" t="n"/>
    </row>
    <row r="330">
      <c r="A330" s="12" t="inlineStr">
        <is>
          <t>Q17R6C1</t>
        </is>
      </c>
      <c r="B330" s="12">
        <f>LAI!C189</f>
        <v/>
      </c>
      <c r="C330" s="13" t="inlineStr">
        <is>
          <t>4.5.4</t>
        </is>
      </c>
      <c r="D330" s="10" t="n"/>
      <c r="E330" s="10" t="n"/>
    </row>
    <row r="331">
      <c r="A331" s="12" t="inlineStr">
        <is>
          <t>Q17R6C2</t>
        </is>
      </c>
      <c r="B331" s="12">
        <f>LAI!D189</f>
        <v/>
      </c>
      <c r="C331" s="13" t="inlineStr">
        <is>
          <t>4.5.4</t>
        </is>
      </c>
      <c r="D331" s="10" t="n"/>
      <c r="E331" s="10" t="n"/>
    </row>
    <row r="332">
      <c r="A332" s="12" t="inlineStr">
        <is>
          <t>Q17R6C3</t>
        </is>
      </c>
      <c r="B332" s="12">
        <f>LAI!F189</f>
        <v/>
      </c>
      <c r="C332" s="13" t="inlineStr">
        <is>
          <t>4.5.4</t>
        </is>
      </c>
      <c r="D332" s="10" t="n"/>
      <c r="E332" s="10" t="n"/>
    </row>
    <row r="333">
      <c r="A333" s="12" t="inlineStr">
        <is>
          <t>Q17R6C4</t>
        </is>
      </c>
      <c r="B333" s="12">
        <f>LAI!G189</f>
        <v/>
      </c>
      <c r="C333" s="13" t="inlineStr">
        <is>
          <t>4.5.4</t>
        </is>
      </c>
      <c r="D333" s="10" t="n"/>
      <c r="E333" s="10" t="n"/>
    </row>
    <row r="334">
      <c r="A334" s="12" t="inlineStr">
        <is>
          <t>Q17R6C5</t>
        </is>
      </c>
      <c r="B334" s="12">
        <f>LAI!I189</f>
        <v/>
      </c>
      <c r="C334" s="13" t="inlineStr">
        <is>
          <t>4.5.4</t>
        </is>
      </c>
      <c r="D334" s="10" t="n"/>
      <c r="E334" s="10" t="n"/>
    </row>
    <row r="335">
      <c r="A335" s="12" t="inlineStr">
        <is>
          <t>Q17R6C6</t>
        </is>
      </c>
      <c r="B335" s="12">
        <f>LAI!J189</f>
        <v/>
      </c>
      <c r="C335" s="13" t="inlineStr">
        <is>
          <t>4.5.4</t>
        </is>
      </c>
      <c r="D335" s="10" t="n"/>
      <c r="E335" s="10" t="n"/>
    </row>
    <row r="336" customFormat="1" s="3">
      <c r="A336" s="12" t="inlineStr">
        <is>
          <t>Q17R7C1</t>
        </is>
      </c>
      <c r="B336" s="12">
        <f>LAI!C190</f>
        <v/>
      </c>
      <c r="C336" s="13" t="inlineStr">
        <is>
          <t>4.5.4</t>
        </is>
      </c>
      <c r="D336" s="10" t="n"/>
      <c r="E336" s="10" t="n"/>
    </row>
    <row r="337" customFormat="1" s="3">
      <c r="A337" s="12" t="inlineStr">
        <is>
          <t>Q17R7C2</t>
        </is>
      </c>
      <c r="B337" s="12">
        <f>LAI!D190</f>
        <v/>
      </c>
      <c r="C337" s="13" t="inlineStr">
        <is>
          <t>4.5.4</t>
        </is>
      </c>
      <c r="D337" s="10" t="n"/>
      <c r="E337" s="10" t="n"/>
    </row>
    <row r="338" customFormat="1" s="3">
      <c r="A338" s="12" t="inlineStr">
        <is>
          <t>Q17R7C3</t>
        </is>
      </c>
      <c r="B338" s="12">
        <f>LAI!F190</f>
        <v/>
      </c>
      <c r="C338" s="13" t="inlineStr">
        <is>
          <t>4.5.4</t>
        </is>
      </c>
      <c r="D338" s="10" t="n"/>
      <c r="E338" s="10" t="n"/>
    </row>
    <row r="339" customFormat="1" s="3">
      <c r="A339" s="12" t="inlineStr">
        <is>
          <t>Q17R7C4</t>
        </is>
      </c>
      <c r="B339" s="12">
        <f>LAI!G190</f>
        <v/>
      </c>
      <c r="C339" s="13" t="inlineStr">
        <is>
          <t>4.5.4</t>
        </is>
      </c>
      <c r="D339" s="10" t="n"/>
      <c r="E339" s="10" t="n"/>
    </row>
    <row r="340" customFormat="1" s="3">
      <c r="A340" s="12" t="inlineStr">
        <is>
          <t>Q17R7C5</t>
        </is>
      </c>
      <c r="B340" s="12">
        <f>LAI!I190</f>
        <v/>
      </c>
      <c r="C340" s="13" t="inlineStr">
        <is>
          <t>4.5.4</t>
        </is>
      </c>
      <c r="D340" s="10" t="n"/>
      <c r="E340" s="10" t="n"/>
    </row>
    <row r="341" customFormat="1" s="3">
      <c r="A341" s="12" t="inlineStr">
        <is>
          <t>Q17R7C6</t>
        </is>
      </c>
      <c r="B341" s="12">
        <f>LAI!J190</f>
        <v/>
      </c>
      <c r="C341" s="13" t="inlineStr">
        <is>
          <t>4.5.4</t>
        </is>
      </c>
      <c r="D341" s="10" t="n"/>
      <c r="E341" s="10" t="n"/>
    </row>
    <row r="342" customFormat="1" s="3">
      <c r="A342" s="12" t="inlineStr">
        <is>
          <t>Q18R1C1</t>
        </is>
      </c>
      <c r="B342" s="12">
        <f>LAI!A196</f>
        <v/>
      </c>
      <c r="C342" s="13" t="inlineStr">
        <is>
          <t>4.5.5</t>
        </is>
      </c>
      <c r="D342" s="10" t="n"/>
      <c r="E342" s="10" t="n"/>
    </row>
    <row r="343" customFormat="1" s="3">
      <c r="A343" s="12" t="inlineStr">
        <is>
          <t>Q18R1C2</t>
        </is>
      </c>
      <c r="B343" s="12">
        <f>LAI!D196</f>
        <v/>
      </c>
      <c r="C343" s="13" t="inlineStr">
        <is>
          <t>4.5.5</t>
        </is>
      </c>
      <c r="D343" s="10" t="n"/>
      <c r="E343" s="10" t="n"/>
    </row>
    <row r="344" customFormat="1" s="3">
      <c r="A344" s="12" t="inlineStr">
        <is>
          <t>Q18R1C3</t>
        </is>
      </c>
      <c r="B344" s="12">
        <f>LAI!G196</f>
        <v/>
      </c>
      <c r="C344" s="13" t="inlineStr">
        <is>
          <t>4.5.5</t>
        </is>
      </c>
      <c r="D344" s="10" t="n"/>
      <c r="E344" s="10" t="n"/>
    </row>
    <row r="345" customFormat="1" s="3">
      <c r="A345" s="12" t="inlineStr">
        <is>
          <t>Q19R1C1</t>
        </is>
      </c>
      <c r="B345" s="12">
        <f>LAI!C202</f>
        <v/>
      </c>
      <c r="C345" s="13" t="inlineStr">
        <is>
          <t>4.5.6</t>
        </is>
      </c>
      <c r="D345" s="10" t="n"/>
      <c r="E345" s="10" t="n"/>
    </row>
    <row r="346" customFormat="1" s="3">
      <c r="A346" s="12" t="inlineStr">
        <is>
          <t>Q19R1C2</t>
        </is>
      </c>
      <c r="B346" s="12">
        <f>LAI!D202</f>
        <v/>
      </c>
      <c r="C346" s="13" t="inlineStr">
        <is>
          <t>4.5.6</t>
        </is>
      </c>
      <c r="D346" s="10" t="n"/>
      <c r="E346" s="10" t="n"/>
    </row>
    <row r="347" customFormat="1" s="3">
      <c r="A347" s="12" t="inlineStr">
        <is>
          <t>Q19R1C3</t>
        </is>
      </c>
      <c r="B347" s="12">
        <f>LAI!F202</f>
        <v/>
      </c>
      <c r="C347" s="13" t="inlineStr">
        <is>
          <t>4.5.6</t>
        </is>
      </c>
      <c r="D347" s="10" t="n"/>
      <c r="E347" s="10" t="n"/>
    </row>
    <row r="348" customFormat="1" s="3">
      <c r="A348" s="12" t="inlineStr">
        <is>
          <t>Q19R1C4</t>
        </is>
      </c>
      <c r="B348" s="12">
        <f>LAI!G202</f>
        <v/>
      </c>
      <c r="C348" s="13" t="inlineStr">
        <is>
          <t>4.5.6</t>
        </is>
      </c>
      <c r="D348" s="10" t="n"/>
      <c r="E348" s="10" t="n"/>
    </row>
    <row r="349" customFormat="1" s="3">
      <c r="A349" s="12" t="inlineStr">
        <is>
          <t>Q19R1C5</t>
        </is>
      </c>
      <c r="B349" s="12">
        <f>LAI!I202</f>
        <v/>
      </c>
      <c r="C349" s="13" t="inlineStr">
        <is>
          <t>4.5.6</t>
        </is>
      </c>
      <c r="D349" s="10" t="n"/>
      <c r="E349" s="10" t="n"/>
    </row>
    <row r="350" customFormat="1" s="3">
      <c r="A350" s="12" t="inlineStr">
        <is>
          <t>Q19R1C6</t>
        </is>
      </c>
      <c r="B350" s="12">
        <f>LAI!J202</f>
        <v/>
      </c>
      <c r="C350" s="13" t="inlineStr">
        <is>
          <t>4.5.6</t>
        </is>
      </c>
      <c r="D350" s="10" t="n"/>
      <c r="E350" s="10" t="n"/>
    </row>
    <row r="351" customFormat="1" s="3">
      <c r="A351" s="12" t="inlineStr">
        <is>
          <t>Q19R2C1</t>
        </is>
      </c>
      <c r="B351" s="12">
        <f>LAI!C203</f>
        <v/>
      </c>
      <c r="C351" s="13" t="inlineStr">
        <is>
          <t>4.5.6</t>
        </is>
      </c>
      <c r="D351" s="10" t="n"/>
      <c r="E351" s="10" t="n"/>
    </row>
    <row r="352" customFormat="1" s="3">
      <c r="A352" s="12" t="inlineStr">
        <is>
          <t>Q19R2C2</t>
        </is>
      </c>
      <c r="B352" s="12">
        <f>LAI!D203</f>
        <v/>
      </c>
      <c r="C352" s="13" t="inlineStr">
        <is>
          <t>4.5.6</t>
        </is>
      </c>
      <c r="D352" s="10" t="n"/>
      <c r="E352" s="10" t="n"/>
    </row>
    <row r="353" customFormat="1" s="3">
      <c r="A353" s="12" t="inlineStr">
        <is>
          <t>Q19R2C3</t>
        </is>
      </c>
      <c r="B353" s="12">
        <f>LAI!F203</f>
        <v/>
      </c>
      <c r="C353" s="13" t="inlineStr">
        <is>
          <t>4.5.6</t>
        </is>
      </c>
      <c r="D353" s="10" t="n"/>
      <c r="E353" s="10" t="n"/>
    </row>
    <row r="354" customFormat="1" s="3">
      <c r="A354" s="12" t="inlineStr">
        <is>
          <t>Q19R2C4</t>
        </is>
      </c>
      <c r="B354" s="12">
        <f>LAI!G203</f>
        <v/>
      </c>
      <c r="C354" s="13" t="inlineStr">
        <is>
          <t>4.5.6</t>
        </is>
      </c>
      <c r="D354" s="10" t="n"/>
      <c r="E354" s="10" t="n"/>
    </row>
    <row r="355" customFormat="1" s="3">
      <c r="A355" s="12" t="inlineStr">
        <is>
          <t>Q19R2C5</t>
        </is>
      </c>
      <c r="B355" s="12">
        <f>LAI!I203</f>
        <v/>
      </c>
      <c r="C355" s="13" t="inlineStr">
        <is>
          <t>4.5.6</t>
        </is>
      </c>
      <c r="D355" s="10" t="n"/>
      <c r="E355" s="10" t="n"/>
    </row>
    <row r="356" customFormat="1" s="3">
      <c r="A356" s="12" t="inlineStr">
        <is>
          <t>Q19R2C6</t>
        </is>
      </c>
      <c r="B356" s="12">
        <f>LAI!J203</f>
        <v/>
      </c>
      <c r="C356" s="13" t="inlineStr">
        <is>
          <t>4.5.6</t>
        </is>
      </c>
      <c r="D356" s="10" t="n"/>
      <c r="E356" s="10" t="n"/>
    </row>
    <row r="357" customFormat="1" s="3">
      <c r="A357" s="12" t="inlineStr">
        <is>
          <t>Q19R3C1</t>
        </is>
      </c>
      <c r="B357" s="12">
        <f>LAI!C204</f>
        <v/>
      </c>
      <c r="C357" s="13" t="inlineStr">
        <is>
          <t>4.5.6</t>
        </is>
      </c>
      <c r="D357" s="10" t="n"/>
      <c r="E357" s="10" t="n"/>
    </row>
    <row r="358" customFormat="1" s="3">
      <c r="A358" s="12" t="inlineStr">
        <is>
          <t>Q19R3C2</t>
        </is>
      </c>
      <c r="B358" s="12">
        <f>LAI!D204</f>
        <v/>
      </c>
      <c r="C358" s="13" t="inlineStr">
        <is>
          <t>4.5.6</t>
        </is>
      </c>
      <c r="D358" s="10" t="n"/>
      <c r="E358" s="10" t="n"/>
    </row>
    <row r="359" customFormat="1" s="3">
      <c r="A359" s="12" t="inlineStr">
        <is>
          <t>Q19R3C3</t>
        </is>
      </c>
      <c r="B359" s="12">
        <f>LAI!F204</f>
        <v/>
      </c>
      <c r="C359" s="13" t="inlineStr">
        <is>
          <t>4.5.6</t>
        </is>
      </c>
      <c r="D359" s="10" t="n"/>
      <c r="E359" s="10" t="n"/>
    </row>
    <row r="360" customFormat="1" s="3">
      <c r="A360" s="12" t="inlineStr">
        <is>
          <t>Q19R3C4</t>
        </is>
      </c>
      <c r="B360" s="12">
        <f>LAI!G204</f>
        <v/>
      </c>
      <c r="C360" s="13" t="inlineStr">
        <is>
          <t>4.5.6</t>
        </is>
      </c>
      <c r="D360" s="10" t="n"/>
      <c r="E360" s="10" t="n"/>
    </row>
    <row r="361" customFormat="1" s="3">
      <c r="A361" s="12" t="inlineStr">
        <is>
          <t>Q19R3C5</t>
        </is>
      </c>
      <c r="B361" s="12">
        <f>LAI!I204</f>
        <v/>
      </c>
      <c r="C361" s="13" t="inlineStr">
        <is>
          <t>4.5.6</t>
        </is>
      </c>
      <c r="D361" s="10" t="n"/>
      <c r="E361" s="10" t="n"/>
    </row>
    <row r="362" customFormat="1" s="3">
      <c r="A362" s="12" t="inlineStr">
        <is>
          <t>Q19R3C6</t>
        </is>
      </c>
      <c r="B362" s="12">
        <f>LAI!J204</f>
        <v/>
      </c>
      <c r="C362" s="13" t="inlineStr">
        <is>
          <t>4.5.6</t>
        </is>
      </c>
      <c r="D362" s="10" t="n"/>
      <c r="E362" s="10" t="n"/>
    </row>
    <row r="363" customFormat="1" s="3">
      <c r="A363" s="12" t="inlineStr">
        <is>
          <t>Q19R4C1</t>
        </is>
      </c>
      <c r="B363" s="12">
        <f>LAI!C205</f>
        <v/>
      </c>
      <c r="C363" s="13" t="inlineStr">
        <is>
          <t>4.5.6</t>
        </is>
      </c>
      <c r="D363" s="10" t="n"/>
      <c r="E363" s="10" t="n"/>
    </row>
    <row r="364" customFormat="1" s="3">
      <c r="A364" s="12" t="inlineStr">
        <is>
          <t>Q19R4C2</t>
        </is>
      </c>
      <c r="B364" s="12">
        <f>LAI!D205</f>
        <v/>
      </c>
      <c r="C364" s="13" t="inlineStr">
        <is>
          <t>4.5.6</t>
        </is>
      </c>
      <c r="D364" s="10" t="n"/>
      <c r="E364" s="10" t="n"/>
    </row>
    <row r="365" customFormat="1" s="3">
      <c r="A365" s="12" t="inlineStr">
        <is>
          <t>Q19R4C3</t>
        </is>
      </c>
      <c r="B365" s="12">
        <f>LAI!F205</f>
        <v/>
      </c>
      <c r="C365" s="13" t="inlineStr">
        <is>
          <t>4.5.6</t>
        </is>
      </c>
      <c r="D365" s="10" t="n"/>
      <c r="E365" s="10" t="n"/>
    </row>
    <row r="366" customFormat="1" s="3">
      <c r="A366" s="12" t="inlineStr">
        <is>
          <t>Q19R4C4</t>
        </is>
      </c>
      <c r="B366" s="12">
        <f>LAI!G205</f>
        <v/>
      </c>
      <c r="C366" s="13" t="inlineStr">
        <is>
          <t>4.5.6</t>
        </is>
      </c>
      <c r="D366" s="10" t="n"/>
      <c r="E366" s="10" t="n"/>
    </row>
    <row r="367" customFormat="1" s="3">
      <c r="A367" s="12" t="inlineStr">
        <is>
          <t>Q19R4C5</t>
        </is>
      </c>
      <c r="B367" s="12">
        <f>LAI!I205</f>
        <v/>
      </c>
      <c r="C367" s="13" t="inlineStr">
        <is>
          <t>4.5.6</t>
        </is>
      </c>
      <c r="D367" s="10" t="n"/>
      <c r="E367" s="10" t="n"/>
    </row>
    <row r="368" customFormat="1" s="3">
      <c r="A368" s="12" t="inlineStr">
        <is>
          <t>Q19R4C6</t>
        </is>
      </c>
      <c r="B368" s="12">
        <f>LAI!J205</f>
        <v/>
      </c>
      <c r="C368" s="13" t="inlineStr">
        <is>
          <t>4.5.6</t>
        </is>
      </c>
      <c r="D368" s="10" t="n"/>
      <c r="E368" s="10" t="n"/>
    </row>
    <row r="369" customFormat="1" s="3">
      <c r="A369" s="12" t="inlineStr">
        <is>
          <t>Q19R5C1</t>
        </is>
      </c>
      <c r="B369" s="12">
        <f>LAI!C206</f>
        <v/>
      </c>
      <c r="C369" s="13" t="inlineStr">
        <is>
          <t>4.5.6</t>
        </is>
      </c>
      <c r="D369" s="10" t="n"/>
      <c r="E369" s="10" t="n"/>
    </row>
    <row r="370" customFormat="1" s="3">
      <c r="A370" s="12" t="inlineStr">
        <is>
          <t>Q19R5C2</t>
        </is>
      </c>
      <c r="B370" s="12">
        <f>LAI!D206</f>
        <v/>
      </c>
      <c r="C370" s="13" t="inlineStr">
        <is>
          <t>4.5.6</t>
        </is>
      </c>
      <c r="D370" s="10" t="n"/>
      <c r="E370" s="10" t="n"/>
    </row>
    <row r="371" customFormat="1" s="3">
      <c r="A371" s="12" t="inlineStr">
        <is>
          <t>Q19R5C3</t>
        </is>
      </c>
      <c r="B371" s="12">
        <f>LAI!F206</f>
        <v/>
      </c>
      <c r="C371" s="13" t="inlineStr">
        <is>
          <t>4.5.6</t>
        </is>
      </c>
      <c r="D371" s="10" t="n"/>
      <c r="E371" s="10" t="n"/>
    </row>
    <row r="372" customFormat="1" s="3">
      <c r="A372" s="12" t="inlineStr">
        <is>
          <t>Q19R5C4</t>
        </is>
      </c>
      <c r="B372" s="12">
        <f>LAI!G206</f>
        <v/>
      </c>
      <c r="C372" s="13" t="inlineStr">
        <is>
          <t>4.5.6</t>
        </is>
      </c>
      <c r="D372" s="10" t="n"/>
      <c r="E372" s="10" t="n"/>
    </row>
    <row r="373" customFormat="1" s="3">
      <c r="A373" s="12" t="inlineStr">
        <is>
          <t>Q19R5C5</t>
        </is>
      </c>
      <c r="B373" s="12">
        <f>LAI!I206</f>
        <v/>
      </c>
      <c r="C373" s="13" t="inlineStr">
        <is>
          <t>4.5.6</t>
        </is>
      </c>
      <c r="D373" s="10" t="n"/>
      <c r="E373" s="10" t="n"/>
    </row>
    <row r="374" customFormat="1" s="3">
      <c r="A374" s="12" t="inlineStr">
        <is>
          <t>Q19R5C6</t>
        </is>
      </c>
      <c r="B374" s="12">
        <f>LAI!J206</f>
        <v/>
      </c>
      <c r="C374" s="13" t="inlineStr">
        <is>
          <t>4.5.6</t>
        </is>
      </c>
      <c r="D374" s="10" t="n"/>
      <c r="E374" s="10" t="n"/>
    </row>
    <row r="375" customFormat="1" s="3">
      <c r="A375" s="12" t="inlineStr">
        <is>
          <t>Q19R6C1</t>
        </is>
      </c>
      <c r="B375" s="12">
        <f>LAI!C207</f>
        <v/>
      </c>
      <c r="C375" s="13" t="inlineStr">
        <is>
          <t>4.5.6</t>
        </is>
      </c>
      <c r="D375" s="10" t="n"/>
      <c r="E375" s="10" t="n"/>
    </row>
    <row r="376" customFormat="1" s="3">
      <c r="A376" s="12" t="inlineStr">
        <is>
          <t>Q19R6C2</t>
        </is>
      </c>
      <c r="B376" s="12">
        <f>LAI!D207</f>
        <v/>
      </c>
      <c r="C376" s="13" t="inlineStr">
        <is>
          <t>4.5.6</t>
        </is>
      </c>
      <c r="D376" s="10" t="n"/>
      <c r="E376" s="10" t="n"/>
    </row>
    <row r="377" customFormat="1" s="3">
      <c r="A377" s="12" t="inlineStr">
        <is>
          <t>Q19R6C3</t>
        </is>
      </c>
      <c r="B377" s="12">
        <f>LAI!F207</f>
        <v/>
      </c>
      <c r="C377" s="13" t="inlineStr">
        <is>
          <t>4.5.6</t>
        </is>
      </c>
      <c r="D377" s="10" t="n"/>
      <c r="E377" s="10" t="n"/>
    </row>
    <row r="378" customFormat="1" s="3">
      <c r="A378" s="12" t="inlineStr">
        <is>
          <t>Q19R6C4</t>
        </is>
      </c>
      <c r="B378" s="12">
        <f>LAI!G207</f>
        <v/>
      </c>
      <c r="C378" s="13" t="inlineStr">
        <is>
          <t>4.5.6</t>
        </is>
      </c>
      <c r="D378" s="10" t="n"/>
      <c r="E378" s="10" t="n"/>
    </row>
    <row r="379" customFormat="1" s="3">
      <c r="A379" s="12" t="inlineStr">
        <is>
          <t>Q19R6C5</t>
        </is>
      </c>
      <c r="B379" s="12">
        <f>LAI!I207</f>
        <v/>
      </c>
      <c r="C379" s="13" t="inlineStr">
        <is>
          <t>4.5.6</t>
        </is>
      </c>
      <c r="D379" s="10" t="n"/>
      <c r="E379" s="10" t="n"/>
    </row>
    <row r="380" customFormat="1" s="3">
      <c r="A380" s="12" t="inlineStr">
        <is>
          <t>Q19R6C6</t>
        </is>
      </c>
      <c r="B380" s="12">
        <f>LAI!J207</f>
        <v/>
      </c>
      <c r="C380" s="13" t="inlineStr">
        <is>
          <t>4.5.6</t>
        </is>
      </c>
      <c r="D380" s="10" t="n"/>
      <c r="E380" s="10" t="n"/>
    </row>
    <row r="381" customFormat="1" s="3">
      <c r="A381" s="12" t="inlineStr">
        <is>
          <t>Q19R7C1</t>
        </is>
      </c>
      <c r="B381" s="12">
        <f>LAI!C208</f>
        <v/>
      </c>
      <c r="C381" s="13" t="inlineStr">
        <is>
          <t>4.5.6</t>
        </is>
      </c>
      <c r="D381" s="10" t="n"/>
      <c r="E381" s="10" t="n"/>
    </row>
    <row r="382" customFormat="1" s="3">
      <c r="A382" s="12" t="inlineStr">
        <is>
          <t>Q19R7C2</t>
        </is>
      </c>
      <c r="B382" s="12">
        <f>LAI!D208</f>
        <v/>
      </c>
      <c r="C382" s="13" t="inlineStr">
        <is>
          <t>4.5.6</t>
        </is>
      </c>
      <c r="D382" s="10" t="n"/>
      <c r="E382" s="10" t="n"/>
    </row>
    <row r="383" customFormat="1" s="3">
      <c r="A383" s="12" t="inlineStr">
        <is>
          <t>Q19R7C3</t>
        </is>
      </c>
      <c r="B383" s="12">
        <f>LAI!F208</f>
        <v/>
      </c>
      <c r="C383" s="13" t="inlineStr">
        <is>
          <t>4.5.6</t>
        </is>
      </c>
      <c r="D383" s="10" t="n"/>
      <c r="E383" s="10" t="n"/>
    </row>
    <row r="384" customFormat="1" s="3">
      <c r="A384" s="12" t="inlineStr">
        <is>
          <t>Q19R7C4</t>
        </is>
      </c>
      <c r="B384" s="12">
        <f>LAI!G208</f>
        <v/>
      </c>
      <c r="C384" s="13" t="inlineStr">
        <is>
          <t>4.5.6</t>
        </is>
      </c>
      <c r="D384" s="10" t="n"/>
      <c r="E384" s="10" t="n"/>
    </row>
    <row r="385" customFormat="1" s="3">
      <c r="A385" s="12" t="inlineStr">
        <is>
          <t>Q19R7C5</t>
        </is>
      </c>
      <c r="B385" s="12">
        <f>LAI!I208</f>
        <v/>
      </c>
      <c r="C385" s="13" t="inlineStr">
        <is>
          <t>4.5.6</t>
        </is>
      </c>
      <c r="D385" s="10" t="n"/>
      <c r="E385" s="10" t="n"/>
    </row>
    <row r="386" customFormat="1" s="3">
      <c r="A386" s="12" t="inlineStr">
        <is>
          <t>Q19R7C6</t>
        </is>
      </c>
      <c r="B386" s="12">
        <f>LAI!J208</f>
        <v/>
      </c>
      <c r="C386" s="13" t="inlineStr">
        <is>
          <t>4.5.6</t>
        </is>
      </c>
      <c r="D386" s="10" t="n"/>
      <c r="E386" s="10" t="n"/>
    </row>
    <row r="387" customFormat="1" s="3">
      <c r="A387" s="9" t="inlineStr">
        <is>
          <t>Q20R1C1</t>
        </is>
      </c>
      <c r="B387" s="9">
        <f>LAI!C215</f>
        <v/>
      </c>
      <c r="C387" s="11" t="inlineStr">
        <is>
          <t>4.5.7</t>
        </is>
      </c>
      <c r="D387" s="10" t="n"/>
      <c r="E387" s="10" t="n"/>
    </row>
    <row r="388" customFormat="1" s="3">
      <c r="A388" s="9" t="inlineStr">
        <is>
          <t>Q20R1C2</t>
        </is>
      </c>
      <c r="B388" s="9">
        <f>LAI!E215</f>
        <v/>
      </c>
      <c r="C388" s="11" t="inlineStr">
        <is>
          <t>4.5.7</t>
        </is>
      </c>
      <c r="D388" s="10" t="n"/>
      <c r="E388" s="10" t="n"/>
    </row>
    <row r="389" customFormat="1" s="3">
      <c r="A389" s="9" t="inlineStr">
        <is>
          <t>Q20R1C3</t>
        </is>
      </c>
      <c r="B389" s="9">
        <f>LAI!G215</f>
        <v/>
      </c>
      <c r="C389" s="11" t="inlineStr">
        <is>
          <t>4.5.7</t>
        </is>
      </c>
      <c r="D389" s="10" t="n"/>
      <c r="E389" s="10" t="n"/>
    </row>
    <row r="390" customFormat="1" s="3">
      <c r="A390" s="9" t="inlineStr">
        <is>
          <t>Q20R2C1</t>
        </is>
      </c>
      <c r="B390" s="9">
        <f>LAI!C216</f>
        <v/>
      </c>
      <c r="C390" s="11" t="inlineStr">
        <is>
          <t>4.5.7</t>
        </is>
      </c>
      <c r="D390" s="10" t="n"/>
      <c r="E390" s="10" t="n"/>
    </row>
    <row r="391" customFormat="1" s="3">
      <c r="A391" s="9" t="inlineStr">
        <is>
          <t>Q20R2C2</t>
        </is>
      </c>
      <c r="B391" s="9">
        <f>LAI!E216</f>
        <v/>
      </c>
      <c r="C391" s="11" t="inlineStr">
        <is>
          <t>4.5.7</t>
        </is>
      </c>
      <c r="D391" s="10" t="n"/>
      <c r="E391" s="10" t="n"/>
    </row>
    <row r="392" customFormat="1" s="3">
      <c r="A392" s="9" t="inlineStr">
        <is>
          <t>Q20R2C3</t>
        </is>
      </c>
      <c r="B392" s="9">
        <f>LAI!G216</f>
        <v/>
      </c>
      <c r="C392" s="11" t="inlineStr">
        <is>
          <t>4.5.7</t>
        </is>
      </c>
      <c r="D392" s="10" t="n"/>
      <c r="E392" s="10" t="n"/>
    </row>
    <row r="393" customFormat="1" s="3">
      <c r="A393" s="9" t="inlineStr">
        <is>
          <t>Q20R3C1</t>
        </is>
      </c>
      <c r="B393" s="9">
        <f>LAI!C217</f>
        <v/>
      </c>
      <c r="C393" s="11" t="inlineStr">
        <is>
          <t>4.5.7</t>
        </is>
      </c>
      <c r="D393" s="10" t="n"/>
      <c r="E393" s="10" t="n"/>
    </row>
    <row r="394" customFormat="1" s="3">
      <c r="A394" s="9" t="inlineStr">
        <is>
          <t>Q20R3C2</t>
        </is>
      </c>
      <c r="B394" s="9">
        <f>LAI!E217</f>
        <v/>
      </c>
      <c r="C394" s="11" t="inlineStr">
        <is>
          <t>4.5.7</t>
        </is>
      </c>
      <c r="D394" s="10" t="n"/>
      <c r="E394" s="10" t="n"/>
    </row>
    <row r="395" customFormat="1" s="3">
      <c r="A395" s="9" t="inlineStr">
        <is>
          <t>Q20R3C3</t>
        </is>
      </c>
      <c r="B395" s="9">
        <f>LAI!G217</f>
        <v/>
      </c>
      <c r="C395" s="11" t="inlineStr">
        <is>
          <t>4.5.7</t>
        </is>
      </c>
      <c r="D395" s="10" t="n"/>
      <c r="E395" s="10" t="n"/>
    </row>
    <row r="396" customFormat="1" s="3">
      <c r="A396" s="9" t="inlineStr">
        <is>
          <t>Q20R4C1</t>
        </is>
      </c>
      <c r="B396" s="9">
        <f>LAI!C218</f>
        <v/>
      </c>
      <c r="C396" s="11" t="inlineStr">
        <is>
          <t>4.5.7</t>
        </is>
      </c>
      <c r="D396" s="10" t="n"/>
      <c r="E396" s="10" t="n"/>
    </row>
    <row r="397" customFormat="1" s="3">
      <c r="A397" s="9" t="inlineStr">
        <is>
          <t>Q20R4C2</t>
        </is>
      </c>
      <c r="B397" s="9">
        <f>LAI!E218</f>
        <v/>
      </c>
      <c r="C397" s="11" t="inlineStr">
        <is>
          <t>4.5.7</t>
        </is>
      </c>
      <c r="D397" s="10" t="n"/>
      <c r="E397" s="10" t="n"/>
    </row>
    <row r="398" customFormat="1" s="3">
      <c r="A398" s="9" t="inlineStr">
        <is>
          <t>Q20R4C3</t>
        </is>
      </c>
      <c r="B398" s="9">
        <f>LAI!G218</f>
        <v/>
      </c>
      <c r="C398" s="11" t="inlineStr">
        <is>
          <t>4.5.7</t>
        </is>
      </c>
      <c r="D398" s="10" t="n"/>
      <c r="E398" s="10" t="n"/>
    </row>
    <row r="399" customFormat="1" s="3">
      <c r="A399" s="9" t="inlineStr">
        <is>
          <t>Q20R5C1</t>
        </is>
      </c>
      <c r="B399" s="9">
        <f>LAI!C219</f>
        <v/>
      </c>
      <c r="C399" s="11" t="inlineStr">
        <is>
          <t>4.5.7</t>
        </is>
      </c>
      <c r="D399" s="10" t="n"/>
      <c r="E399" s="10" t="n"/>
    </row>
    <row r="400" customFormat="1" s="3">
      <c r="A400" s="9" t="inlineStr">
        <is>
          <t>Q20R5C2</t>
        </is>
      </c>
      <c r="B400" s="9">
        <f>LAI!E219</f>
        <v/>
      </c>
      <c r="C400" s="11" t="inlineStr">
        <is>
          <t>4.5.7</t>
        </is>
      </c>
      <c r="D400" s="10" t="n"/>
      <c r="E400" s="10" t="n"/>
    </row>
    <row r="401" customFormat="1" s="3">
      <c r="A401" s="9" t="inlineStr">
        <is>
          <t>Q20R5C3</t>
        </is>
      </c>
      <c r="B401" s="9">
        <f>LAI!G219</f>
        <v/>
      </c>
      <c r="C401" s="11" t="inlineStr">
        <is>
          <t>4.5.7</t>
        </is>
      </c>
      <c r="D401" s="10" t="n"/>
      <c r="E401" s="10" t="n"/>
    </row>
    <row r="402">
      <c r="A402" s="9" t="inlineStr">
        <is>
          <t>Q20R6C1</t>
        </is>
      </c>
      <c r="B402" s="9">
        <f>LAI!C220</f>
        <v/>
      </c>
      <c r="C402" s="11" t="inlineStr">
        <is>
          <t>4.5.7</t>
        </is>
      </c>
      <c r="D402" s="10" t="n"/>
      <c r="E402" s="10" t="n"/>
    </row>
    <row r="403">
      <c r="A403" s="9" t="inlineStr">
        <is>
          <t>Q20R6C2</t>
        </is>
      </c>
      <c r="B403" s="9">
        <f>LAI!E220</f>
        <v/>
      </c>
      <c r="C403" s="11" t="inlineStr">
        <is>
          <t>4.5.7</t>
        </is>
      </c>
      <c r="D403" s="10" t="n"/>
      <c r="E403" s="10" t="n"/>
    </row>
    <row r="404">
      <c r="A404" s="9" t="inlineStr">
        <is>
          <t>Q20R6C3</t>
        </is>
      </c>
      <c r="B404" s="9">
        <f>LAI!G220</f>
        <v/>
      </c>
      <c r="C404" s="11" t="inlineStr">
        <is>
          <t>4.5.7</t>
        </is>
      </c>
      <c r="D404" s="10" t="n"/>
      <c r="E404" s="10" t="n"/>
    </row>
    <row r="405">
      <c r="A405" s="9" t="inlineStr">
        <is>
          <t>Q20R7C1</t>
        </is>
      </c>
      <c r="B405" s="9">
        <f>LAI!C221</f>
        <v/>
      </c>
      <c r="C405" s="11" t="inlineStr">
        <is>
          <t>4.5.7</t>
        </is>
      </c>
      <c r="D405" s="10" t="n"/>
      <c r="E405" s="10" t="n"/>
    </row>
    <row r="406">
      <c r="A406" s="9" t="inlineStr">
        <is>
          <t>Q20R7C2</t>
        </is>
      </c>
      <c r="B406" s="9">
        <f>LAI!E221</f>
        <v/>
      </c>
      <c r="C406" s="11" t="inlineStr">
        <is>
          <t>4.5.7</t>
        </is>
      </c>
      <c r="D406" s="10" t="n"/>
      <c r="E406" s="10" t="n"/>
    </row>
    <row r="407">
      <c r="A407" s="9" t="inlineStr">
        <is>
          <t>Q20R7C3</t>
        </is>
      </c>
      <c r="B407" s="9">
        <f>LAI!G221</f>
        <v/>
      </c>
      <c r="C407" s="11" t="inlineStr">
        <is>
          <t>4.5.7</t>
        </is>
      </c>
      <c r="D407" s="10" t="n"/>
      <c r="E407" s="10" t="n"/>
    </row>
    <row r="408">
      <c r="A408" s="9" t="inlineStr">
        <is>
          <t>Q21R1C1</t>
        </is>
      </c>
      <c r="B408" s="9">
        <f>LAI!E228</f>
        <v/>
      </c>
      <c r="C408" s="11" t="inlineStr">
        <is>
          <t>4.6.1</t>
        </is>
      </c>
      <c r="D408" s="10" t="n"/>
      <c r="E408" s="10" t="n"/>
    </row>
    <row r="409">
      <c r="A409" s="9" t="inlineStr">
        <is>
          <t>Q21R2C1</t>
        </is>
      </c>
      <c r="B409" s="9">
        <f>LAI!E230</f>
        <v/>
      </c>
      <c r="C409" s="11" t="inlineStr">
        <is>
          <t>4.6.1</t>
        </is>
      </c>
      <c r="D409" s="10" t="n"/>
      <c r="E409" s="10" t="n"/>
    </row>
    <row r="410">
      <c r="A410" s="9" t="inlineStr">
        <is>
          <t>Q22R1C1</t>
        </is>
      </c>
      <c r="B410" s="9">
        <f>LAI!A238</f>
        <v/>
      </c>
      <c r="C410" s="11" t="inlineStr">
        <is>
          <t>4.7.1</t>
        </is>
      </c>
      <c r="D410" s="10" t="n"/>
      <c r="E410" s="10" t="n"/>
    </row>
    <row r="411">
      <c r="A411" s="9" t="inlineStr">
        <is>
          <t>Q22R1C2</t>
        </is>
      </c>
      <c r="B411" s="9">
        <f>LAI!E238</f>
        <v/>
      </c>
      <c r="C411" s="11" t="inlineStr">
        <is>
          <t>4.7.1</t>
        </is>
      </c>
      <c r="D411" s="10" t="n"/>
      <c r="E411" s="10" t="n"/>
    </row>
    <row r="412">
      <c r="A412" s="9" t="inlineStr">
        <is>
          <t>Q22R1C3</t>
        </is>
      </c>
      <c r="B412" s="9">
        <f>LAI!G238</f>
        <v/>
      </c>
      <c r="C412" s="11" t="inlineStr">
        <is>
          <t>4.7.1</t>
        </is>
      </c>
      <c r="D412" s="10" t="n"/>
      <c r="E412" s="10" t="n"/>
    </row>
    <row r="413">
      <c r="A413" s="9" t="inlineStr">
        <is>
          <t>Q22R1C4</t>
        </is>
      </c>
      <c r="B413" s="9">
        <f>LAI!I238</f>
        <v/>
      </c>
      <c r="C413" s="11" t="inlineStr">
        <is>
          <t>4.7.1</t>
        </is>
      </c>
      <c r="D413" s="10" t="n"/>
      <c r="E413" s="10" t="n"/>
    </row>
    <row r="414">
      <c r="A414" s="9" t="inlineStr">
        <is>
          <t>Q22R1C5</t>
        </is>
      </c>
      <c r="B414" s="9">
        <f>LAI!K238</f>
        <v/>
      </c>
      <c r="C414" s="11" t="inlineStr">
        <is>
          <t>4.7.1</t>
        </is>
      </c>
      <c r="D414" s="10" t="n"/>
      <c r="E414" s="10" t="n"/>
    </row>
    <row r="415">
      <c r="A415" s="9" t="inlineStr">
        <is>
          <t>Q23R1C1</t>
        </is>
      </c>
      <c r="B415" s="9">
        <f>LAI!D243</f>
        <v/>
      </c>
      <c r="C415" s="11" t="inlineStr">
        <is>
          <t>4.7.2</t>
        </is>
      </c>
      <c r="D415" s="10" t="n"/>
      <c r="E415" s="10" t="n"/>
    </row>
    <row r="416">
      <c r="A416" s="9" t="inlineStr">
        <is>
          <t>Q23R1C2</t>
        </is>
      </c>
      <c r="B416" s="9">
        <f>LAI!G243</f>
        <v/>
      </c>
      <c r="C416" s="11" t="inlineStr">
        <is>
          <t>4.7.2</t>
        </is>
      </c>
      <c r="D416" s="10" t="n"/>
      <c r="E416" s="10" t="n"/>
    </row>
    <row r="417">
      <c r="A417" s="9" t="inlineStr">
        <is>
          <t>Q23R2C1</t>
        </is>
      </c>
      <c r="B417" s="9">
        <f>LAI!D244</f>
        <v/>
      </c>
      <c r="C417" s="11" t="inlineStr">
        <is>
          <t>4.7.2</t>
        </is>
      </c>
      <c r="D417" s="10" t="n"/>
      <c r="E417" s="10" t="n"/>
    </row>
    <row r="418">
      <c r="A418" s="9" t="inlineStr">
        <is>
          <t>Q23R2C2</t>
        </is>
      </c>
      <c r="B418" s="9">
        <f>LAI!G244</f>
        <v/>
      </c>
      <c r="C418" s="11" t="inlineStr">
        <is>
          <t>4.7.2</t>
        </is>
      </c>
      <c r="D418" s="10" t="n"/>
      <c r="E418" s="10" t="n"/>
    </row>
    <row r="419">
      <c r="A419" s="9" t="inlineStr">
        <is>
          <t>Q23R3C1</t>
        </is>
      </c>
      <c r="B419" s="9">
        <f>LAI!D245</f>
        <v/>
      </c>
      <c r="C419" s="11" t="inlineStr">
        <is>
          <t>4.7.2</t>
        </is>
      </c>
      <c r="D419" s="10" t="n"/>
      <c r="E419" s="10" t="n"/>
    </row>
    <row r="420">
      <c r="A420" s="9" t="inlineStr">
        <is>
          <t>Q23R3C2</t>
        </is>
      </c>
      <c r="B420" s="9">
        <f>LAI!G245</f>
        <v/>
      </c>
      <c r="C420" s="11" t="inlineStr">
        <is>
          <t>4.7.2</t>
        </is>
      </c>
      <c r="D420" s="10" t="n"/>
      <c r="E420" s="10" t="n"/>
    </row>
    <row r="421">
      <c r="A421" s="9" t="inlineStr">
        <is>
          <t>Q23R4C1</t>
        </is>
      </c>
      <c r="B421" s="9">
        <f>LAI!D246</f>
        <v/>
      </c>
      <c r="C421" s="11" t="inlineStr">
        <is>
          <t>4.7.2</t>
        </is>
      </c>
      <c r="D421" s="10" t="n"/>
      <c r="E421" s="10" t="n"/>
    </row>
    <row r="422">
      <c r="A422" s="9" t="inlineStr">
        <is>
          <t>Q23R4C2</t>
        </is>
      </c>
      <c r="B422" s="9">
        <f>LAI!G246</f>
        <v/>
      </c>
      <c r="C422" s="11" t="inlineStr">
        <is>
          <t>4.7.2</t>
        </is>
      </c>
      <c r="D422" s="10" t="n"/>
      <c r="E422" s="10" t="n"/>
    </row>
    <row r="423">
      <c r="A423" s="9" t="inlineStr">
        <is>
          <t>Q23R5C1</t>
        </is>
      </c>
      <c r="B423" s="9">
        <f>LAI!D247</f>
        <v/>
      </c>
      <c r="C423" s="11" t="inlineStr">
        <is>
          <t>4.7.2</t>
        </is>
      </c>
      <c r="D423" s="10" t="n"/>
      <c r="E423" s="10" t="n"/>
    </row>
    <row r="424">
      <c r="A424" s="9" t="inlineStr">
        <is>
          <t>Q23R5C2</t>
        </is>
      </c>
      <c r="B424" s="9">
        <f>LAI!G247</f>
        <v/>
      </c>
      <c r="C424" s="11" t="inlineStr">
        <is>
          <t>4.7.2</t>
        </is>
      </c>
      <c r="D424" s="10" t="n"/>
      <c r="E424" s="10" t="n"/>
    </row>
    <row r="425">
      <c r="A425" s="9" t="inlineStr">
        <is>
          <t>Q23R6C1</t>
        </is>
      </c>
      <c r="B425" s="9">
        <f>LAI!D248</f>
        <v/>
      </c>
      <c r="C425" s="11" t="inlineStr">
        <is>
          <t>4.7.2</t>
        </is>
      </c>
      <c r="D425" s="10" t="n"/>
      <c r="E425" s="10" t="n"/>
    </row>
    <row r="426">
      <c r="A426" s="9" t="inlineStr">
        <is>
          <t>Q23R6C2</t>
        </is>
      </c>
      <c r="B426" s="9">
        <f>LAI!G248</f>
        <v/>
      </c>
      <c r="C426" s="11" t="inlineStr">
        <is>
          <t>4.7.2</t>
        </is>
      </c>
      <c r="D426" s="10" t="n"/>
      <c r="E426" s="10" t="n"/>
    </row>
    <row r="427">
      <c r="A427" s="9" t="inlineStr">
        <is>
          <t>Q23R7C1</t>
        </is>
      </c>
      <c r="B427" s="9">
        <f>LAI!D249</f>
        <v/>
      </c>
      <c r="C427" s="11" t="inlineStr">
        <is>
          <t>4.7.2</t>
        </is>
      </c>
      <c r="D427" s="10" t="n"/>
      <c r="E427" s="10" t="n"/>
    </row>
    <row r="428">
      <c r="A428" s="9" t="inlineStr">
        <is>
          <t>Q23R7C2</t>
        </is>
      </c>
      <c r="B428" s="9">
        <f>LAI!G249</f>
        <v/>
      </c>
      <c r="C428" s="11" t="inlineStr">
        <is>
          <t>4.7.2</t>
        </is>
      </c>
      <c r="D428" s="10" t="n"/>
      <c r="E428" s="10" t="n"/>
    </row>
    <row r="429">
      <c r="A429" s="9" t="inlineStr">
        <is>
          <t>Q24R1C1</t>
        </is>
      </c>
      <c r="B429" s="9">
        <f>LAI!D255</f>
        <v/>
      </c>
      <c r="C429" s="11" t="inlineStr">
        <is>
          <t>4,8</t>
        </is>
      </c>
      <c r="D429" s="10" t="n"/>
      <c r="E429" s="10" t="n"/>
    </row>
    <row r="430">
      <c r="A430" s="9" t="inlineStr">
        <is>
          <t>Q24R1C2</t>
        </is>
      </c>
      <c r="B430" s="9">
        <f>LAI!G255</f>
        <v/>
      </c>
      <c r="C430" s="11" t="inlineStr">
        <is>
          <t>4,8</t>
        </is>
      </c>
      <c r="D430" s="10" t="n"/>
      <c r="E430" s="10" t="n"/>
    </row>
    <row r="431">
      <c r="A431" s="9" t="inlineStr">
        <is>
          <t>Q24R2C1</t>
        </is>
      </c>
      <c r="B431" s="9">
        <f>LAI!D256</f>
        <v/>
      </c>
      <c r="C431" s="11" t="inlineStr">
        <is>
          <t>4,8</t>
        </is>
      </c>
      <c r="D431" s="10" t="n"/>
      <c r="E431" s="10" t="n"/>
    </row>
    <row r="432">
      <c r="A432" s="9" t="inlineStr">
        <is>
          <t>Q24R2C2</t>
        </is>
      </c>
      <c r="B432" s="9">
        <f>LAI!G256</f>
        <v/>
      </c>
      <c r="C432" s="11" t="inlineStr">
        <is>
          <t>4,8</t>
        </is>
      </c>
      <c r="D432" s="10" t="n"/>
      <c r="E432" s="10" t="n"/>
    </row>
    <row r="433">
      <c r="A433" s="9" t="inlineStr">
        <is>
          <t>Q25R1C1</t>
        </is>
      </c>
      <c r="B433" s="9">
        <f>LAI!E265</f>
        <v/>
      </c>
      <c r="C433" s="11" t="inlineStr">
        <is>
          <t>5,1</t>
        </is>
      </c>
      <c r="D433" s="10" t="n"/>
      <c r="E433" s="10" t="n"/>
    </row>
    <row r="434">
      <c r="A434" s="9" t="inlineStr">
        <is>
          <t>Q25R1C2</t>
        </is>
      </c>
      <c r="B434" s="9">
        <f>LAI!G265</f>
        <v/>
      </c>
      <c r="C434" s="11" t="inlineStr">
        <is>
          <t>5,1</t>
        </is>
      </c>
      <c r="D434" s="10" t="n"/>
      <c r="E434" s="10" t="n"/>
    </row>
    <row r="435">
      <c r="A435" s="9" t="inlineStr">
        <is>
          <t>Q25R1C3</t>
        </is>
      </c>
      <c r="B435" s="9">
        <f>LAI!I265</f>
        <v/>
      </c>
      <c r="C435" s="11" t="inlineStr">
        <is>
          <t>5,1</t>
        </is>
      </c>
      <c r="D435" s="10" t="n"/>
      <c r="E435" s="10" t="n"/>
    </row>
    <row r="436">
      <c r="A436" s="9" t="inlineStr">
        <is>
          <t>Q25R1C4</t>
        </is>
      </c>
      <c r="B436" s="9">
        <f>LAI!K265</f>
        <v/>
      </c>
      <c r="C436" s="11" t="inlineStr">
        <is>
          <t>5,1</t>
        </is>
      </c>
      <c r="D436" s="10" t="n"/>
      <c r="E436" s="10" t="n"/>
    </row>
    <row r="437">
      <c r="A437" s="9" t="inlineStr">
        <is>
          <t>Q25R2C1</t>
        </is>
      </c>
      <c r="B437" s="9">
        <f>LAI!E266</f>
        <v/>
      </c>
      <c r="C437" s="11" t="inlineStr">
        <is>
          <t>5,1</t>
        </is>
      </c>
      <c r="D437" s="10" t="n"/>
      <c r="E437" s="10" t="n"/>
    </row>
    <row r="438">
      <c r="A438" s="9" t="inlineStr">
        <is>
          <t>Q25R2C2</t>
        </is>
      </c>
      <c r="B438" s="9">
        <f>LAI!G266</f>
        <v/>
      </c>
      <c r="C438" s="11" t="inlineStr">
        <is>
          <t>5,1</t>
        </is>
      </c>
      <c r="D438" s="10" t="n"/>
      <c r="E438" s="10" t="n"/>
    </row>
    <row r="439">
      <c r="A439" s="9" t="inlineStr">
        <is>
          <t>Q25R2C3</t>
        </is>
      </c>
      <c r="B439" s="9">
        <f>LAI!I266</f>
        <v/>
      </c>
      <c r="C439" s="11" t="inlineStr">
        <is>
          <t>5,1</t>
        </is>
      </c>
      <c r="D439" s="10" t="n"/>
      <c r="E439" s="10" t="n"/>
    </row>
    <row r="440">
      <c r="A440" s="9" t="inlineStr">
        <is>
          <t>Q25R2C4</t>
        </is>
      </c>
      <c r="B440" s="9">
        <f>LAI!K266</f>
        <v/>
      </c>
      <c r="C440" s="11" t="inlineStr">
        <is>
          <t>5,1</t>
        </is>
      </c>
      <c r="D440" s="10" t="n"/>
      <c r="E440" s="10" t="n"/>
    </row>
    <row r="441">
      <c r="A441" s="9" t="inlineStr">
        <is>
          <t>Q25R3C1</t>
        </is>
      </c>
      <c r="B441" s="9">
        <f>LAI!E267</f>
        <v/>
      </c>
      <c r="C441" s="11" t="inlineStr">
        <is>
          <t>5,1</t>
        </is>
      </c>
      <c r="D441" s="10" t="n"/>
      <c r="E441" s="10" t="n"/>
    </row>
    <row r="442">
      <c r="A442" s="9" t="inlineStr">
        <is>
          <t>Q25R3C2</t>
        </is>
      </c>
      <c r="B442" s="9">
        <f>LAI!G267</f>
        <v/>
      </c>
      <c r="C442" s="11" t="inlineStr">
        <is>
          <t>5,1</t>
        </is>
      </c>
      <c r="D442" s="10" t="n"/>
      <c r="E442" s="10" t="n"/>
    </row>
    <row r="443">
      <c r="A443" s="9" t="inlineStr">
        <is>
          <t>Q25R3C3</t>
        </is>
      </c>
      <c r="B443" s="9">
        <f>LAI!I267</f>
        <v/>
      </c>
      <c r="C443" s="11" t="inlineStr">
        <is>
          <t>5,1</t>
        </is>
      </c>
      <c r="D443" s="10" t="n"/>
      <c r="E443" s="10" t="n"/>
    </row>
    <row r="444" customFormat="1" s="3">
      <c r="A444" s="9" t="inlineStr">
        <is>
          <t>Q25R3C4</t>
        </is>
      </c>
      <c r="B444" s="9">
        <f>LAI!K267</f>
        <v/>
      </c>
      <c r="C444" s="11" t="inlineStr">
        <is>
          <t>5,1</t>
        </is>
      </c>
      <c r="D444" s="10" t="n"/>
      <c r="E444" s="10" t="n"/>
    </row>
    <row r="445" customFormat="1" s="3">
      <c r="A445" s="9" t="inlineStr">
        <is>
          <t>Q25R4C1</t>
        </is>
      </c>
      <c r="B445" s="9">
        <f>LAI!E268</f>
        <v/>
      </c>
      <c r="C445" s="11" t="inlineStr">
        <is>
          <t>5,1</t>
        </is>
      </c>
      <c r="D445" s="10" t="n"/>
      <c r="E445" s="10" t="n"/>
    </row>
    <row r="446" customFormat="1" s="3">
      <c r="A446" s="9" t="inlineStr">
        <is>
          <t>Q25R4C2</t>
        </is>
      </c>
      <c r="B446" s="9">
        <f>LAI!G268</f>
        <v/>
      </c>
      <c r="C446" s="11" t="inlineStr">
        <is>
          <t>5,1</t>
        </is>
      </c>
      <c r="D446" s="10" t="n"/>
      <c r="E446" s="10" t="n"/>
    </row>
    <row r="447" customFormat="1" s="3">
      <c r="A447" s="9" t="inlineStr">
        <is>
          <t>Q25R4C3</t>
        </is>
      </c>
      <c r="B447" s="9">
        <f>LAI!I268</f>
        <v/>
      </c>
      <c r="C447" s="11" t="inlineStr">
        <is>
          <t>5,1</t>
        </is>
      </c>
      <c r="D447" s="10" t="n"/>
      <c r="E447" s="10" t="n"/>
    </row>
    <row r="448" customFormat="1" s="3">
      <c r="A448" s="9" t="inlineStr">
        <is>
          <t>Q25R4C4</t>
        </is>
      </c>
      <c r="B448" s="9">
        <f>LAI!K268</f>
        <v/>
      </c>
      <c r="C448" s="11" t="inlineStr">
        <is>
          <t>5,1</t>
        </is>
      </c>
      <c r="D448" s="10" t="n"/>
      <c r="E448" s="10" t="n"/>
    </row>
    <row r="449" customFormat="1" s="3">
      <c r="A449" s="9" t="inlineStr">
        <is>
          <t>Q25R5C1</t>
        </is>
      </c>
      <c r="B449" s="9">
        <f>LAI!E269</f>
        <v/>
      </c>
      <c r="C449" s="11" t="inlineStr">
        <is>
          <t>5,1</t>
        </is>
      </c>
      <c r="D449" s="10" t="n"/>
      <c r="E449" s="10" t="n"/>
    </row>
    <row r="450" customFormat="1" s="3">
      <c r="A450" s="9" t="inlineStr">
        <is>
          <t>Q25R5C2</t>
        </is>
      </c>
      <c r="B450" s="9">
        <f>LAI!G269</f>
        <v/>
      </c>
      <c r="C450" s="11" t="inlineStr">
        <is>
          <t>5,1</t>
        </is>
      </c>
      <c r="D450" s="10" t="n"/>
      <c r="E450" s="10" t="n"/>
    </row>
    <row r="451" customFormat="1" s="3">
      <c r="A451" s="9" t="inlineStr">
        <is>
          <t>Q25R5C3</t>
        </is>
      </c>
      <c r="B451" s="9">
        <f>LAI!I269</f>
        <v/>
      </c>
      <c r="C451" s="11" t="inlineStr">
        <is>
          <t>5,1</t>
        </is>
      </c>
      <c r="D451" s="10" t="n"/>
      <c r="E451" s="10" t="n"/>
    </row>
    <row r="452" customFormat="1" s="3">
      <c r="A452" s="9" t="inlineStr">
        <is>
          <t>Q25R5C4</t>
        </is>
      </c>
      <c r="B452" s="9">
        <f>LAI!K269</f>
        <v/>
      </c>
      <c r="C452" s="11" t="inlineStr">
        <is>
          <t>5,1</t>
        </is>
      </c>
      <c r="D452" s="10" t="n"/>
      <c r="E452" s="10" t="n"/>
    </row>
    <row r="453" customFormat="1" s="3">
      <c r="A453" s="9" t="inlineStr">
        <is>
          <t>Q25R6C1</t>
        </is>
      </c>
      <c r="B453" s="9">
        <f>LAI!E270</f>
        <v/>
      </c>
      <c r="C453" s="11" t="inlineStr">
        <is>
          <t>5,1</t>
        </is>
      </c>
      <c r="D453" s="10" t="n"/>
      <c r="E453" s="10" t="n"/>
    </row>
    <row r="454" customFormat="1" s="3">
      <c r="A454" s="9" t="inlineStr">
        <is>
          <t>Q25R6C2</t>
        </is>
      </c>
      <c r="B454" s="9">
        <f>LAI!G270</f>
        <v/>
      </c>
      <c r="C454" s="11" t="inlineStr">
        <is>
          <t>5,1</t>
        </is>
      </c>
      <c r="D454" s="10" t="n"/>
      <c r="E454" s="10" t="n"/>
    </row>
    <row r="455" customFormat="1" s="3">
      <c r="A455" s="9" t="inlineStr">
        <is>
          <t>Q25R6C3</t>
        </is>
      </c>
      <c r="B455" s="9">
        <f>LAI!I270</f>
        <v/>
      </c>
      <c r="C455" s="11" t="inlineStr">
        <is>
          <t>5,1</t>
        </is>
      </c>
      <c r="D455" s="10" t="n"/>
      <c r="E455" s="10" t="n"/>
    </row>
    <row r="456" customFormat="1" s="3">
      <c r="A456" s="9" t="inlineStr">
        <is>
          <t>Q25R6C4</t>
        </is>
      </c>
      <c r="B456" s="9">
        <f>LAI!K270</f>
        <v/>
      </c>
      <c r="C456" s="11" t="inlineStr">
        <is>
          <t>5,1</t>
        </is>
      </c>
      <c r="D456" s="10" t="n"/>
      <c r="E456" s="10" t="n"/>
    </row>
    <row r="457" customFormat="1" s="3">
      <c r="A457" s="9" t="inlineStr">
        <is>
          <t>Q25R7C1</t>
        </is>
      </c>
      <c r="B457" s="9">
        <f>LAI!E271</f>
        <v/>
      </c>
      <c r="C457" s="11" t="inlineStr">
        <is>
          <t>5,1</t>
        </is>
      </c>
      <c r="D457" s="10" t="n"/>
      <c r="E457" s="10" t="n"/>
    </row>
    <row r="458" customFormat="1" s="3">
      <c r="A458" s="9" t="inlineStr">
        <is>
          <t>Q25R7C2</t>
        </is>
      </c>
      <c r="B458" s="9">
        <f>LAI!G271</f>
        <v/>
      </c>
      <c r="C458" s="11" t="inlineStr">
        <is>
          <t>5,1</t>
        </is>
      </c>
      <c r="D458" s="10" t="n"/>
      <c r="E458" s="10" t="n"/>
    </row>
    <row r="459" customFormat="1" s="3">
      <c r="A459" s="9" t="inlineStr">
        <is>
          <t>Q25R7C3</t>
        </is>
      </c>
      <c r="B459" s="9">
        <f>LAI!I271</f>
        <v/>
      </c>
      <c r="C459" s="11" t="inlineStr">
        <is>
          <t>5,1</t>
        </is>
      </c>
      <c r="D459" s="10" t="n"/>
      <c r="E459" s="10" t="n"/>
    </row>
    <row r="460" customFormat="1" s="3">
      <c r="A460" s="9" t="inlineStr">
        <is>
          <t>Q25R7C4</t>
        </is>
      </c>
      <c r="B460" s="9">
        <f>LAI!K271</f>
        <v/>
      </c>
      <c r="C460" s="11" t="inlineStr">
        <is>
          <t>5,1</t>
        </is>
      </c>
      <c r="D460" s="10" t="n"/>
      <c r="E460" s="10" t="n"/>
    </row>
    <row r="461" customFormat="1" s="3">
      <c r="A461" s="9" t="inlineStr">
        <is>
          <t>Q26R1C1</t>
        </is>
      </c>
      <c r="B461" s="9">
        <f>LAI!E278</f>
        <v/>
      </c>
      <c r="C461" s="11" t="inlineStr">
        <is>
          <t>5,2</t>
        </is>
      </c>
      <c r="D461" s="10" t="n"/>
      <c r="E461" s="10" t="n"/>
    </row>
    <row r="462" customFormat="1" s="3">
      <c r="A462" s="9" t="inlineStr">
        <is>
          <t>Q26R1C2</t>
        </is>
      </c>
      <c r="B462" s="9">
        <f>LAI!G278</f>
        <v/>
      </c>
      <c r="C462" s="11" t="inlineStr">
        <is>
          <t>5,2</t>
        </is>
      </c>
      <c r="D462" s="10" t="n"/>
      <c r="E462" s="10" t="n"/>
    </row>
    <row r="463" customFormat="1" s="3">
      <c r="A463" s="9" t="inlineStr">
        <is>
          <t>Q26R1C3</t>
        </is>
      </c>
      <c r="B463" s="9">
        <f>LAI!I278</f>
        <v/>
      </c>
      <c r="C463" s="11" t="inlineStr">
        <is>
          <t>5,2</t>
        </is>
      </c>
      <c r="D463" s="10" t="n"/>
      <c r="E463" s="10" t="n"/>
    </row>
    <row r="464" customFormat="1" s="3">
      <c r="A464" s="9" t="inlineStr">
        <is>
          <t>Q26R1C4</t>
        </is>
      </c>
      <c r="B464" s="9">
        <f>LAI!K278</f>
        <v/>
      </c>
      <c r="C464" s="11" t="inlineStr">
        <is>
          <t>5,2</t>
        </is>
      </c>
      <c r="D464" s="10" t="n"/>
      <c r="E464" s="10" t="n"/>
    </row>
    <row r="465" customFormat="1" s="3">
      <c r="A465" s="9" t="inlineStr">
        <is>
          <t>Q26R2C1</t>
        </is>
      </c>
      <c r="B465" s="9">
        <f>LAI!E279</f>
        <v/>
      </c>
      <c r="C465" s="11" t="inlineStr">
        <is>
          <t>5,2</t>
        </is>
      </c>
      <c r="D465" s="10" t="n"/>
      <c r="E465" s="10" t="n"/>
    </row>
    <row r="466" customFormat="1" s="3">
      <c r="A466" s="9" t="inlineStr">
        <is>
          <t>Q26R2C2</t>
        </is>
      </c>
      <c r="B466" s="9">
        <f>LAI!G279</f>
        <v/>
      </c>
      <c r="C466" s="11" t="inlineStr">
        <is>
          <t>5,2</t>
        </is>
      </c>
      <c r="D466" s="10" t="n"/>
      <c r="E466" s="10" t="n"/>
    </row>
    <row r="467" customFormat="1" s="3">
      <c r="A467" s="9" t="inlineStr">
        <is>
          <t>Q26R2C3</t>
        </is>
      </c>
      <c r="B467" s="9">
        <f>LAI!I279</f>
        <v/>
      </c>
      <c r="C467" s="11" t="inlineStr">
        <is>
          <t>5,2</t>
        </is>
      </c>
      <c r="D467" s="10" t="n"/>
      <c r="E467" s="10" t="n"/>
    </row>
    <row r="468" customFormat="1" s="3">
      <c r="A468" s="9" t="inlineStr">
        <is>
          <t>Q26R2C4</t>
        </is>
      </c>
      <c r="B468" s="9">
        <f>LAI!K279</f>
        <v/>
      </c>
      <c r="C468" s="11" t="inlineStr">
        <is>
          <t>5,2</t>
        </is>
      </c>
      <c r="D468" s="10" t="n"/>
      <c r="E468" s="10" t="n"/>
    </row>
    <row r="469" customFormat="1" s="3">
      <c r="A469" s="9" t="inlineStr">
        <is>
          <t>Q26R3C1</t>
        </is>
      </c>
      <c r="B469" s="9">
        <f>LAI!E280</f>
        <v/>
      </c>
      <c r="C469" s="11" t="inlineStr">
        <is>
          <t>5,2</t>
        </is>
      </c>
      <c r="D469" s="10" t="n"/>
      <c r="E469" s="10" t="n"/>
    </row>
    <row r="470" customFormat="1" s="3">
      <c r="A470" s="9" t="inlineStr">
        <is>
          <t>Q26R3C2</t>
        </is>
      </c>
      <c r="B470" s="9">
        <f>LAI!G280</f>
        <v/>
      </c>
      <c r="C470" s="11" t="inlineStr">
        <is>
          <t>5,2</t>
        </is>
      </c>
      <c r="D470" s="10" t="n"/>
      <c r="E470" s="10" t="n"/>
    </row>
    <row r="471" customFormat="1" s="3">
      <c r="A471" s="9" t="inlineStr">
        <is>
          <t>Q26R3C3</t>
        </is>
      </c>
      <c r="B471" s="9">
        <f>LAI!I280</f>
        <v/>
      </c>
      <c r="C471" s="11" t="inlineStr">
        <is>
          <t>5,2</t>
        </is>
      </c>
      <c r="D471" s="10" t="n"/>
      <c r="E471" s="10" t="n"/>
    </row>
    <row r="472" customFormat="1" s="3">
      <c r="A472" s="9" t="inlineStr">
        <is>
          <t>Q26R3C4</t>
        </is>
      </c>
      <c r="B472" s="9">
        <f>LAI!K280</f>
        <v/>
      </c>
      <c r="C472" s="11" t="inlineStr">
        <is>
          <t>5,2</t>
        </is>
      </c>
      <c r="D472" s="10" t="n"/>
      <c r="E472" s="10" t="n"/>
    </row>
    <row r="473" customFormat="1" s="3">
      <c r="A473" s="9" t="inlineStr">
        <is>
          <t>Q26R4C1</t>
        </is>
      </c>
      <c r="B473" s="9">
        <f>LAI!E281</f>
        <v/>
      </c>
      <c r="C473" s="11" t="inlineStr">
        <is>
          <t>5,2</t>
        </is>
      </c>
      <c r="D473" s="10" t="n"/>
      <c r="E473" s="10" t="n"/>
    </row>
    <row r="474" customFormat="1" s="3">
      <c r="A474" s="9" t="inlineStr">
        <is>
          <t>Q26R4C2</t>
        </is>
      </c>
      <c r="B474" s="9">
        <f>LAI!G281</f>
        <v/>
      </c>
      <c r="C474" s="11" t="inlineStr">
        <is>
          <t>5,2</t>
        </is>
      </c>
      <c r="D474" s="10" t="n"/>
      <c r="E474" s="10" t="n"/>
    </row>
    <row r="475" customFormat="1" s="3">
      <c r="A475" s="9" t="inlineStr">
        <is>
          <t>Q26R4C3</t>
        </is>
      </c>
      <c r="B475" s="9">
        <f>LAI!I281</f>
        <v/>
      </c>
      <c r="C475" s="11" t="inlineStr">
        <is>
          <t>5,2</t>
        </is>
      </c>
      <c r="D475" s="10" t="n"/>
      <c r="E475" s="10" t="n"/>
    </row>
    <row r="476" customFormat="1" s="3">
      <c r="A476" s="9" t="inlineStr">
        <is>
          <t>Q26R4C4</t>
        </is>
      </c>
      <c r="B476" s="9">
        <f>LAI!K281</f>
        <v/>
      </c>
      <c r="C476" s="11" t="inlineStr">
        <is>
          <t>5,2</t>
        </is>
      </c>
      <c r="D476" s="10" t="n"/>
      <c r="E476" s="10" t="n"/>
    </row>
    <row r="477" customFormat="1" s="3">
      <c r="A477" s="9" t="inlineStr">
        <is>
          <t>Q26R5C1</t>
        </is>
      </c>
      <c r="B477" s="9">
        <f>LAI!E282</f>
        <v/>
      </c>
      <c r="C477" s="11" t="inlineStr">
        <is>
          <t>5,2</t>
        </is>
      </c>
      <c r="D477" s="10" t="n"/>
      <c r="E477" s="10" t="n"/>
    </row>
    <row r="478" customFormat="1" s="3">
      <c r="A478" s="9" t="inlineStr">
        <is>
          <t>Q26R5C2</t>
        </is>
      </c>
      <c r="B478" s="9">
        <f>LAI!G282</f>
        <v/>
      </c>
      <c r="C478" s="11" t="inlineStr">
        <is>
          <t>5,2</t>
        </is>
      </c>
      <c r="D478" s="10" t="n"/>
      <c r="E478" s="10" t="n"/>
    </row>
    <row r="479" customFormat="1" s="3">
      <c r="A479" s="9" t="inlineStr">
        <is>
          <t>Q26R5C3</t>
        </is>
      </c>
      <c r="B479" s="9">
        <f>LAI!I282</f>
        <v/>
      </c>
      <c r="C479" s="11" t="inlineStr">
        <is>
          <t>5,2</t>
        </is>
      </c>
      <c r="D479" s="10" t="n"/>
      <c r="E479" s="10" t="n"/>
    </row>
    <row r="480" customFormat="1" s="3">
      <c r="A480" s="9" t="inlineStr">
        <is>
          <t>Q26R5C4</t>
        </is>
      </c>
      <c r="B480" s="9">
        <f>LAI!K282</f>
        <v/>
      </c>
      <c r="C480" s="11" t="inlineStr">
        <is>
          <t>5,2</t>
        </is>
      </c>
      <c r="D480" s="10" t="n"/>
      <c r="E480" s="10" t="n"/>
    </row>
    <row r="481" customFormat="1" s="3">
      <c r="A481" s="9" t="inlineStr">
        <is>
          <t>Q26R6C1</t>
        </is>
      </c>
      <c r="B481" s="9">
        <f>LAI!E283</f>
        <v/>
      </c>
      <c r="C481" s="11" t="inlineStr">
        <is>
          <t>5,2</t>
        </is>
      </c>
      <c r="D481" s="10" t="n"/>
      <c r="E481" s="10" t="n"/>
    </row>
    <row r="482" customFormat="1" s="3">
      <c r="A482" s="9" t="inlineStr">
        <is>
          <t>Q26R6C2</t>
        </is>
      </c>
      <c r="B482" s="9">
        <f>LAI!G283</f>
        <v/>
      </c>
      <c r="C482" s="11" t="inlineStr">
        <is>
          <t>5,2</t>
        </is>
      </c>
      <c r="D482" s="10" t="n"/>
      <c r="E482" s="10" t="n"/>
    </row>
    <row r="483" customFormat="1" s="3">
      <c r="A483" s="9" t="inlineStr">
        <is>
          <t>Q26R6C3</t>
        </is>
      </c>
      <c r="B483" s="9">
        <f>LAI!I283</f>
        <v/>
      </c>
      <c r="C483" s="11" t="inlineStr">
        <is>
          <t>5,2</t>
        </is>
      </c>
      <c r="D483" s="10" t="n"/>
      <c r="E483" s="10" t="n"/>
    </row>
    <row r="484" customFormat="1" s="3">
      <c r="A484" s="9" t="inlineStr">
        <is>
          <t>Q26R6C4</t>
        </is>
      </c>
      <c r="B484" s="9">
        <f>LAI!K283</f>
        <v/>
      </c>
      <c r="C484" s="11" t="inlineStr">
        <is>
          <t>5,2</t>
        </is>
      </c>
      <c r="D484" s="10" t="n"/>
      <c r="E484" s="10" t="n"/>
    </row>
    <row r="485" customFormat="1" s="3">
      <c r="A485" s="9" t="inlineStr">
        <is>
          <t>Q27R1C1</t>
        </is>
      </c>
      <c r="B485" s="9">
        <f>LAI!C290</f>
        <v/>
      </c>
      <c r="C485" s="11" t="n">
        <v>6</v>
      </c>
      <c r="D485" s="10" t="n"/>
      <c r="E485" s="10" t="n"/>
    </row>
    <row r="486" customFormat="1" s="3">
      <c r="A486" s="9" t="inlineStr">
        <is>
          <t>Q27R1C2</t>
        </is>
      </c>
      <c r="B486" s="9">
        <f>LAI!E290</f>
        <v/>
      </c>
      <c r="C486" s="11" t="n">
        <v>6</v>
      </c>
      <c r="D486" s="10" t="n"/>
      <c r="E486" s="10" t="n"/>
    </row>
    <row r="487" customFormat="1" s="3">
      <c r="A487" s="12" t="inlineStr">
        <is>
          <t>Q27R1C3</t>
        </is>
      </c>
      <c r="B487" s="12">
        <f>LAI!F290</f>
        <v/>
      </c>
      <c r="C487" s="13" t="n">
        <v>6</v>
      </c>
      <c r="D487" s="10" t="n"/>
      <c r="E487" s="10" t="n"/>
    </row>
    <row r="488" customFormat="1" s="3">
      <c r="A488" s="12" t="inlineStr">
        <is>
          <t>Q27R1C4</t>
        </is>
      </c>
      <c r="B488" s="12">
        <f>LAI!H290</f>
        <v/>
      </c>
      <c r="C488" s="13" t="n">
        <v>6</v>
      </c>
      <c r="D488" s="10" t="n"/>
      <c r="E488" s="10" t="n"/>
    </row>
    <row r="489" customFormat="1" s="3">
      <c r="A489" s="12" t="inlineStr">
        <is>
          <t>Q27R1C5</t>
        </is>
      </c>
      <c r="B489" s="12">
        <f>LAI!I290</f>
        <v/>
      </c>
      <c r="C489" s="13" t="n">
        <v>6</v>
      </c>
      <c r="D489" s="10" t="n"/>
      <c r="E489" s="10" t="n"/>
    </row>
    <row r="490" customFormat="1" s="3">
      <c r="A490" s="12" t="inlineStr">
        <is>
          <t>Q27R1C6</t>
        </is>
      </c>
      <c r="B490" s="12">
        <f>LAI!K290</f>
        <v/>
      </c>
      <c r="C490" s="13" t="n">
        <v>6</v>
      </c>
      <c r="D490" s="10" t="n"/>
      <c r="E490" s="10" t="n"/>
    </row>
    <row r="491" customFormat="1" s="3">
      <c r="A491" s="9" t="inlineStr">
        <is>
          <t>Q27R2C1</t>
        </is>
      </c>
      <c r="B491" s="9">
        <f>LAI!C291</f>
        <v/>
      </c>
      <c r="C491" s="11" t="n">
        <v>6</v>
      </c>
      <c r="D491" s="10" t="n"/>
      <c r="E491" s="10" t="n"/>
    </row>
    <row r="492" customFormat="1" s="3">
      <c r="A492" s="9" t="inlineStr">
        <is>
          <t>Q27R2C2</t>
        </is>
      </c>
      <c r="B492" s="9">
        <f>LAI!E291</f>
        <v/>
      </c>
      <c r="C492" s="11" t="n">
        <v>6</v>
      </c>
      <c r="D492" s="10" t="n"/>
      <c r="E492" s="10" t="n"/>
    </row>
    <row r="493" customFormat="1" s="3">
      <c r="A493" s="12" t="inlineStr">
        <is>
          <t>Q27R2C3</t>
        </is>
      </c>
      <c r="B493" s="12">
        <f>LAI!F291</f>
        <v/>
      </c>
      <c r="C493" s="13" t="n">
        <v>6</v>
      </c>
      <c r="D493" s="10" t="n"/>
      <c r="E493" s="10" t="n"/>
    </row>
    <row r="494" customFormat="1" s="3">
      <c r="A494" s="12" t="inlineStr">
        <is>
          <t>Q27R2C4</t>
        </is>
      </c>
      <c r="B494" s="12">
        <f>LAI!H291</f>
        <v/>
      </c>
      <c r="C494" s="13" t="n">
        <v>6</v>
      </c>
      <c r="D494" s="10" t="n"/>
      <c r="E494" s="10" t="n"/>
    </row>
    <row r="495" customFormat="1" s="3">
      <c r="A495" s="12" t="inlineStr">
        <is>
          <t>Q27R2C5</t>
        </is>
      </c>
      <c r="B495" s="12">
        <f>LAI!I291</f>
        <v/>
      </c>
      <c r="C495" s="13" t="n">
        <v>6</v>
      </c>
      <c r="D495" s="10" t="n"/>
      <c r="E495" s="10" t="n"/>
    </row>
    <row r="496" customFormat="1" s="3">
      <c r="A496" s="12" t="inlineStr">
        <is>
          <t>Q27R2C6</t>
        </is>
      </c>
      <c r="B496" s="12">
        <f>LAI!K291</f>
        <v/>
      </c>
      <c r="C496" s="13" t="n">
        <v>6</v>
      </c>
      <c r="D496" s="10" t="n"/>
      <c r="E496" s="10" t="n"/>
    </row>
    <row r="497" customFormat="1" s="3">
      <c r="A497" s="9" t="inlineStr">
        <is>
          <t>Q28R1C1</t>
        </is>
      </c>
      <c r="B497" s="9">
        <f>LAI!E299</f>
        <v/>
      </c>
      <c r="C497" s="11" t="inlineStr">
        <is>
          <t>7,1</t>
        </is>
      </c>
      <c r="D497" s="10" t="n"/>
      <c r="E497" s="10" t="n"/>
    </row>
    <row r="498" customFormat="1" s="3">
      <c r="A498" s="9" t="inlineStr">
        <is>
          <t>Q28R1C2</t>
        </is>
      </c>
      <c r="B498" s="9">
        <f>LAI!G299</f>
        <v/>
      </c>
      <c r="C498" s="11" t="inlineStr">
        <is>
          <t>7,1</t>
        </is>
      </c>
      <c r="D498" s="10" t="n"/>
      <c r="E498" s="10" t="n"/>
    </row>
    <row r="499" customFormat="1" s="3">
      <c r="A499" s="9" t="inlineStr">
        <is>
          <t>Q28R1C3</t>
        </is>
      </c>
      <c r="B499" s="9">
        <f>LAI!I299</f>
        <v/>
      </c>
      <c r="C499" s="11" t="inlineStr">
        <is>
          <t>7,1</t>
        </is>
      </c>
      <c r="D499" s="10" t="n"/>
      <c r="E499" s="10" t="n"/>
    </row>
    <row r="500" customFormat="1" s="3">
      <c r="A500" s="9" t="inlineStr">
        <is>
          <t>Q28R1C4</t>
        </is>
      </c>
      <c r="B500" s="9">
        <f>LAI!K299</f>
        <v/>
      </c>
      <c r="C500" s="11" t="inlineStr">
        <is>
          <t>7,1</t>
        </is>
      </c>
      <c r="D500" s="10" t="n"/>
      <c r="E500" s="10" t="n"/>
    </row>
    <row r="501" customFormat="1" s="3">
      <c r="A501" s="9" t="inlineStr">
        <is>
          <t>Q28R2C1</t>
        </is>
      </c>
      <c r="B501" s="9">
        <f>LAI!E300</f>
        <v/>
      </c>
      <c r="C501" s="11" t="inlineStr">
        <is>
          <t>7,1</t>
        </is>
      </c>
      <c r="D501" s="10" t="n"/>
      <c r="E501" s="10" t="n"/>
    </row>
    <row r="502" customFormat="1" s="3">
      <c r="A502" s="9" t="inlineStr">
        <is>
          <t>Q28R2C2</t>
        </is>
      </c>
      <c r="B502" s="9">
        <f>LAI!G300</f>
        <v/>
      </c>
      <c r="C502" s="11" t="inlineStr">
        <is>
          <t>7,1</t>
        </is>
      </c>
      <c r="D502" s="10" t="n"/>
      <c r="E502" s="10" t="n"/>
    </row>
    <row r="503" customFormat="1" s="3">
      <c r="A503" s="9" t="inlineStr">
        <is>
          <t>Q28R2C3</t>
        </is>
      </c>
      <c r="B503" s="9">
        <f>LAI!I300</f>
        <v/>
      </c>
      <c r="C503" s="11" t="inlineStr">
        <is>
          <t>7,1</t>
        </is>
      </c>
      <c r="D503" s="10" t="n"/>
      <c r="E503" s="10" t="n"/>
    </row>
    <row r="504" customFormat="1" s="3">
      <c r="A504" s="9" t="inlineStr">
        <is>
          <t>Q28R2C4</t>
        </is>
      </c>
      <c r="B504" s="9">
        <f>LAI!K300</f>
        <v/>
      </c>
      <c r="C504" s="11" t="inlineStr">
        <is>
          <t>7,1</t>
        </is>
      </c>
      <c r="D504" s="10" t="n"/>
      <c r="E504" s="10" t="n"/>
    </row>
    <row r="505" customFormat="1" s="3">
      <c r="A505" s="9" t="inlineStr">
        <is>
          <t>Q28R3C1</t>
        </is>
      </c>
      <c r="B505" s="9">
        <f>LAI!E302</f>
        <v/>
      </c>
      <c r="C505" s="11" t="inlineStr">
        <is>
          <t>7,1</t>
        </is>
      </c>
      <c r="D505" s="10" t="n"/>
      <c r="E505" s="10" t="n"/>
    </row>
    <row r="506" customFormat="1" s="3">
      <c r="A506" s="9" t="inlineStr">
        <is>
          <t>Q28R3C2</t>
        </is>
      </c>
      <c r="B506" s="9">
        <f>LAI!G302</f>
        <v/>
      </c>
      <c r="C506" s="11" t="inlineStr">
        <is>
          <t>7,1</t>
        </is>
      </c>
      <c r="D506" s="10" t="n"/>
      <c r="E506" s="10" t="n"/>
    </row>
    <row r="507" customFormat="1" s="3">
      <c r="A507" s="9" t="inlineStr">
        <is>
          <t>Q28R3C3</t>
        </is>
      </c>
      <c r="B507" s="9">
        <f>LAI!I302</f>
        <v/>
      </c>
      <c r="C507" s="11" t="inlineStr">
        <is>
          <t>7,1</t>
        </is>
      </c>
      <c r="D507" s="10" t="n"/>
      <c r="E507" s="10" t="n"/>
    </row>
    <row r="508" customFormat="1" s="3">
      <c r="A508" s="9" t="inlineStr">
        <is>
          <t>Q28R3C4</t>
        </is>
      </c>
      <c r="B508" s="9">
        <f>LAI!K302</f>
        <v/>
      </c>
      <c r="C508" s="11" t="inlineStr">
        <is>
          <t>7,1</t>
        </is>
      </c>
      <c r="D508" s="10" t="n"/>
      <c r="E508" s="10" t="n"/>
    </row>
    <row r="509" customFormat="1" s="3">
      <c r="A509" s="12" t="inlineStr">
        <is>
          <t>Q28R4C1</t>
        </is>
      </c>
      <c r="B509" s="12">
        <f>LAI!E303</f>
        <v/>
      </c>
      <c r="C509" s="13" t="inlineStr">
        <is>
          <t>7,1</t>
        </is>
      </c>
      <c r="D509" s="10" t="n"/>
      <c r="E509" s="10" t="n"/>
    </row>
    <row r="510" customFormat="1" s="3">
      <c r="A510" s="12" t="inlineStr">
        <is>
          <t>Q28R4C2</t>
        </is>
      </c>
      <c r="B510" s="12">
        <f>LAI!G303</f>
        <v/>
      </c>
      <c r="C510" s="13" t="inlineStr">
        <is>
          <t>7,1</t>
        </is>
      </c>
      <c r="D510" s="10" t="n"/>
      <c r="E510" s="10" t="n"/>
    </row>
    <row r="511" customFormat="1" s="3">
      <c r="A511" s="12" t="inlineStr">
        <is>
          <t>Q28R4C3</t>
        </is>
      </c>
      <c r="B511" s="12">
        <f>LAI!I303</f>
        <v/>
      </c>
      <c r="C511" s="13" t="inlineStr">
        <is>
          <t>7,1</t>
        </is>
      </c>
      <c r="D511" s="10" t="n"/>
      <c r="E511" s="10" t="n"/>
    </row>
    <row r="512" customFormat="1" s="3">
      <c r="A512" s="12" t="inlineStr">
        <is>
          <t>Q28R4C4</t>
        </is>
      </c>
      <c r="B512" s="12">
        <f>LAI!K303</f>
        <v/>
      </c>
      <c r="C512" s="13" t="inlineStr">
        <is>
          <t>7,1</t>
        </is>
      </c>
      <c r="D512" s="10" t="n"/>
      <c r="E512" s="10" t="n"/>
    </row>
    <row r="513" customFormat="1" s="3">
      <c r="A513" s="12" t="inlineStr">
        <is>
          <t>Q28R5C1</t>
        </is>
      </c>
      <c r="B513" s="12">
        <f>LAI!E304</f>
        <v/>
      </c>
      <c r="C513" s="13" t="inlineStr">
        <is>
          <t>7,1</t>
        </is>
      </c>
      <c r="D513" s="10" t="n"/>
      <c r="E513" s="10" t="n"/>
    </row>
    <row r="514">
      <c r="A514" s="12" t="inlineStr">
        <is>
          <t>Q28R5C2</t>
        </is>
      </c>
      <c r="B514" s="12">
        <f>LAI!G304</f>
        <v/>
      </c>
      <c r="C514" s="13" t="inlineStr">
        <is>
          <t>7,1</t>
        </is>
      </c>
      <c r="D514" s="10" t="n"/>
      <c r="E514" s="10" t="n"/>
    </row>
    <row r="515">
      <c r="A515" s="12" t="inlineStr">
        <is>
          <t>Q28R5C3</t>
        </is>
      </c>
      <c r="B515" s="12">
        <f>LAI!I304</f>
        <v/>
      </c>
      <c r="C515" s="13" t="inlineStr">
        <is>
          <t>7,1</t>
        </is>
      </c>
      <c r="D515" s="10" t="n"/>
      <c r="E515" s="10" t="n"/>
    </row>
    <row r="516">
      <c r="A516" s="12" t="inlineStr">
        <is>
          <t>Q28R5C4</t>
        </is>
      </c>
      <c r="B516" s="12">
        <f>LAI!K304</f>
        <v/>
      </c>
      <c r="C516" s="13" t="inlineStr">
        <is>
          <t>7,1</t>
        </is>
      </c>
      <c r="D516" s="10" t="n"/>
      <c r="E516" s="10" t="n"/>
    </row>
    <row r="517">
      <c r="A517" s="9" t="inlineStr">
        <is>
          <t>Q29R1C1</t>
        </is>
      </c>
      <c r="B517" s="9">
        <f>LAI!E310</f>
        <v/>
      </c>
      <c r="C517" s="11" t="inlineStr">
        <is>
          <t>7,2</t>
        </is>
      </c>
      <c r="D517" s="10" t="n"/>
      <c r="E517" s="10" t="n"/>
    </row>
    <row r="518">
      <c r="A518" s="9" t="inlineStr">
        <is>
          <t>Q29R1C2</t>
        </is>
      </c>
      <c r="B518" s="9">
        <f>LAI!F310</f>
        <v/>
      </c>
      <c r="C518" s="11" t="inlineStr">
        <is>
          <t>7,2</t>
        </is>
      </c>
      <c r="D518" s="10" t="n"/>
      <c r="E518" s="10" t="n"/>
    </row>
    <row r="519">
      <c r="A519" s="9" t="inlineStr">
        <is>
          <t>Q29R1C3</t>
        </is>
      </c>
      <c r="B519" s="9">
        <f>LAI!G310</f>
        <v/>
      </c>
      <c r="C519" s="11" t="inlineStr">
        <is>
          <t>7,2</t>
        </is>
      </c>
      <c r="D519" s="10" t="n"/>
      <c r="E519" s="10" t="n"/>
    </row>
    <row r="520">
      <c r="A520" s="9" t="inlineStr">
        <is>
          <t>Q29R1C4</t>
        </is>
      </c>
      <c r="B520" s="9">
        <f>LAI!H310</f>
        <v/>
      </c>
      <c r="C520" s="11" t="inlineStr">
        <is>
          <t>7,2</t>
        </is>
      </c>
      <c r="D520" s="10" t="n"/>
      <c r="E520" s="10" t="n"/>
    </row>
    <row r="521">
      <c r="A521" s="9" t="inlineStr">
        <is>
          <t>Q29R1C5</t>
        </is>
      </c>
      <c r="B521" s="9">
        <f>LAI!I310</f>
        <v/>
      </c>
      <c r="C521" s="11" t="inlineStr">
        <is>
          <t>7,2</t>
        </is>
      </c>
      <c r="D521" s="10" t="n"/>
      <c r="E521" s="10" t="n"/>
    </row>
    <row r="522">
      <c r="A522" s="9" t="inlineStr">
        <is>
          <t>Q29R1C6</t>
        </is>
      </c>
      <c r="B522" s="9">
        <f>LAI!J310</f>
        <v/>
      </c>
      <c r="C522" s="11" t="inlineStr">
        <is>
          <t>7,2</t>
        </is>
      </c>
      <c r="D522" s="10" t="n"/>
      <c r="E522" s="10" t="n"/>
    </row>
    <row r="523">
      <c r="A523" s="9" t="inlineStr">
        <is>
          <t>Q29R1C7</t>
        </is>
      </c>
      <c r="B523" s="9">
        <f>LAI!K310</f>
        <v/>
      </c>
      <c r="C523" s="11" t="inlineStr">
        <is>
          <t>7,2</t>
        </is>
      </c>
      <c r="D523" s="10" t="n"/>
      <c r="E523" s="10" t="n"/>
    </row>
    <row r="524">
      <c r="A524" s="9" t="inlineStr">
        <is>
          <t>Q29R2C1</t>
        </is>
      </c>
      <c r="B524" s="9">
        <f>LAI!E311</f>
        <v/>
      </c>
      <c r="C524" s="11" t="inlineStr">
        <is>
          <t>7,2</t>
        </is>
      </c>
      <c r="D524" s="10" t="n"/>
      <c r="E524" s="10" t="n"/>
    </row>
    <row r="525">
      <c r="A525" s="9" t="inlineStr">
        <is>
          <t>Q29R2C2</t>
        </is>
      </c>
      <c r="B525" s="9">
        <f>LAI!F311</f>
        <v/>
      </c>
      <c r="C525" s="11" t="inlineStr">
        <is>
          <t>7,2</t>
        </is>
      </c>
      <c r="D525" s="10" t="n"/>
      <c r="E525" s="10" t="n"/>
    </row>
    <row r="526">
      <c r="A526" s="9" t="inlineStr">
        <is>
          <t>Q29R2C3</t>
        </is>
      </c>
      <c r="B526" s="9">
        <f>LAI!G311</f>
        <v/>
      </c>
      <c r="C526" s="11" t="inlineStr">
        <is>
          <t>7,2</t>
        </is>
      </c>
      <c r="D526" s="10" t="n"/>
      <c r="E526" s="10" t="n"/>
    </row>
    <row r="527">
      <c r="A527" s="9" t="inlineStr">
        <is>
          <t>Q29R2C4</t>
        </is>
      </c>
      <c r="B527" s="9">
        <f>LAI!H311</f>
        <v/>
      </c>
      <c r="C527" s="11" t="inlineStr">
        <is>
          <t>7,2</t>
        </is>
      </c>
      <c r="D527" s="10" t="n"/>
      <c r="E527" s="10" t="n"/>
    </row>
    <row r="528">
      <c r="A528" s="9" t="inlineStr">
        <is>
          <t>Q29R2C5</t>
        </is>
      </c>
      <c r="B528" s="9">
        <f>LAI!I311</f>
        <v/>
      </c>
      <c r="C528" s="11" t="inlineStr">
        <is>
          <t>7,2</t>
        </is>
      </c>
      <c r="D528" s="10" t="n"/>
      <c r="E528" s="10" t="n"/>
    </row>
    <row r="529">
      <c r="A529" s="9" t="inlineStr">
        <is>
          <t>Q29R2C6</t>
        </is>
      </c>
      <c r="B529" s="9">
        <f>LAI!J311</f>
        <v/>
      </c>
      <c r="C529" s="11" t="inlineStr">
        <is>
          <t>7,2</t>
        </is>
      </c>
      <c r="D529" s="10" t="n"/>
      <c r="E529" s="10" t="n"/>
    </row>
    <row r="530">
      <c r="A530" s="9" t="inlineStr">
        <is>
          <t>Q29R2C7</t>
        </is>
      </c>
      <c r="B530" s="9">
        <f>LAI!K311</f>
        <v/>
      </c>
      <c r="C530" s="11" t="inlineStr">
        <is>
          <t>7,2</t>
        </is>
      </c>
      <c r="D530" s="10" t="n"/>
      <c r="E530" s="10" t="n"/>
    </row>
    <row r="531">
      <c r="A531" s="9" t="inlineStr">
        <is>
          <t>Q29R3C1</t>
        </is>
      </c>
      <c r="B531" s="9">
        <f>LAI!E312</f>
        <v/>
      </c>
      <c r="C531" s="11" t="inlineStr">
        <is>
          <t>7,2</t>
        </is>
      </c>
      <c r="D531" s="10" t="n"/>
      <c r="E531" s="10" t="n"/>
    </row>
    <row r="532">
      <c r="A532" s="9" t="inlineStr">
        <is>
          <t>Q29R3C2</t>
        </is>
      </c>
      <c r="B532" s="9">
        <f>LAI!F312</f>
        <v/>
      </c>
      <c r="C532" s="11" t="inlineStr">
        <is>
          <t>7,2</t>
        </is>
      </c>
      <c r="D532" s="10" t="n"/>
      <c r="E532" s="10" t="n"/>
    </row>
    <row r="533">
      <c r="A533" s="9" t="inlineStr">
        <is>
          <t>Q29R3C3</t>
        </is>
      </c>
      <c r="B533" s="9">
        <f>LAI!G312</f>
        <v/>
      </c>
      <c r="C533" s="11" t="inlineStr">
        <is>
          <t>7,2</t>
        </is>
      </c>
      <c r="D533" s="10" t="n"/>
      <c r="E533" s="10" t="n"/>
    </row>
    <row r="534">
      <c r="A534" s="9" t="inlineStr">
        <is>
          <t>Q29R3C4</t>
        </is>
      </c>
      <c r="B534" s="9">
        <f>LAI!H312</f>
        <v/>
      </c>
      <c r="C534" s="11" t="inlineStr">
        <is>
          <t>7,2</t>
        </is>
      </c>
      <c r="D534" s="10" t="n"/>
      <c r="E534" s="10" t="n"/>
    </row>
    <row r="535">
      <c r="A535" s="9" t="inlineStr">
        <is>
          <t>Q29R3C5</t>
        </is>
      </c>
      <c r="B535" s="9">
        <f>LAI!I312</f>
        <v/>
      </c>
      <c r="C535" s="11" t="inlineStr">
        <is>
          <t>7,2</t>
        </is>
      </c>
      <c r="D535" s="10" t="n"/>
      <c r="E535" s="10" t="n"/>
    </row>
    <row r="536">
      <c r="A536" s="9" t="inlineStr">
        <is>
          <t>Q29R3C6</t>
        </is>
      </c>
      <c r="B536" s="9">
        <f>LAI!J312</f>
        <v/>
      </c>
      <c r="C536" s="11" t="inlineStr">
        <is>
          <t>7,2</t>
        </is>
      </c>
      <c r="D536" s="10" t="n"/>
      <c r="E536" s="10" t="n"/>
    </row>
    <row r="537">
      <c r="A537" s="9" t="inlineStr">
        <is>
          <t>Q29R3C7</t>
        </is>
      </c>
      <c r="B537" s="9">
        <f>LAI!K312</f>
        <v/>
      </c>
      <c r="C537" s="11" t="inlineStr">
        <is>
          <t>7,2</t>
        </is>
      </c>
      <c r="D537" s="10" t="n"/>
      <c r="E537" s="10" t="n"/>
    </row>
    <row r="538">
      <c r="A538" s="9" t="inlineStr">
        <is>
          <t>Q29R4C1</t>
        </is>
      </c>
      <c r="B538" s="9">
        <f>LAI!E313</f>
        <v/>
      </c>
      <c r="C538" s="11" t="inlineStr">
        <is>
          <t>7,2</t>
        </is>
      </c>
      <c r="D538" s="10" t="n"/>
      <c r="E538" s="10" t="n"/>
    </row>
    <row r="539">
      <c r="A539" s="9" t="inlineStr">
        <is>
          <t>Q29R4C2</t>
        </is>
      </c>
      <c r="B539" s="9">
        <f>LAI!F313</f>
        <v/>
      </c>
      <c r="C539" s="11" t="inlineStr">
        <is>
          <t>7,2</t>
        </is>
      </c>
      <c r="D539" s="10" t="n"/>
      <c r="E539" s="10" t="n"/>
    </row>
    <row r="540">
      <c r="A540" s="9" t="inlineStr">
        <is>
          <t>Q29R4C3</t>
        </is>
      </c>
      <c r="B540" s="9">
        <f>LAI!G313</f>
        <v/>
      </c>
      <c r="C540" s="11" t="inlineStr">
        <is>
          <t>7,2</t>
        </is>
      </c>
      <c r="D540" s="10" t="n"/>
      <c r="E540" s="10" t="n"/>
    </row>
    <row r="541">
      <c r="A541" s="9" t="inlineStr">
        <is>
          <t>Q29R4C4</t>
        </is>
      </c>
      <c r="B541" s="9">
        <f>LAI!H313</f>
        <v/>
      </c>
      <c r="C541" s="11" t="inlineStr">
        <is>
          <t>7,2</t>
        </is>
      </c>
      <c r="D541" s="10" t="n"/>
      <c r="E541" s="10" t="n"/>
    </row>
    <row r="542">
      <c r="A542" s="9" t="inlineStr">
        <is>
          <t>Q29R4C5</t>
        </is>
      </c>
      <c r="B542" s="9">
        <f>LAI!I313</f>
        <v/>
      </c>
      <c r="C542" s="11" t="inlineStr">
        <is>
          <t>7,2</t>
        </is>
      </c>
      <c r="D542" s="10" t="n"/>
      <c r="E542" s="10" t="n"/>
    </row>
    <row r="543">
      <c r="A543" s="9" t="inlineStr">
        <is>
          <t>Q29R4C6</t>
        </is>
      </c>
      <c r="B543" s="9">
        <f>LAI!J313</f>
        <v/>
      </c>
      <c r="C543" s="11" t="inlineStr">
        <is>
          <t>7,2</t>
        </is>
      </c>
      <c r="D543" s="10" t="n"/>
      <c r="E543" s="10" t="n"/>
    </row>
    <row r="544">
      <c r="A544" s="9" t="inlineStr">
        <is>
          <t>Q29R4C7</t>
        </is>
      </c>
      <c r="B544" s="9">
        <f>LAI!K313</f>
        <v/>
      </c>
      <c r="C544" s="11" t="inlineStr">
        <is>
          <t>7,2</t>
        </is>
      </c>
      <c r="D544" s="10" t="n"/>
      <c r="E544" s="10" t="n"/>
    </row>
    <row r="545">
      <c r="A545" s="9" t="inlineStr">
        <is>
          <t>Q29R5C1</t>
        </is>
      </c>
      <c r="B545" s="9">
        <f>LAI!E314</f>
        <v/>
      </c>
      <c r="C545" s="11" t="inlineStr">
        <is>
          <t>7,2</t>
        </is>
      </c>
      <c r="D545" s="10" t="n"/>
      <c r="E545" s="10" t="n"/>
    </row>
    <row r="546">
      <c r="A546" s="9" t="inlineStr">
        <is>
          <t>Q29R5C2</t>
        </is>
      </c>
      <c r="B546" s="9">
        <f>LAI!F314</f>
        <v/>
      </c>
      <c r="C546" s="11" t="inlineStr">
        <is>
          <t>7,2</t>
        </is>
      </c>
      <c r="D546" s="10" t="n"/>
      <c r="E546" s="10" t="n"/>
    </row>
    <row r="547">
      <c r="A547" s="9" t="inlineStr">
        <is>
          <t>Q29R5C3</t>
        </is>
      </c>
      <c r="B547" s="9">
        <f>LAI!G314</f>
        <v/>
      </c>
      <c r="C547" s="11" t="inlineStr">
        <is>
          <t>7,2</t>
        </is>
      </c>
      <c r="D547" s="10" t="n"/>
      <c r="E547" s="10" t="n"/>
    </row>
    <row r="548">
      <c r="A548" s="9" t="inlineStr">
        <is>
          <t>Q29R5C4</t>
        </is>
      </c>
      <c r="B548" s="9">
        <f>LAI!H313</f>
        <v/>
      </c>
      <c r="C548" s="11" t="inlineStr">
        <is>
          <t>7,2</t>
        </is>
      </c>
      <c r="D548" s="10" t="n"/>
      <c r="E548" s="10" t="n"/>
    </row>
    <row r="549">
      <c r="A549" s="9" t="inlineStr">
        <is>
          <t>Q29R5C5</t>
        </is>
      </c>
      <c r="B549" s="9">
        <f>LAI!I314</f>
        <v/>
      </c>
      <c r="C549" s="11" t="inlineStr">
        <is>
          <t>7,2</t>
        </is>
      </c>
      <c r="D549" s="10" t="n"/>
      <c r="E549" s="10" t="n"/>
    </row>
    <row r="550">
      <c r="A550" s="9" t="inlineStr">
        <is>
          <t>Q29R5C6</t>
        </is>
      </c>
      <c r="B550" s="9">
        <f>LAI!J314</f>
        <v/>
      </c>
      <c r="C550" s="11" t="inlineStr">
        <is>
          <t>7,2</t>
        </is>
      </c>
      <c r="D550" s="10" t="n"/>
      <c r="E550" s="10" t="n"/>
    </row>
    <row r="551">
      <c r="A551" s="9" t="inlineStr">
        <is>
          <t>Q29R5C7</t>
        </is>
      </c>
      <c r="B551" s="9">
        <f>LAI!K314</f>
        <v/>
      </c>
      <c r="C551" s="11" t="inlineStr">
        <is>
          <t>7,2</t>
        </is>
      </c>
      <c r="D551" s="10" t="n"/>
      <c r="E551" s="10" t="n"/>
    </row>
    <row r="552">
      <c r="A552" s="9" t="inlineStr">
        <is>
          <t>Q29R6C1</t>
        </is>
      </c>
      <c r="B552" s="9">
        <f>LAI!E315</f>
        <v/>
      </c>
      <c r="C552" s="11" t="inlineStr">
        <is>
          <t>7,2</t>
        </is>
      </c>
      <c r="D552" s="10" t="n"/>
      <c r="E552" s="10" t="n"/>
    </row>
    <row r="553">
      <c r="A553" s="9" t="inlineStr">
        <is>
          <t>Q29R6C2</t>
        </is>
      </c>
      <c r="B553" s="9">
        <f>LAI!F315</f>
        <v/>
      </c>
      <c r="C553" s="11" t="inlineStr">
        <is>
          <t>7,2</t>
        </is>
      </c>
      <c r="D553" s="10" t="n"/>
      <c r="E553" s="10" t="n"/>
    </row>
    <row r="554">
      <c r="A554" s="9" t="inlineStr">
        <is>
          <t>Q29R6C3</t>
        </is>
      </c>
      <c r="B554" s="9">
        <f>LAI!G315</f>
        <v/>
      </c>
      <c r="C554" s="11" t="inlineStr">
        <is>
          <t>7,2</t>
        </is>
      </c>
      <c r="D554" s="10" t="n"/>
      <c r="E554" s="10" t="n"/>
    </row>
    <row r="555">
      <c r="A555" s="9" t="inlineStr">
        <is>
          <t>Q29R6C4</t>
        </is>
      </c>
      <c r="B555" s="9">
        <f>LAI!H315</f>
        <v/>
      </c>
      <c r="C555" s="11" t="inlineStr">
        <is>
          <t>7,2</t>
        </is>
      </c>
      <c r="D555" s="10" t="n"/>
      <c r="E555" s="10" t="n"/>
    </row>
    <row r="556">
      <c r="A556" s="9" t="inlineStr">
        <is>
          <t>Q29R6C5</t>
        </is>
      </c>
      <c r="B556" s="9">
        <f>LAI!I315</f>
        <v/>
      </c>
      <c r="C556" s="11" t="inlineStr">
        <is>
          <t>7,2</t>
        </is>
      </c>
      <c r="D556" s="10" t="n"/>
      <c r="E556" s="10" t="n"/>
    </row>
    <row r="557">
      <c r="A557" s="9" t="inlineStr">
        <is>
          <t>Q29R6C6</t>
        </is>
      </c>
      <c r="B557" s="9">
        <f>LAI!J315</f>
        <v/>
      </c>
      <c r="C557" s="11" t="inlineStr">
        <is>
          <t>7,2</t>
        </is>
      </c>
      <c r="D557" s="10" t="n"/>
      <c r="E557" s="10" t="n"/>
    </row>
    <row r="558">
      <c r="A558" s="9" t="inlineStr">
        <is>
          <t>Q29R6C7</t>
        </is>
      </c>
      <c r="B558" s="9">
        <f>LAI!K315</f>
        <v/>
      </c>
      <c r="C558" s="11" t="inlineStr">
        <is>
          <t>7,2</t>
        </is>
      </c>
      <c r="D558" s="10" t="n"/>
      <c r="E558" s="10" t="n"/>
    </row>
    <row r="559">
      <c r="A559" s="9" t="inlineStr">
        <is>
          <t>Q30R1C1</t>
        </is>
      </c>
      <c r="B559" s="9">
        <f>LAI!E322</f>
        <v/>
      </c>
      <c r="C559" s="11" t="inlineStr">
        <is>
          <t>7,3</t>
        </is>
      </c>
      <c r="D559" s="10" t="n"/>
      <c r="E559" s="10" t="n"/>
    </row>
    <row r="560">
      <c r="A560" s="9" t="inlineStr">
        <is>
          <t>Q30R1C2</t>
        </is>
      </c>
      <c r="B560" s="9">
        <f>LAI!F322</f>
        <v/>
      </c>
      <c r="C560" s="11" t="inlineStr">
        <is>
          <t>7,3</t>
        </is>
      </c>
      <c r="D560" s="10" t="n"/>
      <c r="E560" s="10" t="n"/>
    </row>
    <row r="561">
      <c r="A561" s="9" t="inlineStr">
        <is>
          <t>Q30R1C3</t>
        </is>
      </c>
      <c r="B561" s="9">
        <f>LAI!G322</f>
        <v/>
      </c>
      <c r="C561" s="11" t="inlineStr">
        <is>
          <t>7,3</t>
        </is>
      </c>
      <c r="D561" s="10" t="n"/>
      <c r="E561" s="10" t="n"/>
    </row>
    <row r="562">
      <c r="A562" s="9" t="inlineStr">
        <is>
          <t>Q30R1C4</t>
        </is>
      </c>
      <c r="B562" s="9">
        <f>LAI!H322</f>
        <v/>
      </c>
      <c r="C562" s="11" t="inlineStr">
        <is>
          <t>7,3</t>
        </is>
      </c>
      <c r="D562" s="10" t="n"/>
      <c r="E562" s="10" t="n"/>
    </row>
    <row r="563">
      <c r="A563" s="9" t="inlineStr">
        <is>
          <t>Q30R1C5</t>
        </is>
      </c>
      <c r="B563" s="9">
        <f>LAI!I322</f>
        <v/>
      </c>
      <c r="C563" s="11" t="inlineStr">
        <is>
          <t>7,3</t>
        </is>
      </c>
      <c r="D563" s="10" t="n"/>
      <c r="E563" s="10" t="n"/>
    </row>
    <row r="564">
      <c r="A564" s="9" t="inlineStr">
        <is>
          <t>Q30R1C6</t>
        </is>
      </c>
      <c r="B564" s="9">
        <f>LAI!J322</f>
        <v/>
      </c>
      <c r="C564" s="11" t="inlineStr">
        <is>
          <t>7,3</t>
        </is>
      </c>
      <c r="D564" s="10" t="n"/>
      <c r="E564" s="10" t="n"/>
    </row>
    <row r="565">
      <c r="A565" s="9" t="inlineStr">
        <is>
          <t>Q30R1C7</t>
        </is>
      </c>
      <c r="B565" s="9">
        <f>LAI!K322</f>
        <v/>
      </c>
      <c r="C565" s="11" t="inlineStr">
        <is>
          <t>7,3</t>
        </is>
      </c>
      <c r="D565" s="10" t="n"/>
      <c r="E565" s="10" t="n"/>
    </row>
    <row r="566">
      <c r="A566" s="9" t="inlineStr">
        <is>
          <t>Q30R2C1</t>
        </is>
      </c>
      <c r="B566" s="9">
        <f>LAI!E323</f>
        <v/>
      </c>
      <c r="C566" s="11" t="inlineStr">
        <is>
          <t>7,3</t>
        </is>
      </c>
      <c r="D566" s="10" t="n"/>
      <c r="E566" s="10" t="n"/>
    </row>
    <row r="567">
      <c r="A567" s="9" t="inlineStr">
        <is>
          <t>Q30R2C2</t>
        </is>
      </c>
      <c r="B567" s="9">
        <f>LAI!F323</f>
        <v/>
      </c>
      <c r="C567" s="11" t="inlineStr">
        <is>
          <t>7,3</t>
        </is>
      </c>
      <c r="D567" s="10" t="n"/>
      <c r="E567" s="10" t="n"/>
    </row>
    <row r="568">
      <c r="A568" s="9" t="inlineStr">
        <is>
          <t>Q30R2C3</t>
        </is>
      </c>
      <c r="B568" s="9">
        <f>LAI!G323</f>
        <v/>
      </c>
      <c r="C568" s="11" t="inlineStr">
        <is>
          <t>7,3</t>
        </is>
      </c>
      <c r="D568" s="10" t="n"/>
      <c r="E568" s="10" t="n"/>
    </row>
    <row r="569">
      <c r="A569" s="9" t="inlineStr">
        <is>
          <t>Q30R2C4</t>
        </is>
      </c>
      <c r="B569" s="9">
        <f>LAI!H323</f>
        <v/>
      </c>
      <c r="C569" s="11" t="inlineStr">
        <is>
          <t>7,3</t>
        </is>
      </c>
      <c r="D569" s="10" t="n"/>
      <c r="E569" s="10" t="n"/>
    </row>
    <row r="570">
      <c r="A570" s="9" t="inlineStr">
        <is>
          <t>Q30R2C5</t>
        </is>
      </c>
      <c r="B570" s="9">
        <f>LAI!I323</f>
        <v/>
      </c>
      <c r="C570" s="11" t="inlineStr">
        <is>
          <t>7,3</t>
        </is>
      </c>
      <c r="D570" s="10" t="n"/>
      <c r="E570" s="10" t="n"/>
    </row>
    <row r="571">
      <c r="A571" s="9" t="inlineStr">
        <is>
          <t>Q30R2C6</t>
        </is>
      </c>
      <c r="B571" s="9">
        <f>LAI!J323</f>
        <v/>
      </c>
      <c r="C571" s="11" t="inlineStr">
        <is>
          <t>7,3</t>
        </is>
      </c>
      <c r="D571" s="10" t="n"/>
      <c r="E571" s="10" t="n"/>
    </row>
    <row r="572">
      <c r="A572" s="9" t="inlineStr">
        <is>
          <t>Q30R2C7</t>
        </is>
      </c>
      <c r="B572" s="9">
        <f>LAI!K323</f>
        <v/>
      </c>
      <c r="C572" s="11" t="inlineStr">
        <is>
          <t>7,3</t>
        </is>
      </c>
      <c r="D572" s="10" t="n"/>
      <c r="E572" s="10" t="n"/>
    </row>
    <row r="573">
      <c r="A573" s="9" t="inlineStr">
        <is>
          <t>Q30R3C1</t>
        </is>
      </c>
      <c r="B573" s="9">
        <f>LAI!E324</f>
        <v/>
      </c>
      <c r="C573" s="11" t="inlineStr">
        <is>
          <t>7,3</t>
        </is>
      </c>
      <c r="D573" s="10" t="n"/>
      <c r="E573" s="10" t="n"/>
    </row>
    <row r="574">
      <c r="A574" s="9" t="inlineStr">
        <is>
          <t>Q30R3C2</t>
        </is>
      </c>
      <c r="B574" s="9">
        <f>LAI!F324</f>
        <v/>
      </c>
      <c r="C574" s="11" t="inlineStr">
        <is>
          <t>7,3</t>
        </is>
      </c>
      <c r="D574" s="10" t="n"/>
      <c r="E574" s="10" t="n"/>
    </row>
    <row r="575">
      <c r="A575" s="9" t="inlineStr">
        <is>
          <t>Q30R3C3</t>
        </is>
      </c>
      <c r="B575" s="9">
        <f>LAI!G324</f>
        <v/>
      </c>
      <c r="C575" s="11" t="inlineStr">
        <is>
          <t>7,3</t>
        </is>
      </c>
      <c r="D575" s="10" t="n"/>
      <c r="E575" s="10" t="n"/>
    </row>
    <row r="576">
      <c r="A576" s="9" t="inlineStr">
        <is>
          <t>Q30R3C4</t>
        </is>
      </c>
      <c r="B576" s="9">
        <f>LAI!H324</f>
        <v/>
      </c>
      <c r="C576" s="11" t="inlineStr">
        <is>
          <t>7,3</t>
        </is>
      </c>
      <c r="D576" s="10" t="n"/>
      <c r="E576" s="10" t="n"/>
    </row>
    <row r="577">
      <c r="A577" s="9" t="inlineStr">
        <is>
          <t>Q30R3C5</t>
        </is>
      </c>
      <c r="B577" s="9">
        <f>LAI!I324</f>
        <v/>
      </c>
      <c r="C577" s="11" t="inlineStr">
        <is>
          <t>7,3</t>
        </is>
      </c>
      <c r="D577" s="10" t="n"/>
      <c r="E577" s="10" t="n"/>
    </row>
    <row r="578">
      <c r="A578" s="9" t="inlineStr">
        <is>
          <t>Q30R3C6</t>
        </is>
      </c>
      <c r="B578" s="9">
        <f>LAI!J324</f>
        <v/>
      </c>
      <c r="C578" s="11" t="inlineStr">
        <is>
          <t>7,3</t>
        </is>
      </c>
      <c r="D578" s="10" t="n"/>
      <c r="E578" s="10" t="n"/>
    </row>
    <row r="579">
      <c r="A579" s="9" t="inlineStr">
        <is>
          <t>Q30R3C7</t>
        </is>
      </c>
      <c r="B579" s="9">
        <f>LAI!K324</f>
        <v/>
      </c>
      <c r="C579" s="11" t="inlineStr">
        <is>
          <t>7,3</t>
        </is>
      </c>
      <c r="D579" s="10" t="n"/>
      <c r="E579" s="10" t="n"/>
    </row>
    <row r="580">
      <c r="A580" s="9" t="inlineStr">
        <is>
          <t>Q30R4C1</t>
        </is>
      </c>
      <c r="B580" s="9">
        <f>LAI!E325</f>
        <v/>
      </c>
      <c r="C580" s="11" t="inlineStr">
        <is>
          <t>7,3</t>
        </is>
      </c>
      <c r="D580" s="10" t="n"/>
      <c r="E580" s="10" t="n"/>
    </row>
    <row r="581">
      <c r="A581" s="9" t="inlineStr">
        <is>
          <t>Q30R4C2</t>
        </is>
      </c>
      <c r="B581" s="9">
        <f>LAI!F325</f>
        <v/>
      </c>
      <c r="C581" s="11" t="inlineStr">
        <is>
          <t>7,3</t>
        </is>
      </c>
      <c r="D581" s="10" t="n"/>
      <c r="E581" s="10" t="n"/>
    </row>
    <row r="582">
      <c r="A582" s="9" t="inlineStr">
        <is>
          <t>Q30R4C3</t>
        </is>
      </c>
      <c r="B582" s="9">
        <f>LAI!G325</f>
        <v/>
      </c>
      <c r="C582" s="11" t="inlineStr">
        <is>
          <t>7,3</t>
        </is>
      </c>
      <c r="D582" s="10" t="n"/>
      <c r="E582" s="10" t="n"/>
    </row>
    <row r="583">
      <c r="A583" s="9" t="inlineStr">
        <is>
          <t>Q30R4C4</t>
        </is>
      </c>
      <c r="B583" s="9">
        <f>LAI!H325</f>
        <v/>
      </c>
      <c r="C583" s="11" t="inlineStr">
        <is>
          <t>7,3</t>
        </is>
      </c>
      <c r="D583" s="10" t="n"/>
      <c r="E583" s="10" t="n"/>
    </row>
    <row r="584" customFormat="1" s="3">
      <c r="A584" s="9" t="inlineStr">
        <is>
          <t>Q30R4C5</t>
        </is>
      </c>
      <c r="B584" s="9">
        <f>LAI!I325</f>
        <v/>
      </c>
      <c r="C584" s="11" t="inlineStr">
        <is>
          <t>7,3</t>
        </is>
      </c>
      <c r="D584" s="10" t="n"/>
      <c r="E584" s="10" t="n"/>
    </row>
    <row r="585" customFormat="1" s="3">
      <c r="A585" s="9" t="inlineStr">
        <is>
          <t>Q30R4C6</t>
        </is>
      </c>
      <c r="B585" s="9">
        <f>LAI!J325</f>
        <v/>
      </c>
      <c r="C585" s="11" t="inlineStr">
        <is>
          <t>7,3</t>
        </is>
      </c>
      <c r="D585" s="10" t="n"/>
      <c r="E585" s="10" t="n"/>
    </row>
    <row r="586" customFormat="1" s="3">
      <c r="A586" s="9" t="inlineStr">
        <is>
          <t>Q30R4C7</t>
        </is>
      </c>
      <c r="B586" s="9">
        <f>LAI!K325</f>
        <v/>
      </c>
      <c r="C586" s="11" t="inlineStr">
        <is>
          <t>7,3</t>
        </is>
      </c>
      <c r="D586" s="10" t="n"/>
      <c r="E586" s="10" t="n"/>
    </row>
    <row r="587" customFormat="1" s="3">
      <c r="A587" s="9" t="inlineStr">
        <is>
          <t>Q30R5C1</t>
        </is>
      </c>
      <c r="B587" s="9">
        <f>LAI!E326</f>
        <v/>
      </c>
      <c r="C587" s="11" t="inlineStr">
        <is>
          <t>7,3</t>
        </is>
      </c>
      <c r="D587" s="10" t="n"/>
      <c r="E587" s="10" t="n"/>
    </row>
    <row r="588" customFormat="1" s="3">
      <c r="A588" s="9" t="inlineStr">
        <is>
          <t>Q30R5C2</t>
        </is>
      </c>
      <c r="B588" s="9">
        <f>LAI!F326</f>
        <v/>
      </c>
      <c r="C588" s="11" t="inlineStr">
        <is>
          <t>7,3</t>
        </is>
      </c>
      <c r="D588" s="10" t="n"/>
      <c r="E588" s="10" t="n"/>
    </row>
    <row r="589" customFormat="1" s="3">
      <c r="A589" s="9" t="inlineStr">
        <is>
          <t>Q30R5C3</t>
        </is>
      </c>
      <c r="B589" s="9">
        <f>LAI!G326</f>
        <v/>
      </c>
      <c r="C589" s="11" t="inlineStr">
        <is>
          <t>7,3</t>
        </is>
      </c>
      <c r="D589" s="10" t="n"/>
      <c r="E589" s="10" t="n"/>
    </row>
    <row r="590" customFormat="1" s="3">
      <c r="A590" s="9" t="inlineStr">
        <is>
          <t>Q30R5C4</t>
        </is>
      </c>
      <c r="B590" s="9">
        <f>LAI!H326</f>
        <v/>
      </c>
      <c r="C590" s="11" t="inlineStr">
        <is>
          <t>7,3</t>
        </is>
      </c>
      <c r="D590" s="10" t="n"/>
      <c r="E590" s="10" t="n"/>
    </row>
    <row r="591" customFormat="1" s="3">
      <c r="A591" s="9" t="inlineStr">
        <is>
          <t>Q30R5C5</t>
        </is>
      </c>
      <c r="B591" s="9">
        <f>LAI!I326</f>
        <v/>
      </c>
      <c r="C591" s="11" t="inlineStr">
        <is>
          <t>7,3</t>
        </is>
      </c>
      <c r="D591" s="10" t="n"/>
      <c r="E591" s="10" t="n"/>
    </row>
    <row r="592" customFormat="1" s="3">
      <c r="A592" s="9" t="inlineStr">
        <is>
          <t>Q30R5C6</t>
        </is>
      </c>
      <c r="B592" s="9">
        <f>LAI!J326</f>
        <v/>
      </c>
      <c r="C592" s="11" t="inlineStr">
        <is>
          <t>7,3</t>
        </is>
      </c>
      <c r="D592" s="10" t="n"/>
      <c r="E592" s="10" t="n"/>
    </row>
    <row r="593" customFormat="1" s="3">
      <c r="A593" s="9" t="inlineStr">
        <is>
          <t>Q30R5C7</t>
        </is>
      </c>
      <c r="B593" s="9">
        <f>LAI!K326</f>
        <v/>
      </c>
      <c r="C593" s="11" t="inlineStr">
        <is>
          <t>7,3</t>
        </is>
      </c>
      <c r="D593" s="10" t="n"/>
      <c r="E593" s="10" t="n"/>
    </row>
    <row r="594">
      <c r="A594" s="9" t="inlineStr">
        <is>
          <t>Q30R6C1</t>
        </is>
      </c>
      <c r="B594" s="9">
        <f>LAI!E327</f>
        <v/>
      </c>
      <c r="C594" s="11" t="inlineStr">
        <is>
          <t>7,3</t>
        </is>
      </c>
      <c r="D594" s="10" t="n"/>
      <c r="E594" s="10" t="n"/>
    </row>
    <row r="595">
      <c r="A595" s="9" t="inlineStr">
        <is>
          <t>Q30R6C2</t>
        </is>
      </c>
      <c r="B595" s="9">
        <f>LAI!F327</f>
        <v/>
      </c>
      <c r="C595" s="11" t="inlineStr">
        <is>
          <t>7,3</t>
        </is>
      </c>
      <c r="D595" s="10" t="n"/>
      <c r="E595" s="10" t="n"/>
    </row>
    <row r="596">
      <c r="A596" s="9" t="inlineStr">
        <is>
          <t>Q30R6C3</t>
        </is>
      </c>
      <c r="B596" s="9">
        <f>LAI!G327</f>
        <v/>
      </c>
      <c r="C596" s="11" t="inlineStr">
        <is>
          <t>7,3</t>
        </is>
      </c>
      <c r="D596" s="10" t="n"/>
      <c r="E596" s="10" t="n"/>
    </row>
    <row r="597">
      <c r="A597" s="9" t="inlineStr">
        <is>
          <t>Q30R6C4</t>
        </is>
      </c>
      <c r="B597" s="9">
        <f>LAI!H327</f>
        <v/>
      </c>
      <c r="C597" s="11" t="inlineStr">
        <is>
          <t>7,3</t>
        </is>
      </c>
      <c r="D597" s="10" t="n"/>
      <c r="E597" s="10" t="n"/>
    </row>
    <row r="598">
      <c r="A598" s="9" t="inlineStr">
        <is>
          <t>Q30R6C5</t>
        </is>
      </c>
      <c r="B598" s="9">
        <f>LAI!I327</f>
        <v/>
      </c>
      <c r="C598" s="11" t="inlineStr">
        <is>
          <t>7,3</t>
        </is>
      </c>
      <c r="D598" s="10" t="n"/>
      <c r="E598" s="10" t="n"/>
    </row>
    <row r="599">
      <c r="A599" s="9" t="inlineStr">
        <is>
          <t>Q30R6C6</t>
        </is>
      </c>
      <c r="B599" s="9">
        <f>LAI!J327</f>
        <v/>
      </c>
      <c r="C599" s="11" t="inlineStr">
        <is>
          <t>7,3</t>
        </is>
      </c>
      <c r="D599" s="10" t="n"/>
      <c r="E599" s="10" t="n"/>
    </row>
    <row r="600">
      <c r="A600" s="9" t="inlineStr">
        <is>
          <t>Q30R6C7</t>
        </is>
      </c>
      <c r="B600" s="9">
        <f>LAI!K327</f>
        <v/>
      </c>
      <c r="C600" s="11" t="inlineStr">
        <is>
          <t>7,3</t>
        </is>
      </c>
      <c r="D600" s="10" t="n"/>
      <c r="E600" s="10" t="n"/>
    </row>
    <row r="601">
      <c r="A601" s="9" t="inlineStr">
        <is>
          <t>Q31R1C1</t>
        </is>
      </c>
      <c r="B601" s="9">
        <f>LAI!C336</f>
        <v/>
      </c>
      <c r="C601" s="11" t="inlineStr">
        <is>
          <t>8,1</t>
        </is>
      </c>
      <c r="D601" s="10" t="n"/>
      <c r="E601" s="10" t="n"/>
    </row>
    <row r="602">
      <c r="A602" s="9" t="inlineStr">
        <is>
          <t>Q31R1C2</t>
        </is>
      </c>
      <c r="B602" s="9">
        <f>LAI!D336</f>
        <v/>
      </c>
      <c r="C602" s="11" t="inlineStr">
        <is>
          <t>8,1</t>
        </is>
      </c>
      <c r="D602" s="10" t="n"/>
      <c r="E602" s="10" t="n"/>
    </row>
    <row r="603">
      <c r="A603" s="9" t="inlineStr">
        <is>
          <t>Q31R1C3</t>
        </is>
      </c>
      <c r="B603" s="9">
        <f>LAI!E336</f>
        <v/>
      </c>
      <c r="C603" s="11" t="inlineStr">
        <is>
          <t>8,1</t>
        </is>
      </c>
      <c r="D603" s="10" t="n"/>
      <c r="E603" s="10" t="n"/>
    </row>
    <row r="604">
      <c r="A604" s="9" t="inlineStr">
        <is>
          <t>Q31R1C4</t>
        </is>
      </c>
      <c r="B604" s="9">
        <f>LAI!F336</f>
        <v/>
      </c>
      <c r="C604" s="11" t="inlineStr">
        <is>
          <t>8,1</t>
        </is>
      </c>
      <c r="D604" s="10" t="n"/>
      <c r="E604" s="10" t="n"/>
    </row>
    <row r="605">
      <c r="A605" s="9" t="inlineStr">
        <is>
          <t>Q31R1C5</t>
        </is>
      </c>
      <c r="B605" s="9">
        <f>LAI!G336</f>
        <v/>
      </c>
      <c r="C605" s="11" t="inlineStr">
        <is>
          <t>8,1</t>
        </is>
      </c>
      <c r="D605" s="10" t="n"/>
      <c r="E605" s="10" t="n"/>
    </row>
    <row r="606">
      <c r="A606" s="9" t="inlineStr">
        <is>
          <t>Q31R1C6</t>
        </is>
      </c>
      <c r="B606" s="9">
        <f>LAI!H336</f>
        <v/>
      </c>
      <c r="C606" s="11" t="inlineStr">
        <is>
          <t>8,1</t>
        </is>
      </c>
      <c r="D606" s="10" t="n"/>
      <c r="E606" s="10" t="n"/>
    </row>
    <row r="607">
      <c r="A607" s="9" t="inlineStr">
        <is>
          <t>Q31R1C7</t>
        </is>
      </c>
      <c r="B607" s="9">
        <f>LAI!I336</f>
        <v/>
      </c>
      <c r="C607" s="11" t="inlineStr">
        <is>
          <t>8,1</t>
        </is>
      </c>
      <c r="D607" s="10" t="n"/>
      <c r="E607" s="10" t="n"/>
    </row>
    <row r="608">
      <c r="A608" s="9" t="inlineStr">
        <is>
          <t>Q31R1C8</t>
        </is>
      </c>
      <c r="B608" s="9">
        <f>LAI!J336</f>
        <v/>
      </c>
      <c r="C608" s="11" t="inlineStr">
        <is>
          <t>8,1</t>
        </is>
      </c>
      <c r="D608" s="10" t="n"/>
      <c r="E608" s="10" t="n"/>
    </row>
    <row r="609">
      <c r="A609" s="9" t="inlineStr">
        <is>
          <t>Q31R1C9</t>
        </is>
      </c>
      <c r="B609" s="9">
        <f>LAI!K336</f>
        <v/>
      </c>
      <c r="C609" s="11" t="inlineStr">
        <is>
          <t>8,1</t>
        </is>
      </c>
      <c r="D609" s="10" t="n"/>
      <c r="E609" s="10" t="n"/>
    </row>
    <row r="610">
      <c r="A610" s="9" t="inlineStr">
        <is>
          <t>Q31R1C10</t>
        </is>
      </c>
      <c r="B610" s="9">
        <f>LAI!L336</f>
        <v/>
      </c>
      <c r="C610" s="11" t="inlineStr">
        <is>
          <t>8,1</t>
        </is>
      </c>
      <c r="D610" s="10" t="n"/>
      <c r="E610" s="10" t="n"/>
    </row>
    <row r="611">
      <c r="A611" s="9" t="inlineStr">
        <is>
          <t>Q31R2C1</t>
        </is>
      </c>
      <c r="B611" s="9">
        <f>LAI!C337</f>
        <v/>
      </c>
      <c r="C611" s="11" t="inlineStr">
        <is>
          <t>8,1</t>
        </is>
      </c>
      <c r="D611" s="10" t="n"/>
      <c r="E611" s="10" t="n"/>
    </row>
    <row r="612">
      <c r="A612" s="9" t="inlineStr">
        <is>
          <t>Q31R2C2</t>
        </is>
      </c>
      <c r="B612" s="9">
        <f>LAI!D337</f>
        <v/>
      </c>
      <c r="C612" s="11" t="inlineStr">
        <is>
          <t>8,1</t>
        </is>
      </c>
      <c r="D612" s="10" t="n"/>
      <c r="E612" s="10" t="n"/>
    </row>
    <row r="613">
      <c r="A613" s="9" t="inlineStr">
        <is>
          <t>Q31R2C3</t>
        </is>
      </c>
      <c r="B613" s="9">
        <f>LAI!E337</f>
        <v/>
      </c>
      <c r="C613" s="11" t="inlineStr">
        <is>
          <t>8,1</t>
        </is>
      </c>
      <c r="D613" s="10" t="n"/>
      <c r="E613" s="10" t="n"/>
    </row>
    <row r="614">
      <c r="A614" s="9" t="inlineStr">
        <is>
          <t>Q31R2C4</t>
        </is>
      </c>
      <c r="B614" s="9">
        <f>LAI!F337</f>
        <v/>
      </c>
      <c r="C614" s="11" t="inlineStr">
        <is>
          <t>8,1</t>
        </is>
      </c>
      <c r="D614" s="10" t="n"/>
      <c r="E614" s="10" t="n"/>
    </row>
    <row r="615">
      <c r="A615" s="9" t="inlineStr">
        <is>
          <t>Q31R2C5</t>
        </is>
      </c>
      <c r="B615" s="9">
        <f>LAI!G337</f>
        <v/>
      </c>
      <c r="C615" s="11" t="inlineStr">
        <is>
          <t>8,1</t>
        </is>
      </c>
      <c r="D615" s="10" t="n"/>
      <c r="E615" s="10" t="n"/>
    </row>
    <row r="616">
      <c r="A616" s="9" t="inlineStr">
        <is>
          <t>Q31R2C6</t>
        </is>
      </c>
      <c r="B616" s="9">
        <f>LAI!H337</f>
        <v/>
      </c>
      <c r="C616" s="11" t="inlineStr">
        <is>
          <t>8,1</t>
        </is>
      </c>
      <c r="D616" s="10" t="n"/>
      <c r="E616" s="10" t="n"/>
    </row>
    <row r="617">
      <c r="A617" s="9" t="inlineStr">
        <is>
          <t>Q31R2C7</t>
        </is>
      </c>
      <c r="B617" s="9">
        <f>LAI!I337</f>
        <v/>
      </c>
      <c r="C617" s="11" t="inlineStr">
        <is>
          <t>8,1</t>
        </is>
      </c>
      <c r="D617" s="10" t="n"/>
      <c r="E617" s="10" t="n"/>
    </row>
    <row r="618">
      <c r="A618" s="9" t="inlineStr">
        <is>
          <t>Q31R2C8</t>
        </is>
      </c>
      <c r="B618" s="9">
        <f>LAI!J337</f>
        <v/>
      </c>
      <c r="C618" s="11" t="inlineStr">
        <is>
          <t>8,1</t>
        </is>
      </c>
      <c r="D618" s="10" t="n"/>
      <c r="E618" s="10" t="n"/>
    </row>
    <row r="619">
      <c r="A619" s="9" t="inlineStr">
        <is>
          <t>Q31R2C9</t>
        </is>
      </c>
      <c r="B619" s="9">
        <f>LAI!K337</f>
        <v/>
      </c>
      <c r="C619" s="11" t="inlineStr">
        <is>
          <t>8,1</t>
        </is>
      </c>
      <c r="D619" s="10" t="n"/>
      <c r="E619" s="10" t="n"/>
    </row>
    <row r="620">
      <c r="A620" s="9" t="inlineStr">
        <is>
          <t>Q31R2C10</t>
        </is>
      </c>
      <c r="B620" s="9">
        <f>LAI!L337</f>
        <v/>
      </c>
      <c r="C620" s="11" t="inlineStr">
        <is>
          <t>8,1</t>
        </is>
      </c>
      <c r="D620" s="10" t="n"/>
      <c r="E620" s="10" t="n"/>
    </row>
    <row r="621">
      <c r="A621" s="9" t="inlineStr">
        <is>
          <t>Q31R3C1</t>
        </is>
      </c>
      <c r="B621" s="9">
        <f>LAI!C338</f>
        <v/>
      </c>
      <c r="C621" s="11" t="inlineStr">
        <is>
          <t>8,1</t>
        </is>
      </c>
      <c r="D621" s="10" t="n"/>
      <c r="E621" s="10" t="n"/>
    </row>
    <row r="622">
      <c r="A622" s="9" t="inlineStr">
        <is>
          <t>Q31R3C2</t>
        </is>
      </c>
      <c r="B622" s="9">
        <f>LAI!D338</f>
        <v/>
      </c>
      <c r="C622" s="11" t="inlineStr">
        <is>
          <t>8,1</t>
        </is>
      </c>
      <c r="D622" s="10" t="n"/>
      <c r="E622" s="10" t="n"/>
    </row>
    <row r="623">
      <c r="A623" s="9" t="inlineStr">
        <is>
          <t>Q31R3C3</t>
        </is>
      </c>
      <c r="B623" s="9">
        <f>LAI!E338</f>
        <v/>
      </c>
      <c r="C623" s="11" t="inlineStr">
        <is>
          <t>8,1</t>
        </is>
      </c>
      <c r="D623" s="10" t="n"/>
      <c r="E623" s="10" t="n"/>
    </row>
    <row r="624">
      <c r="A624" s="9" t="inlineStr">
        <is>
          <t>Q31R3C4</t>
        </is>
      </c>
      <c r="B624" s="9">
        <f>LAI!F338</f>
        <v/>
      </c>
      <c r="C624" s="11" t="inlineStr">
        <is>
          <t>8,1</t>
        </is>
      </c>
      <c r="D624" s="10" t="n"/>
      <c r="E624" s="10" t="n"/>
    </row>
    <row r="625">
      <c r="A625" s="9" t="inlineStr">
        <is>
          <t>Q31R3C5</t>
        </is>
      </c>
      <c r="B625" s="9">
        <f>LAI!G338</f>
        <v/>
      </c>
      <c r="C625" s="11" t="inlineStr">
        <is>
          <t>8,1</t>
        </is>
      </c>
      <c r="D625" s="10" t="n"/>
      <c r="E625" s="10" t="n"/>
    </row>
    <row r="626">
      <c r="A626" s="9" t="inlineStr">
        <is>
          <t>Q31R3C6</t>
        </is>
      </c>
      <c r="B626" s="9">
        <f>LAI!H338</f>
        <v/>
      </c>
      <c r="C626" s="11" t="inlineStr">
        <is>
          <t>8,1</t>
        </is>
      </c>
      <c r="D626" s="10" t="n"/>
      <c r="E626" s="10" t="n"/>
    </row>
    <row r="627">
      <c r="A627" s="9" t="inlineStr">
        <is>
          <t>Q31R3C7</t>
        </is>
      </c>
      <c r="B627" s="9">
        <f>LAI!I338</f>
        <v/>
      </c>
      <c r="C627" s="11" t="inlineStr">
        <is>
          <t>8,1</t>
        </is>
      </c>
      <c r="D627" s="10" t="n"/>
      <c r="E627" s="10" t="n"/>
    </row>
    <row r="628">
      <c r="A628" s="9" t="inlineStr">
        <is>
          <t>Q31R3C8</t>
        </is>
      </c>
      <c r="B628" s="9">
        <f>LAI!J338</f>
        <v/>
      </c>
      <c r="C628" s="11" t="inlineStr">
        <is>
          <t>8,1</t>
        </is>
      </c>
      <c r="D628" s="10" t="n"/>
      <c r="E628" s="10" t="n"/>
    </row>
    <row r="629">
      <c r="A629" s="9" t="inlineStr">
        <is>
          <t>Q31R3C9</t>
        </is>
      </c>
      <c r="B629" s="9">
        <f>LAI!K338</f>
        <v/>
      </c>
      <c r="C629" s="11" t="inlineStr">
        <is>
          <t>8,1</t>
        </is>
      </c>
      <c r="D629" s="10" t="n"/>
      <c r="E629" s="10" t="n"/>
    </row>
    <row r="630">
      <c r="A630" s="9" t="inlineStr">
        <is>
          <t>Q31R3C10</t>
        </is>
      </c>
      <c r="B630" s="9">
        <f>LAI!L338</f>
        <v/>
      </c>
      <c r="C630" s="11" t="inlineStr">
        <is>
          <t>8,1</t>
        </is>
      </c>
      <c r="D630" s="10" t="n"/>
      <c r="E630" s="10" t="n"/>
    </row>
    <row r="631">
      <c r="A631" s="9" t="inlineStr">
        <is>
          <t>Q31R4C1</t>
        </is>
      </c>
      <c r="B631" s="9">
        <f>LAI!C339</f>
        <v/>
      </c>
      <c r="C631" s="11" t="inlineStr">
        <is>
          <t>8,1</t>
        </is>
      </c>
      <c r="D631" s="10" t="n"/>
      <c r="E631" s="10" t="n"/>
    </row>
    <row r="632">
      <c r="A632" s="9" t="inlineStr">
        <is>
          <t>Q31R4C2</t>
        </is>
      </c>
      <c r="B632" s="9">
        <f>LAI!D339</f>
        <v/>
      </c>
      <c r="C632" s="11" t="inlineStr">
        <is>
          <t>8,1</t>
        </is>
      </c>
      <c r="D632" s="10" t="n"/>
      <c r="E632" s="10" t="n"/>
    </row>
    <row r="633">
      <c r="A633" s="9" t="inlineStr">
        <is>
          <t>Q31R4C3</t>
        </is>
      </c>
      <c r="B633" s="9">
        <f>LAI!E339</f>
        <v/>
      </c>
      <c r="C633" s="11" t="inlineStr">
        <is>
          <t>8,1</t>
        </is>
      </c>
      <c r="D633" s="10" t="n"/>
      <c r="E633" s="10" t="n"/>
    </row>
    <row r="634">
      <c r="A634" s="9" t="inlineStr">
        <is>
          <t>Q31R4C4</t>
        </is>
      </c>
      <c r="B634" s="9">
        <f>LAI!F339</f>
        <v/>
      </c>
      <c r="C634" s="11" t="inlineStr">
        <is>
          <t>8,1</t>
        </is>
      </c>
      <c r="D634" s="10" t="n"/>
      <c r="E634" s="10" t="n"/>
    </row>
    <row r="635">
      <c r="A635" s="9" t="inlineStr">
        <is>
          <t>Q31R4C5</t>
        </is>
      </c>
      <c r="B635" s="9">
        <f>LAI!G339</f>
        <v/>
      </c>
      <c r="C635" s="11" t="inlineStr">
        <is>
          <t>8,1</t>
        </is>
      </c>
      <c r="D635" s="10" t="n"/>
      <c r="E635" s="10" t="n"/>
    </row>
    <row r="636">
      <c r="A636" s="9" t="inlineStr">
        <is>
          <t>Q31R4C6</t>
        </is>
      </c>
      <c r="B636" s="9">
        <f>LAI!H339</f>
        <v/>
      </c>
      <c r="C636" s="11" t="inlineStr">
        <is>
          <t>8,1</t>
        </is>
      </c>
      <c r="D636" s="10" t="n"/>
      <c r="E636" s="10" t="n"/>
    </row>
    <row r="637">
      <c r="A637" s="9" t="inlineStr">
        <is>
          <t>Q31R4C7</t>
        </is>
      </c>
      <c r="B637" s="9">
        <f>LAI!I339</f>
        <v/>
      </c>
      <c r="C637" s="11" t="inlineStr">
        <is>
          <t>8,1</t>
        </is>
      </c>
      <c r="D637" s="10" t="n"/>
      <c r="E637" s="10" t="n"/>
    </row>
    <row r="638">
      <c r="A638" s="9" t="inlineStr">
        <is>
          <t>Q31R4C8</t>
        </is>
      </c>
      <c r="B638" s="9">
        <f>LAI!J339</f>
        <v/>
      </c>
      <c r="C638" s="11" t="inlineStr">
        <is>
          <t>8,1</t>
        </is>
      </c>
      <c r="D638" s="10" t="n"/>
      <c r="E638" s="10" t="n"/>
    </row>
    <row r="639">
      <c r="A639" s="9" t="inlineStr">
        <is>
          <t>Q31R4C9</t>
        </is>
      </c>
      <c r="B639" s="9">
        <f>LAI!K339</f>
        <v/>
      </c>
      <c r="C639" s="11" t="inlineStr">
        <is>
          <t>8,1</t>
        </is>
      </c>
      <c r="D639" s="10" t="n"/>
      <c r="E639" s="10" t="n"/>
    </row>
    <row r="640">
      <c r="A640" s="9" t="inlineStr">
        <is>
          <t>Q31R4C10</t>
        </is>
      </c>
      <c r="B640" s="9">
        <f>LAI!L339</f>
        <v/>
      </c>
      <c r="C640" s="11" t="inlineStr">
        <is>
          <t>8,1</t>
        </is>
      </c>
      <c r="D640" s="10" t="n"/>
      <c r="E640" s="10" t="n"/>
    </row>
    <row r="641">
      <c r="A641" s="9" t="inlineStr">
        <is>
          <t>Q31R5C1</t>
        </is>
      </c>
      <c r="B641" s="9">
        <f>LAI!C340</f>
        <v/>
      </c>
      <c r="C641" s="11" t="inlineStr">
        <is>
          <t>8,1</t>
        </is>
      </c>
      <c r="D641" s="10" t="n"/>
      <c r="E641" s="10" t="n"/>
    </row>
    <row r="642">
      <c r="A642" s="9" t="inlineStr">
        <is>
          <t>Q31R5C2</t>
        </is>
      </c>
      <c r="B642" s="9">
        <f>LAI!D340</f>
        <v/>
      </c>
      <c r="C642" s="11" t="inlineStr">
        <is>
          <t>8,1</t>
        </is>
      </c>
      <c r="D642" s="10" t="n"/>
      <c r="E642" s="10" t="n"/>
    </row>
    <row r="643">
      <c r="A643" s="9" t="inlineStr">
        <is>
          <t>Q31R5C3</t>
        </is>
      </c>
      <c r="B643" s="9">
        <f>LAI!E340</f>
        <v/>
      </c>
      <c r="C643" s="11" t="inlineStr">
        <is>
          <t>8,1</t>
        </is>
      </c>
      <c r="D643" s="10" t="n"/>
      <c r="E643" s="10" t="n"/>
    </row>
    <row r="644">
      <c r="A644" s="9" t="inlineStr">
        <is>
          <t>Q31R5C4</t>
        </is>
      </c>
      <c r="B644" s="9">
        <f>LAI!F340</f>
        <v/>
      </c>
      <c r="C644" s="11" t="inlineStr">
        <is>
          <t>8,1</t>
        </is>
      </c>
      <c r="D644" s="10" t="n"/>
      <c r="E644" s="10" t="n"/>
    </row>
    <row r="645">
      <c r="A645" s="9" t="inlineStr">
        <is>
          <t>Q31R5C5</t>
        </is>
      </c>
      <c r="B645" s="9">
        <f>LAI!G340</f>
        <v/>
      </c>
      <c r="C645" s="11" t="inlineStr">
        <is>
          <t>8,1</t>
        </is>
      </c>
      <c r="D645" s="10" t="n"/>
      <c r="E645" s="10" t="n"/>
    </row>
    <row r="646">
      <c r="A646" s="9" t="inlineStr">
        <is>
          <t>Q31R5C6</t>
        </is>
      </c>
      <c r="B646" s="9">
        <f>LAI!H340</f>
        <v/>
      </c>
      <c r="C646" s="11" t="inlineStr">
        <is>
          <t>8,1</t>
        </is>
      </c>
      <c r="D646" s="10" t="n"/>
      <c r="E646" s="10" t="n"/>
    </row>
    <row r="647">
      <c r="A647" s="9" t="inlineStr">
        <is>
          <t>Q31R5C7</t>
        </is>
      </c>
      <c r="B647" s="9">
        <f>LAI!I340</f>
        <v/>
      </c>
      <c r="C647" s="11" t="inlineStr">
        <is>
          <t>8,1</t>
        </is>
      </c>
      <c r="D647" s="10" t="n"/>
      <c r="E647" s="10" t="n"/>
    </row>
    <row r="648">
      <c r="A648" s="9" t="inlineStr">
        <is>
          <t>Q31R5C8</t>
        </is>
      </c>
      <c r="B648" s="9">
        <f>LAI!J340</f>
        <v/>
      </c>
      <c r="C648" s="11" t="inlineStr">
        <is>
          <t>8,1</t>
        </is>
      </c>
      <c r="D648" s="10" t="n"/>
      <c r="E648" s="10" t="n"/>
    </row>
    <row r="649">
      <c r="A649" s="9" t="inlineStr">
        <is>
          <t>Q31R5C9</t>
        </is>
      </c>
      <c r="B649" s="9">
        <f>LAI!K340</f>
        <v/>
      </c>
      <c r="C649" s="11" t="inlineStr">
        <is>
          <t>8,1</t>
        </is>
      </c>
      <c r="D649" s="10" t="n"/>
      <c r="E649" s="10" t="n"/>
    </row>
    <row r="650">
      <c r="A650" s="9" t="inlineStr">
        <is>
          <t>Q31R5C10</t>
        </is>
      </c>
      <c r="B650" s="9">
        <f>LAI!L340</f>
        <v/>
      </c>
      <c r="C650" s="11" t="inlineStr">
        <is>
          <t>8,1</t>
        </is>
      </c>
      <c r="D650" s="10" t="n"/>
      <c r="E650" s="10" t="n"/>
    </row>
    <row r="651">
      <c r="A651" s="9" t="inlineStr">
        <is>
          <t>Q31R6C1</t>
        </is>
      </c>
      <c r="B651" s="9">
        <f>LAI!C341</f>
        <v/>
      </c>
      <c r="C651" s="11" t="inlineStr">
        <is>
          <t>8,1</t>
        </is>
      </c>
      <c r="D651" s="10" t="n"/>
      <c r="E651" s="10" t="n"/>
    </row>
    <row r="652">
      <c r="A652" s="9" t="inlineStr">
        <is>
          <t>Q31R6C2</t>
        </is>
      </c>
      <c r="B652" s="9">
        <f>LAI!D341</f>
        <v/>
      </c>
      <c r="C652" s="11" t="inlineStr">
        <is>
          <t>8,1</t>
        </is>
      </c>
      <c r="D652" s="10" t="n"/>
      <c r="E652" s="10" t="n"/>
    </row>
    <row r="653">
      <c r="A653" s="9" t="inlineStr">
        <is>
          <t>Q31R6C3</t>
        </is>
      </c>
      <c r="B653" s="9">
        <f>LAI!E341</f>
        <v/>
      </c>
      <c r="C653" s="11" t="inlineStr">
        <is>
          <t>8,1</t>
        </is>
      </c>
      <c r="D653" s="10" t="n"/>
      <c r="E653" s="10" t="n"/>
    </row>
    <row r="654">
      <c r="A654" s="9" t="inlineStr">
        <is>
          <t>Q31R6C4</t>
        </is>
      </c>
      <c r="B654" s="9">
        <f>LAI!F341</f>
        <v/>
      </c>
      <c r="C654" s="11" t="inlineStr">
        <is>
          <t>8,1</t>
        </is>
      </c>
      <c r="D654" s="10" t="n"/>
      <c r="E654" s="10" t="n"/>
    </row>
    <row r="655">
      <c r="A655" s="9" t="inlineStr">
        <is>
          <t>Q31R6C5</t>
        </is>
      </c>
      <c r="B655" s="9">
        <f>LAI!G341</f>
        <v/>
      </c>
      <c r="C655" s="11" t="inlineStr">
        <is>
          <t>8,1</t>
        </is>
      </c>
      <c r="D655" s="10" t="n"/>
      <c r="E655" s="10" t="n"/>
    </row>
    <row r="656">
      <c r="A656" s="9" t="inlineStr">
        <is>
          <t>Q31R6C6</t>
        </is>
      </c>
      <c r="B656" s="9">
        <f>LAI!H341</f>
        <v/>
      </c>
      <c r="C656" s="11" t="inlineStr">
        <is>
          <t>8,1</t>
        </is>
      </c>
      <c r="D656" s="10" t="n"/>
      <c r="E656" s="10" t="n"/>
    </row>
    <row r="657">
      <c r="A657" s="9" t="inlineStr">
        <is>
          <t>Q31R6C7</t>
        </is>
      </c>
      <c r="B657" s="9">
        <f>LAI!I341</f>
        <v/>
      </c>
      <c r="C657" s="11" t="inlineStr">
        <is>
          <t>8,1</t>
        </is>
      </c>
      <c r="D657" s="10" t="n"/>
      <c r="E657" s="10" t="n"/>
    </row>
    <row r="658">
      <c r="A658" s="9" t="inlineStr">
        <is>
          <t>Q31R6C8</t>
        </is>
      </c>
      <c r="B658" s="9">
        <f>LAI!J341</f>
        <v/>
      </c>
      <c r="C658" s="11" t="inlineStr">
        <is>
          <t>8,1</t>
        </is>
      </c>
      <c r="D658" s="10" t="n"/>
      <c r="E658" s="10" t="n"/>
    </row>
    <row r="659">
      <c r="A659" s="9" t="inlineStr">
        <is>
          <t>Q31R6C9</t>
        </is>
      </c>
      <c r="B659" s="9">
        <f>LAI!K341</f>
        <v/>
      </c>
      <c r="C659" s="11" t="inlineStr">
        <is>
          <t>8,1</t>
        </is>
      </c>
      <c r="D659" s="10" t="n"/>
      <c r="E659" s="10" t="n"/>
    </row>
    <row r="660">
      <c r="A660" s="9" t="inlineStr">
        <is>
          <t>Q31R6C10</t>
        </is>
      </c>
      <c r="B660" s="9">
        <f>LAI!L341</f>
        <v/>
      </c>
      <c r="C660" s="11" t="inlineStr">
        <is>
          <t>8,1</t>
        </is>
      </c>
      <c r="D660" s="10" t="n"/>
      <c r="E660" s="10" t="n"/>
    </row>
    <row r="661">
      <c r="A661" s="9" t="inlineStr">
        <is>
          <t>Q31R7C1</t>
        </is>
      </c>
      <c r="B661" s="9">
        <f>LAI!C342</f>
        <v/>
      </c>
      <c r="C661" s="11" t="inlineStr">
        <is>
          <t>8,1</t>
        </is>
      </c>
      <c r="D661" s="10" t="n"/>
      <c r="E661" s="10" t="n"/>
    </row>
    <row r="662">
      <c r="A662" s="9" t="inlineStr">
        <is>
          <t>Q31R7C2</t>
        </is>
      </c>
      <c r="B662" s="9">
        <f>LAI!D342</f>
        <v/>
      </c>
      <c r="C662" s="11" t="inlineStr">
        <is>
          <t>8,1</t>
        </is>
      </c>
      <c r="D662" s="10" t="n"/>
      <c r="E662" s="10" t="n"/>
    </row>
    <row r="663">
      <c r="A663" s="9" t="inlineStr">
        <is>
          <t>Q31R7C3</t>
        </is>
      </c>
      <c r="B663" s="9">
        <f>LAI!E342</f>
        <v/>
      </c>
      <c r="C663" s="11" t="inlineStr">
        <is>
          <t>8,1</t>
        </is>
      </c>
      <c r="D663" s="10" t="n"/>
      <c r="E663" s="10" t="n"/>
    </row>
    <row r="664">
      <c r="A664" s="9" t="inlineStr">
        <is>
          <t>Q31R7C4</t>
        </is>
      </c>
      <c r="B664" s="9">
        <f>LAI!F342</f>
        <v/>
      </c>
      <c r="C664" s="11" t="inlineStr">
        <is>
          <t>8,1</t>
        </is>
      </c>
      <c r="D664" s="10" t="n"/>
      <c r="E664" s="10" t="n"/>
    </row>
    <row r="665">
      <c r="A665" s="9" t="inlineStr">
        <is>
          <t>Q31R7C5</t>
        </is>
      </c>
      <c r="B665" s="9">
        <f>LAI!G342</f>
        <v/>
      </c>
      <c r="C665" s="11" t="inlineStr">
        <is>
          <t>8,1</t>
        </is>
      </c>
      <c r="D665" s="10" t="n"/>
      <c r="E665" s="10" t="n"/>
    </row>
    <row r="666">
      <c r="A666" s="9" t="inlineStr">
        <is>
          <t>Q31R7C6</t>
        </is>
      </c>
      <c r="B666" s="9">
        <f>LAI!H342</f>
        <v/>
      </c>
      <c r="C666" s="11" t="inlineStr">
        <is>
          <t>8,1</t>
        </is>
      </c>
      <c r="D666" s="10" t="n"/>
      <c r="E666" s="10" t="n"/>
    </row>
    <row r="667">
      <c r="A667" s="9" t="inlineStr">
        <is>
          <t>Q31R7C7</t>
        </is>
      </c>
      <c r="B667" s="9">
        <f>LAI!I342</f>
        <v/>
      </c>
      <c r="C667" s="11" t="inlineStr">
        <is>
          <t>8,1</t>
        </is>
      </c>
      <c r="D667" s="10" t="n"/>
      <c r="E667" s="10" t="n"/>
    </row>
    <row r="668">
      <c r="A668" s="9" t="inlineStr">
        <is>
          <t>Q31R7C8</t>
        </is>
      </c>
      <c r="B668" s="9">
        <f>LAI!J342</f>
        <v/>
      </c>
      <c r="C668" s="11" t="inlineStr">
        <is>
          <t>8,1</t>
        </is>
      </c>
      <c r="D668" s="10" t="n"/>
      <c r="E668" s="10" t="n"/>
    </row>
    <row r="669">
      <c r="A669" s="9" t="inlineStr">
        <is>
          <t>Q31R7C9</t>
        </is>
      </c>
      <c r="B669" s="9">
        <f>LAI!K342</f>
        <v/>
      </c>
      <c r="C669" s="11" t="inlineStr">
        <is>
          <t>8,1</t>
        </is>
      </c>
      <c r="D669" s="10" t="n"/>
      <c r="E669" s="10" t="n"/>
    </row>
    <row r="670">
      <c r="A670" s="9" t="inlineStr">
        <is>
          <t>Q31R7C10</t>
        </is>
      </c>
      <c r="B670" s="9">
        <f>LAI!L342</f>
        <v/>
      </c>
      <c r="C670" s="11" t="inlineStr">
        <is>
          <t>8,1</t>
        </is>
      </c>
      <c r="D670" s="10" t="n"/>
      <c r="E670" s="10" t="n"/>
    </row>
    <row r="671">
      <c r="A671" s="9" t="inlineStr">
        <is>
          <t>Q32R1C1</t>
        </is>
      </c>
      <c r="B671" s="9">
        <f>LAI!C349</f>
        <v/>
      </c>
      <c r="C671" s="11" t="inlineStr">
        <is>
          <t>8,2</t>
        </is>
      </c>
      <c r="D671" s="10" t="n"/>
      <c r="E671" s="10" t="n"/>
    </row>
    <row r="672">
      <c r="A672" s="9" t="inlineStr">
        <is>
          <t>Q32R1C2</t>
        </is>
      </c>
      <c r="B672" s="9">
        <f>LAI!D349</f>
        <v/>
      </c>
      <c r="C672" s="11" t="inlineStr">
        <is>
          <t>8,2</t>
        </is>
      </c>
      <c r="D672" s="10" t="n"/>
      <c r="E672" s="10" t="n"/>
    </row>
    <row r="673">
      <c r="A673" s="9" t="inlineStr">
        <is>
          <t>Q32R1C3</t>
        </is>
      </c>
      <c r="B673" s="9">
        <f>LAI!E349</f>
        <v/>
      </c>
      <c r="C673" s="11" t="inlineStr">
        <is>
          <t>8,2</t>
        </is>
      </c>
      <c r="D673" s="10" t="n"/>
      <c r="E673" s="10" t="n"/>
    </row>
    <row r="674">
      <c r="A674" s="9" t="inlineStr">
        <is>
          <t>Q32R1C4</t>
        </is>
      </c>
      <c r="B674" s="9">
        <f>LAI!F349</f>
        <v/>
      </c>
      <c r="C674" s="11" t="inlineStr">
        <is>
          <t>8,2</t>
        </is>
      </c>
      <c r="D674" s="10" t="n"/>
      <c r="E674" s="10" t="n"/>
    </row>
    <row r="675">
      <c r="A675" s="9" t="inlineStr">
        <is>
          <t>Q32R1C5</t>
        </is>
      </c>
      <c r="B675" s="9">
        <f>LAI!G349</f>
        <v/>
      </c>
      <c r="C675" s="11" t="inlineStr">
        <is>
          <t>8,2</t>
        </is>
      </c>
      <c r="D675" s="10" t="n"/>
      <c r="E675" s="10" t="n"/>
    </row>
    <row r="676">
      <c r="A676" s="9" t="inlineStr">
        <is>
          <t>Q32R1C6</t>
        </is>
      </c>
      <c r="B676" s="9">
        <f>LAI!H349</f>
        <v/>
      </c>
      <c r="C676" s="11" t="inlineStr">
        <is>
          <t>8,2</t>
        </is>
      </c>
      <c r="D676" s="10" t="n"/>
      <c r="E676" s="10" t="n"/>
    </row>
    <row r="677">
      <c r="A677" s="9" t="inlineStr">
        <is>
          <t>Q32R1C7</t>
        </is>
      </c>
      <c r="B677" s="9">
        <f>LAI!I349</f>
        <v/>
      </c>
      <c r="C677" s="11" t="inlineStr">
        <is>
          <t>8,2</t>
        </is>
      </c>
      <c r="D677" s="10" t="n"/>
      <c r="E677" s="10" t="n"/>
    </row>
    <row r="678">
      <c r="A678" s="9" t="inlineStr">
        <is>
          <t>Q32R1C8</t>
        </is>
      </c>
      <c r="B678" s="9">
        <f>LAI!J349</f>
        <v/>
      </c>
      <c r="C678" s="11" t="inlineStr">
        <is>
          <t>8,2</t>
        </is>
      </c>
      <c r="D678" s="10" t="n"/>
      <c r="E678" s="10" t="n"/>
    </row>
    <row r="679">
      <c r="A679" s="9" t="inlineStr">
        <is>
          <t>Q32R1C9</t>
        </is>
      </c>
      <c r="B679" s="9">
        <f>LAI!K349</f>
        <v/>
      </c>
      <c r="C679" s="11" t="inlineStr">
        <is>
          <t>8,2</t>
        </is>
      </c>
      <c r="D679" s="10" t="n"/>
      <c r="E679" s="10" t="n"/>
    </row>
    <row r="680">
      <c r="A680" s="9" t="inlineStr">
        <is>
          <t>Q32R1C10</t>
        </is>
      </c>
      <c r="B680" s="9">
        <f>LAI!L349</f>
        <v/>
      </c>
      <c r="C680" s="11" t="inlineStr">
        <is>
          <t>8,2</t>
        </is>
      </c>
      <c r="D680" s="10" t="n"/>
      <c r="E680" s="10" t="n"/>
    </row>
    <row r="681">
      <c r="A681" s="9" t="inlineStr">
        <is>
          <t>Q32R2C1</t>
        </is>
      </c>
      <c r="B681" s="9">
        <f>LAI!C350</f>
        <v/>
      </c>
      <c r="C681" s="11" t="inlineStr">
        <is>
          <t>8,2</t>
        </is>
      </c>
      <c r="D681" s="10" t="n"/>
      <c r="E681" s="10" t="n"/>
    </row>
    <row r="682">
      <c r="A682" s="9" t="inlineStr">
        <is>
          <t>Q32R2C2</t>
        </is>
      </c>
      <c r="B682" s="9">
        <f>LAI!D350</f>
        <v/>
      </c>
      <c r="C682" s="11" t="inlineStr">
        <is>
          <t>8,2</t>
        </is>
      </c>
      <c r="D682" s="10" t="n"/>
      <c r="E682" s="10" t="n"/>
    </row>
    <row r="683">
      <c r="A683" s="9" t="inlineStr">
        <is>
          <t>Q32R2C3</t>
        </is>
      </c>
      <c r="B683" s="9">
        <f>LAI!E350</f>
        <v/>
      </c>
      <c r="C683" s="11" t="inlineStr">
        <is>
          <t>8,2</t>
        </is>
      </c>
      <c r="D683" s="10" t="n"/>
      <c r="E683" s="10" t="n"/>
    </row>
    <row r="684">
      <c r="A684" s="9" t="inlineStr">
        <is>
          <t>Q32R2C4</t>
        </is>
      </c>
      <c r="B684" s="9">
        <f>LAI!F350</f>
        <v/>
      </c>
      <c r="C684" s="11" t="inlineStr">
        <is>
          <t>8,2</t>
        </is>
      </c>
      <c r="D684" s="10" t="n"/>
      <c r="E684" s="10" t="n"/>
    </row>
    <row r="685">
      <c r="A685" s="9" t="inlineStr">
        <is>
          <t>Q32R2C5</t>
        </is>
      </c>
      <c r="B685" s="9">
        <f>LAI!G350</f>
        <v/>
      </c>
      <c r="C685" s="11" t="inlineStr">
        <is>
          <t>8,2</t>
        </is>
      </c>
      <c r="D685" s="10" t="n"/>
      <c r="E685" s="10" t="n"/>
    </row>
    <row r="686">
      <c r="A686" s="9" t="inlineStr">
        <is>
          <t>Q32R2C6</t>
        </is>
      </c>
      <c r="B686" s="9">
        <f>LAI!H350</f>
        <v/>
      </c>
      <c r="C686" s="11" t="inlineStr">
        <is>
          <t>8,2</t>
        </is>
      </c>
      <c r="D686" s="10" t="n"/>
      <c r="E686" s="10" t="n"/>
    </row>
    <row r="687">
      <c r="A687" s="9" t="inlineStr">
        <is>
          <t>Q32R2C7</t>
        </is>
      </c>
      <c r="B687" s="9">
        <f>LAI!I350</f>
        <v/>
      </c>
      <c r="C687" s="11" t="inlineStr">
        <is>
          <t>8,2</t>
        </is>
      </c>
      <c r="D687" s="10" t="n"/>
      <c r="E687" s="10" t="n"/>
    </row>
    <row r="688">
      <c r="A688" s="9" t="inlineStr">
        <is>
          <t>Q32R2C8</t>
        </is>
      </c>
      <c r="B688" s="9">
        <f>LAI!J350</f>
        <v/>
      </c>
      <c r="C688" s="11" t="inlineStr">
        <is>
          <t>8,2</t>
        </is>
      </c>
      <c r="D688" s="10" t="n"/>
      <c r="E688" s="10" t="n"/>
    </row>
    <row r="689">
      <c r="A689" s="9" t="inlineStr">
        <is>
          <t>Q32R2C9</t>
        </is>
      </c>
      <c r="B689" s="9">
        <f>LAI!K350</f>
        <v/>
      </c>
      <c r="C689" s="11" t="inlineStr">
        <is>
          <t>8,2</t>
        </is>
      </c>
      <c r="D689" s="10" t="n"/>
      <c r="E689" s="10" t="n"/>
    </row>
    <row r="690">
      <c r="A690" s="9" t="inlineStr">
        <is>
          <t>Q32R2C10</t>
        </is>
      </c>
      <c r="B690" s="9">
        <f>LAI!L350</f>
        <v/>
      </c>
      <c r="C690" s="11" t="inlineStr">
        <is>
          <t>8,2</t>
        </is>
      </c>
      <c r="D690" s="10" t="n"/>
      <c r="E690" s="10" t="n"/>
    </row>
    <row r="691">
      <c r="A691" s="9" t="inlineStr">
        <is>
          <t>Q32R3C1</t>
        </is>
      </c>
      <c r="B691" s="9">
        <f>LAI!C351</f>
        <v/>
      </c>
      <c r="C691" s="11" t="inlineStr">
        <is>
          <t>8,2</t>
        </is>
      </c>
      <c r="D691" s="10" t="n"/>
      <c r="E691" s="10" t="n"/>
    </row>
    <row r="692">
      <c r="A692" s="9" t="inlineStr">
        <is>
          <t>Q32R3C2</t>
        </is>
      </c>
      <c r="B692" s="9">
        <f>LAI!D351</f>
        <v/>
      </c>
      <c r="C692" s="11" t="inlineStr">
        <is>
          <t>8,2</t>
        </is>
      </c>
      <c r="D692" s="10" t="n"/>
      <c r="E692" s="10" t="n"/>
    </row>
    <row r="693">
      <c r="A693" s="9" t="inlineStr">
        <is>
          <t>Q32R3C3</t>
        </is>
      </c>
      <c r="B693" s="9">
        <f>LAI!E351</f>
        <v/>
      </c>
      <c r="C693" s="11" t="inlineStr">
        <is>
          <t>8,2</t>
        </is>
      </c>
      <c r="D693" s="10" t="n"/>
      <c r="E693" s="10" t="n"/>
    </row>
    <row r="694">
      <c r="A694" s="9" t="inlineStr">
        <is>
          <t>Q32R3C4</t>
        </is>
      </c>
      <c r="B694" s="9">
        <f>LAI!F351</f>
        <v/>
      </c>
      <c r="C694" s="11" t="inlineStr">
        <is>
          <t>8,2</t>
        </is>
      </c>
      <c r="D694" s="10" t="n"/>
      <c r="E694" s="10" t="n"/>
    </row>
    <row r="695">
      <c r="A695" s="9" t="inlineStr">
        <is>
          <t>Q32R3C5</t>
        </is>
      </c>
      <c r="B695" s="9">
        <f>LAI!G351</f>
        <v/>
      </c>
      <c r="C695" s="11" t="inlineStr">
        <is>
          <t>8,2</t>
        </is>
      </c>
      <c r="D695" s="10" t="n"/>
      <c r="E695" s="10" t="n"/>
    </row>
    <row r="696">
      <c r="A696" s="9" t="inlineStr">
        <is>
          <t>Q32R3C6</t>
        </is>
      </c>
      <c r="B696" s="9">
        <f>LAI!H351</f>
        <v/>
      </c>
      <c r="C696" s="11" t="inlineStr">
        <is>
          <t>8,2</t>
        </is>
      </c>
      <c r="D696" s="10" t="n"/>
      <c r="E696" s="10" t="n"/>
    </row>
    <row r="697">
      <c r="A697" s="9" t="inlineStr">
        <is>
          <t>Q32R3C7</t>
        </is>
      </c>
      <c r="B697" s="9">
        <f>LAI!I351</f>
        <v/>
      </c>
      <c r="C697" s="11" t="inlineStr">
        <is>
          <t>8,2</t>
        </is>
      </c>
      <c r="D697" s="10" t="n"/>
      <c r="E697" s="10" t="n"/>
    </row>
    <row r="698">
      <c r="A698" s="9" t="inlineStr">
        <is>
          <t>Q32R3C8</t>
        </is>
      </c>
      <c r="B698" s="9">
        <f>LAI!J351</f>
        <v/>
      </c>
      <c r="C698" s="11" t="inlineStr">
        <is>
          <t>8,2</t>
        </is>
      </c>
      <c r="D698" s="10" t="n"/>
      <c r="E698" s="10" t="n"/>
    </row>
    <row r="699">
      <c r="A699" s="9" t="inlineStr">
        <is>
          <t>Q32R3C9</t>
        </is>
      </c>
      <c r="B699" s="9">
        <f>LAI!K351</f>
        <v/>
      </c>
      <c r="C699" s="11" t="inlineStr">
        <is>
          <t>8,2</t>
        </is>
      </c>
      <c r="D699" s="10" t="n"/>
      <c r="E699" s="10" t="n"/>
    </row>
    <row r="700">
      <c r="A700" s="9" t="inlineStr">
        <is>
          <t>Q32R3C10</t>
        </is>
      </c>
      <c r="B700" s="9">
        <f>LAI!L351</f>
        <v/>
      </c>
      <c r="C700" s="11" t="inlineStr">
        <is>
          <t>8,2</t>
        </is>
      </c>
      <c r="D700" s="10" t="n"/>
      <c r="E700" s="10" t="n"/>
    </row>
    <row r="701">
      <c r="A701" s="9" t="inlineStr">
        <is>
          <t>Q32R4C1</t>
        </is>
      </c>
      <c r="B701" s="9">
        <f>LAI!C352</f>
        <v/>
      </c>
      <c r="C701" s="11" t="inlineStr">
        <is>
          <t>8,2</t>
        </is>
      </c>
      <c r="D701" s="10" t="n"/>
      <c r="E701" s="10" t="n"/>
    </row>
    <row r="702">
      <c r="A702" s="9" t="inlineStr">
        <is>
          <t>Q32R4C2</t>
        </is>
      </c>
      <c r="B702" s="9">
        <f>LAI!D352</f>
        <v/>
      </c>
      <c r="C702" s="11" t="inlineStr">
        <is>
          <t>8,2</t>
        </is>
      </c>
      <c r="D702" s="10" t="n"/>
      <c r="E702" s="10" t="n"/>
    </row>
    <row r="703">
      <c r="A703" s="9" t="inlineStr">
        <is>
          <t>Q32R4C3</t>
        </is>
      </c>
      <c r="B703" s="9">
        <f>LAI!E352</f>
        <v/>
      </c>
      <c r="C703" s="11" t="inlineStr">
        <is>
          <t>8,2</t>
        </is>
      </c>
      <c r="D703" s="10" t="n"/>
      <c r="E703" s="10" t="n"/>
    </row>
    <row r="704">
      <c r="A704" s="9" t="inlineStr">
        <is>
          <t>Q32R4C4</t>
        </is>
      </c>
      <c r="B704" s="9">
        <f>LAI!F352</f>
        <v/>
      </c>
      <c r="C704" s="11" t="inlineStr">
        <is>
          <t>8,2</t>
        </is>
      </c>
      <c r="D704" s="10" t="n"/>
      <c r="E704" s="10" t="n"/>
    </row>
    <row r="705">
      <c r="A705" s="9" t="inlineStr">
        <is>
          <t>Q32R4C5</t>
        </is>
      </c>
      <c r="B705" s="9">
        <f>LAI!G352</f>
        <v/>
      </c>
      <c r="C705" s="11" t="inlineStr">
        <is>
          <t>8,2</t>
        </is>
      </c>
      <c r="D705" s="10" t="n"/>
      <c r="E705" s="10" t="n"/>
    </row>
    <row r="706">
      <c r="A706" s="9" t="inlineStr">
        <is>
          <t>Q32R4C6</t>
        </is>
      </c>
      <c r="B706" s="9">
        <f>LAI!H352</f>
        <v/>
      </c>
      <c r="C706" s="11" t="inlineStr">
        <is>
          <t>8,2</t>
        </is>
      </c>
      <c r="D706" s="10" t="n"/>
      <c r="E706" s="10" t="n"/>
    </row>
    <row r="707">
      <c r="A707" s="9" t="inlineStr">
        <is>
          <t>Q32R4C7</t>
        </is>
      </c>
      <c r="B707" s="9">
        <f>LAI!I352</f>
        <v/>
      </c>
      <c r="C707" s="11" t="inlineStr">
        <is>
          <t>8,2</t>
        </is>
      </c>
      <c r="D707" s="10" t="n"/>
      <c r="E707" s="10" t="n"/>
    </row>
    <row r="708">
      <c r="A708" s="9" t="inlineStr">
        <is>
          <t>Q32R4C8</t>
        </is>
      </c>
      <c r="B708" s="9">
        <f>LAI!J352</f>
        <v/>
      </c>
      <c r="C708" s="11" t="inlineStr">
        <is>
          <t>8,2</t>
        </is>
      </c>
      <c r="D708" s="10" t="n"/>
      <c r="E708" s="10" t="n"/>
    </row>
    <row r="709">
      <c r="A709" s="9" t="inlineStr">
        <is>
          <t>Q32R4C9</t>
        </is>
      </c>
      <c r="B709" s="9">
        <f>LAI!K352</f>
        <v/>
      </c>
      <c r="C709" s="11" t="inlineStr">
        <is>
          <t>8,2</t>
        </is>
      </c>
      <c r="D709" s="10" t="n"/>
      <c r="E709" s="10" t="n"/>
    </row>
    <row r="710">
      <c r="A710" s="9" t="inlineStr">
        <is>
          <t>Q32R4C10</t>
        </is>
      </c>
      <c r="B710" s="9">
        <f>LAI!L352</f>
        <v/>
      </c>
      <c r="C710" s="11" t="inlineStr">
        <is>
          <t>8,2</t>
        </is>
      </c>
      <c r="D710" s="10" t="n"/>
      <c r="E710" s="10" t="n"/>
    </row>
    <row r="711">
      <c r="A711" s="9" t="inlineStr">
        <is>
          <t>Q32R5C1</t>
        </is>
      </c>
      <c r="B711" s="9">
        <f>LAI!C353</f>
        <v/>
      </c>
      <c r="C711" s="11" t="inlineStr">
        <is>
          <t>8,2</t>
        </is>
      </c>
      <c r="D711" s="10" t="n"/>
      <c r="E711" s="10" t="n"/>
    </row>
    <row r="712">
      <c r="A712" s="9" t="inlineStr">
        <is>
          <t>Q32R5C2</t>
        </is>
      </c>
      <c r="B712" s="9">
        <f>LAI!D353</f>
        <v/>
      </c>
      <c r="C712" s="11" t="inlineStr">
        <is>
          <t>8,2</t>
        </is>
      </c>
      <c r="D712" s="10" t="n"/>
      <c r="E712" s="10" t="n"/>
    </row>
    <row r="713">
      <c r="A713" s="9" t="inlineStr">
        <is>
          <t>Q32R5C3</t>
        </is>
      </c>
      <c r="B713" s="9">
        <f>LAI!E353</f>
        <v/>
      </c>
      <c r="C713" s="11" t="inlineStr">
        <is>
          <t>8,2</t>
        </is>
      </c>
      <c r="D713" s="10" t="n"/>
      <c r="E713" s="10" t="n"/>
    </row>
    <row r="714">
      <c r="A714" s="9" t="inlineStr">
        <is>
          <t>Q32R5C4</t>
        </is>
      </c>
      <c r="B714" s="9">
        <f>LAI!F353</f>
        <v/>
      </c>
      <c r="C714" s="11" t="inlineStr">
        <is>
          <t>8,2</t>
        </is>
      </c>
      <c r="D714" s="10" t="n"/>
      <c r="E714" s="10" t="n"/>
    </row>
    <row r="715">
      <c r="A715" s="9" t="inlineStr">
        <is>
          <t>Q32R5C5</t>
        </is>
      </c>
      <c r="B715" s="9">
        <f>LAI!G353</f>
        <v/>
      </c>
      <c r="C715" s="11" t="inlineStr">
        <is>
          <t>8,2</t>
        </is>
      </c>
      <c r="D715" s="10" t="n"/>
      <c r="E715" s="10" t="n"/>
    </row>
    <row r="716">
      <c r="A716" s="9" t="inlineStr">
        <is>
          <t>Q32R5C6</t>
        </is>
      </c>
      <c r="B716" s="9">
        <f>LAI!H353</f>
        <v/>
      </c>
      <c r="C716" s="11" t="inlineStr">
        <is>
          <t>8,2</t>
        </is>
      </c>
      <c r="D716" s="10" t="n"/>
      <c r="E716" s="10" t="n"/>
    </row>
    <row r="717">
      <c r="A717" s="9" t="inlineStr">
        <is>
          <t>Q32R5C7</t>
        </is>
      </c>
      <c r="B717" s="9">
        <f>LAI!I353</f>
        <v/>
      </c>
      <c r="C717" s="11" t="inlineStr">
        <is>
          <t>8,2</t>
        </is>
      </c>
      <c r="D717" s="10" t="n"/>
      <c r="E717" s="10" t="n"/>
    </row>
    <row r="718">
      <c r="A718" s="9" t="inlineStr">
        <is>
          <t>Q32R5C8</t>
        </is>
      </c>
      <c r="B718" s="9">
        <f>LAI!J353</f>
        <v/>
      </c>
      <c r="C718" s="11" t="inlineStr">
        <is>
          <t>8,2</t>
        </is>
      </c>
      <c r="D718" s="10" t="n"/>
      <c r="E718" s="10" t="n"/>
    </row>
    <row r="719">
      <c r="A719" s="9" t="inlineStr">
        <is>
          <t>Q32R5C9</t>
        </is>
      </c>
      <c r="B719" s="9">
        <f>LAI!K353</f>
        <v/>
      </c>
      <c r="C719" s="11" t="inlineStr">
        <is>
          <t>8,2</t>
        </is>
      </c>
      <c r="D719" s="10" t="n"/>
      <c r="E719" s="10" t="n"/>
    </row>
    <row r="720">
      <c r="A720" s="9" t="inlineStr">
        <is>
          <t>Q32R5C10</t>
        </is>
      </c>
      <c r="B720" s="9">
        <f>LAI!L353</f>
        <v/>
      </c>
      <c r="C720" s="11" t="inlineStr">
        <is>
          <t>8,2</t>
        </is>
      </c>
      <c r="D720" s="10" t="n"/>
      <c r="E720" s="10" t="n"/>
    </row>
    <row r="721">
      <c r="A721" s="9" t="inlineStr">
        <is>
          <t>Q32R6C1</t>
        </is>
      </c>
      <c r="B721" s="9">
        <f>LAI!C354</f>
        <v/>
      </c>
      <c r="C721" s="11" t="inlineStr">
        <is>
          <t>8,2</t>
        </is>
      </c>
      <c r="D721" s="10" t="n"/>
      <c r="E721" s="10" t="n"/>
    </row>
    <row r="722">
      <c r="A722" s="9" t="inlineStr">
        <is>
          <t>Q32R6C2</t>
        </is>
      </c>
      <c r="B722" s="9">
        <f>LAI!D354</f>
        <v/>
      </c>
      <c r="C722" s="11" t="inlineStr">
        <is>
          <t>8,2</t>
        </is>
      </c>
      <c r="D722" s="10" t="n"/>
      <c r="E722" s="10" t="n"/>
    </row>
    <row r="723">
      <c r="A723" s="9" t="inlineStr">
        <is>
          <t>Q32R6C3</t>
        </is>
      </c>
      <c r="B723" s="9">
        <f>LAI!E354</f>
        <v/>
      </c>
      <c r="C723" s="11" t="inlineStr">
        <is>
          <t>8,2</t>
        </is>
      </c>
      <c r="D723" s="10" t="n"/>
      <c r="E723" s="10" t="n"/>
    </row>
    <row r="724">
      <c r="A724" s="9" t="inlineStr">
        <is>
          <t>Q32R6C4</t>
        </is>
      </c>
      <c r="B724" s="9">
        <f>LAI!F354</f>
        <v/>
      </c>
      <c r="C724" s="11" t="inlineStr">
        <is>
          <t>8,2</t>
        </is>
      </c>
      <c r="D724" s="10" t="n"/>
      <c r="E724" s="10" t="n"/>
    </row>
    <row r="725">
      <c r="A725" s="9" t="inlineStr">
        <is>
          <t>Q32R6C5</t>
        </is>
      </c>
      <c r="B725" s="9">
        <f>LAI!G354</f>
        <v/>
      </c>
      <c r="C725" s="11" t="inlineStr">
        <is>
          <t>8,2</t>
        </is>
      </c>
      <c r="D725" s="10" t="n"/>
      <c r="E725" s="10" t="n"/>
    </row>
    <row r="726">
      <c r="A726" s="9" t="inlineStr">
        <is>
          <t>Q32R6C6</t>
        </is>
      </c>
      <c r="B726" s="9">
        <f>LAI!H354</f>
        <v/>
      </c>
      <c r="C726" s="11" t="inlineStr">
        <is>
          <t>8,2</t>
        </is>
      </c>
      <c r="D726" s="10" t="n"/>
      <c r="E726" s="10" t="n"/>
    </row>
    <row r="727">
      <c r="A727" s="9" t="inlineStr">
        <is>
          <t>Q32R6C7</t>
        </is>
      </c>
      <c r="B727" s="9">
        <f>LAI!I354</f>
        <v/>
      </c>
      <c r="C727" s="11" t="inlineStr">
        <is>
          <t>8,2</t>
        </is>
      </c>
      <c r="D727" s="10" t="n"/>
      <c r="E727" s="10" t="n"/>
    </row>
    <row r="728">
      <c r="A728" s="9" t="inlineStr">
        <is>
          <t>Q32R6C8</t>
        </is>
      </c>
      <c r="B728" s="9">
        <f>LAI!J354</f>
        <v/>
      </c>
      <c r="C728" s="11" t="inlineStr">
        <is>
          <t>8,2</t>
        </is>
      </c>
      <c r="D728" s="10" t="n"/>
      <c r="E728" s="10" t="n"/>
    </row>
    <row r="729">
      <c r="A729" s="9" t="inlineStr">
        <is>
          <t>Q32R6C9</t>
        </is>
      </c>
      <c r="B729" s="9">
        <f>LAI!K354</f>
        <v/>
      </c>
      <c r="C729" s="11" t="inlineStr">
        <is>
          <t>8,2</t>
        </is>
      </c>
      <c r="D729" s="10" t="n"/>
      <c r="E729" s="10" t="n"/>
    </row>
    <row r="730">
      <c r="A730" s="9" t="inlineStr">
        <is>
          <t>Q32R6C10</t>
        </is>
      </c>
      <c r="B730" s="9">
        <f>LAI!L354</f>
        <v/>
      </c>
      <c r="C730" s="11" t="inlineStr">
        <is>
          <t>8,2</t>
        </is>
      </c>
      <c r="D730" s="10" t="n"/>
      <c r="E730" s="10" t="n"/>
    </row>
    <row r="731">
      <c r="A731" s="9" t="inlineStr">
        <is>
          <t>Q32R7C1</t>
        </is>
      </c>
      <c r="B731" s="9">
        <f>LAI!C355</f>
        <v/>
      </c>
      <c r="C731" s="11" t="inlineStr">
        <is>
          <t>8,2</t>
        </is>
      </c>
      <c r="D731" s="10" t="n"/>
      <c r="E731" s="10" t="n"/>
    </row>
    <row r="732">
      <c r="A732" s="9" t="inlineStr">
        <is>
          <t>Q32R7C2</t>
        </is>
      </c>
      <c r="B732" s="9">
        <f>LAI!D355</f>
        <v/>
      </c>
      <c r="C732" s="11" t="inlineStr">
        <is>
          <t>8,2</t>
        </is>
      </c>
      <c r="D732" s="10" t="n"/>
      <c r="E732" s="10" t="n"/>
    </row>
    <row r="733">
      <c r="A733" s="9" t="inlineStr">
        <is>
          <t>Q32R7C3</t>
        </is>
      </c>
      <c r="B733" s="9">
        <f>LAI!E355</f>
        <v/>
      </c>
      <c r="C733" s="11" t="inlineStr">
        <is>
          <t>8,2</t>
        </is>
      </c>
      <c r="D733" s="10" t="n"/>
      <c r="E733" s="10" t="n"/>
    </row>
    <row r="734">
      <c r="A734" s="9" t="inlineStr">
        <is>
          <t>Q32R7C4</t>
        </is>
      </c>
      <c r="B734" s="9">
        <f>LAI!F355</f>
        <v/>
      </c>
      <c r="C734" s="11" t="inlineStr">
        <is>
          <t>8,2</t>
        </is>
      </c>
      <c r="D734" s="10" t="n"/>
      <c r="E734" s="10" t="n"/>
    </row>
    <row r="735">
      <c r="A735" s="9" t="inlineStr">
        <is>
          <t>Q32R7C5</t>
        </is>
      </c>
      <c r="B735" s="9">
        <f>LAI!G355</f>
        <v/>
      </c>
      <c r="C735" s="11" t="inlineStr">
        <is>
          <t>8,2</t>
        </is>
      </c>
      <c r="D735" s="10" t="n"/>
      <c r="E735" s="10" t="n"/>
    </row>
    <row r="736">
      <c r="A736" s="9" t="inlineStr">
        <is>
          <t>Q32R7C6</t>
        </is>
      </c>
      <c r="B736" s="9">
        <f>LAI!H355</f>
        <v/>
      </c>
      <c r="C736" s="11" t="inlineStr">
        <is>
          <t>8,2</t>
        </is>
      </c>
      <c r="D736" s="10" t="n"/>
      <c r="E736" s="10" t="n"/>
    </row>
    <row r="737">
      <c r="A737" s="9" t="inlineStr">
        <is>
          <t>Q32R7C7</t>
        </is>
      </c>
      <c r="B737" s="9">
        <f>LAI!I355</f>
        <v/>
      </c>
      <c r="C737" s="11" t="inlineStr">
        <is>
          <t>8,2</t>
        </is>
      </c>
      <c r="D737" s="10" t="n"/>
      <c r="E737" s="10" t="n"/>
    </row>
    <row r="738">
      <c r="A738" s="9" t="inlineStr">
        <is>
          <t>Q32R7C8</t>
        </is>
      </c>
      <c r="B738" s="9">
        <f>LAI!J355</f>
        <v/>
      </c>
      <c r="C738" s="11" t="inlineStr">
        <is>
          <t>8,2</t>
        </is>
      </c>
      <c r="D738" s="10" t="n"/>
      <c r="E738" s="10" t="n"/>
    </row>
    <row r="739">
      <c r="A739" s="9" t="inlineStr">
        <is>
          <t>Q32R7C9</t>
        </is>
      </c>
      <c r="B739" s="9">
        <f>LAI!K355</f>
        <v/>
      </c>
      <c r="C739" s="11" t="inlineStr">
        <is>
          <t>8,2</t>
        </is>
      </c>
      <c r="D739" s="10" t="n"/>
      <c r="E739" s="10" t="n"/>
    </row>
    <row r="740">
      <c r="A740" s="9" t="inlineStr">
        <is>
          <t>Q32R7C10</t>
        </is>
      </c>
      <c r="B740" s="9">
        <f>LAI!L355</f>
        <v/>
      </c>
      <c r="C740" s="11" t="inlineStr">
        <is>
          <t>8,2</t>
        </is>
      </c>
      <c r="D740" s="10" t="n"/>
      <c r="E740" s="10" t="n"/>
    </row>
    <row r="741">
      <c r="A741" s="9" t="inlineStr">
        <is>
          <t>Q33R1C1</t>
        </is>
      </c>
      <c r="B741" s="9">
        <f>LAI!A363</f>
        <v/>
      </c>
      <c r="C741" s="11" t="inlineStr">
        <is>
          <t>9,1</t>
        </is>
      </c>
      <c r="D741" s="10" t="n"/>
      <c r="E741" s="10" t="n"/>
    </row>
    <row r="742">
      <c r="A742" s="9" t="inlineStr">
        <is>
          <t>Q33R1C2</t>
        </is>
      </c>
      <c r="B742" s="9">
        <f>LAI!C363</f>
        <v/>
      </c>
      <c r="C742" s="11" t="inlineStr">
        <is>
          <t>9,1</t>
        </is>
      </c>
      <c r="D742" s="10" t="n"/>
      <c r="E742" s="10" t="n"/>
    </row>
    <row r="743">
      <c r="A743" s="9" t="inlineStr">
        <is>
          <t>Q33R1C3</t>
        </is>
      </c>
      <c r="B743" s="9">
        <f>LAI!E363</f>
        <v/>
      </c>
      <c r="C743" s="11" t="inlineStr">
        <is>
          <t>9,1</t>
        </is>
      </c>
      <c r="D743" s="10" t="n"/>
      <c r="E743" s="10" t="n"/>
    </row>
    <row r="744">
      <c r="A744" s="9" t="inlineStr">
        <is>
          <t>Q34R1C1</t>
        </is>
      </c>
      <c r="B744" s="9">
        <f>LAI!A369</f>
        <v/>
      </c>
      <c r="C744" s="11" t="inlineStr">
        <is>
          <t>9,2</t>
        </is>
      </c>
      <c r="D744" s="10" t="n"/>
      <c r="E744" s="10" t="n"/>
    </row>
    <row r="745">
      <c r="A745" s="9" t="inlineStr">
        <is>
          <t>Q34R1C2</t>
        </is>
      </c>
      <c r="B745" s="9">
        <f>LAI!C369</f>
        <v/>
      </c>
      <c r="C745" s="11" t="inlineStr">
        <is>
          <t>9,2</t>
        </is>
      </c>
      <c r="D745" s="10" t="n"/>
      <c r="E745" s="10" t="n"/>
    </row>
    <row r="746">
      <c r="A746" s="9" t="inlineStr">
        <is>
          <t>Q34R1C3</t>
        </is>
      </c>
      <c r="B746" s="9">
        <f>LAI!E369</f>
        <v/>
      </c>
      <c r="C746" s="11" t="inlineStr">
        <is>
          <t>9,2</t>
        </is>
      </c>
      <c r="D746" s="10" t="n"/>
      <c r="E746" s="10" t="n"/>
    </row>
    <row r="747">
      <c r="A747" s="12" t="inlineStr">
        <is>
          <t>Q34R1C4</t>
        </is>
      </c>
      <c r="B747" s="12">
        <f>LAI!G369</f>
        <v/>
      </c>
      <c r="C747" s="13" t="inlineStr">
        <is>
          <t>9,2</t>
        </is>
      </c>
      <c r="D747" s="10" t="n"/>
      <c r="E747" s="10" t="n"/>
    </row>
    <row r="748">
      <c r="A748" s="12" t="inlineStr">
        <is>
          <t>Q34R1C5</t>
        </is>
      </c>
      <c r="B748" s="12">
        <f>LAI!I369</f>
        <v/>
      </c>
      <c r="C748" s="13" t="inlineStr">
        <is>
          <t>9,2</t>
        </is>
      </c>
      <c r="D748" s="10" t="n"/>
      <c r="E748" s="10" t="n"/>
    </row>
    <row r="749">
      <c r="A749" s="12" t="inlineStr">
        <is>
          <t>Q34R1C6</t>
        </is>
      </c>
      <c r="B749" s="12">
        <f>LAI!K369</f>
        <v/>
      </c>
      <c r="C749" s="13" t="inlineStr">
        <is>
          <t>9,2</t>
        </is>
      </c>
      <c r="D749" s="10" t="n"/>
      <c r="E749" s="10" t="n"/>
    </row>
    <row r="750">
      <c r="A750" s="9" t="inlineStr">
        <is>
          <t>Q35R1C1</t>
        </is>
      </c>
      <c r="B750" s="9">
        <f>LAI!A378</f>
        <v/>
      </c>
      <c r="C750" s="11" t="inlineStr">
        <is>
          <t>10,1</t>
        </is>
      </c>
      <c r="D750" s="10" t="n"/>
      <c r="E750" s="10" t="n"/>
    </row>
    <row r="751">
      <c r="A751" s="9" t="inlineStr">
        <is>
          <t>Q35R1C2</t>
        </is>
      </c>
      <c r="B751" s="9">
        <f>LAI!C378</f>
        <v/>
      </c>
      <c r="C751" s="11" t="inlineStr">
        <is>
          <t>10,1</t>
        </is>
      </c>
      <c r="D751" s="10" t="n"/>
      <c r="E751" s="10" t="n"/>
    </row>
    <row r="752">
      <c r="A752" s="9" t="inlineStr">
        <is>
          <t>Q35R1C3</t>
        </is>
      </c>
      <c r="B752" s="9">
        <f>LAI!E378</f>
        <v/>
      </c>
      <c r="C752" s="11" t="inlineStr">
        <is>
          <t>10,1</t>
        </is>
      </c>
      <c r="D752" s="10" t="n"/>
      <c r="E752" s="10" t="n"/>
    </row>
    <row r="753">
      <c r="A753" s="9" t="inlineStr">
        <is>
          <t>Q35R1C4</t>
        </is>
      </c>
      <c r="B753" s="9">
        <f>LAI!G378</f>
        <v/>
      </c>
      <c r="C753" s="11" t="inlineStr">
        <is>
          <t>10,1</t>
        </is>
      </c>
      <c r="D753" s="10" t="n"/>
      <c r="E753" s="10" t="n"/>
    </row>
    <row r="754">
      <c r="A754" s="12" t="inlineStr">
        <is>
          <t>Q36R1C1</t>
        </is>
      </c>
      <c r="B754" s="12">
        <f>LAI!A383</f>
        <v/>
      </c>
      <c r="C754" s="13" t="inlineStr">
        <is>
          <t>10,2</t>
        </is>
      </c>
      <c r="D754" s="10" t="n"/>
      <c r="E754" s="10" t="n"/>
    </row>
    <row r="755">
      <c r="A755" s="9" t="inlineStr">
        <is>
          <t>Q37R1C1</t>
        </is>
      </c>
      <c r="B755" s="9">
        <f>LAI!H390</f>
        <v/>
      </c>
      <c r="C755" s="11" t="inlineStr">
        <is>
          <t>11,1</t>
        </is>
      </c>
      <c r="D755" s="10" t="n"/>
      <c r="E755" s="10" t="n"/>
    </row>
    <row r="756">
      <c r="A756" s="9" t="inlineStr">
        <is>
          <t>Q37R2C1</t>
        </is>
      </c>
      <c r="B756" s="9">
        <f>LAI!H391</f>
        <v/>
      </c>
      <c r="C756" s="11" t="inlineStr">
        <is>
          <t>11,1</t>
        </is>
      </c>
      <c r="D756" s="10" t="n"/>
      <c r="E756" s="10" t="n"/>
    </row>
    <row r="757">
      <c r="A757" s="9" t="inlineStr">
        <is>
          <t>Q37R3C1</t>
        </is>
      </c>
      <c r="B757" s="9">
        <f>LAI!H392</f>
        <v/>
      </c>
      <c r="C757" s="11" t="inlineStr">
        <is>
          <t>11,1</t>
        </is>
      </c>
      <c r="D757" s="10" t="n"/>
      <c r="E757" s="10" t="n"/>
    </row>
    <row r="758">
      <c r="A758" s="9" t="inlineStr">
        <is>
          <t>Q37R4C1</t>
        </is>
      </c>
      <c r="B758" s="9">
        <f>LAI!F393</f>
        <v/>
      </c>
      <c r="C758" s="11" t="inlineStr">
        <is>
          <t>11,1</t>
        </is>
      </c>
      <c r="D758" s="10" t="n"/>
      <c r="E758" s="10" t="n"/>
    </row>
    <row r="759">
      <c r="A759" s="9" t="inlineStr">
        <is>
          <t>Q37R5C1</t>
        </is>
      </c>
      <c r="B759" s="9">
        <f>LAI!F394</f>
        <v/>
      </c>
      <c r="C759" s="11" t="inlineStr">
        <is>
          <t>11,1</t>
        </is>
      </c>
      <c r="D759" s="10" t="n"/>
      <c r="E759" s="10" t="n"/>
    </row>
    <row r="760">
      <c r="A760" s="12" t="inlineStr">
        <is>
          <t>Q38R1C1</t>
        </is>
      </c>
      <c r="B760" s="12">
        <f>LAI!F400</f>
        <v/>
      </c>
      <c r="C760" s="13" t="inlineStr">
        <is>
          <t>11,2</t>
        </is>
      </c>
      <c r="D760" s="10" t="n"/>
      <c r="E760" s="10" t="n"/>
    </row>
    <row r="761">
      <c r="A761" s="12" t="inlineStr">
        <is>
          <t>Q38R2C1</t>
        </is>
      </c>
      <c r="B761" s="12">
        <f>LAI!F401</f>
        <v/>
      </c>
      <c r="C761" s="13" t="inlineStr">
        <is>
          <t>11,2</t>
        </is>
      </c>
      <c r="D761" s="10" t="n"/>
      <c r="E761" s="10" t="n"/>
    </row>
    <row r="762">
      <c r="A762" s="12" t="inlineStr">
        <is>
          <t>Q38R3C1</t>
        </is>
      </c>
      <c r="B762" s="12">
        <f>LAI!F402</f>
        <v/>
      </c>
      <c r="C762" s="13" t="inlineStr">
        <is>
          <t>11,2</t>
        </is>
      </c>
      <c r="D762" s="10" t="n"/>
      <c r="E762" s="10" t="n"/>
    </row>
    <row r="763">
      <c r="A763" s="12" t="inlineStr">
        <is>
          <t>Q38R4C1</t>
        </is>
      </c>
      <c r="B763" s="12">
        <f>LAI!F403</f>
        <v/>
      </c>
      <c r="C763" s="13" t="inlineStr">
        <is>
          <t>11,2</t>
        </is>
      </c>
      <c r="D763" s="10" t="n"/>
      <c r="E763" s="10" t="n"/>
    </row>
    <row r="764">
      <c r="A764" s="12" t="inlineStr">
        <is>
          <t>Q38R5C1</t>
        </is>
      </c>
      <c r="B764" s="12">
        <f>LAI!F404</f>
        <v/>
      </c>
      <c r="C764" s="13" t="inlineStr">
        <is>
          <t>11,2</t>
        </is>
      </c>
      <c r="D764" s="10" t="n"/>
      <c r="E764" s="10" t="n"/>
    </row>
  </sheetData>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673"/>
  <sheetViews>
    <sheetView workbookViewId="0">
      <selection activeCell="G28" sqref="G28"/>
    </sheetView>
  </sheetViews>
  <sheetFormatPr baseColWidth="8" defaultColWidth="9" defaultRowHeight="15"/>
  <cols>
    <col width="11.5703125" customWidth="1" min="2" max="2"/>
  </cols>
  <sheetData>
    <row r="1">
      <c r="A1" s="9" t="inlineStr">
        <is>
          <t>Inst</t>
        </is>
      </c>
      <c r="B1" s="9">
        <f>LPRP!H6</f>
        <v/>
      </c>
      <c r="C1" s="15" t="n"/>
      <c r="D1" s="10" t="n"/>
    </row>
    <row r="2" customFormat="1" s="3">
      <c r="A2" s="9" t="inlineStr">
        <is>
          <t>Report</t>
        </is>
      </c>
      <c r="B2" s="9" t="inlineStr">
        <is>
          <t>2021;2022</t>
        </is>
      </c>
      <c r="C2" s="15" t="n"/>
      <c r="D2" s="10" t="n"/>
    </row>
    <row r="3">
      <c r="A3" s="9" t="inlineStr">
        <is>
          <t>Q1R1C1</t>
        </is>
      </c>
      <c r="B3" s="9">
        <f>LPRP!H15</f>
        <v/>
      </c>
      <c r="C3" s="11" t="inlineStr">
        <is>
          <t>1,1</t>
        </is>
      </c>
      <c r="D3" s="10" t="n"/>
    </row>
    <row r="4">
      <c r="A4" s="9" t="inlineStr">
        <is>
          <t>Q1R2C1</t>
        </is>
      </c>
      <c r="B4" s="9">
        <f>LPRP!H16</f>
        <v/>
      </c>
      <c r="C4" s="11" t="inlineStr">
        <is>
          <t>1,1</t>
        </is>
      </c>
      <c r="D4" s="10" t="n"/>
    </row>
    <row r="5">
      <c r="A5" s="12" t="inlineStr">
        <is>
          <t>Q1R3C1</t>
        </is>
      </c>
      <c r="B5" s="12">
        <f>LPRP!G17</f>
        <v/>
      </c>
      <c r="C5" s="13" t="inlineStr">
        <is>
          <t>1,1</t>
        </is>
      </c>
      <c r="D5" s="10" t="n"/>
    </row>
    <row r="6">
      <c r="A6" s="12" t="inlineStr">
        <is>
          <t>Q1R4C1</t>
        </is>
      </c>
      <c r="B6" s="12">
        <f>LPRP!G18</f>
        <v/>
      </c>
      <c r="C6" s="13" t="inlineStr">
        <is>
          <t>1,1</t>
        </is>
      </c>
      <c r="D6" s="10" t="n"/>
    </row>
    <row r="7">
      <c r="A7" s="9" t="inlineStr">
        <is>
          <t>Q1R5C1</t>
        </is>
      </c>
      <c r="B7" s="9">
        <f>LPRP!H19</f>
        <v/>
      </c>
      <c r="C7" s="11" t="inlineStr">
        <is>
          <t>1,1</t>
        </is>
      </c>
      <c r="D7" s="10" t="n"/>
    </row>
    <row r="8" customFormat="1" s="3">
      <c r="A8" s="9" t="inlineStr">
        <is>
          <t>Q1R6C1</t>
        </is>
      </c>
      <c r="B8" s="9">
        <f>LPRP!H20</f>
        <v/>
      </c>
      <c r="C8" s="11" t="inlineStr">
        <is>
          <t>1,1</t>
        </is>
      </c>
      <c r="D8" s="10" t="n"/>
    </row>
    <row r="9" customFormat="1" s="3">
      <c r="A9" s="9" t="inlineStr">
        <is>
          <t>Q1R7C1</t>
        </is>
      </c>
      <c r="B9" s="9">
        <f>LPRP!H21</f>
        <v/>
      </c>
      <c r="C9" s="11" t="inlineStr">
        <is>
          <t>1,1</t>
        </is>
      </c>
      <c r="D9" s="10" t="n"/>
    </row>
    <row r="10" customFormat="1" s="3">
      <c r="A10" s="12" t="inlineStr">
        <is>
          <t>Q1R8C1</t>
        </is>
      </c>
      <c r="B10" s="12">
        <f>LPRP!G22</f>
        <v/>
      </c>
      <c r="C10" s="13" t="inlineStr">
        <is>
          <t>1,1</t>
        </is>
      </c>
      <c r="D10" s="10" t="n"/>
    </row>
    <row r="11" customFormat="1" s="3">
      <c r="A11" s="12" t="inlineStr">
        <is>
          <t>Q1R9C1</t>
        </is>
      </c>
      <c r="B11" s="12">
        <f>LPRP!G23</f>
        <v/>
      </c>
      <c r="C11" s="13" t="inlineStr">
        <is>
          <t>1,1</t>
        </is>
      </c>
      <c r="D11" s="10" t="n"/>
    </row>
    <row r="12" customFormat="1" s="3">
      <c r="A12" s="12" t="inlineStr">
        <is>
          <t>Q2R1C1</t>
        </is>
      </c>
      <c r="B12" s="12">
        <f>LPRP!G28</f>
        <v/>
      </c>
      <c r="C12" s="13" t="inlineStr">
        <is>
          <t>1,2</t>
        </is>
      </c>
      <c r="D12" s="10" t="n"/>
    </row>
    <row r="13" customFormat="1" s="3">
      <c r="A13" s="12" t="inlineStr">
        <is>
          <t>Q2R2C1</t>
        </is>
      </c>
      <c r="B13" s="12">
        <f>LPRP!G29</f>
        <v/>
      </c>
      <c r="C13" s="13" t="inlineStr">
        <is>
          <t>1,2</t>
        </is>
      </c>
      <c r="D13" s="10" t="n"/>
    </row>
    <row r="14" customFormat="1" s="3">
      <c r="A14" s="12" t="inlineStr">
        <is>
          <t>Q2R3C1</t>
        </is>
      </c>
      <c r="B14" s="12">
        <f>LPRP!G30</f>
        <v/>
      </c>
      <c r="C14" s="13" t="inlineStr">
        <is>
          <t>1,2</t>
        </is>
      </c>
      <c r="D14" s="10" t="n"/>
    </row>
    <row r="15" customFormat="1" s="3">
      <c r="A15" s="12" t="inlineStr">
        <is>
          <t>Q2R4C1</t>
        </is>
      </c>
      <c r="B15" s="12">
        <f>LPRP!G31</f>
        <v/>
      </c>
      <c r="C15" s="13" t="inlineStr">
        <is>
          <t>1,2</t>
        </is>
      </c>
      <c r="D15" s="10" t="n"/>
    </row>
    <row r="16" customFormat="1" s="3">
      <c r="A16" s="12" t="inlineStr">
        <is>
          <t>Q2R5C1</t>
        </is>
      </c>
      <c r="B16" s="12">
        <f>LPRP!G32</f>
        <v/>
      </c>
      <c r="C16" s="13" t="inlineStr">
        <is>
          <t>1,2</t>
        </is>
      </c>
      <c r="D16" s="10" t="n"/>
    </row>
    <row r="17" customFormat="1" s="3">
      <c r="A17" s="12" t="inlineStr">
        <is>
          <t>Q2R6C1</t>
        </is>
      </c>
      <c r="B17" s="12">
        <f>LPRP!G33</f>
        <v/>
      </c>
      <c r="C17" s="13" t="inlineStr">
        <is>
          <t>1,2</t>
        </is>
      </c>
      <c r="D17" s="10" t="n"/>
    </row>
    <row r="18" customFormat="1" s="3">
      <c r="A18" s="12" t="inlineStr">
        <is>
          <t>Q2R7C1</t>
        </is>
      </c>
      <c r="B18" s="12">
        <f>LPRP!G34</f>
        <v/>
      </c>
      <c r="C18" s="13" t="inlineStr">
        <is>
          <t>1,2</t>
        </is>
      </c>
      <c r="D18" s="10" t="n"/>
    </row>
    <row r="19" customFormat="1" s="3">
      <c r="A19" s="12" t="inlineStr">
        <is>
          <t>Q3R1C1</t>
        </is>
      </c>
      <c r="B19" s="12">
        <f>LPRP!H42</f>
        <v/>
      </c>
      <c r="C19" s="13" t="inlineStr">
        <is>
          <t>2,1</t>
        </is>
      </c>
      <c r="D19" s="10" t="n"/>
    </row>
    <row r="20" customFormat="1" s="3">
      <c r="A20" s="14" t="inlineStr">
        <is>
          <t>Q3R2C1</t>
        </is>
      </c>
      <c r="B20" s="12">
        <f>LPRP!H43</f>
        <v/>
      </c>
      <c r="C20" s="13" t="inlineStr">
        <is>
          <t>2,1</t>
        </is>
      </c>
      <c r="D20" s="10" t="n"/>
    </row>
    <row r="21" customFormat="1" s="3">
      <c r="A21" s="14" t="inlineStr">
        <is>
          <t>Q3R3C1</t>
        </is>
      </c>
      <c r="B21" s="12">
        <f>LPRP!G44</f>
        <v/>
      </c>
      <c r="C21" s="13" t="inlineStr">
        <is>
          <t>2,1</t>
        </is>
      </c>
      <c r="D21" s="10" t="n"/>
    </row>
    <row r="22" customFormat="1" s="3">
      <c r="A22" s="14" t="inlineStr">
        <is>
          <t>Q3R4C1</t>
        </is>
      </c>
      <c r="B22" s="12">
        <f>LPRP!G45</f>
        <v/>
      </c>
      <c r="C22" s="13" t="inlineStr">
        <is>
          <t>2,1</t>
        </is>
      </c>
      <c r="D22" s="10" t="n"/>
    </row>
    <row r="23" customFormat="1" s="3">
      <c r="A23" s="14" t="inlineStr">
        <is>
          <t>Q3R5C1</t>
        </is>
      </c>
      <c r="B23" s="12">
        <f>LPRP!H46</f>
        <v/>
      </c>
      <c r="C23" s="13" t="inlineStr">
        <is>
          <t>2,1</t>
        </is>
      </c>
      <c r="D23" s="10" t="n"/>
    </row>
    <row r="24" customFormat="1" s="3">
      <c r="A24" s="14" t="inlineStr">
        <is>
          <t>Q3R6C1</t>
        </is>
      </c>
      <c r="B24" s="12">
        <f>LPRP!H47</f>
        <v/>
      </c>
      <c r="C24" s="13" t="inlineStr">
        <is>
          <t>2,1</t>
        </is>
      </c>
      <c r="D24" s="10" t="n"/>
    </row>
    <row r="25" customFormat="1" s="3">
      <c r="A25" s="14" t="inlineStr">
        <is>
          <t>Q3R7C1</t>
        </is>
      </c>
      <c r="B25" s="12">
        <f>LPRP!H48</f>
        <v/>
      </c>
      <c r="C25" s="13" t="inlineStr">
        <is>
          <t>2,1</t>
        </is>
      </c>
      <c r="D25" s="10" t="n"/>
    </row>
    <row r="26" customFormat="1" s="3">
      <c r="A26" s="12" t="inlineStr">
        <is>
          <t>Q4R1C1</t>
        </is>
      </c>
      <c r="B26" s="12">
        <f>LPRP!G53</f>
        <v/>
      </c>
      <c r="C26" s="13" t="inlineStr">
        <is>
          <t>2,2</t>
        </is>
      </c>
      <c r="D26" s="10" t="n"/>
    </row>
    <row r="27" customFormat="1" s="3">
      <c r="A27" s="14" t="inlineStr">
        <is>
          <t>Q4R2C1</t>
        </is>
      </c>
      <c r="B27" s="12">
        <f>LPRP!G54</f>
        <v/>
      </c>
      <c r="C27" s="13" t="inlineStr">
        <is>
          <t>2,2</t>
        </is>
      </c>
      <c r="D27" s="10" t="n"/>
    </row>
    <row r="28" customFormat="1" s="3">
      <c r="A28" s="14" t="inlineStr">
        <is>
          <t>Q4R3C1</t>
        </is>
      </c>
      <c r="B28" s="12">
        <f>LPRP!G55</f>
        <v/>
      </c>
      <c r="C28" s="13" t="inlineStr">
        <is>
          <t>2,2</t>
        </is>
      </c>
      <c r="D28" s="10" t="n"/>
    </row>
    <row r="29" customFormat="1" s="3">
      <c r="A29" s="14" t="inlineStr">
        <is>
          <t>Q4R4C1</t>
        </is>
      </c>
      <c r="B29" s="12">
        <f>LPRP!G56</f>
        <v/>
      </c>
      <c r="C29" s="13" t="inlineStr">
        <is>
          <t>2,2</t>
        </is>
      </c>
      <c r="D29" s="10" t="n"/>
    </row>
    <row r="30" customFormat="1" s="3">
      <c r="A30" s="14" t="inlineStr">
        <is>
          <t>Q4R5C1</t>
        </is>
      </c>
      <c r="B30" s="12">
        <f>LPRP!G57</f>
        <v/>
      </c>
      <c r="C30" s="13" t="inlineStr">
        <is>
          <t>2,2</t>
        </is>
      </c>
      <c r="D30" s="10" t="n"/>
    </row>
    <row r="31" customFormat="1" s="3">
      <c r="A31" s="14" t="inlineStr">
        <is>
          <t>Q4R6C1</t>
        </is>
      </c>
      <c r="B31" s="12">
        <f>LPRP!G58</f>
        <v/>
      </c>
      <c r="C31" s="13" t="inlineStr">
        <is>
          <t>2,2</t>
        </is>
      </c>
      <c r="D31" s="10" t="n"/>
    </row>
    <row r="32" customFormat="1" s="3">
      <c r="A32" s="14" t="inlineStr">
        <is>
          <t>Q4R7C1</t>
        </is>
      </c>
      <c r="B32" s="12">
        <f>LPRP!G59</f>
        <v/>
      </c>
      <c r="C32" s="13" t="inlineStr">
        <is>
          <t>2,2</t>
        </is>
      </c>
      <c r="D32" s="10" t="n"/>
    </row>
    <row r="33" customFormat="1" s="3">
      <c r="A33" s="12" t="inlineStr">
        <is>
          <t>Q5R1C1</t>
        </is>
      </c>
      <c r="B33" s="12">
        <f>LPRP!A65</f>
        <v/>
      </c>
      <c r="C33" s="13" t="inlineStr">
        <is>
          <t>2,3</t>
        </is>
      </c>
      <c r="D33" s="10" t="n"/>
    </row>
    <row r="34" customFormat="1" s="3">
      <c r="A34" s="12" t="inlineStr">
        <is>
          <t>Q5R1C2</t>
        </is>
      </c>
      <c r="B34" s="12">
        <f>LPRP!B65</f>
        <v/>
      </c>
      <c r="C34" s="13" t="inlineStr">
        <is>
          <t>2,3</t>
        </is>
      </c>
      <c r="D34" s="10" t="n"/>
    </row>
    <row r="35" customFormat="1" s="3">
      <c r="A35" s="12" t="inlineStr">
        <is>
          <t>Q5R1C3</t>
        </is>
      </c>
      <c r="B35" s="12">
        <f>LPRP!C65</f>
        <v/>
      </c>
      <c r="C35" s="13" t="inlineStr">
        <is>
          <t>2,3</t>
        </is>
      </c>
      <c r="D35" s="10" t="n"/>
    </row>
    <row r="36" customFormat="1" s="3">
      <c r="A36" s="12" t="inlineStr">
        <is>
          <t>Q5R1C4</t>
        </is>
      </c>
      <c r="B36" s="12">
        <f>LPRP!D65</f>
        <v/>
      </c>
      <c r="C36" s="13" t="inlineStr">
        <is>
          <t>2,3</t>
        </is>
      </c>
      <c r="D36" s="10" t="n"/>
    </row>
    <row r="37" customFormat="1" s="3">
      <c r="A37" s="12" t="inlineStr">
        <is>
          <t>Q5R1C5</t>
        </is>
      </c>
      <c r="B37" s="12">
        <f>LPRP!E65</f>
        <v/>
      </c>
      <c r="C37" s="13" t="inlineStr">
        <is>
          <t>2,3</t>
        </is>
      </c>
      <c r="D37" s="10" t="n"/>
    </row>
    <row r="38" customFormat="1" s="3">
      <c r="A38" s="12" t="inlineStr">
        <is>
          <t>Q5R1C6</t>
        </is>
      </c>
      <c r="B38" s="12">
        <f>LPRP!F65</f>
        <v/>
      </c>
      <c r="C38" s="13" t="inlineStr">
        <is>
          <t>2,3</t>
        </is>
      </c>
      <c r="D38" s="10" t="n"/>
    </row>
    <row r="39" customFormat="1" s="3">
      <c r="A39" s="12" t="inlineStr">
        <is>
          <t>Q5R1C7</t>
        </is>
      </c>
      <c r="B39" s="12">
        <f>LPRP!G65</f>
        <v/>
      </c>
      <c r="C39" s="13" t="inlineStr">
        <is>
          <t>2,3</t>
        </is>
      </c>
      <c r="D39" s="10" t="n"/>
    </row>
    <row r="40" customFormat="1" s="3">
      <c r="A40" s="12" t="inlineStr">
        <is>
          <t>Q6R1C1</t>
        </is>
      </c>
      <c r="B40" s="12">
        <f>LPRP!A71</f>
        <v/>
      </c>
      <c r="C40" s="13" t="inlineStr">
        <is>
          <t>2,4</t>
        </is>
      </c>
      <c r="D40" s="10" t="n"/>
    </row>
    <row r="41" customFormat="1" s="3">
      <c r="A41" s="12" t="inlineStr">
        <is>
          <t>Q6R1C2</t>
        </is>
      </c>
      <c r="B41" s="12">
        <f>LPRP!B71</f>
        <v/>
      </c>
      <c r="C41" s="13" t="inlineStr">
        <is>
          <t>2,4</t>
        </is>
      </c>
      <c r="D41" s="10" t="n"/>
    </row>
    <row r="42" customFormat="1" s="3">
      <c r="A42" s="12" t="inlineStr">
        <is>
          <t>Q6R1C3</t>
        </is>
      </c>
      <c r="B42" s="12">
        <f>LPRP!C71</f>
        <v/>
      </c>
      <c r="C42" s="13" t="inlineStr">
        <is>
          <t>2,4</t>
        </is>
      </c>
      <c r="D42" s="10" t="n"/>
    </row>
    <row r="43" customFormat="1" s="3">
      <c r="A43" s="12" t="inlineStr">
        <is>
          <t>Q6R1C4</t>
        </is>
      </c>
      <c r="B43" s="12">
        <f>LPRP!D71</f>
        <v/>
      </c>
      <c r="C43" s="13" t="inlineStr">
        <is>
          <t>2,4</t>
        </is>
      </c>
      <c r="D43" s="10" t="n"/>
    </row>
    <row r="44" customFormat="1" s="3">
      <c r="A44" s="12" t="inlineStr">
        <is>
          <t>Q6R1C5</t>
        </is>
      </c>
      <c r="B44" s="12">
        <f>LPRP!E71</f>
        <v/>
      </c>
      <c r="C44" s="13" t="inlineStr">
        <is>
          <t>2,4</t>
        </is>
      </c>
      <c r="D44" s="10" t="n"/>
    </row>
    <row r="45" customFormat="1" s="3">
      <c r="A45" s="12" t="inlineStr">
        <is>
          <t>Q6R1C6</t>
        </is>
      </c>
      <c r="B45" s="12">
        <f>LPRP!F71</f>
        <v/>
      </c>
      <c r="C45" s="13" t="inlineStr">
        <is>
          <t>2,4</t>
        </is>
      </c>
      <c r="D45" s="10" t="n"/>
    </row>
    <row r="46" customFormat="1" s="3">
      <c r="A46" s="12" t="inlineStr">
        <is>
          <t>Q6R1C7</t>
        </is>
      </c>
      <c r="B46" s="12">
        <f>LPRP!G71</f>
        <v/>
      </c>
      <c r="C46" s="13" t="inlineStr">
        <is>
          <t>2,4</t>
        </is>
      </c>
      <c r="D46" s="10" t="n"/>
    </row>
    <row r="47" customFormat="1" s="3">
      <c r="A47" s="12" t="inlineStr">
        <is>
          <t>Q6R1C8</t>
        </is>
      </c>
      <c r="B47" s="12">
        <f>LPRP!H71</f>
        <v/>
      </c>
      <c r="C47" s="13" t="inlineStr">
        <is>
          <t>2,4</t>
        </is>
      </c>
      <c r="D47" s="10" t="n"/>
    </row>
    <row r="48" customFormat="1" s="3">
      <c r="A48" s="12" t="inlineStr">
        <is>
          <t>Q6R1C9</t>
        </is>
      </c>
      <c r="B48" s="12">
        <f>LPRP!I71</f>
        <v/>
      </c>
      <c r="C48" s="13" t="inlineStr">
        <is>
          <t>2,4</t>
        </is>
      </c>
      <c r="D48" s="10" t="n"/>
    </row>
    <row r="49" customFormat="1" s="3">
      <c r="A49" s="12" t="inlineStr">
        <is>
          <t>Q6R1C10</t>
        </is>
      </c>
      <c r="B49" s="12">
        <f>LPRP!J71</f>
        <v/>
      </c>
      <c r="C49" s="13" t="inlineStr">
        <is>
          <t>2,4</t>
        </is>
      </c>
      <c r="D49" s="10" t="n"/>
    </row>
    <row r="50" customFormat="1" s="3">
      <c r="A50" s="9" t="inlineStr">
        <is>
          <t>Q7R1C1</t>
        </is>
      </c>
      <c r="B50" s="9">
        <f>LPRP!D80</f>
        <v/>
      </c>
      <c r="C50" s="11" t="inlineStr">
        <is>
          <t>3,1</t>
        </is>
      </c>
      <c r="D50" s="10" t="n"/>
    </row>
    <row r="51" customFormat="1" s="3">
      <c r="A51" s="16" t="inlineStr">
        <is>
          <t>Q7R1C2</t>
        </is>
      </c>
      <c r="B51" s="9">
        <f>LPRP!E80</f>
        <v/>
      </c>
      <c r="C51" s="11" t="inlineStr">
        <is>
          <t>3,1</t>
        </is>
      </c>
      <c r="D51" s="10" t="n"/>
    </row>
    <row r="52" customFormat="1" s="3">
      <c r="A52" s="16" t="inlineStr">
        <is>
          <t>Q7R1C3</t>
        </is>
      </c>
      <c r="B52" s="9">
        <f>LPRP!F80</f>
        <v/>
      </c>
      <c r="C52" s="11" t="inlineStr">
        <is>
          <t>3,1</t>
        </is>
      </c>
      <c r="D52" s="10" t="n"/>
    </row>
    <row r="53" customFormat="1" s="3">
      <c r="A53" s="16" t="inlineStr">
        <is>
          <t>Q7R1C4</t>
        </is>
      </c>
      <c r="B53" s="9">
        <f>LPRP!G80</f>
        <v/>
      </c>
      <c r="C53" s="11" t="inlineStr">
        <is>
          <t>3,1</t>
        </is>
      </c>
      <c r="D53" s="10" t="n"/>
    </row>
    <row r="54" customFormat="1" s="3">
      <c r="A54" s="16" t="inlineStr">
        <is>
          <t>Q7R1C5</t>
        </is>
      </c>
      <c r="B54" s="9">
        <f>LPRP!H80</f>
        <v/>
      </c>
      <c r="C54" s="11" t="inlineStr">
        <is>
          <t>3,1</t>
        </is>
      </c>
      <c r="D54" s="10" t="n"/>
    </row>
    <row r="55" customFormat="1" s="3">
      <c r="A55" s="16" t="inlineStr">
        <is>
          <t>Q7R1C6</t>
        </is>
      </c>
      <c r="B55" s="9">
        <f>LPRP!I80</f>
        <v/>
      </c>
      <c r="C55" s="11" t="inlineStr">
        <is>
          <t>3,1</t>
        </is>
      </c>
      <c r="D55" s="10" t="n"/>
    </row>
    <row r="56" customFormat="1" s="3">
      <c r="A56" s="16" t="inlineStr">
        <is>
          <t>Q7R1C7</t>
        </is>
      </c>
      <c r="B56" s="9">
        <f>LPRP!J80</f>
        <v/>
      </c>
      <c r="C56" s="11" t="inlineStr">
        <is>
          <t>3,1</t>
        </is>
      </c>
      <c r="D56" s="10" t="n"/>
    </row>
    <row r="57">
      <c r="A57" s="9" t="inlineStr">
        <is>
          <t>Q7R2C1</t>
        </is>
      </c>
      <c r="B57" s="9">
        <f>LPRP!D81</f>
        <v/>
      </c>
      <c r="C57" s="11" t="inlineStr">
        <is>
          <t>3,1</t>
        </is>
      </c>
      <c r="D57" s="10" t="n"/>
    </row>
    <row r="58">
      <c r="A58" s="16" t="inlineStr">
        <is>
          <t>Q7R2C2</t>
        </is>
      </c>
      <c r="B58" s="9">
        <f>LPRP!E81</f>
        <v/>
      </c>
      <c r="C58" s="11" t="inlineStr">
        <is>
          <t>3,1</t>
        </is>
      </c>
      <c r="D58" s="10" t="n"/>
    </row>
    <row r="59">
      <c r="A59" s="16" t="inlineStr">
        <is>
          <t>Q7R2C3</t>
        </is>
      </c>
      <c r="B59" s="9">
        <f>LPRP!F81</f>
        <v/>
      </c>
      <c r="C59" s="11" t="inlineStr">
        <is>
          <t>3,1</t>
        </is>
      </c>
      <c r="D59" s="10" t="n"/>
    </row>
    <row r="60">
      <c r="A60" s="16" t="inlineStr">
        <is>
          <t>Q7R2C4</t>
        </is>
      </c>
      <c r="B60" s="9">
        <f>LPRP!G81</f>
        <v/>
      </c>
      <c r="C60" s="11" t="inlineStr">
        <is>
          <t>3,1</t>
        </is>
      </c>
      <c r="D60" s="10" t="n"/>
    </row>
    <row r="61">
      <c r="A61" s="16" t="inlineStr">
        <is>
          <t>Q7R2C5</t>
        </is>
      </c>
      <c r="B61" s="9">
        <f>LPRP!H81</f>
        <v/>
      </c>
      <c r="C61" s="11" t="inlineStr">
        <is>
          <t>3,1</t>
        </is>
      </c>
      <c r="D61" s="10" t="n"/>
    </row>
    <row r="62">
      <c r="A62" s="16" t="inlineStr">
        <is>
          <t>Q7R2C6</t>
        </is>
      </c>
      <c r="B62" s="9">
        <f>LPRP!I81</f>
        <v/>
      </c>
      <c r="C62" s="11" t="inlineStr">
        <is>
          <t>3,1</t>
        </is>
      </c>
      <c r="D62" s="10" t="n"/>
    </row>
    <row r="63">
      <c r="A63" s="16" t="inlineStr">
        <is>
          <t>Q7R3C7</t>
        </is>
      </c>
      <c r="B63" s="9">
        <f>LPRP!J81</f>
        <v/>
      </c>
      <c r="C63" s="11" t="inlineStr">
        <is>
          <t>3,1</t>
        </is>
      </c>
      <c r="D63" s="10" t="n"/>
    </row>
    <row r="64">
      <c r="A64" s="9" t="inlineStr">
        <is>
          <t>Q7R3C1</t>
        </is>
      </c>
      <c r="B64" s="9">
        <f>LPRP!D82</f>
        <v/>
      </c>
      <c r="C64" s="11" t="inlineStr">
        <is>
          <t>3,1</t>
        </is>
      </c>
      <c r="D64" s="10" t="n"/>
    </row>
    <row r="65">
      <c r="A65" s="16" t="inlineStr">
        <is>
          <t>Q7R3C2</t>
        </is>
      </c>
      <c r="B65" s="9">
        <f>LPRP!E82</f>
        <v/>
      </c>
      <c r="C65" s="11" t="inlineStr">
        <is>
          <t>3,1</t>
        </is>
      </c>
      <c r="D65" s="10" t="n"/>
    </row>
    <row r="66">
      <c r="A66" s="16" t="inlineStr">
        <is>
          <t>Q7R3C3</t>
        </is>
      </c>
      <c r="B66" s="9">
        <f>LPRP!F82</f>
        <v/>
      </c>
      <c r="C66" s="11" t="inlineStr">
        <is>
          <t>3,1</t>
        </is>
      </c>
      <c r="D66" s="10" t="n"/>
    </row>
    <row r="67">
      <c r="A67" s="16" t="inlineStr">
        <is>
          <t>Q7R3C4</t>
        </is>
      </c>
      <c r="B67" s="9">
        <f>LPRP!G82</f>
        <v/>
      </c>
      <c r="C67" s="11" t="inlineStr">
        <is>
          <t>3,1</t>
        </is>
      </c>
      <c r="D67" s="10" t="n"/>
    </row>
    <row r="68">
      <c r="A68" s="16" t="inlineStr">
        <is>
          <t>Q7R3C5</t>
        </is>
      </c>
      <c r="B68" s="9">
        <f>LPRP!H82</f>
        <v/>
      </c>
      <c r="C68" s="11" t="inlineStr">
        <is>
          <t>3,1</t>
        </is>
      </c>
      <c r="D68" s="10" t="n"/>
    </row>
    <row r="69">
      <c r="A69" s="16" t="inlineStr">
        <is>
          <t>Q7R3C6</t>
        </is>
      </c>
      <c r="B69" s="9">
        <f>LPRP!I82</f>
        <v/>
      </c>
      <c r="C69" s="11" t="inlineStr">
        <is>
          <t>3,1</t>
        </is>
      </c>
      <c r="D69" s="10" t="n"/>
    </row>
    <row r="70">
      <c r="A70" s="16" t="inlineStr">
        <is>
          <t>Q7R3C7</t>
        </is>
      </c>
      <c r="B70" s="9">
        <f>LPRP!J82</f>
        <v/>
      </c>
      <c r="C70" s="11" t="inlineStr">
        <is>
          <t>3,1</t>
        </is>
      </c>
      <c r="D70" s="10" t="n"/>
    </row>
    <row r="71">
      <c r="A71" s="9" t="inlineStr">
        <is>
          <t>Q7R4C1</t>
        </is>
      </c>
      <c r="B71" s="9">
        <f>LPRP!D83</f>
        <v/>
      </c>
      <c r="C71" s="11" t="inlineStr">
        <is>
          <t>3,1</t>
        </is>
      </c>
      <c r="D71" s="10" t="n"/>
    </row>
    <row r="72">
      <c r="A72" s="16" t="inlineStr">
        <is>
          <t>Q7R4C2</t>
        </is>
      </c>
      <c r="B72" s="9">
        <f>LPRP!E83</f>
        <v/>
      </c>
      <c r="C72" s="11" t="inlineStr">
        <is>
          <t>3,1</t>
        </is>
      </c>
      <c r="D72" s="10" t="n"/>
    </row>
    <row r="73">
      <c r="A73" s="16" t="inlineStr">
        <is>
          <t>Q7R4C3</t>
        </is>
      </c>
      <c r="B73" s="9">
        <f>LPRP!F83</f>
        <v/>
      </c>
      <c r="C73" s="11" t="inlineStr">
        <is>
          <t>3,1</t>
        </is>
      </c>
      <c r="D73" s="10" t="n"/>
    </row>
    <row r="74">
      <c r="A74" s="16" t="inlineStr">
        <is>
          <t>Q7R4C4</t>
        </is>
      </c>
      <c r="B74" s="9">
        <f>LPRP!G83</f>
        <v/>
      </c>
      <c r="C74" s="11" t="inlineStr">
        <is>
          <t>3,1</t>
        </is>
      </c>
      <c r="D74" s="10" t="n"/>
    </row>
    <row r="75">
      <c r="A75" s="16" t="inlineStr">
        <is>
          <t>Q7R4C5</t>
        </is>
      </c>
      <c r="B75" s="9">
        <f>LPRP!H83</f>
        <v/>
      </c>
      <c r="C75" s="11" t="inlineStr">
        <is>
          <t>3,1</t>
        </is>
      </c>
      <c r="D75" s="10" t="n"/>
    </row>
    <row r="76">
      <c r="A76" s="16" t="inlineStr">
        <is>
          <t>Q7R4C6</t>
        </is>
      </c>
      <c r="B76" s="9">
        <f>LPRP!I83</f>
        <v/>
      </c>
      <c r="C76" s="11" t="inlineStr">
        <is>
          <t>3,1</t>
        </is>
      </c>
      <c r="D76" s="10" t="n"/>
    </row>
    <row r="77">
      <c r="A77" s="16" t="inlineStr">
        <is>
          <t>Q7R4C7</t>
        </is>
      </c>
      <c r="B77" s="9">
        <f>LPRP!J83</f>
        <v/>
      </c>
      <c r="C77" s="11" t="inlineStr">
        <is>
          <t>3,1</t>
        </is>
      </c>
      <c r="D77" s="10" t="n"/>
    </row>
    <row r="78">
      <c r="A78" s="9" t="inlineStr">
        <is>
          <t>Q7R5C1</t>
        </is>
      </c>
      <c r="B78" s="9">
        <f>LPRP!D84</f>
        <v/>
      </c>
      <c r="C78" s="11" t="inlineStr">
        <is>
          <t>3,1</t>
        </is>
      </c>
      <c r="D78" s="10" t="n"/>
    </row>
    <row r="79">
      <c r="A79" s="16" t="inlineStr">
        <is>
          <t>Q7R5C2</t>
        </is>
      </c>
      <c r="B79" s="9">
        <f>LPRP!E84</f>
        <v/>
      </c>
      <c r="C79" s="11" t="inlineStr">
        <is>
          <t>3,1</t>
        </is>
      </c>
      <c r="D79" s="10" t="n"/>
    </row>
    <row r="80">
      <c r="A80" s="16" t="inlineStr">
        <is>
          <t>Q7R5C3</t>
        </is>
      </c>
      <c r="B80" s="9">
        <f>LPRP!F84</f>
        <v/>
      </c>
      <c r="C80" s="11" t="inlineStr">
        <is>
          <t>3,1</t>
        </is>
      </c>
      <c r="D80" s="10" t="n"/>
    </row>
    <row r="81">
      <c r="A81" s="16" t="inlineStr">
        <is>
          <t>Q7R5C4</t>
        </is>
      </c>
      <c r="B81" s="9">
        <f>LPRP!G84</f>
        <v/>
      </c>
      <c r="C81" s="11" t="inlineStr">
        <is>
          <t>3,1</t>
        </is>
      </c>
      <c r="D81" s="10" t="n"/>
    </row>
    <row r="82">
      <c r="A82" s="16" t="inlineStr">
        <is>
          <t>Q7R5C5</t>
        </is>
      </c>
      <c r="B82" s="9">
        <f>LPRP!H84</f>
        <v/>
      </c>
      <c r="C82" s="11" t="inlineStr">
        <is>
          <t>3,1</t>
        </is>
      </c>
      <c r="D82" s="10" t="n"/>
    </row>
    <row r="83">
      <c r="A83" s="16" t="inlineStr">
        <is>
          <t>Q7R5C6</t>
        </is>
      </c>
      <c r="B83" s="9">
        <f>LPRP!I84</f>
        <v/>
      </c>
      <c r="C83" s="11" t="inlineStr">
        <is>
          <t>3,1</t>
        </is>
      </c>
      <c r="D83" s="10" t="n"/>
    </row>
    <row r="84">
      <c r="A84" s="16" t="inlineStr">
        <is>
          <t>Q7R5C7</t>
        </is>
      </c>
      <c r="B84" s="9">
        <f>LPRP!J84</f>
        <v/>
      </c>
      <c r="C84" s="11" t="inlineStr">
        <is>
          <t>3,1</t>
        </is>
      </c>
      <c r="D84" s="10" t="n"/>
    </row>
    <row r="85" customFormat="1" s="3">
      <c r="A85" s="9" t="inlineStr">
        <is>
          <t>Q7R6C1</t>
        </is>
      </c>
      <c r="B85" s="9">
        <f>LPRP!D85</f>
        <v/>
      </c>
      <c r="C85" s="11" t="inlineStr">
        <is>
          <t>3,1</t>
        </is>
      </c>
      <c r="D85" s="10" t="n"/>
    </row>
    <row r="86" customFormat="1" s="3">
      <c r="A86" s="16" t="inlineStr">
        <is>
          <t>Q7R6C2</t>
        </is>
      </c>
      <c r="B86" s="9">
        <f>LPRP!E85</f>
        <v/>
      </c>
      <c r="C86" s="11" t="inlineStr">
        <is>
          <t>3,1</t>
        </is>
      </c>
      <c r="D86" s="10" t="n"/>
    </row>
    <row r="87" customFormat="1" s="3">
      <c r="A87" s="16" t="inlineStr">
        <is>
          <t>Q7R6C3</t>
        </is>
      </c>
      <c r="B87" s="9">
        <f>LPRP!F85</f>
        <v/>
      </c>
      <c r="C87" s="11" t="inlineStr">
        <is>
          <t>3,1</t>
        </is>
      </c>
      <c r="D87" s="10" t="n"/>
    </row>
    <row r="88" customFormat="1" s="3">
      <c r="A88" s="16" t="inlineStr">
        <is>
          <t>Q7R6C4</t>
        </is>
      </c>
      <c r="B88" s="9">
        <f>LPRP!G85</f>
        <v/>
      </c>
      <c r="C88" s="11" t="inlineStr">
        <is>
          <t>3,1</t>
        </is>
      </c>
      <c r="D88" s="10" t="n"/>
    </row>
    <row r="89" customFormat="1" s="3">
      <c r="A89" s="16" t="inlineStr">
        <is>
          <t>Q7R6C5</t>
        </is>
      </c>
      <c r="B89" s="9">
        <f>LPRP!H85</f>
        <v/>
      </c>
      <c r="C89" s="11" t="inlineStr">
        <is>
          <t>3,1</t>
        </is>
      </c>
      <c r="D89" s="10" t="n"/>
    </row>
    <row r="90" customFormat="1" s="3">
      <c r="A90" s="16" t="inlineStr">
        <is>
          <t>Q7R6C6</t>
        </is>
      </c>
      <c r="B90" s="9">
        <f>LPRP!I85</f>
        <v/>
      </c>
      <c r="C90" s="11" t="inlineStr">
        <is>
          <t>3,1</t>
        </is>
      </c>
      <c r="D90" s="10" t="n"/>
    </row>
    <row r="91" customFormat="1" s="3">
      <c r="A91" s="16" t="inlineStr">
        <is>
          <t>Q7R6C7</t>
        </is>
      </c>
      <c r="B91" s="9">
        <f>LPRP!J85</f>
        <v/>
      </c>
      <c r="C91" s="11" t="inlineStr">
        <is>
          <t>3,1</t>
        </is>
      </c>
      <c r="D91" s="10" t="n"/>
    </row>
    <row r="92" customFormat="1" s="3">
      <c r="A92" s="9" t="inlineStr">
        <is>
          <t>Q7R7C1</t>
        </is>
      </c>
      <c r="B92" s="9">
        <f>LPRP!D86</f>
        <v/>
      </c>
      <c r="C92" s="11" t="inlineStr">
        <is>
          <t>3,1</t>
        </is>
      </c>
      <c r="D92" s="10" t="n"/>
    </row>
    <row r="93" customFormat="1" s="3">
      <c r="A93" s="16" t="inlineStr">
        <is>
          <t>Q7R7C2</t>
        </is>
      </c>
      <c r="B93" s="9">
        <f>LPRP!E86</f>
        <v/>
      </c>
      <c r="C93" s="11" t="inlineStr">
        <is>
          <t>3,1</t>
        </is>
      </c>
      <c r="D93" s="10" t="n"/>
    </row>
    <row r="94" customFormat="1" s="3">
      <c r="A94" s="16" t="inlineStr">
        <is>
          <t>Q7R7C3</t>
        </is>
      </c>
      <c r="B94" s="9">
        <f>LPRP!F86</f>
        <v/>
      </c>
      <c r="C94" s="11" t="inlineStr">
        <is>
          <t>3,1</t>
        </is>
      </c>
      <c r="D94" s="10" t="n"/>
    </row>
    <row r="95" customFormat="1" s="3">
      <c r="A95" s="16" t="inlineStr">
        <is>
          <t>Q7R7C4</t>
        </is>
      </c>
      <c r="B95" s="9">
        <f>LPRP!G86</f>
        <v/>
      </c>
      <c r="C95" s="11" t="inlineStr">
        <is>
          <t>3,1</t>
        </is>
      </c>
      <c r="D95" s="10" t="n"/>
    </row>
    <row r="96">
      <c r="A96" s="16" t="inlineStr">
        <is>
          <t>Q7R7C5</t>
        </is>
      </c>
      <c r="B96" s="9">
        <f>LPRP!H86</f>
        <v/>
      </c>
      <c r="C96" s="11" t="inlineStr">
        <is>
          <t>3,1</t>
        </is>
      </c>
      <c r="D96" s="10" t="n"/>
    </row>
    <row r="97">
      <c r="A97" s="16" t="inlineStr">
        <is>
          <t>Q7R7C6</t>
        </is>
      </c>
      <c r="B97" s="9">
        <f>LPRP!I86</f>
        <v/>
      </c>
      <c r="C97" s="11" t="inlineStr">
        <is>
          <t>3,1</t>
        </is>
      </c>
      <c r="D97" s="10" t="n"/>
    </row>
    <row r="98">
      <c r="A98" s="16" t="inlineStr">
        <is>
          <t>Q7R7C7</t>
        </is>
      </c>
      <c r="B98" s="9">
        <f>LPRP!J86</f>
        <v/>
      </c>
      <c r="C98" s="11" t="inlineStr">
        <is>
          <t>3,1</t>
        </is>
      </c>
      <c r="D98" s="10" t="n"/>
    </row>
    <row r="99" customFormat="1" s="3">
      <c r="A99" s="9" t="inlineStr">
        <is>
          <t>Q8R1C1</t>
        </is>
      </c>
      <c r="B99" s="9">
        <f>LPRP!C93</f>
        <v/>
      </c>
      <c r="C99" s="11" t="inlineStr">
        <is>
          <t>3,2</t>
        </is>
      </c>
      <c r="D99" s="10" t="n"/>
    </row>
    <row r="100" customFormat="1" s="3">
      <c r="A100" s="9" t="inlineStr">
        <is>
          <t>Q8R2C1</t>
        </is>
      </c>
      <c r="B100" s="9">
        <f>LPRP!C94</f>
        <v/>
      </c>
      <c r="C100" s="11" t="inlineStr">
        <is>
          <t>3,2</t>
        </is>
      </c>
      <c r="D100" s="10" t="n"/>
    </row>
    <row r="101" customFormat="1" s="3">
      <c r="A101" s="9" t="inlineStr">
        <is>
          <t>Q8R3C1</t>
        </is>
      </c>
      <c r="B101" s="9">
        <f>LPRP!C95</f>
        <v/>
      </c>
      <c r="C101" s="11" t="inlineStr">
        <is>
          <t>3,2</t>
        </is>
      </c>
      <c r="D101" s="10" t="n"/>
    </row>
    <row r="102">
      <c r="A102" s="9" t="inlineStr">
        <is>
          <t>Q8R4C1</t>
        </is>
      </c>
      <c r="B102" s="9">
        <f>LPRP!C96</f>
        <v/>
      </c>
      <c r="C102" s="11" t="inlineStr">
        <is>
          <t>3,2</t>
        </is>
      </c>
      <c r="D102" s="10" t="n"/>
    </row>
    <row r="103">
      <c r="A103" s="9" t="inlineStr">
        <is>
          <t>Q8R5C1</t>
        </is>
      </c>
      <c r="B103" s="9">
        <f>LPRP!C97</f>
        <v/>
      </c>
      <c r="C103" s="11" t="inlineStr">
        <is>
          <t>3,2</t>
        </is>
      </c>
      <c r="D103" s="10" t="n"/>
    </row>
    <row r="104">
      <c r="A104" s="9" t="inlineStr">
        <is>
          <t>Q8R6C1</t>
        </is>
      </c>
      <c r="B104" s="9">
        <f>LPRP!C98</f>
        <v/>
      </c>
      <c r="C104" s="11" t="inlineStr">
        <is>
          <t>3,2</t>
        </is>
      </c>
      <c r="D104" s="10" t="n"/>
    </row>
    <row r="105">
      <c r="A105" s="9" t="inlineStr">
        <is>
          <t>Q8R7C1</t>
        </is>
      </c>
      <c r="B105" s="9">
        <f>LPRP!C99</f>
        <v/>
      </c>
      <c r="C105" s="11" t="inlineStr">
        <is>
          <t>3,2</t>
        </is>
      </c>
      <c r="D105" s="10" t="n"/>
    </row>
    <row r="106">
      <c r="A106" s="9" t="inlineStr">
        <is>
          <t>Q8R8C1</t>
        </is>
      </c>
      <c r="B106" s="9">
        <f>LPRP!C100</f>
        <v/>
      </c>
      <c r="C106" s="11" t="inlineStr">
        <is>
          <t>3,2</t>
        </is>
      </c>
      <c r="D106" s="10" t="n"/>
    </row>
    <row r="107">
      <c r="A107" s="9" t="inlineStr">
        <is>
          <t>Q8R9C1</t>
        </is>
      </c>
      <c r="B107" s="9">
        <f>LPRP!C101</f>
        <v/>
      </c>
      <c r="C107" s="11" t="inlineStr">
        <is>
          <t>3,2</t>
        </is>
      </c>
      <c r="D107" s="10" t="n"/>
    </row>
    <row r="108">
      <c r="A108" s="9" t="inlineStr">
        <is>
          <t>Q8R10C1</t>
        </is>
      </c>
      <c r="B108" s="9">
        <f>LPRP!G93</f>
        <v/>
      </c>
      <c r="C108" s="11" t="inlineStr">
        <is>
          <t>3,2</t>
        </is>
      </c>
      <c r="D108" s="10" t="n"/>
    </row>
    <row r="109">
      <c r="A109" s="9" t="inlineStr">
        <is>
          <t>Q8R11C1</t>
        </is>
      </c>
      <c r="B109" s="9">
        <f>LPRP!G94</f>
        <v/>
      </c>
      <c r="C109" s="11" t="inlineStr">
        <is>
          <t>3,2</t>
        </is>
      </c>
      <c r="D109" s="10" t="n"/>
    </row>
    <row r="110">
      <c r="A110" s="9" t="inlineStr">
        <is>
          <t>Q8R12C1</t>
        </is>
      </c>
      <c r="B110" s="9">
        <f>LPRP!G95</f>
        <v/>
      </c>
      <c r="C110" s="11" t="inlineStr">
        <is>
          <t>3,2</t>
        </is>
      </c>
      <c r="D110" s="10" t="n"/>
    </row>
    <row r="111">
      <c r="A111" s="9" t="inlineStr">
        <is>
          <t>Q8R13C1</t>
        </is>
      </c>
      <c r="B111" s="9">
        <f>LPRP!G96</f>
        <v/>
      </c>
      <c r="C111" s="11" t="inlineStr">
        <is>
          <t>3,2</t>
        </is>
      </c>
      <c r="D111" s="10" t="n"/>
    </row>
    <row r="112">
      <c r="A112" s="9" t="inlineStr">
        <is>
          <t>Q8R14C1</t>
        </is>
      </c>
      <c r="B112" s="9">
        <f>LPRP!G97</f>
        <v/>
      </c>
      <c r="C112" s="11" t="inlineStr">
        <is>
          <t>3,2</t>
        </is>
      </c>
      <c r="D112" s="10" t="n"/>
    </row>
    <row r="113">
      <c r="A113" s="9" t="inlineStr">
        <is>
          <t>Q8R15C1</t>
        </is>
      </c>
      <c r="B113" s="9">
        <f>LPRP!G98</f>
        <v/>
      </c>
      <c r="C113" s="11" t="inlineStr">
        <is>
          <t>3,2</t>
        </is>
      </c>
      <c r="D113" s="10" t="n"/>
    </row>
    <row r="114">
      <c r="A114" s="9" t="inlineStr">
        <is>
          <t>Q8R16C1</t>
        </is>
      </c>
      <c r="B114" s="9">
        <f>LPRP!G99</f>
        <v/>
      </c>
      <c r="C114" s="11" t="inlineStr">
        <is>
          <t>3,2</t>
        </is>
      </c>
      <c r="D114" s="10" t="n"/>
    </row>
    <row r="115">
      <c r="A115" s="9" t="inlineStr">
        <is>
          <t>Q8R17C1</t>
        </is>
      </c>
      <c r="B115" s="9">
        <f>LPRP!G100</f>
        <v/>
      </c>
      <c r="C115" s="11" t="inlineStr">
        <is>
          <t>3,2</t>
        </is>
      </c>
      <c r="D115" s="10" t="n"/>
    </row>
    <row r="116">
      <c r="A116" s="9" t="inlineStr">
        <is>
          <t>Q8R18C1</t>
        </is>
      </c>
      <c r="B116" s="9">
        <f>LPRP!G101</f>
        <v/>
      </c>
      <c r="C116" s="11" t="inlineStr">
        <is>
          <t>3,2</t>
        </is>
      </c>
      <c r="D116" s="10" t="n"/>
    </row>
    <row r="117">
      <c r="A117" s="9" t="inlineStr">
        <is>
          <t>Q8R19C1</t>
        </is>
      </c>
      <c r="B117" s="9">
        <f>LPRP!G102</f>
        <v/>
      </c>
      <c r="C117" s="11" t="inlineStr">
        <is>
          <t>3,2</t>
        </is>
      </c>
      <c r="D117" s="10" t="n"/>
    </row>
    <row r="118">
      <c r="A118" s="9" t="inlineStr">
        <is>
          <t>Q8R20C1</t>
        </is>
      </c>
      <c r="B118" s="9">
        <f>LPRP!K93</f>
        <v/>
      </c>
      <c r="C118" s="11" t="inlineStr">
        <is>
          <t>3,2</t>
        </is>
      </c>
      <c r="D118" s="10" t="n"/>
    </row>
    <row r="119">
      <c r="A119" s="9" t="inlineStr">
        <is>
          <t>Q8R21C1</t>
        </is>
      </c>
      <c r="B119" s="9">
        <f>LPRP!K94</f>
        <v/>
      </c>
      <c r="C119" s="11" t="inlineStr">
        <is>
          <t>3,2</t>
        </is>
      </c>
      <c r="D119" s="10" t="n"/>
    </row>
    <row r="120">
      <c r="A120" s="9" t="inlineStr">
        <is>
          <t>Q8R22C1</t>
        </is>
      </c>
      <c r="B120" s="9">
        <f>LPRP!K95</f>
        <v/>
      </c>
      <c r="C120" s="11" t="inlineStr">
        <is>
          <t>3,2</t>
        </is>
      </c>
      <c r="D120" s="10" t="n"/>
    </row>
    <row r="121">
      <c r="A121" s="9" t="inlineStr">
        <is>
          <t>Q8R23C1</t>
        </is>
      </c>
      <c r="B121" s="9">
        <f>LPRP!K96</f>
        <v/>
      </c>
      <c r="C121" s="11" t="inlineStr">
        <is>
          <t>3,2</t>
        </is>
      </c>
      <c r="D121" s="10" t="n"/>
    </row>
    <row r="122">
      <c r="A122" s="9" t="inlineStr">
        <is>
          <t>Q8R24C1</t>
        </is>
      </c>
      <c r="B122" s="9">
        <f>LPRP!K97</f>
        <v/>
      </c>
      <c r="C122" s="11" t="inlineStr">
        <is>
          <t>3,2</t>
        </is>
      </c>
      <c r="D122" s="10" t="n"/>
    </row>
    <row r="123">
      <c r="A123" s="9" t="inlineStr">
        <is>
          <t>Q8R25C1</t>
        </is>
      </c>
      <c r="B123" s="9">
        <f>LPRP!K98</f>
        <v/>
      </c>
      <c r="C123" s="11" t="inlineStr">
        <is>
          <t>3,2</t>
        </is>
      </c>
      <c r="D123" s="10" t="n"/>
    </row>
    <row r="124">
      <c r="A124" s="9" t="inlineStr">
        <is>
          <t>Q8R26C1</t>
        </is>
      </c>
      <c r="B124" s="9">
        <f>LPRP!K99</f>
        <v/>
      </c>
      <c r="C124" s="11" t="inlineStr">
        <is>
          <t>3,2</t>
        </is>
      </c>
      <c r="D124" s="10" t="n"/>
    </row>
    <row r="125">
      <c r="A125" s="9" t="inlineStr">
        <is>
          <t>Q8R27C1</t>
        </is>
      </c>
      <c r="B125" s="9">
        <f>LPRP!K100</f>
        <v/>
      </c>
      <c r="C125" s="11" t="inlineStr">
        <is>
          <t>3,2</t>
        </is>
      </c>
      <c r="D125" s="10" t="n"/>
    </row>
    <row r="126">
      <c r="A126" s="9" t="inlineStr">
        <is>
          <t>Q8R28C1</t>
        </is>
      </c>
      <c r="B126" s="9">
        <f>LPRP!K101</f>
        <v/>
      </c>
      <c r="C126" s="11" t="inlineStr">
        <is>
          <t>3,2</t>
        </is>
      </c>
      <c r="D126" s="10" t="n"/>
    </row>
    <row r="127">
      <c r="A127" s="9" t="inlineStr">
        <is>
          <t>Q9R1C1</t>
        </is>
      </c>
      <c r="B127" s="9">
        <f>LPRP!C107</f>
        <v/>
      </c>
      <c r="C127" s="11" t="inlineStr">
        <is>
          <t>3,3</t>
        </is>
      </c>
      <c r="D127" s="10" t="n"/>
    </row>
    <row r="128">
      <c r="A128" s="16" t="inlineStr">
        <is>
          <t>Q9R2C1</t>
        </is>
      </c>
      <c r="B128" s="9">
        <f>LPRP!C108</f>
        <v/>
      </c>
      <c r="C128" s="11" t="inlineStr">
        <is>
          <t>3,3</t>
        </is>
      </c>
      <c r="D128" s="10" t="n"/>
    </row>
    <row r="129">
      <c r="A129" s="16" t="inlineStr">
        <is>
          <t>Q9R3C1</t>
        </is>
      </c>
      <c r="B129" s="9">
        <f>LPRP!C109</f>
        <v/>
      </c>
      <c r="C129" s="11" t="inlineStr">
        <is>
          <t>3,3</t>
        </is>
      </c>
      <c r="D129" s="10" t="n"/>
    </row>
    <row r="130">
      <c r="A130" s="16" t="inlineStr">
        <is>
          <t>Q9R4C1</t>
        </is>
      </c>
      <c r="B130" s="9">
        <f>LPRP!G107</f>
        <v/>
      </c>
      <c r="C130" s="11" t="inlineStr">
        <is>
          <t>3,3</t>
        </is>
      </c>
      <c r="D130" s="10" t="n"/>
    </row>
    <row r="131">
      <c r="A131" s="16" t="inlineStr">
        <is>
          <t>Q9R5C1</t>
        </is>
      </c>
      <c r="B131" s="9">
        <f>LPRP!G108</f>
        <v/>
      </c>
      <c r="C131" s="11" t="inlineStr">
        <is>
          <t>3,3</t>
        </is>
      </c>
      <c r="D131" s="10" t="n"/>
    </row>
    <row r="132">
      <c r="A132" s="16" t="inlineStr">
        <is>
          <t>Q9R6C1</t>
        </is>
      </c>
      <c r="B132" s="9">
        <f>LPRP!G109</f>
        <v/>
      </c>
      <c r="C132" s="11" t="inlineStr">
        <is>
          <t>3,3</t>
        </is>
      </c>
      <c r="D132" s="10" t="n"/>
    </row>
    <row r="133">
      <c r="A133" s="16" t="inlineStr">
        <is>
          <t>Q9R7C1</t>
        </is>
      </c>
      <c r="B133" s="9">
        <f>LPRP!G110</f>
        <v/>
      </c>
      <c r="C133" s="11" t="inlineStr">
        <is>
          <t>3,3</t>
        </is>
      </c>
      <c r="D133" s="10" t="n"/>
    </row>
    <row r="134">
      <c r="A134" s="16" t="inlineStr">
        <is>
          <t>Q9R8C1</t>
        </is>
      </c>
      <c r="B134" s="9">
        <f>LPRP!K107</f>
        <v/>
      </c>
      <c r="C134" s="11" t="inlineStr">
        <is>
          <t>3,3</t>
        </is>
      </c>
      <c r="D134" s="10" t="n"/>
    </row>
    <row r="135">
      <c r="A135" s="16" t="inlineStr">
        <is>
          <t>Q9R9C1</t>
        </is>
      </c>
      <c r="B135" s="9">
        <f>LPRP!K108</f>
        <v/>
      </c>
      <c r="C135" s="11" t="inlineStr">
        <is>
          <t>3,3</t>
        </is>
      </c>
      <c r="D135" s="10" t="n"/>
    </row>
    <row r="136">
      <c r="A136" s="16" t="inlineStr">
        <is>
          <t>Q9R10C1</t>
        </is>
      </c>
      <c r="B136" s="9">
        <f>LPRP!K109</f>
        <v/>
      </c>
      <c r="C136" s="11" t="inlineStr">
        <is>
          <t>3,3</t>
        </is>
      </c>
      <c r="D136" s="10" t="n"/>
    </row>
    <row r="137">
      <c r="A137" s="16" t="inlineStr">
        <is>
          <t>Q9R11C1</t>
        </is>
      </c>
      <c r="B137" s="9">
        <f>LPRP!K110</f>
        <v/>
      </c>
      <c r="C137" s="11" t="inlineStr">
        <is>
          <t>3,3</t>
        </is>
      </c>
      <c r="D137" s="10" t="n"/>
    </row>
    <row r="138">
      <c r="A138" s="9" t="inlineStr">
        <is>
          <t>Q10R1C1</t>
        </is>
      </c>
      <c r="B138" s="9">
        <f>LPRP!A116</f>
        <v/>
      </c>
      <c r="C138" s="11" t="inlineStr">
        <is>
          <t>3,4</t>
        </is>
      </c>
      <c r="D138" s="10" t="n"/>
    </row>
    <row r="139">
      <c r="A139" s="12" t="inlineStr">
        <is>
          <t>Q10R1C2</t>
        </is>
      </c>
      <c r="B139" s="12">
        <f>LPRP!C116</f>
        <v/>
      </c>
      <c r="C139" s="13" t="inlineStr">
        <is>
          <t>3,4</t>
        </is>
      </c>
      <c r="D139" s="10" t="n"/>
    </row>
    <row r="140">
      <c r="A140" s="12" t="inlineStr">
        <is>
          <t>Q10R1C3</t>
        </is>
      </c>
      <c r="B140" s="12">
        <f>LPRP!E116</f>
        <v/>
      </c>
      <c r="C140" s="13" t="inlineStr">
        <is>
          <t>3,4</t>
        </is>
      </c>
      <c r="D140" s="10" t="n"/>
    </row>
    <row r="141">
      <c r="A141" s="12" t="inlineStr">
        <is>
          <t>Q10R1C4</t>
        </is>
      </c>
      <c r="B141" s="12">
        <f>LPRP!F116</f>
        <v/>
      </c>
      <c r="C141" s="13" t="inlineStr">
        <is>
          <t>3,4</t>
        </is>
      </c>
      <c r="D141" s="10" t="n"/>
    </row>
    <row r="142">
      <c r="A142" s="12" t="inlineStr">
        <is>
          <t>Q10R1C5</t>
        </is>
      </c>
      <c r="B142" s="12">
        <f>LPRP!G116</f>
        <v/>
      </c>
      <c r="C142" s="13" t="inlineStr">
        <is>
          <t>3,4</t>
        </is>
      </c>
      <c r="D142" s="10" t="n"/>
    </row>
    <row r="143">
      <c r="A143" s="9" t="inlineStr">
        <is>
          <t>Q10R1C6</t>
        </is>
      </c>
      <c r="B143" s="9">
        <f>LPRP!H116</f>
        <v/>
      </c>
      <c r="C143" s="11" t="inlineStr">
        <is>
          <t>3,4</t>
        </is>
      </c>
      <c r="D143" s="10" t="n"/>
    </row>
    <row r="144">
      <c r="A144" s="9" t="inlineStr">
        <is>
          <t>Q11R1C1</t>
        </is>
      </c>
      <c r="B144" s="9">
        <f>LPRP!A123</f>
        <v/>
      </c>
      <c r="C144" s="11" t="inlineStr">
        <is>
          <t>3.5.1</t>
        </is>
      </c>
      <c r="D144" s="10" t="n"/>
    </row>
    <row r="145">
      <c r="A145" s="9" t="inlineStr">
        <is>
          <t>Q11R1C2</t>
        </is>
      </c>
      <c r="B145" s="9">
        <f>LPRP!D123</f>
        <v/>
      </c>
      <c r="C145" s="11" t="inlineStr">
        <is>
          <t>3.5.1</t>
        </is>
      </c>
      <c r="D145" s="10" t="n"/>
    </row>
    <row r="146">
      <c r="A146" s="9" t="inlineStr">
        <is>
          <t>Q11R1C3</t>
        </is>
      </c>
      <c r="B146" s="9">
        <f>LPRP!G123</f>
        <v/>
      </c>
      <c r="C146" s="11" t="inlineStr">
        <is>
          <t>3.5.1</t>
        </is>
      </c>
      <c r="D146" s="10" t="n"/>
    </row>
    <row r="147">
      <c r="A147" s="12" t="inlineStr">
        <is>
          <t>Q12R1C1</t>
        </is>
      </c>
      <c r="B147" s="12">
        <f>LPRP!C130</f>
        <v/>
      </c>
      <c r="C147" s="13" t="inlineStr">
        <is>
          <t>3.5.2</t>
        </is>
      </c>
      <c r="D147" s="10" t="n"/>
    </row>
    <row r="148">
      <c r="A148" s="12" t="inlineStr">
        <is>
          <t>Q12R1C2</t>
        </is>
      </c>
      <c r="B148" s="12">
        <f>LPRP!D130</f>
        <v/>
      </c>
      <c r="C148" s="13" t="inlineStr">
        <is>
          <t>3.5.2</t>
        </is>
      </c>
      <c r="D148" s="10" t="n"/>
    </row>
    <row r="149">
      <c r="A149" s="12" t="inlineStr">
        <is>
          <t>Q12R1C3</t>
        </is>
      </c>
      <c r="B149" s="12">
        <f>LPRP!E130</f>
        <v/>
      </c>
      <c r="C149" s="13" t="inlineStr">
        <is>
          <t>3.5.2</t>
        </is>
      </c>
      <c r="D149" s="10" t="n"/>
    </row>
    <row r="150">
      <c r="A150" s="12" t="inlineStr">
        <is>
          <t>Q12R1C4</t>
        </is>
      </c>
      <c r="B150" s="12">
        <f>LPRP!F130</f>
        <v/>
      </c>
      <c r="C150" s="13" t="inlineStr">
        <is>
          <t>3.5.2</t>
        </is>
      </c>
      <c r="D150" s="10" t="n"/>
    </row>
    <row r="151">
      <c r="A151" s="12" t="inlineStr">
        <is>
          <t>Q12R1C5</t>
        </is>
      </c>
      <c r="B151" s="12">
        <f>LPRP!G130</f>
        <v/>
      </c>
      <c r="C151" s="13" t="inlineStr">
        <is>
          <t>3.5.2</t>
        </is>
      </c>
      <c r="D151" s="10" t="n"/>
    </row>
    <row r="152">
      <c r="A152" s="12" t="inlineStr">
        <is>
          <t>Q12R1C6</t>
        </is>
      </c>
      <c r="B152" s="12">
        <f>LPRP!H130</f>
        <v/>
      </c>
      <c r="C152" s="13" t="inlineStr">
        <is>
          <t>3.5.2</t>
        </is>
      </c>
      <c r="D152" s="10" t="n"/>
    </row>
    <row r="153">
      <c r="A153" s="12" t="inlineStr">
        <is>
          <t>Q12R1C7</t>
        </is>
      </c>
      <c r="B153" s="12">
        <f>LPRP!I130</f>
        <v/>
      </c>
      <c r="C153" s="13" t="inlineStr">
        <is>
          <t>3.5.2</t>
        </is>
      </c>
      <c r="D153" s="10" t="n"/>
    </row>
    <row r="154">
      <c r="A154" s="12" t="inlineStr">
        <is>
          <t>Q12R1C8</t>
        </is>
      </c>
      <c r="B154" s="12">
        <f>LPRP!J130</f>
        <v/>
      </c>
      <c r="C154" s="13" t="inlineStr">
        <is>
          <t>3.5.2</t>
        </is>
      </c>
      <c r="D154" s="10" t="n"/>
    </row>
    <row r="155">
      <c r="A155" s="12" t="inlineStr">
        <is>
          <t>Q12R1C9</t>
        </is>
      </c>
      <c r="B155" s="12">
        <f>LPRP!K130</f>
        <v/>
      </c>
      <c r="C155" s="13" t="inlineStr">
        <is>
          <t>3.5.2</t>
        </is>
      </c>
      <c r="D155" s="10" t="n"/>
    </row>
    <row r="156">
      <c r="A156" s="12" t="inlineStr">
        <is>
          <t>Q12R1C10</t>
        </is>
      </c>
      <c r="B156" s="12">
        <f>LPRP!L130</f>
        <v/>
      </c>
      <c r="C156" s="13" t="inlineStr">
        <is>
          <t>3.5.2</t>
        </is>
      </c>
      <c r="D156" s="10" t="n"/>
    </row>
    <row r="157">
      <c r="A157" s="12" t="inlineStr">
        <is>
          <t>Q12R2C1</t>
        </is>
      </c>
      <c r="B157" s="12">
        <f>LPRP!C131</f>
        <v/>
      </c>
      <c r="C157" s="13" t="inlineStr">
        <is>
          <t>3.5.2</t>
        </is>
      </c>
      <c r="D157" s="10" t="n"/>
    </row>
    <row r="158">
      <c r="A158" s="12" t="inlineStr">
        <is>
          <t>Q12R2C2</t>
        </is>
      </c>
      <c r="B158" s="12">
        <f>LPRP!D131</f>
        <v/>
      </c>
      <c r="C158" s="13" t="inlineStr">
        <is>
          <t>3.5.2</t>
        </is>
      </c>
      <c r="D158" s="10" t="n"/>
    </row>
    <row r="159">
      <c r="A159" s="12" t="inlineStr">
        <is>
          <t>Q12R2C3</t>
        </is>
      </c>
      <c r="B159" s="12">
        <f>LPRP!E131</f>
        <v/>
      </c>
      <c r="C159" s="13" t="inlineStr">
        <is>
          <t>3.5.2</t>
        </is>
      </c>
      <c r="D159" s="10" t="n"/>
    </row>
    <row r="160">
      <c r="A160" s="12" t="inlineStr">
        <is>
          <t>Q12R2C4</t>
        </is>
      </c>
      <c r="B160" s="12">
        <f>LPRP!F131</f>
        <v/>
      </c>
      <c r="C160" s="13" t="inlineStr">
        <is>
          <t>3.5.2</t>
        </is>
      </c>
      <c r="D160" s="10" t="n"/>
    </row>
    <row r="161">
      <c r="A161" s="12" t="inlineStr">
        <is>
          <t>Q12R2C5</t>
        </is>
      </c>
      <c r="B161" s="12">
        <f>LPRP!G131</f>
        <v/>
      </c>
      <c r="C161" s="13" t="inlineStr">
        <is>
          <t>3.5.2</t>
        </is>
      </c>
      <c r="D161" s="10" t="n"/>
    </row>
    <row r="162" customFormat="1" s="3">
      <c r="A162" s="12" t="inlineStr">
        <is>
          <t>Q12R2C6</t>
        </is>
      </c>
      <c r="B162" s="12">
        <f>LPRP!H131</f>
        <v/>
      </c>
      <c r="C162" s="13" t="inlineStr">
        <is>
          <t>3.5.2</t>
        </is>
      </c>
      <c r="D162" s="10" t="n"/>
    </row>
    <row r="163" customFormat="1" s="3">
      <c r="A163" s="12" t="inlineStr">
        <is>
          <t>Q12R2C7</t>
        </is>
      </c>
      <c r="B163" s="12">
        <f>LPRP!I131</f>
        <v/>
      </c>
      <c r="C163" s="13" t="inlineStr">
        <is>
          <t>3.5.2</t>
        </is>
      </c>
      <c r="D163" s="10" t="n"/>
    </row>
    <row r="164" customFormat="1" s="3">
      <c r="A164" s="12" t="inlineStr">
        <is>
          <t>Q12R2C8</t>
        </is>
      </c>
      <c r="B164" s="12">
        <f>LPRP!J131</f>
        <v/>
      </c>
      <c r="C164" s="13" t="inlineStr">
        <is>
          <t>3.5.2</t>
        </is>
      </c>
      <c r="D164" s="10" t="n"/>
    </row>
    <row r="165" customFormat="1" s="3">
      <c r="A165" s="12" t="inlineStr">
        <is>
          <t>Q12R2C9</t>
        </is>
      </c>
      <c r="B165" s="12">
        <f>LPRP!K131</f>
        <v/>
      </c>
      <c r="C165" s="13" t="inlineStr">
        <is>
          <t>3.5.2</t>
        </is>
      </c>
      <c r="D165" s="10" t="n"/>
    </row>
    <row r="166" customFormat="1" s="3">
      <c r="A166" s="12" t="inlineStr">
        <is>
          <t>Q12R2C10</t>
        </is>
      </c>
      <c r="B166" s="12">
        <f>LPRP!L131</f>
        <v/>
      </c>
      <c r="C166" s="13" t="inlineStr">
        <is>
          <t>3.5.2</t>
        </is>
      </c>
      <c r="D166" s="10" t="n"/>
    </row>
    <row r="167" customFormat="1" s="3">
      <c r="A167" s="12" t="inlineStr">
        <is>
          <t>Q12R3C1</t>
        </is>
      </c>
      <c r="B167" s="12">
        <f>LPRP!C132</f>
        <v/>
      </c>
      <c r="C167" s="13" t="inlineStr">
        <is>
          <t>3.5.2</t>
        </is>
      </c>
      <c r="D167" s="10" t="n"/>
    </row>
    <row r="168" customFormat="1" s="3">
      <c r="A168" s="12" t="inlineStr">
        <is>
          <t>Q12R3C2</t>
        </is>
      </c>
      <c r="B168" s="12">
        <f>LPRP!D132</f>
        <v/>
      </c>
      <c r="C168" s="13" t="inlineStr">
        <is>
          <t>3.5.2</t>
        </is>
      </c>
      <c r="D168" s="10" t="n"/>
    </row>
    <row r="169" customFormat="1" s="3">
      <c r="A169" s="12" t="inlineStr">
        <is>
          <t>Q12R3C3</t>
        </is>
      </c>
      <c r="B169" s="12">
        <f>LPRP!E132</f>
        <v/>
      </c>
      <c r="C169" s="13" t="inlineStr">
        <is>
          <t>3.5.2</t>
        </is>
      </c>
      <c r="D169" s="10" t="n"/>
    </row>
    <row r="170" customFormat="1" s="3">
      <c r="A170" s="12" t="inlineStr">
        <is>
          <t>Q12R3C4</t>
        </is>
      </c>
      <c r="B170" s="12">
        <f>LPRP!F132</f>
        <v/>
      </c>
      <c r="C170" s="13" t="inlineStr">
        <is>
          <t>3.5.2</t>
        </is>
      </c>
      <c r="D170" s="10" t="n"/>
    </row>
    <row r="171" customFormat="1" s="3">
      <c r="A171" s="12" t="inlineStr">
        <is>
          <t>Q12R3C5</t>
        </is>
      </c>
      <c r="B171" s="12">
        <f>LPRP!G132</f>
        <v/>
      </c>
      <c r="C171" s="13" t="inlineStr">
        <is>
          <t>3.5.2</t>
        </is>
      </c>
      <c r="D171" s="10" t="n"/>
    </row>
    <row r="172" customFormat="1" s="3">
      <c r="A172" s="12" t="inlineStr">
        <is>
          <t>Q12R3C6</t>
        </is>
      </c>
      <c r="B172" s="12">
        <f>LPRP!H132</f>
        <v/>
      </c>
      <c r="C172" s="13" t="inlineStr">
        <is>
          <t>3.5.2</t>
        </is>
      </c>
      <c r="D172" s="10" t="n"/>
    </row>
    <row r="173" customFormat="1" s="3">
      <c r="A173" s="12" t="inlineStr">
        <is>
          <t>Q12R3C7</t>
        </is>
      </c>
      <c r="B173" s="12">
        <f>LPRP!I132</f>
        <v/>
      </c>
      <c r="C173" s="13" t="inlineStr">
        <is>
          <t>3.5.2</t>
        </is>
      </c>
      <c r="D173" s="10" t="n"/>
    </row>
    <row r="174" customFormat="1" s="3">
      <c r="A174" s="12" t="inlineStr">
        <is>
          <t>Q12R3C8</t>
        </is>
      </c>
      <c r="B174" s="12">
        <f>LPRP!J132</f>
        <v/>
      </c>
      <c r="C174" s="13" t="inlineStr">
        <is>
          <t>3.5.2</t>
        </is>
      </c>
      <c r="D174" s="10" t="n"/>
    </row>
    <row r="175" customFormat="1" s="3">
      <c r="A175" s="12" t="inlineStr">
        <is>
          <t>Q12R3C9</t>
        </is>
      </c>
      <c r="B175" s="12">
        <f>LPRP!K132</f>
        <v/>
      </c>
      <c r="C175" s="13" t="inlineStr">
        <is>
          <t>3.5.2</t>
        </is>
      </c>
      <c r="D175" s="10" t="n"/>
    </row>
    <row r="176" customFormat="1" s="3">
      <c r="A176" s="12" t="inlineStr">
        <is>
          <t>Q12R3C10</t>
        </is>
      </c>
      <c r="B176" s="12">
        <f>LPRP!L132</f>
        <v/>
      </c>
      <c r="C176" s="13" t="inlineStr">
        <is>
          <t>3.5.2</t>
        </is>
      </c>
      <c r="D176" s="10" t="n"/>
    </row>
    <row r="177" customFormat="1" s="3">
      <c r="A177" s="12" t="inlineStr">
        <is>
          <t>Q12R4C1</t>
        </is>
      </c>
      <c r="B177" s="12">
        <f>LPRP!C133</f>
        <v/>
      </c>
      <c r="C177" s="13" t="inlineStr">
        <is>
          <t>3.5.2</t>
        </is>
      </c>
      <c r="D177" s="10" t="n"/>
    </row>
    <row r="178" customFormat="1" s="3">
      <c r="A178" s="12" t="inlineStr">
        <is>
          <t>Q12R4C2</t>
        </is>
      </c>
      <c r="B178" s="12">
        <f>LPRP!D133</f>
        <v/>
      </c>
      <c r="C178" s="13" t="inlineStr">
        <is>
          <t>3.5.2</t>
        </is>
      </c>
      <c r="D178" s="10" t="n"/>
    </row>
    <row r="179" customFormat="1" s="3">
      <c r="A179" s="12" t="inlineStr">
        <is>
          <t>Q12R4C3</t>
        </is>
      </c>
      <c r="B179" s="12">
        <f>LPRP!E133</f>
        <v/>
      </c>
      <c r="C179" s="13" t="inlineStr">
        <is>
          <t>3.5.2</t>
        </is>
      </c>
      <c r="D179" s="10" t="n"/>
    </row>
    <row r="180" customFormat="1" s="3">
      <c r="A180" s="12" t="inlineStr">
        <is>
          <t>Q12R4C4</t>
        </is>
      </c>
      <c r="B180" s="12">
        <f>LPRP!F133</f>
        <v/>
      </c>
      <c r="C180" s="13" t="inlineStr">
        <is>
          <t>3.5.2</t>
        </is>
      </c>
      <c r="D180" s="10" t="n"/>
    </row>
    <row r="181" customFormat="1" s="3">
      <c r="A181" s="12" t="inlineStr">
        <is>
          <t>Q12R4C5</t>
        </is>
      </c>
      <c r="B181" s="12">
        <f>LPRP!G133</f>
        <v/>
      </c>
      <c r="C181" s="13" t="inlineStr">
        <is>
          <t>3.5.2</t>
        </is>
      </c>
      <c r="D181" s="10" t="n"/>
    </row>
    <row r="182" customFormat="1" s="3">
      <c r="A182" s="12" t="inlineStr">
        <is>
          <t>Q12R4C6</t>
        </is>
      </c>
      <c r="B182" s="12">
        <f>LPRP!H133</f>
        <v/>
      </c>
      <c r="C182" s="13" t="inlineStr">
        <is>
          <t>3.5.2</t>
        </is>
      </c>
      <c r="D182" s="10" t="n"/>
    </row>
    <row r="183" customFormat="1" s="3">
      <c r="A183" s="12" t="inlineStr">
        <is>
          <t>Q12R4C7</t>
        </is>
      </c>
      <c r="B183" s="12">
        <f>LPRP!I133</f>
        <v/>
      </c>
      <c r="C183" s="13" t="inlineStr">
        <is>
          <t>3.5.2</t>
        </is>
      </c>
      <c r="D183" s="10" t="n"/>
    </row>
    <row r="184" customFormat="1" s="3">
      <c r="A184" s="12" t="inlineStr">
        <is>
          <t>Q12R4C8</t>
        </is>
      </c>
      <c r="B184" s="12">
        <f>LPRP!J133</f>
        <v/>
      </c>
      <c r="C184" s="13" t="inlineStr">
        <is>
          <t>3.5.2</t>
        </is>
      </c>
      <c r="D184" s="10" t="n"/>
    </row>
    <row r="185" customFormat="1" s="3">
      <c r="A185" s="12" t="inlineStr">
        <is>
          <t>Q12R4C9</t>
        </is>
      </c>
      <c r="B185" s="12">
        <f>LPRP!K133</f>
        <v/>
      </c>
      <c r="C185" s="13" t="inlineStr">
        <is>
          <t>3.5.2</t>
        </is>
      </c>
      <c r="D185" s="10" t="n"/>
    </row>
    <row r="186" customFormat="1" s="3">
      <c r="A186" s="12" t="inlineStr">
        <is>
          <t>Q12R4C10</t>
        </is>
      </c>
      <c r="B186" s="12">
        <f>LPRP!L133</f>
        <v/>
      </c>
      <c r="C186" s="13" t="inlineStr">
        <is>
          <t>3.5.2</t>
        </is>
      </c>
      <c r="D186" s="10" t="n"/>
    </row>
    <row r="187" customFormat="1" s="3">
      <c r="A187" s="12" t="inlineStr">
        <is>
          <t>Q12R5C1</t>
        </is>
      </c>
      <c r="B187" s="12">
        <f>LPRP!C134</f>
        <v/>
      </c>
      <c r="C187" s="13" t="inlineStr">
        <is>
          <t>3.5.2</t>
        </is>
      </c>
      <c r="D187" s="10" t="n"/>
    </row>
    <row r="188">
      <c r="A188" s="12" t="inlineStr">
        <is>
          <t>Q12R5C2</t>
        </is>
      </c>
      <c r="B188" s="12">
        <f>LPRP!D134</f>
        <v/>
      </c>
      <c r="C188" s="13" t="inlineStr">
        <is>
          <t>3.5.2</t>
        </is>
      </c>
      <c r="D188" s="10" t="n"/>
    </row>
    <row r="189">
      <c r="A189" s="12" t="inlineStr">
        <is>
          <t>Q12R5C3</t>
        </is>
      </c>
      <c r="B189" s="12">
        <f>LPRP!E134</f>
        <v/>
      </c>
      <c r="C189" s="13" t="inlineStr">
        <is>
          <t>3.5.2</t>
        </is>
      </c>
      <c r="D189" s="10" t="n"/>
    </row>
    <row r="190">
      <c r="A190" s="12" t="inlineStr">
        <is>
          <t>Q12R5C4</t>
        </is>
      </c>
      <c r="B190" s="12">
        <f>LPRP!F134</f>
        <v/>
      </c>
      <c r="C190" s="13" t="inlineStr">
        <is>
          <t>3.5.2</t>
        </is>
      </c>
      <c r="D190" s="10" t="n"/>
    </row>
    <row r="191">
      <c r="A191" s="12" t="inlineStr">
        <is>
          <t>Q12R5C5</t>
        </is>
      </c>
      <c r="B191" s="12">
        <f>LPRP!G134</f>
        <v/>
      </c>
      <c r="C191" s="13" t="inlineStr">
        <is>
          <t>3.5.2</t>
        </is>
      </c>
      <c r="D191" s="10" t="n"/>
    </row>
    <row r="192">
      <c r="A192" s="12" t="inlineStr">
        <is>
          <t>Q12R5C6</t>
        </is>
      </c>
      <c r="B192" s="12">
        <f>LPRP!H134</f>
        <v/>
      </c>
      <c r="C192" s="13" t="inlineStr">
        <is>
          <t>3.5.2</t>
        </is>
      </c>
      <c r="D192" s="10" t="n"/>
    </row>
    <row r="193" customFormat="1" s="3">
      <c r="A193" s="12" t="inlineStr">
        <is>
          <t>Q12R5C7</t>
        </is>
      </c>
      <c r="B193" s="12">
        <f>LPRP!I134</f>
        <v/>
      </c>
      <c r="C193" s="13" t="inlineStr">
        <is>
          <t>3.5.2</t>
        </is>
      </c>
      <c r="D193" s="10" t="n"/>
    </row>
    <row r="194" customFormat="1" s="3">
      <c r="A194" s="12" t="inlineStr">
        <is>
          <t>Q12R5C8</t>
        </is>
      </c>
      <c r="B194" s="12">
        <f>LPRP!J134</f>
        <v/>
      </c>
      <c r="C194" s="13" t="inlineStr">
        <is>
          <t>3.5.2</t>
        </is>
      </c>
      <c r="D194" s="10" t="n"/>
    </row>
    <row r="195" customFormat="1" s="3">
      <c r="A195" s="12" t="inlineStr">
        <is>
          <t>Q12R5C9</t>
        </is>
      </c>
      <c r="B195" s="12">
        <f>LPRP!K134</f>
        <v/>
      </c>
      <c r="C195" s="13" t="inlineStr">
        <is>
          <t>3.5.2</t>
        </is>
      </c>
      <c r="D195" s="10" t="n"/>
    </row>
    <row r="196" customFormat="1" s="3">
      <c r="A196" s="12" t="inlineStr">
        <is>
          <t>Q12R5C10</t>
        </is>
      </c>
      <c r="B196" s="12">
        <f>LPRP!L134</f>
        <v/>
      </c>
      <c r="C196" s="13" t="inlineStr">
        <is>
          <t>3.5.2</t>
        </is>
      </c>
      <c r="D196" s="10" t="n"/>
    </row>
    <row r="197" customFormat="1" s="3">
      <c r="A197" s="12" t="inlineStr">
        <is>
          <t>Q12R6C1</t>
        </is>
      </c>
      <c r="B197" s="12">
        <f>LPRP!C135</f>
        <v/>
      </c>
      <c r="C197" s="13" t="inlineStr">
        <is>
          <t>3.5.2</t>
        </is>
      </c>
      <c r="D197" s="10" t="n"/>
    </row>
    <row r="198" customFormat="1" s="3">
      <c r="A198" s="12" t="inlineStr">
        <is>
          <t>Q12R6C2</t>
        </is>
      </c>
      <c r="B198" s="12">
        <f>LPRP!D135</f>
        <v/>
      </c>
      <c r="C198" s="13" t="inlineStr">
        <is>
          <t>3.5.2</t>
        </is>
      </c>
      <c r="D198" s="10" t="n"/>
    </row>
    <row r="199" customFormat="1" s="3">
      <c r="A199" s="12" t="inlineStr">
        <is>
          <t>Q12R6C3</t>
        </is>
      </c>
      <c r="B199" s="12">
        <f>LPRP!E135</f>
        <v/>
      </c>
      <c r="C199" s="13" t="inlineStr">
        <is>
          <t>3.5.2</t>
        </is>
      </c>
      <c r="D199" s="10" t="n"/>
    </row>
    <row r="200" customFormat="1" s="3">
      <c r="A200" s="12" t="inlineStr">
        <is>
          <t>Q12R6C4</t>
        </is>
      </c>
      <c r="B200" s="12">
        <f>LPRP!F135</f>
        <v/>
      </c>
      <c r="C200" s="13" t="inlineStr">
        <is>
          <t>3.5.2</t>
        </is>
      </c>
      <c r="D200" s="10" t="n"/>
    </row>
    <row r="201" customFormat="1" s="3">
      <c r="A201" s="12" t="inlineStr">
        <is>
          <t>Q12R6C5</t>
        </is>
      </c>
      <c r="B201" s="12">
        <f>LPRP!G135</f>
        <v/>
      </c>
      <c r="C201" s="13" t="inlineStr">
        <is>
          <t>3.5.2</t>
        </is>
      </c>
      <c r="D201" s="10" t="n"/>
    </row>
    <row r="202" customFormat="1" s="3">
      <c r="A202" s="12" t="inlineStr">
        <is>
          <t>Q12R6C6</t>
        </is>
      </c>
      <c r="B202" s="12">
        <f>LPRP!H135</f>
        <v/>
      </c>
      <c r="C202" s="13" t="inlineStr">
        <is>
          <t>3.5.2</t>
        </is>
      </c>
      <c r="D202" s="10" t="n"/>
    </row>
    <row r="203" customFormat="1" s="3">
      <c r="A203" s="12" t="inlineStr">
        <is>
          <t>Q12R6C7</t>
        </is>
      </c>
      <c r="B203" s="12">
        <f>LPRP!I135</f>
        <v/>
      </c>
      <c r="C203" s="13" t="inlineStr">
        <is>
          <t>3.5.2</t>
        </is>
      </c>
      <c r="D203" s="10" t="n"/>
    </row>
    <row r="204" customFormat="1" s="3">
      <c r="A204" s="12" t="inlineStr">
        <is>
          <t>Q12R6C8</t>
        </is>
      </c>
      <c r="B204" s="12">
        <f>LPRP!J135</f>
        <v/>
      </c>
      <c r="C204" s="13" t="inlineStr">
        <is>
          <t>3.5.2</t>
        </is>
      </c>
      <c r="D204" s="10" t="n"/>
    </row>
    <row r="205" customFormat="1" s="3">
      <c r="A205" s="12" t="inlineStr">
        <is>
          <t>Q12R6C9</t>
        </is>
      </c>
      <c r="B205" s="12">
        <f>LPRP!K135</f>
        <v/>
      </c>
      <c r="C205" s="13" t="inlineStr">
        <is>
          <t>3.5.2</t>
        </is>
      </c>
      <c r="D205" s="10" t="n"/>
    </row>
    <row r="206" customFormat="1" s="3">
      <c r="A206" s="12" t="inlineStr">
        <is>
          <t>Q12R6C10</t>
        </is>
      </c>
      <c r="B206" s="12">
        <f>LPRP!L135</f>
        <v/>
      </c>
      <c r="C206" s="13" t="inlineStr">
        <is>
          <t>3.5.2</t>
        </is>
      </c>
      <c r="D206" s="10" t="n"/>
    </row>
    <row r="207">
      <c r="A207" s="12" t="inlineStr">
        <is>
          <t>Q13R1C1</t>
        </is>
      </c>
      <c r="B207" s="12">
        <f>LPRP!A141</f>
        <v/>
      </c>
      <c r="C207" s="13" t="inlineStr">
        <is>
          <t>3.5.3</t>
        </is>
      </c>
      <c r="D207" s="10" t="n"/>
    </row>
    <row r="208">
      <c r="A208" s="12" t="inlineStr">
        <is>
          <t>Q13R1C2</t>
        </is>
      </c>
      <c r="B208" s="12">
        <f>LPRP!D141</f>
        <v/>
      </c>
      <c r="C208" s="13" t="inlineStr">
        <is>
          <t>3.5.3</t>
        </is>
      </c>
      <c r="D208" s="10" t="n"/>
    </row>
    <row r="209">
      <c r="A209" s="12" t="inlineStr">
        <is>
          <t>Q13R1C3</t>
        </is>
      </c>
      <c r="B209" s="12">
        <f>LPRP!G141</f>
        <v/>
      </c>
      <c r="C209" s="13" t="inlineStr">
        <is>
          <t>3.5.3</t>
        </is>
      </c>
      <c r="D209" s="10" t="n"/>
    </row>
    <row r="210">
      <c r="A210" s="12" t="inlineStr">
        <is>
          <t>Q14R1C1</t>
        </is>
      </c>
      <c r="B210" s="12">
        <f>LPRP!D147</f>
        <v/>
      </c>
      <c r="C210" s="13" t="inlineStr">
        <is>
          <t>3.5.4</t>
        </is>
      </c>
      <c r="D210" s="10" t="n"/>
    </row>
    <row r="211" customFormat="1" s="3">
      <c r="A211" s="12" t="inlineStr">
        <is>
          <t>Q14R1C2</t>
        </is>
      </c>
      <c r="B211" s="12">
        <f>LPRP!G147</f>
        <v/>
      </c>
      <c r="C211" s="13" t="inlineStr">
        <is>
          <t>3.5.4</t>
        </is>
      </c>
      <c r="D211" s="10" t="n"/>
    </row>
    <row r="212" customFormat="1" s="3">
      <c r="A212" s="12" t="inlineStr">
        <is>
          <t>Q14R1C3</t>
        </is>
      </c>
      <c r="B212" s="12">
        <f>LPRP!I147</f>
        <v/>
      </c>
      <c r="C212" s="13" t="inlineStr">
        <is>
          <t>3.5.4</t>
        </is>
      </c>
      <c r="D212" s="10" t="n"/>
    </row>
    <row r="213" customFormat="1" s="3">
      <c r="A213" s="12" t="inlineStr">
        <is>
          <t>Q14R1C4</t>
        </is>
      </c>
      <c r="B213" s="12">
        <f>LPRP!L147</f>
        <v/>
      </c>
      <c r="C213" s="13" t="inlineStr">
        <is>
          <t>3.5.4</t>
        </is>
      </c>
      <c r="D213" s="10" t="n"/>
    </row>
    <row r="214" customFormat="1" s="3">
      <c r="A214" s="12" t="inlineStr">
        <is>
          <t>Q14R1C5</t>
        </is>
      </c>
      <c r="B214" s="12">
        <f>LPRP!N147</f>
        <v/>
      </c>
      <c r="C214" s="13" t="inlineStr">
        <is>
          <t>3.5.4</t>
        </is>
      </c>
      <c r="D214" s="10" t="n"/>
    </row>
    <row r="215" customFormat="1" s="3">
      <c r="A215" s="12" t="inlineStr">
        <is>
          <t>Q14R1C6</t>
        </is>
      </c>
      <c r="B215" s="12">
        <f>LPRP!Q147</f>
        <v/>
      </c>
      <c r="C215" s="13" t="inlineStr">
        <is>
          <t>3.5.4</t>
        </is>
      </c>
      <c r="D215" s="10" t="n"/>
    </row>
    <row r="216">
      <c r="A216" s="12" t="inlineStr">
        <is>
          <t>Q14R2C1</t>
        </is>
      </c>
      <c r="B216" s="12">
        <f>LPRP!D148</f>
        <v/>
      </c>
      <c r="C216" s="13" t="inlineStr">
        <is>
          <t>3.5.4</t>
        </is>
      </c>
      <c r="D216" s="10" t="n"/>
    </row>
    <row r="217">
      <c r="A217" s="12" t="inlineStr">
        <is>
          <t>Q14R2C2</t>
        </is>
      </c>
      <c r="B217" s="12">
        <f>LPRP!G148</f>
        <v/>
      </c>
      <c r="C217" s="13" t="inlineStr">
        <is>
          <t>3.5.4</t>
        </is>
      </c>
      <c r="D217" s="10" t="n"/>
    </row>
    <row r="218">
      <c r="A218" s="12" t="inlineStr">
        <is>
          <t>Q14R2C3</t>
        </is>
      </c>
      <c r="B218" s="12">
        <f>LPRP!I148</f>
        <v/>
      </c>
      <c r="C218" s="13" t="inlineStr">
        <is>
          <t>3.5.4</t>
        </is>
      </c>
      <c r="D218" s="10" t="n"/>
    </row>
    <row r="219">
      <c r="A219" s="12" t="inlineStr">
        <is>
          <t>Q14R2C4</t>
        </is>
      </c>
      <c r="B219" s="12">
        <f>LPRP!L148</f>
        <v/>
      </c>
      <c r="C219" s="13" t="inlineStr">
        <is>
          <t>3.5.4</t>
        </is>
      </c>
      <c r="D219" s="10" t="n"/>
    </row>
    <row r="220">
      <c r="A220" s="12" t="inlineStr">
        <is>
          <t>Q14R2C5</t>
        </is>
      </c>
      <c r="B220" s="12">
        <f>LPRP!N148</f>
        <v/>
      </c>
      <c r="C220" s="13" t="inlineStr">
        <is>
          <t>3.5.4</t>
        </is>
      </c>
      <c r="D220" s="10" t="n"/>
    </row>
    <row r="221">
      <c r="A221" s="12" t="inlineStr">
        <is>
          <t>Q14R2C6</t>
        </is>
      </c>
      <c r="B221" s="12">
        <f>LPRP!Q148</f>
        <v/>
      </c>
      <c r="C221" s="13" t="inlineStr">
        <is>
          <t>3.5.4</t>
        </is>
      </c>
      <c r="D221" s="10" t="n"/>
    </row>
    <row r="222">
      <c r="A222" s="12" t="inlineStr">
        <is>
          <t>Q14R3C1</t>
        </is>
      </c>
      <c r="B222" s="12">
        <f>LPRP!D149</f>
        <v/>
      </c>
      <c r="C222" s="13" t="inlineStr">
        <is>
          <t>3.5.4</t>
        </is>
      </c>
      <c r="D222" s="10" t="n"/>
    </row>
    <row r="223">
      <c r="A223" s="12" t="inlineStr">
        <is>
          <t>Q14R3C2</t>
        </is>
      </c>
      <c r="B223" s="12">
        <f>LPRP!G149</f>
        <v/>
      </c>
      <c r="C223" s="13" t="inlineStr">
        <is>
          <t>3.5.4</t>
        </is>
      </c>
      <c r="D223" s="10" t="n"/>
    </row>
    <row r="224" customFormat="1" s="3">
      <c r="A224" s="12" t="inlineStr">
        <is>
          <t>Q14R3C3</t>
        </is>
      </c>
      <c r="B224" s="12">
        <f>LPRP!I149</f>
        <v/>
      </c>
      <c r="C224" s="13" t="inlineStr">
        <is>
          <t>3.5.4</t>
        </is>
      </c>
      <c r="D224" s="10" t="n"/>
    </row>
    <row r="225" customFormat="1" s="3">
      <c r="A225" s="12" t="inlineStr">
        <is>
          <t>Q14R3C4</t>
        </is>
      </c>
      <c r="B225" s="12">
        <f>LPRP!L149</f>
        <v/>
      </c>
      <c r="C225" s="13" t="inlineStr">
        <is>
          <t>3.5.4</t>
        </is>
      </c>
      <c r="D225" s="10" t="n"/>
    </row>
    <row r="226" customFormat="1" s="3">
      <c r="A226" s="12" t="inlineStr">
        <is>
          <t>Q14R3C5</t>
        </is>
      </c>
      <c r="B226" s="12">
        <f>LPRP!N149</f>
        <v/>
      </c>
      <c r="C226" s="13" t="inlineStr">
        <is>
          <t>3.5.4</t>
        </is>
      </c>
      <c r="D226" s="10" t="n"/>
    </row>
    <row r="227" customFormat="1" s="3">
      <c r="A227" s="12" t="inlineStr">
        <is>
          <t>Q14R3C6</t>
        </is>
      </c>
      <c r="B227" s="12">
        <f>LPRP!Q149</f>
        <v/>
      </c>
      <c r="C227" s="13" t="inlineStr">
        <is>
          <t>3.5.4</t>
        </is>
      </c>
      <c r="D227" s="10" t="n"/>
    </row>
    <row r="228" customFormat="1" s="3">
      <c r="A228" s="12" t="inlineStr">
        <is>
          <t>Q14R4C1</t>
        </is>
      </c>
      <c r="B228" s="12">
        <f>LPRP!D150</f>
        <v/>
      </c>
      <c r="C228" s="13" t="inlineStr">
        <is>
          <t>3.5.4</t>
        </is>
      </c>
      <c r="D228" s="10" t="n"/>
    </row>
    <row r="229" customFormat="1" s="3">
      <c r="A229" s="12" t="inlineStr">
        <is>
          <t>Q14R4C2</t>
        </is>
      </c>
      <c r="B229" s="12">
        <f>LPRP!G150</f>
        <v/>
      </c>
      <c r="C229" s="13" t="inlineStr">
        <is>
          <t>3.5.4</t>
        </is>
      </c>
      <c r="D229" s="10" t="n"/>
    </row>
    <row r="230" customFormat="1" s="3">
      <c r="A230" s="12" t="inlineStr">
        <is>
          <t>Q14R4C3</t>
        </is>
      </c>
      <c r="B230" s="12">
        <f>LPRP!I150</f>
        <v/>
      </c>
      <c r="C230" s="13" t="inlineStr">
        <is>
          <t>3.5.4</t>
        </is>
      </c>
      <c r="D230" s="10" t="n"/>
    </row>
    <row r="231" customFormat="1" s="3">
      <c r="A231" s="12" t="inlineStr">
        <is>
          <t>Q14R4C4</t>
        </is>
      </c>
      <c r="B231" s="12">
        <f>LPRP!L150</f>
        <v/>
      </c>
      <c r="C231" s="13" t="inlineStr">
        <is>
          <t>3.5.4</t>
        </is>
      </c>
      <c r="D231" s="10" t="n"/>
    </row>
    <row r="232" customFormat="1" s="3">
      <c r="A232" s="12" t="inlineStr">
        <is>
          <t>Q14R4C5</t>
        </is>
      </c>
      <c r="B232" s="12">
        <f>LPRP!N150</f>
        <v/>
      </c>
      <c r="C232" s="13" t="inlineStr">
        <is>
          <t>3.5.4</t>
        </is>
      </c>
      <c r="D232" s="10" t="n"/>
    </row>
    <row r="233" customFormat="1" s="3">
      <c r="A233" s="12" t="inlineStr">
        <is>
          <t>Q14R4C6</t>
        </is>
      </c>
      <c r="B233" s="12">
        <f>LPRP!Q150</f>
        <v/>
      </c>
      <c r="C233" s="13" t="inlineStr">
        <is>
          <t>3.5.4</t>
        </is>
      </c>
      <c r="D233" s="10" t="n"/>
    </row>
    <row r="234" customFormat="1" s="3">
      <c r="A234" s="12" t="inlineStr">
        <is>
          <t>Q14R5C1</t>
        </is>
      </c>
      <c r="B234" s="12">
        <f>LPRP!D151</f>
        <v/>
      </c>
      <c r="C234" s="13" t="inlineStr">
        <is>
          <t>3.5.4</t>
        </is>
      </c>
      <c r="D234" s="10" t="n"/>
    </row>
    <row r="235" customFormat="1" s="3">
      <c r="A235" s="12" t="inlineStr">
        <is>
          <t>Q14R5C2</t>
        </is>
      </c>
      <c r="B235" s="12">
        <f>LPRP!G151</f>
        <v/>
      </c>
      <c r="C235" s="13" t="inlineStr">
        <is>
          <t>3.5.4</t>
        </is>
      </c>
      <c r="D235" s="10" t="n"/>
    </row>
    <row r="236" customFormat="1" s="3">
      <c r="A236" s="12" t="inlineStr">
        <is>
          <t>Q14R5C3</t>
        </is>
      </c>
      <c r="B236" s="12">
        <f>LPRP!I151</f>
        <v/>
      </c>
      <c r="C236" s="13" t="inlineStr">
        <is>
          <t>3.5.4</t>
        </is>
      </c>
      <c r="D236" s="10" t="n"/>
    </row>
    <row r="237" customFormat="1" s="3">
      <c r="A237" s="12" t="inlineStr">
        <is>
          <t>Q14R5C4</t>
        </is>
      </c>
      <c r="B237" s="12">
        <f>LPRP!L151</f>
        <v/>
      </c>
      <c r="C237" s="13" t="inlineStr">
        <is>
          <t>3.5.4</t>
        </is>
      </c>
      <c r="D237" s="10" t="n"/>
    </row>
    <row r="238" customFormat="1" s="3">
      <c r="A238" s="12" t="inlineStr">
        <is>
          <t>Q14R5C5</t>
        </is>
      </c>
      <c r="B238" s="12">
        <f>LPRP!N151</f>
        <v/>
      </c>
      <c r="C238" s="13" t="inlineStr">
        <is>
          <t>3.5.4</t>
        </is>
      </c>
      <c r="D238" s="10" t="n"/>
    </row>
    <row r="239" customFormat="1" s="3">
      <c r="A239" s="12" t="inlineStr">
        <is>
          <t>Q14R5C6</t>
        </is>
      </c>
      <c r="B239" s="12">
        <f>LPRP!Q151</f>
        <v/>
      </c>
      <c r="C239" s="13" t="inlineStr">
        <is>
          <t>3.5.4</t>
        </is>
      </c>
      <c r="D239" s="10" t="n"/>
    </row>
    <row r="240" customFormat="1" s="3">
      <c r="A240" s="12" t="inlineStr">
        <is>
          <t>Q14R6C1</t>
        </is>
      </c>
      <c r="B240" s="12">
        <f>LPRP!D152</f>
        <v/>
      </c>
      <c r="C240" s="13" t="inlineStr">
        <is>
          <t>3.5.4</t>
        </is>
      </c>
      <c r="D240" s="10" t="n"/>
    </row>
    <row r="241" customFormat="1" s="3">
      <c r="A241" s="12" t="inlineStr">
        <is>
          <t>Q14R6C2</t>
        </is>
      </c>
      <c r="B241" s="12">
        <f>LPRP!G152</f>
        <v/>
      </c>
      <c r="C241" s="13" t="inlineStr">
        <is>
          <t>3.5.4</t>
        </is>
      </c>
      <c r="D241" s="10" t="n"/>
    </row>
    <row r="242" customFormat="1" s="3">
      <c r="A242" s="12" t="inlineStr">
        <is>
          <t>Q14R6C3</t>
        </is>
      </c>
      <c r="B242" s="12">
        <f>LPRP!I152</f>
        <v/>
      </c>
      <c r="C242" s="13" t="inlineStr">
        <is>
          <t>3.5.4</t>
        </is>
      </c>
      <c r="D242" s="10" t="n"/>
    </row>
    <row r="243" customFormat="1" s="3">
      <c r="A243" s="12" t="inlineStr">
        <is>
          <t>Q14R6C4</t>
        </is>
      </c>
      <c r="B243" s="12">
        <f>LPRP!L152</f>
        <v/>
      </c>
      <c r="C243" s="13" t="inlineStr">
        <is>
          <t>3.5.4</t>
        </is>
      </c>
      <c r="D243" s="10" t="n"/>
    </row>
    <row r="244" customFormat="1" s="3">
      <c r="A244" s="12" t="inlineStr">
        <is>
          <t>Q14R6C5</t>
        </is>
      </c>
      <c r="B244" s="12">
        <f>LPRP!N152</f>
        <v/>
      </c>
      <c r="C244" s="13" t="inlineStr">
        <is>
          <t>3.5.4</t>
        </is>
      </c>
      <c r="D244" s="10" t="n"/>
    </row>
    <row r="245" customFormat="1" s="3">
      <c r="A245" s="12" t="inlineStr">
        <is>
          <t>Q14R6C6</t>
        </is>
      </c>
      <c r="B245" s="12">
        <f>LPRP!Q152</f>
        <v/>
      </c>
      <c r="C245" s="13" t="inlineStr">
        <is>
          <t>3.5.4</t>
        </is>
      </c>
      <c r="D245" s="10" t="n"/>
    </row>
    <row r="246" customFormat="1" s="3">
      <c r="A246" s="12" t="inlineStr">
        <is>
          <t>Q15R1C1</t>
        </is>
      </c>
      <c r="B246" s="12">
        <f>LPRP!A158</f>
        <v/>
      </c>
      <c r="C246" s="13" t="inlineStr">
        <is>
          <t>3.5.5</t>
        </is>
      </c>
      <c r="D246" s="10" t="n"/>
    </row>
    <row r="247" customFormat="1" s="3">
      <c r="A247" s="12" t="inlineStr">
        <is>
          <t>Q15R1C2</t>
        </is>
      </c>
      <c r="B247" s="12">
        <f>LPRP!D158</f>
        <v/>
      </c>
      <c r="C247" s="13" t="inlineStr">
        <is>
          <t>3.5.5</t>
        </is>
      </c>
      <c r="D247" s="10" t="n"/>
    </row>
    <row r="248">
      <c r="A248" s="12" t="inlineStr">
        <is>
          <t>Q15R1C3</t>
        </is>
      </c>
      <c r="B248" s="12">
        <f>LPRP!G158</f>
        <v/>
      </c>
      <c r="C248" s="13" t="inlineStr">
        <is>
          <t>3.5.5</t>
        </is>
      </c>
      <c r="D248" s="10" t="n"/>
    </row>
    <row r="249">
      <c r="A249" s="12" t="inlineStr">
        <is>
          <t>Q16R1C1</t>
        </is>
      </c>
      <c r="B249" s="12">
        <f>LPRP!D164</f>
        <v/>
      </c>
      <c r="C249" s="13" t="inlineStr">
        <is>
          <t>3.5.6</t>
        </is>
      </c>
      <c r="D249" s="10" t="n"/>
    </row>
    <row r="250">
      <c r="A250" s="12" t="inlineStr">
        <is>
          <t>Q16R1C2</t>
        </is>
      </c>
      <c r="B250" s="12">
        <f>LPRP!G164</f>
        <v/>
      </c>
      <c r="C250" s="13" t="inlineStr">
        <is>
          <t>3.5.6</t>
        </is>
      </c>
      <c r="D250" s="10" t="n"/>
    </row>
    <row r="251">
      <c r="A251" s="12" t="inlineStr">
        <is>
          <t>Q16R1C3</t>
        </is>
      </c>
      <c r="B251" s="12">
        <f>LPRP!I164</f>
        <v/>
      </c>
      <c r="C251" s="13" t="inlineStr">
        <is>
          <t>3.5.6</t>
        </is>
      </c>
      <c r="D251" s="10" t="n"/>
    </row>
    <row r="252">
      <c r="A252" s="12" t="inlineStr">
        <is>
          <t>Q16R1C4</t>
        </is>
      </c>
      <c r="B252" s="12">
        <f>LPRP!L164</f>
        <v/>
      </c>
      <c r="C252" s="13" t="inlineStr">
        <is>
          <t>3.5.6</t>
        </is>
      </c>
      <c r="D252" s="10" t="n"/>
    </row>
    <row r="253">
      <c r="A253" s="12" t="inlineStr">
        <is>
          <t>Q16R1C5</t>
        </is>
      </c>
      <c r="B253" s="12">
        <f>LPRP!N164</f>
        <v/>
      </c>
      <c r="C253" s="13" t="inlineStr">
        <is>
          <t>3.5.6</t>
        </is>
      </c>
      <c r="D253" s="10" t="n"/>
    </row>
    <row r="254">
      <c r="A254" s="12" t="inlineStr">
        <is>
          <t>Q16R1C6</t>
        </is>
      </c>
      <c r="B254" s="12">
        <f>LPRP!Q164</f>
        <v/>
      </c>
      <c r="C254" s="13" t="inlineStr">
        <is>
          <t>3.5.6</t>
        </is>
      </c>
      <c r="D254" s="10" t="n"/>
    </row>
    <row r="255">
      <c r="A255" s="12" t="inlineStr">
        <is>
          <t>Q16R2C1</t>
        </is>
      </c>
      <c r="B255" s="12">
        <f>LPRP!D165</f>
        <v/>
      </c>
      <c r="C255" s="13" t="inlineStr">
        <is>
          <t>3.5.6</t>
        </is>
      </c>
      <c r="D255" s="10" t="n"/>
    </row>
    <row r="256">
      <c r="A256" s="12" t="inlineStr">
        <is>
          <t>Q16R2C2</t>
        </is>
      </c>
      <c r="B256" s="12">
        <f>LPRP!G165</f>
        <v/>
      </c>
      <c r="C256" s="13" t="inlineStr">
        <is>
          <t>3.5.6</t>
        </is>
      </c>
      <c r="D256" s="10" t="n"/>
    </row>
    <row r="257">
      <c r="A257" s="12" t="inlineStr">
        <is>
          <t>Q16R2C3</t>
        </is>
      </c>
      <c r="B257" s="12">
        <f>LPRP!I165</f>
        <v/>
      </c>
      <c r="C257" s="13" t="inlineStr">
        <is>
          <t>3.5.6</t>
        </is>
      </c>
      <c r="D257" s="10" t="n"/>
    </row>
    <row r="258">
      <c r="A258" s="12" t="inlineStr">
        <is>
          <t>Q16R2C4</t>
        </is>
      </c>
      <c r="B258" s="12">
        <f>LPRP!L165</f>
        <v/>
      </c>
      <c r="C258" s="13" t="inlineStr">
        <is>
          <t>3.5.6</t>
        </is>
      </c>
      <c r="D258" s="10" t="n"/>
    </row>
    <row r="259">
      <c r="A259" s="12" t="inlineStr">
        <is>
          <t>Q16R2C5</t>
        </is>
      </c>
      <c r="B259" s="12">
        <f>LPRP!N165</f>
        <v/>
      </c>
      <c r="C259" s="13" t="inlineStr">
        <is>
          <t>3.5.6</t>
        </is>
      </c>
      <c r="D259" s="10" t="n"/>
    </row>
    <row r="260">
      <c r="A260" s="12" t="inlineStr">
        <is>
          <t>Q16R2C6</t>
        </is>
      </c>
      <c r="B260" s="12">
        <f>LPRP!Q165</f>
        <v/>
      </c>
      <c r="C260" s="13" t="inlineStr">
        <is>
          <t>3.5.6</t>
        </is>
      </c>
      <c r="D260" s="10" t="n"/>
    </row>
    <row r="261">
      <c r="A261" s="12" t="inlineStr">
        <is>
          <t>Q16R3C1</t>
        </is>
      </c>
      <c r="B261" s="12">
        <f>LPRP!D166</f>
        <v/>
      </c>
      <c r="C261" s="13" t="inlineStr">
        <is>
          <t>3.5.6</t>
        </is>
      </c>
      <c r="D261" s="10" t="n"/>
    </row>
    <row r="262">
      <c r="A262" s="12" t="inlineStr">
        <is>
          <t>Q16R3C2</t>
        </is>
      </c>
      <c r="B262" s="12">
        <f>LPRP!G166</f>
        <v/>
      </c>
      <c r="C262" s="13" t="inlineStr">
        <is>
          <t>3.5.6</t>
        </is>
      </c>
      <c r="D262" s="10" t="n"/>
    </row>
    <row r="263">
      <c r="A263" s="12" t="inlineStr">
        <is>
          <t>Q16R3C3</t>
        </is>
      </c>
      <c r="B263" s="12">
        <f>LPRP!I166</f>
        <v/>
      </c>
      <c r="C263" s="13" t="inlineStr">
        <is>
          <t>3.5.6</t>
        </is>
      </c>
      <c r="D263" s="10" t="n"/>
    </row>
    <row r="264">
      <c r="A264" s="12" t="inlineStr">
        <is>
          <t>Q16R3C4</t>
        </is>
      </c>
      <c r="B264" s="12">
        <f>LPRP!L166</f>
        <v/>
      </c>
      <c r="C264" s="13" t="inlineStr">
        <is>
          <t>3.5.6</t>
        </is>
      </c>
      <c r="D264" s="10" t="n"/>
    </row>
    <row r="265">
      <c r="A265" s="12" t="inlineStr">
        <is>
          <t>Q16R3C5</t>
        </is>
      </c>
      <c r="B265" s="12">
        <f>LPRP!N166</f>
        <v/>
      </c>
      <c r="C265" s="13" t="inlineStr">
        <is>
          <t>3.5.6</t>
        </is>
      </c>
      <c r="D265" s="10" t="n"/>
    </row>
    <row r="266">
      <c r="A266" s="12" t="inlineStr">
        <is>
          <t>Q16R3C6</t>
        </is>
      </c>
      <c r="B266" s="12">
        <f>LPRP!Q166</f>
        <v/>
      </c>
      <c r="C266" s="13" t="inlineStr">
        <is>
          <t>3.5.6</t>
        </is>
      </c>
      <c r="D266" s="10" t="n"/>
    </row>
    <row r="267">
      <c r="A267" s="12" t="inlineStr">
        <is>
          <t>Q16R4C1</t>
        </is>
      </c>
      <c r="B267" s="12">
        <f>LPRP!D167</f>
        <v/>
      </c>
      <c r="C267" s="13" t="inlineStr">
        <is>
          <t>3.5.6</t>
        </is>
      </c>
      <c r="D267" s="10" t="n"/>
    </row>
    <row r="268" customFormat="1" s="3">
      <c r="A268" s="12" t="inlineStr">
        <is>
          <t>Q16R4C2</t>
        </is>
      </c>
      <c r="B268" s="12">
        <f>LPRP!G167</f>
        <v/>
      </c>
      <c r="C268" s="13" t="inlineStr">
        <is>
          <t>3.5.6</t>
        </is>
      </c>
      <c r="D268" s="10" t="n"/>
    </row>
    <row r="269" customFormat="1" s="3">
      <c r="A269" s="12" t="inlineStr">
        <is>
          <t>Q16R4C3</t>
        </is>
      </c>
      <c r="B269" s="12">
        <f>LPRP!I167</f>
        <v/>
      </c>
      <c r="C269" s="13" t="inlineStr">
        <is>
          <t>3.5.6</t>
        </is>
      </c>
      <c r="D269" s="10" t="n"/>
    </row>
    <row r="270" customFormat="1" s="3">
      <c r="A270" s="12" t="inlineStr">
        <is>
          <t>Q16R4C4</t>
        </is>
      </c>
      <c r="B270" s="12">
        <f>LPRP!L167</f>
        <v/>
      </c>
      <c r="C270" s="13" t="inlineStr">
        <is>
          <t>3.5.6</t>
        </is>
      </c>
      <c r="D270" s="10" t="n"/>
    </row>
    <row r="271" customFormat="1" s="3">
      <c r="A271" s="12" t="inlineStr">
        <is>
          <t>Q16R4C5</t>
        </is>
      </c>
      <c r="B271" s="12">
        <f>LPRP!N167</f>
        <v/>
      </c>
      <c r="C271" s="13" t="inlineStr">
        <is>
          <t>3.5.6</t>
        </is>
      </c>
      <c r="D271" s="10" t="n"/>
    </row>
    <row r="272" customFormat="1" s="3">
      <c r="A272" s="12" t="inlineStr">
        <is>
          <t>Q16R4C6</t>
        </is>
      </c>
      <c r="B272" s="12">
        <f>LPRP!Q167</f>
        <v/>
      </c>
      <c r="C272" s="13" t="inlineStr">
        <is>
          <t>3.5.6</t>
        </is>
      </c>
      <c r="D272" s="10" t="n"/>
    </row>
    <row r="273" customFormat="1" s="3">
      <c r="A273" s="12" t="inlineStr">
        <is>
          <t>Q16R5C1</t>
        </is>
      </c>
      <c r="B273" s="12">
        <f>LPRP!D168</f>
        <v/>
      </c>
      <c r="C273" s="13" t="inlineStr">
        <is>
          <t>3.5.6</t>
        </is>
      </c>
      <c r="D273" s="10" t="n"/>
    </row>
    <row r="274" customFormat="1" s="3">
      <c r="A274" s="12" t="inlineStr">
        <is>
          <t>Q16R5C2</t>
        </is>
      </c>
      <c r="B274" s="12">
        <f>LPRP!G168</f>
        <v/>
      </c>
      <c r="C274" s="13" t="inlineStr">
        <is>
          <t>3.5.6</t>
        </is>
      </c>
      <c r="D274" s="10" t="n"/>
    </row>
    <row r="275" customFormat="1" s="3">
      <c r="A275" s="12" t="inlineStr">
        <is>
          <t>Q16R5C3</t>
        </is>
      </c>
      <c r="B275" s="12">
        <f>LPRP!I168</f>
        <v/>
      </c>
      <c r="C275" s="13" t="inlineStr">
        <is>
          <t>3.5.6</t>
        </is>
      </c>
      <c r="D275" s="10" t="n"/>
    </row>
    <row r="276" customFormat="1" s="3">
      <c r="A276" s="12" t="inlineStr">
        <is>
          <t>Q16R5C4</t>
        </is>
      </c>
      <c r="B276" s="12">
        <f>LPRP!L168</f>
        <v/>
      </c>
      <c r="C276" s="13" t="inlineStr">
        <is>
          <t>3.5.6</t>
        </is>
      </c>
      <c r="D276" s="10" t="n"/>
    </row>
    <row r="277" customFormat="1" s="3">
      <c r="A277" s="12" t="inlineStr">
        <is>
          <t>Q16R5C5</t>
        </is>
      </c>
      <c r="B277" s="12">
        <f>LPRP!N168</f>
        <v/>
      </c>
      <c r="C277" s="13" t="inlineStr">
        <is>
          <t>3.5.6</t>
        </is>
      </c>
      <c r="D277" s="10" t="n"/>
    </row>
    <row r="278" customFormat="1" s="3">
      <c r="A278" s="12" t="inlineStr">
        <is>
          <t>Q16R5C6</t>
        </is>
      </c>
      <c r="B278" s="12">
        <f>LPRP!Q168</f>
        <v/>
      </c>
      <c r="C278" s="13" t="inlineStr">
        <is>
          <t>3.5.6</t>
        </is>
      </c>
      <c r="D278" s="10" t="n"/>
    </row>
    <row r="279" customFormat="1" s="3">
      <c r="A279" s="12" t="inlineStr">
        <is>
          <t>Q16R6C1</t>
        </is>
      </c>
      <c r="B279" s="12">
        <f>LPRP!D169</f>
        <v/>
      </c>
      <c r="C279" s="13" t="inlineStr">
        <is>
          <t>3.5.6</t>
        </is>
      </c>
      <c r="D279" s="10" t="n"/>
    </row>
    <row r="280" customFormat="1" s="3">
      <c r="A280" s="12" t="inlineStr">
        <is>
          <t>Q16R6C2</t>
        </is>
      </c>
      <c r="B280" s="12">
        <f>LPRP!G169</f>
        <v/>
      </c>
      <c r="C280" s="13" t="inlineStr">
        <is>
          <t>3.5.6</t>
        </is>
      </c>
      <c r="D280" s="10" t="n"/>
    </row>
    <row r="281" customFormat="1" s="3">
      <c r="A281" s="12" t="inlineStr">
        <is>
          <t>Q16R6C3</t>
        </is>
      </c>
      <c r="B281" s="12">
        <f>LPRP!I169</f>
        <v/>
      </c>
      <c r="C281" s="13" t="inlineStr">
        <is>
          <t>3.5.6</t>
        </is>
      </c>
      <c r="D281" s="10" t="n"/>
    </row>
    <row r="282" customFormat="1" s="3">
      <c r="A282" s="12" t="inlineStr">
        <is>
          <t>Q16R6C4</t>
        </is>
      </c>
      <c r="B282" s="12">
        <f>LPRP!L169</f>
        <v/>
      </c>
      <c r="C282" s="13" t="inlineStr">
        <is>
          <t>3.5.6</t>
        </is>
      </c>
      <c r="D282" s="10" t="n"/>
    </row>
    <row r="283" customFormat="1" s="3">
      <c r="A283" s="12" t="inlineStr">
        <is>
          <t>Q16R6C5</t>
        </is>
      </c>
      <c r="B283" s="12">
        <f>LPRP!N169</f>
        <v/>
      </c>
      <c r="C283" s="13" t="inlineStr">
        <is>
          <t>3.5.6</t>
        </is>
      </c>
      <c r="D283" s="10" t="n"/>
    </row>
    <row r="284" customFormat="1" s="3">
      <c r="A284" s="12" t="inlineStr">
        <is>
          <t>Q16R6C6</t>
        </is>
      </c>
      <c r="B284" s="12">
        <f>LPRP!Q169</f>
        <v/>
      </c>
      <c r="C284" s="13" t="inlineStr">
        <is>
          <t>3.5.6</t>
        </is>
      </c>
      <c r="D284" s="10" t="n"/>
    </row>
    <row r="285" customFormat="1" s="3">
      <c r="A285" s="9" t="inlineStr">
        <is>
          <t>Q17R1C1</t>
        </is>
      </c>
      <c r="B285" s="9">
        <f>LPRP!C175</f>
        <v/>
      </c>
      <c r="C285" s="11" t="inlineStr">
        <is>
          <t>3.5.7</t>
        </is>
      </c>
      <c r="D285" s="10" t="n"/>
    </row>
    <row r="286" customFormat="1" s="3">
      <c r="A286" s="9" t="inlineStr">
        <is>
          <t>Q17R1C2</t>
        </is>
      </c>
      <c r="B286" s="9">
        <f>LPRP!E175</f>
        <v/>
      </c>
      <c r="C286" s="11" t="inlineStr">
        <is>
          <t>3.5.7</t>
        </is>
      </c>
      <c r="D286" s="10" t="n"/>
    </row>
    <row r="287" customFormat="1" s="3">
      <c r="A287" s="9" t="inlineStr">
        <is>
          <t>Q17R1C3</t>
        </is>
      </c>
      <c r="B287" s="9">
        <f>LPRP!G175</f>
        <v/>
      </c>
      <c r="C287" s="11" t="inlineStr">
        <is>
          <t>3.5.7</t>
        </is>
      </c>
      <c r="D287" s="10" t="n"/>
    </row>
    <row r="288" customFormat="1" s="3">
      <c r="A288" s="9" t="inlineStr">
        <is>
          <t>Q17R1C4</t>
        </is>
      </c>
      <c r="B288" s="9">
        <f>LPRP!I175</f>
        <v/>
      </c>
      <c r="C288" s="11" t="inlineStr">
        <is>
          <t>3.5.7</t>
        </is>
      </c>
      <c r="D288" s="10" t="n"/>
    </row>
    <row r="289" customFormat="1" s="3">
      <c r="A289" s="9" t="inlineStr">
        <is>
          <t>Q17R2C1</t>
        </is>
      </c>
      <c r="B289" s="9">
        <f>LPRP!C176</f>
        <v/>
      </c>
      <c r="C289" s="11" t="inlineStr">
        <is>
          <t>3.5.7</t>
        </is>
      </c>
      <c r="D289" s="10" t="n"/>
    </row>
    <row r="290" customFormat="1" s="3">
      <c r="A290" s="9" t="inlineStr">
        <is>
          <t>Q17R2C2</t>
        </is>
      </c>
      <c r="B290" s="9">
        <f>LPRP!E176</f>
        <v/>
      </c>
      <c r="C290" s="11" t="inlineStr">
        <is>
          <t>3.5.7</t>
        </is>
      </c>
      <c r="D290" s="10" t="n"/>
    </row>
    <row r="291" customFormat="1" s="3">
      <c r="A291" s="9" t="inlineStr">
        <is>
          <t>Q17R2C3</t>
        </is>
      </c>
      <c r="B291" s="9">
        <f>LPRP!G176</f>
        <v/>
      </c>
      <c r="C291" s="11" t="inlineStr">
        <is>
          <t>3.5.7</t>
        </is>
      </c>
      <c r="D291" s="10" t="n"/>
    </row>
    <row r="292" customFormat="1" s="3">
      <c r="A292" s="9" t="inlineStr">
        <is>
          <t>Q17R2C4</t>
        </is>
      </c>
      <c r="B292" s="9">
        <f>LPRP!I176</f>
        <v/>
      </c>
      <c r="C292" s="11" t="inlineStr">
        <is>
          <t>3.5.7</t>
        </is>
      </c>
      <c r="D292" s="10" t="n"/>
    </row>
    <row r="293" customFormat="1" s="3">
      <c r="A293" s="9" t="inlineStr">
        <is>
          <t>Q17R3C1</t>
        </is>
      </c>
      <c r="B293" s="9">
        <f>LPRP!C177</f>
        <v/>
      </c>
      <c r="C293" s="11" t="inlineStr">
        <is>
          <t>3.5.7</t>
        </is>
      </c>
      <c r="D293" s="10" t="n"/>
    </row>
    <row r="294" customFormat="1" s="3">
      <c r="A294" s="9" t="inlineStr">
        <is>
          <t>Q17R3C2</t>
        </is>
      </c>
      <c r="B294" s="9">
        <f>LPRP!E177</f>
        <v/>
      </c>
      <c r="C294" s="11" t="inlineStr">
        <is>
          <t>3.5.7</t>
        </is>
      </c>
      <c r="D294" s="10" t="n"/>
    </row>
    <row r="295" customFormat="1" s="3">
      <c r="A295" s="9" t="inlineStr">
        <is>
          <t>Q17R3C3</t>
        </is>
      </c>
      <c r="B295" s="9">
        <f>LPRP!G177</f>
        <v/>
      </c>
      <c r="C295" s="11" t="inlineStr">
        <is>
          <t>3.5.7</t>
        </is>
      </c>
      <c r="D295" s="10" t="n"/>
    </row>
    <row r="296" customFormat="1" s="3">
      <c r="A296" s="9" t="inlineStr">
        <is>
          <t>Q17R3C4</t>
        </is>
      </c>
      <c r="B296" s="9">
        <f>LPRP!I177</f>
        <v/>
      </c>
      <c r="C296" s="11" t="inlineStr">
        <is>
          <t>3.5.7</t>
        </is>
      </c>
      <c r="D296" s="10" t="n"/>
    </row>
    <row r="297" customFormat="1" s="3">
      <c r="A297" s="9" t="inlineStr">
        <is>
          <t>Q17R4C1</t>
        </is>
      </c>
      <c r="B297" s="9">
        <f>LPRP!C178</f>
        <v/>
      </c>
      <c r="C297" s="11" t="inlineStr">
        <is>
          <t>3.5.7</t>
        </is>
      </c>
      <c r="D297" s="10" t="n"/>
    </row>
    <row r="298" customFormat="1" s="3">
      <c r="A298" s="9" t="inlineStr">
        <is>
          <t>Q17R4C2</t>
        </is>
      </c>
      <c r="B298" s="9">
        <f>LPRP!E178</f>
        <v/>
      </c>
      <c r="C298" s="11" t="inlineStr">
        <is>
          <t>3.5.7</t>
        </is>
      </c>
      <c r="D298" s="10" t="n"/>
    </row>
    <row r="299" customFormat="1" s="3">
      <c r="A299" s="9" t="inlineStr">
        <is>
          <t>Q17R4C3</t>
        </is>
      </c>
      <c r="B299" s="9">
        <f>LPRP!G178</f>
        <v/>
      </c>
      <c r="C299" s="11" t="inlineStr">
        <is>
          <t>3.5.7</t>
        </is>
      </c>
      <c r="D299" s="10" t="n"/>
    </row>
    <row r="300" customFormat="1" s="3">
      <c r="A300" s="9" t="inlineStr">
        <is>
          <t>Q17R4C4</t>
        </is>
      </c>
      <c r="B300" s="9">
        <f>LPRP!I178</f>
        <v/>
      </c>
      <c r="C300" s="11" t="inlineStr">
        <is>
          <t>3.5.7</t>
        </is>
      </c>
      <c r="D300" s="10" t="n"/>
    </row>
    <row r="301" customFormat="1" s="3">
      <c r="A301" s="9" t="inlineStr">
        <is>
          <t>Q17R5C1</t>
        </is>
      </c>
      <c r="B301" s="9">
        <f>LPRP!C179</f>
        <v/>
      </c>
      <c r="C301" s="11" t="inlineStr">
        <is>
          <t>3.5.7</t>
        </is>
      </c>
      <c r="D301" s="10" t="n"/>
    </row>
    <row r="302" customFormat="1" s="3">
      <c r="A302" s="9" t="inlineStr">
        <is>
          <t>Q17R5C2</t>
        </is>
      </c>
      <c r="B302" s="9">
        <f>LPRP!E179</f>
        <v/>
      </c>
      <c r="C302" s="11" t="inlineStr">
        <is>
          <t>3.5.7</t>
        </is>
      </c>
      <c r="D302" s="10" t="n"/>
    </row>
    <row r="303" customFormat="1" s="3">
      <c r="A303" s="9" t="inlineStr">
        <is>
          <t>Q17R5C3</t>
        </is>
      </c>
      <c r="B303" s="9">
        <f>LPRP!G179</f>
        <v/>
      </c>
      <c r="C303" s="11" t="inlineStr">
        <is>
          <t>3.5.7</t>
        </is>
      </c>
      <c r="D303" s="10" t="n"/>
    </row>
    <row r="304" customFormat="1" s="3">
      <c r="A304" s="9" t="inlineStr">
        <is>
          <t>Q17R5C4</t>
        </is>
      </c>
      <c r="B304" s="9">
        <f>LPRP!I179</f>
        <v/>
      </c>
      <c r="C304" s="11" t="inlineStr">
        <is>
          <t>3.5.7</t>
        </is>
      </c>
      <c r="D304" s="10" t="n"/>
    </row>
    <row r="305" customFormat="1" s="3">
      <c r="A305" s="9" t="inlineStr">
        <is>
          <t>Q17R6C1</t>
        </is>
      </c>
      <c r="B305" s="9">
        <f>LPRP!C180</f>
        <v/>
      </c>
      <c r="C305" s="11" t="inlineStr">
        <is>
          <t>3.5.7</t>
        </is>
      </c>
      <c r="D305" s="10" t="n"/>
    </row>
    <row r="306" customFormat="1" s="3">
      <c r="A306" s="9" t="inlineStr">
        <is>
          <t>Q17R6C2</t>
        </is>
      </c>
      <c r="B306" s="9">
        <f>LPRP!E180</f>
        <v/>
      </c>
      <c r="C306" s="11" t="inlineStr">
        <is>
          <t>3.5.7</t>
        </is>
      </c>
      <c r="D306" s="10" t="n"/>
    </row>
    <row r="307" customFormat="1" s="3">
      <c r="A307" s="9" t="inlineStr">
        <is>
          <t>Q17R6C3</t>
        </is>
      </c>
      <c r="B307" s="9">
        <f>LPRP!G180</f>
        <v/>
      </c>
      <c r="C307" s="11" t="inlineStr">
        <is>
          <t>3.5.7</t>
        </is>
      </c>
      <c r="D307" s="10" t="n"/>
    </row>
    <row r="308" customFormat="1" s="3">
      <c r="A308" s="9" t="inlineStr">
        <is>
          <t>Q17R6C4</t>
        </is>
      </c>
      <c r="B308" s="9">
        <f>LPRP!I180</f>
        <v/>
      </c>
      <c r="C308" s="11" t="inlineStr">
        <is>
          <t>3.5.7</t>
        </is>
      </c>
      <c r="D308" s="10" t="n"/>
    </row>
    <row r="309" customFormat="1" s="3">
      <c r="A309" s="9" t="inlineStr">
        <is>
          <t>Q18R1C1</t>
        </is>
      </c>
      <c r="B309" s="9">
        <f>LPRP!E187</f>
        <v/>
      </c>
      <c r="C309" s="11" t="inlineStr">
        <is>
          <t>3.6.1</t>
        </is>
      </c>
      <c r="D309" s="10" t="n"/>
    </row>
    <row r="310" customFormat="1" s="3">
      <c r="A310" s="9" t="inlineStr">
        <is>
          <t>Q18R2C1</t>
        </is>
      </c>
      <c r="B310" s="9">
        <f>LPRP!E189</f>
        <v/>
      </c>
      <c r="C310" s="11" t="inlineStr">
        <is>
          <t>3.6.1</t>
        </is>
      </c>
      <c r="D310" s="10" t="n"/>
    </row>
    <row r="311" customFormat="1" s="3">
      <c r="A311" s="9" t="inlineStr">
        <is>
          <t>Q19R1C1</t>
        </is>
      </c>
      <c r="B311" s="9">
        <f>LPRP!A198</f>
        <v/>
      </c>
      <c r="C311" s="11" t="inlineStr">
        <is>
          <t>3.7.1</t>
        </is>
      </c>
      <c r="D311" s="10" t="n"/>
    </row>
    <row r="312" customFormat="1" s="3">
      <c r="A312" s="9" t="inlineStr">
        <is>
          <t>Q19R1C2</t>
        </is>
      </c>
      <c r="B312" s="9">
        <f>LPRP!E198</f>
        <v/>
      </c>
      <c r="C312" s="11" t="inlineStr">
        <is>
          <t>3.7.1</t>
        </is>
      </c>
      <c r="D312" s="10" t="n"/>
    </row>
    <row r="313" customFormat="1" s="3">
      <c r="A313" s="9" t="inlineStr">
        <is>
          <t>Q19R1C3</t>
        </is>
      </c>
      <c r="B313" s="9">
        <f>LPRP!G198</f>
        <v/>
      </c>
      <c r="C313" s="11" t="inlineStr">
        <is>
          <t>3.7.1</t>
        </is>
      </c>
      <c r="D313" s="10" t="n"/>
    </row>
    <row r="314" customFormat="1" s="3">
      <c r="A314" s="9" t="inlineStr">
        <is>
          <t>Q19R1C4</t>
        </is>
      </c>
      <c r="B314" s="9">
        <f>LPRP!I198</f>
        <v/>
      </c>
      <c r="C314" s="11" t="inlineStr">
        <is>
          <t>3.7.1</t>
        </is>
      </c>
      <c r="D314" s="10" t="n"/>
    </row>
    <row r="315" customFormat="1" s="3">
      <c r="A315" s="9" t="inlineStr">
        <is>
          <t>Q19R1C5</t>
        </is>
      </c>
      <c r="B315" s="9">
        <f>LPRP!K198</f>
        <v/>
      </c>
      <c r="C315" s="11" t="inlineStr">
        <is>
          <t>3.7.1</t>
        </is>
      </c>
      <c r="D315" s="10" t="n"/>
    </row>
    <row r="316" customFormat="1" s="3">
      <c r="A316" s="9" t="inlineStr">
        <is>
          <t>Q20R1C1</t>
        </is>
      </c>
      <c r="B316" s="9">
        <f>LPRP!D203</f>
        <v/>
      </c>
      <c r="C316" s="11" t="inlineStr">
        <is>
          <t>3.7.2</t>
        </is>
      </c>
      <c r="D316" s="10" t="n"/>
    </row>
    <row r="317" customFormat="1" s="3">
      <c r="A317" s="9" t="inlineStr">
        <is>
          <t>Q20R1C2</t>
        </is>
      </c>
      <c r="B317" s="9">
        <f>LPRP!G203</f>
        <v/>
      </c>
      <c r="C317" s="11" t="inlineStr">
        <is>
          <t>3.7.2</t>
        </is>
      </c>
      <c r="D317" s="10" t="n"/>
    </row>
    <row r="318" customFormat="1" s="3">
      <c r="A318" s="9" t="inlineStr">
        <is>
          <t>Q20R2C1</t>
        </is>
      </c>
      <c r="B318" s="9">
        <f>LPRP!D204</f>
        <v/>
      </c>
      <c r="C318" s="11" t="inlineStr">
        <is>
          <t>3.7.2</t>
        </is>
      </c>
      <c r="D318" s="10" t="n"/>
    </row>
    <row r="319" customFormat="1" s="3">
      <c r="A319" s="9" t="inlineStr">
        <is>
          <t>Q20R2C2</t>
        </is>
      </c>
      <c r="B319" s="9">
        <f>LPRP!G204</f>
        <v/>
      </c>
      <c r="C319" s="11" t="inlineStr">
        <is>
          <t>3.7.2</t>
        </is>
      </c>
      <c r="D319" s="10" t="n"/>
    </row>
    <row r="320" customFormat="1" s="3">
      <c r="A320" s="9" t="inlineStr">
        <is>
          <t>Q20R3C1</t>
        </is>
      </c>
      <c r="B320" s="9">
        <f>LPRP!D205</f>
        <v/>
      </c>
      <c r="C320" s="11" t="inlineStr">
        <is>
          <t>3.7.2</t>
        </is>
      </c>
      <c r="D320" s="10" t="n"/>
    </row>
    <row r="321" customFormat="1" s="3">
      <c r="A321" s="9" t="inlineStr">
        <is>
          <t>Q20R3C2</t>
        </is>
      </c>
      <c r="B321" s="9">
        <f>LPRP!G205</f>
        <v/>
      </c>
      <c r="C321" s="11" t="inlineStr">
        <is>
          <t>3.7.2</t>
        </is>
      </c>
      <c r="D321" s="10" t="n"/>
    </row>
    <row r="322" customFormat="1" s="3">
      <c r="A322" s="9" t="inlineStr">
        <is>
          <t>Q20R4C1</t>
        </is>
      </c>
      <c r="B322" s="9">
        <f>LPRP!D206</f>
        <v/>
      </c>
      <c r="C322" s="11" t="inlineStr">
        <is>
          <t>3.7.2</t>
        </is>
      </c>
      <c r="D322" s="10" t="n"/>
    </row>
    <row r="323" customFormat="1" s="3">
      <c r="A323" s="9" t="inlineStr">
        <is>
          <t>Q20R4C2</t>
        </is>
      </c>
      <c r="B323" s="9">
        <f>LPRP!G206</f>
        <v/>
      </c>
      <c r="C323" s="11" t="inlineStr">
        <is>
          <t>3.7.2</t>
        </is>
      </c>
      <c r="D323" s="10" t="n"/>
    </row>
    <row r="324">
      <c r="A324" s="9" t="inlineStr">
        <is>
          <t>Q20R5C1</t>
        </is>
      </c>
      <c r="B324" s="9">
        <f>LPRP!D207</f>
        <v/>
      </c>
      <c r="C324" s="11" t="inlineStr">
        <is>
          <t>3.7.2</t>
        </is>
      </c>
      <c r="D324" s="10" t="n"/>
    </row>
    <row r="325">
      <c r="A325" s="9" t="inlineStr">
        <is>
          <t>Q20R5C2</t>
        </is>
      </c>
      <c r="B325" s="9">
        <f>LPRP!G207</f>
        <v/>
      </c>
      <c r="C325" s="11" t="inlineStr">
        <is>
          <t>3.7.2</t>
        </is>
      </c>
      <c r="D325" s="10" t="n"/>
    </row>
    <row r="326">
      <c r="A326" s="9" t="inlineStr">
        <is>
          <t>Q20R6C1</t>
        </is>
      </c>
      <c r="B326" s="9">
        <f>LPRP!D208</f>
        <v/>
      </c>
      <c r="C326" s="11" t="inlineStr">
        <is>
          <t>3.7.2</t>
        </is>
      </c>
      <c r="D326" s="10" t="n"/>
    </row>
    <row r="327">
      <c r="A327" s="9" t="inlineStr">
        <is>
          <t>Q20R6C2</t>
        </is>
      </c>
      <c r="B327" s="9">
        <f>LPRP!G208</f>
        <v/>
      </c>
      <c r="C327" s="11" t="inlineStr">
        <is>
          <t>3.7.2</t>
        </is>
      </c>
      <c r="D327" s="10" t="n"/>
    </row>
    <row r="328">
      <c r="A328" s="9" t="inlineStr">
        <is>
          <t>Q20R7C1</t>
        </is>
      </c>
      <c r="B328" s="9">
        <f>LPRP!D209</f>
        <v/>
      </c>
      <c r="C328" s="11" t="inlineStr">
        <is>
          <t>3.7.2</t>
        </is>
      </c>
      <c r="D328" s="10" t="n"/>
    </row>
    <row r="329">
      <c r="A329" s="9" t="inlineStr">
        <is>
          <t>Q20R7C2</t>
        </is>
      </c>
      <c r="B329" s="9">
        <f>LPRP!G209</f>
        <v/>
      </c>
      <c r="C329" s="11" t="inlineStr">
        <is>
          <t>3.7.2</t>
        </is>
      </c>
      <c r="D329" s="10" t="n"/>
    </row>
    <row r="330">
      <c r="A330" s="9" t="inlineStr">
        <is>
          <t>Q21R1C1</t>
        </is>
      </c>
      <c r="B330" s="9">
        <f>LPRP!D215</f>
        <v/>
      </c>
      <c r="C330" s="11" t="inlineStr">
        <is>
          <t>3,8</t>
        </is>
      </c>
      <c r="D330" s="10" t="n"/>
    </row>
    <row r="331">
      <c r="A331" s="9" t="inlineStr">
        <is>
          <t>Q21R1C2</t>
        </is>
      </c>
      <c r="B331" s="9">
        <f>LPRP!G215</f>
        <v/>
      </c>
      <c r="C331" s="11" t="inlineStr">
        <is>
          <t>3,8</t>
        </is>
      </c>
      <c r="D331" s="10" t="n"/>
    </row>
    <row r="332">
      <c r="A332" s="9" t="inlineStr">
        <is>
          <t>Q21R2C1</t>
        </is>
      </c>
      <c r="B332" s="9">
        <f>LPRP!D216</f>
        <v/>
      </c>
      <c r="C332" s="11" t="inlineStr">
        <is>
          <t>3,8</t>
        </is>
      </c>
      <c r="D332" s="10" t="n"/>
    </row>
    <row r="333">
      <c r="A333" s="9" t="inlineStr">
        <is>
          <t>Q21R2C2</t>
        </is>
      </c>
      <c r="B333" s="9">
        <f>LPRP!G216</f>
        <v/>
      </c>
      <c r="C333" s="11" t="inlineStr">
        <is>
          <t>3,8</t>
        </is>
      </c>
      <c r="D333" s="10" t="n"/>
    </row>
    <row r="334">
      <c r="A334" s="9" t="inlineStr">
        <is>
          <t>Q22R1C1</t>
        </is>
      </c>
      <c r="B334" s="9">
        <f>LPRP!A223</f>
        <v/>
      </c>
      <c r="C334" s="11" t="n">
        <v>4</v>
      </c>
      <c r="D334" s="10" t="n"/>
    </row>
    <row r="335">
      <c r="A335" s="9" t="inlineStr">
        <is>
          <t>Q22R1C2</t>
        </is>
      </c>
      <c r="B335" s="9">
        <f>LPRP!D223</f>
        <v/>
      </c>
      <c r="C335" s="11" t="n">
        <v>4</v>
      </c>
      <c r="D335" s="10" t="n"/>
    </row>
    <row r="336">
      <c r="A336" s="9" t="inlineStr">
        <is>
          <t>Q22R1C3</t>
        </is>
      </c>
      <c r="B336" s="9">
        <f>LPRP!G223</f>
        <v/>
      </c>
      <c r="C336" s="11" t="n">
        <v>4</v>
      </c>
      <c r="D336" s="10" t="n"/>
    </row>
    <row r="337">
      <c r="A337" s="9" t="inlineStr">
        <is>
          <t>Q23R1C1</t>
        </is>
      </c>
      <c r="B337" s="9">
        <f>LPRP!I228</f>
        <v/>
      </c>
      <c r="C337" s="11" t="n">
        <v>5</v>
      </c>
      <c r="D337" s="10" t="n"/>
    </row>
    <row r="338">
      <c r="A338" s="9" t="inlineStr">
        <is>
          <t>Q23R2C1</t>
        </is>
      </c>
      <c r="B338" s="9">
        <f>LPRP!I229</f>
        <v/>
      </c>
      <c r="C338" s="11" t="n">
        <v>5</v>
      </c>
      <c r="D338" s="10" t="n"/>
    </row>
    <row r="339">
      <c r="A339" s="9" t="inlineStr">
        <is>
          <t>Q24R1C1</t>
        </is>
      </c>
      <c r="B339" s="9">
        <f>LPRP!E240</f>
        <v/>
      </c>
      <c r="C339" s="11" t="inlineStr">
        <is>
          <t>6,1</t>
        </is>
      </c>
      <c r="D339" s="10" t="n"/>
    </row>
    <row r="340">
      <c r="A340" s="9" t="inlineStr">
        <is>
          <t>Q24R1C2</t>
        </is>
      </c>
      <c r="B340" s="9">
        <f>LPRP!G240</f>
        <v/>
      </c>
      <c r="C340" s="11" t="inlineStr">
        <is>
          <t>6,1</t>
        </is>
      </c>
      <c r="D340" s="10" t="n"/>
    </row>
    <row r="341">
      <c r="A341" s="9" t="inlineStr">
        <is>
          <t>Q24R1C3</t>
        </is>
      </c>
      <c r="B341" s="9">
        <f>LPRP!I240</f>
        <v/>
      </c>
      <c r="C341" s="11" t="inlineStr">
        <is>
          <t>6,1</t>
        </is>
      </c>
      <c r="D341" s="10" t="n"/>
    </row>
    <row r="342">
      <c r="A342" s="9" t="inlineStr">
        <is>
          <t>Q24R1C4</t>
        </is>
      </c>
      <c r="B342" s="9">
        <f>LPRP!K240</f>
        <v/>
      </c>
      <c r="C342" s="11" t="inlineStr">
        <is>
          <t>6,1</t>
        </is>
      </c>
      <c r="D342" s="10" t="n"/>
    </row>
    <row r="343">
      <c r="A343" s="9" t="inlineStr">
        <is>
          <t>Q24R1C5</t>
        </is>
      </c>
      <c r="B343" s="9">
        <f>LPRP!M240</f>
        <v/>
      </c>
      <c r="C343" s="11" t="inlineStr">
        <is>
          <t>6,1</t>
        </is>
      </c>
      <c r="D343" s="10" t="n"/>
    </row>
    <row r="344">
      <c r="A344" s="9" t="inlineStr">
        <is>
          <t>Q24R1C6</t>
        </is>
      </c>
      <c r="B344" s="9">
        <f>LPRP!O240</f>
        <v/>
      </c>
      <c r="C344" s="11" t="inlineStr">
        <is>
          <t>6,1</t>
        </is>
      </c>
      <c r="D344" s="10" t="n"/>
    </row>
    <row r="345">
      <c r="A345" s="9" t="inlineStr">
        <is>
          <t>Q24R1C7</t>
        </is>
      </c>
      <c r="B345" s="9">
        <f>LPRP!P240</f>
        <v/>
      </c>
      <c r="C345" s="11" t="inlineStr">
        <is>
          <t>6,1</t>
        </is>
      </c>
      <c r="D345" s="10" t="n"/>
    </row>
    <row r="346">
      <c r="A346" s="9" t="inlineStr">
        <is>
          <t>Q24R1C8</t>
        </is>
      </c>
      <c r="B346" s="9">
        <f>LPRP!R240</f>
        <v/>
      </c>
      <c r="C346" s="11" t="inlineStr">
        <is>
          <t>6,1</t>
        </is>
      </c>
      <c r="D346" s="10" t="n"/>
    </row>
    <row r="347">
      <c r="A347" s="9" t="inlineStr">
        <is>
          <t>Q25R1C1</t>
        </is>
      </c>
      <c r="B347" s="9">
        <f>LPRP!E248</f>
        <v/>
      </c>
      <c r="C347" s="11" t="inlineStr">
        <is>
          <t>6,2</t>
        </is>
      </c>
      <c r="D347" s="10" t="n"/>
    </row>
    <row r="348">
      <c r="A348" s="9" t="inlineStr">
        <is>
          <t>Q25R1C2</t>
        </is>
      </c>
      <c r="B348" s="9">
        <f>LPRP!G248</f>
        <v/>
      </c>
      <c r="C348" s="11" t="inlineStr">
        <is>
          <t>6,2</t>
        </is>
      </c>
      <c r="D348" s="10" t="n"/>
    </row>
    <row r="349">
      <c r="A349" s="9" t="inlineStr">
        <is>
          <t>Q25R1C3</t>
        </is>
      </c>
      <c r="B349" s="9">
        <f>LPRP!I248</f>
        <v/>
      </c>
      <c r="C349" s="11" t="inlineStr">
        <is>
          <t>6,2</t>
        </is>
      </c>
      <c r="D349" s="10" t="n"/>
    </row>
    <row r="350">
      <c r="A350" s="9" t="inlineStr">
        <is>
          <t>Q25R1C4</t>
        </is>
      </c>
      <c r="B350" s="9">
        <f>LPRP!K248</f>
        <v/>
      </c>
      <c r="C350" s="11" t="inlineStr">
        <is>
          <t>6,2</t>
        </is>
      </c>
      <c r="D350" s="10" t="n"/>
    </row>
    <row r="351">
      <c r="A351" s="9" t="inlineStr">
        <is>
          <t>Q25R1C5</t>
        </is>
      </c>
      <c r="B351" s="9">
        <f>LPRP!M248</f>
        <v/>
      </c>
      <c r="C351" s="11" t="inlineStr">
        <is>
          <t>6,2</t>
        </is>
      </c>
      <c r="D351" s="10" t="n"/>
    </row>
    <row r="352">
      <c r="A352" s="9" t="inlineStr">
        <is>
          <t>Q25R1C6</t>
        </is>
      </c>
      <c r="B352" s="9">
        <f>LPRP!O248</f>
        <v/>
      </c>
      <c r="C352" s="11" t="inlineStr">
        <is>
          <t>6,2</t>
        </is>
      </c>
      <c r="D352" s="10" t="n"/>
    </row>
    <row r="353">
      <c r="A353" s="9" t="inlineStr">
        <is>
          <t>Q25R1C7</t>
        </is>
      </c>
      <c r="B353" s="9">
        <f>LPRP!P248</f>
        <v/>
      </c>
      <c r="C353" s="11" t="inlineStr">
        <is>
          <t>6,2</t>
        </is>
      </c>
      <c r="D353" s="10" t="n"/>
    </row>
    <row r="354">
      <c r="A354" s="9" t="inlineStr">
        <is>
          <t>Q25R1C8</t>
        </is>
      </c>
      <c r="B354" s="9">
        <f>LPRP!R248</f>
        <v/>
      </c>
      <c r="C354" s="11" t="inlineStr">
        <is>
          <t>6,2</t>
        </is>
      </c>
      <c r="D354" s="10" t="n"/>
    </row>
    <row r="355">
      <c r="A355" s="9" t="inlineStr">
        <is>
          <t>Q25R2C1</t>
        </is>
      </c>
      <c r="B355" s="9">
        <f>LPRP!E249</f>
        <v/>
      </c>
      <c r="C355" s="11" t="inlineStr">
        <is>
          <t>6,2</t>
        </is>
      </c>
      <c r="D355" s="10" t="n"/>
    </row>
    <row r="356">
      <c r="A356" s="9" t="inlineStr">
        <is>
          <t>Q25R2C2</t>
        </is>
      </c>
      <c r="B356" s="9">
        <f>LPRP!G249</f>
        <v/>
      </c>
      <c r="C356" s="11" t="inlineStr">
        <is>
          <t>6,2</t>
        </is>
      </c>
      <c r="D356" s="10" t="n"/>
    </row>
    <row r="357">
      <c r="A357" s="9" t="inlineStr">
        <is>
          <t>Q25R2C3</t>
        </is>
      </c>
      <c r="B357" s="9">
        <f>LPRP!I249</f>
        <v/>
      </c>
      <c r="C357" s="11" t="inlineStr">
        <is>
          <t>6,2</t>
        </is>
      </c>
      <c r="D357" s="10" t="n"/>
    </row>
    <row r="358">
      <c r="A358" s="9" t="inlineStr">
        <is>
          <t>Q25R2C4</t>
        </is>
      </c>
      <c r="B358" s="9">
        <f>LPRP!K249</f>
        <v/>
      </c>
      <c r="C358" s="11" t="inlineStr">
        <is>
          <t>6,2</t>
        </is>
      </c>
      <c r="D358" s="10" t="n"/>
    </row>
    <row r="359">
      <c r="A359" s="9" t="inlineStr">
        <is>
          <t>Q25R2C5</t>
        </is>
      </c>
      <c r="B359" s="9">
        <f>LPRP!M249</f>
        <v/>
      </c>
      <c r="C359" s="11" t="inlineStr">
        <is>
          <t>6,2</t>
        </is>
      </c>
      <c r="D359" s="10" t="n"/>
    </row>
    <row r="360">
      <c r="A360" s="9" t="inlineStr">
        <is>
          <t>Q25R2C6</t>
        </is>
      </c>
      <c r="B360" s="9">
        <f>LPRP!O249</f>
        <v/>
      </c>
      <c r="C360" s="11" t="inlineStr">
        <is>
          <t>6,2</t>
        </is>
      </c>
      <c r="D360" s="10" t="n"/>
    </row>
    <row r="361">
      <c r="A361" s="9" t="inlineStr">
        <is>
          <t>Q25R2C7</t>
        </is>
      </c>
      <c r="B361" s="9">
        <f>LPRP!P249</f>
        <v/>
      </c>
      <c r="C361" s="11" t="inlineStr">
        <is>
          <t>6,2</t>
        </is>
      </c>
      <c r="D361" s="10" t="n"/>
    </row>
    <row r="362">
      <c r="A362" s="9" t="inlineStr">
        <is>
          <t>Q25R2C8</t>
        </is>
      </c>
      <c r="B362" s="9">
        <f>LPRP!R249</f>
        <v/>
      </c>
      <c r="C362" s="11" t="inlineStr">
        <is>
          <t>6,2</t>
        </is>
      </c>
      <c r="D362" s="10" t="n"/>
    </row>
    <row r="363">
      <c r="A363" s="9" t="inlineStr">
        <is>
          <t>Q25R3C1</t>
        </is>
      </c>
      <c r="B363" s="9" t="n">
        <v>0</v>
      </c>
      <c r="C363" s="11" t="inlineStr">
        <is>
          <t>6,2</t>
        </is>
      </c>
      <c r="D363" s="17" t="inlineStr">
        <is>
          <t>Forced to 0</t>
        </is>
      </c>
    </row>
    <row r="364">
      <c r="A364" s="9" t="inlineStr">
        <is>
          <t>Q25R3C2</t>
        </is>
      </c>
      <c r="B364" s="9" t="n">
        <v>0</v>
      </c>
      <c r="C364" s="11" t="inlineStr">
        <is>
          <t>6,2</t>
        </is>
      </c>
      <c r="D364" s="17" t="inlineStr">
        <is>
          <t>Forced to 0</t>
        </is>
      </c>
    </row>
    <row r="365">
      <c r="A365" s="9" t="inlineStr">
        <is>
          <t>Q25R3C3</t>
        </is>
      </c>
      <c r="B365" s="9" t="n">
        <v>0</v>
      </c>
      <c r="C365" s="11" t="inlineStr">
        <is>
          <t>6,2</t>
        </is>
      </c>
      <c r="D365" s="17" t="inlineStr">
        <is>
          <t>Forced to 0</t>
        </is>
      </c>
    </row>
    <row r="366">
      <c r="A366" s="9" t="inlineStr">
        <is>
          <t>Q25R3C4</t>
        </is>
      </c>
      <c r="B366" s="9" t="n">
        <v>0</v>
      </c>
      <c r="C366" s="11" t="inlineStr">
        <is>
          <t>6,2</t>
        </is>
      </c>
      <c r="D366" s="17" t="inlineStr">
        <is>
          <t>Forced to 0</t>
        </is>
      </c>
    </row>
    <row r="367">
      <c r="A367" s="9" t="inlineStr">
        <is>
          <t>Q25R3C5</t>
        </is>
      </c>
      <c r="B367" s="9" t="n">
        <v>0</v>
      </c>
      <c r="C367" s="11" t="inlineStr">
        <is>
          <t>6,2</t>
        </is>
      </c>
      <c r="D367" s="17" t="inlineStr">
        <is>
          <t>Forced to 0</t>
        </is>
      </c>
    </row>
    <row r="368">
      <c r="A368" s="9" t="inlineStr">
        <is>
          <t>Q25R3C6</t>
        </is>
      </c>
      <c r="B368" s="9" t="n">
        <v>0</v>
      </c>
      <c r="C368" s="11" t="inlineStr">
        <is>
          <t>6,2</t>
        </is>
      </c>
      <c r="D368" s="17" t="inlineStr">
        <is>
          <t>Forced to 0</t>
        </is>
      </c>
    </row>
    <row r="369">
      <c r="A369" s="9" t="inlineStr">
        <is>
          <t>Q25R3C7</t>
        </is>
      </c>
      <c r="B369" s="9" t="n">
        <v>0</v>
      </c>
      <c r="C369" s="11" t="inlineStr">
        <is>
          <t>6,2</t>
        </is>
      </c>
      <c r="D369" s="17" t="inlineStr">
        <is>
          <t>Forced to 0</t>
        </is>
      </c>
    </row>
    <row r="370">
      <c r="A370" s="9" t="inlineStr">
        <is>
          <t>Q25R3C8</t>
        </is>
      </c>
      <c r="B370" s="9">
        <f>LPRP!R250</f>
        <v/>
      </c>
      <c r="C370" s="11" t="inlineStr">
        <is>
          <t>6,2</t>
        </is>
      </c>
      <c r="D370" s="10" t="n"/>
    </row>
    <row r="371">
      <c r="A371" s="9" t="inlineStr">
        <is>
          <t>Q26R1C1</t>
        </is>
      </c>
      <c r="B371" s="9">
        <f>LPRP!E258</f>
        <v/>
      </c>
      <c r="C371" s="11" t="inlineStr">
        <is>
          <t>7,1</t>
        </is>
      </c>
      <c r="D371" s="10" t="n"/>
    </row>
    <row r="372">
      <c r="A372" s="9" t="inlineStr">
        <is>
          <t>Q26R1C2</t>
        </is>
      </c>
      <c r="B372" s="9">
        <f>LPRP!G258</f>
        <v/>
      </c>
      <c r="C372" s="11" t="inlineStr">
        <is>
          <t>7,1</t>
        </is>
      </c>
      <c r="D372" s="10" t="n"/>
    </row>
    <row r="373">
      <c r="A373" s="9" t="inlineStr">
        <is>
          <t>Q26R1C3</t>
        </is>
      </c>
      <c r="B373" s="9">
        <f>LPRP!I258</f>
        <v/>
      </c>
      <c r="C373" s="11" t="inlineStr">
        <is>
          <t>7,1</t>
        </is>
      </c>
      <c r="D373" s="10" t="n"/>
    </row>
    <row r="374">
      <c r="A374" s="9" t="inlineStr">
        <is>
          <t>Q26R1C4</t>
        </is>
      </c>
      <c r="B374" s="9">
        <f>LPRP!K258</f>
        <v/>
      </c>
      <c r="C374" s="11" t="inlineStr">
        <is>
          <t>7,1</t>
        </is>
      </c>
      <c r="D374" s="10" t="n"/>
    </row>
    <row r="375">
      <c r="A375" s="9" t="inlineStr">
        <is>
          <t>Q26R2C1</t>
        </is>
      </c>
      <c r="B375" s="9">
        <f>LPRP!E259</f>
        <v/>
      </c>
      <c r="C375" s="11" t="inlineStr">
        <is>
          <t>7,1</t>
        </is>
      </c>
      <c r="D375" s="10" t="n"/>
    </row>
    <row r="376">
      <c r="A376" s="9" t="inlineStr">
        <is>
          <t>Q26R2C2</t>
        </is>
      </c>
      <c r="B376" s="9">
        <f>LPRP!G259</f>
        <v/>
      </c>
      <c r="C376" s="11" t="inlineStr">
        <is>
          <t>7,1</t>
        </is>
      </c>
      <c r="D376" s="10" t="n"/>
    </row>
    <row r="377">
      <c r="A377" s="9" t="inlineStr">
        <is>
          <t>Q26R2C3</t>
        </is>
      </c>
      <c r="B377" s="9">
        <f>LPRP!I259</f>
        <v/>
      </c>
      <c r="C377" s="11" t="inlineStr">
        <is>
          <t>7,1</t>
        </is>
      </c>
      <c r="D377" s="10" t="n"/>
    </row>
    <row r="378">
      <c r="A378" s="9" t="inlineStr">
        <is>
          <t>Q26R2C4</t>
        </is>
      </c>
      <c r="B378" s="9">
        <f>LPRP!K259</f>
        <v/>
      </c>
      <c r="C378" s="11" t="inlineStr">
        <is>
          <t>7,1</t>
        </is>
      </c>
      <c r="D378" s="10" t="n"/>
    </row>
    <row r="379">
      <c r="A379" s="9" t="inlineStr">
        <is>
          <t>Q26R3C1</t>
        </is>
      </c>
      <c r="B379" s="9">
        <f>LPRP!E260</f>
        <v/>
      </c>
      <c r="C379" s="11" t="inlineStr">
        <is>
          <t>7,1</t>
        </is>
      </c>
      <c r="D379" s="10" t="n"/>
    </row>
    <row r="380" customFormat="1" s="3">
      <c r="A380" s="9" t="inlineStr">
        <is>
          <t>Q26R3C2</t>
        </is>
      </c>
      <c r="B380" s="9">
        <f>LPRP!G260</f>
        <v/>
      </c>
      <c r="C380" s="11" t="inlineStr">
        <is>
          <t>7,1</t>
        </is>
      </c>
      <c r="D380" s="10" t="n"/>
    </row>
    <row r="381" customFormat="1" s="3">
      <c r="A381" s="9" t="inlineStr">
        <is>
          <t>Q26R3C3</t>
        </is>
      </c>
      <c r="B381" s="9">
        <f>LPRP!I260</f>
        <v/>
      </c>
      <c r="C381" s="11" t="inlineStr">
        <is>
          <t>7,1</t>
        </is>
      </c>
      <c r="D381" s="10" t="n"/>
    </row>
    <row r="382" customFormat="1" s="3">
      <c r="A382" s="9" t="inlineStr">
        <is>
          <t>Q26R3C4</t>
        </is>
      </c>
      <c r="B382" s="9">
        <f>LPRP!K260</f>
        <v/>
      </c>
      <c r="C382" s="11" t="inlineStr">
        <is>
          <t>7,1</t>
        </is>
      </c>
      <c r="D382" s="10" t="n"/>
    </row>
    <row r="383" customFormat="1" s="3">
      <c r="A383" s="9" t="inlineStr">
        <is>
          <t>Q26R4C1</t>
        </is>
      </c>
      <c r="B383" s="9">
        <f>LPRP!E261</f>
        <v/>
      </c>
      <c r="C383" s="11" t="inlineStr">
        <is>
          <t>7,1</t>
        </is>
      </c>
      <c r="D383" s="10" t="n"/>
    </row>
    <row r="384" customFormat="1" s="3">
      <c r="A384" s="9" t="inlineStr">
        <is>
          <t>Q26R4C2</t>
        </is>
      </c>
      <c r="B384" s="9">
        <f>LPRP!G261</f>
        <v/>
      </c>
      <c r="C384" s="11" t="inlineStr">
        <is>
          <t>7,1</t>
        </is>
      </c>
      <c r="D384" s="10" t="n"/>
    </row>
    <row r="385" customFormat="1" s="3">
      <c r="A385" s="9" t="inlineStr">
        <is>
          <t>Q26R4C3</t>
        </is>
      </c>
      <c r="B385" s="9">
        <f>LPRP!I261</f>
        <v/>
      </c>
      <c r="C385" s="11" t="inlineStr">
        <is>
          <t>7,1</t>
        </is>
      </c>
      <c r="D385" s="10" t="n"/>
    </row>
    <row r="386" customFormat="1" s="3">
      <c r="A386" s="9" t="inlineStr">
        <is>
          <t>Q26R4C4</t>
        </is>
      </c>
      <c r="B386" s="9">
        <f>LPRP!K261</f>
        <v/>
      </c>
      <c r="C386" s="11" t="inlineStr">
        <is>
          <t>7,1</t>
        </is>
      </c>
      <c r="D386" s="10" t="n"/>
    </row>
    <row r="387" customFormat="1" s="3">
      <c r="A387" s="12" t="inlineStr">
        <is>
          <t>Q26R5C1</t>
        </is>
      </c>
      <c r="B387" s="12">
        <f>LPRP!E262</f>
        <v/>
      </c>
      <c r="C387" s="13" t="inlineStr">
        <is>
          <t>7,1</t>
        </is>
      </c>
      <c r="D387" s="10" t="n"/>
    </row>
    <row r="388" customFormat="1" s="3">
      <c r="A388" s="12" t="inlineStr">
        <is>
          <t>Q26R5C2</t>
        </is>
      </c>
      <c r="B388" s="12">
        <f>LPRP!G262</f>
        <v/>
      </c>
      <c r="C388" s="13" t="inlineStr">
        <is>
          <t>7,1</t>
        </is>
      </c>
      <c r="D388" s="10" t="n"/>
    </row>
    <row r="389" customFormat="1" s="3">
      <c r="A389" s="12" t="inlineStr">
        <is>
          <t>Q26R5C3</t>
        </is>
      </c>
      <c r="B389" s="12">
        <f>LPRP!I262</f>
        <v/>
      </c>
      <c r="C389" s="13" t="inlineStr">
        <is>
          <t>7,1</t>
        </is>
      </c>
      <c r="D389" s="10" t="n"/>
    </row>
    <row r="390" customFormat="1" s="3">
      <c r="A390" s="12" t="inlineStr">
        <is>
          <t>Q26R5C4</t>
        </is>
      </c>
      <c r="B390" s="12">
        <f>LPRP!K262</f>
        <v/>
      </c>
      <c r="C390" s="13" t="inlineStr">
        <is>
          <t>7,1</t>
        </is>
      </c>
      <c r="D390" s="10" t="n"/>
    </row>
    <row r="391" customFormat="1" s="3">
      <c r="A391" s="12" t="inlineStr">
        <is>
          <t>Q26R6C1</t>
        </is>
      </c>
      <c r="B391" s="12">
        <f>LPRP!E263</f>
        <v/>
      </c>
      <c r="C391" s="13" t="inlineStr">
        <is>
          <t>7,1</t>
        </is>
      </c>
      <c r="D391" s="10" t="n"/>
    </row>
    <row r="392" customFormat="1" s="3">
      <c r="A392" s="12" t="inlineStr">
        <is>
          <t>Q26R6C2</t>
        </is>
      </c>
      <c r="B392" s="12">
        <f>LPRP!G263</f>
        <v/>
      </c>
      <c r="C392" s="13" t="inlineStr">
        <is>
          <t>7,1</t>
        </is>
      </c>
      <c r="D392" s="10" t="n"/>
    </row>
    <row r="393" customFormat="1" s="3">
      <c r="A393" s="12" t="inlineStr">
        <is>
          <t>Q26R6C3</t>
        </is>
      </c>
      <c r="B393" s="12">
        <f>LPRP!I263</f>
        <v/>
      </c>
      <c r="C393" s="13" t="inlineStr">
        <is>
          <t>7,1</t>
        </is>
      </c>
      <c r="D393" s="10" t="n"/>
    </row>
    <row r="394" customFormat="1" s="3">
      <c r="A394" s="12" t="inlineStr">
        <is>
          <t>Q26R6C4</t>
        </is>
      </c>
      <c r="B394" s="12">
        <f>LPRP!K263</f>
        <v/>
      </c>
      <c r="C394" s="13" t="inlineStr">
        <is>
          <t>7,1</t>
        </is>
      </c>
      <c r="D394" s="10" t="n"/>
    </row>
    <row r="395" customFormat="1" s="3">
      <c r="A395" s="9" t="inlineStr">
        <is>
          <t>Q27R1C1</t>
        </is>
      </c>
      <c r="B395" s="9">
        <f>LPRP!E269</f>
        <v/>
      </c>
      <c r="C395" s="11" t="inlineStr">
        <is>
          <t>7,2</t>
        </is>
      </c>
      <c r="D395" s="10" t="n"/>
    </row>
    <row r="396" customFormat="1" s="3">
      <c r="A396" s="9" t="inlineStr">
        <is>
          <t>Q27R1C2</t>
        </is>
      </c>
      <c r="B396" s="9">
        <f>LPRP!F269</f>
        <v/>
      </c>
      <c r="C396" s="11" t="inlineStr">
        <is>
          <t>7,2</t>
        </is>
      </c>
      <c r="D396" s="10" t="n"/>
    </row>
    <row r="397" customFormat="1" s="3">
      <c r="A397" s="9" t="inlineStr">
        <is>
          <t>Q27R1C3</t>
        </is>
      </c>
      <c r="B397" s="9">
        <f>LPRP!G269</f>
        <v/>
      </c>
      <c r="C397" s="11" t="inlineStr">
        <is>
          <t>7,2</t>
        </is>
      </c>
      <c r="D397" s="10" t="n"/>
    </row>
    <row r="398" customFormat="1" s="3">
      <c r="A398" s="9" t="inlineStr">
        <is>
          <t>Q27R1C4</t>
        </is>
      </c>
      <c r="B398" s="9">
        <f>LPRP!H269</f>
        <v/>
      </c>
      <c r="C398" s="11" t="inlineStr">
        <is>
          <t>7,2</t>
        </is>
      </c>
      <c r="D398" s="10" t="n"/>
    </row>
    <row r="399" customFormat="1" s="3">
      <c r="A399" s="9" t="inlineStr">
        <is>
          <t>Q27R1C5</t>
        </is>
      </c>
      <c r="B399" s="9">
        <f>LPRP!I269</f>
        <v/>
      </c>
      <c r="C399" s="11" t="inlineStr">
        <is>
          <t>7,2</t>
        </is>
      </c>
      <c r="D399" s="10" t="n"/>
    </row>
    <row r="400" customFormat="1" s="3">
      <c r="A400" s="9" t="inlineStr">
        <is>
          <t>Q27R1C6</t>
        </is>
      </c>
      <c r="B400" s="9">
        <f>LPRP!J269</f>
        <v/>
      </c>
      <c r="C400" s="11" t="inlineStr">
        <is>
          <t>7,2</t>
        </is>
      </c>
      <c r="D400" s="10" t="n"/>
    </row>
    <row r="401" customFormat="1" s="3">
      <c r="A401" s="9" t="inlineStr">
        <is>
          <t>Q27R1C7</t>
        </is>
      </c>
      <c r="B401" s="9">
        <f>LPRP!K269</f>
        <v/>
      </c>
      <c r="C401" s="11" t="inlineStr">
        <is>
          <t>7,2</t>
        </is>
      </c>
      <c r="D401" s="10" t="n"/>
    </row>
    <row r="402" customFormat="1" s="3">
      <c r="A402" s="9" t="inlineStr">
        <is>
          <t>Q27R1C8</t>
        </is>
      </c>
      <c r="B402" s="9">
        <f>LPRP!L269</f>
        <v/>
      </c>
      <c r="C402" s="11" t="inlineStr">
        <is>
          <t>7,2</t>
        </is>
      </c>
      <c r="D402" s="10" t="n"/>
    </row>
    <row r="403" customFormat="1" s="3">
      <c r="A403" s="9" t="inlineStr">
        <is>
          <t>Q27R2C1</t>
        </is>
      </c>
      <c r="B403" s="9">
        <f>LPRP!E270</f>
        <v/>
      </c>
      <c r="C403" s="11" t="inlineStr">
        <is>
          <t>7,2</t>
        </is>
      </c>
      <c r="D403" s="10" t="n"/>
    </row>
    <row r="404" customFormat="1" s="3">
      <c r="A404" s="9" t="inlineStr">
        <is>
          <t>Q27R2C2</t>
        </is>
      </c>
      <c r="B404" s="9">
        <f>LPRP!F270</f>
        <v/>
      </c>
      <c r="C404" s="11" t="inlineStr">
        <is>
          <t>7,2</t>
        </is>
      </c>
      <c r="D404" s="10" t="n"/>
    </row>
    <row r="405" customFormat="1" s="3">
      <c r="A405" s="9" t="inlineStr">
        <is>
          <t>Q27R2C3</t>
        </is>
      </c>
      <c r="B405" s="9">
        <f>LPRP!G270</f>
        <v/>
      </c>
      <c r="C405" s="11" t="inlineStr">
        <is>
          <t>7,2</t>
        </is>
      </c>
      <c r="D405" s="10" t="n"/>
    </row>
    <row r="406" customFormat="1" s="3">
      <c r="A406" s="9" t="inlineStr">
        <is>
          <t>Q27R2C4</t>
        </is>
      </c>
      <c r="B406" s="9">
        <f>LPRP!H270</f>
        <v/>
      </c>
      <c r="C406" s="11" t="inlineStr">
        <is>
          <t>7,2</t>
        </is>
      </c>
      <c r="D406" s="10" t="n"/>
    </row>
    <row r="407" customFormat="1" s="3">
      <c r="A407" s="9" t="inlineStr">
        <is>
          <t>Q27R2C5</t>
        </is>
      </c>
      <c r="B407" s="9">
        <f>LPRP!I270</f>
        <v/>
      </c>
      <c r="C407" s="11" t="inlineStr">
        <is>
          <t>7,2</t>
        </is>
      </c>
      <c r="D407" s="10" t="n"/>
    </row>
    <row r="408" customFormat="1" s="3">
      <c r="A408" s="9" t="inlineStr">
        <is>
          <t>Q27R2C6</t>
        </is>
      </c>
      <c r="B408" s="9">
        <f>LPRP!J270</f>
        <v/>
      </c>
      <c r="C408" s="11" t="inlineStr">
        <is>
          <t>7,2</t>
        </is>
      </c>
      <c r="D408" s="10" t="n"/>
    </row>
    <row r="409" customFormat="1" s="3">
      <c r="A409" s="9" t="inlineStr">
        <is>
          <t>Q27R2C7</t>
        </is>
      </c>
      <c r="B409" s="9">
        <f>LPRP!K270</f>
        <v/>
      </c>
      <c r="C409" s="11" t="inlineStr">
        <is>
          <t>7,2</t>
        </is>
      </c>
      <c r="D409" s="10" t="n"/>
    </row>
    <row r="410" customFormat="1" s="3">
      <c r="A410" s="9" t="inlineStr">
        <is>
          <t>Q27R2C8</t>
        </is>
      </c>
      <c r="B410" s="9">
        <f>LPRP!L270</f>
        <v/>
      </c>
      <c r="C410" s="11" t="inlineStr">
        <is>
          <t>7,2</t>
        </is>
      </c>
      <c r="D410" s="10" t="n"/>
    </row>
    <row r="411" customFormat="1" s="3">
      <c r="A411" s="9" t="inlineStr">
        <is>
          <t>Q27R3C1</t>
        </is>
      </c>
      <c r="B411" s="9">
        <f>LPRP!E271</f>
        <v/>
      </c>
      <c r="C411" s="11" t="inlineStr">
        <is>
          <t>7,2</t>
        </is>
      </c>
      <c r="D411" s="10" t="n"/>
    </row>
    <row r="412" customFormat="1" s="3">
      <c r="A412" s="9" t="inlineStr">
        <is>
          <t>Q27R3C2</t>
        </is>
      </c>
      <c r="B412" s="9">
        <f>LPRP!F271</f>
        <v/>
      </c>
      <c r="C412" s="11" t="inlineStr">
        <is>
          <t>7,2</t>
        </is>
      </c>
      <c r="D412" s="10" t="n"/>
    </row>
    <row r="413" customFormat="1" s="3">
      <c r="A413" s="9" t="inlineStr">
        <is>
          <t>Q27R3C3</t>
        </is>
      </c>
      <c r="B413" s="9">
        <f>LPRP!G271</f>
        <v/>
      </c>
      <c r="C413" s="11" t="inlineStr">
        <is>
          <t>7,2</t>
        </is>
      </c>
      <c r="D413" s="10" t="n"/>
    </row>
    <row r="414" customFormat="1" s="3">
      <c r="A414" s="9" t="inlineStr">
        <is>
          <t>Q27R3C4</t>
        </is>
      </c>
      <c r="B414" s="9">
        <f>LPRP!H271</f>
        <v/>
      </c>
      <c r="C414" s="11" t="inlineStr">
        <is>
          <t>7,2</t>
        </is>
      </c>
      <c r="D414" s="10" t="n"/>
    </row>
    <row r="415" customFormat="1" s="3">
      <c r="A415" s="9" t="inlineStr">
        <is>
          <t>Q27R3C5</t>
        </is>
      </c>
      <c r="B415" s="9">
        <f>LPRP!I271</f>
        <v/>
      </c>
      <c r="C415" s="11" t="inlineStr">
        <is>
          <t>7,2</t>
        </is>
      </c>
      <c r="D415" s="10" t="n"/>
    </row>
    <row r="416" customFormat="1" s="3">
      <c r="A416" s="9" t="inlineStr">
        <is>
          <t>Q27R3C6</t>
        </is>
      </c>
      <c r="B416" s="9">
        <f>LPRP!J271</f>
        <v/>
      </c>
      <c r="C416" s="11" t="inlineStr">
        <is>
          <t>7,2</t>
        </is>
      </c>
      <c r="D416" s="10" t="n"/>
    </row>
    <row r="417" customFormat="1" s="3">
      <c r="A417" s="9" t="inlineStr">
        <is>
          <t>Q27R3C7</t>
        </is>
      </c>
      <c r="B417" s="9">
        <f>LPRP!K271</f>
        <v/>
      </c>
      <c r="C417" s="11" t="inlineStr">
        <is>
          <t>7,2</t>
        </is>
      </c>
      <c r="D417" s="10" t="n"/>
    </row>
    <row r="418" customFormat="1" s="3">
      <c r="A418" s="9" t="inlineStr">
        <is>
          <t>Q27R3C8</t>
        </is>
      </c>
      <c r="B418" s="9">
        <f>LPRP!L271</f>
        <v/>
      </c>
      <c r="C418" s="11" t="inlineStr">
        <is>
          <t>7,2</t>
        </is>
      </c>
      <c r="D418" s="10" t="n"/>
    </row>
    <row r="419" customFormat="1" s="3">
      <c r="A419" s="9" t="inlineStr">
        <is>
          <t>Q27R4C1</t>
        </is>
      </c>
      <c r="B419" s="9">
        <f>LPRP!E272</f>
        <v/>
      </c>
      <c r="C419" s="11" t="inlineStr">
        <is>
          <t>7,2</t>
        </is>
      </c>
      <c r="D419" s="10" t="n"/>
    </row>
    <row r="420" customFormat="1" s="3">
      <c r="A420" s="9" t="inlineStr">
        <is>
          <t>Q27R4C2</t>
        </is>
      </c>
      <c r="B420" s="9">
        <f>LPRP!F272</f>
        <v/>
      </c>
      <c r="C420" s="11" t="inlineStr">
        <is>
          <t>7,2</t>
        </is>
      </c>
      <c r="D420" s="10" t="n"/>
    </row>
    <row r="421" customFormat="1" s="3">
      <c r="A421" s="9" t="inlineStr">
        <is>
          <t>Q27R4C3</t>
        </is>
      </c>
      <c r="B421" s="9">
        <f>LPRP!G272</f>
        <v/>
      </c>
      <c r="C421" s="11" t="inlineStr">
        <is>
          <t>7,2</t>
        </is>
      </c>
      <c r="D421" s="10" t="n"/>
    </row>
    <row r="422" customFormat="1" s="3">
      <c r="A422" s="9" t="inlineStr">
        <is>
          <t>Q27R4C4</t>
        </is>
      </c>
      <c r="B422" s="9">
        <f>LPRP!H272</f>
        <v/>
      </c>
      <c r="C422" s="11" t="inlineStr">
        <is>
          <t>7,2</t>
        </is>
      </c>
      <c r="D422" s="10" t="n"/>
    </row>
    <row r="423" customFormat="1" s="3">
      <c r="A423" s="9" t="inlineStr">
        <is>
          <t>Q27R4C5</t>
        </is>
      </c>
      <c r="B423" s="9">
        <f>LPRP!I272</f>
        <v/>
      </c>
      <c r="C423" s="11" t="inlineStr">
        <is>
          <t>7,2</t>
        </is>
      </c>
      <c r="D423" s="10" t="n"/>
    </row>
    <row r="424" customFormat="1" s="3">
      <c r="A424" s="9" t="inlineStr">
        <is>
          <t>Q27R4C6</t>
        </is>
      </c>
      <c r="B424" s="9">
        <f>LPRP!J272</f>
        <v/>
      </c>
      <c r="C424" s="11" t="inlineStr">
        <is>
          <t>7,2</t>
        </is>
      </c>
      <c r="D424" s="10" t="n"/>
    </row>
    <row r="425" customFormat="1" s="3">
      <c r="A425" s="9" t="inlineStr">
        <is>
          <t>Q27R4C7</t>
        </is>
      </c>
      <c r="B425" s="9">
        <f>LPRP!K272</f>
        <v/>
      </c>
      <c r="C425" s="11" t="inlineStr">
        <is>
          <t>7,2</t>
        </is>
      </c>
      <c r="D425" s="10" t="n"/>
    </row>
    <row r="426" customFormat="1" s="3">
      <c r="A426" s="9" t="inlineStr">
        <is>
          <t>Q27R4C8</t>
        </is>
      </c>
      <c r="B426" s="9">
        <f>LPRP!L272</f>
        <v/>
      </c>
      <c r="C426" s="11" t="inlineStr">
        <is>
          <t>7,2</t>
        </is>
      </c>
      <c r="D426" s="10" t="n"/>
    </row>
    <row r="427" customFormat="1" s="3">
      <c r="A427" s="9" t="inlineStr">
        <is>
          <t>Q27R5C1</t>
        </is>
      </c>
      <c r="B427" s="9">
        <f>LPRP!E273</f>
        <v/>
      </c>
      <c r="C427" s="11" t="inlineStr">
        <is>
          <t>7,2</t>
        </is>
      </c>
      <c r="D427" s="10" t="n"/>
    </row>
    <row r="428" customFormat="1" s="3">
      <c r="A428" s="9" t="inlineStr">
        <is>
          <t>Q27R5C2</t>
        </is>
      </c>
      <c r="B428" s="9">
        <f>LPRP!F273</f>
        <v/>
      </c>
      <c r="C428" s="11" t="inlineStr">
        <is>
          <t>7,2</t>
        </is>
      </c>
      <c r="D428" s="10" t="n"/>
    </row>
    <row r="429" customFormat="1" s="3">
      <c r="A429" s="9" t="inlineStr">
        <is>
          <t>Q27R5C3</t>
        </is>
      </c>
      <c r="B429" s="9">
        <f>LPRP!G273</f>
        <v/>
      </c>
      <c r="C429" s="11" t="inlineStr">
        <is>
          <t>7,2</t>
        </is>
      </c>
      <c r="D429" s="10" t="n"/>
    </row>
    <row r="430" customFormat="1" s="3">
      <c r="A430" s="9" t="inlineStr">
        <is>
          <t>Q27R5C4</t>
        </is>
      </c>
      <c r="B430" s="9">
        <f>LPRP!H273</f>
        <v/>
      </c>
      <c r="C430" s="11" t="inlineStr">
        <is>
          <t>7,2</t>
        </is>
      </c>
      <c r="D430" s="10" t="n"/>
    </row>
    <row r="431" customFormat="1" s="3">
      <c r="A431" s="9" t="inlineStr">
        <is>
          <t>Q27R5C5</t>
        </is>
      </c>
      <c r="B431" s="9">
        <f>LPRP!I273</f>
        <v/>
      </c>
      <c r="C431" s="11" t="inlineStr">
        <is>
          <t>7,2</t>
        </is>
      </c>
      <c r="D431" s="10" t="n"/>
    </row>
    <row r="432" customFormat="1" s="3">
      <c r="A432" s="9" t="inlineStr">
        <is>
          <t>Q27R5C6</t>
        </is>
      </c>
      <c r="B432" s="9">
        <f>LPRP!J273</f>
        <v/>
      </c>
      <c r="C432" s="11" t="inlineStr">
        <is>
          <t>7,2</t>
        </is>
      </c>
      <c r="D432" s="10" t="n"/>
    </row>
    <row r="433" customFormat="1" s="3">
      <c r="A433" s="9" t="inlineStr">
        <is>
          <t>Q27R5C7</t>
        </is>
      </c>
      <c r="B433" s="9">
        <f>LPRP!K273</f>
        <v/>
      </c>
      <c r="C433" s="11" t="inlineStr">
        <is>
          <t>7,2</t>
        </is>
      </c>
      <c r="D433" s="10" t="n"/>
    </row>
    <row r="434" customFormat="1" s="3">
      <c r="A434" s="9" t="inlineStr">
        <is>
          <t>Q27R5C8</t>
        </is>
      </c>
      <c r="B434" s="9">
        <f>LPRP!L273</f>
        <v/>
      </c>
      <c r="C434" s="11" t="inlineStr">
        <is>
          <t>7,2</t>
        </is>
      </c>
      <c r="D434" s="10" t="n"/>
    </row>
    <row r="435" customFormat="1" s="3">
      <c r="A435" s="9" t="inlineStr">
        <is>
          <t>Q27R6C1</t>
        </is>
      </c>
      <c r="B435" s="9">
        <f>LPRP!E274</f>
        <v/>
      </c>
      <c r="C435" s="11" t="inlineStr">
        <is>
          <t>7,2</t>
        </is>
      </c>
      <c r="D435" s="10" t="n"/>
    </row>
    <row r="436" customFormat="1" s="3">
      <c r="A436" s="9" t="inlineStr">
        <is>
          <t>Q27R6C2</t>
        </is>
      </c>
      <c r="B436" s="9">
        <f>LPRP!F274</f>
        <v/>
      </c>
      <c r="C436" s="11" t="inlineStr">
        <is>
          <t>7,2</t>
        </is>
      </c>
      <c r="D436" s="10" t="n"/>
    </row>
    <row r="437" customFormat="1" s="3">
      <c r="A437" s="9" t="inlineStr">
        <is>
          <t>Q27R6C3</t>
        </is>
      </c>
      <c r="B437" s="9">
        <f>LPRP!G274</f>
        <v/>
      </c>
      <c r="C437" s="11" t="inlineStr">
        <is>
          <t>7,2</t>
        </is>
      </c>
      <c r="D437" s="10" t="n"/>
    </row>
    <row r="438" customFormat="1" s="3">
      <c r="A438" s="9" t="inlineStr">
        <is>
          <t>Q27R6C4</t>
        </is>
      </c>
      <c r="B438" s="9">
        <f>LPRP!H274</f>
        <v/>
      </c>
      <c r="C438" s="11" t="inlineStr">
        <is>
          <t>7,2</t>
        </is>
      </c>
      <c r="D438" s="10" t="n"/>
    </row>
    <row r="439" customFormat="1" s="3">
      <c r="A439" s="9" t="inlineStr">
        <is>
          <t>Q27R6C5</t>
        </is>
      </c>
      <c r="B439" s="9">
        <f>LPRP!I274</f>
        <v/>
      </c>
      <c r="C439" s="11" t="inlineStr">
        <is>
          <t>7,2</t>
        </is>
      </c>
      <c r="D439" s="10" t="n"/>
    </row>
    <row r="440" customFormat="1" s="3">
      <c r="A440" s="9" t="inlineStr">
        <is>
          <t>Q27R6C6</t>
        </is>
      </c>
      <c r="B440" s="9">
        <f>LPRP!J274</f>
        <v/>
      </c>
      <c r="C440" s="11" t="inlineStr">
        <is>
          <t>7,2</t>
        </is>
      </c>
      <c r="D440" s="10" t="n"/>
    </row>
    <row r="441" customFormat="1" s="3">
      <c r="A441" s="9" t="inlineStr">
        <is>
          <t>Q27R6C7</t>
        </is>
      </c>
      <c r="B441" s="9">
        <f>LPRP!K274</f>
        <v/>
      </c>
      <c r="C441" s="11" t="inlineStr">
        <is>
          <t>7,2</t>
        </is>
      </c>
      <c r="D441" s="10" t="n"/>
    </row>
    <row r="442" customFormat="1" s="3">
      <c r="A442" s="9" t="inlineStr">
        <is>
          <t>Q27R6C8</t>
        </is>
      </c>
      <c r="B442" s="9">
        <f>LPRP!L274</f>
        <v/>
      </c>
      <c r="C442" s="11" t="inlineStr">
        <is>
          <t>7,2</t>
        </is>
      </c>
      <c r="D442" s="10" t="n"/>
    </row>
    <row r="443" customFormat="1" s="3">
      <c r="A443" s="9" t="inlineStr">
        <is>
          <t>Q27R7C1</t>
        </is>
      </c>
      <c r="B443" s="9">
        <f>LPRP!E275</f>
        <v/>
      </c>
      <c r="C443" s="11" t="inlineStr">
        <is>
          <t>7,2</t>
        </is>
      </c>
      <c r="D443" s="10" t="n"/>
    </row>
    <row r="444" customFormat="1" s="3">
      <c r="A444" s="9" t="inlineStr">
        <is>
          <t>Q27R7C2</t>
        </is>
      </c>
      <c r="B444" s="9">
        <f>LPRP!F275</f>
        <v/>
      </c>
      <c r="C444" s="11" t="inlineStr">
        <is>
          <t>7,2</t>
        </is>
      </c>
      <c r="D444" s="10" t="n"/>
    </row>
    <row r="445" customFormat="1" s="3">
      <c r="A445" s="9" t="inlineStr">
        <is>
          <t>Q27R7C3</t>
        </is>
      </c>
      <c r="B445" s="9">
        <f>LPRP!G275</f>
        <v/>
      </c>
      <c r="C445" s="11" t="inlineStr">
        <is>
          <t>7,2</t>
        </is>
      </c>
      <c r="D445" s="10" t="n"/>
    </row>
    <row r="446" customFormat="1" s="3">
      <c r="A446" s="9" t="inlineStr">
        <is>
          <t>Q27R7C4</t>
        </is>
      </c>
      <c r="B446" s="9">
        <f>LPRP!H275</f>
        <v/>
      </c>
      <c r="C446" s="11" t="inlineStr">
        <is>
          <t>7,2</t>
        </is>
      </c>
      <c r="D446" s="10" t="n"/>
    </row>
    <row r="447" customFormat="1" s="3">
      <c r="A447" s="9" t="inlineStr">
        <is>
          <t>Q27R7C5</t>
        </is>
      </c>
      <c r="B447" s="9">
        <f>LPRP!I275</f>
        <v/>
      </c>
      <c r="C447" s="11" t="inlineStr">
        <is>
          <t>7,2</t>
        </is>
      </c>
      <c r="D447" s="10" t="n"/>
    </row>
    <row r="448" customFormat="1" s="3">
      <c r="A448" s="9" t="inlineStr">
        <is>
          <t>Q27R7C6</t>
        </is>
      </c>
      <c r="B448" s="9">
        <f>LPRP!J275</f>
        <v/>
      </c>
      <c r="C448" s="11" t="inlineStr">
        <is>
          <t>7,2</t>
        </is>
      </c>
      <c r="D448" s="10" t="n"/>
    </row>
    <row r="449" customFormat="1" s="3">
      <c r="A449" s="9" t="inlineStr">
        <is>
          <t>Q27R7C7</t>
        </is>
      </c>
      <c r="B449" s="9">
        <f>LPRP!K275</f>
        <v/>
      </c>
      <c r="C449" s="11" t="inlineStr">
        <is>
          <t>7,2</t>
        </is>
      </c>
      <c r="D449" s="10" t="n"/>
    </row>
    <row r="450" customFormat="1" s="3">
      <c r="A450" s="9" t="inlineStr">
        <is>
          <t>Q27R7C8</t>
        </is>
      </c>
      <c r="B450" s="9">
        <f>LPRP!L275</f>
        <v/>
      </c>
      <c r="C450" s="11" t="inlineStr">
        <is>
          <t>7,2</t>
        </is>
      </c>
      <c r="D450" s="10" t="n"/>
    </row>
    <row r="451" customFormat="1" s="3">
      <c r="A451" s="9" t="inlineStr">
        <is>
          <t>Q28R1C1</t>
        </is>
      </c>
      <c r="B451" s="9">
        <f>LPRP!E281</f>
        <v/>
      </c>
      <c r="C451" s="11" t="inlineStr">
        <is>
          <t>7,3</t>
        </is>
      </c>
      <c r="D451" s="10" t="n"/>
    </row>
    <row r="452" customFormat="1" s="3">
      <c r="A452" s="9" t="inlineStr">
        <is>
          <t>Q28R1C2</t>
        </is>
      </c>
      <c r="B452" s="9">
        <f>LPRP!F281</f>
        <v/>
      </c>
      <c r="C452" s="11" t="inlineStr">
        <is>
          <t>7,3</t>
        </is>
      </c>
      <c r="D452" s="10" t="n"/>
    </row>
    <row r="453" customFormat="1" s="3">
      <c r="A453" s="9" t="inlineStr">
        <is>
          <t>Q28R1C3</t>
        </is>
      </c>
      <c r="B453" s="9">
        <f>LPRP!G281</f>
        <v/>
      </c>
      <c r="C453" s="11" t="inlineStr">
        <is>
          <t>7,3</t>
        </is>
      </c>
      <c r="D453" s="10" t="n"/>
    </row>
    <row r="454" customFormat="1" s="3">
      <c r="A454" s="9" t="inlineStr">
        <is>
          <t>Q28R1C4</t>
        </is>
      </c>
      <c r="B454" s="9">
        <f>LPRP!H281</f>
        <v/>
      </c>
      <c r="C454" s="11" t="inlineStr">
        <is>
          <t>7,3</t>
        </is>
      </c>
      <c r="D454" s="10" t="n"/>
    </row>
    <row r="455" customFormat="1" s="3">
      <c r="A455" s="9" t="inlineStr">
        <is>
          <t>Q28R1C5</t>
        </is>
      </c>
      <c r="B455" s="9">
        <f>LPRP!I281</f>
        <v/>
      </c>
      <c r="C455" s="11" t="inlineStr">
        <is>
          <t>7,3</t>
        </is>
      </c>
      <c r="D455" s="10" t="n"/>
    </row>
    <row r="456" customFormat="1" s="3">
      <c r="A456" s="9" t="inlineStr">
        <is>
          <t>Q28R1C6</t>
        </is>
      </c>
      <c r="B456" s="9">
        <f>LPRP!J281</f>
        <v/>
      </c>
      <c r="C456" s="11" t="inlineStr">
        <is>
          <t>7,3</t>
        </is>
      </c>
      <c r="D456" s="10" t="n"/>
    </row>
    <row r="457" customFormat="1" s="3">
      <c r="A457" s="9" t="inlineStr">
        <is>
          <t>Q28R1C7</t>
        </is>
      </c>
      <c r="B457" s="9">
        <f>LPRP!K281</f>
        <v/>
      </c>
      <c r="C457" s="11" t="inlineStr">
        <is>
          <t>7,3</t>
        </is>
      </c>
      <c r="D457" s="10" t="n"/>
    </row>
    <row r="458" customFormat="1" s="3">
      <c r="A458" s="9" t="inlineStr">
        <is>
          <t>Q28R1C8</t>
        </is>
      </c>
      <c r="B458" s="9">
        <f>LPRP!L281</f>
        <v/>
      </c>
      <c r="C458" s="11" t="inlineStr">
        <is>
          <t>7,3</t>
        </is>
      </c>
      <c r="D458" s="10" t="n"/>
    </row>
    <row r="459" customFormat="1" s="3">
      <c r="A459" s="9" t="inlineStr">
        <is>
          <t>Q28R2C1</t>
        </is>
      </c>
      <c r="B459" s="9">
        <f>LPRP!E282</f>
        <v/>
      </c>
      <c r="C459" s="11" t="inlineStr">
        <is>
          <t>7,3</t>
        </is>
      </c>
      <c r="D459" s="10" t="n"/>
    </row>
    <row r="460" customFormat="1" s="3">
      <c r="A460" s="9" t="inlineStr">
        <is>
          <t>Q28R2C2</t>
        </is>
      </c>
      <c r="B460" s="9">
        <f>LPRP!F282</f>
        <v/>
      </c>
      <c r="C460" s="11" t="inlineStr">
        <is>
          <t>7,3</t>
        </is>
      </c>
      <c r="D460" s="10" t="n"/>
    </row>
    <row r="461" customFormat="1" s="3">
      <c r="A461" s="9" t="inlineStr">
        <is>
          <t>Q28R2C3</t>
        </is>
      </c>
      <c r="B461" s="9">
        <f>LPRP!G282</f>
        <v/>
      </c>
      <c r="C461" s="11" t="inlineStr">
        <is>
          <t>7,3</t>
        </is>
      </c>
      <c r="D461" s="10" t="n"/>
    </row>
    <row r="462" customFormat="1" s="3">
      <c r="A462" s="9" t="inlineStr">
        <is>
          <t>Q28R2C4</t>
        </is>
      </c>
      <c r="B462" s="9">
        <f>LPRP!H282</f>
        <v/>
      </c>
      <c r="C462" s="11" t="inlineStr">
        <is>
          <t>7,3</t>
        </is>
      </c>
      <c r="D462" s="10" t="n"/>
    </row>
    <row r="463" customFormat="1" s="3">
      <c r="A463" s="9" t="inlineStr">
        <is>
          <t>Q28R2C5</t>
        </is>
      </c>
      <c r="B463" s="9">
        <f>LPRP!I282</f>
        <v/>
      </c>
      <c r="C463" s="11" t="inlineStr">
        <is>
          <t>7,3</t>
        </is>
      </c>
      <c r="D463" s="10" t="n"/>
    </row>
    <row r="464" customFormat="1" s="3">
      <c r="A464" s="9" t="inlineStr">
        <is>
          <t>Q28R2C6</t>
        </is>
      </c>
      <c r="B464" s="9">
        <f>LPRP!J282</f>
        <v/>
      </c>
      <c r="C464" s="11" t="inlineStr">
        <is>
          <t>7,3</t>
        </is>
      </c>
      <c r="D464" s="10" t="n"/>
    </row>
    <row r="465" customFormat="1" s="3">
      <c r="A465" s="9" t="inlineStr">
        <is>
          <t>Q28R2C7</t>
        </is>
      </c>
      <c r="B465" s="9">
        <f>LPRP!K282</f>
        <v/>
      </c>
      <c r="C465" s="11" t="inlineStr">
        <is>
          <t>7,3</t>
        </is>
      </c>
      <c r="D465" s="10" t="n"/>
    </row>
    <row r="466" customFormat="1" s="3">
      <c r="A466" s="9" t="inlineStr">
        <is>
          <t>Q28R2C8</t>
        </is>
      </c>
      <c r="B466" s="9">
        <f>LPRP!L282</f>
        <v/>
      </c>
      <c r="C466" s="11" t="inlineStr">
        <is>
          <t>7,3</t>
        </is>
      </c>
      <c r="D466" s="10" t="n"/>
    </row>
    <row r="467" customFormat="1" s="3">
      <c r="A467" s="9" t="inlineStr">
        <is>
          <t>Q28R3C1</t>
        </is>
      </c>
      <c r="B467" s="9">
        <f>LPRP!E283</f>
        <v/>
      </c>
      <c r="C467" s="11" t="inlineStr">
        <is>
          <t>7,3</t>
        </is>
      </c>
      <c r="D467" s="10" t="n"/>
    </row>
    <row r="468" customFormat="1" s="3">
      <c r="A468" s="9" t="inlineStr">
        <is>
          <t>Q28R3C2</t>
        </is>
      </c>
      <c r="B468" s="9">
        <f>LPRP!F283</f>
        <v/>
      </c>
      <c r="C468" s="11" t="inlineStr">
        <is>
          <t>7,3</t>
        </is>
      </c>
      <c r="D468" s="10" t="n"/>
    </row>
    <row r="469" customFormat="1" s="3">
      <c r="A469" s="9" t="inlineStr">
        <is>
          <t>Q28R3C3</t>
        </is>
      </c>
      <c r="B469" s="9">
        <f>LPRP!G283</f>
        <v/>
      </c>
      <c r="C469" s="11" t="inlineStr">
        <is>
          <t>7,3</t>
        </is>
      </c>
      <c r="D469" s="10" t="n"/>
    </row>
    <row r="470" customFormat="1" s="3">
      <c r="A470" s="9" t="inlineStr">
        <is>
          <t>Q28R3C4</t>
        </is>
      </c>
      <c r="B470" s="9">
        <f>LPRP!H283</f>
        <v/>
      </c>
      <c r="C470" s="11" t="inlineStr">
        <is>
          <t>7,3</t>
        </is>
      </c>
      <c r="D470" s="10" t="n"/>
    </row>
    <row r="471" customFormat="1" s="3">
      <c r="A471" s="9" t="inlineStr">
        <is>
          <t>Q28R3C5</t>
        </is>
      </c>
      <c r="B471" s="9">
        <f>LPRP!I283</f>
        <v/>
      </c>
      <c r="C471" s="11" t="inlineStr">
        <is>
          <t>7,3</t>
        </is>
      </c>
      <c r="D471" s="10" t="n"/>
    </row>
    <row r="472" customFormat="1" s="3">
      <c r="A472" s="9" t="inlineStr">
        <is>
          <t>Q28R3C6</t>
        </is>
      </c>
      <c r="B472" s="9">
        <f>LPRP!J283</f>
        <v/>
      </c>
      <c r="C472" s="11" t="inlineStr">
        <is>
          <t>7,3</t>
        </is>
      </c>
      <c r="D472" s="10" t="n"/>
    </row>
    <row r="473" customFormat="1" s="3">
      <c r="A473" s="9" t="inlineStr">
        <is>
          <t>Q28R3C7</t>
        </is>
      </c>
      <c r="B473" s="9">
        <f>LPRP!K283</f>
        <v/>
      </c>
      <c r="C473" s="11" t="inlineStr">
        <is>
          <t>7,3</t>
        </is>
      </c>
      <c r="D473" s="10" t="n"/>
    </row>
    <row r="474" customFormat="1" s="3">
      <c r="A474" s="9" t="inlineStr">
        <is>
          <t>Q28R3C8</t>
        </is>
      </c>
      <c r="B474" s="9">
        <f>LPRP!L283</f>
        <v/>
      </c>
      <c r="C474" s="11" t="inlineStr">
        <is>
          <t>7,3</t>
        </is>
      </c>
      <c r="D474" s="10" t="n"/>
    </row>
    <row r="475" customFormat="1" s="3">
      <c r="A475" s="9" t="inlineStr">
        <is>
          <t>Q28R4C1</t>
        </is>
      </c>
      <c r="B475" s="9">
        <f>LPRP!E284</f>
        <v/>
      </c>
      <c r="C475" s="11" t="inlineStr">
        <is>
          <t>7,3</t>
        </is>
      </c>
      <c r="D475" s="10" t="n"/>
    </row>
    <row r="476" customFormat="1" s="3">
      <c r="A476" s="9" t="inlineStr">
        <is>
          <t>Q28R4C2</t>
        </is>
      </c>
      <c r="B476" s="9">
        <f>LPRP!F284</f>
        <v/>
      </c>
      <c r="C476" s="11" t="inlineStr">
        <is>
          <t>7,3</t>
        </is>
      </c>
      <c r="D476" s="10" t="n"/>
    </row>
    <row r="477" customFormat="1" s="3">
      <c r="A477" s="9" t="inlineStr">
        <is>
          <t>Q28R4C3</t>
        </is>
      </c>
      <c r="B477" s="9">
        <f>LPRP!G284</f>
        <v/>
      </c>
      <c r="C477" s="11" t="inlineStr">
        <is>
          <t>7,3</t>
        </is>
      </c>
      <c r="D477" s="10" t="n"/>
    </row>
    <row r="478" customFormat="1" s="3">
      <c r="A478" s="9" t="inlineStr">
        <is>
          <t>Q28R4C4</t>
        </is>
      </c>
      <c r="B478" s="9">
        <f>LPRP!H284</f>
        <v/>
      </c>
      <c r="C478" s="11" t="inlineStr">
        <is>
          <t>7,3</t>
        </is>
      </c>
      <c r="D478" s="10" t="n"/>
    </row>
    <row r="479" customFormat="1" s="3">
      <c r="A479" s="9" t="inlineStr">
        <is>
          <t>Q28R4C5</t>
        </is>
      </c>
      <c r="B479" s="9">
        <f>LPRP!I284</f>
        <v/>
      </c>
      <c r="C479" s="11" t="inlineStr">
        <is>
          <t>7,3</t>
        </is>
      </c>
      <c r="D479" s="10" t="n"/>
    </row>
    <row r="480" customFormat="1" s="3">
      <c r="A480" s="9" t="inlineStr">
        <is>
          <t>Q28R4C6</t>
        </is>
      </c>
      <c r="B480" s="9">
        <f>LPRP!J284</f>
        <v/>
      </c>
      <c r="C480" s="11" t="inlineStr">
        <is>
          <t>7,3</t>
        </is>
      </c>
      <c r="D480" s="10" t="n"/>
    </row>
    <row r="481" customFormat="1" s="3">
      <c r="A481" s="9" t="inlineStr">
        <is>
          <t>Q28R4C7</t>
        </is>
      </c>
      <c r="B481" s="9">
        <f>LPRP!K284</f>
        <v/>
      </c>
      <c r="C481" s="11" t="inlineStr">
        <is>
          <t>7,3</t>
        </is>
      </c>
      <c r="D481" s="10" t="n"/>
    </row>
    <row r="482" customFormat="1" s="3">
      <c r="A482" s="9" t="inlineStr">
        <is>
          <t>Q28R4C8</t>
        </is>
      </c>
      <c r="B482" s="9">
        <f>LPRP!L284</f>
        <v/>
      </c>
      <c r="C482" s="11" t="inlineStr">
        <is>
          <t>7,3</t>
        </is>
      </c>
      <c r="D482" s="10" t="n"/>
    </row>
    <row r="483" customFormat="1" s="3">
      <c r="A483" s="9" t="inlineStr">
        <is>
          <t>Q28R5C1</t>
        </is>
      </c>
      <c r="B483" s="9">
        <f>LPRP!E285</f>
        <v/>
      </c>
      <c r="C483" s="11" t="inlineStr">
        <is>
          <t>7,3</t>
        </is>
      </c>
      <c r="D483" s="10" t="n"/>
    </row>
    <row r="484" customFormat="1" s="3">
      <c r="A484" s="9" t="inlineStr">
        <is>
          <t>Q28R5C2</t>
        </is>
      </c>
      <c r="B484" s="9">
        <f>LPRP!F285</f>
        <v/>
      </c>
      <c r="C484" s="11" t="inlineStr">
        <is>
          <t>7,3</t>
        </is>
      </c>
      <c r="D484" s="10" t="n"/>
    </row>
    <row r="485" customFormat="1" s="3">
      <c r="A485" s="9" t="inlineStr">
        <is>
          <t>Q28R5C3</t>
        </is>
      </c>
      <c r="B485" s="9">
        <f>LPRP!G285</f>
        <v/>
      </c>
      <c r="C485" s="11" t="inlineStr">
        <is>
          <t>7,3</t>
        </is>
      </c>
      <c r="D485" s="10" t="n"/>
    </row>
    <row r="486" customFormat="1" s="3">
      <c r="A486" s="9" t="inlineStr">
        <is>
          <t>Q28R5C4</t>
        </is>
      </c>
      <c r="B486" s="9">
        <f>LPRP!H285</f>
        <v/>
      </c>
      <c r="C486" s="11" t="inlineStr">
        <is>
          <t>7,3</t>
        </is>
      </c>
      <c r="D486" s="10" t="n"/>
    </row>
    <row r="487" customFormat="1" s="3">
      <c r="A487" s="9" t="inlineStr">
        <is>
          <t>Q28R5C5</t>
        </is>
      </c>
      <c r="B487" s="9">
        <f>LPRP!I285</f>
        <v/>
      </c>
      <c r="C487" s="11" t="inlineStr">
        <is>
          <t>7,3</t>
        </is>
      </c>
      <c r="D487" s="10" t="n"/>
    </row>
    <row r="488" customFormat="1" s="3">
      <c r="A488" s="9" t="inlineStr">
        <is>
          <t>Q28R5C6</t>
        </is>
      </c>
      <c r="B488" s="9">
        <f>LPRP!J285</f>
        <v/>
      </c>
      <c r="C488" s="11" t="inlineStr">
        <is>
          <t>7,3</t>
        </is>
      </c>
      <c r="D488" s="10" t="n"/>
    </row>
    <row r="489" customFormat="1" s="3">
      <c r="A489" s="9" t="inlineStr">
        <is>
          <t>Q28R5C7</t>
        </is>
      </c>
      <c r="B489" s="9">
        <f>LPRP!K285</f>
        <v/>
      </c>
      <c r="C489" s="11" t="inlineStr">
        <is>
          <t>7,3</t>
        </is>
      </c>
      <c r="D489" s="10" t="n"/>
    </row>
    <row r="490" customFormat="1" s="3">
      <c r="A490" s="9" t="inlineStr">
        <is>
          <t>Q28R5C8</t>
        </is>
      </c>
      <c r="B490" s="9">
        <f>LPRP!L285</f>
        <v/>
      </c>
      <c r="C490" s="11" t="inlineStr">
        <is>
          <t>7,3</t>
        </is>
      </c>
      <c r="D490" s="10" t="n"/>
    </row>
    <row r="491" customFormat="1" s="3">
      <c r="A491" s="9" t="inlineStr">
        <is>
          <t>Q28R6C1</t>
        </is>
      </c>
      <c r="B491" s="9">
        <f>LPRP!E286</f>
        <v/>
      </c>
      <c r="C491" s="11" t="inlineStr">
        <is>
          <t>7,3</t>
        </is>
      </c>
      <c r="D491" s="10" t="n"/>
    </row>
    <row r="492" customFormat="1" s="3">
      <c r="A492" s="9" t="inlineStr">
        <is>
          <t>Q28R6C2</t>
        </is>
      </c>
      <c r="B492" s="9">
        <f>LPRP!F286</f>
        <v/>
      </c>
      <c r="C492" s="11" t="inlineStr">
        <is>
          <t>7,3</t>
        </is>
      </c>
      <c r="D492" s="10" t="n"/>
    </row>
    <row r="493" customFormat="1" s="3">
      <c r="A493" s="9" t="inlineStr">
        <is>
          <t>Q28R6C3</t>
        </is>
      </c>
      <c r="B493" s="9">
        <f>LPRP!G286</f>
        <v/>
      </c>
      <c r="C493" s="11" t="inlineStr">
        <is>
          <t>7,3</t>
        </is>
      </c>
      <c r="D493" s="10" t="n"/>
    </row>
    <row r="494" customFormat="1" s="3">
      <c r="A494" s="9" t="inlineStr">
        <is>
          <t>Q28R6C4</t>
        </is>
      </c>
      <c r="B494" s="9">
        <f>LPRP!H286</f>
        <v/>
      </c>
      <c r="C494" s="11" t="inlineStr">
        <is>
          <t>7,3</t>
        </is>
      </c>
      <c r="D494" s="10" t="n"/>
    </row>
    <row r="495" customFormat="1" s="3">
      <c r="A495" s="9" t="inlineStr">
        <is>
          <t>Q28R6C5</t>
        </is>
      </c>
      <c r="B495" s="9">
        <f>LPRP!I286</f>
        <v/>
      </c>
      <c r="C495" s="11" t="inlineStr">
        <is>
          <t>7,3</t>
        </is>
      </c>
      <c r="D495" s="10" t="n"/>
    </row>
    <row r="496" customFormat="1" s="3">
      <c r="A496" s="9" t="inlineStr">
        <is>
          <t>Q28R6C6</t>
        </is>
      </c>
      <c r="B496" s="9">
        <f>LPRP!J286</f>
        <v/>
      </c>
      <c r="C496" s="11" t="inlineStr">
        <is>
          <t>7,3</t>
        </is>
      </c>
      <c r="D496" s="10" t="n"/>
    </row>
    <row r="497" customFormat="1" s="3">
      <c r="A497" s="9" t="inlineStr">
        <is>
          <t>Q28R6C7</t>
        </is>
      </c>
      <c r="B497" s="9">
        <f>LPRP!K286</f>
        <v/>
      </c>
      <c r="C497" s="11" t="inlineStr">
        <is>
          <t>7,3</t>
        </is>
      </c>
      <c r="D497" s="10" t="n"/>
    </row>
    <row r="498" customFormat="1" s="3">
      <c r="A498" s="9" t="inlineStr">
        <is>
          <t>Q28R6C8</t>
        </is>
      </c>
      <c r="B498" s="9">
        <f>LPRP!L286</f>
        <v/>
      </c>
      <c r="C498" s="11" t="inlineStr">
        <is>
          <t>7,3</t>
        </is>
      </c>
      <c r="D498" s="10" t="n"/>
    </row>
    <row r="499" customFormat="1" s="3">
      <c r="A499" s="9" t="inlineStr">
        <is>
          <t>Q28R7C1</t>
        </is>
      </c>
      <c r="B499" s="9">
        <f>LPRP!E287</f>
        <v/>
      </c>
      <c r="C499" s="11" t="inlineStr">
        <is>
          <t>7,3</t>
        </is>
      </c>
      <c r="D499" s="10" t="n"/>
    </row>
    <row r="500" customFormat="1" s="3">
      <c r="A500" s="9" t="inlineStr">
        <is>
          <t>Q28R7C2</t>
        </is>
      </c>
      <c r="B500" s="9">
        <f>LPRP!F287</f>
        <v/>
      </c>
      <c r="C500" s="11" t="inlineStr">
        <is>
          <t>7,3</t>
        </is>
      </c>
      <c r="D500" s="10" t="n"/>
    </row>
    <row r="501" customFormat="1" s="3">
      <c r="A501" s="9" t="inlineStr">
        <is>
          <t>Q28R7C3</t>
        </is>
      </c>
      <c r="B501" s="9">
        <f>LPRP!G287</f>
        <v/>
      </c>
      <c r="C501" s="11" t="inlineStr">
        <is>
          <t>7,3</t>
        </is>
      </c>
      <c r="D501" s="10" t="n"/>
    </row>
    <row r="502" customFormat="1" s="3">
      <c r="A502" s="9" t="inlineStr">
        <is>
          <t>Q28R7C4</t>
        </is>
      </c>
      <c r="B502" s="9">
        <f>LPRP!H287</f>
        <v/>
      </c>
      <c r="C502" s="11" t="inlineStr">
        <is>
          <t>7,3</t>
        </is>
      </c>
      <c r="D502" s="10" t="n"/>
    </row>
    <row r="503" customFormat="1" s="3">
      <c r="A503" s="9" t="inlineStr">
        <is>
          <t>Q28R7C5</t>
        </is>
      </c>
      <c r="B503" s="9">
        <f>LPRP!I287</f>
        <v/>
      </c>
      <c r="C503" s="11" t="inlineStr">
        <is>
          <t>7,3</t>
        </is>
      </c>
      <c r="D503" s="10" t="n"/>
    </row>
    <row r="504" customFormat="1" s="3">
      <c r="A504" s="9" t="inlineStr">
        <is>
          <t>Q28R7C6</t>
        </is>
      </c>
      <c r="B504" s="9">
        <f>LPRP!J287</f>
        <v/>
      </c>
      <c r="C504" s="11" t="inlineStr">
        <is>
          <t>7,3</t>
        </is>
      </c>
      <c r="D504" s="10" t="n"/>
    </row>
    <row r="505" customFormat="1" s="3">
      <c r="A505" s="9" t="inlineStr">
        <is>
          <t>Q28R7C7</t>
        </is>
      </c>
      <c r="B505" s="9">
        <f>LPRP!K287</f>
        <v/>
      </c>
      <c r="C505" s="11" t="inlineStr">
        <is>
          <t>7,3</t>
        </is>
      </c>
      <c r="D505" s="10" t="n"/>
    </row>
    <row r="506" customFormat="1" s="3">
      <c r="A506" s="9" t="inlineStr">
        <is>
          <t>Q28R7C8</t>
        </is>
      </c>
      <c r="B506" s="9">
        <f>LPRP!L287</f>
        <v/>
      </c>
      <c r="C506" s="11" t="inlineStr">
        <is>
          <t>7,3</t>
        </is>
      </c>
      <c r="D506" s="10" t="n"/>
    </row>
    <row r="507" customFormat="1" s="3">
      <c r="A507" s="9" t="inlineStr">
        <is>
          <t>Q29R1C1</t>
        </is>
      </c>
      <c r="B507" s="9">
        <f>LPRP!C295</f>
        <v/>
      </c>
      <c r="C507" s="11" t="inlineStr">
        <is>
          <t>8,1</t>
        </is>
      </c>
      <c r="D507" s="10" t="n"/>
    </row>
    <row r="508" customFormat="1" s="3">
      <c r="A508" s="9" t="inlineStr">
        <is>
          <t>Q29R1C2</t>
        </is>
      </c>
      <c r="B508" s="9">
        <f>LPRP!D295</f>
        <v/>
      </c>
      <c r="C508" s="11" t="inlineStr">
        <is>
          <t>8,1</t>
        </is>
      </c>
      <c r="D508" s="10" t="n"/>
    </row>
    <row r="509" customFormat="1" s="3">
      <c r="A509" s="9" t="inlineStr">
        <is>
          <t>Q29R1C3</t>
        </is>
      </c>
      <c r="B509" s="9">
        <f>LPRP!E295</f>
        <v/>
      </c>
      <c r="C509" s="11" t="inlineStr">
        <is>
          <t>8,1</t>
        </is>
      </c>
      <c r="D509" s="10" t="n"/>
    </row>
    <row r="510" customFormat="1" s="3">
      <c r="A510" s="9" t="inlineStr">
        <is>
          <t>Q29R1C4</t>
        </is>
      </c>
      <c r="B510" s="9">
        <f>LPRP!F295</f>
        <v/>
      </c>
      <c r="C510" s="11" t="inlineStr">
        <is>
          <t>8,1</t>
        </is>
      </c>
      <c r="D510" s="10" t="n"/>
    </row>
    <row r="511" customFormat="1" s="3">
      <c r="A511" s="9" t="inlineStr">
        <is>
          <t>Q29R1C5</t>
        </is>
      </c>
      <c r="B511" s="9">
        <f>LPRP!G295</f>
        <v/>
      </c>
      <c r="C511" s="11" t="inlineStr">
        <is>
          <t>8,1</t>
        </is>
      </c>
      <c r="D511" s="10" t="n"/>
    </row>
    <row r="512" customFormat="1" s="3">
      <c r="A512" s="9" t="inlineStr">
        <is>
          <t>Q29R1C6</t>
        </is>
      </c>
      <c r="B512" s="9">
        <f>LPRP!H295</f>
        <v/>
      </c>
      <c r="C512" s="11" t="inlineStr">
        <is>
          <t>8,1</t>
        </is>
      </c>
      <c r="D512" s="10" t="n"/>
    </row>
    <row r="513" customFormat="1" s="3">
      <c r="A513" s="9" t="inlineStr">
        <is>
          <t>Q29R1C7</t>
        </is>
      </c>
      <c r="B513" s="9">
        <f>LPRP!I295</f>
        <v/>
      </c>
      <c r="C513" s="11" t="inlineStr">
        <is>
          <t>8,1</t>
        </is>
      </c>
      <c r="D513" s="10" t="n"/>
    </row>
    <row r="514" customFormat="1" s="3">
      <c r="A514" s="9" t="inlineStr">
        <is>
          <t>Q29R1C8</t>
        </is>
      </c>
      <c r="B514" s="9">
        <f>LPRP!J295</f>
        <v/>
      </c>
      <c r="C514" s="11" t="inlineStr">
        <is>
          <t>8,1</t>
        </is>
      </c>
      <c r="D514" s="10" t="n"/>
    </row>
    <row r="515" customFormat="1" s="3">
      <c r="A515" s="9" t="inlineStr">
        <is>
          <t>Q29R1C9</t>
        </is>
      </c>
      <c r="B515" s="9">
        <f>LPRP!K295</f>
        <v/>
      </c>
      <c r="C515" s="11" t="inlineStr">
        <is>
          <t>8,1</t>
        </is>
      </c>
      <c r="D515" s="10" t="n"/>
    </row>
    <row r="516" customFormat="1" s="3">
      <c r="A516" s="9" t="inlineStr">
        <is>
          <t>Q29R1C10</t>
        </is>
      </c>
      <c r="B516" s="9">
        <f>LPRP!L295</f>
        <v/>
      </c>
      <c r="C516" s="11" t="inlineStr">
        <is>
          <t>8,1</t>
        </is>
      </c>
      <c r="D516" s="10" t="n"/>
    </row>
    <row r="517" customFormat="1" s="3">
      <c r="A517" s="9" t="inlineStr">
        <is>
          <t>Q29R2C1</t>
        </is>
      </c>
      <c r="B517" s="9">
        <f>LPRP!C296</f>
        <v/>
      </c>
      <c r="C517" s="11" t="inlineStr">
        <is>
          <t>8,1</t>
        </is>
      </c>
      <c r="D517" s="10" t="n"/>
    </row>
    <row r="518" customFormat="1" s="3">
      <c r="A518" s="9" t="inlineStr">
        <is>
          <t>Q29R2C2</t>
        </is>
      </c>
      <c r="B518" s="9">
        <f>LPRP!D296</f>
        <v/>
      </c>
      <c r="C518" s="11" t="inlineStr">
        <is>
          <t>8,1</t>
        </is>
      </c>
      <c r="D518" s="10" t="n"/>
    </row>
    <row r="519" customFormat="1" s="3">
      <c r="A519" s="9" t="inlineStr">
        <is>
          <t>Q29R2C3</t>
        </is>
      </c>
      <c r="B519" s="9">
        <f>LPRP!E296</f>
        <v/>
      </c>
      <c r="C519" s="11" t="inlineStr">
        <is>
          <t>8,1</t>
        </is>
      </c>
      <c r="D519" s="10" t="n"/>
    </row>
    <row r="520">
      <c r="A520" s="9" t="inlineStr">
        <is>
          <t>Q29R2C4</t>
        </is>
      </c>
      <c r="B520" s="9">
        <f>LPRP!F296</f>
        <v/>
      </c>
      <c r="C520" s="11" t="inlineStr">
        <is>
          <t>8,1</t>
        </is>
      </c>
      <c r="D520" s="10" t="n"/>
    </row>
    <row r="521">
      <c r="A521" s="9" t="inlineStr">
        <is>
          <t>Q29R2C5</t>
        </is>
      </c>
      <c r="B521" s="9">
        <f>LPRP!G296</f>
        <v/>
      </c>
      <c r="C521" s="11" t="inlineStr">
        <is>
          <t>8,1</t>
        </is>
      </c>
      <c r="D521" s="10" t="n"/>
    </row>
    <row r="522">
      <c r="A522" s="9" t="inlineStr">
        <is>
          <t>Q29R2C6</t>
        </is>
      </c>
      <c r="B522" s="9">
        <f>LPRP!H296</f>
        <v/>
      </c>
      <c r="C522" s="11" t="inlineStr">
        <is>
          <t>8,1</t>
        </is>
      </c>
      <c r="D522" s="10" t="n"/>
    </row>
    <row r="523">
      <c r="A523" s="9" t="inlineStr">
        <is>
          <t>Q29R2C7</t>
        </is>
      </c>
      <c r="B523" s="9">
        <f>LPRP!I296</f>
        <v/>
      </c>
      <c r="C523" s="11" t="inlineStr">
        <is>
          <t>8,1</t>
        </is>
      </c>
      <c r="D523" s="10" t="n"/>
    </row>
    <row r="524" customFormat="1" s="3">
      <c r="A524" s="9" t="inlineStr">
        <is>
          <t>Q29R2C8</t>
        </is>
      </c>
      <c r="B524" s="9">
        <f>LPRP!J296</f>
        <v/>
      </c>
      <c r="C524" s="11" t="inlineStr">
        <is>
          <t>8,1</t>
        </is>
      </c>
      <c r="D524" s="10" t="n"/>
    </row>
    <row r="525">
      <c r="A525" s="9" t="inlineStr">
        <is>
          <t>Q29R2C9</t>
        </is>
      </c>
      <c r="B525" s="9">
        <f>LPRP!K296</f>
        <v/>
      </c>
      <c r="C525" s="11" t="inlineStr">
        <is>
          <t>8,1</t>
        </is>
      </c>
      <c r="D525" s="10" t="n"/>
    </row>
    <row r="526">
      <c r="A526" s="9" t="inlineStr">
        <is>
          <t>Q29R2C10</t>
        </is>
      </c>
      <c r="B526" s="9">
        <f>LPRP!L296</f>
        <v/>
      </c>
      <c r="C526" s="11" t="inlineStr">
        <is>
          <t>8,1</t>
        </is>
      </c>
      <c r="D526" s="10" t="n"/>
    </row>
    <row r="527">
      <c r="A527" s="9" t="inlineStr">
        <is>
          <t>Q29R3C1</t>
        </is>
      </c>
      <c r="B527" s="9">
        <f>LPRP!C297</f>
        <v/>
      </c>
      <c r="C527" s="11" t="inlineStr">
        <is>
          <t>8,1</t>
        </is>
      </c>
      <c r="D527" s="10" t="n"/>
    </row>
    <row r="528">
      <c r="A528" s="9" t="inlineStr">
        <is>
          <t>Q29R3C2</t>
        </is>
      </c>
      <c r="B528" s="9">
        <f>LPRP!D297</f>
        <v/>
      </c>
      <c r="C528" s="11" t="inlineStr">
        <is>
          <t>8,1</t>
        </is>
      </c>
      <c r="D528" s="10" t="n"/>
    </row>
    <row r="529" customFormat="1" s="3">
      <c r="A529" s="9" t="inlineStr">
        <is>
          <t>Q29R3C3</t>
        </is>
      </c>
      <c r="B529" s="9">
        <f>LPRP!E297</f>
        <v/>
      </c>
      <c r="C529" s="11" t="inlineStr">
        <is>
          <t>8,1</t>
        </is>
      </c>
      <c r="D529" s="10" t="n"/>
    </row>
    <row r="530" customFormat="1" s="3">
      <c r="A530" s="9" t="inlineStr">
        <is>
          <t>Q29R3C4</t>
        </is>
      </c>
      <c r="B530" s="9">
        <f>LPRP!F297</f>
        <v/>
      </c>
      <c r="C530" s="11" t="inlineStr">
        <is>
          <t>8,1</t>
        </is>
      </c>
      <c r="D530" s="10" t="n"/>
    </row>
    <row r="531" customFormat="1" s="3">
      <c r="A531" s="9" t="inlineStr">
        <is>
          <t>Q29R3C5</t>
        </is>
      </c>
      <c r="B531" s="9">
        <f>LPRP!G297</f>
        <v/>
      </c>
      <c r="C531" s="11" t="inlineStr">
        <is>
          <t>8,1</t>
        </is>
      </c>
      <c r="D531" s="10" t="n"/>
    </row>
    <row r="532" customFormat="1" s="3">
      <c r="A532" s="9" t="inlineStr">
        <is>
          <t>Q29R3C6</t>
        </is>
      </c>
      <c r="B532" s="9">
        <f>LPRP!H297</f>
        <v/>
      </c>
      <c r="C532" s="11" t="inlineStr">
        <is>
          <t>8,1</t>
        </is>
      </c>
      <c r="D532" s="10" t="n"/>
    </row>
    <row r="533" customFormat="1" s="3">
      <c r="A533" s="9" t="inlineStr">
        <is>
          <t>Q29R3C7</t>
        </is>
      </c>
      <c r="B533" s="9">
        <f>LPRP!I297</f>
        <v/>
      </c>
      <c r="C533" s="11" t="inlineStr">
        <is>
          <t>8,1</t>
        </is>
      </c>
      <c r="D533" s="10" t="n"/>
    </row>
    <row r="534" customFormat="1" s="3">
      <c r="A534" s="9" t="inlineStr">
        <is>
          <t>Q29R3C8</t>
        </is>
      </c>
      <c r="B534" s="9">
        <f>LPRP!J297</f>
        <v/>
      </c>
      <c r="C534" s="11" t="inlineStr">
        <is>
          <t>8,1</t>
        </is>
      </c>
      <c r="D534" s="10" t="n"/>
    </row>
    <row r="535" customFormat="1" s="3">
      <c r="A535" s="9" t="inlineStr">
        <is>
          <t>Q29R3C9</t>
        </is>
      </c>
      <c r="B535" s="9">
        <f>LPRP!K297</f>
        <v/>
      </c>
      <c r="C535" s="11" t="inlineStr">
        <is>
          <t>8,1</t>
        </is>
      </c>
      <c r="D535" s="10" t="n"/>
    </row>
    <row r="536" customFormat="1" s="3">
      <c r="A536" s="9" t="inlineStr">
        <is>
          <t>Q29R3C10</t>
        </is>
      </c>
      <c r="B536" s="9">
        <f>LPRP!L297</f>
        <v/>
      </c>
      <c r="C536" s="11" t="inlineStr">
        <is>
          <t>8,1</t>
        </is>
      </c>
      <c r="D536" s="10" t="n"/>
    </row>
    <row r="537" customFormat="1" s="3">
      <c r="A537" s="9" t="inlineStr">
        <is>
          <t>Q29R4C1</t>
        </is>
      </c>
      <c r="B537" s="9">
        <f>LPRP!C298</f>
        <v/>
      </c>
      <c r="C537" s="11" t="inlineStr">
        <is>
          <t>8,1</t>
        </is>
      </c>
      <c r="D537" s="10" t="n"/>
    </row>
    <row r="538" customFormat="1" s="3">
      <c r="A538" s="9" t="inlineStr">
        <is>
          <t>Q29R4C2</t>
        </is>
      </c>
      <c r="B538" s="9">
        <f>LPRP!D298</f>
        <v/>
      </c>
      <c r="C538" s="11" t="inlineStr">
        <is>
          <t>8,1</t>
        </is>
      </c>
      <c r="D538" s="10" t="n"/>
    </row>
    <row r="539" customFormat="1" s="3">
      <c r="A539" s="9" t="inlineStr">
        <is>
          <t>Q29R4C3</t>
        </is>
      </c>
      <c r="B539" s="9">
        <f>LPRP!E298</f>
        <v/>
      </c>
      <c r="C539" s="11" t="inlineStr">
        <is>
          <t>8,1</t>
        </is>
      </c>
      <c r="D539" s="10" t="n"/>
    </row>
    <row r="540">
      <c r="A540" s="9" t="inlineStr">
        <is>
          <t>Q29R4C4</t>
        </is>
      </c>
      <c r="B540" s="9">
        <f>LPRP!F298</f>
        <v/>
      </c>
      <c r="C540" s="11" t="inlineStr">
        <is>
          <t>8,1</t>
        </is>
      </c>
      <c r="D540" s="10" t="n"/>
    </row>
    <row r="541">
      <c r="A541" s="9" t="inlineStr">
        <is>
          <t>Q29R4C5</t>
        </is>
      </c>
      <c r="B541" s="9">
        <f>LPRP!G298</f>
        <v/>
      </c>
      <c r="C541" s="11" t="inlineStr">
        <is>
          <t>8,1</t>
        </is>
      </c>
      <c r="D541" s="10" t="n"/>
    </row>
    <row r="542">
      <c r="A542" s="9" t="inlineStr">
        <is>
          <t>Q29R4C6</t>
        </is>
      </c>
      <c r="B542" s="9">
        <f>LPRP!H298</f>
        <v/>
      </c>
      <c r="C542" s="11" t="inlineStr">
        <is>
          <t>8,1</t>
        </is>
      </c>
      <c r="D542" s="10" t="n"/>
    </row>
    <row r="543">
      <c r="A543" s="9" t="inlineStr">
        <is>
          <t>Q29R4C7</t>
        </is>
      </c>
      <c r="B543" s="9">
        <f>LPRP!I298</f>
        <v/>
      </c>
      <c r="C543" s="11" t="inlineStr">
        <is>
          <t>8,1</t>
        </is>
      </c>
      <c r="D543" s="10" t="n"/>
    </row>
    <row r="544">
      <c r="A544" s="9" t="inlineStr">
        <is>
          <t>Q29R4C8</t>
        </is>
      </c>
      <c r="B544" s="9">
        <f>LPRP!J298</f>
        <v/>
      </c>
      <c r="C544" s="11" t="inlineStr">
        <is>
          <t>8,1</t>
        </is>
      </c>
      <c r="D544" s="10" t="n"/>
    </row>
    <row r="545">
      <c r="A545" s="9" t="inlineStr">
        <is>
          <t>Q29R4C9</t>
        </is>
      </c>
      <c r="B545" s="9">
        <f>LPRP!K298</f>
        <v/>
      </c>
      <c r="C545" s="11" t="inlineStr">
        <is>
          <t>8,1</t>
        </is>
      </c>
      <c r="D545" s="10" t="n"/>
    </row>
    <row r="546">
      <c r="A546" s="9" t="inlineStr">
        <is>
          <t>Q29R4C10</t>
        </is>
      </c>
      <c r="B546" s="9">
        <f>LPRP!L298</f>
        <v/>
      </c>
      <c r="C546" s="11" t="inlineStr">
        <is>
          <t>8,1</t>
        </is>
      </c>
      <c r="D546" s="10" t="n"/>
    </row>
    <row r="547">
      <c r="A547" s="9" t="inlineStr">
        <is>
          <t>Q29R5C1</t>
        </is>
      </c>
      <c r="B547" s="9">
        <f>LPRP!C299</f>
        <v/>
      </c>
      <c r="C547" s="11" t="inlineStr">
        <is>
          <t>8,1</t>
        </is>
      </c>
      <c r="D547" s="10" t="n"/>
    </row>
    <row r="548">
      <c r="A548" s="9" t="inlineStr">
        <is>
          <t>Q29R5C2</t>
        </is>
      </c>
      <c r="B548" s="9">
        <f>LPRP!D299</f>
        <v/>
      </c>
      <c r="C548" s="11" t="inlineStr">
        <is>
          <t>8,1</t>
        </is>
      </c>
      <c r="D548" s="10" t="n"/>
    </row>
    <row r="549">
      <c r="A549" s="9" t="inlineStr">
        <is>
          <t>Q29R5C3</t>
        </is>
      </c>
      <c r="B549" s="9">
        <f>LPRP!E299</f>
        <v/>
      </c>
      <c r="C549" s="11" t="inlineStr">
        <is>
          <t>8,1</t>
        </is>
      </c>
      <c r="D549" s="10" t="n"/>
    </row>
    <row r="550">
      <c r="A550" s="9" t="inlineStr">
        <is>
          <t>Q29R5C4</t>
        </is>
      </c>
      <c r="B550" s="9">
        <f>LPRP!F299</f>
        <v/>
      </c>
      <c r="C550" s="11" t="inlineStr">
        <is>
          <t>8,1</t>
        </is>
      </c>
      <c r="D550" s="10" t="n"/>
    </row>
    <row r="551">
      <c r="A551" s="9" t="inlineStr">
        <is>
          <t>Q29R5C5</t>
        </is>
      </c>
      <c r="B551" s="9">
        <f>LPRP!G299</f>
        <v/>
      </c>
      <c r="C551" s="11" t="inlineStr">
        <is>
          <t>8,1</t>
        </is>
      </c>
      <c r="D551" s="10" t="n"/>
    </row>
    <row r="552">
      <c r="A552" s="9" t="inlineStr">
        <is>
          <t>Q29R5C6</t>
        </is>
      </c>
      <c r="B552" s="9">
        <f>LPRP!H299</f>
        <v/>
      </c>
      <c r="C552" s="11" t="inlineStr">
        <is>
          <t>8,1</t>
        </is>
      </c>
      <c r="D552" s="10" t="n"/>
    </row>
    <row r="553">
      <c r="A553" s="9" t="inlineStr">
        <is>
          <t>Q29R5C7</t>
        </is>
      </c>
      <c r="B553" s="9">
        <f>LPRP!I299</f>
        <v/>
      </c>
      <c r="C553" s="11" t="inlineStr">
        <is>
          <t>8,1</t>
        </is>
      </c>
      <c r="D553" s="10" t="n"/>
    </row>
    <row r="554">
      <c r="A554" s="9" t="inlineStr">
        <is>
          <t>Q29R5C8</t>
        </is>
      </c>
      <c r="B554" s="9">
        <f>LPRP!J299</f>
        <v/>
      </c>
      <c r="C554" s="11" t="inlineStr">
        <is>
          <t>8,1</t>
        </is>
      </c>
      <c r="D554" s="10" t="n"/>
    </row>
    <row r="555">
      <c r="A555" s="9" t="inlineStr">
        <is>
          <t>Q29R5C9</t>
        </is>
      </c>
      <c r="B555" s="9">
        <f>LPRP!K299</f>
        <v/>
      </c>
      <c r="C555" s="11" t="inlineStr">
        <is>
          <t>8,1</t>
        </is>
      </c>
      <c r="D555" s="10" t="n"/>
    </row>
    <row r="556">
      <c r="A556" s="9" t="inlineStr">
        <is>
          <t>Q29R5C10</t>
        </is>
      </c>
      <c r="B556" s="9">
        <f>LPRP!L299</f>
        <v/>
      </c>
      <c r="C556" s="11" t="inlineStr">
        <is>
          <t>8,1</t>
        </is>
      </c>
      <c r="D556" s="10" t="n"/>
    </row>
    <row r="557">
      <c r="A557" s="9" t="inlineStr">
        <is>
          <t>Q29R6C1</t>
        </is>
      </c>
      <c r="B557" s="9">
        <f>LPRP!C300</f>
        <v/>
      </c>
      <c r="C557" s="11" t="inlineStr">
        <is>
          <t>8,1</t>
        </is>
      </c>
      <c r="D557" s="10" t="n"/>
    </row>
    <row r="558">
      <c r="A558" s="9" t="inlineStr">
        <is>
          <t>Q29R6C2</t>
        </is>
      </c>
      <c r="B558" s="9">
        <f>LPRP!D300</f>
        <v/>
      </c>
      <c r="C558" s="11" t="inlineStr">
        <is>
          <t>8,1</t>
        </is>
      </c>
      <c r="D558" s="10" t="n"/>
    </row>
    <row r="559">
      <c r="A559" s="9" t="inlineStr">
        <is>
          <t>Q29R6C3</t>
        </is>
      </c>
      <c r="B559" s="9">
        <f>LPRP!E300</f>
        <v/>
      </c>
      <c r="C559" s="11" t="inlineStr">
        <is>
          <t>8,1</t>
        </is>
      </c>
      <c r="D559" s="10" t="n"/>
    </row>
    <row r="560">
      <c r="A560" s="9" t="inlineStr">
        <is>
          <t>Q29R6C4</t>
        </is>
      </c>
      <c r="B560" s="9">
        <f>LPRP!F300</f>
        <v/>
      </c>
      <c r="C560" s="11" t="inlineStr">
        <is>
          <t>8,1</t>
        </is>
      </c>
      <c r="D560" s="10" t="n"/>
    </row>
    <row r="561">
      <c r="A561" s="9" t="inlineStr">
        <is>
          <t>Q29R6C5</t>
        </is>
      </c>
      <c r="B561" s="9">
        <f>LPRP!G300</f>
        <v/>
      </c>
      <c r="C561" s="11" t="inlineStr">
        <is>
          <t>8,1</t>
        </is>
      </c>
      <c r="D561" s="10" t="n"/>
    </row>
    <row r="562">
      <c r="A562" s="9" t="inlineStr">
        <is>
          <t>Q29R6C6</t>
        </is>
      </c>
      <c r="B562" s="9">
        <f>LPRP!H300</f>
        <v/>
      </c>
      <c r="C562" s="11" t="inlineStr">
        <is>
          <t>8,1</t>
        </is>
      </c>
      <c r="D562" s="10" t="n"/>
    </row>
    <row r="563">
      <c r="A563" s="9" t="inlineStr">
        <is>
          <t>Q29R6C7</t>
        </is>
      </c>
      <c r="B563" s="9">
        <f>LPRP!I300</f>
        <v/>
      </c>
      <c r="C563" s="11" t="inlineStr">
        <is>
          <t>8,1</t>
        </is>
      </c>
      <c r="D563" s="10" t="n"/>
    </row>
    <row r="564">
      <c r="A564" s="9" t="inlineStr">
        <is>
          <t>Q29R6C8</t>
        </is>
      </c>
      <c r="B564" s="9">
        <f>LPRP!J300</f>
        <v/>
      </c>
      <c r="C564" s="11" t="inlineStr">
        <is>
          <t>8,1</t>
        </is>
      </c>
      <c r="D564" s="10" t="n"/>
    </row>
    <row r="565">
      <c r="A565" s="9" t="inlineStr">
        <is>
          <t>Q29R6C9</t>
        </is>
      </c>
      <c r="B565" s="9">
        <f>LPRP!K300</f>
        <v/>
      </c>
      <c r="C565" s="11" t="inlineStr">
        <is>
          <t>8,1</t>
        </is>
      </c>
      <c r="D565" s="10" t="n"/>
    </row>
    <row r="566">
      <c r="A566" s="9" t="inlineStr">
        <is>
          <t>Q29R6C10</t>
        </is>
      </c>
      <c r="B566" s="9">
        <f>LPRP!L300</f>
        <v/>
      </c>
      <c r="C566" s="11" t="inlineStr">
        <is>
          <t>8,1</t>
        </is>
      </c>
      <c r="D566" s="10" t="n"/>
    </row>
    <row r="567">
      <c r="A567" s="9" t="inlineStr">
        <is>
          <t>Q29R7C1</t>
        </is>
      </c>
      <c r="B567" s="9">
        <f>LPRP!C301</f>
        <v/>
      </c>
      <c r="C567" s="11" t="inlineStr">
        <is>
          <t>8,1</t>
        </is>
      </c>
      <c r="D567" s="10" t="n"/>
    </row>
    <row r="568">
      <c r="A568" s="9" t="inlineStr">
        <is>
          <t>Q29R7C2</t>
        </is>
      </c>
      <c r="B568" s="9">
        <f>LPRP!D301</f>
        <v/>
      </c>
      <c r="C568" s="11" t="inlineStr">
        <is>
          <t>8,1</t>
        </is>
      </c>
      <c r="D568" s="10" t="n"/>
    </row>
    <row r="569">
      <c r="A569" s="9" t="inlineStr">
        <is>
          <t>Q29R7C3</t>
        </is>
      </c>
      <c r="B569" s="9">
        <f>LPRP!E301</f>
        <v/>
      </c>
      <c r="C569" s="11" t="inlineStr">
        <is>
          <t>8,1</t>
        </is>
      </c>
      <c r="D569" s="10" t="n"/>
    </row>
    <row r="570">
      <c r="A570" s="9" t="inlineStr">
        <is>
          <t>Q29R7C4</t>
        </is>
      </c>
      <c r="B570" s="9">
        <f>LPRP!F301</f>
        <v/>
      </c>
      <c r="C570" s="11" t="inlineStr">
        <is>
          <t>8,1</t>
        </is>
      </c>
      <c r="D570" s="10" t="n"/>
    </row>
    <row r="571">
      <c r="A571" s="9" t="inlineStr">
        <is>
          <t>Q29R7C5</t>
        </is>
      </c>
      <c r="B571" s="9">
        <f>LPRP!G301</f>
        <v/>
      </c>
      <c r="C571" s="11" t="inlineStr">
        <is>
          <t>8,1</t>
        </is>
      </c>
      <c r="D571" s="10" t="n"/>
    </row>
    <row r="572">
      <c r="A572" s="9" t="inlineStr">
        <is>
          <t>Q29R7C6</t>
        </is>
      </c>
      <c r="B572" s="9">
        <f>LPRP!H301</f>
        <v/>
      </c>
      <c r="C572" s="11" t="inlineStr">
        <is>
          <t>8,1</t>
        </is>
      </c>
      <c r="D572" s="10" t="n"/>
    </row>
    <row r="573">
      <c r="A573" s="9" t="inlineStr">
        <is>
          <t>Q29R7C7</t>
        </is>
      </c>
      <c r="B573" s="9">
        <f>LPRP!I301</f>
        <v/>
      </c>
      <c r="C573" s="11" t="inlineStr">
        <is>
          <t>8,1</t>
        </is>
      </c>
      <c r="D573" s="10" t="n"/>
    </row>
    <row r="574">
      <c r="A574" s="9" t="inlineStr">
        <is>
          <t>Q29R7C8</t>
        </is>
      </c>
      <c r="B574" s="9">
        <f>LPRP!J301</f>
        <v/>
      </c>
      <c r="C574" s="11" t="inlineStr">
        <is>
          <t>8,1</t>
        </is>
      </c>
      <c r="D574" s="10" t="n"/>
    </row>
    <row r="575">
      <c r="A575" s="9" t="inlineStr">
        <is>
          <t>Q29R7C9</t>
        </is>
      </c>
      <c r="B575" s="9">
        <f>LPRP!K301</f>
        <v/>
      </c>
      <c r="C575" s="11" t="inlineStr">
        <is>
          <t>8,1</t>
        </is>
      </c>
      <c r="D575" s="10" t="n"/>
    </row>
    <row r="576">
      <c r="A576" s="9" t="inlineStr">
        <is>
          <t>Q29R7C10</t>
        </is>
      </c>
      <c r="B576" s="9">
        <f>LPRP!L301</f>
        <v/>
      </c>
      <c r="C576" s="11" t="inlineStr">
        <is>
          <t>8,1</t>
        </is>
      </c>
      <c r="D576" s="10" t="n"/>
    </row>
    <row r="577">
      <c r="A577" s="9" t="inlineStr">
        <is>
          <t>Q30R1C1</t>
        </is>
      </c>
      <c r="B577" s="9">
        <f>LPRP!C308</f>
        <v/>
      </c>
      <c r="C577" s="11" t="inlineStr">
        <is>
          <t>8,2</t>
        </is>
      </c>
      <c r="D577" s="10" t="n"/>
    </row>
    <row r="578">
      <c r="A578" s="9" t="inlineStr">
        <is>
          <t>Q30R1C2</t>
        </is>
      </c>
      <c r="B578" s="9">
        <f>LPRP!D308</f>
        <v/>
      </c>
      <c r="C578" s="11" t="inlineStr">
        <is>
          <t>8,2</t>
        </is>
      </c>
      <c r="D578" s="10" t="n"/>
    </row>
    <row r="579">
      <c r="A579" s="9" t="inlineStr">
        <is>
          <t>Q30R1C3</t>
        </is>
      </c>
      <c r="B579" s="9">
        <f>LPRP!E308</f>
        <v/>
      </c>
      <c r="C579" s="11" t="inlineStr">
        <is>
          <t>8,2</t>
        </is>
      </c>
      <c r="D579" s="10" t="n"/>
    </row>
    <row r="580">
      <c r="A580" s="9" t="inlineStr">
        <is>
          <t>Q30R1C4</t>
        </is>
      </c>
      <c r="B580" s="9">
        <f>LPRP!F308</f>
        <v/>
      </c>
      <c r="C580" s="11" t="inlineStr">
        <is>
          <t>8,2</t>
        </is>
      </c>
      <c r="D580" s="10" t="n"/>
    </row>
    <row r="581">
      <c r="A581" s="9" t="inlineStr">
        <is>
          <t>Q30R1C5</t>
        </is>
      </c>
      <c r="B581" s="9">
        <f>LPRP!G308</f>
        <v/>
      </c>
      <c r="C581" s="11" t="inlineStr">
        <is>
          <t>8,2</t>
        </is>
      </c>
      <c r="D581" s="10" t="n"/>
    </row>
    <row r="582">
      <c r="A582" s="9" t="inlineStr">
        <is>
          <t>Q30R1C6</t>
        </is>
      </c>
      <c r="B582" s="9">
        <f>LPRP!H308</f>
        <v/>
      </c>
      <c r="C582" s="11" t="inlineStr">
        <is>
          <t>8,2</t>
        </is>
      </c>
      <c r="D582" s="10" t="n"/>
    </row>
    <row r="583">
      <c r="A583" s="9" t="inlineStr">
        <is>
          <t>Q30R1C7</t>
        </is>
      </c>
      <c r="B583" s="9">
        <f>LPRP!I308</f>
        <v/>
      </c>
      <c r="C583" s="11" t="inlineStr">
        <is>
          <t>8,2</t>
        </is>
      </c>
      <c r="D583" s="10" t="n"/>
    </row>
    <row r="584">
      <c r="A584" s="9" t="inlineStr">
        <is>
          <t>Q30R1C8</t>
        </is>
      </c>
      <c r="B584" s="9">
        <f>LPRP!J308</f>
        <v/>
      </c>
      <c r="C584" s="11" t="inlineStr">
        <is>
          <t>8,2</t>
        </is>
      </c>
      <c r="D584" s="10" t="n"/>
    </row>
    <row r="585">
      <c r="A585" s="9" t="inlineStr">
        <is>
          <t>Q30R1C9</t>
        </is>
      </c>
      <c r="B585" s="9">
        <f>LPRP!K308</f>
        <v/>
      </c>
      <c r="C585" s="11" t="inlineStr">
        <is>
          <t>8,2</t>
        </is>
      </c>
      <c r="D585" s="10" t="n"/>
    </row>
    <row r="586">
      <c r="A586" s="9" t="inlineStr">
        <is>
          <t>Q30R1C10</t>
        </is>
      </c>
      <c r="B586" s="9">
        <f>LPRP!L308</f>
        <v/>
      </c>
      <c r="C586" s="11" t="inlineStr">
        <is>
          <t>8,2</t>
        </is>
      </c>
      <c r="D586" s="10" t="n"/>
    </row>
    <row r="587">
      <c r="A587" s="9" t="inlineStr">
        <is>
          <t>Q30R2C1</t>
        </is>
      </c>
      <c r="B587" s="9">
        <f>LPRP!C309</f>
        <v/>
      </c>
      <c r="C587" s="11" t="inlineStr">
        <is>
          <t>8,2</t>
        </is>
      </c>
      <c r="D587" s="10" t="n"/>
    </row>
    <row r="588">
      <c r="A588" s="9" t="inlineStr">
        <is>
          <t>Q30R2C2</t>
        </is>
      </c>
      <c r="B588" s="9">
        <f>LPRP!D309</f>
        <v/>
      </c>
      <c r="C588" s="11" t="inlineStr">
        <is>
          <t>8,2</t>
        </is>
      </c>
      <c r="D588" s="10" t="n"/>
    </row>
    <row r="589">
      <c r="A589" s="9" t="inlineStr">
        <is>
          <t>Q30R2C3</t>
        </is>
      </c>
      <c r="B589" s="9">
        <f>LPRP!E309</f>
        <v/>
      </c>
      <c r="C589" s="11" t="inlineStr">
        <is>
          <t>8,2</t>
        </is>
      </c>
      <c r="D589" s="10" t="n"/>
    </row>
    <row r="590">
      <c r="A590" s="9" t="inlineStr">
        <is>
          <t>Q30R2C4</t>
        </is>
      </c>
      <c r="B590" s="9">
        <f>LPRP!F309</f>
        <v/>
      </c>
      <c r="C590" s="11" t="inlineStr">
        <is>
          <t>8,2</t>
        </is>
      </c>
      <c r="D590" s="10" t="n"/>
    </row>
    <row r="591">
      <c r="A591" s="9" t="inlineStr">
        <is>
          <t>Q30R2C5</t>
        </is>
      </c>
      <c r="B591" s="9">
        <f>LPRP!G309</f>
        <v/>
      </c>
      <c r="C591" s="11" t="inlineStr">
        <is>
          <t>8,2</t>
        </is>
      </c>
      <c r="D591" s="10" t="n"/>
    </row>
    <row r="592">
      <c r="A592" s="9" t="inlineStr">
        <is>
          <t>Q30R2C6</t>
        </is>
      </c>
      <c r="B592" s="9">
        <f>LPRP!H309</f>
        <v/>
      </c>
      <c r="C592" s="11" t="inlineStr">
        <is>
          <t>8,2</t>
        </is>
      </c>
      <c r="D592" s="10" t="n"/>
    </row>
    <row r="593">
      <c r="A593" s="9" t="inlineStr">
        <is>
          <t>Q30R2C7</t>
        </is>
      </c>
      <c r="B593" s="9">
        <f>LPRP!I309</f>
        <v/>
      </c>
      <c r="C593" s="11" t="inlineStr">
        <is>
          <t>8,2</t>
        </is>
      </c>
      <c r="D593" s="10" t="n"/>
    </row>
    <row r="594">
      <c r="A594" s="9" t="inlineStr">
        <is>
          <t>Q30R2C8</t>
        </is>
      </c>
      <c r="B594" s="9">
        <f>LPRP!J309</f>
        <v/>
      </c>
      <c r="C594" s="11" t="inlineStr">
        <is>
          <t>8,2</t>
        </is>
      </c>
      <c r="D594" s="10" t="n"/>
    </row>
    <row r="595">
      <c r="A595" s="9" t="inlineStr">
        <is>
          <t>Q30R2C9</t>
        </is>
      </c>
      <c r="B595" s="9">
        <f>LPRP!K309</f>
        <v/>
      </c>
      <c r="C595" s="11" t="inlineStr">
        <is>
          <t>8,2</t>
        </is>
      </c>
      <c r="D595" s="10" t="n"/>
    </row>
    <row r="596">
      <c r="A596" s="9" t="inlineStr">
        <is>
          <t>Q30R2C10</t>
        </is>
      </c>
      <c r="B596" s="9">
        <f>LPRP!L309</f>
        <v/>
      </c>
      <c r="C596" s="11" t="inlineStr">
        <is>
          <t>8,2</t>
        </is>
      </c>
      <c r="D596" s="10" t="n"/>
    </row>
    <row r="597">
      <c r="A597" s="9" t="inlineStr">
        <is>
          <t>Q30R3C1</t>
        </is>
      </c>
      <c r="B597" s="9">
        <f>LPRP!C310</f>
        <v/>
      </c>
      <c r="C597" s="11" t="inlineStr">
        <is>
          <t>8,2</t>
        </is>
      </c>
      <c r="D597" s="10" t="n"/>
    </row>
    <row r="598">
      <c r="A598" s="9" t="inlineStr">
        <is>
          <t>Q30R3C2</t>
        </is>
      </c>
      <c r="B598" s="9">
        <f>LPRP!D310</f>
        <v/>
      </c>
      <c r="C598" s="11" t="inlineStr">
        <is>
          <t>8,2</t>
        </is>
      </c>
      <c r="D598" s="10" t="n"/>
    </row>
    <row r="599">
      <c r="A599" s="9" t="inlineStr">
        <is>
          <t>Q30R3C3</t>
        </is>
      </c>
      <c r="B599" s="9">
        <f>LPRP!E310</f>
        <v/>
      </c>
      <c r="C599" s="11" t="inlineStr">
        <is>
          <t>8,2</t>
        </is>
      </c>
      <c r="D599" s="10" t="n"/>
    </row>
    <row r="600">
      <c r="A600" s="9" t="inlineStr">
        <is>
          <t>Q30R3C4</t>
        </is>
      </c>
      <c r="B600" s="9">
        <f>LPRP!F310</f>
        <v/>
      </c>
      <c r="C600" s="11" t="inlineStr">
        <is>
          <t>8,2</t>
        </is>
      </c>
      <c r="D600" s="10" t="n"/>
    </row>
    <row r="601">
      <c r="A601" s="9" t="inlineStr">
        <is>
          <t>Q30R3C5</t>
        </is>
      </c>
      <c r="B601" s="9">
        <f>LPRP!G310</f>
        <v/>
      </c>
      <c r="C601" s="11" t="inlineStr">
        <is>
          <t>8,2</t>
        </is>
      </c>
      <c r="D601" s="10" t="n"/>
    </row>
    <row r="602">
      <c r="A602" s="9" t="inlineStr">
        <is>
          <t>Q30R3C6</t>
        </is>
      </c>
      <c r="B602" s="9">
        <f>LPRP!H310</f>
        <v/>
      </c>
      <c r="C602" s="11" t="inlineStr">
        <is>
          <t>8,2</t>
        </is>
      </c>
      <c r="D602" s="10" t="n"/>
    </row>
    <row r="603">
      <c r="A603" s="9" t="inlineStr">
        <is>
          <t>Q30R3C7</t>
        </is>
      </c>
      <c r="B603" s="9">
        <f>LPRP!I310</f>
        <v/>
      </c>
      <c r="C603" s="11" t="inlineStr">
        <is>
          <t>8,2</t>
        </is>
      </c>
      <c r="D603" s="10" t="n"/>
    </row>
    <row r="604">
      <c r="A604" s="9" t="inlineStr">
        <is>
          <t>Q30R3C8</t>
        </is>
      </c>
      <c r="B604" s="9">
        <f>LPRP!J310</f>
        <v/>
      </c>
      <c r="C604" s="11" t="inlineStr">
        <is>
          <t>8,2</t>
        </is>
      </c>
      <c r="D604" s="10" t="n"/>
    </row>
    <row r="605">
      <c r="A605" s="9" t="inlineStr">
        <is>
          <t>Q30R3C9</t>
        </is>
      </c>
      <c r="B605" s="9">
        <f>LPRP!K310</f>
        <v/>
      </c>
      <c r="C605" s="11" t="inlineStr">
        <is>
          <t>8,2</t>
        </is>
      </c>
      <c r="D605" s="10" t="n"/>
    </row>
    <row r="606">
      <c r="A606" s="9" t="inlineStr">
        <is>
          <t>Q30R3C10</t>
        </is>
      </c>
      <c r="B606" s="9">
        <f>LPRP!L310</f>
        <v/>
      </c>
      <c r="C606" s="11" t="inlineStr">
        <is>
          <t>8,2</t>
        </is>
      </c>
      <c r="D606" s="10" t="n"/>
    </row>
    <row r="607">
      <c r="A607" s="9" t="inlineStr">
        <is>
          <t>Q30R4C1</t>
        </is>
      </c>
      <c r="B607" s="9">
        <f>LPRP!C311</f>
        <v/>
      </c>
      <c r="C607" s="11" t="inlineStr">
        <is>
          <t>8,2</t>
        </is>
      </c>
      <c r="D607" s="10" t="n"/>
    </row>
    <row r="608">
      <c r="A608" s="9" t="inlineStr">
        <is>
          <t>Q30R4C2</t>
        </is>
      </c>
      <c r="B608" s="9">
        <f>LPRP!D311</f>
        <v/>
      </c>
      <c r="C608" s="11" t="inlineStr">
        <is>
          <t>8,2</t>
        </is>
      </c>
      <c r="D608" s="10" t="n"/>
    </row>
    <row r="609">
      <c r="A609" s="9" t="inlineStr">
        <is>
          <t>Q30R4C3</t>
        </is>
      </c>
      <c r="B609" s="9">
        <f>LPRP!E311</f>
        <v/>
      </c>
      <c r="C609" s="11" t="inlineStr">
        <is>
          <t>8,2</t>
        </is>
      </c>
      <c r="D609" s="10" t="n"/>
    </row>
    <row r="610">
      <c r="A610" s="9" t="inlineStr">
        <is>
          <t>Q30R4C4</t>
        </is>
      </c>
      <c r="B610" s="9">
        <f>LPRP!F311</f>
        <v/>
      </c>
      <c r="C610" s="11" t="inlineStr">
        <is>
          <t>8,2</t>
        </is>
      </c>
      <c r="D610" s="10" t="n"/>
    </row>
    <row r="611">
      <c r="A611" s="9" t="inlineStr">
        <is>
          <t>Q30R4C5</t>
        </is>
      </c>
      <c r="B611" s="9">
        <f>LPRP!G311</f>
        <v/>
      </c>
      <c r="C611" s="11" t="inlineStr">
        <is>
          <t>8,2</t>
        </is>
      </c>
      <c r="D611" s="10" t="n"/>
    </row>
    <row r="612">
      <c r="A612" s="9" t="inlineStr">
        <is>
          <t>Q30R4C6</t>
        </is>
      </c>
      <c r="B612" s="9">
        <f>LPRP!H311</f>
        <v/>
      </c>
      <c r="C612" s="11" t="inlineStr">
        <is>
          <t>8,2</t>
        </is>
      </c>
      <c r="D612" s="10" t="n"/>
    </row>
    <row r="613">
      <c r="A613" s="9" t="inlineStr">
        <is>
          <t>Q30R4C7</t>
        </is>
      </c>
      <c r="B613" s="9">
        <f>LPRP!I311</f>
        <v/>
      </c>
      <c r="C613" s="11" t="inlineStr">
        <is>
          <t>8,2</t>
        </is>
      </c>
      <c r="D613" s="10" t="n"/>
    </row>
    <row r="614">
      <c r="A614" s="9" t="inlineStr">
        <is>
          <t>Q30R4C8</t>
        </is>
      </c>
      <c r="B614" s="9">
        <f>LPRP!J311</f>
        <v/>
      </c>
      <c r="C614" s="11" t="inlineStr">
        <is>
          <t>8,2</t>
        </is>
      </c>
      <c r="D614" s="10" t="n"/>
    </row>
    <row r="615">
      <c r="A615" s="9" t="inlineStr">
        <is>
          <t>Q30R4C9</t>
        </is>
      </c>
      <c r="B615" s="9">
        <f>LPRP!K311</f>
        <v/>
      </c>
      <c r="C615" s="11" t="inlineStr">
        <is>
          <t>8,2</t>
        </is>
      </c>
      <c r="D615" s="10" t="n"/>
    </row>
    <row r="616">
      <c r="A616" s="9" t="inlineStr">
        <is>
          <t>Q30R4C10</t>
        </is>
      </c>
      <c r="B616" s="9">
        <f>LPRP!L311</f>
        <v/>
      </c>
      <c r="C616" s="11" t="inlineStr">
        <is>
          <t>8,2</t>
        </is>
      </c>
      <c r="D616" s="10" t="n"/>
    </row>
    <row r="617">
      <c r="A617" s="9" t="inlineStr">
        <is>
          <t>Q30R5C1</t>
        </is>
      </c>
      <c r="B617" s="9">
        <f>LPRP!C312</f>
        <v/>
      </c>
      <c r="C617" s="11" t="inlineStr">
        <is>
          <t>8,2</t>
        </is>
      </c>
      <c r="D617" s="10" t="n"/>
    </row>
    <row r="618">
      <c r="A618" s="9" t="inlineStr">
        <is>
          <t>Q30R5C2</t>
        </is>
      </c>
      <c r="B618" s="9">
        <f>LPRP!D312</f>
        <v/>
      </c>
      <c r="C618" s="11" t="inlineStr">
        <is>
          <t>8,2</t>
        </is>
      </c>
      <c r="D618" s="10" t="n"/>
    </row>
    <row r="619">
      <c r="A619" s="9" t="inlineStr">
        <is>
          <t>Q30R5C3</t>
        </is>
      </c>
      <c r="B619" s="9">
        <f>LPRP!E312</f>
        <v/>
      </c>
      <c r="C619" s="11" t="inlineStr">
        <is>
          <t>8,2</t>
        </is>
      </c>
      <c r="D619" s="10" t="n"/>
    </row>
    <row r="620">
      <c r="A620" s="9" t="inlineStr">
        <is>
          <t>Q30R5C4</t>
        </is>
      </c>
      <c r="B620" s="9">
        <f>LPRP!F312</f>
        <v/>
      </c>
      <c r="C620" s="11" t="inlineStr">
        <is>
          <t>8,2</t>
        </is>
      </c>
      <c r="D620" s="10" t="n"/>
    </row>
    <row r="621">
      <c r="A621" s="9" t="inlineStr">
        <is>
          <t>Q30R5C5</t>
        </is>
      </c>
      <c r="B621" s="9">
        <f>LPRP!G312</f>
        <v/>
      </c>
      <c r="C621" s="11" t="inlineStr">
        <is>
          <t>8,2</t>
        </is>
      </c>
      <c r="D621" s="10" t="n"/>
    </row>
    <row r="622">
      <c r="A622" s="9" t="inlineStr">
        <is>
          <t>Q30R5C6</t>
        </is>
      </c>
      <c r="B622" s="9">
        <f>LPRP!H312</f>
        <v/>
      </c>
      <c r="C622" s="11" t="inlineStr">
        <is>
          <t>8,2</t>
        </is>
      </c>
      <c r="D622" s="10" t="n"/>
    </row>
    <row r="623">
      <c r="A623" s="9" t="inlineStr">
        <is>
          <t>Q30R5C7</t>
        </is>
      </c>
      <c r="B623" s="9">
        <f>LPRP!I312</f>
        <v/>
      </c>
      <c r="C623" s="11" t="inlineStr">
        <is>
          <t>8,2</t>
        </is>
      </c>
      <c r="D623" s="10" t="n"/>
    </row>
    <row r="624">
      <c r="A624" s="9" t="inlineStr">
        <is>
          <t>Q30R5C8</t>
        </is>
      </c>
      <c r="B624" s="9">
        <f>LPRP!J312</f>
        <v/>
      </c>
      <c r="C624" s="11" t="inlineStr">
        <is>
          <t>8,2</t>
        </is>
      </c>
      <c r="D624" s="10" t="n"/>
    </row>
    <row r="625">
      <c r="A625" s="9" t="inlineStr">
        <is>
          <t>Q30R5C9</t>
        </is>
      </c>
      <c r="B625" s="9">
        <f>LPRP!K312</f>
        <v/>
      </c>
      <c r="C625" s="11" t="inlineStr">
        <is>
          <t>8,2</t>
        </is>
      </c>
      <c r="D625" s="10" t="n"/>
    </row>
    <row r="626">
      <c r="A626" s="9" t="inlineStr">
        <is>
          <t>Q30R5C10</t>
        </is>
      </c>
      <c r="B626" s="9">
        <f>LPRP!L312</f>
        <v/>
      </c>
      <c r="C626" s="11" t="inlineStr">
        <is>
          <t>8,2</t>
        </is>
      </c>
      <c r="D626" s="10" t="n"/>
    </row>
    <row r="627">
      <c r="A627" s="9" t="inlineStr">
        <is>
          <t>Q30R6C1</t>
        </is>
      </c>
      <c r="B627" s="9">
        <f>LPRP!C313</f>
        <v/>
      </c>
      <c r="C627" s="11" t="inlineStr">
        <is>
          <t>8,2</t>
        </is>
      </c>
      <c r="D627" s="10" t="n"/>
    </row>
    <row r="628">
      <c r="A628" s="9" t="inlineStr">
        <is>
          <t>Q30R6C2</t>
        </is>
      </c>
      <c r="B628" s="9">
        <f>LPRP!D313</f>
        <v/>
      </c>
      <c r="C628" s="11" t="inlineStr">
        <is>
          <t>8,2</t>
        </is>
      </c>
      <c r="D628" s="10" t="n"/>
    </row>
    <row r="629">
      <c r="A629" s="9" t="inlineStr">
        <is>
          <t>Q30R6C3</t>
        </is>
      </c>
      <c r="B629" s="9">
        <f>LPRP!E313</f>
        <v/>
      </c>
      <c r="C629" s="11" t="inlineStr">
        <is>
          <t>8,2</t>
        </is>
      </c>
      <c r="D629" s="10" t="n"/>
    </row>
    <row r="630">
      <c r="A630" s="9" t="inlineStr">
        <is>
          <t>Q30R6C4</t>
        </is>
      </c>
      <c r="B630" s="9">
        <f>LPRP!F313</f>
        <v/>
      </c>
      <c r="C630" s="11" t="inlineStr">
        <is>
          <t>8,2</t>
        </is>
      </c>
      <c r="D630" s="10" t="n"/>
    </row>
    <row r="631">
      <c r="A631" s="9" t="inlineStr">
        <is>
          <t>Q30R6C5</t>
        </is>
      </c>
      <c r="B631" s="9">
        <f>LPRP!G313</f>
        <v/>
      </c>
      <c r="C631" s="11" t="inlineStr">
        <is>
          <t>8,2</t>
        </is>
      </c>
      <c r="D631" s="10" t="n"/>
    </row>
    <row r="632">
      <c r="A632" s="9" t="inlineStr">
        <is>
          <t>Q30R6C6</t>
        </is>
      </c>
      <c r="B632" s="9">
        <f>LPRP!H313</f>
        <v/>
      </c>
      <c r="C632" s="11" t="inlineStr">
        <is>
          <t>8,2</t>
        </is>
      </c>
      <c r="D632" s="10" t="n"/>
    </row>
    <row r="633">
      <c r="A633" s="9" t="inlineStr">
        <is>
          <t>Q30R6C7</t>
        </is>
      </c>
      <c r="B633" s="9">
        <f>LPRP!I313</f>
        <v/>
      </c>
      <c r="C633" s="11" t="inlineStr">
        <is>
          <t>8,2</t>
        </is>
      </c>
      <c r="D633" s="10" t="n"/>
    </row>
    <row r="634">
      <c r="A634" s="9" t="inlineStr">
        <is>
          <t>Q30R6C8</t>
        </is>
      </c>
      <c r="B634" s="9">
        <f>LPRP!J313</f>
        <v/>
      </c>
      <c r="C634" s="11" t="inlineStr">
        <is>
          <t>8,2</t>
        </is>
      </c>
      <c r="D634" s="10" t="n"/>
    </row>
    <row r="635">
      <c r="A635" s="9" t="inlineStr">
        <is>
          <t>Q30R6C9</t>
        </is>
      </c>
      <c r="B635" s="9">
        <f>LPRP!K313</f>
        <v/>
      </c>
      <c r="C635" s="11" t="inlineStr">
        <is>
          <t>8,2</t>
        </is>
      </c>
      <c r="D635" s="10" t="n"/>
    </row>
    <row r="636">
      <c r="A636" s="9" t="inlineStr">
        <is>
          <t>Q30R6C10</t>
        </is>
      </c>
      <c r="B636" s="9">
        <f>LPRP!L313</f>
        <v/>
      </c>
      <c r="C636" s="11" t="inlineStr">
        <is>
          <t>8,2</t>
        </is>
      </c>
      <c r="D636" s="10" t="n"/>
    </row>
    <row r="637">
      <c r="A637" s="9" t="inlineStr">
        <is>
          <t>Q30R7C1</t>
        </is>
      </c>
      <c r="B637" s="9">
        <f>LPRP!C314</f>
        <v/>
      </c>
      <c r="C637" s="11" t="inlineStr">
        <is>
          <t>8,2</t>
        </is>
      </c>
      <c r="D637" s="10" t="n"/>
    </row>
    <row r="638">
      <c r="A638" s="9" t="inlineStr">
        <is>
          <t>Q30R7C2</t>
        </is>
      </c>
      <c r="B638" s="9">
        <f>LPRP!D314</f>
        <v/>
      </c>
      <c r="C638" s="11" t="inlineStr">
        <is>
          <t>8,2</t>
        </is>
      </c>
      <c r="D638" s="10" t="n"/>
    </row>
    <row r="639">
      <c r="A639" s="9" t="inlineStr">
        <is>
          <t>Q30R7C3</t>
        </is>
      </c>
      <c r="B639" s="9">
        <f>LPRP!E314</f>
        <v/>
      </c>
      <c r="C639" s="11" t="inlineStr">
        <is>
          <t>8,2</t>
        </is>
      </c>
      <c r="D639" s="10" t="n"/>
    </row>
    <row r="640">
      <c r="A640" s="9" t="inlineStr">
        <is>
          <t>Q30R7C4</t>
        </is>
      </c>
      <c r="B640" s="9">
        <f>LPRP!F314</f>
        <v/>
      </c>
      <c r="C640" s="11" t="inlineStr">
        <is>
          <t>8,2</t>
        </is>
      </c>
      <c r="D640" s="10" t="n"/>
    </row>
    <row r="641">
      <c r="A641" s="9" t="inlineStr">
        <is>
          <t>Q30R7C5</t>
        </is>
      </c>
      <c r="B641" s="9">
        <f>LPRP!G314</f>
        <v/>
      </c>
      <c r="C641" s="11" t="inlineStr">
        <is>
          <t>8,2</t>
        </is>
      </c>
      <c r="D641" s="10" t="n"/>
    </row>
    <row r="642">
      <c r="A642" s="9" t="inlineStr">
        <is>
          <t>Q30R7C6</t>
        </is>
      </c>
      <c r="B642" s="9">
        <f>LPRP!H314</f>
        <v/>
      </c>
      <c r="C642" s="11" t="inlineStr">
        <is>
          <t>8,2</t>
        </is>
      </c>
      <c r="D642" s="10" t="n"/>
    </row>
    <row r="643">
      <c r="A643" s="9" t="inlineStr">
        <is>
          <t>Q30R7C7</t>
        </is>
      </c>
      <c r="B643" s="9">
        <f>LPRP!I314</f>
        <v/>
      </c>
      <c r="C643" s="11" t="inlineStr">
        <is>
          <t>8,2</t>
        </is>
      </c>
      <c r="D643" s="10" t="n"/>
    </row>
    <row r="644">
      <c r="A644" s="9" t="inlineStr">
        <is>
          <t>Q30R7C8</t>
        </is>
      </c>
      <c r="B644" s="9">
        <f>LPRP!J314</f>
        <v/>
      </c>
      <c r="C644" s="11" t="inlineStr">
        <is>
          <t>8,2</t>
        </is>
      </c>
      <c r="D644" s="10" t="n"/>
    </row>
    <row r="645">
      <c r="A645" s="9" t="inlineStr">
        <is>
          <t>Q30R7C9</t>
        </is>
      </c>
      <c r="B645" s="9">
        <f>LPRP!K314</f>
        <v/>
      </c>
      <c r="C645" s="11" t="inlineStr">
        <is>
          <t>8,2</t>
        </is>
      </c>
      <c r="D645" s="10" t="n"/>
    </row>
    <row r="646">
      <c r="A646" s="9" t="inlineStr">
        <is>
          <t>Q30R7C10</t>
        </is>
      </c>
      <c r="B646" s="9">
        <f>LPRP!L314</f>
        <v/>
      </c>
      <c r="C646" s="11" t="inlineStr">
        <is>
          <t>8,2</t>
        </is>
      </c>
      <c r="D646" s="10" t="n"/>
    </row>
    <row r="647">
      <c r="A647" s="9" t="inlineStr">
        <is>
          <t>Q31R1C1</t>
        </is>
      </c>
      <c r="B647" s="9">
        <f>LPRP!A320</f>
        <v/>
      </c>
      <c r="C647" s="11" t="n">
        <v>9</v>
      </c>
      <c r="D647" s="10" t="n"/>
    </row>
    <row r="648">
      <c r="A648" s="9" t="inlineStr">
        <is>
          <t>Q31R1C2</t>
        </is>
      </c>
      <c r="B648" s="9">
        <f>LPRP!C320</f>
        <v/>
      </c>
      <c r="C648" s="11" t="n">
        <v>9</v>
      </c>
      <c r="D648" s="10" t="n"/>
    </row>
    <row r="649">
      <c r="A649" s="9" t="inlineStr">
        <is>
          <t>Q31R1C3</t>
        </is>
      </c>
      <c r="B649" s="9">
        <f>LPRP!E320</f>
        <v/>
      </c>
      <c r="C649" s="11" t="n">
        <v>9</v>
      </c>
      <c r="D649" s="10" t="n"/>
    </row>
    <row r="650">
      <c r="A650" s="9" t="inlineStr">
        <is>
          <t>Q31R1C4</t>
        </is>
      </c>
      <c r="B650" s="9">
        <f>LPRP!G320</f>
        <v/>
      </c>
      <c r="C650" s="11" t="n">
        <v>9</v>
      </c>
      <c r="D650" s="10" t="n"/>
    </row>
    <row r="651">
      <c r="A651" s="9" t="inlineStr">
        <is>
          <t>Q32R1C1</t>
        </is>
      </c>
      <c r="B651" s="9">
        <f>LPRP!F325</f>
        <v/>
      </c>
      <c r="C651" s="11" t="inlineStr">
        <is>
          <t>10,1</t>
        </is>
      </c>
      <c r="D651" s="10" t="n"/>
    </row>
    <row r="652">
      <c r="A652" s="12" t="inlineStr">
        <is>
          <t>Q32R2C1</t>
        </is>
      </c>
      <c r="B652" s="12">
        <f>LPRP!F326</f>
        <v/>
      </c>
      <c r="C652" s="13" t="inlineStr">
        <is>
          <t>10,1</t>
        </is>
      </c>
      <c r="D652" s="10" t="n"/>
    </row>
    <row r="653">
      <c r="A653" s="12" t="inlineStr">
        <is>
          <t>Q33R1C1</t>
        </is>
      </c>
      <c r="B653" s="12">
        <f>LPRP!F330</f>
        <v/>
      </c>
      <c r="C653" s="13" t="inlineStr">
        <is>
          <t>10,2</t>
        </is>
      </c>
      <c r="D653" s="10" t="n"/>
    </row>
    <row r="654">
      <c r="A654" s="12" t="inlineStr">
        <is>
          <t>Q33R1C2</t>
        </is>
      </c>
      <c r="B654" s="12">
        <f>LPRP!G330</f>
        <v/>
      </c>
      <c r="C654" s="13" t="inlineStr">
        <is>
          <t>10,2</t>
        </is>
      </c>
      <c r="D654" s="10" t="n"/>
    </row>
    <row r="655">
      <c r="A655" s="12" t="inlineStr">
        <is>
          <t>Q33R1C3</t>
        </is>
      </c>
      <c r="B655" s="12">
        <f>LPRP!H330</f>
        <v/>
      </c>
      <c r="C655" s="13" t="inlineStr">
        <is>
          <t>10,2</t>
        </is>
      </c>
      <c r="D655" s="10" t="n"/>
    </row>
    <row r="656">
      <c r="A656" s="12" t="inlineStr">
        <is>
          <t>Q33R1C4</t>
        </is>
      </c>
      <c r="B656" s="12">
        <f>LPRP!J330</f>
        <v/>
      </c>
      <c r="C656" s="13" t="inlineStr">
        <is>
          <t>10,2</t>
        </is>
      </c>
      <c r="D656" s="10" t="n"/>
    </row>
    <row r="657">
      <c r="A657" s="12" t="inlineStr">
        <is>
          <t>Q33R2C1</t>
        </is>
      </c>
      <c r="B657" s="12">
        <f>LPRP!F331</f>
        <v/>
      </c>
      <c r="C657" s="13" t="inlineStr">
        <is>
          <t>10,2</t>
        </is>
      </c>
      <c r="D657" s="10" t="n"/>
    </row>
    <row r="658">
      <c r="A658" s="12" t="inlineStr">
        <is>
          <t>Q33R2C2</t>
        </is>
      </c>
      <c r="B658" s="12">
        <f>LPRP!G331</f>
        <v/>
      </c>
      <c r="C658" s="13" t="inlineStr">
        <is>
          <t>10,2</t>
        </is>
      </c>
      <c r="D658" s="10" t="n"/>
    </row>
    <row r="659">
      <c r="A659" s="12" t="inlineStr">
        <is>
          <t>Q33R2C3</t>
        </is>
      </c>
      <c r="B659" s="12">
        <f>LPRP!H331</f>
        <v/>
      </c>
      <c r="C659" s="13" t="inlineStr">
        <is>
          <t>10,2</t>
        </is>
      </c>
      <c r="D659" s="10" t="n"/>
    </row>
    <row r="660">
      <c r="A660" s="12" t="inlineStr">
        <is>
          <t>Q33R2C4</t>
        </is>
      </c>
      <c r="B660" s="12">
        <f>LPRP!J331</f>
        <v/>
      </c>
      <c r="C660" s="13" t="inlineStr">
        <is>
          <t>10,2</t>
        </is>
      </c>
      <c r="D660" s="10" t="n"/>
    </row>
    <row r="661">
      <c r="A661" s="9" t="inlineStr">
        <is>
          <t>Q34R1C1</t>
        </is>
      </c>
      <c r="B661" s="9">
        <f>LPRP!J337</f>
        <v/>
      </c>
      <c r="C661" s="11" t="inlineStr">
        <is>
          <t>11,1</t>
        </is>
      </c>
      <c r="D661" s="10" t="n"/>
    </row>
    <row r="662">
      <c r="A662" s="9" t="inlineStr">
        <is>
          <t>Q34R2C1</t>
        </is>
      </c>
      <c r="B662" s="9">
        <f>LPRP!J338</f>
        <v/>
      </c>
      <c r="C662" s="11" t="inlineStr">
        <is>
          <t>11,1</t>
        </is>
      </c>
      <c r="D662" s="10" t="n"/>
    </row>
    <row r="663">
      <c r="A663" s="12" t="inlineStr">
        <is>
          <t>Q35R1C1</t>
        </is>
      </c>
      <c r="B663" s="12">
        <f>LPRP!J341</f>
        <v/>
      </c>
      <c r="C663" s="13" t="inlineStr">
        <is>
          <t>11,2</t>
        </is>
      </c>
      <c r="D663" s="10" t="n"/>
    </row>
    <row r="664">
      <c r="A664" s="9" t="inlineStr">
        <is>
          <t>Q36R1C1</t>
        </is>
      </c>
      <c r="B664" s="9">
        <f>LPRP!I348</f>
        <v/>
      </c>
      <c r="C664" s="11" t="inlineStr">
        <is>
          <t>12,1</t>
        </is>
      </c>
      <c r="D664" s="10" t="n"/>
    </row>
    <row r="665">
      <c r="A665" s="9" t="inlineStr">
        <is>
          <t>Q36R2C1</t>
        </is>
      </c>
      <c r="B665" s="9">
        <f>LPRP!I349</f>
        <v/>
      </c>
      <c r="C665" s="11" t="inlineStr">
        <is>
          <t>12,1</t>
        </is>
      </c>
      <c r="D665" s="10" t="n"/>
    </row>
    <row r="666">
      <c r="A666" s="9" t="inlineStr">
        <is>
          <t>Q36R3C1</t>
        </is>
      </c>
      <c r="B666" s="9">
        <f>LPRP!I350</f>
        <v/>
      </c>
      <c r="C666" s="11" t="inlineStr">
        <is>
          <t>12,1</t>
        </is>
      </c>
      <c r="D666" s="10" t="n"/>
    </row>
    <row r="667">
      <c r="A667" s="9" t="inlineStr">
        <is>
          <t>Q36R4C1</t>
        </is>
      </c>
      <c r="B667" s="9">
        <f>LPRP!F351</f>
        <v/>
      </c>
      <c r="C667" s="11" t="inlineStr">
        <is>
          <t>12,1</t>
        </is>
      </c>
      <c r="D667" s="10" t="n"/>
    </row>
    <row r="668">
      <c r="A668" s="9" t="inlineStr">
        <is>
          <t>Q36R5C1</t>
        </is>
      </c>
      <c r="B668" s="9">
        <f>LPRP!F352</f>
        <v/>
      </c>
      <c r="C668" s="11" t="inlineStr">
        <is>
          <t>12,1</t>
        </is>
      </c>
      <c r="D668" s="10" t="n"/>
    </row>
    <row r="669">
      <c r="A669" s="12" t="inlineStr">
        <is>
          <t>Q37R1C1</t>
        </is>
      </c>
      <c r="B669" s="12">
        <f>LPRP!F357</f>
        <v/>
      </c>
      <c r="C669" s="13" t="inlineStr">
        <is>
          <t>12,2</t>
        </is>
      </c>
      <c r="D669" s="10" t="n"/>
    </row>
    <row r="670">
      <c r="A670" s="12" t="inlineStr">
        <is>
          <t>Q37R2C1</t>
        </is>
      </c>
      <c r="B670" s="12">
        <f>LPRP!F358</f>
        <v/>
      </c>
      <c r="C670" s="13" t="inlineStr">
        <is>
          <t>12,2</t>
        </is>
      </c>
      <c r="D670" s="10" t="n"/>
    </row>
    <row r="671">
      <c r="A671" s="12" t="inlineStr">
        <is>
          <t>Q37R3C1</t>
        </is>
      </c>
      <c r="B671" s="12">
        <f>LPRP!F359</f>
        <v/>
      </c>
      <c r="C671" s="13" t="inlineStr">
        <is>
          <t>12,2</t>
        </is>
      </c>
      <c r="D671" s="10" t="n"/>
    </row>
    <row r="672">
      <c r="A672" s="12" t="inlineStr">
        <is>
          <t>Q37R4C1</t>
        </is>
      </c>
      <c r="B672" s="12">
        <f>LPRP!F360</f>
        <v/>
      </c>
      <c r="C672" s="13" t="inlineStr">
        <is>
          <t>12,2</t>
        </is>
      </c>
      <c r="D672" s="10" t="n"/>
    </row>
    <row r="673">
      <c r="A673" s="12" t="inlineStr">
        <is>
          <t>Q37R5C1</t>
        </is>
      </c>
      <c r="B673" s="12">
        <f>LPRP!F361</f>
        <v/>
      </c>
      <c r="C673" s="13" t="inlineStr">
        <is>
          <t>12,2</t>
        </is>
      </c>
      <c r="D673" s="10" t="n"/>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Ronald.Denault@tbs-sct.gc.ca</dc:creator>
  <dcterms:created xmlns:dcterms="http://purl.org/dc/terms/" xmlns:xsi="http://www.w3.org/2001/XMLSchema-instance" xsi:type="dcterms:W3CDTF">2019-09-12T17:12:57Z</dcterms:created>
  <dcterms:modified xmlns:dcterms="http://purl.org/dc/terms/" xmlns:xsi="http://www.w3.org/2001/XMLSchema-instance" xsi:type="dcterms:W3CDTF">2026-01-02T13:59:49+00:00Z</dcterms:modified>
  <cp:lastModifiedBy>Fauvel, Francis</cp:lastModifiedBy>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0fa4c0fc-ae0b-436d-9a71-7abe68d5c368</vt:lpwstr>
  </property>
  <property name="SECCLASS" fmtid="{D5CDD505-2E9C-101B-9397-08002B2CF9AE}" pid="3">
    <vt:lpwstr xmlns:vt="http://schemas.openxmlformats.org/officeDocument/2006/docPropsVTypes">CLASSU</vt:lpwstr>
  </property>
  <property name="TBSSCTCLASSIFICATION" fmtid="{D5CDD505-2E9C-101B-9397-08002B2CF9AE}" pid="4">
    <vt:lpwstr xmlns:vt="http://schemas.openxmlformats.org/officeDocument/2006/docPropsVTypes">UNCLASSIFIED</vt:lpwstr>
  </property>
  <property name="TBSSCTVISUALMARKINGNO" fmtid="{D5CDD505-2E9C-101B-9397-08002B2CF9AE}" pid="5">
    <vt:lpwstr xmlns:vt="http://schemas.openxmlformats.org/officeDocument/2006/docPropsVTypes">NO</vt:lpwstr>
  </property>
  <property name="MSIP_Label_3515d617-256d-4284-aedb-1064be1c4b48_Enabled" fmtid="{D5CDD505-2E9C-101B-9397-08002B2CF9AE}" pid="6">
    <vt:lpwstr xmlns:vt="http://schemas.openxmlformats.org/officeDocument/2006/docPropsVTypes">true</vt:lpwstr>
  </property>
  <property name="MSIP_Label_3515d617-256d-4284-aedb-1064be1c4b48_SetDate" fmtid="{D5CDD505-2E9C-101B-9397-08002B2CF9AE}" pid="7">
    <vt:lpwstr xmlns:vt="http://schemas.openxmlformats.org/officeDocument/2006/docPropsVTypes">2022-03-08T14:42:18Z</vt:lpwstr>
  </property>
  <property name="MSIP_Label_3515d617-256d-4284-aedb-1064be1c4b48_Method" fmtid="{D5CDD505-2E9C-101B-9397-08002B2CF9AE}" pid="8">
    <vt:lpwstr xmlns:vt="http://schemas.openxmlformats.org/officeDocument/2006/docPropsVTypes">Privileged</vt:lpwstr>
  </property>
  <property name="MSIP_Label_3515d617-256d-4284-aedb-1064be1c4b48_Name" fmtid="{D5CDD505-2E9C-101B-9397-08002B2CF9AE}" pid="9">
    <vt:lpwstr xmlns:vt="http://schemas.openxmlformats.org/officeDocument/2006/docPropsVTypes">3515d617-256d-4284-aedb-1064be1c4b48</vt:lpwstr>
  </property>
  <property name="MSIP_Label_3515d617-256d-4284-aedb-1064be1c4b48_SiteId" fmtid="{D5CDD505-2E9C-101B-9397-08002B2CF9AE}" pid="10">
    <vt:lpwstr xmlns:vt="http://schemas.openxmlformats.org/officeDocument/2006/docPropsVTypes">6397df10-4595-4047-9c4f-03311282152b</vt:lpwstr>
  </property>
  <property name="MSIP_Label_3515d617-256d-4284-aedb-1064be1c4b48_ActionId" fmtid="{D5CDD505-2E9C-101B-9397-08002B2CF9AE}" pid="11">
    <vt:lpwstr xmlns:vt="http://schemas.openxmlformats.org/officeDocument/2006/docPropsVTypes">b785ede9-b877-4224-8009-1862591ac5de</vt:lpwstr>
  </property>
  <property name="MSIP_Label_3515d617-256d-4284-aedb-1064be1c4b48_ContentBits" fmtid="{D5CDD505-2E9C-101B-9397-08002B2CF9AE}" pid="12">
    <vt:lpwstr xmlns:vt="http://schemas.openxmlformats.org/officeDocument/2006/docPropsVTypes">0</vt:lpwstr>
  </property>
  <property name="ContentTypeId" fmtid="{D5CDD505-2E9C-101B-9397-08002B2CF9AE}" pid="13">
    <vt:lpwstr xmlns:vt="http://schemas.openxmlformats.org/officeDocument/2006/docPropsVTypes">0x0101005C2A7348FF32FD4983FEBC65875BD8E7</vt:lpwstr>
  </property>
  <property name="TaxKeyword" fmtid="{D5CDD505-2E9C-101B-9397-08002B2CF9AE}" pid="14">
    <vt:lpwstr xmlns:vt="http://schemas.openxmlformats.org/officeDocument/2006/docPropsVTypes"/>
  </property>
  <property name="MediaServiceImageTags" fmtid="{D5CDD505-2E9C-101B-9397-08002B2CF9AE}" pid="15">
    <vt:lpwstr xmlns:vt="http://schemas.openxmlformats.org/officeDocument/2006/docPropsVTypes"/>
  </property>
  <property name="_dlc_DocIdItemGuid" fmtid="{D5CDD505-2E9C-101B-9397-08002B2CF9AE}" pid="16">
    <vt:lpwstr xmlns:vt="http://schemas.openxmlformats.org/officeDocument/2006/docPropsVTypes">e996df60-f16c-40d0-9d67-5da46eb2c1bc</vt:lpwstr>
  </property>
  <property name="xd_ProgID" fmtid="{D5CDD505-2E9C-101B-9397-08002B2CF9AE}" pid="17">
    <vt:lpwstr xmlns:vt="http://schemas.openxmlformats.org/officeDocument/2006/docPropsVTypes"/>
  </property>
  <property name="Approved" fmtid="{D5CDD505-2E9C-101B-9397-08002B2CF9AE}" pid="18">
    <vt:bool xmlns:vt="http://schemas.openxmlformats.org/officeDocument/2006/docPropsVTypes">0</vt:bool>
  </property>
  <property name="ComplianceAssetId" fmtid="{D5CDD505-2E9C-101B-9397-08002B2CF9AE}" pid="19">
    <vt:lpwstr xmlns:vt="http://schemas.openxmlformats.org/officeDocument/2006/docPropsVTypes"/>
  </property>
  <property name="TemplateUrl" fmtid="{D5CDD505-2E9C-101B-9397-08002B2CF9AE}" pid="20">
    <vt:lpwstr xmlns:vt="http://schemas.openxmlformats.org/officeDocument/2006/docPropsVTypes"/>
  </property>
  <property name="_ExtendedDescription" fmtid="{D5CDD505-2E9C-101B-9397-08002B2CF9AE}" pid="21">
    <vt:lpwstr xmlns:vt="http://schemas.openxmlformats.org/officeDocument/2006/docPropsVTypes"/>
  </property>
  <property name="xd_Signature" fmtid="{D5CDD505-2E9C-101B-9397-08002B2CF9AE}" pid="22">
    <vt:bool xmlns:vt="http://schemas.openxmlformats.org/officeDocument/2006/docPropsVTypes">0</vt:bool>
  </property>
  <property name="TriggerFlowInfo" fmtid="{D5CDD505-2E9C-101B-9397-08002B2CF9AE}" pid="23">
    <vt:lpwstr xmlns:vt="http://schemas.openxmlformats.org/officeDocument/2006/docPropsVTypes"/>
  </property>
  <property name="XREF" fmtid="{D5CDD505-2E9C-101B-9397-08002B2CF9AE}" pid="24">
    <vt:lpwstr xmlns:vt="http://schemas.openxmlformats.org/officeDocument/2006/docPropsVTypes" xml:space="preserve">, </vt:lpwstr>
  </property>
</Properties>
</file>