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11vksYM95BWw5nq5tcVo25Ksddj8Ip06Mj/hffVs4t8528MqgjCw6Tva8d5L0AgukILy56xCdukINzJzQ/LLKw==" workbookSaltValue="D1x//o9jn6QlvmDr1mwvdA==" workbookSpinCount="100000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apport supplémentaire 2024-25" sheetId="1" state="visible" r:id="rId1"/>
    <sheet xmlns:r="http://schemas.openxmlformats.org/officeDocument/2006/relationships" name="ATIP_ForConsumption" sheetId="2" state="very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color rgb="FFFFFF00"/>
      <sz val="11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Arial"/>
      <family val="2"/>
      <b val="1"/>
      <i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i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inden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 indent="1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0" fillId="4" borderId="0" pivotButton="0" quotePrefix="0" xfId="0"/>
    <xf numFmtId="49" fontId="8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indent="1"/>
    </xf>
    <xf numFmtId="0" fontId="1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left" wrapText="1" indent="1"/>
    </xf>
    <xf numFmtId="164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center" vertical="top" wrapText="1"/>
    </xf>
    <xf numFmtId="0" fontId="9" fillId="0" borderId="12" applyAlignment="1" pivotButton="0" quotePrefix="0" xfId="0">
      <alignment horizontal="center" vertical="top" wrapText="1"/>
    </xf>
    <xf numFmtId="0" fontId="9" fillId="0" borderId="13" applyAlignment="1" pivotButton="0" quotePrefix="0" xfId="0">
      <alignment horizontal="center" vertical="top" wrapText="1"/>
    </xf>
    <xf numFmtId="0" fontId="10" fillId="0" borderId="39" applyAlignment="1" applyProtection="1" pivotButton="0" quotePrefix="0" xfId="0">
      <alignment horizontal="center" vertical="center" wrapText="1"/>
      <protection locked="0" hidden="0"/>
    </xf>
    <xf numFmtId="0" fontId="10" fillId="0" borderId="40" applyAlignment="1" applyProtection="1" pivotButton="0" quotePrefix="0" xfId="0">
      <alignment horizontal="center" vertical="center" wrapText="1"/>
      <protection locked="0" hidden="0"/>
    </xf>
    <xf numFmtId="0" fontId="10" fillId="0" borderId="32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applyProtection="1" pivotButton="0" quotePrefix="0" xfId="0">
      <alignment horizontal="center" vertical="center" wrapText="1"/>
      <protection locked="0" hidden="0"/>
    </xf>
    <xf numFmtId="0" fontId="10" fillId="0" borderId="43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42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10" fillId="0" borderId="40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10" fillId="0" borderId="28" applyAlignment="1" applyProtection="1" pivotButton="0" quotePrefix="0" xfId="0">
      <alignment horizontal="center" vertical="center" wrapText="1"/>
      <protection locked="0" hidden="0"/>
    </xf>
    <xf numFmtId="0" fontId="10" fillId="0" borderId="18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 wrapText="1"/>
      <protection locked="0" hidden="0"/>
    </xf>
    <xf numFmtId="0" fontId="10" fillId="0" borderId="30" applyAlignment="1" applyProtection="1" pivotButton="0" quotePrefix="0" xfId="0">
      <alignment horizontal="center" vertical="center" wrapText="1"/>
      <protection locked="0" hidden="0"/>
    </xf>
    <xf numFmtId="0" fontId="10" fillId="0" borderId="10" applyAlignment="1" applyProtection="1" pivotButton="0" quotePrefix="0" xfId="0">
      <alignment horizontal="center" vertical="center" wrapText="1"/>
      <protection locked="0" hidden="0"/>
    </xf>
    <xf numFmtId="0" fontId="10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24" applyAlignment="1" applyProtection="1" pivotButton="0" quotePrefix="0" xfId="0">
      <alignment horizontal="center" vertical="center" wrapText="1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44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center" vertical="center" wrapText="1"/>
      <protection locked="0" hidden="0"/>
    </xf>
    <xf numFmtId="0" fontId="10" fillId="0" borderId="29" applyAlignment="1" applyProtection="1" pivotButton="0" quotePrefix="0" xfId="0">
      <alignment horizontal="center" vertical="center" wrapText="1"/>
      <protection locked="0" hidden="0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 indent="1"/>
    </xf>
    <xf numFmtId="0" fontId="9" fillId="0" borderId="3" applyAlignment="1" pivotButton="0" quotePrefix="0" xfId="0">
      <alignment horizontal="left" vertical="center" wrapText="1" indent="1"/>
    </xf>
    <xf numFmtId="0" fontId="9" fillId="0" borderId="11" applyAlignment="1" pivotButton="0" quotePrefix="0" xfId="0">
      <alignment horizontal="left" vertical="center" wrapText="1" indent="1"/>
    </xf>
    <xf numFmtId="0" fontId="9" fillId="0" borderId="12" applyAlignment="1" pivotButton="0" quotePrefix="0" xfId="0">
      <alignment horizontal="left" vertical="center" wrapText="1" indent="1"/>
    </xf>
    <xf numFmtId="0" fontId="9" fillId="0" borderId="14" applyAlignment="1" pivotButton="0" quotePrefix="0" xfId="0">
      <alignment horizontal="left" vertical="center" wrapText="1" indent="1"/>
    </xf>
    <xf numFmtId="0" fontId="9" fillId="0" borderId="13" applyAlignment="1" pivotButton="0" quotePrefix="0" xfId="0">
      <alignment horizontal="left" vertical="center" wrapText="1" indent="1"/>
    </xf>
    <xf numFmtId="0" fontId="9" fillId="0" borderId="2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1" applyAlignment="1" applyProtection="1" pivotButton="0" quotePrefix="0" xfId="0">
      <alignment horizontal="center" vertical="center" wrapText="1"/>
      <protection locked="0" hidden="0"/>
    </xf>
    <xf numFmtId="0" fontId="10" fillId="0" borderId="12" applyAlignment="1" applyProtection="1" pivotButton="0" quotePrefix="0" xfId="0">
      <alignment horizontal="center" vertical="center" wrapText="1"/>
      <protection locked="0" hidden="0"/>
    </xf>
    <xf numFmtId="0" fontId="10" fillId="0" borderId="13" applyAlignment="1" applyProtection="1" pivotButton="0" quotePrefix="0" xfId="0">
      <alignment horizontal="center" vertical="center" wrapText="1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7" applyAlignment="1" applyProtection="1" pivotButton="0" quotePrefix="0" xfId="0">
      <alignment horizontal="center" vertical="center" wrapText="1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9" fillId="0" borderId="2" applyAlignment="1" pivotButton="0" quotePrefix="0" xfId="0">
      <alignment horizontal="center" vertical="center" wrapText="1" indent="1"/>
    </xf>
    <xf numFmtId="0" fontId="9" fillId="0" borderId="3" applyAlignment="1" pivotButton="0" quotePrefix="0" xfId="0">
      <alignment horizontal="center" vertical="center" wrapText="1" indent="1"/>
    </xf>
    <xf numFmtId="0" fontId="9" fillId="0" borderId="12" applyAlignment="1" pivotButton="0" quotePrefix="0" xfId="0">
      <alignment horizontal="center" vertical="center" wrapText="1" indent="1"/>
    </xf>
    <xf numFmtId="0" fontId="9" fillId="0" borderId="14" applyAlignment="1" pivotButton="0" quotePrefix="0" xfId="0">
      <alignment horizontal="center" vertical="center" wrapText="1" indent="1"/>
    </xf>
    <xf numFmtId="0" fontId="14" fillId="2" borderId="0" applyAlignment="1" pivotButton="0" quotePrefix="0" xfId="0">
      <alignment horizontal="left" indent="1"/>
    </xf>
    <xf numFmtId="0" fontId="6" fillId="2" borderId="0" applyAlignment="1" pivotButton="0" quotePrefix="0" xfId="0">
      <alignment horizontal="left" inden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1" fillId="0" borderId="38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left" vertical="top" wrapText="1" indent="1"/>
    </xf>
    <xf numFmtId="0" fontId="7" fillId="0" borderId="11" applyAlignment="1" pivotButton="0" quotePrefix="0" xfId="0">
      <alignment horizontal="left" vertical="top" wrapText="1" indent="1"/>
    </xf>
    <xf numFmtId="0" fontId="7" fillId="0" borderId="12" applyAlignment="1" pivotButton="0" quotePrefix="0" xfId="0">
      <alignment horizontal="left" vertical="top" wrapText="1" indent="1"/>
    </xf>
    <xf numFmtId="0" fontId="7" fillId="0" borderId="14" applyAlignment="1" pivotButton="0" quotePrefix="0" xfId="0">
      <alignment horizontal="left" vertical="top" wrapText="1" indent="1"/>
    </xf>
    <xf numFmtId="0" fontId="7" fillId="0" borderId="13" applyAlignment="1" pivotButton="0" quotePrefix="0" xfId="0">
      <alignment horizontal="left" vertical="top" wrapText="1" indent="1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38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9" fillId="0" borderId="4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9" fillId="0" borderId="45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26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0" fillId="0" borderId="27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pivotButton="0" quotePrefix="0" xfId="0"/>
    <xf numFmtId="0" fontId="0" fillId="0" borderId="23" pivotButton="0" quotePrefix="0" xfId="0"/>
    <xf numFmtId="0" fontId="9" fillId="0" borderId="49" applyAlignment="1" pivotButton="0" quotePrefix="0" xfId="0">
      <alignment horizontal="center" vertical="center" wrapText="1"/>
    </xf>
    <xf numFmtId="0" fontId="0" fillId="0" borderId="50" applyProtection="1" pivotButton="0" quotePrefix="0" xfId="0">
      <protection locked="0" hidden="0"/>
    </xf>
    <xf numFmtId="0" fontId="10" fillId="0" borderId="55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10" fillId="0" borderId="54" applyAlignment="1" applyProtection="1" pivotButton="0" quotePrefix="0" xfId="0">
      <alignment horizontal="center" vertical="center" wrapText="1"/>
      <protection locked="0" hidden="0"/>
    </xf>
    <xf numFmtId="0" fontId="9" fillId="0" borderId="45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16" pivotButton="0" quotePrefix="0" xfId="0"/>
    <xf numFmtId="0" fontId="0" fillId="0" borderId="6" pivotButton="0" quotePrefix="0" xfId="0"/>
    <xf numFmtId="0" fontId="10" fillId="0" borderId="47" applyAlignment="1" applyProtection="1" pivotButton="0" quotePrefix="0" xfId="0">
      <alignment horizontal="center" vertical="center" wrapText="1"/>
      <protection locked="0" hidden="0"/>
    </xf>
    <xf numFmtId="0" fontId="10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10" fillId="0" borderId="48" applyAlignment="1" applyProtection="1" pivotButton="0" quotePrefix="0" xfId="0">
      <alignment horizontal="center" vertical="center" wrapText="1"/>
      <protection locked="0" hidden="0"/>
    </xf>
    <xf numFmtId="0" fontId="10" fillId="0" borderId="51" applyAlignment="1" applyProtection="1" pivotButton="0" quotePrefix="0" xfId="0">
      <alignment horizontal="center" vertical="center" wrapText="1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9" fillId="0" borderId="49" applyAlignment="1" pivotButton="0" quotePrefix="0" xfId="0">
      <alignment horizontal="left" vertical="center" wrapText="1" indent="1"/>
    </xf>
    <xf numFmtId="0" fontId="9" fillId="0" borderId="48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46" applyAlignment="1" pivotButton="0" quotePrefix="0" xfId="0">
      <alignment horizontal="center" vertical="center" wrapText="1"/>
    </xf>
    <xf numFmtId="0" fontId="0" fillId="0" borderId="15" pivotButton="0" quotePrefix="0" xfId="0"/>
    <xf numFmtId="0" fontId="9" fillId="0" borderId="51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left" vertical="center" wrapText="1"/>
    </xf>
    <xf numFmtId="0" fontId="9" fillId="0" borderId="52" applyAlignment="1" pivotButton="0" quotePrefix="0" xfId="0">
      <alignment horizontal="center" vertical="center" wrapText="1"/>
    </xf>
    <xf numFmtId="0" fontId="0" fillId="0" borderId="36" pivotButton="0" quotePrefix="0" xfId="0"/>
    <xf numFmtId="0" fontId="9" fillId="0" borderId="49" applyAlignment="1" pivotButton="0" quotePrefix="0" xfId="0">
      <alignment horizontal="center" vertical="center" wrapText="1" indent="1"/>
    </xf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7" fillId="0" borderId="45" applyAlignment="1" pivotButton="0" quotePrefix="0" xfId="0">
      <alignment horizontal="left" vertical="top" wrapText="1" indent="1"/>
    </xf>
    <xf numFmtId="0" fontId="5" fillId="0" borderId="45" applyAlignment="1" applyProtection="1" pivotButton="0" quotePrefix="0" xfId="0">
      <alignment horizontal="center"/>
      <protection locked="0" hidden="0"/>
    </xf>
    <xf numFmtId="0" fontId="0" fillId="0" borderId="38" applyProtection="1" pivotButton="0" quotePrefix="0" xfId="0">
      <protection locked="0" hidden="0"/>
    </xf>
    <xf numFmtId="0" fontId="5" fillId="0" borderId="45" applyAlignment="1" pivotButton="0" quotePrefix="0" xfId="0">
      <alignment horizontal="left" vertical="top" wrapText="1"/>
    </xf>
    <xf numFmtId="0" fontId="1" fillId="0" borderId="45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3">
    <dxf>
      <font>
        <color rgb="FFFF0000"/>
      </font>
    </dxf>
    <dxf>
      <font>
        <color theme="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276225</colOff>
      <row>1</row>
      <rowOff>123825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3578" cy="303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136</row>
      <rowOff>0</rowOff>
    </from>
    <to>
      <col>11</col>
      <colOff>1149803</colOff>
      <row>137</row>
      <rowOff>129069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83313" y="28344813"/>
          <a:ext cx="1149803" cy="3036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2:T133"/>
  <sheetViews>
    <sheetView showGridLines="0" tabSelected="1" zoomScale="85" zoomScaleNormal="85" workbookViewId="0">
      <selection activeCell="F19" sqref="F19:G20"/>
    </sheetView>
  </sheetViews>
  <sheetFormatPr baseColWidth="8" defaultColWidth="9" defaultRowHeight="14.25"/>
  <cols>
    <col width="7.28515625" customWidth="1" style="1" min="1" max="2"/>
    <col width="9" customWidth="1" style="1" min="3" max="3"/>
    <col width="7.85546875" customWidth="1" style="1" min="4" max="4"/>
    <col width="7.28515625" customWidth="1" style="1" min="5" max="5"/>
    <col width="8" customWidth="1" style="1" min="6" max="6"/>
    <col width="8.5703125" customWidth="1" style="1" min="7" max="7"/>
    <col width="7.28515625" customWidth="1" style="1" min="8" max="8"/>
    <col width="6.85546875" customWidth="1" style="1" min="9" max="9"/>
    <col width="7.28515625" customWidth="1" style="1" min="10" max="10"/>
    <col width="10.140625" customWidth="1" style="1" min="11" max="11"/>
    <col width="60.5703125" customWidth="1" style="1" min="12" max="12"/>
    <col width="9" customWidth="1" style="1" min="13" max="16384"/>
  </cols>
  <sheetData>
    <row r="1" ht="14.25" customHeight="1"/>
    <row r="2" ht="14.25" customHeight="1">
      <c r="H2" s="14" t="n"/>
    </row>
    <row r="3" ht="14.25" customHeight="1"/>
    <row r="4" ht="18" customHeight="1">
      <c r="A4" s="19" t="inlineStr">
        <is>
          <t>Rapport statistique supplémentaire sur la Loi sur l'accès à l'information et la Loi sur la protection des renseignements personnels</t>
        </is>
      </c>
    </row>
    <row r="5" ht="18" customHeight="1"/>
    <row r="6" ht="14.25" customHeight="1"/>
    <row r="7" ht="14.25" customHeight="1">
      <c r="A7" s="20" t="inlineStr">
        <is>
          <t>Nom de l'institution :</t>
        </is>
      </c>
      <c r="D7" s="21" t="inlineStr">
        <is>
          <t>Secrétariat du Conseil du Trésor du Canada</t>
        </is>
      </c>
      <c r="E7" s="132" t="n"/>
      <c r="F7" s="132" t="n"/>
      <c r="G7" s="132" t="n"/>
      <c r="H7" s="132" t="n"/>
      <c r="I7" s="132" t="n"/>
      <c r="J7" s="132" t="n"/>
      <c r="L7" s="1" t="inlineStr">
        <is>
          <t>Vous devez entrer le nom d'une institution.</t>
        </is>
      </c>
    </row>
    <row r="8" ht="14.25" customHeight="1"/>
    <row r="9" ht="45" customHeight="1">
      <c r="A9" s="22" t="inlineStr">
        <is>
          <t xml:space="preserve">Période d'établissement de rapport : </t>
        </is>
      </c>
      <c r="D9" s="23" t="n">
        <v>45383</v>
      </c>
      <c r="E9" s="133" t="n"/>
      <c r="F9" s="133" t="n"/>
      <c r="G9" s="15" t="inlineStr">
        <is>
          <t>au</t>
        </is>
      </c>
      <c r="H9" s="23" t="n">
        <v>45747</v>
      </c>
      <c r="I9" s="133" t="n"/>
      <c r="J9" s="133" t="n"/>
    </row>
    <row r="10" ht="14.25" customHeight="1"/>
    <row r="11" ht="14.25" customFormat="1" customHeight="1" s="2">
      <c r="A11" s="26" t="inlineStr">
        <is>
          <t>Section 1 : Demandes reportées et plaintes actives en vertu de la Loi sur l'accès à l'information</t>
        </is>
      </c>
      <c r="N11" s="3" t="n"/>
      <c r="O11" s="3" t="n"/>
      <c r="P11" s="3" t="n"/>
      <c r="Q11" s="3" t="n"/>
      <c r="R11" s="3" t="n"/>
      <c r="S11" s="3" t="n"/>
      <c r="T11" s="3" t="n"/>
    </row>
    <row r="12" ht="15.75" customFormat="1" customHeight="1" s="2">
      <c r="A12" s="7" t="n"/>
      <c r="B12" s="7" t="n"/>
      <c r="C12" s="7" t="n"/>
      <c r="D12" s="7" t="n"/>
      <c r="E12" s="7" t="n"/>
      <c r="F12" s="18" t="n"/>
      <c r="G12" s="7" t="n"/>
      <c r="H12" s="7" t="n"/>
      <c r="I12" s="7" t="n"/>
      <c r="J12" s="7" t="n"/>
      <c r="K12" s="7" t="n"/>
      <c r="L12" s="7" t="n"/>
    </row>
    <row r="13" ht="15" customFormat="1" customHeight="1" s="2">
      <c r="A13" s="27" t="inlineStr">
        <is>
          <t>1.1 Demandes reportées à la prochaine période d'établissement de rapports, ventilées par période d'établissement de rapports reçue</t>
        </is>
      </c>
      <c r="M13" s="16" t="n"/>
    </row>
    <row r="14" ht="14.25" customFormat="1" customHeight="1" s="2" thickBo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7" t="n"/>
    </row>
    <row r="15" ht="14.25" customFormat="1" customHeight="1" s="2">
      <c r="A15" s="134" t="inlineStr">
        <is>
          <t xml:space="preserve">Période d'établissement de rapports au cours de laquelle les demandes reportées ont été reçues		</t>
        </is>
      </c>
      <c r="B15" s="135" t="n"/>
      <c r="C15" s="136" t="n"/>
      <c r="D15" s="137" t="inlineStr">
        <is>
          <t>Demandes reportées dans les délais prescrits par la Loi en date du 31 mars 2025</t>
        </is>
      </c>
      <c r="E15" s="136" t="n"/>
      <c r="F15" s="137" t="inlineStr">
        <is>
          <t>Demandes reportées dépassant les délais prescrits par la Loi en date du 31 mars 2025</t>
        </is>
      </c>
      <c r="G15" s="136" t="n"/>
      <c r="H15" s="134" t="inlineStr">
        <is>
          <t>Total</t>
        </is>
      </c>
      <c r="I15" s="136" t="n"/>
      <c r="J15" s="57" t="n"/>
      <c r="K15" s="3" t="n"/>
      <c r="L15" s="3" t="n"/>
    </row>
    <row r="16" ht="73.5" customFormat="1" customHeight="1" s="2" thickBot="1">
      <c r="A16" s="138" t="n"/>
      <c r="B16" s="139" t="n"/>
      <c r="C16" s="140" t="n"/>
      <c r="D16" s="138" t="n"/>
      <c r="E16" s="140" t="n"/>
      <c r="F16" s="138" t="n"/>
      <c r="G16" s="140" t="n"/>
      <c r="H16" s="138" t="n"/>
      <c r="I16" s="140" t="n"/>
      <c r="J16" s="57" t="n"/>
      <c r="K16" s="3" t="n"/>
      <c r="L16" s="3" t="n"/>
    </row>
    <row r="17" ht="15" customFormat="1" customHeight="1" s="2">
      <c r="A17" s="134" t="inlineStr">
        <is>
          <t>Reçues en 2024-2025</t>
        </is>
      </c>
      <c r="B17" s="135" t="n"/>
      <c r="C17" s="136" t="n"/>
      <c r="D17" s="141" t="n">
        <v>0</v>
      </c>
      <c r="E17" s="142" t="n"/>
      <c r="F17" s="143" t="n">
        <v>0</v>
      </c>
      <c r="G17" s="144" t="n"/>
      <c r="H17" s="145">
        <f>SUM(D17:G18)</f>
        <v/>
      </c>
      <c r="I17" s="136" t="n"/>
      <c r="J17" s="57" t="n"/>
      <c r="K17" s="3" t="n"/>
      <c r="L17" s="3" t="n"/>
    </row>
    <row r="18" ht="15.75" customFormat="1" customHeight="1" s="2" thickBot="1">
      <c r="A18" s="138" t="n"/>
      <c r="B18" s="139" t="n"/>
      <c r="C18" s="140" t="n"/>
      <c r="D18" s="146" t="n"/>
      <c r="E18" s="147" t="n"/>
      <c r="F18" s="148" t="n"/>
      <c r="G18" s="149" t="n"/>
      <c r="H18" s="150" t="n"/>
      <c r="I18" s="151" t="n"/>
      <c r="J18" s="57" t="n"/>
      <c r="K18" s="3" t="n"/>
      <c r="L18" s="3" t="n"/>
    </row>
    <row r="19" ht="15" customFormat="1" customHeight="1" s="2">
      <c r="A19" s="152" t="inlineStr">
        <is>
          <t>Reçues en 2023-2024</t>
        </is>
      </c>
      <c r="B19" s="135" t="n"/>
      <c r="C19" s="135" t="n"/>
      <c r="D19" s="38" t="n">
        <v>0</v>
      </c>
      <c r="E19" s="153" t="n"/>
      <c r="F19" s="154" t="n">
        <v>58</v>
      </c>
      <c r="G19" s="155" t="n"/>
      <c r="H19" s="145">
        <f>SUM(D19:G20)</f>
        <v/>
      </c>
      <c r="I19" s="136" t="n"/>
      <c r="J19" s="57" t="n"/>
      <c r="K19" s="3" t="n"/>
      <c r="L19" s="3" t="n"/>
    </row>
    <row r="20" ht="15.75" customFormat="1" customHeight="1" s="2" thickBot="1">
      <c r="A20" s="138" t="n"/>
      <c r="B20" s="139" t="n"/>
      <c r="C20" s="139" t="n"/>
      <c r="D20" s="146" t="n"/>
      <c r="E20" s="147" t="n"/>
      <c r="F20" s="148" t="n"/>
      <c r="G20" s="149" t="n"/>
      <c r="H20" s="150" t="n"/>
      <c r="I20" s="151" t="n"/>
      <c r="J20" s="57" t="n"/>
      <c r="K20" s="3" t="n"/>
      <c r="L20" s="3" t="n"/>
    </row>
    <row r="21" ht="14.25" customFormat="1" customHeight="1" s="2">
      <c r="A21" s="152" t="inlineStr">
        <is>
          <t>Reçues en 2022-2023</t>
        </is>
      </c>
      <c r="B21" s="135" t="n"/>
      <c r="C21" s="135" t="n"/>
      <c r="D21" s="58" t="n">
        <v>136</v>
      </c>
      <c r="E21" s="156" t="n"/>
      <c r="F21" s="60" t="n">
        <v>194</v>
      </c>
      <c r="G21" s="157" t="n"/>
      <c r="H21" s="145">
        <f>SUM(D21:G22)</f>
        <v/>
      </c>
      <c r="I21" s="136" t="n"/>
      <c r="J21" s="57" t="n"/>
      <c r="K21" s="3" t="n"/>
      <c r="L21" s="3" t="n"/>
    </row>
    <row r="22" ht="14.25" customFormat="1" customHeight="1" s="2" thickBot="1">
      <c r="A22" s="138" t="n"/>
      <c r="B22" s="139" t="n"/>
      <c r="C22" s="139" t="n"/>
      <c r="D22" s="146" t="n"/>
      <c r="E22" s="147" t="n"/>
      <c r="F22" s="148" t="n"/>
      <c r="G22" s="149" t="n"/>
      <c r="H22" s="150" t="n"/>
      <c r="I22" s="151" t="n"/>
      <c r="J22" s="57" t="n"/>
      <c r="K22" s="3" t="n"/>
      <c r="L22" s="3" t="n"/>
    </row>
    <row r="23" ht="14.25" customFormat="1" customHeight="1" s="2">
      <c r="A23" s="152" t="inlineStr">
        <is>
          <t>Reçues en 2021-2022</t>
        </is>
      </c>
      <c r="B23" s="135" t="n"/>
      <c r="C23" s="135" t="n"/>
      <c r="D23" s="58" t="n">
        <v>51</v>
      </c>
      <c r="E23" s="156" t="n"/>
      <c r="F23" s="60" t="n">
        <v>54</v>
      </c>
      <c r="G23" s="157" t="n"/>
      <c r="H23" s="145">
        <f>SUM(D23:G24)</f>
        <v/>
      </c>
      <c r="I23" s="136" t="n"/>
      <c r="J23" s="57" t="n"/>
      <c r="K23" s="3" t="n"/>
      <c r="L23" s="3" t="n"/>
    </row>
    <row r="24" ht="14.25" customFormat="1" customHeight="1" s="2" thickBot="1">
      <c r="A24" s="138" t="n"/>
      <c r="B24" s="139" t="n"/>
      <c r="C24" s="139" t="n"/>
      <c r="D24" s="146" t="n"/>
      <c r="E24" s="147" t="n"/>
      <c r="F24" s="148" t="n"/>
      <c r="G24" s="149" t="n"/>
      <c r="H24" s="150" t="n"/>
      <c r="I24" s="151" t="n"/>
      <c r="J24" s="57" t="n"/>
      <c r="K24" s="3" t="n"/>
      <c r="L24" s="3" t="n"/>
    </row>
    <row r="25" ht="14.25" customFormat="1" customHeight="1" s="2">
      <c r="A25" s="152" t="inlineStr">
        <is>
          <t>Reçues en 2020-2021</t>
        </is>
      </c>
      <c r="B25" s="135" t="n"/>
      <c r="C25" s="135" t="n"/>
      <c r="D25" s="58" t="n">
        <v>105</v>
      </c>
      <c r="E25" s="156" t="n"/>
      <c r="F25" s="59" t="n">
        <v>3</v>
      </c>
      <c r="G25" s="156" t="n"/>
      <c r="H25" s="145">
        <f>SUM(D25:G26)</f>
        <v/>
      </c>
      <c r="I25" s="136" t="n"/>
      <c r="J25" s="57" t="n"/>
      <c r="K25" s="3" t="n"/>
      <c r="L25" s="3" t="n"/>
    </row>
    <row r="26" ht="14.25" customFormat="1" customHeight="1" s="2" thickBot="1">
      <c r="A26" s="138" t="n"/>
      <c r="B26" s="139" t="n"/>
      <c r="C26" s="139" t="n"/>
      <c r="D26" s="146" t="n"/>
      <c r="E26" s="147" t="n"/>
      <c r="F26" s="148" t="n"/>
      <c r="G26" s="147" t="n"/>
      <c r="H26" s="150" t="n"/>
      <c r="I26" s="151" t="n"/>
      <c r="J26" s="7" t="n"/>
      <c r="K26" s="3" t="n"/>
      <c r="L26" s="3" t="n"/>
    </row>
    <row r="27" ht="14.25" customFormat="1" customHeight="1" s="2">
      <c r="A27" s="152" t="inlineStr">
        <is>
          <t>Reçues en 2019-2020</t>
        </is>
      </c>
      <c r="B27" s="135" t="n"/>
      <c r="C27" s="135" t="n"/>
      <c r="D27" s="58" t="n">
        <v>31</v>
      </c>
      <c r="E27" s="156" t="n"/>
      <c r="F27" s="97" t="n">
        <v>34</v>
      </c>
      <c r="G27" s="156" t="n"/>
      <c r="H27" s="145">
        <f>SUM(D27:G28)</f>
        <v/>
      </c>
      <c r="I27" s="136" t="n"/>
      <c r="J27" s="7" t="n"/>
      <c r="K27" s="3" t="n"/>
      <c r="L27" s="3" t="n"/>
    </row>
    <row r="28" ht="14.25" customFormat="1" customHeight="1" s="2" thickBot="1">
      <c r="A28" s="138" t="n"/>
      <c r="B28" s="139" t="n"/>
      <c r="C28" s="139" t="n"/>
      <c r="D28" s="146" t="n"/>
      <c r="E28" s="147" t="n"/>
      <c r="F28" s="158" t="n"/>
      <c r="G28" s="147" t="n"/>
      <c r="H28" s="150" t="n"/>
      <c r="I28" s="151" t="n"/>
      <c r="J28" s="7" t="n"/>
      <c r="K28" s="3" t="n"/>
      <c r="L28" s="3" t="n"/>
    </row>
    <row r="29" ht="14.25" customFormat="1" customHeight="1" s="2">
      <c r="A29" s="152" t="inlineStr">
        <is>
          <t>Reçues en 2018-2019</t>
        </is>
      </c>
      <c r="B29" s="135" t="n"/>
      <c r="C29" s="135" t="n"/>
      <c r="D29" s="58" t="n">
        <v>2</v>
      </c>
      <c r="E29" s="156" t="n"/>
      <c r="F29" s="59" t="n">
        <v>11</v>
      </c>
      <c r="G29" s="156" t="n"/>
      <c r="H29" s="145">
        <f>SUM(D29:G30)</f>
        <v/>
      </c>
      <c r="I29" s="136" t="n"/>
      <c r="J29" s="7" t="n"/>
      <c r="K29" s="3" t="n"/>
      <c r="L29" s="3" t="n"/>
    </row>
    <row r="30" ht="14.25" customFormat="1" customHeight="1" s="2" thickBot="1">
      <c r="A30" s="138" t="n"/>
      <c r="B30" s="139" t="n"/>
      <c r="C30" s="139" t="n"/>
      <c r="D30" s="146" t="n"/>
      <c r="E30" s="147" t="n"/>
      <c r="F30" s="148" t="n"/>
      <c r="G30" s="147" t="n"/>
      <c r="H30" s="150" t="n"/>
      <c r="I30" s="151" t="n"/>
      <c r="J30" s="7" t="n"/>
      <c r="K30" s="3" t="n"/>
      <c r="L30" s="3" t="n"/>
    </row>
    <row r="31" ht="14.25" customFormat="1" customHeight="1" s="2">
      <c r="A31" s="152" t="inlineStr">
        <is>
          <t>Reçues en 2017-2018</t>
        </is>
      </c>
      <c r="B31" s="135" t="n"/>
      <c r="C31" s="135" t="n"/>
      <c r="D31" s="58" t="n">
        <v>13</v>
      </c>
      <c r="E31" s="156" t="n"/>
      <c r="F31" s="159" t="n">
        <v>0</v>
      </c>
      <c r="G31" s="157" t="n"/>
      <c r="H31" s="145">
        <f>SUM(D31:G32)</f>
        <v/>
      </c>
      <c r="I31" s="136" t="n"/>
      <c r="J31" s="7" t="n"/>
      <c r="K31" s="3" t="n"/>
      <c r="L31" s="3" t="n"/>
    </row>
    <row r="32" ht="14.25" customFormat="1" customHeight="1" s="2" thickBot="1">
      <c r="A32" s="138" t="n"/>
      <c r="B32" s="139" t="n"/>
      <c r="C32" s="139" t="n"/>
      <c r="D32" s="146" t="n"/>
      <c r="E32" s="147" t="n"/>
      <c r="F32" s="158" t="n"/>
      <c r="G32" s="149" t="n"/>
      <c r="H32" s="150" t="n"/>
      <c r="I32" s="151" t="n"/>
      <c r="J32" s="7" t="n"/>
      <c r="K32" s="3" t="n"/>
      <c r="L32" s="3" t="n"/>
    </row>
    <row r="33" ht="14.25" customFormat="1" customHeight="1" s="2">
      <c r="A33" s="134" t="inlineStr">
        <is>
          <t>Reçues en 2016-2017</t>
        </is>
      </c>
      <c r="B33" s="135" t="n"/>
      <c r="C33" s="136" t="n"/>
      <c r="D33" s="58" t="n">
        <v>18</v>
      </c>
      <c r="E33" s="156" t="n"/>
      <c r="F33" s="159" t="n">
        <v>18</v>
      </c>
      <c r="G33" s="157" t="n"/>
      <c r="H33" s="145">
        <f>SUM(D33:G34)</f>
        <v/>
      </c>
      <c r="I33" s="136" t="n"/>
      <c r="J33" s="7" t="n"/>
      <c r="K33" s="3" t="n"/>
      <c r="L33" s="3" t="n"/>
    </row>
    <row r="34" ht="14.25" customFormat="1" customHeight="1" s="2" thickBot="1">
      <c r="A34" s="138" t="n"/>
      <c r="B34" s="139" t="n"/>
      <c r="C34" s="140" t="n"/>
      <c r="D34" s="146" t="n"/>
      <c r="E34" s="147" t="n"/>
      <c r="F34" s="158" t="n"/>
      <c r="G34" s="149" t="n"/>
      <c r="H34" s="150" t="n"/>
      <c r="I34" s="151" t="n"/>
      <c r="J34" s="7" t="n"/>
      <c r="K34" s="3" t="n"/>
      <c r="L34" s="3" t="n"/>
    </row>
    <row r="35" ht="14.25" customFormat="1" customHeight="1" s="2">
      <c r="A35" s="152" t="inlineStr">
        <is>
          <t>Reçues en 2015-2016 ou plus tôt</t>
        </is>
      </c>
      <c r="B35" s="135" t="n"/>
      <c r="C35" s="135" t="n"/>
      <c r="D35" s="38" t="n">
        <v>1</v>
      </c>
      <c r="E35" s="153" t="n"/>
      <c r="F35" s="63" t="n">
        <v>7</v>
      </c>
      <c r="G35" s="153" t="n"/>
      <c r="H35" s="145">
        <f>SUM(D35:G36)</f>
        <v/>
      </c>
      <c r="I35" s="136" t="n"/>
      <c r="J35" s="7" t="n"/>
      <c r="K35" s="3" t="n"/>
      <c r="L35" s="3" t="n"/>
    </row>
    <row r="36" ht="14.25" customFormat="1" customHeight="1" s="2" thickBot="1">
      <c r="A36" s="138" t="n"/>
      <c r="B36" s="139" t="n"/>
      <c r="C36" s="139" t="n"/>
      <c r="D36" s="146" t="n"/>
      <c r="E36" s="147" t="n"/>
      <c r="F36" s="148" t="n"/>
      <c r="G36" s="147" t="n"/>
      <c r="H36" s="150" t="n"/>
      <c r="I36" s="151" t="n"/>
      <c r="J36" s="7" t="n"/>
      <c r="K36" s="3" t="n"/>
      <c r="L36" s="3" t="n"/>
    </row>
    <row r="37" ht="14.25" customFormat="1" customHeight="1" s="2">
      <c r="A37" s="160" t="inlineStr">
        <is>
          <t>Total</t>
        </is>
      </c>
      <c r="B37" s="135" t="n"/>
      <c r="C37" s="136" t="n"/>
      <c r="D37" s="80">
        <f>SUM(D17:E36)</f>
        <v/>
      </c>
      <c r="E37" s="161" t="n"/>
      <c r="F37" s="84">
        <f>SUM(F17:G36)</f>
        <v/>
      </c>
      <c r="G37" s="161" t="n"/>
      <c r="H37" s="134">
        <f>SUM(D37:G38)</f>
        <v/>
      </c>
      <c r="I37" s="136" t="n"/>
      <c r="J37" s="55" t="inlineStr">
        <is>
          <t>Rangée 11, col. 3 de la section 1.1 doit être égale à la rangée 7, col. 1 de la section 1.1 du Rapport statistique sur la Loi sur l’accès à l’information 2024-2025</t>
        </is>
      </c>
    </row>
    <row r="38" ht="14.25" customFormat="1" customHeight="1" s="2" thickBot="1">
      <c r="A38" s="138" t="n"/>
      <c r="B38" s="139" t="n"/>
      <c r="C38" s="140" t="n"/>
      <c r="D38" s="133" t="n"/>
      <c r="E38" s="162" t="n"/>
      <c r="F38" s="150" t="n"/>
      <c r="G38" s="162" t="n"/>
      <c r="H38" s="138" t="n"/>
      <c r="I38" s="140" t="n"/>
      <c r="J38" s="163" t="n"/>
    </row>
    <row r="39" ht="14.25" customFormat="1" customHeight="1" s="2">
      <c r="A39" s="8" t="n"/>
      <c r="B39" s="8" t="n"/>
      <c r="C39" s="8" t="n"/>
      <c r="D39" s="9" t="n"/>
      <c r="E39" s="9" t="n"/>
      <c r="F39" s="9" t="n"/>
      <c r="G39" s="9" t="n"/>
      <c r="H39" s="10" t="n"/>
      <c r="I39" s="10" t="n"/>
      <c r="J39" s="7" t="n"/>
      <c r="K39" s="3" t="n"/>
      <c r="L39" s="3" t="n"/>
    </row>
    <row r="40" ht="14.25" customFormat="1" customHeight="1" s="2">
      <c r="A40" s="57" t="inlineStr">
        <is>
          <t>1.2 Plaintes actives auprès du Commissaire à l'information du Canada, ventilées par période d'établissement de rapports reçue</t>
        </is>
      </c>
    </row>
    <row r="41" ht="12.75" customFormat="1" customHeight="1" s="2"/>
    <row r="42" ht="14.25" customFormat="1" customHeight="1" s="2" thickBot="1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  <c r="L42" s="109" t="n"/>
    </row>
    <row r="43" ht="14.25" customFormat="1" customHeight="1" s="2">
      <c r="A43" s="134" t="inlineStr">
        <is>
          <t>Période d'établissement de rapports au cours de laquelle les plaintes actives ont été reçues par l'institution</t>
        </is>
      </c>
      <c r="B43" s="135" t="n"/>
      <c r="C43" s="136" t="n"/>
      <c r="D43" s="134" t="inlineStr">
        <is>
          <t>Nombre de plaintes actives</t>
        </is>
      </c>
      <c r="E43" s="136" t="n"/>
      <c r="F43" s="109" t="n"/>
      <c r="G43" s="109" t="n"/>
      <c r="H43" s="109" t="n"/>
      <c r="I43" s="3" t="n"/>
      <c r="J43" s="3" t="n"/>
      <c r="K43" s="3" t="n"/>
      <c r="L43" s="3" t="n"/>
    </row>
    <row r="44" ht="69" customFormat="1" customHeight="1" s="2" thickBot="1">
      <c r="A44" s="138" t="n"/>
      <c r="B44" s="139" t="n"/>
      <c r="C44" s="140" t="n"/>
      <c r="D44" s="138" t="n"/>
      <c r="E44" s="140" t="n"/>
      <c r="F44" s="109" t="n"/>
      <c r="G44" s="109" t="n"/>
      <c r="H44" s="109" t="n"/>
      <c r="I44" s="3" t="n"/>
      <c r="J44" s="3" t="n"/>
      <c r="K44" s="3" t="n"/>
      <c r="L44" s="3" t="n"/>
    </row>
    <row r="45" ht="15" customFormat="1" customHeight="1" s="2">
      <c r="A45" s="134" t="inlineStr">
        <is>
          <t>Reçues en 2024-2025</t>
        </is>
      </c>
      <c r="B45" s="135" t="n"/>
      <c r="C45" s="136" t="n"/>
      <c r="D45" s="164" t="n">
        <v>0</v>
      </c>
      <c r="E45" s="144" t="n"/>
      <c r="F45" s="109" t="n"/>
      <c r="G45" s="109" t="n"/>
      <c r="H45" s="109" t="n"/>
      <c r="I45" s="3" t="n"/>
      <c r="J45" s="3" t="n"/>
      <c r="K45" s="3" t="n"/>
      <c r="L45" s="3" t="n"/>
    </row>
    <row r="46" ht="15.75" customFormat="1" customHeight="1" s="2" thickBot="1">
      <c r="A46" s="138" t="n"/>
      <c r="B46" s="139" t="n"/>
      <c r="C46" s="140" t="n"/>
      <c r="D46" s="146" t="n"/>
      <c r="E46" s="149" t="n"/>
      <c r="F46" s="109" t="n"/>
      <c r="G46" s="109" t="n"/>
      <c r="H46" s="109" t="n"/>
      <c r="I46" s="3" t="n"/>
      <c r="J46" s="3" t="n"/>
      <c r="K46" s="3" t="n"/>
      <c r="L46" s="3" t="n"/>
    </row>
    <row r="47" ht="16.5" customFormat="1" customHeight="1" s="2">
      <c r="A47" s="152" t="inlineStr">
        <is>
          <t>Reçues en 2023-2024</t>
        </is>
      </c>
      <c r="B47" s="135" t="n"/>
      <c r="C47" s="135" t="n"/>
      <c r="D47" s="164" t="n">
        <v>21</v>
      </c>
      <c r="E47" s="144" t="n"/>
      <c r="F47" s="109" t="n"/>
      <c r="G47" s="109" t="n"/>
      <c r="H47" s="109" t="n"/>
      <c r="I47" s="3" t="n"/>
      <c r="J47" s="3" t="n"/>
      <c r="K47" s="3" t="n"/>
      <c r="L47" s="3" t="n"/>
    </row>
    <row r="48" ht="14.25" customFormat="1" customHeight="1" s="2" thickBot="1">
      <c r="A48" s="138" t="n"/>
      <c r="B48" s="139" t="n"/>
      <c r="C48" s="139" t="n"/>
      <c r="D48" s="146" t="n"/>
      <c r="E48" s="149" t="n"/>
      <c r="F48" s="109" t="n"/>
      <c r="G48" s="109" t="n"/>
      <c r="H48" s="109" t="n"/>
      <c r="I48" s="3" t="n"/>
      <c r="J48" s="3" t="n"/>
      <c r="K48" s="3" t="n"/>
      <c r="L48" s="3" t="n"/>
    </row>
    <row r="49" ht="14.25" customFormat="1" customHeight="1" s="2">
      <c r="A49" s="152" t="inlineStr">
        <is>
          <t>Reçues en 2022-2023</t>
        </is>
      </c>
      <c r="B49" s="135" t="n"/>
      <c r="C49" s="135" t="n"/>
      <c r="D49" s="165" t="n">
        <v>13</v>
      </c>
      <c r="E49" s="155" t="n"/>
      <c r="F49" s="109" t="n"/>
      <c r="G49" s="109" t="n"/>
      <c r="H49" s="109" t="n"/>
      <c r="I49" s="3" t="n"/>
      <c r="J49" s="3" t="n"/>
      <c r="K49" s="3" t="n"/>
      <c r="L49" s="3" t="n"/>
    </row>
    <row r="50" ht="14.25" customFormat="1" customHeight="1" s="2" thickBot="1">
      <c r="A50" s="138" t="n"/>
      <c r="B50" s="139" t="n"/>
      <c r="C50" s="139" t="n"/>
      <c r="D50" s="166" t="n"/>
      <c r="E50" s="155" t="n"/>
      <c r="F50" s="109" t="n"/>
      <c r="G50" s="109" t="n"/>
      <c r="H50" s="109" t="n"/>
      <c r="I50" s="3" t="n"/>
      <c r="J50" s="3" t="n"/>
      <c r="K50" s="3" t="n"/>
      <c r="L50" s="3" t="n"/>
    </row>
    <row r="51" ht="14.25" customFormat="1" customHeight="1" s="2">
      <c r="A51" s="152" t="inlineStr">
        <is>
          <t>Reçues en 2021-2022</t>
        </is>
      </c>
      <c r="B51" s="135" t="n"/>
      <c r="C51" s="135" t="n"/>
      <c r="D51" s="167" t="n">
        <v>3</v>
      </c>
      <c r="E51" s="157" t="n"/>
      <c r="F51" s="109" t="n"/>
      <c r="G51" s="109" t="n"/>
      <c r="H51" s="109" t="n"/>
      <c r="I51" s="3" t="n"/>
      <c r="J51" s="3" t="n"/>
      <c r="K51" s="3" t="n"/>
      <c r="L51" s="3" t="n"/>
    </row>
    <row r="52" ht="14.25" customFormat="1" customHeight="1" s="2" thickBot="1">
      <c r="A52" s="138" t="n"/>
      <c r="B52" s="139" t="n"/>
      <c r="C52" s="139" t="n"/>
      <c r="D52" s="146" t="n"/>
      <c r="E52" s="149" t="n"/>
      <c r="F52" s="109" t="n"/>
      <c r="G52" s="109" t="n"/>
      <c r="H52" s="109" t="n"/>
      <c r="I52" s="3" t="n"/>
      <c r="J52" s="3" t="n"/>
      <c r="K52" s="3" t="n"/>
      <c r="L52" s="3" t="n"/>
    </row>
    <row r="53" ht="14.25" customFormat="1" customHeight="1" s="2">
      <c r="A53" s="152" t="inlineStr">
        <is>
          <t>Reçues en 2020-2021</t>
        </is>
      </c>
      <c r="B53" s="135" t="n"/>
      <c r="C53" s="135" t="n"/>
      <c r="D53" s="165" t="n">
        <v>5</v>
      </c>
      <c r="E53" s="155" t="n"/>
      <c r="F53" s="109" t="n"/>
      <c r="G53" s="109" t="n"/>
      <c r="H53" s="109" t="n"/>
      <c r="I53" s="3" t="n"/>
      <c r="J53" s="3" t="n"/>
      <c r="K53" s="3" t="n"/>
      <c r="L53" s="3" t="n"/>
    </row>
    <row r="54" ht="14.25" customFormat="1" customHeight="1" s="2" thickBot="1">
      <c r="A54" s="138" t="n"/>
      <c r="B54" s="139" t="n"/>
      <c r="C54" s="139" t="n"/>
      <c r="D54" s="166" t="n"/>
      <c r="E54" s="155" t="n"/>
      <c r="F54" s="109" t="n"/>
      <c r="G54" s="109" t="n"/>
      <c r="H54" s="109" t="n"/>
      <c r="I54" s="3" t="n"/>
      <c r="J54" s="3" t="n"/>
      <c r="K54" s="3" t="n"/>
      <c r="L54" s="3" t="n"/>
    </row>
    <row r="55" ht="14.25" customFormat="1" customHeight="1" s="2">
      <c r="A55" s="152" t="inlineStr">
        <is>
          <t>Reçues en 2019-2020</t>
        </is>
      </c>
      <c r="B55" s="135" t="n"/>
      <c r="C55" s="135" t="n"/>
      <c r="D55" s="168" t="n">
        <v>0</v>
      </c>
      <c r="E55" s="157" t="n"/>
      <c r="F55" s="109" t="n"/>
      <c r="G55" s="109" t="n"/>
      <c r="H55" s="109" t="n"/>
      <c r="I55" s="3" t="n"/>
      <c r="J55" s="3" t="n"/>
      <c r="K55" s="3" t="n"/>
      <c r="L55" s="3" t="n"/>
    </row>
    <row r="56" ht="14.25" customFormat="1" customHeight="1" s="2" thickBot="1">
      <c r="A56" s="138" t="n"/>
      <c r="B56" s="139" t="n"/>
      <c r="C56" s="139" t="n"/>
      <c r="D56" s="166" t="n"/>
      <c r="E56" s="155" t="n"/>
      <c r="F56" s="109" t="n"/>
      <c r="G56" s="109" t="n"/>
      <c r="H56" s="109" t="n"/>
      <c r="I56" s="3" t="n"/>
      <c r="J56" s="3" t="n"/>
      <c r="K56" s="3" t="n"/>
      <c r="L56" s="3" t="n"/>
    </row>
    <row r="57" ht="14.25" customFormat="1" customHeight="1" s="2">
      <c r="A57" s="152" t="inlineStr">
        <is>
          <t>Reçues en 2018-2019</t>
        </is>
      </c>
      <c r="B57" s="135" t="n"/>
      <c r="C57" s="135" t="n"/>
      <c r="D57" s="167" t="n">
        <v>0</v>
      </c>
      <c r="E57" s="157" t="n"/>
      <c r="F57" s="109" t="n"/>
      <c r="G57" s="109" t="n"/>
      <c r="H57" s="109" t="n"/>
      <c r="I57" s="3" t="n"/>
      <c r="J57" s="3" t="n"/>
      <c r="K57" s="3" t="n"/>
      <c r="L57" s="3" t="n"/>
    </row>
    <row r="58" ht="14.25" customFormat="1" customHeight="1" s="2" thickBot="1">
      <c r="A58" s="138" t="n"/>
      <c r="B58" s="139" t="n"/>
      <c r="C58" s="139" t="n"/>
      <c r="D58" s="146" t="n"/>
      <c r="E58" s="149" t="n"/>
      <c r="F58" s="109" t="n"/>
      <c r="G58" s="109" t="n"/>
      <c r="H58" s="109" t="n"/>
      <c r="I58" s="3" t="n"/>
      <c r="J58" s="3" t="n"/>
      <c r="K58" s="3" t="n"/>
      <c r="L58" s="3" t="n"/>
    </row>
    <row r="59" ht="14.25" customFormat="1" customHeight="1" s="2">
      <c r="A59" s="134" t="inlineStr">
        <is>
          <t>Reçues en 2017-2018</t>
        </is>
      </c>
      <c r="B59" s="135" t="n"/>
      <c r="C59" s="136" t="n"/>
      <c r="D59" s="167" t="n">
        <v>0</v>
      </c>
      <c r="E59" s="157" t="n"/>
      <c r="F59" s="109" t="n"/>
      <c r="G59" s="109" t="n"/>
      <c r="H59" s="109" t="n"/>
      <c r="I59" s="3" t="n"/>
      <c r="J59" s="3" t="n"/>
      <c r="K59" s="3" t="n"/>
      <c r="L59" s="3" t="n"/>
    </row>
    <row r="60" ht="14.25" customFormat="1" customHeight="1" s="2" thickBot="1">
      <c r="A60" s="138" t="n"/>
      <c r="B60" s="139" t="n"/>
      <c r="C60" s="140" t="n"/>
      <c r="D60" s="146" t="n"/>
      <c r="E60" s="149" t="n"/>
      <c r="F60" s="109" t="n"/>
      <c r="G60" s="109" t="n"/>
      <c r="H60" s="109" t="n"/>
      <c r="I60" s="3" t="n"/>
      <c r="J60" s="3" t="n"/>
      <c r="K60" s="3" t="n"/>
      <c r="L60" s="3" t="n"/>
    </row>
    <row r="61" ht="14.25" customFormat="1" customHeight="1" s="2">
      <c r="A61" s="134" t="inlineStr">
        <is>
          <t>Reçues en 2016-2017</t>
        </is>
      </c>
      <c r="B61" s="135" t="n"/>
      <c r="C61" s="136" t="n"/>
      <c r="D61" s="167" t="n">
        <v>0</v>
      </c>
      <c r="E61" s="157" t="n"/>
      <c r="F61" s="109" t="n"/>
      <c r="G61" s="109" t="n"/>
      <c r="H61" s="109" t="n"/>
      <c r="I61" s="3" t="n"/>
      <c r="J61" s="3" t="n"/>
      <c r="K61" s="3" t="n"/>
      <c r="L61" s="3" t="n"/>
    </row>
    <row r="62" ht="14.25" customFormat="1" customHeight="1" s="2" thickBot="1">
      <c r="A62" s="138" t="n"/>
      <c r="B62" s="139" t="n"/>
      <c r="C62" s="140" t="n"/>
      <c r="D62" s="146" t="n"/>
      <c r="E62" s="149" t="n"/>
      <c r="F62" s="109" t="n"/>
      <c r="G62" s="109" t="n"/>
      <c r="H62" s="109" t="n"/>
      <c r="I62" s="3" t="n"/>
      <c r="J62" s="3" t="n"/>
      <c r="K62" s="3" t="n"/>
      <c r="L62" s="3" t="n"/>
    </row>
    <row r="63" ht="14.25" customFormat="1" customHeight="1" s="2">
      <c r="A63" s="134" t="inlineStr">
        <is>
          <t>Reçues en 2015-2016 ou plus tôt</t>
        </is>
      </c>
      <c r="B63" s="135" t="n"/>
      <c r="C63" s="136" t="n"/>
      <c r="D63" s="169" t="n">
        <v>0</v>
      </c>
      <c r="E63" s="155" t="n"/>
      <c r="F63" s="109" t="n"/>
      <c r="G63" s="109" t="n"/>
      <c r="H63" s="109" t="n"/>
      <c r="I63" s="3" t="n"/>
      <c r="J63" s="3" t="n"/>
      <c r="K63" s="3" t="n"/>
      <c r="L63" s="3" t="n"/>
    </row>
    <row r="64" ht="14.25" customFormat="1" customHeight="1" s="2" thickBot="1">
      <c r="A64" s="138" t="n"/>
      <c r="B64" s="139" t="n"/>
      <c r="C64" s="140" t="n"/>
      <c r="D64" s="170" t="n"/>
      <c r="E64" s="171" t="n"/>
      <c r="F64" s="109" t="n"/>
      <c r="G64" s="109" t="n"/>
      <c r="H64" s="109" t="n"/>
      <c r="I64" s="3" t="n"/>
      <c r="J64" s="3" t="n"/>
      <c r="K64" s="3" t="n"/>
      <c r="L64" s="3" t="n"/>
    </row>
    <row r="65" ht="14.25" customFormat="1" customHeight="1" s="2">
      <c r="A65" s="172" t="inlineStr">
        <is>
          <t>Total</t>
        </is>
      </c>
      <c r="B65" s="135" t="n"/>
      <c r="C65" s="135" t="n"/>
      <c r="D65" s="134">
        <f>SUM(D45:E64)</f>
        <v/>
      </c>
      <c r="E65" s="136" t="n"/>
      <c r="F65" s="109" t="n"/>
      <c r="G65" s="109" t="n"/>
      <c r="H65" s="109" t="n"/>
      <c r="I65" s="3" t="n"/>
      <c r="J65" s="3" t="n"/>
      <c r="K65" s="3" t="n"/>
      <c r="L65" s="3" t="n"/>
    </row>
    <row r="66" ht="14.25" customFormat="1" customHeight="1" s="2" thickBot="1">
      <c r="A66" s="138" t="n"/>
      <c r="B66" s="139" t="n"/>
      <c r="C66" s="139" t="n"/>
      <c r="D66" s="138" t="n"/>
      <c r="E66" s="140" t="n"/>
      <c r="F66" s="109" t="n"/>
      <c r="G66" s="109" t="n"/>
      <c r="H66" s="109" t="n"/>
      <c r="I66" s="3" t="n"/>
      <c r="J66" s="3" t="n"/>
      <c r="K66" s="3" t="n"/>
      <c r="L66" s="3" t="n"/>
    </row>
    <row r="67" ht="14.25" customFormat="1" customHeight="1" s="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25" customFormat="1" customHeight="1" s="2">
      <c r="A68" s="26" t="inlineStr">
        <is>
          <t>Section 2 : Demandes reportées et plaintes actives en vertu de la Loi sur la protection des renseignements personnels</t>
        </is>
      </c>
    </row>
    <row r="69" ht="14.25" customFormat="1" customHeight="1" s="2">
      <c r="A69" s="7" t="n"/>
      <c r="B69" s="7" t="n"/>
      <c r="C69" s="7" t="n"/>
      <c r="D69" s="7" t="n"/>
      <c r="E69" s="7" t="n"/>
      <c r="F69" s="18" t="n"/>
      <c r="G69" s="7" t="n"/>
      <c r="H69" s="7" t="n"/>
      <c r="I69" s="7" t="n"/>
      <c r="J69" s="7" t="n"/>
      <c r="K69" s="7" t="n"/>
      <c r="L69" s="7" t="n"/>
    </row>
    <row r="70" ht="15.75" customFormat="1" customHeight="1" s="2">
      <c r="A70" s="27" t="inlineStr">
        <is>
          <t>2.1 Demandes reportées à la prochaine période d'établissement de rapports, ventilées par période d'établissement de rapports reçue</t>
        </is>
      </c>
      <c r="M70" s="27" t="n"/>
    </row>
    <row r="71" ht="14.25" customFormat="1" customHeight="1" s="2" thickBo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7" t="n"/>
    </row>
    <row r="72" ht="14.25" customFormat="1" customHeight="1" s="2">
      <c r="A72" s="134" t="inlineStr">
        <is>
          <t xml:space="preserve">Période d'établissement de rapports au cours de laquelle les demandes reportées ont été reçues		</t>
        </is>
      </c>
      <c r="B72" s="135" t="n"/>
      <c r="C72" s="136" t="n"/>
      <c r="D72" s="137" t="inlineStr">
        <is>
          <t>Demandes reportées dans les délais prescrits par la Loi en date du 31 mars 2025</t>
        </is>
      </c>
      <c r="E72" s="136" t="n"/>
      <c r="F72" s="137" t="inlineStr">
        <is>
          <t>Demandes reportées dépassant les délais prescrits par la Loi en date du 31 mars 2025</t>
        </is>
      </c>
      <c r="G72" s="136" t="n"/>
      <c r="H72" s="134" t="inlineStr">
        <is>
          <t>Total</t>
        </is>
      </c>
      <c r="I72" s="136" t="n"/>
      <c r="J72" s="57" t="n"/>
      <c r="K72" s="3" t="n"/>
      <c r="L72" s="3" t="n"/>
    </row>
    <row r="73" ht="73.5" customFormat="1" customHeight="1" s="2" thickBot="1">
      <c r="A73" s="138" t="n"/>
      <c r="B73" s="139" t="n"/>
      <c r="C73" s="140" t="n"/>
      <c r="D73" s="138" t="n"/>
      <c r="E73" s="140" t="n"/>
      <c r="F73" s="138" t="n"/>
      <c r="G73" s="140" t="n"/>
      <c r="H73" s="138" t="n"/>
      <c r="I73" s="140" t="n"/>
      <c r="J73" s="57" t="n"/>
      <c r="K73" s="3" t="n"/>
      <c r="L73" s="3" t="n"/>
    </row>
    <row r="74" ht="15" customFormat="1" customHeight="1" s="2">
      <c r="A74" s="134" t="inlineStr">
        <is>
          <t>Reçues en 2024-2025</t>
        </is>
      </c>
      <c r="B74" s="135" t="n"/>
      <c r="C74" s="136" t="n"/>
      <c r="D74" s="58" t="n">
        <v>0</v>
      </c>
      <c r="E74" s="156" t="n"/>
      <c r="F74" s="59" t="n">
        <v>0</v>
      </c>
      <c r="G74" s="156" t="n"/>
      <c r="H74" s="173">
        <f>SUM(D74:G75)</f>
        <v/>
      </c>
      <c r="I74" s="174" t="n"/>
      <c r="J74" s="57" t="n"/>
      <c r="K74" s="3" t="n"/>
      <c r="L74" s="3" t="n"/>
    </row>
    <row r="75" ht="15.75" customFormat="1" customHeight="1" s="2" thickBot="1">
      <c r="A75" s="138" t="n"/>
      <c r="B75" s="139" t="n"/>
      <c r="C75" s="140" t="n"/>
      <c r="D75" s="146" t="n"/>
      <c r="E75" s="147" t="n"/>
      <c r="F75" s="148" t="n"/>
      <c r="G75" s="147" t="n"/>
      <c r="H75" s="150" t="n"/>
      <c r="I75" s="151" t="n"/>
      <c r="J75" s="57" t="n"/>
      <c r="K75" s="3" t="n"/>
      <c r="L75" s="3" t="n"/>
    </row>
    <row r="76" ht="15" customFormat="1" customHeight="1" s="2">
      <c r="A76" s="152" t="inlineStr">
        <is>
          <t>Reçues en 2023-2024</t>
        </is>
      </c>
      <c r="B76" s="135" t="n"/>
      <c r="C76" s="135" t="n"/>
      <c r="D76" s="38" t="n">
        <v>0</v>
      </c>
      <c r="E76" s="153" t="n"/>
      <c r="F76" s="59" t="n">
        <v>17</v>
      </c>
      <c r="G76" s="156" t="n"/>
      <c r="H76" s="145">
        <f>SUM(D76:G77)</f>
        <v/>
      </c>
      <c r="I76" s="136" t="n"/>
      <c r="J76" s="57" t="n"/>
      <c r="K76" s="3" t="n"/>
      <c r="L76" s="3" t="n"/>
    </row>
    <row r="77" ht="15" customFormat="1" customHeight="1" s="2" thickBot="1">
      <c r="A77" s="138" t="n"/>
      <c r="B77" s="139" t="n"/>
      <c r="C77" s="139" t="n"/>
      <c r="D77" s="146" t="n"/>
      <c r="E77" s="147" t="n"/>
      <c r="F77" s="148" t="n"/>
      <c r="G77" s="147" t="n"/>
      <c r="H77" s="150" t="n"/>
      <c r="I77" s="151" t="n"/>
      <c r="J77" s="57" t="n"/>
      <c r="K77" s="3" t="n"/>
      <c r="L77" s="3" t="n"/>
    </row>
    <row r="78" ht="14.25" customFormat="1" customHeight="1" s="2">
      <c r="A78" s="152" t="inlineStr">
        <is>
          <t>Reçues en 2022-2023</t>
        </is>
      </c>
      <c r="B78" s="135" t="n"/>
      <c r="C78" s="135" t="n"/>
      <c r="D78" s="38" t="n">
        <v>17</v>
      </c>
      <c r="E78" s="153" t="n"/>
      <c r="F78" s="59" t="n">
        <v>34</v>
      </c>
      <c r="G78" s="156" t="n"/>
      <c r="H78" s="175">
        <f>SUM(D78:G79)</f>
        <v/>
      </c>
      <c r="I78" s="176" t="n"/>
      <c r="J78" s="57" t="n"/>
      <c r="K78" s="3" t="n"/>
      <c r="L78" s="3" t="n"/>
    </row>
    <row r="79" ht="14.25" customFormat="1" customHeight="1" s="2" thickBot="1">
      <c r="A79" s="138" t="n"/>
      <c r="B79" s="139" t="n"/>
      <c r="C79" s="139" t="n"/>
      <c r="D79" s="146" t="n"/>
      <c r="E79" s="147" t="n"/>
      <c r="F79" s="148" t="n"/>
      <c r="G79" s="147" t="n"/>
      <c r="H79" s="163" t="n"/>
      <c r="I79" s="176" t="n"/>
      <c r="J79" s="57" t="n"/>
      <c r="K79" s="3" t="n"/>
      <c r="L79" s="3" t="n"/>
    </row>
    <row r="80" ht="14.25" customFormat="1" customHeight="1" s="2">
      <c r="A80" s="152" t="inlineStr">
        <is>
          <t>Reçues en 2021-2022</t>
        </is>
      </c>
      <c r="B80" s="135" t="n"/>
      <c r="C80" s="135" t="n"/>
      <c r="D80" s="58" t="n">
        <v>17</v>
      </c>
      <c r="E80" s="156" t="n"/>
      <c r="F80" s="59" t="n">
        <v>9</v>
      </c>
      <c r="G80" s="156" t="n"/>
      <c r="H80" s="173">
        <f>SUM(D80:G81)</f>
        <v/>
      </c>
      <c r="I80" s="174" t="n"/>
      <c r="J80" s="57" t="n"/>
      <c r="K80" s="3" t="n"/>
      <c r="L80" s="3" t="n"/>
    </row>
    <row r="81" ht="14.25" customFormat="1" customHeight="1" s="2" thickBot="1">
      <c r="A81" s="138" t="n"/>
      <c r="B81" s="139" t="n"/>
      <c r="C81" s="139" t="n"/>
      <c r="D81" s="146" t="n"/>
      <c r="E81" s="147" t="n"/>
      <c r="F81" s="148" t="n"/>
      <c r="G81" s="147" t="n"/>
      <c r="H81" s="150" t="n"/>
      <c r="I81" s="151" t="n"/>
      <c r="J81" s="57" t="n"/>
      <c r="K81" s="3" t="n"/>
      <c r="L81" s="3" t="n"/>
    </row>
    <row r="82" ht="14.25" customFormat="1" customHeight="1" s="2">
      <c r="A82" s="152" t="inlineStr">
        <is>
          <t>Reçues en 2020-2021</t>
        </is>
      </c>
      <c r="B82" s="135" t="n"/>
      <c r="C82" s="135" t="n"/>
      <c r="D82" s="58" t="n">
        <v>26</v>
      </c>
      <c r="E82" s="156" t="n"/>
      <c r="F82" s="59" t="n">
        <v>0</v>
      </c>
      <c r="G82" s="156" t="n"/>
      <c r="H82" s="175">
        <f>SUM(D82:G83)</f>
        <v/>
      </c>
      <c r="I82" s="176" t="n"/>
      <c r="J82" s="57" t="n"/>
      <c r="K82" s="3" t="n"/>
      <c r="L82" s="3" t="n"/>
    </row>
    <row r="83" ht="14.25" customFormat="1" customHeight="1" s="2" thickBot="1">
      <c r="A83" s="138" t="n"/>
      <c r="B83" s="139" t="n"/>
      <c r="C83" s="139" t="n"/>
      <c r="D83" s="146" t="n"/>
      <c r="E83" s="147" t="n"/>
      <c r="F83" s="148" t="n"/>
      <c r="G83" s="147" t="n"/>
      <c r="H83" s="163" t="n"/>
      <c r="I83" s="176" t="n"/>
      <c r="J83" s="7" t="n"/>
      <c r="K83" s="3" t="n"/>
      <c r="L83" s="3" t="n"/>
    </row>
    <row r="84" ht="14.25" customFormat="1" customHeight="1" s="2">
      <c r="A84" s="152" t="inlineStr">
        <is>
          <t>Reçues en 2019-2020</t>
        </is>
      </c>
      <c r="B84" s="135" t="n"/>
      <c r="C84" s="135" t="n"/>
      <c r="D84" s="58" t="n">
        <v>7</v>
      </c>
      <c r="E84" s="156" t="n"/>
      <c r="F84" s="59" t="n">
        <v>7</v>
      </c>
      <c r="G84" s="156" t="n"/>
      <c r="H84" s="177">
        <f>SUM(D84:G85)</f>
        <v/>
      </c>
      <c r="I84" s="174" t="n"/>
      <c r="J84" s="7" t="n"/>
      <c r="K84" s="3" t="n"/>
      <c r="L84" s="3" t="n"/>
    </row>
    <row r="85" ht="14.25" customFormat="1" customHeight="1" s="2" thickBot="1">
      <c r="A85" s="138" t="n"/>
      <c r="B85" s="139" t="n"/>
      <c r="C85" s="139" t="n"/>
      <c r="D85" s="146" t="n"/>
      <c r="E85" s="147" t="n"/>
      <c r="F85" s="148" t="n"/>
      <c r="G85" s="147" t="n"/>
      <c r="H85" s="163" t="n"/>
      <c r="I85" s="176" t="n"/>
      <c r="J85" s="7" t="n"/>
      <c r="K85" s="3" t="n"/>
      <c r="L85" s="3" t="n"/>
    </row>
    <row r="86" ht="14.25" customFormat="1" customHeight="1" s="2">
      <c r="A86" s="152" t="inlineStr">
        <is>
          <t>Reçues en 2018-2019</t>
        </is>
      </c>
      <c r="B86" s="135" t="n"/>
      <c r="C86" s="135" t="n"/>
      <c r="D86" s="58" t="n">
        <v>0</v>
      </c>
      <c r="E86" s="156" t="n"/>
      <c r="F86" s="59" t="n">
        <v>1</v>
      </c>
      <c r="G86" s="156" t="n"/>
      <c r="H86" s="173">
        <f>SUM(D86:G87)</f>
        <v/>
      </c>
      <c r="I86" s="174" t="n"/>
      <c r="J86" s="7" t="n"/>
      <c r="K86" s="3" t="n"/>
      <c r="L86" s="3" t="n"/>
    </row>
    <row r="87" ht="14.25" customFormat="1" customHeight="1" s="2" thickBot="1">
      <c r="A87" s="138" t="n"/>
      <c r="B87" s="139" t="n"/>
      <c r="C87" s="139" t="n"/>
      <c r="D87" s="146" t="n"/>
      <c r="E87" s="147" t="n"/>
      <c r="F87" s="148" t="n"/>
      <c r="G87" s="147" t="n"/>
      <c r="H87" s="150" t="n"/>
      <c r="I87" s="151" t="n"/>
      <c r="J87" s="7" t="n"/>
      <c r="K87" s="3" t="n"/>
      <c r="L87" s="3" t="n"/>
    </row>
    <row r="88" ht="14.25" customFormat="1" customHeight="1" s="2">
      <c r="A88" s="134" t="inlineStr">
        <is>
          <t>Reçues en 2017-2018</t>
        </is>
      </c>
      <c r="B88" s="135" t="n"/>
      <c r="C88" s="136" t="n"/>
      <c r="D88" s="58" t="n">
        <v>1</v>
      </c>
      <c r="E88" s="156" t="n"/>
      <c r="F88" s="60" t="n">
        <v>0</v>
      </c>
      <c r="G88" s="157" t="n"/>
      <c r="H88" s="173">
        <f>SUM(D88:G89)</f>
        <v/>
      </c>
      <c r="I88" s="174" t="n"/>
      <c r="J88" s="7" t="n"/>
      <c r="K88" s="3" t="n"/>
      <c r="L88" s="3" t="n"/>
      <c r="M88" s="3" t="n"/>
      <c r="N88" s="3" t="n"/>
      <c r="O88" s="3" t="n"/>
      <c r="P88" s="3" t="n"/>
    </row>
    <row r="89" ht="14.25" customFormat="1" customHeight="1" s="2" thickBot="1">
      <c r="A89" s="138" t="n"/>
      <c r="B89" s="139" t="n"/>
      <c r="C89" s="140" t="n"/>
      <c r="D89" s="146" t="n"/>
      <c r="E89" s="147" t="n"/>
      <c r="F89" s="148" t="n"/>
      <c r="G89" s="149" t="n"/>
      <c r="H89" s="150" t="n"/>
      <c r="I89" s="151" t="n"/>
      <c r="J89" s="7" t="n"/>
      <c r="K89" s="3" t="n"/>
      <c r="L89" s="3" t="n"/>
      <c r="M89" s="3" t="n"/>
      <c r="N89" s="3" t="n"/>
      <c r="O89" s="3" t="n"/>
      <c r="P89" s="3" t="n"/>
    </row>
    <row r="90" ht="14.25" customFormat="1" customHeight="1" s="2">
      <c r="A90" s="134" t="inlineStr">
        <is>
          <t>Reçues en 2016-2017</t>
        </is>
      </c>
      <c r="B90" s="135" t="n"/>
      <c r="C90" s="136" t="n"/>
      <c r="D90" s="58" t="n">
        <v>0</v>
      </c>
      <c r="E90" s="156" t="n"/>
      <c r="F90" s="60" t="n">
        <v>0</v>
      </c>
      <c r="G90" s="157" t="n"/>
      <c r="H90" s="173">
        <f>SUM(D90:G91)</f>
        <v/>
      </c>
      <c r="I90" s="174" t="n"/>
      <c r="J90" s="55" t="n"/>
    </row>
    <row r="91" ht="14.25" customFormat="1" customHeight="1" s="2" thickBot="1">
      <c r="A91" s="138" t="n"/>
      <c r="B91" s="139" t="n"/>
      <c r="C91" s="140" t="n"/>
      <c r="D91" s="146" t="n"/>
      <c r="E91" s="147" t="n"/>
      <c r="F91" s="148" t="n"/>
      <c r="G91" s="149" t="n"/>
      <c r="H91" s="150" t="n"/>
      <c r="I91" s="151" t="n"/>
      <c r="J91" s="163" t="n"/>
    </row>
    <row r="92" ht="14.25" customFormat="1" customHeight="1" s="2">
      <c r="A92" s="134" t="inlineStr">
        <is>
          <t>Reçues en 2015-2016 ou plus tôt</t>
        </is>
      </c>
      <c r="B92" s="135" t="n"/>
      <c r="C92" s="136" t="n"/>
      <c r="D92" s="97" t="n">
        <v>0</v>
      </c>
      <c r="E92" s="156" t="n"/>
      <c r="F92" s="63" t="n">
        <v>0</v>
      </c>
      <c r="G92" s="153" t="n"/>
      <c r="H92" s="178">
        <f>SUM(D92:G93)</f>
        <v/>
      </c>
      <c r="I92" s="176" t="n"/>
      <c r="J92" s="55" t="n"/>
    </row>
    <row r="93" ht="14.25" customFormat="1" customHeight="1" s="2" thickBot="1">
      <c r="A93" s="138" t="n"/>
      <c r="B93" s="139" t="n"/>
      <c r="C93" s="140" t="n"/>
      <c r="D93" s="158" t="n"/>
      <c r="E93" s="147" t="n"/>
      <c r="F93" s="148" t="n"/>
      <c r="G93" s="147" t="n"/>
      <c r="H93" s="138" t="n"/>
      <c r="I93" s="140" t="n"/>
      <c r="J93" s="163" t="n"/>
    </row>
    <row r="94" ht="14.25" customFormat="1" customHeight="1" s="2">
      <c r="A94" s="179" t="inlineStr">
        <is>
          <t>Total</t>
        </is>
      </c>
      <c r="B94" s="135" t="n"/>
      <c r="C94" s="136" t="n"/>
      <c r="D94" s="84">
        <f>SUM(D74:E93)</f>
        <v/>
      </c>
      <c r="E94" s="161" t="n"/>
      <c r="F94" s="80">
        <f>SUM(F74:G93)</f>
        <v/>
      </c>
      <c r="G94" s="161" t="n"/>
      <c r="H94" s="180">
        <f>SUM(D94:G95)</f>
        <v/>
      </c>
      <c r="I94" s="136" t="n"/>
      <c r="J94" s="55" t="inlineStr">
        <is>
          <t>Rangée 11, col. 3 de la section 2.1 doit être égale à la rangée 7, col. 1 de la section 1.1 du Rapport statistique sur la Loi sur la protection des renseignements personnels 2024-2025</t>
        </is>
      </c>
    </row>
    <row r="95" ht="14.25" customFormat="1" customHeight="1" s="2" thickBot="1">
      <c r="A95" s="138" t="n"/>
      <c r="B95" s="139" t="n"/>
      <c r="C95" s="140" t="n"/>
      <c r="D95" s="150" t="n"/>
      <c r="E95" s="162" t="n"/>
      <c r="F95" s="133" t="n"/>
      <c r="G95" s="162" t="n"/>
      <c r="H95" s="181" t="n"/>
      <c r="I95" s="140" t="n"/>
      <c r="J95" s="163" t="n"/>
    </row>
    <row r="96" ht="14.25" customFormat="1" customHeight="1" s="2">
      <c r="A96" s="8" t="n"/>
      <c r="B96" s="8" t="n"/>
      <c r="C96" s="8" t="n"/>
      <c r="D96" s="9" t="n"/>
      <c r="E96" s="9" t="n"/>
      <c r="F96" s="9" t="n"/>
      <c r="G96" s="9" t="n"/>
      <c r="H96" s="10" t="n"/>
      <c r="I96" s="10" t="n"/>
      <c r="J96" s="7" t="n"/>
      <c r="K96" s="3" t="n"/>
      <c r="L96" s="3" t="n"/>
    </row>
    <row r="97" ht="14.25" customFormat="1" customHeight="1" s="2">
      <c r="A97" s="109" t="inlineStr">
        <is>
          <t>2.2 Plaintes actives auprès du Commissaire à la protection de la vie privée du Canada, ventilées par période d'établissement de rapports reçue</t>
        </is>
      </c>
    </row>
    <row r="98" ht="12.75" customFormat="1" customHeight="1" s="2"/>
    <row r="99" ht="14.25" customFormat="1" customHeight="1" s="2" thickBot="1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</row>
    <row r="100" ht="14.25" customFormat="1" customHeight="1" s="2">
      <c r="A100" s="182" t="inlineStr">
        <is>
          <t>Période d'établissement de rapports au cours de laquelle les plaintes actives ont été reçues par l'institution</t>
        </is>
      </c>
      <c r="B100" s="135" t="n"/>
      <c r="C100" s="135" t="n"/>
      <c r="D100" s="134" t="inlineStr">
        <is>
          <t>Nombre de plaintes actives</t>
        </is>
      </c>
      <c r="E100" s="136" t="n"/>
      <c r="F100" s="109" t="n"/>
      <c r="G100" s="109" t="n"/>
      <c r="H100" s="109" t="n"/>
      <c r="I100" s="3" t="n"/>
      <c r="J100" s="3" t="n"/>
      <c r="K100" s="3" t="n"/>
      <c r="L100" s="3" t="n"/>
    </row>
    <row r="101" ht="84.75" customFormat="1" customHeight="1" s="2" thickBot="1">
      <c r="A101" s="138" t="n"/>
      <c r="B101" s="139" t="n"/>
      <c r="C101" s="139" t="n"/>
      <c r="D101" s="138" t="n"/>
      <c r="E101" s="140" t="n"/>
      <c r="F101" s="109" t="n"/>
      <c r="G101" s="109" t="n"/>
      <c r="H101" s="109" t="n"/>
      <c r="I101" s="3" t="n"/>
      <c r="J101" s="3" t="n"/>
      <c r="K101" s="3" t="n"/>
      <c r="L101" s="3" t="n"/>
    </row>
    <row r="102" ht="15" customFormat="1" customHeight="1" s="2">
      <c r="A102" s="134" t="inlineStr">
        <is>
          <t>Reçues en 2024-2025</t>
        </is>
      </c>
      <c r="B102" s="135" t="n"/>
      <c r="C102" s="136" t="n"/>
      <c r="D102" s="164" t="n">
        <v>0</v>
      </c>
      <c r="E102" s="144" t="n"/>
      <c r="F102" s="109" t="n"/>
      <c r="G102" s="109" t="n"/>
      <c r="H102" s="109" t="n"/>
      <c r="I102" s="3" t="n"/>
      <c r="J102" s="3" t="n"/>
      <c r="K102" s="3" t="n"/>
      <c r="L102" s="3" t="n"/>
    </row>
    <row r="103" ht="15.75" customFormat="1" customHeight="1" s="2" thickBot="1">
      <c r="A103" s="138" t="n"/>
      <c r="B103" s="139" t="n"/>
      <c r="C103" s="140" t="n"/>
      <c r="D103" s="146" t="n"/>
      <c r="E103" s="149" t="n"/>
      <c r="F103" s="109" t="n"/>
      <c r="G103" s="109" t="n"/>
      <c r="H103" s="109" t="n"/>
      <c r="I103" s="3" t="n"/>
      <c r="J103" s="3" t="n"/>
      <c r="K103" s="3" t="n"/>
      <c r="L103" s="3" t="n"/>
    </row>
    <row r="104" ht="15.75" customFormat="1" customHeight="1" s="2">
      <c r="A104" s="172" t="inlineStr">
        <is>
          <t>Reçues en 2023-2024</t>
        </is>
      </c>
      <c r="B104" s="135" t="n"/>
      <c r="C104" s="135" t="n"/>
      <c r="D104" s="183" t="n">
        <v>5</v>
      </c>
      <c r="E104" s="144" t="n"/>
      <c r="F104" s="109" t="n"/>
      <c r="G104" s="109" t="n"/>
      <c r="H104" s="109" t="n"/>
      <c r="I104" s="3" t="n"/>
      <c r="J104" s="3" t="n"/>
      <c r="K104" s="3" t="n"/>
      <c r="L104" s="3" t="n"/>
    </row>
    <row r="105" ht="16.5" customFormat="1" customHeight="1" s="2" thickBot="1">
      <c r="A105" s="138" t="n"/>
      <c r="B105" s="139" t="n"/>
      <c r="C105" s="139" t="n"/>
      <c r="D105" s="166" t="n"/>
      <c r="E105" s="155" t="n"/>
      <c r="F105" s="109" t="n"/>
      <c r="G105" s="109" t="n"/>
      <c r="H105" s="109" t="n"/>
      <c r="I105" s="3" t="n"/>
      <c r="J105" s="3" t="n"/>
      <c r="K105" s="3" t="n"/>
      <c r="L105" s="3" t="n"/>
    </row>
    <row r="106" ht="14.25" customFormat="1" customHeight="1" s="2">
      <c r="A106" s="172" t="inlineStr">
        <is>
          <t>Reçues en 2022-2023</t>
        </is>
      </c>
      <c r="B106" s="135" t="n"/>
      <c r="C106" s="135" t="n"/>
      <c r="D106" s="167" t="n">
        <v>5</v>
      </c>
      <c r="E106" s="157" t="n"/>
      <c r="F106" s="109" t="n"/>
      <c r="G106" s="109" t="n"/>
      <c r="H106" s="109" t="n"/>
      <c r="I106" s="3" t="n"/>
      <c r="J106" s="3" t="n"/>
      <c r="K106" s="3" t="n"/>
      <c r="L106" s="3" t="n"/>
    </row>
    <row r="107" ht="14.25" customFormat="1" customHeight="1" s="2" thickBot="1">
      <c r="A107" s="138" t="n"/>
      <c r="B107" s="139" t="n"/>
      <c r="C107" s="139" t="n"/>
      <c r="D107" s="146" t="n"/>
      <c r="E107" s="149" t="n"/>
      <c r="F107" s="109" t="n"/>
      <c r="G107" s="109" t="n"/>
      <c r="H107" s="109" t="n"/>
      <c r="I107" s="3" t="n"/>
      <c r="J107" s="3" t="n"/>
      <c r="K107" s="3" t="n"/>
      <c r="L107" s="3" t="n"/>
    </row>
    <row r="108" ht="14.25" customFormat="1" customHeight="1" s="2">
      <c r="A108" s="172" t="inlineStr">
        <is>
          <t>Reçues en 2021-2022</t>
        </is>
      </c>
      <c r="B108" s="135" t="n"/>
      <c r="C108" s="135" t="n"/>
      <c r="D108" s="167" t="n">
        <v>0</v>
      </c>
      <c r="E108" s="157" t="n"/>
      <c r="F108" s="109" t="n"/>
      <c r="G108" s="109" t="n"/>
      <c r="H108" s="109" t="n"/>
      <c r="I108" s="3" t="n"/>
      <c r="J108" s="3" t="n"/>
      <c r="K108" s="3" t="n"/>
      <c r="L108" s="3" t="n"/>
    </row>
    <row r="109" ht="14.25" customFormat="1" customHeight="1" s="2" thickBot="1">
      <c r="A109" s="138" t="n"/>
      <c r="B109" s="139" t="n"/>
      <c r="C109" s="139" t="n"/>
      <c r="D109" s="146" t="n"/>
      <c r="E109" s="149" t="n"/>
      <c r="F109" s="109" t="n"/>
      <c r="G109" s="109" t="n"/>
      <c r="H109" s="109" t="n"/>
      <c r="I109" s="3" t="n"/>
      <c r="J109" s="3" t="n"/>
      <c r="K109" s="3" t="n"/>
      <c r="L109" s="3" t="n"/>
    </row>
    <row r="110" ht="14.25" customFormat="1" customHeight="1" s="2">
      <c r="A110" s="172" t="inlineStr">
        <is>
          <t>Reçues en 2020-2021</t>
        </is>
      </c>
      <c r="B110" s="135" t="n"/>
      <c r="C110" s="135" t="n"/>
      <c r="D110" s="165" t="n">
        <v>0</v>
      </c>
      <c r="E110" s="155" t="n"/>
      <c r="F110" s="109" t="n"/>
      <c r="G110" s="109" t="n"/>
      <c r="H110" s="109" t="n"/>
      <c r="I110" s="3" t="n"/>
      <c r="J110" s="3" t="n"/>
      <c r="K110" s="3" t="n"/>
      <c r="L110" s="3" t="n"/>
    </row>
    <row r="111" ht="14.25" customFormat="1" customHeight="1" s="2" thickBot="1">
      <c r="A111" s="138" t="n"/>
      <c r="B111" s="139" t="n"/>
      <c r="C111" s="139" t="n"/>
      <c r="D111" s="166" t="n"/>
      <c r="E111" s="155" t="n"/>
      <c r="F111" s="109" t="n"/>
      <c r="G111" s="109" t="n"/>
      <c r="H111" s="109" t="n"/>
      <c r="I111" s="3" t="n"/>
      <c r="J111" s="3" t="n"/>
      <c r="K111" s="3" t="n"/>
      <c r="L111" s="3" t="n"/>
    </row>
    <row r="112" ht="14.25" customFormat="1" customHeight="1" s="2">
      <c r="A112" s="172" t="inlineStr">
        <is>
          <t>Reçues en 2019-2020</t>
        </is>
      </c>
      <c r="B112" s="135" t="n"/>
      <c r="C112" s="135" t="n"/>
      <c r="D112" s="168" t="n">
        <v>0</v>
      </c>
      <c r="E112" s="157" t="n"/>
      <c r="F112" s="109" t="n"/>
      <c r="G112" s="109" t="n"/>
      <c r="H112" s="109" t="n"/>
      <c r="I112" s="3" t="n"/>
      <c r="J112" s="3" t="n"/>
      <c r="K112" s="3" t="n"/>
      <c r="L112" s="3" t="n"/>
    </row>
    <row r="113" ht="14.25" customFormat="1" customHeight="1" s="2" thickBot="1">
      <c r="A113" s="138" t="n"/>
      <c r="B113" s="139" t="n"/>
      <c r="C113" s="139" t="n"/>
      <c r="D113" s="166" t="n"/>
      <c r="E113" s="155" t="n"/>
      <c r="F113" s="109" t="n"/>
      <c r="G113" s="109" t="n"/>
      <c r="H113" s="109" t="n"/>
      <c r="I113" s="3" t="n"/>
      <c r="J113" s="3" t="n"/>
      <c r="K113" s="3" t="n"/>
      <c r="L113" s="3" t="n"/>
    </row>
    <row r="114" ht="14.25" customFormat="1" customHeight="1" s="2">
      <c r="A114" s="172" t="inlineStr">
        <is>
          <t>Reçues en 2018-2019</t>
        </is>
      </c>
      <c r="B114" s="135" t="n"/>
      <c r="C114" s="135" t="n"/>
      <c r="D114" s="167" t="n">
        <v>0</v>
      </c>
      <c r="E114" s="157" t="n"/>
      <c r="F114" s="109" t="n"/>
      <c r="G114" s="109" t="n"/>
      <c r="H114" s="109" t="n"/>
      <c r="I114" s="3" t="n"/>
      <c r="J114" s="3" t="n"/>
      <c r="K114" s="3" t="n"/>
      <c r="L114" s="3" t="n"/>
    </row>
    <row r="115" ht="14.25" customFormat="1" customHeight="1" s="2" thickBot="1">
      <c r="A115" s="138" t="n"/>
      <c r="B115" s="139" t="n"/>
      <c r="C115" s="139" t="n"/>
      <c r="D115" s="146" t="n"/>
      <c r="E115" s="149" t="n"/>
      <c r="F115" s="109" t="n"/>
      <c r="G115" s="109" t="n"/>
      <c r="H115" s="109" t="n"/>
      <c r="I115" s="3" t="n"/>
      <c r="J115" s="3" t="n"/>
      <c r="K115" s="3" t="n"/>
      <c r="L115" s="3" t="n"/>
    </row>
    <row r="116" ht="14.25" customFormat="1" customHeight="1" s="2">
      <c r="A116" s="134" t="inlineStr">
        <is>
          <t>Reçues en 2017-2018</t>
        </is>
      </c>
      <c r="B116" s="135" t="n"/>
      <c r="C116" s="136" t="n"/>
      <c r="D116" s="167" t="n">
        <v>0</v>
      </c>
      <c r="E116" s="157" t="n"/>
      <c r="F116" s="109" t="n"/>
      <c r="G116" s="109" t="n"/>
      <c r="H116" s="109" t="n"/>
      <c r="I116" s="3" t="n"/>
      <c r="J116" s="3" t="n"/>
      <c r="K116" s="3" t="n"/>
      <c r="L116" s="3" t="n"/>
    </row>
    <row r="117" ht="14.25" customFormat="1" customHeight="1" s="2" thickBot="1">
      <c r="A117" s="138" t="n"/>
      <c r="B117" s="139" t="n"/>
      <c r="C117" s="140" t="n"/>
      <c r="D117" s="146" t="n"/>
      <c r="E117" s="149" t="n"/>
      <c r="F117" s="109" t="n"/>
      <c r="G117" s="109" t="n"/>
      <c r="H117" s="109" t="n"/>
      <c r="I117" s="3" t="n"/>
      <c r="J117" s="3" t="n"/>
      <c r="K117" s="3" t="n"/>
      <c r="L117" s="3" t="n"/>
    </row>
    <row r="118" ht="14.25" customFormat="1" customHeight="1" s="2">
      <c r="A118" s="134" t="inlineStr">
        <is>
          <t>Reçues en 2016-2017</t>
        </is>
      </c>
      <c r="B118" s="135" t="n"/>
      <c r="C118" s="136" t="n"/>
      <c r="D118" s="167" t="n">
        <v>0</v>
      </c>
      <c r="E118" s="157" t="n"/>
      <c r="F118" s="109" t="n"/>
      <c r="G118" s="109" t="n"/>
      <c r="H118" s="109" t="n"/>
      <c r="I118" s="3" t="n"/>
      <c r="J118" s="3" t="n"/>
      <c r="K118" s="3" t="n"/>
      <c r="L118" s="3" t="n"/>
    </row>
    <row r="119" ht="14.25" customFormat="1" customHeight="1" s="2" thickBot="1">
      <c r="A119" s="138" t="n"/>
      <c r="B119" s="139" t="n"/>
      <c r="C119" s="140" t="n"/>
      <c r="D119" s="146" t="n"/>
      <c r="E119" s="149" t="n"/>
      <c r="F119" s="109" t="n"/>
      <c r="G119" s="109" t="n"/>
      <c r="H119" s="109" t="n"/>
      <c r="I119" s="3" t="n"/>
      <c r="J119" s="3" t="n"/>
      <c r="K119" s="3" t="n"/>
      <c r="L119" s="3" t="n"/>
    </row>
    <row r="120" ht="14.25" customFormat="1" customHeight="1" s="2">
      <c r="A120" s="134" t="inlineStr">
        <is>
          <t>Reçues en 2015-2016 ou plus tôt</t>
        </is>
      </c>
      <c r="B120" s="135" t="n"/>
      <c r="C120" s="136" t="n"/>
      <c r="D120" s="169" t="n">
        <v>0</v>
      </c>
      <c r="E120" s="155" t="n"/>
      <c r="F120" s="109" t="n"/>
      <c r="G120" s="109" t="n"/>
      <c r="H120" s="109" t="n"/>
      <c r="I120" s="3" t="n"/>
      <c r="J120" s="3" t="n"/>
      <c r="K120" s="3" t="n"/>
      <c r="L120" s="3" t="n"/>
    </row>
    <row r="121" ht="14.25" customFormat="1" customHeight="1" s="2" thickBot="1">
      <c r="A121" s="138" t="n"/>
      <c r="B121" s="139" t="n"/>
      <c r="C121" s="140" t="n"/>
      <c r="D121" s="170" t="n"/>
      <c r="E121" s="171" t="n"/>
      <c r="F121" s="109" t="n"/>
      <c r="G121" s="109" t="n"/>
      <c r="H121" s="109" t="n"/>
      <c r="I121" s="3" t="n"/>
      <c r="J121" s="3" t="n"/>
      <c r="K121" s="3" t="n"/>
      <c r="L121" s="3" t="n"/>
    </row>
    <row r="122" ht="14.25" customFormat="1" customHeight="1" s="2">
      <c r="A122" s="172" t="inlineStr">
        <is>
          <t>Total</t>
        </is>
      </c>
      <c r="B122" s="135" t="n"/>
      <c r="C122" s="135" t="n"/>
      <c r="D122" s="134">
        <f>SUM(D102:E121)</f>
        <v/>
      </c>
      <c r="E122" s="136" t="n"/>
      <c r="F122" s="109" t="n"/>
      <c r="G122" s="109" t="n"/>
      <c r="H122" s="109" t="n"/>
      <c r="I122" s="3" t="n"/>
      <c r="J122" s="3" t="n"/>
      <c r="K122" s="3" t="n"/>
      <c r="L122" s="3" t="n"/>
    </row>
    <row r="123" ht="14.25" customFormat="1" customHeight="1" s="2" thickBot="1">
      <c r="A123" s="138" t="n"/>
      <c r="B123" s="139" t="n"/>
      <c r="C123" s="139" t="n"/>
      <c r="D123" s="138" t="n"/>
      <c r="E123" s="140" t="n"/>
      <c r="F123" s="109" t="n"/>
      <c r="G123" s="109" t="n"/>
      <c r="H123" s="109" t="n"/>
      <c r="I123" s="3" t="n"/>
      <c r="J123" s="3" t="n"/>
      <c r="K123" s="3" t="n"/>
      <c r="L123" s="3" t="n"/>
    </row>
    <row r="125" ht="14.25" customFormat="1" customHeight="1" s="2">
      <c r="A125" s="115" t="inlineStr">
        <is>
          <t>Section 3: Numéro d'assurance social</t>
        </is>
      </c>
    </row>
    <row r="126" ht="14.25" customFormat="1" customHeight="1" s="3" thickBo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 ht="14.25" customFormat="1" customHeight="1" s="3">
      <c r="A127" s="184" t="inlineStr">
        <is>
          <t xml:space="preserve">Votre institution a-t-elle commencé une nouvelle collecte ou une nouvelle utilisation cohérente du NAS en 2024-2025?		</t>
        </is>
      </c>
      <c r="B127" s="135" t="n"/>
      <c r="C127" s="135" t="n"/>
      <c r="D127" s="135" t="n"/>
      <c r="E127" s="135" t="n"/>
      <c r="F127" s="135" t="n"/>
      <c r="G127" s="135" t="n"/>
      <c r="H127" s="135" t="n"/>
      <c r="I127" s="135" t="n"/>
      <c r="J127" s="136" t="n"/>
      <c r="K127" s="185" t="n">
        <v>1</v>
      </c>
      <c r="L127" s="24">
        <f>IF(OR(EXACT(K127,"Oui"),EXACT(K127,"Non")),"","Veuillez fournir une réponse à cette question.")</f>
        <v/>
      </c>
    </row>
    <row r="128" ht="15.75" customFormat="1" customHeight="1" s="3" thickBot="1">
      <c r="A128" s="138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40" t="n"/>
      <c r="K128" s="186" t="n"/>
      <c r="L128" s="163" t="n"/>
    </row>
    <row r="130" ht="15" customHeight="1">
      <c r="A130" s="114" t="inlineStr">
        <is>
          <t>Section 4: Accès universel sous la Loi sur la protection des renseignements personnels</t>
        </is>
      </c>
    </row>
    <row r="131" ht="15" customHeight="1" thickBot="1"/>
    <row r="132">
      <c r="A132" s="187" t="inlineStr">
        <is>
          <t>Combien de demandes ont été reçues de la part de ressortissants étrangers en dehors du Canada en 2024-2025?</t>
        </is>
      </c>
      <c r="B132" s="135" t="n"/>
      <c r="C132" s="135" t="n"/>
      <c r="D132" s="135" t="n"/>
      <c r="E132" s="135" t="n"/>
      <c r="F132" s="135" t="n"/>
      <c r="G132" s="135" t="n"/>
      <c r="H132" s="135" t="n"/>
      <c r="I132" s="135" t="n"/>
      <c r="J132" s="136" t="n"/>
      <c r="K132" s="188" t="n">
        <v>0</v>
      </c>
      <c r="L132" s="55" t="inlineStr">
        <is>
          <t>Rangée 1, col. 1 de la section 4 doit être égale ou inférieure à la rangée 1, col. 1 de la section 1.1 du Rapport statistique sur la Loi sur la protection des renseignements personnels 2024-2025</t>
        </is>
      </c>
    </row>
    <row r="133" ht="15" customHeight="1" thickBot="1">
      <c r="A133" s="138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40" t="n"/>
      <c r="K133" s="186" t="n"/>
      <c r="L133" s="16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R/mdHnilo6+EZlOYlfpROA==" formatRows="1" sort="1" spinCount="100000" hashValue="0Jj2tcvnjnis6JYsmXwHyjFud6DWQIx5Q3nHrZWjU8UHrrgqqt4KF0RJaMqQEN74AsTertmV2tE1W6mjz9unIw=="/>
  <mergeCells count="168">
    <mergeCell ref="J92:P93"/>
    <mergeCell ref="H17:I18"/>
    <mergeCell ref="A4:L5"/>
    <mergeCell ref="D116:E117"/>
    <mergeCell ref="A97:L98"/>
    <mergeCell ref="H19:I20"/>
    <mergeCell ref="J37:P38"/>
    <mergeCell ref="A15:C16"/>
    <mergeCell ref="H80:I81"/>
    <mergeCell ref="D118:E119"/>
    <mergeCell ref="A82:C83"/>
    <mergeCell ref="A114:C115"/>
    <mergeCell ref="D102:E103"/>
    <mergeCell ref="F35:G36"/>
    <mergeCell ref="D29:E30"/>
    <mergeCell ref="F29:G30"/>
    <mergeCell ref="D9:F9"/>
    <mergeCell ref="A51:C52"/>
    <mergeCell ref="D31:E32"/>
    <mergeCell ref="K132:K133"/>
    <mergeCell ref="D23:E24"/>
    <mergeCell ref="D94:E95"/>
    <mergeCell ref="F15:G16"/>
    <mergeCell ref="A130:L130"/>
    <mergeCell ref="D65:E66"/>
    <mergeCell ref="H29:I30"/>
    <mergeCell ref="A86:C87"/>
    <mergeCell ref="H21:I22"/>
    <mergeCell ref="D80:E81"/>
    <mergeCell ref="A127:J128"/>
    <mergeCell ref="K127:K128"/>
    <mergeCell ref="D120:E121"/>
    <mergeCell ref="H31:I32"/>
    <mergeCell ref="A33:C34"/>
    <mergeCell ref="A116:C117"/>
    <mergeCell ref="F21:G22"/>
    <mergeCell ref="D104:E105"/>
    <mergeCell ref="D57:E58"/>
    <mergeCell ref="D122:E123"/>
    <mergeCell ref="A72:C73"/>
    <mergeCell ref="A53:C54"/>
    <mergeCell ref="A35:C36"/>
    <mergeCell ref="L127:O128"/>
    <mergeCell ref="F23:G24"/>
    <mergeCell ref="D106:E107"/>
    <mergeCell ref="H84:I85"/>
    <mergeCell ref="A59:C60"/>
    <mergeCell ref="F90:G91"/>
    <mergeCell ref="D74:E75"/>
    <mergeCell ref="D43:E44"/>
    <mergeCell ref="D92:E93"/>
    <mergeCell ref="F92:G93"/>
    <mergeCell ref="A110:C111"/>
    <mergeCell ref="H86:I87"/>
    <mergeCell ref="A61:C62"/>
    <mergeCell ref="A88:C89"/>
    <mergeCell ref="A45:C46"/>
    <mergeCell ref="D82:E83"/>
    <mergeCell ref="H33:I34"/>
    <mergeCell ref="A90:C91"/>
    <mergeCell ref="F78:G79"/>
    <mergeCell ref="H78:I79"/>
    <mergeCell ref="D110:E111"/>
    <mergeCell ref="A65:C66"/>
    <mergeCell ref="D59:E60"/>
    <mergeCell ref="A74:C75"/>
    <mergeCell ref="A27:C28"/>
    <mergeCell ref="H35:I36"/>
    <mergeCell ref="A47:C48"/>
    <mergeCell ref="A37:C38"/>
    <mergeCell ref="F80:G81"/>
    <mergeCell ref="F25:G26"/>
    <mergeCell ref="D21:E22"/>
    <mergeCell ref="D61:E62"/>
    <mergeCell ref="A76:C77"/>
    <mergeCell ref="A21:C22"/>
    <mergeCell ref="A57:C58"/>
    <mergeCell ref="D45:E46"/>
    <mergeCell ref="A17:C18"/>
    <mergeCell ref="A7:C7"/>
    <mergeCell ref="H88:I89"/>
    <mergeCell ref="A23:C24"/>
    <mergeCell ref="A63:C64"/>
    <mergeCell ref="D47:E48"/>
    <mergeCell ref="A19:C20"/>
    <mergeCell ref="H90:I91"/>
    <mergeCell ref="F31:G32"/>
    <mergeCell ref="D15:E16"/>
    <mergeCell ref="A92:C93"/>
    <mergeCell ref="D33:E34"/>
    <mergeCell ref="F27:G28"/>
    <mergeCell ref="D112:E113"/>
    <mergeCell ref="H27:I28"/>
    <mergeCell ref="A102:C103"/>
    <mergeCell ref="F37:G38"/>
    <mergeCell ref="H37:I38"/>
    <mergeCell ref="L132:R133"/>
    <mergeCell ref="A94:C95"/>
    <mergeCell ref="F82:G83"/>
    <mergeCell ref="H76:I77"/>
    <mergeCell ref="D114:E115"/>
    <mergeCell ref="A84:C85"/>
    <mergeCell ref="D63:E64"/>
    <mergeCell ref="A78:C79"/>
    <mergeCell ref="D19:E20"/>
    <mergeCell ref="F19:G20"/>
    <mergeCell ref="A125:L125"/>
    <mergeCell ref="D51:E52"/>
    <mergeCell ref="D100:E101"/>
    <mergeCell ref="A80:C81"/>
    <mergeCell ref="A13:L13"/>
    <mergeCell ref="J94:P95"/>
    <mergeCell ref="D35:E36"/>
    <mergeCell ref="H25:I26"/>
    <mergeCell ref="D84:E85"/>
    <mergeCell ref="F84:G85"/>
    <mergeCell ref="H82:I83"/>
    <mergeCell ref="A120:C121"/>
    <mergeCell ref="D108:E109"/>
    <mergeCell ref="D86:E87"/>
    <mergeCell ref="F86:G87"/>
    <mergeCell ref="D7:J7"/>
    <mergeCell ref="A104:C105"/>
    <mergeCell ref="H9:J9"/>
    <mergeCell ref="A70:L70"/>
    <mergeCell ref="A122:C123"/>
    <mergeCell ref="A112:C113"/>
    <mergeCell ref="A132:J133"/>
    <mergeCell ref="F33:G34"/>
    <mergeCell ref="A106:C107"/>
    <mergeCell ref="D72:E73"/>
    <mergeCell ref="F94:G95"/>
    <mergeCell ref="D78:E79"/>
    <mergeCell ref="F72:G73"/>
    <mergeCell ref="H94:I95"/>
    <mergeCell ref="H72:I73"/>
    <mergeCell ref="D53:E54"/>
    <mergeCell ref="A43:C44"/>
    <mergeCell ref="A31:C32"/>
    <mergeCell ref="D25:E26"/>
    <mergeCell ref="D37:E38"/>
    <mergeCell ref="D55:E56"/>
    <mergeCell ref="A49:C50"/>
    <mergeCell ref="A40:L41"/>
    <mergeCell ref="H15:I16"/>
    <mergeCell ref="D88:E89"/>
    <mergeCell ref="H92:I93"/>
    <mergeCell ref="F88:G89"/>
    <mergeCell ref="A68:L68"/>
    <mergeCell ref="A118:C119"/>
    <mergeCell ref="H23:I24"/>
    <mergeCell ref="D90:E91"/>
    <mergeCell ref="A9:C9"/>
    <mergeCell ref="J90:P91"/>
    <mergeCell ref="A25:C26"/>
    <mergeCell ref="A108:C109"/>
    <mergeCell ref="A55:C56"/>
    <mergeCell ref="D49:E50"/>
    <mergeCell ref="D27:E28"/>
    <mergeCell ref="F74:G75"/>
    <mergeCell ref="H74:I75"/>
    <mergeCell ref="A11:L11"/>
    <mergeCell ref="D17:E18"/>
    <mergeCell ref="D76:E77"/>
    <mergeCell ref="F76:G77"/>
    <mergeCell ref="A100:C101"/>
    <mergeCell ref="A29:C30"/>
    <mergeCell ref="F17:G18"/>
  </mergeCells>
  <conditionalFormatting sqref="D7">
    <cfRule type="expression" priority="1" dxfId="2">
      <formula>$D$7=""</formula>
    </cfRule>
  </conditionalFormatting>
  <conditionalFormatting sqref="L7">
    <cfRule type="expression" priority="2" dxfId="1">
      <formula>$D$7&lt;&gt;""</formula>
    </cfRule>
    <cfRule type="expression" priority="3" dxfId="0">
      <formula>$D$7=""</formula>
    </cfRule>
  </conditionalFormatting>
  <dataValidations count="2">
    <dataValidation sqref="D17:I38 D45:E66 D74:I95 D102:E123 K132:K133" showDropDown="0" showInputMessage="1" showErrorMessage="1" allowBlank="0" type="whole" operator="greaterThan">
      <formula1>-1</formula1>
    </dataValidation>
    <dataValidation sqref="K127:K128" showDropDown="0" showInputMessage="1" showErrorMessage="1" allowBlank="0" type="list">
      <formula1>"Oui,Non"</formula1>
    </dataValidation>
  </dataValidations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C64"/>
  <sheetViews>
    <sheetView workbookViewId="0">
      <selection activeCell="E14" sqref="E14"/>
    </sheetView>
  </sheetViews>
  <sheetFormatPr baseColWidth="8" defaultColWidth="11.42578125" defaultRowHeight="15"/>
  <cols>
    <col width="14.42578125" bestFit="1" customWidth="1" min="2" max="2"/>
  </cols>
  <sheetData>
    <row r="1">
      <c r="A1" t="inlineStr">
        <is>
          <t>Inst</t>
        </is>
      </c>
      <c r="B1">
        <f>'Rapport supplémentaire 2024-25'!D7</f>
        <v/>
      </c>
    </row>
    <row r="2">
      <c r="A2" s="17" t="inlineStr">
        <is>
          <t>Report</t>
        </is>
      </c>
      <c r="B2" s="17" t="inlineStr">
        <is>
          <t>2023;2024</t>
        </is>
      </c>
      <c r="C2" s="17" t="n"/>
    </row>
    <row r="3">
      <c r="A3" t="inlineStr">
        <is>
          <t>Q1R1C1</t>
        </is>
      </c>
      <c r="B3">
        <f>'Rapport supplémentaire 2024-25'!D17</f>
        <v/>
      </c>
      <c r="C3" t="n">
        <v>1.1</v>
      </c>
    </row>
    <row r="4">
      <c r="A4" t="inlineStr">
        <is>
          <t>Q1R1C2</t>
        </is>
      </c>
      <c r="B4">
        <f>'Rapport supplémentaire 2024-25'!F17</f>
        <v/>
      </c>
      <c r="C4" t="n">
        <v>1.1</v>
      </c>
    </row>
    <row r="5">
      <c r="A5" t="inlineStr">
        <is>
          <t>Q1R2C1</t>
        </is>
      </c>
      <c r="B5">
        <f>'Rapport supplémentaire 2024-25'!D19</f>
        <v/>
      </c>
      <c r="C5" t="n">
        <v>1.1</v>
      </c>
    </row>
    <row r="6">
      <c r="A6" t="inlineStr">
        <is>
          <t>Q1R2C2</t>
        </is>
      </c>
      <c r="B6">
        <f>'Rapport supplémentaire 2024-25'!F19</f>
        <v/>
      </c>
      <c r="C6" t="n">
        <v>1.1</v>
      </c>
    </row>
    <row r="7">
      <c r="A7" t="inlineStr">
        <is>
          <t>Q1R3C1</t>
        </is>
      </c>
      <c r="B7">
        <f>'Rapport supplémentaire 2024-25'!D21</f>
        <v/>
      </c>
      <c r="C7" t="n">
        <v>1.1</v>
      </c>
    </row>
    <row r="8">
      <c r="A8" t="inlineStr">
        <is>
          <t>Q1R3C2</t>
        </is>
      </c>
      <c r="B8">
        <f>'Rapport supplémentaire 2024-25'!F21</f>
        <v/>
      </c>
      <c r="C8" t="n">
        <v>1.1</v>
      </c>
    </row>
    <row r="9">
      <c r="A9" t="inlineStr">
        <is>
          <t>Q1R4C1</t>
        </is>
      </c>
      <c r="B9">
        <f>'Rapport supplémentaire 2024-25'!D23</f>
        <v/>
      </c>
      <c r="C9" t="n">
        <v>1.1</v>
      </c>
    </row>
    <row r="10">
      <c r="A10" t="inlineStr">
        <is>
          <t>Q1R4C2</t>
        </is>
      </c>
      <c r="B10">
        <f>'Rapport supplémentaire 2024-25'!F23</f>
        <v/>
      </c>
      <c r="C10" t="n">
        <v>1.1</v>
      </c>
    </row>
    <row r="11">
      <c r="A11" t="inlineStr">
        <is>
          <t>Q1R5C1</t>
        </is>
      </c>
      <c r="B11">
        <f>'Rapport supplémentaire 2024-25'!D25</f>
        <v/>
      </c>
      <c r="C11" t="n">
        <v>1.1</v>
      </c>
    </row>
    <row r="12">
      <c r="A12" t="inlineStr">
        <is>
          <t>Q1R5C2</t>
        </is>
      </c>
      <c r="B12">
        <f>'Rapport supplémentaire 2024-25'!F25</f>
        <v/>
      </c>
      <c r="C12" t="n">
        <v>1.1</v>
      </c>
    </row>
    <row r="13">
      <c r="A13" t="inlineStr">
        <is>
          <t>Q1R6C1</t>
        </is>
      </c>
      <c r="B13">
        <f>'Rapport supplémentaire 2024-25'!D27</f>
        <v/>
      </c>
      <c r="C13" t="n">
        <v>1.1</v>
      </c>
    </row>
    <row r="14">
      <c r="A14" t="inlineStr">
        <is>
          <t>Q1R6C2</t>
        </is>
      </c>
      <c r="B14">
        <f>'Rapport supplémentaire 2024-25'!F27</f>
        <v/>
      </c>
      <c r="C14" t="n">
        <v>1.1</v>
      </c>
    </row>
    <row r="15">
      <c r="A15" t="inlineStr">
        <is>
          <t>Q1R7C1</t>
        </is>
      </c>
      <c r="B15">
        <f>'Rapport supplémentaire 2024-25'!D29</f>
        <v/>
      </c>
      <c r="C15" t="n">
        <v>1.1</v>
      </c>
    </row>
    <row r="16">
      <c r="A16" t="inlineStr">
        <is>
          <t>Q1R7C2</t>
        </is>
      </c>
      <c r="B16">
        <f>'Rapport supplémentaire 2024-25'!F29</f>
        <v/>
      </c>
      <c r="C16" t="n">
        <v>1.1</v>
      </c>
    </row>
    <row r="17">
      <c r="A17" t="inlineStr">
        <is>
          <t>Q1R8C1</t>
        </is>
      </c>
      <c r="B17">
        <f>'Rapport supplémentaire 2024-25'!D31</f>
        <v/>
      </c>
      <c r="C17" t="n">
        <v>1.1</v>
      </c>
    </row>
    <row r="18">
      <c r="A18" t="inlineStr">
        <is>
          <t>Q1R8C2</t>
        </is>
      </c>
      <c r="B18">
        <f>'Rapport supplémentaire 2024-25'!F31</f>
        <v/>
      </c>
      <c r="C18" t="n">
        <v>1.1</v>
      </c>
    </row>
    <row r="19">
      <c r="A19" t="inlineStr">
        <is>
          <t>Q1R9C1</t>
        </is>
      </c>
      <c r="B19">
        <f>'Rapport supplémentaire 2024-25'!D33</f>
        <v/>
      </c>
      <c r="C19" t="n">
        <v>1.1</v>
      </c>
    </row>
    <row r="20">
      <c r="A20" t="inlineStr">
        <is>
          <t>Q1R9C2</t>
        </is>
      </c>
      <c r="B20">
        <f>'Rapport supplémentaire 2024-25'!F33</f>
        <v/>
      </c>
      <c r="C20" t="n">
        <v>1.1</v>
      </c>
    </row>
    <row r="21">
      <c r="A21" t="inlineStr">
        <is>
          <t>Q1R10C1</t>
        </is>
      </c>
      <c r="B21">
        <f>'Rapport supplémentaire 2024-25'!D35</f>
        <v/>
      </c>
      <c r="C21" t="n">
        <v>1.1</v>
      </c>
    </row>
    <row r="22">
      <c r="A22" t="inlineStr">
        <is>
          <t>Q1R10C2</t>
        </is>
      </c>
      <c r="B22">
        <f>'Rapport supplémentaire 2024-25'!F35</f>
        <v/>
      </c>
      <c r="C22" t="n">
        <v>1.1</v>
      </c>
    </row>
    <row r="23">
      <c r="A23" t="inlineStr">
        <is>
          <t>Q2R1C1</t>
        </is>
      </c>
      <c r="B23">
        <f>'Rapport supplémentaire 2024-25'!D45</f>
        <v/>
      </c>
      <c r="C23" t="n">
        <v>1.2</v>
      </c>
    </row>
    <row r="24">
      <c r="A24" t="inlineStr">
        <is>
          <t>Q2R2C1</t>
        </is>
      </c>
      <c r="B24">
        <f>'Rapport supplémentaire 2024-25'!D47</f>
        <v/>
      </c>
      <c r="C24" t="n">
        <v>1.2</v>
      </c>
    </row>
    <row r="25">
      <c r="A25" t="inlineStr">
        <is>
          <t>Q2R3C1</t>
        </is>
      </c>
      <c r="B25">
        <f>'Rapport supplémentaire 2024-25'!D49</f>
        <v/>
      </c>
      <c r="C25" t="n">
        <v>1.2</v>
      </c>
    </row>
    <row r="26">
      <c r="A26" t="inlineStr">
        <is>
          <t>Q2R4C1</t>
        </is>
      </c>
      <c r="B26">
        <f>'Rapport supplémentaire 2024-25'!D51</f>
        <v/>
      </c>
      <c r="C26" t="n">
        <v>1.2</v>
      </c>
    </row>
    <row r="27">
      <c r="A27" t="inlineStr">
        <is>
          <t>Q2R5C1</t>
        </is>
      </c>
      <c r="B27">
        <f>'Rapport supplémentaire 2024-25'!D53</f>
        <v/>
      </c>
      <c r="C27" t="n">
        <v>1.2</v>
      </c>
    </row>
    <row r="28">
      <c r="A28" t="inlineStr">
        <is>
          <t>Q2R6C1</t>
        </is>
      </c>
      <c r="B28">
        <f>'Rapport supplémentaire 2024-25'!D55</f>
        <v/>
      </c>
      <c r="C28" t="n">
        <v>1.2</v>
      </c>
    </row>
    <row r="29">
      <c r="A29" t="inlineStr">
        <is>
          <t>Q2R7C1</t>
        </is>
      </c>
      <c r="B29">
        <f>'Rapport supplémentaire 2024-25'!D57</f>
        <v/>
      </c>
      <c r="C29" t="n">
        <v>1.2</v>
      </c>
    </row>
    <row r="30">
      <c r="A30" t="inlineStr">
        <is>
          <t>Q2R8C1</t>
        </is>
      </c>
      <c r="B30">
        <f>'Rapport supplémentaire 2024-25'!D59</f>
        <v/>
      </c>
      <c r="C30" t="n">
        <v>1.2</v>
      </c>
    </row>
    <row r="31">
      <c r="A31" t="inlineStr">
        <is>
          <t>Q2R9C1</t>
        </is>
      </c>
      <c r="B31">
        <f>'Rapport supplémentaire 2024-25'!D61</f>
        <v/>
      </c>
      <c r="C31" t="n">
        <v>1.2</v>
      </c>
    </row>
    <row r="32">
      <c r="A32" t="inlineStr">
        <is>
          <t>Q2R10C1</t>
        </is>
      </c>
      <c r="B32">
        <f>'Rapport supplémentaire 2024-25'!D63</f>
        <v/>
      </c>
      <c r="C32" t="n">
        <v>1.2</v>
      </c>
    </row>
    <row r="33">
      <c r="A33" t="inlineStr">
        <is>
          <t>Q3R1C1</t>
        </is>
      </c>
      <c r="B33">
        <f>'Rapport supplémentaire 2024-25'!D74</f>
        <v/>
      </c>
      <c r="C33" t="n">
        <v>2.1</v>
      </c>
    </row>
    <row r="34">
      <c r="A34" t="inlineStr">
        <is>
          <t>Q3R1C2</t>
        </is>
      </c>
      <c r="B34">
        <f>'Rapport supplémentaire 2024-25'!F74</f>
        <v/>
      </c>
      <c r="C34" t="n">
        <v>2.1</v>
      </c>
    </row>
    <row r="35">
      <c r="A35" t="inlineStr">
        <is>
          <t>Q3R2C1</t>
        </is>
      </c>
      <c r="B35">
        <f>'Rapport supplémentaire 2024-25'!D76</f>
        <v/>
      </c>
      <c r="C35" t="n">
        <v>2.1</v>
      </c>
    </row>
    <row r="36">
      <c r="A36" t="inlineStr">
        <is>
          <t>Q3R2C2</t>
        </is>
      </c>
      <c r="B36">
        <f>'Rapport supplémentaire 2024-25'!F76</f>
        <v/>
      </c>
      <c r="C36" t="n">
        <v>2.1</v>
      </c>
    </row>
    <row r="37">
      <c r="A37" t="inlineStr">
        <is>
          <t>Q3R3C1</t>
        </is>
      </c>
      <c r="B37">
        <f>'Rapport supplémentaire 2024-25'!D78</f>
        <v/>
      </c>
      <c r="C37" t="n">
        <v>2.1</v>
      </c>
    </row>
    <row r="38">
      <c r="A38" t="inlineStr">
        <is>
          <t>Q3R3C2</t>
        </is>
      </c>
      <c r="B38">
        <f>'Rapport supplémentaire 2024-25'!F78</f>
        <v/>
      </c>
      <c r="C38" t="n">
        <v>2.1</v>
      </c>
    </row>
    <row r="39">
      <c r="A39" t="inlineStr">
        <is>
          <t>Q3R4C1</t>
        </is>
      </c>
      <c r="B39">
        <f>'Rapport supplémentaire 2024-25'!D80</f>
        <v/>
      </c>
      <c r="C39" t="n">
        <v>2.1</v>
      </c>
    </row>
    <row r="40">
      <c r="A40" t="inlineStr">
        <is>
          <t>Q3R4C2</t>
        </is>
      </c>
      <c r="B40">
        <f>'Rapport supplémentaire 2024-25'!F80</f>
        <v/>
      </c>
      <c r="C40" t="n">
        <v>2.1</v>
      </c>
    </row>
    <row r="41">
      <c r="A41" t="inlineStr">
        <is>
          <t>Q3R5C1</t>
        </is>
      </c>
      <c r="B41">
        <f>'Rapport supplémentaire 2024-25'!D82</f>
        <v/>
      </c>
      <c r="C41" t="n">
        <v>2.1</v>
      </c>
    </row>
    <row r="42">
      <c r="A42" t="inlineStr">
        <is>
          <t>Q3R5C2</t>
        </is>
      </c>
      <c r="B42">
        <f>'Rapport supplémentaire 2024-25'!F82</f>
        <v/>
      </c>
      <c r="C42" t="n">
        <v>2.1</v>
      </c>
    </row>
    <row r="43">
      <c r="A43" t="inlineStr">
        <is>
          <t>Q3R6C1</t>
        </is>
      </c>
      <c r="B43">
        <f>'Rapport supplémentaire 2024-25'!D84</f>
        <v/>
      </c>
      <c r="C43" t="n">
        <v>2.1</v>
      </c>
    </row>
    <row r="44">
      <c r="A44" t="inlineStr">
        <is>
          <t>Q3R6C2</t>
        </is>
      </c>
      <c r="B44">
        <f>'Rapport supplémentaire 2024-25'!F84</f>
        <v/>
      </c>
      <c r="C44" t="n">
        <v>2.1</v>
      </c>
    </row>
    <row r="45">
      <c r="A45" t="inlineStr">
        <is>
          <t>Q3R7C1</t>
        </is>
      </c>
      <c r="B45">
        <f>'Rapport supplémentaire 2024-25'!D86</f>
        <v/>
      </c>
      <c r="C45" t="n">
        <v>2.1</v>
      </c>
    </row>
    <row r="46">
      <c r="A46" t="inlineStr">
        <is>
          <t>Q3R7C2</t>
        </is>
      </c>
      <c r="B46">
        <f>'Rapport supplémentaire 2024-25'!F86</f>
        <v/>
      </c>
      <c r="C46" t="n">
        <v>2.1</v>
      </c>
    </row>
    <row r="47">
      <c r="A47" t="inlineStr">
        <is>
          <t>Q3R8C1</t>
        </is>
      </c>
      <c r="B47">
        <f>'Rapport supplémentaire 2024-25'!D88</f>
        <v/>
      </c>
      <c r="C47" t="n">
        <v>2.1</v>
      </c>
    </row>
    <row r="48">
      <c r="A48" t="inlineStr">
        <is>
          <t>Q3R8C2</t>
        </is>
      </c>
      <c r="B48">
        <f>'Rapport supplémentaire 2024-25'!F88</f>
        <v/>
      </c>
      <c r="C48" t="n">
        <v>2.1</v>
      </c>
    </row>
    <row r="49">
      <c r="A49" t="inlineStr">
        <is>
          <t>Q3R9C1</t>
        </is>
      </c>
      <c r="B49">
        <f>'Rapport supplémentaire 2024-25'!D90</f>
        <v/>
      </c>
      <c r="C49" t="n">
        <v>2.1</v>
      </c>
    </row>
    <row r="50">
      <c r="A50" t="inlineStr">
        <is>
          <t>Q3R9C2</t>
        </is>
      </c>
      <c r="B50">
        <f>'Rapport supplémentaire 2024-25'!F90</f>
        <v/>
      </c>
      <c r="C50" t="n">
        <v>2.1</v>
      </c>
    </row>
    <row r="51">
      <c r="A51" t="inlineStr">
        <is>
          <t>Q3R10C1</t>
        </is>
      </c>
      <c r="B51">
        <f>'Rapport supplémentaire 2024-25'!D92</f>
        <v/>
      </c>
      <c r="C51" t="n">
        <v>2.1</v>
      </c>
    </row>
    <row r="52">
      <c r="A52" t="inlineStr">
        <is>
          <t>Q3R10C2</t>
        </is>
      </c>
      <c r="B52">
        <f>'Rapport supplémentaire 2024-25'!F92</f>
        <v/>
      </c>
      <c r="C52" t="n">
        <v>2.1</v>
      </c>
    </row>
    <row r="53">
      <c r="A53" t="inlineStr">
        <is>
          <t>Q4R1C1</t>
        </is>
      </c>
      <c r="B53">
        <f>'Rapport supplémentaire 2024-25'!D102</f>
        <v/>
      </c>
      <c r="C53" t="n">
        <v>2.2</v>
      </c>
    </row>
    <row r="54">
      <c r="A54" t="inlineStr">
        <is>
          <t>Q4R2C1</t>
        </is>
      </c>
      <c r="B54">
        <f>'Rapport supplémentaire 2024-25'!D104</f>
        <v/>
      </c>
      <c r="C54" t="n">
        <v>2.2</v>
      </c>
    </row>
    <row r="55">
      <c r="A55" t="inlineStr">
        <is>
          <t>Q4R3C1</t>
        </is>
      </c>
      <c r="B55">
        <f>'Rapport supplémentaire 2024-25'!D106</f>
        <v/>
      </c>
      <c r="C55" t="n">
        <v>2.2</v>
      </c>
    </row>
    <row r="56">
      <c r="A56" t="inlineStr">
        <is>
          <t>Q4R4C1</t>
        </is>
      </c>
      <c r="B56">
        <f>'Rapport supplémentaire 2024-25'!D108</f>
        <v/>
      </c>
      <c r="C56" t="n">
        <v>2.2</v>
      </c>
    </row>
    <row r="57">
      <c r="A57" t="inlineStr">
        <is>
          <t>Q4R5C1</t>
        </is>
      </c>
      <c r="B57">
        <f>'Rapport supplémentaire 2024-25'!D110</f>
        <v/>
      </c>
      <c r="C57" t="n">
        <v>2.2</v>
      </c>
    </row>
    <row r="58">
      <c r="A58" t="inlineStr">
        <is>
          <t>Q4R6C1</t>
        </is>
      </c>
      <c r="B58">
        <f>'Rapport supplémentaire 2024-25'!D112</f>
        <v/>
      </c>
      <c r="C58" t="n">
        <v>2.2</v>
      </c>
    </row>
    <row r="59">
      <c r="A59" t="inlineStr">
        <is>
          <t>Q4R7C1</t>
        </is>
      </c>
      <c r="B59">
        <f>'Rapport supplémentaire 2024-25'!D114</f>
        <v/>
      </c>
      <c r="C59" t="n">
        <v>2.2</v>
      </c>
    </row>
    <row r="60">
      <c r="A60" t="inlineStr">
        <is>
          <t>Q4R8C1</t>
        </is>
      </c>
      <c r="B60">
        <f>'Rapport supplémentaire 2024-25'!D116</f>
        <v/>
      </c>
      <c r="C60" t="n">
        <v>2.2</v>
      </c>
    </row>
    <row r="61">
      <c r="A61" t="inlineStr">
        <is>
          <t>Q4R9C1</t>
        </is>
      </c>
      <c r="B61">
        <f>'Rapport supplémentaire 2024-25'!D118</f>
        <v/>
      </c>
      <c r="C61" t="n">
        <v>2.2</v>
      </c>
    </row>
    <row r="62">
      <c r="A62" t="inlineStr">
        <is>
          <t>Q4R10C1</t>
        </is>
      </c>
      <c r="B62">
        <f>'Rapport supplémentaire 2024-25'!D120</f>
        <v/>
      </c>
      <c r="C62" t="n">
        <v>2.2</v>
      </c>
    </row>
    <row r="63">
      <c r="A63" t="inlineStr">
        <is>
          <t>Q5R1C1</t>
        </is>
      </c>
      <c r="B63">
        <f>'Rapport supplémentaire 2024-25'!K127</f>
        <v/>
      </c>
      <c r="C63" t="n">
        <v>3</v>
      </c>
    </row>
    <row r="64">
      <c r="A64" t="inlineStr">
        <is>
          <t>Q6R1C1</t>
        </is>
      </c>
      <c r="B64">
        <f>'Rapport supplémentaire 2024-25'!K132</f>
        <v/>
      </c>
      <c r="C64" t="n">
        <v>4</v>
      </c>
    </row>
  </sheetData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Durand, Jean-Pierre</dc:creator>
  <dcterms:created xmlns:dcterms="http://purl.org/dc/terms/" xmlns:xsi="http://www.w3.org/2001/XMLSchema-instance" xsi:type="dcterms:W3CDTF">2022-04-27T13:16:19Z</dcterms:created>
  <dcterms:modified xmlns:dcterms="http://purl.org/dc/terms/" xmlns:xsi="http://www.w3.org/2001/XMLSchema-instance" xsi:type="dcterms:W3CDTF">2026-01-02T13:49:16+00:00Z</dcterms:modified>
  <cp:lastModifiedBy>Fauvel, Francis</cp:lastModifiedBy>
</cp:coreProperties>
</file>

<file path=docProps/custom.xml><?xml version="1.0" encoding="utf-8"?>
<Properties xmlns="http://schemas.openxmlformats.org/officeDocument/2006/custom-properties">
  <property name="MSIP_Label_3d0ca00b-3f0e-465a-aac7-1a6a22fcea40_Enabled" fmtid="{D5CDD505-2E9C-101B-9397-08002B2CF9AE}" pid="2">
    <vt:lpwstr xmlns:vt="http://schemas.openxmlformats.org/officeDocument/2006/docPropsVTypes">true</vt:lpwstr>
  </property>
  <property name="MSIP_Label_3d0ca00b-3f0e-465a-aac7-1a6a22fcea40_SetDate" fmtid="{D5CDD505-2E9C-101B-9397-08002B2CF9AE}" pid="3">
    <vt:lpwstr xmlns:vt="http://schemas.openxmlformats.org/officeDocument/2006/docPropsVTypes">2023-03-20T19:31:33Z</vt:lpwstr>
  </property>
  <property name="MSIP_Label_3d0ca00b-3f0e-465a-aac7-1a6a22fcea40_Method" fmtid="{D5CDD505-2E9C-101B-9397-08002B2CF9AE}" pid="4">
    <vt:lpwstr xmlns:vt="http://schemas.openxmlformats.org/officeDocument/2006/docPropsVTypes">Privileged</vt:lpwstr>
  </property>
  <property name="MSIP_Label_3d0ca00b-3f0e-465a-aac7-1a6a22fcea40_Name" fmtid="{D5CDD505-2E9C-101B-9397-08002B2CF9AE}" pid="5">
    <vt:lpwstr xmlns:vt="http://schemas.openxmlformats.org/officeDocument/2006/docPropsVTypes">3d0ca00b-3f0e-465a-aac7-1a6a22fcea40</vt:lpwstr>
  </property>
  <property name="MSIP_Label_3d0ca00b-3f0e-465a-aac7-1a6a22fcea40_SiteId" fmtid="{D5CDD505-2E9C-101B-9397-08002B2CF9AE}" pid="6">
    <vt:lpwstr xmlns:vt="http://schemas.openxmlformats.org/officeDocument/2006/docPropsVTypes">6397df10-4595-4047-9c4f-03311282152b</vt:lpwstr>
  </property>
  <property name="MSIP_Label_3d0ca00b-3f0e-465a-aac7-1a6a22fcea40_ActionId" fmtid="{D5CDD505-2E9C-101B-9397-08002B2CF9AE}" pid="7">
    <vt:lpwstr xmlns:vt="http://schemas.openxmlformats.org/officeDocument/2006/docPropsVTypes">9211d13d-2003-40f7-aecd-dd2f38993637</vt:lpwstr>
  </property>
  <property name="MSIP_Label_3d0ca00b-3f0e-465a-aac7-1a6a22fcea40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0x0101005C2A7348FF32FD4983FEBC65875BD8E7</vt:lpwstr>
  </property>
  <property name="TaxKeyword" fmtid="{D5CDD505-2E9C-101B-9397-08002B2CF9AE}" pid="10">
    <vt:lpwstr xmlns:vt="http://schemas.openxmlformats.org/officeDocument/2006/docPropsVTypes"/>
  </property>
  <property name="MediaServiceImageTags" fmtid="{D5CDD505-2E9C-101B-9397-08002B2CF9AE}" pid="11">
    <vt:lpwstr xmlns:vt="http://schemas.openxmlformats.org/officeDocument/2006/docPropsVTypes"/>
  </property>
  <property name="_dlc_DocIdItemGuid" fmtid="{D5CDD505-2E9C-101B-9397-08002B2CF9AE}" pid="12">
    <vt:lpwstr xmlns:vt="http://schemas.openxmlformats.org/officeDocument/2006/docPropsVTypes">499ae3f1-a1bc-4a6b-b5ea-079bc0a6ece6</vt:lpwstr>
  </property>
  <property name="xd_ProgID" fmtid="{D5CDD505-2E9C-101B-9397-08002B2CF9AE}" pid="13">
    <vt:lpwstr xmlns:vt="http://schemas.openxmlformats.org/officeDocument/2006/docPropsVTypes"/>
  </property>
  <property name="Approved" fmtid="{D5CDD505-2E9C-101B-9397-08002B2CF9AE}" pid="14">
    <vt:bool xmlns:vt="http://schemas.openxmlformats.org/officeDocument/2006/docPropsVTypes">0</vt:bool>
  </property>
  <property name="ComplianceAssetId" fmtid="{D5CDD505-2E9C-101B-9397-08002B2CF9AE}" pid="15">
    <vt:lpwstr xmlns:vt="http://schemas.openxmlformats.org/officeDocument/2006/docPropsVTypes"/>
  </property>
  <property name="TemplateUrl" fmtid="{D5CDD505-2E9C-101B-9397-08002B2CF9AE}" pid="16">
    <vt:lpwstr xmlns:vt="http://schemas.openxmlformats.org/officeDocument/2006/docPropsVTypes"/>
  </property>
  <property name="_ExtendedDescription" fmtid="{D5CDD505-2E9C-101B-9397-08002B2CF9AE}" pid="17">
    <vt:lpwstr xmlns:vt="http://schemas.openxmlformats.org/officeDocument/2006/docPropsVTypes"/>
  </property>
  <property name="xd_Signature" fmtid="{D5CDD505-2E9C-101B-9397-08002B2CF9AE}" pid="18">
    <vt:bool xmlns:vt="http://schemas.openxmlformats.org/officeDocument/2006/docPropsVTypes">0</vt:bool>
  </property>
  <property name="TriggerFlowInfo" fmtid="{D5CDD505-2E9C-101B-9397-08002B2CF9AE}" pid="19">
    <vt:lpwstr xmlns:vt="http://schemas.openxmlformats.org/officeDocument/2006/docPropsVTypes"/>
  </property>
  <property name="XREF" fmtid="{D5CDD505-2E9C-101B-9397-08002B2CF9AE}" pid="20">
    <vt:lpwstr xmlns:vt="http://schemas.openxmlformats.org/officeDocument/2006/docPropsVTypes" xml:space="preserve">, </vt:lpwstr>
  </property>
</Properties>
</file>