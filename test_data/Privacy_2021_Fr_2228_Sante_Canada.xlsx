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3">
    <numFmt numFmtId="164" formatCode="0.000"/>
    <numFmt numFmtId="165" formatCode="&quot;$&quot;#,##0.00"/>
    <numFmt numFmtId="166" formatCode="&quot;$&quot;#,##0"/>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7">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0" fontId="0" fillId="0" borderId="36" pivotButton="0" quotePrefix="0" xfId="0"/>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n"/>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323" t="inlineStr">
        <is>
          <t xml:space="preserve">Période d'établissement de rapport : </t>
        </is>
      </c>
      <c r="F8" s="494" t="n">
        <v>45383</v>
      </c>
      <c r="G8" s="1371" t="n"/>
      <c r="H8" s="710" t="inlineStr">
        <is>
          <t>au</t>
        </is>
      </c>
      <c r="I8" s="494" t="n">
        <v>45747</v>
      </c>
      <c r="J8" s="1371"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2" t="n"/>
      <c r="J13" s="1373" t="n"/>
      <c r="L13" s="36" t="n"/>
      <c r="V13" s="36" t="n"/>
      <c r="W13" s="89" t="n"/>
      <c r="X13" s="89" t="n"/>
      <c r="Y13" s="89" t="n"/>
      <c r="Z13" s="89" t="n"/>
      <c r="AA13" s="89" t="n"/>
      <c r="AB13" s="89" t="n"/>
      <c r="AC13" s="89" t="n"/>
      <c r="AD13" s="89" t="n"/>
      <c r="AE13" s="89" t="n"/>
      <c r="AF13" s="89" t="n"/>
      <c r="AG13" s="89" t="n"/>
    </row>
    <row r="14" ht="15.75" customHeight="1" thickTop="1">
      <c r="A14" s="1374" t="inlineStr">
        <is>
          <t>Reçues pendant la période d'établissement de rapport</t>
        </is>
      </c>
      <c r="B14" s="1375" t="n"/>
      <c r="C14" s="1375" t="n"/>
      <c r="D14" s="1375" t="n"/>
      <c r="E14" s="1375" t="n"/>
      <c r="F14" s="1375" t="n"/>
      <c r="G14" s="1376" t="n"/>
      <c r="H14" s="509" t="n">
        <v>0</v>
      </c>
      <c r="I14" s="1377" t="n"/>
      <c r="J14" s="1378"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79" t="n"/>
      <c r="C15" s="1379" t="n"/>
      <c r="D15" s="1379" t="n"/>
      <c r="E15" s="1379" t="n"/>
      <c r="F15" s="1379" t="n"/>
      <c r="G15" s="1379" t="n"/>
      <c r="H15" s="1380">
        <f>G16+G17</f>
        <v/>
      </c>
      <c r="I15" s="1379" t="n"/>
      <c r="J15" s="1381"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79" t="n"/>
      <c r="C16" s="1379" t="n"/>
      <c r="D16" s="1379" t="n"/>
      <c r="E16" s="1379" t="n"/>
      <c r="F16" s="1382" t="n"/>
      <c r="G16" s="207" t="n">
        <v>0</v>
      </c>
      <c r="H16" s="972" t="n"/>
      <c r="I16" s="1383" t="n"/>
      <c r="J16" s="1384"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5" t="inlineStr">
        <is>
          <t>• En suspens pour plus d'une période d'établissement de rapport</t>
        </is>
      </c>
      <c r="B17" s="1386" t="n"/>
      <c r="C17" s="1386" t="n"/>
      <c r="D17" s="1386" t="n"/>
      <c r="E17" s="1386" t="n"/>
      <c r="F17" s="1387" t="n"/>
      <c r="G17" s="208" t="n">
        <v>0</v>
      </c>
      <c r="H17" s="1388" t="n"/>
      <c r="I17" s="1388" t="n"/>
      <c r="J17" s="1389"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0" t="inlineStr">
        <is>
          <t>Total</t>
        </is>
      </c>
      <c r="B18" s="1372" t="n"/>
      <c r="C18" s="1372" t="n"/>
      <c r="D18" s="1372" t="n"/>
      <c r="E18" s="1372" t="n"/>
      <c r="F18" s="1372" t="n"/>
      <c r="G18" s="1373" t="n"/>
      <c r="H18" s="501">
        <f>H14+H15</f>
        <v/>
      </c>
      <c r="I18" s="1372" t="n"/>
      <c r="J18" s="1373"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1" t="inlineStr">
        <is>
          <t>Fermées pendant la période d'établissement de rapport</t>
        </is>
      </c>
      <c r="B19" s="1375" t="n"/>
      <c r="C19" s="1375" t="n"/>
      <c r="D19" s="1375" t="n"/>
      <c r="E19" s="1375" t="n"/>
      <c r="F19" s="1375" t="n"/>
      <c r="G19" s="1376" t="n"/>
      <c r="H19" s="514" t="n">
        <v>0</v>
      </c>
      <c r="I19" s="1377" t="n"/>
      <c r="J19" s="1378"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2" t="inlineStr">
        <is>
          <t>Reportées à la prochaine période d'établissement de rapport</t>
        </is>
      </c>
      <c r="B20" s="1379" t="n"/>
      <c r="C20" s="1379" t="n"/>
      <c r="D20" s="1379" t="n"/>
      <c r="E20" s="1379" t="n"/>
      <c r="F20" s="1379" t="n"/>
      <c r="G20" s="1381" t="n"/>
      <c r="H20" s="951">
        <f>SUM(G21:G22)</f>
        <v/>
      </c>
      <c r="I20" s="1379" t="n"/>
      <c r="J20" s="1381"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79" t="n"/>
      <c r="C21" s="1379" t="n"/>
      <c r="D21" s="1379" t="n"/>
      <c r="E21" s="1379" t="n"/>
      <c r="F21" s="1382" t="n"/>
      <c r="G21" s="207" t="n">
        <v>0</v>
      </c>
      <c r="H21" s="1393" t="n"/>
      <c r="I21" s="1383" t="n"/>
      <c r="J21" s="1384"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6" t="n"/>
      <c r="C22" s="1386" t="n"/>
      <c r="D22" s="1386" t="n"/>
      <c r="E22" s="1386" t="n"/>
      <c r="F22" s="1394" t="n"/>
      <c r="G22" s="209" t="n">
        <v>0</v>
      </c>
      <c r="H22" s="1395" t="n"/>
      <c r="I22" s="1388" t="n"/>
      <c r="J22" s="1389"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2" t="n"/>
      <c r="C26" s="1372" t="n"/>
      <c r="D26" s="1372" t="n"/>
      <c r="E26" s="1372" t="n"/>
      <c r="F26" s="1373" t="n"/>
      <c r="G26" s="500" t="inlineStr">
        <is>
          <t>Nombre de demandes</t>
        </is>
      </c>
      <c r="H26" s="1372" t="n"/>
      <c r="I26" s="1372" t="n"/>
      <c r="J26" s="1372"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1" t="n"/>
      <c r="C27" s="1371" t="n"/>
      <c r="D27" s="1371" t="n"/>
      <c r="E27" s="1371" t="n"/>
      <c r="F27" s="1396" t="n"/>
      <c r="G27" s="929" t="n">
        <v>0</v>
      </c>
      <c r="H27" s="1377" t="n"/>
      <c r="I27" s="1377" t="n"/>
      <c r="J27" s="1397"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79" t="n"/>
      <c r="C28" s="1379" t="n"/>
      <c r="D28" s="1379" t="n"/>
      <c r="E28" s="1379" t="n"/>
      <c r="F28" s="1382" t="n"/>
      <c r="G28" s="502" t="n">
        <v>0</v>
      </c>
      <c r="H28" s="1398" t="n"/>
      <c r="I28" s="1398" t="n"/>
      <c r="J28" s="1399"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79" t="n"/>
      <c r="C29" s="1379" t="n"/>
      <c r="D29" s="1379" t="n"/>
      <c r="E29" s="1379" t="n"/>
      <c r="F29" s="1382" t="n"/>
      <c r="G29" s="502" t="n">
        <v>0</v>
      </c>
      <c r="H29" s="1398" t="n"/>
      <c r="I29" s="1398" t="n"/>
      <c r="J29" s="1399"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79" t="n"/>
      <c r="C30" s="1379" t="n"/>
      <c r="D30" s="1379" t="n"/>
      <c r="E30" s="1379" t="n"/>
      <c r="F30" s="1382" t="n"/>
      <c r="G30" s="502" t="n">
        <v>0</v>
      </c>
      <c r="H30" s="1398" t="n"/>
      <c r="I30" s="1398" t="n"/>
      <c r="J30" s="1399"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79" t="n"/>
      <c r="C31" s="1379" t="n"/>
      <c r="D31" s="1379" t="n"/>
      <c r="E31" s="1379" t="n"/>
      <c r="F31" s="1382" t="n"/>
      <c r="G31" s="502" t="n">
        <v>0</v>
      </c>
      <c r="H31" s="1398" t="n"/>
      <c r="I31" s="1398" t="n"/>
      <c r="J31" s="1399"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3" t="n"/>
      <c r="C32" s="1383" t="n"/>
      <c r="D32" s="1383" t="n"/>
      <c r="E32" s="1383" t="n"/>
      <c r="F32" s="1400" t="n"/>
      <c r="G32" s="913" t="n">
        <v>0</v>
      </c>
      <c r="H32" s="1401" t="n"/>
      <c r="I32" s="1401" t="n"/>
      <c r="J32" s="1402"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2" t="n"/>
      <c r="C33" s="1372" t="n"/>
      <c r="D33" s="1372" t="n"/>
      <c r="E33" s="1372" t="n"/>
      <c r="F33" s="1403" t="n"/>
      <c r="G33" s="917">
        <f>SUM(G27:J32)</f>
        <v/>
      </c>
      <c r="H33" s="1372" t="n"/>
      <c r="I33" s="1372" t="n"/>
      <c r="J33" s="1403"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2" t="n"/>
      <c r="C37" s="1372" t="n"/>
      <c r="D37" s="1372" t="n"/>
      <c r="E37" s="1372" t="n"/>
      <c r="F37" s="1373" t="n"/>
      <c r="G37" s="501" t="inlineStr">
        <is>
          <t>Nombre des demandes</t>
        </is>
      </c>
      <c r="H37" s="1372" t="n"/>
      <c r="I37" s="1372" t="n"/>
      <c r="J37" s="1373"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5" t="n"/>
      <c r="C38" s="1375" t="n"/>
      <c r="D38" s="1375" t="n"/>
      <c r="E38" s="1375" t="n"/>
      <c r="F38" s="1404" t="n"/>
      <c r="G38" s="909" t="n">
        <v>0</v>
      </c>
      <c r="H38" s="1370" t="n"/>
      <c r="I38" s="1370" t="n"/>
      <c r="J38" s="1405"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79" t="n"/>
      <c r="C39" s="1379" t="n"/>
      <c r="D39" s="1379" t="n"/>
      <c r="E39" s="1379" t="n"/>
      <c r="F39" s="1382" t="n"/>
      <c r="G39" s="553" t="n">
        <v>0</v>
      </c>
      <c r="H39" s="1398" t="n"/>
      <c r="I39" s="1398" t="n"/>
      <c r="J39" s="1399"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79" t="n"/>
      <c r="C40" s="1379" t="n"/>
      <c r="D40" s="1379" t="n"/>
      <c r="E40" s="1379" t="n"/>
      <c r="F40" s="1382" t="n"/>
      <c r="G40" s="502" t="n">
        <v>0</v>
      </c>
      <c r="H40" s="1398" t="n"/>
      <c r="I40" s="1398" t="n"/>
      <c r="J40" s="1399"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79" t="n"/>
      <c r="C41" s="1379" t="n"/>
      <c r="D41" s="1379" t="n"/>
      <c r="E41" s="1379" t="n"/>
      <c r="F41" s="1382" t="n"/>
      <c r="G41" s="502" t="n">
        <v>0</v>
      </c>
      <c r="H41" s="1398" t="n"/>
      <c r="I41" s="1398" t="n"/>
      <c r="J41" s="1399"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79" t="n"/>
      <c r="C42" s="1379" t="n"/>
      <c r="D42" s="1379" t="n"/>
      <c r="E42" s="1379" t="n"/>
      <c r="F42" s="1382" t="n"/>
      <c r="G42" s="553" t="n">
        <v>0</v>
      </c>
      <c r="H42" s="1398" t="n"/>
      <c r="I42" s="1398" t="n"/>
      <c r="J42" s="1399"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3" t="n"/>
      <c r="C43" s="1383" t="n"/>
      <c r="D43" s="1383" t="n"/>
      <c r="E43" s="1383" t="n"/>
      <c r="F43" s="1400" t="n"/>
      <c r="G43" s="891" t="n">
        <v>0</v>
      </c>
      <c r="H43" s="1406" t="n"/>
      <c r="I43" s="1406" t="n"/>
      <c r="J43" s="1407"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2" t="n"/>
      <c r="C44" s="1372" t="n"/>
      <c r="D44" s="1372" t="n"/>
      <c r="E44" s="1372" t="n"/>
      <c r="F44" s="1403" t="n"/>
      <c r="G44" s="549">
        <f>SUM(G38:J43)</f>
        <v/>
      </c>
      <c r="H44" s="1372" t="n"/>
      <c r="I44" s="1372" t="n"/>
      <c r="J44" s="1403"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08" t="inlineStr">
        <is>
          <t>Nombre de demandes</t>
        </is>
      </c>
      <c r="I49" s="1372" t="n"/>
      <c r="J49" s="1373"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09" t="inlineStr">
        <is>
          <t>Reçues pendant la période d'établissement de rapport</t>
        </is>
      </c>
      <c r="B50" s="1410" t="n"/>
      <c r="C50" s="1410" t="n"/>
      <c r="D50" s="1410" t="n"/>
      <c r="E50" s="1410" t="n"/>
      <c r="F50" s="1410" t="n"/>
      <c r="G50" s="1411" t="n"/>
      <c r="H50" s="514" t="n">
        <v>0</v>
      </c>
      <c r="I50" s="1377" t="n"/>
      <c r="J50" s="1378"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2" t="inlineStr">
        <is>
          <t>En suspens à la fin de la période d'établissement de rapport précédente</t>
        </is>
      </c>
      <c r="B51" s="1379" t="n"/>
      <c r="C51" s="1379" t="n"/>
      <c r="D51" s="1379" t="n"/>
      <c r="E51" s="1379" t="n"/>
      <c r="F51" s="1379" t="n"/>
      <c r="G51" s="1381" t="n"/>
      <c r="H51" s="512">
        <f>SUM(G52:G53)</f>
        <v/>
      </c>
      <c r="I51" s="1379" t="n"/>
      <c r="J51" s="1381"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79" t="n"/>
      <c r="C52" s="1379" t="n"/>
      <c r="D52" s="1379" t="n"/>
      <c r="E52" s="1379" t="n"/>
      <c r="F52" s="1379" t="n"/>
      <c r="G52" s="212" t="n">
        <v>0</v>
      </c>
      <c r="H52" s="972" t="n"/>
      <c r="I52" s="1383" t="n"/>
      <c r="J52" s="1384"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5" t="inlineStr">
        <is>
          <t>• En suspens pour plus d'une période d'établissement de rapport</t>
        </is>
      </c>
      <c r="B53" s="1386" t="n"/>
      <c r="C53" s="1386" t="n"/>
      <c r="D53" s="1386" t="n"/>
      <c r="E53" s="1386" t="n"/>
      <c r="F53" s="1387" t="n"/>
      <c r="G53" s="211" t="n">
        <v>0</v>
      </c>
      <c r="H53" s="1388" t="n"/>
      <c r="I53" s="1388" t="n"/>
      <c r="J53" s="1389"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2" t="n"/>
      <c r="C54" s="1372" t="n"/>
      <c r="D54" s="1372" t="n"/>
      <c r="E54" s="1372" t="n"/>
      <c r="F54" s="1372" t="n"/>
      <c r="G54" s="1372" t="n"/>
      <c r="H54" s="258">
        <f>SUM(H50:J51)</f>
        <v/>
      </c>
      <c r="I54" s="1372" t="n"/>
      <c r="J54" s="1373"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3" t="n">
        <v>0</v>
      </c>
      <c r="I55" s="1377" t="n"/>
      <c r="J55" s="1378"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6" t="n"/>
      <c r="C56" s="1386" t="n"/>
      <c r="D56" s="1386" t="n"/>
      <c r="E56" s="1386" t="n"/>
      <c r="F56" s="1386" t="n"/>
      <c r="G56" s="1386" t="n"/>
      <c r="H56" s="1393">
        <f>H54-H55</f>
        <v/>
      </c>
      <c r="I56" s="1386" t="n"/>
      <c r="J56" s="1387"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2" t="n"/>
      <c r="C60" s="1372" t="n"/>
      <c r="D60" s="1372" t="n"/>
      <c r="E60" s="1372" t="n"/>
      <c r="F60" s="1373" t="n"/>
      <c r="G60" s="501" t="inlineStr">
        <is>
          <t>Nombre des demandes</t>
        </is>
      </c>
      <c r="H60" s="1372" t="n"/>
      <c r="I60" s="1372" t="n"/>
      <c r="J60" s="1373"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1" t="n"/>
      <c r="C61" s="1371" t="n"/>
      <c r="D61" s="1371" t="n"/>
      <c r="E61" s="1371" t="n"/>
      <c r="F61" s="1396" t="n"/>
      <c r="G61" s="943" t="n">
        <v>0</v>
      </c>
      <c r="H61" s="1377" t="n"/>
      <c r="I61" s="1377" t="n"/>
      <c r="J61" s="1397"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79" t="n"/>
      <c r="C62" s="1379" t="n"/>
      <c r="D62" s="1379" t="n"/>
      <c r="E62" s="1379" t="n"/>
      <c r="F62" s="1382" t="n"/>
      <c r="G62" s="553" t="n">
        <v>0</v>
      </c>
      <c r="H62" s="1398" t="n"/>
      <c r="I62" s="1398" t="n"/>
      <c r="J62" s="1399"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79" t="n"/>
      <c r="C63" s="1379" t="n"/>
      <c r="D63" s="1379" t="n"/>
      <c r="E63" s="1379" t="n"/>
      <c r="F63" s="1382" t="n"/>
      <c r="G63" s="502" t="n">
        <v>0</v>
      </c>
      <c r="H63" s="1398" t="n"/>
      <c r="I63" s="1398" t="n"/>
      <c r="J63" s="1399"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79" t="n"/>
      <c r="C64" s="1379" t="n"/>
      <c r="D64" s="1379" t="n"/>
      <c r="E64" s="1379" t="n"/>
      <c r="F64" s="1382" t="n"/>
      <c r="G64" s="553" t="n">
        <v>0</v>
      </c>
      <c r="H64" s="1398" t="n"/>
      <c r="I64" s="1398" t="n"/>
      <c r="J64" s="1399"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79" t="n"/>
      <c r="C65" s="1379" t="n"/>
      <c r="D65" s="1379" t="n"/>
      <c r="E65" s="1379" t="n"/>
      <c r="F65" s="1382" t="n"/>
      <c r="G65" s="553" t="n">
        <v>0</v>
      </c>
      <c r="H65" s="1398" t="n"/>
      <c r="I65" s="1398" t="n"/>
      <c r="J65" s="1399"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3" t="n"/>
      <c r="C66" s="1383" t="n"/>
      <c r="D66" s="1383" t="n"/>
      <c r="E66" s="1383" t="n"/>
      <c r="F66" s="1400" t="n"/>
      <c r="G66" s="891" t="n">
        <v>0</v>
      </c>
      <c r="H66" s="1406" t="n"/>
      <c r="I66" s="1406" t="n"/>
      <c r="J66" s="1407"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2" t="n"/>
      <c r="C67" s="1372" t="n"/>
      <c r="D67" s="1372" t="n"/>
      <c r="E67" s="1372" t="n"/>
      <c r="F67" s="1403" t="n"/>
      <c r="G67" s="549">
        <f>SUM(G61:J66)</f>
        <v/>
      </c>
      <c r="H67" s="1372" t="n"/>
      <c r="I67" s="1372" t="n"/>
      <c r="J67" s="1403"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5" t="n"/>
      <c r="C71" s="1375" t="n"/>
      <c r="D71" s="1375" t="n"/>
      <c r="E71" s="1375" t="n"/>
      <c r="F71" s="1375" t="n"/>
      <c r="G71" s="1375" t="n"/>
      <c r="H71" s="1404"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0</v>
      </c>
      <c r="B73" s="214" t="n">
        <v>0</v>
      </c>
      <c r="C73" s="214" t="n">
        <v>0</v>
      </c>
      <c r="D73" s="214" t="n">
        <v>0</v>
      </c>
      <c r="E73" s="214" t="n">
        <v>0</v>
      </c>
      <c r="F73" s="214" t="n">
        <v>0</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4" t="n"/>
      <c r="C77" s="1414" t="inlineStr">
        <is>
          <t>De 100 à 500 pages communiquées</t>
        </is>
      </c>
      <c r="D77" s="1376" t="n"/>
      <c r="E77" s="568" t="inlineStr">
        <is>
          <t>De 501 à 1 000 pages communiquées</t>
        </is>
      </c>
      <c r="F77" s="1404" t="n"/>
      <c r="G77" s="442" t="inlineStr">
        <is>
          <t>De 1 001 à 5 000 pages communiquées</t>
        </is>
      </c>
      <c r="H77" s="1404" t="n"/>
      <c r="I77" s="568" t="inlineStr">
        <is>
          <t>Plus de 5 000 pages communiquées</t>
        </is>
      </c>
      <c r="J77" s="1404"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4" t="n"/>
      <c r="C83" s="1414" t="inlineStr">
        <is>
          <t>De 100 à 500 pages recommuniquées</t>
        </is>
      </c>
      <c r="D83" s="1376" t="n"/>
      <c r="E83" s="568" t="inlineStr">
        <is>
          <t>De 501 à 1 000 pages recommuniquées</t>
        </is>
      </c>
      <c r="F83" s="1404" t="n"/>
      <c r="G83" s="442" t="inlineStr">
        <is>
          <t>De 1 001 à 5 000 pages recommuniquées</t>
        </is>
      </c>
      <c r="H83" s="1404" t="n"/>
      <c r="I83" s="568" t="inlineStr">
        <is>
          <t>Plus de 5 000 pages recommuniquées</t>
        </is>
      </c>
      <c r="J83" s="1404"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0</v>
      </c>
      <c r="B85" s="1046" t="n">
        <v>0</v>
      </c>
      <c r="C85" s="220" t="n">
        <v>0</v>
      </c>
      <c r="D85" s="1046" t="n">
        <v>0</v>
      </c>
      <c r="E85" s="220" t="n">
        <v>0</v>
      </c>
      <c r="F85" s="221" t="n">
        <v>0</v>
      </c>
      <c r="G85" s="1353" t="n">
        <v>0</v>
      </c>
      <c r="H85" s="1046" t="n">
        <v>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5" t="inlineStr">
        <is>
          <t>Nombre de demandes</t>
        </is>
      </c>
      <c r="I89" s="1410" t="n"/>
      <c r="J89" s="1410" t="n"/>
      <c r="K89" s="1411"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5" t="n"/>
      <c r="C90" s="1375" t="n"/>
      <c r="D90" s="1375" t="n"/>
      <c r="E90" s="1375" t="n"/>
      <c r="F90" s="1375" t="n"/>
      <c r="G90" s="1404" t="n"/>
      <c r="H90" s="1096" t="n">
        <v>0</v>
      </c>
      <c r="I90" s="1377" t="n"/>
      <c r="J90" s="1377" t="n"/>
      <c r="K90" s="1378"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3" t="n"/>
      <c r="C91" s="1383" t="n"/>
      <c r="D91" s="1383" t="n"/>
      <c r="E91" s="1383" t="n"/>
      <c r="F91" s="1383" t="n"/>
      <c r="G91" s="1400" t="n"/>
      <c r="H91" s="1276" t="n">
        <v>0</v>
      </c>
      <c r="I91" s="1406" t="n"/>
      <c r="J91" s="1406" t="n"/>
      <c r="K91" s="1416"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2" t="n"/>
      <c r="C92" s="1372" t="n"/>
      <c r="D92" s="1372" t="n"/>
      <c r="E92" s="1372" t="n"/>
      <c r="F92" s="1372" t="n"/>
      <c r="G92" s="1403" t="n"/>
      <c r="H92" s="1417">
        <f>SUM(H90:K91)</f>
        <v/>
      </c>
      <c r="I92" s="1372" t="n"/>
      <c r="J92" s="1372" t="n"/>
      <c r="K92" s="1373"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1" t="n"/>
      <c r="C93" s="1371" t="n"/>
      <c r="D93" s="1371" t="n"/>
      <c r="E93" s="1371" t="n"/>
      <c r="F93" s="1371" t="n"/>
      <c r="G93" s="1396" t="n"/>
      <c r="H93" s="1096" t="n">
        <v>0</v>
      </c>
      <c r="I93" s="1377" t="n"/>
      <c r="J93" s="1377" t="n"/>
      <c r="K93" s="1378"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79" t="n"/>
      <c r="C94" s="1379" t="n"/>
      <c r="D94" s="1379" t="n"/>
      <c r="E94" s="1379" t="n"/>
      <c r="F94" s="1379" t="n"/>
      <c r="G94" s="1382" t="n"/>
      <c r="H94" s="1418" t="n">
        <v>0</v>
      </c>
      <c r="I94" s="1398" t="n"/>
      <c r="J94" s="1398" t="n"/>
      <c r="K94" s="1419"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79" t="n"/>
      <c r="C95" s="1379" t="n"/>
      <c r="D95" s="1379" t="n"/>
      <c r="E95" s="1379" t="n"/>
      <c r="F95" s="1379" t="n"/>
      <c r="G95" s="1382" t="n"/>
      <c r="H95" s="1418" t="n">
        <v>0</v>
      </c>
      <c r="I95" s="1398" t="n"/>
      <c r="J95" s="1398" t="n"/>
      <c r="K95" s="1419"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6" t="n"/>
      <c r="C96" s="1386" t="n"/>
      <c r="D96" s="1386" t="n"/>
      <c r="E96" s="1386" t="n"/>
      <c r="F96" s="1386" t="n"/>
      <c r="G96" s="1394" t="n"/>
      <c r="H96" s="1420" t="n">
        <v>0</v>
      </c>
      <c r="I96" s="1406" t="n"/>
      <c r="J96" s="1406" t="n"/>
      <c r="K96" s="1416"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0" t="n"/>
      <c r="C102" s="1410" t="n"/>
      <c r="D102" s="1421" t="n"/>
      <c r="E102" s="1422" t="inlineStr">
        <is>
          <t>Délai de traitement</t>
        </is>
      </c>
      <c r="F102" s="1375" t="n"/>
      <c r="G102" s="1375" t="n"/>
      <c r="H102" s="1375" t="n"/>
      <c r="I102" s="1375" t="n"/>
      <c r="J102" s="1375" t="n"/>
      <c r="K102" s="1375" t="n"/>
      <c r="L102" s="1376"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3" t="n"/>
      <c r="B103" s="1371" t="n"/>
      <c r="C103" s="1371" t="n"/>
      <c r="D103" s="1396"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5" t="n"/>
      <c r="C104" s="1375" t="n"/>
      <c r="D104" s="1404" t="n"/>
      <c r="E104" s="929" t="n">
        <v>0</v>
      </c>
      <c r="F104" s="930" t="n">
        <v>0</v>
      </c>
      <c r="G104" s="930" t="n">
        <v>0</v>
      </c>
      <c r="H104" s="930" t="n">
        <v>0</v>
      </c>
      <c r="I104" s="930" t="n">
        <v>0</v>
      </c>
      <c r="J104" s="930" t="n">
        <v>0</v>
      </c>
      <c r="K104" s="931" t="n">
        <v>0</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79" t="n"/>
      <c r="C105" s="1379" t="n"/>
      <c r="D105" s="1382" t="n"/>
      <c r="E105" s="553" t="n">
        <v>0</v>
      </c>
      <c r="F105" s="503" t="n">
        <v>0</v>
      </c>
      <c r="G105" s="503" t="n">
        <v>0</v>
      </c>
      <c r="H105" s="503" t="n">
        <v>0</v>
      </c>
      <c r="I105" s="503" t="n">
        <v>0</v>
      </c>
      <c r="J105" s="503" t="n">
        <v>0</v>
      </c>
      <c r="K105" s="504" t="n">
        <v>0</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79" t="n"/>
      <c r="C106" s="1379" t="n"/>
      <c r="D106" s="1382" t="n"/>
      <c r="E106" s="553" t="n">
        <v>0</v>
      </c>
      <c r="F106" s="503" t="n">
        <v>0</v>
      </c>
      <c r="G106" s="503" t="n">
        <v>0</v>
      </c>
      <c r="H106" s="503" t="n">
        <v>0</v>
      </c>
      <c r="I106" s="503" t="n">
        <v>0</v>
      </c>
      <c r="J106" s="503" t="n">
        <v>0</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79" t="n"/>
      <c r="C107" s="1379" t="n"/>
      <c r="D107" s="1382" t="n"/>
      <c r="E107" s="553" t="n">
        <v>0</v>
      </c>
      <c r="F107" s="503" t="n">
        <v>0</v>
      </c>
      <c r="G107" s="503" t="n">
        <v>0</v>
      </c>
      <c r="H107" s="503" t="n">
        <v>0</v>
      </c>
      <c r="I107" s="503" t="n">
        <v>0</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79" t="n"/>
      <c r="C108" s="1379" t="n"/>
      <c r="D108" s="1382" t="n"/>
      <c r="E108" s="553" t="n">
        <v>0</v>
      </c>
      <c r="F108" s="503" t="n">
        <v>0</v>
      </c>
      <c r="G108" s="503" t="n">
        <v>0</v>
      </c>
      <c r="H108" s="503" t="n">
        <v>0</v>
      </c>
      <c r="I108" s="503" t="n">
        <v>0</v>
      </c>
      <c r="J108" s="503" t="n">
        <v>0</v>
      </c>
      <c r="K108" s="504" t="n">
        <v>0</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79" t="n"/>
      <c r="C109" s="1379" t="n"/>
      <c r="D109" s="1382" t="n"/>
      <c r="E109" s="553" t="n">
        <v>0</v>
      </c>
      <c r="F109" s="503" t="n">
        <v>0</v>
      </c>
      <c r="G109" s="503" t="n">
        <v>0</v>
      </c>
      <c r="H109" s="503" t="n">
        <v>0</v>
      </c>
      <c r="I109" s="503" t="n">
        <v>0</v>
      </c>
      <c r="J109" s="503" t="n">
        <v>0</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79" t="n"/>
      <c r="C110" s="1379" t="n"/>
      <c r="D110" s="1382" t="n"/>
      <c r="E110" s="553" t="n">
        <v>0</v>
      </c>
      <c r="F110" s="503" t="n">
        <v>0</v>
      </c>
      <c r="G110" s="503" t="n">
        <v>0</v>
      </c>
      <c r="H110" s="503" t="n">
        <v>0</v>
      </c>
      <c r="I110" s="503" t="n">
        <v>0</v>
      </c>
      <c r="J110" s="503" t="n">
        <v>0</v>
      </c>
      <c r="K110" s="504" t="n">
        <v>0</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79" t="n"/>
      <c r="C111" s="1379" t="n"/>
      <c r="D111" s="1382" t="n"/>
      <c r="E111" s="553" t="n">
        <v>0</v>
      </c>
      <c r="F111" s="503" t="n">
        <v>0</v>
      </c>
      <c r="G111" s="503" t="n">
        <v>0</v>
      </c>
      <c r="H111" s="503" t="n">
        <v>0</v>
      </c>
      <c r="I111" s="503" t="n">
        <v>0</v>
      </c>
      <c r="J111" s="503" t="n">
        <v>0</v>
      </c>
      <c r="K111" s="504" t="n">
        <v>0</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6" t="n"/>
      <c r="C112" s="1386" t="n"/>
      <c r="D112" s="1394" t="n"/>
      <c r="E112" s="128" t="n">
        <v>0</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2" t="n"/>
      <c r="C113" s="1372" t="n"/>
      <c r="D113" s="1403"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3" t="n"/>
      <c r="C117" s="287" t="inlineStr">
        <is>
          <t>Nombre de demandes</t>
        </is>
      </c>
      <c r="D117" s="491" t="inlineStr">
        <is>
          <t>Article</t>
        </is>
      </c>
      <c r="E117" s="1403" t="n"/>
      <c r="F117" s="287" t="inlineStr">
        <is>
          <t>Nombre de demandes</t>
        </is>
      </c>
      <c r="G117" s="491" t="inlineStr">
        <is>
          <t>Article</t>
        </is>
      </c>
      <c r="H117" s="1403" t="n"/>
      <c r="I117" s="288" t="inlineStr">
        <is>
          <t>Nombre de demandes</t>
        </is>
      </c>
      <c r="J117" s="489" t="inlineStr">
        <is>
          <t>Article</t>
        </is>
      </c>
      <c r="K117" s="1403"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4" t="inlineStr">
        <is>
          <t>13(1)a)</t>
        </is>
      </c>
      <c r="B118" s="1404" t="n"/>
      <c r="C118" s="199" t="n">
        <v>0</v>
      </c>
      <c r="D118" s="1425" t="inlineStr">
        <is>
          <t>16(2)</t>
        </is>
      </c>
      <c r="E118" s="1404" t="n"/>
      <c r="F118" s="559" t="n">
        <v>0</v>
      </c>
      <c r="G118" s="397" t="inlineStr">
        <is>
          <t>18a)</t>
        </is>
      </c>
      <c r="H118" s="1396" t="n"/>
      <c r="I118" s="637" t="n">
        <v>0</v>
      </c>
      <c r="J118" s="456" t="n">
        <v>20.1</v>
      </c>
      <c r="K118" s="1396"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2" t="n"/>
      <c r="C119" s="396" t="n">
        <v>0</v>
      </c>
      <c r="D119" s="382" t="inlineStr">
        <is>
          <t>16(2)a)</t>
        </is>
      </c>
      <c r="E119" s="1382" t="n"/>
      <c r="F119" s="238" t="n">
        <v>0</v>
      </c>
      <c r="G119" s="382" t="inlineStr">
        <is>
          <t>18b)</t>
        </is>
      </c>
      <c r="H119" s="1382" t="n"/>
      <c r="I119" s="395" t="n">
        <v>0</v>
      </c>
      <c r="J119" s="404" t="n">
        <v>20.2</v>
      </c>
      <c r="K119" s="1382"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2" t="n"/>
      <c r="C120" s="396" t="n">
        <v>0</v>
      </c>
      <c r="D120" s="382" t="inlineStr">
        <is>
          <t>16(2)b)</t>
        </is>
      </c>
      <c r="E120" s="1382" t="n"/>
      <c r="F120" s="396" t="n">
        <v>0</v>
      </c>
      <c r="G120" s="382" t="inlineStr">
        <is>
          <t>18c)</t>
        </is>
      </c>
      <c r="H120" s="1382" t="n"/>
      <c r="I120" s="395" t="n">
        <v>0</v>
      </c>
      <c r="J120" s="404" t="n">
        <v>20.4</v>
      </c>
      <c r="K120" s="1382"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2" t="n"/>
      <c r="C121" s="396" t="n">
        <v>0</v>
      </c>
      <c r="D121" s="382" t="inlineStr">
        <is>
          <t>16(2)c)</t>
        </is>
      </c>
      <c r="E121" s="1382" t="n"/>
      <c r="F121" s="396" t="n">
        <v>0</v>
      </c>
      <c r="G121" s="382" t="inlineStr">
        <is>
          <t>18d)</t>
        </is>
      </c>
      <c r="H121" s="1382" t="n"/>
      <c r="I121" s="395" t="n">
        <v>0</v>
      </c>
      <c r="J121" s="404" t="inlineStr">
        <is>
          <t>21(1)a)</t>
        </is>
      </c>
      <c r="K121" s="1382" t="n"/>
      <c r="L121" s="291" t="n">
        <v>0</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79" t="n"/>
      <c r="C122" s="387" t="n">
        <v>0</v>
      </c>
      <c r="D122" s="382" t="inlineStr">
        <is>
          <t>16(3)</t>
        </is>
      </c>
      <c r="E122" s="1382" t="n"/>
      <c r="F122" s="396" t="n">
        <v>0</v>
      </c>
      <c r="G122" s="382" t="inlineStr">
        <is>
          <t>18.1(1)a)</t>
        </is>
      </c>
      <c r="H122" s="1382" t="n"/>
      <c r="I122" s="395" t="n">
        <v>0</v>
      </c>
      <c r="J122" s="404" t="inlineStr">
        <is>
          <t>21(1)b)</t>
        </is>
      </c>
      <c r="K122" s="1382" t="n"/>
      <c r="L122" s="291" t="n">
        <v>0</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6" t="n">
        <v>14</v>
      </c>
      <c r="B123" s="1382" t="n"/>
      <c r="C123" s="237" t="n">
        <v>0</v>
      </c>
      <c r="D123" s="382" t="inlineStr">
        <is>
          <t>16.1(1)a)</t>
        </is>
      </c>
      <c r="E123" s="1382" t="n"/>
      <c r="F123" s="396" t="n">
        <v>0</v>
      </c>
      <c r="G123" s="382" t="inlineStr">
        <is>
          <t>18.1(1)b)</t>
        </is>
      </c>
      <c r="H123" s="1382" t="n"/>
      <c r="I123" s="395" t="n">
        <v>0</v>
      </c>
      <c r="J123" s="404" t="inlineStr">
        <is>
          <t>21(1)c)</t>
        </is>
      </c>
      <c r="K123" s="1382" t="n"/>
      <c r="L123" s="290" t="n">
        <v>0</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2" t="n"/>
      <c r="C124" s="396" t="n">
        <v>0</v>
      </c>
      <c r="D124" s="382" t="inlineStr">
        <is>
          <t>16.1(1)b)</t>
        </is>
      </c>
      <c r="E124" s="1382" t="n"/>
      <c r="F124" s="396" t="n">
        <v>0</v>
      </c>
      <c r="G124" s="382" t="inlineStr">
        <is>
          <t>18.1(1)c)</t>
        </is>
      </c>
      <c r="H124" s="1382" t="n"/>
      <c r="I124" s="395" t="n">
        <v>0</v>
      </c>
      <c r="J124" s="404" t="inlineStr">
        <is>
          <t>21(1)d)</t>
        </is>
      </c>
      <c r="K124" s="1382" t="n"/>
      <c r="L124" s="291" t="n">
        <v>0</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79" t="n"/>
      <c r="C125" s="387" t="n">
        <v>0</v>
      </c>
      <c r="D125" s="382" t="inlineStr">
        <is>
          <t>16.1(1)c)</t>
        </is>
      </c>
      <c r="E125" s="1382" t="n"/>
      <c r="F125" s="396" t="n">
        <v>0</v>
      </c>
      <c r="G125" s="382" t="inlineStr">
        <is>
          <t>18.1(1)d)</t>
        </is>
      </c>
      <c r="H125" s="1382" t="n"/>
      <c r="I125" s="395" t="n">
        <v>0</v>
      </c>
      <c r="J125" s="404" t="n">
        <v>22</v>
      </c>
      <c r="K125" s="1382" t="n"/>
      <c r="L125" s="291" t="n">
        <v>0</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79" t="n"/>
      <c r="C126" s="204" t="n">
        <v>0</v>
      </c>
      <c r="D126" s="382" t="inlineStr">
        <is>
          <t>16.1(1)d)</t>
        </is>
      </c>
      <c r="E126" s="1382" t="n"/>
      <c r="F126" s="396" t="n">
        <v>0</v>
      </c>
      <c r="G126" s="382" t="inlineStr">
        <is>
          <t>19(1)</t>
        </is>
      </c>
      <c r="H126" s="1382" t="n"/>
      <c r="I126" s="395" t="n">
        <v>0</v>
      </c>
      <c r="J126" s="404" t="inlineStr">
        <is>
          <t>22.1(1)</t>
        </is>
      </c>
      <c r="K126" s="1382"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2" t="n"/>
      <c r="C127" s="387" t="n">
        <v>0</v>
      </c>
      <c r="D127" s="382" t="inlineStr">
        <is>
          <t>16.2(1)</t>
        </is>
      </c>
      <c r="E127" s="1382" t="n"/>
      <c r="F127" s="396" t="n">
        <v>0</v>
      </c>
      <c r="G127" s="382" t="inlineStr">
        <is>
          <t>20(1)a)</t>
        </is>
      </c>
      <c r="H127" s="1382" t="n"/>
      <c r="I127" s="395" t="n">
        <v>0</v>
      </c>
      <c r="J127" s="404" t="n">
        <v>23</v>
      </c>
      <c r="K127" s="1382" t="n"/>
      <c r="L127" s="290" t="n">
        <v>0</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2" t="n"/>
      <c r="C128" s="387" t="n">
        <v>0</v>
      </c>
      <c r="D128" s="382" t="n">
        <v>16.3</v>
      </c>
      <c r="E128" s="1382" t="n"/>
      <c r="F128" s="396" t="n">
        <v>0</v>
      </c>
      <c r="G128" s="382" t="inlineStr">
        <is>
          <t>20(1)b)</t>
        </is>
      </c>
      <c r="H128" s="1382" t="n"/>
      <c r="I128" s="395" t="n">
        <v>0</v>
      </c>
      <c r="J128" s="380" t="n">
        <v>23.1</v>
      </c>
      <c r="K128" s="1382"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2" t="n"/>
      <c r="C129" s="387" t="n">
        <v>0</v>
      </c>
      <c r="D129" s="382" t="inlineStr">
        <is>
          <t>16.4(1)a)</t>
        </is>
      </c>
      <c r="E129" s="1382" t="n"/>
      <c r="F129" s="396" t="n">
        <v>0</v>
      </c>
      <c r="G129" s="382" t="inlineStr">
        <is>
          <t>20(1)b.1)</t>
        </is>
      </c>
      <c r="H129" s="1382" t="n"/>
      <c r="I129" s="395" t="n">
        <v>0</v>
      </c>
      <c r="J129" s="404" t="inlineStr">
        <is>
          <t>24(1)</t>
        </is>
      </c>
      <c r="K129" s="1382" t="n"/>
      <c r="L129" s="290" t="n">
        <v>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79" t="n"/>
      <c r="C130" s="387" t="n">
        <v>0</v>
      </c>
      <c r="D130" s="382" t="inlineStr">
        <is>
          <t>16.4(1)b)</t>
        </is>
      </c>
      <c r="E130" s="1382" t="n"/>
      <c r="F130" s="396" t="n">
        <v>0</v>
      </c>
      <c r="G130" s="382" t="inlineStr">
        <is>
          <t>20(1)c)</t>
        </is>
      </c>
      <c r="H130" s="1382" t="n"/>
      <c r="I130" s="395" t="n">
        <v>0</v>
      </c>
      <c r="J130" s="983" t="n">
        <v>26</v>
      </c>
      <c r="K130" s="1394"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79" t="n"/>
      <c r="C131" s="387" t="n">
        <v>0</v>
      </c>
      <c r="D131" s="382" t="n">
        <v>16.5</v>
      </c>
      <c r="E131" s="1382" t="n"/>
      <c r="F131" s="396" t="n">
        <v>0</v>
      </c>
      <c r="G131" s="440" t="inlineStr">
        <is>
          <t>20(1)d)</t>
        </is>
      </c>
      <c r="H131" s="1394" t="n"/>
      <c r="I131" s="874" t="n">
        <v>0</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79" t="n"/>
      <c r="C132" s="387" t="n">
        <v>0</v>
      </c>
      <c r="D132" s="1427" t="n">
        <v>16.6</v>
      </c>
      <c r="E132" s="1382"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79" t="n"/>
      <c r="C133" s="387" t="n">
        <v>0</v>
      </c>
      <c r="D133" s="440" t="n">
        <v>17</v>
      </c>
      <c r="E133" s="1394" t="n"/>
      <c r="F133" s="874" t="n">
        <v>0</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79" t="n"/>
      <c r="C134" s="387" t="n">
        <v>0</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4"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3" t="n"/>
      <c r="C139" s="389" t="inlineStr">
        <is>
          <t>Nombre de demandes</t>
        </is>
      </c>
      <c r="D139" s="1373" t="n"/>
      <c r="E139" s="491" t="inlineStr">
        <is>
          <t>Article</t>
        </is>
      </c>
      <c r="F139" s="1403" t="n"/>
      <c r="G139" s="389" t="inlineStr">
        <is>
          <t>Nombre de demandes</t>
        </is>
      </c>
      <c r="H139" s="1373" t="n"/>
      <c r="I139" s="491" t="inlineStr">
        <is>
          <t>Article</t>
        </is>
      </c>
      <c r="J139" s="1403" t="n"/>
      <c r="K139" s="389" t="inlineStr">
        <is>
          <t>Nombre de demandes</t>
        </is>
      </c>
      <c r="L139" s="1373"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5" t="n"/>
      <c r="C140" s="546" t="n">
        <v>0</v>
      </c>
      <c r="D140" s="1397" t="n"/>
      <c r="E140" s="397" t="inlineStr">
        <is>
          <t>69(1)</t>
        </is>
      </c>
      <c r="F140" s="1396" t="n"/>
      <c r="G140" s="901" t="n">
        <v>0</v>
      </c>
      <c r="H140" s="1405" t="n"/>
      <c r="I140" s="397" t="inlineStr">
        <is>
          <t>69(1)g) re a)</t>
        </is>
      </c>
      <c r="J140" s="1396" t="n"/>
      <c r="K140" s="409" t="n">
        <v>0</v>
      </c>
      <c r="L140" s="1397"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79" t="n"/>
      <c r="C141" s="386" t="n">
        <v>0</v>
      </c>
      <c r="D141" s="1399" t="n"/>
      <c r="E141" s="382" t="inlineStr">
        <is>
          <t>69(1)a)</t>
        </is>
      </c>
      <c r="F141" s="1382" t="n"/>
      <c r="G141" s="400" t="n">
        <v>0</v>
      </c>
      <c r="H141" s="1399" t="n"/>
      <c r="I141" s="382" t="inlineStr">
        <is>
          <t>69(1)g) re b)</t>
        </is>
      </c>
      <c r="J141" s="1382" t="n"/>
      <c r="K141" s="400" t="n">
        <v>0</v>
      </c>
      <c r="L141" s="1399"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79" t="n"/>
      <c r="C142" s="386" t="n">
        <v>0</v>
      </c>
      <c r="D142" s="1399" t="n"/>
      <c r="E142" s="382" t="inlineStr">
        <is>
          <t>69(1)b)</t>
        </is>
      </c>
      <c r="F142" s="1382" t="n"/>
      <c r="G142" s="396" t="n">
        <v>0</v>
      </c>
      <c r="H142" s="1419" t="n"/>
      <c r="I142" s="382" t="inlineStr">
        <is>
          <t>69(1)g) re c)</t>
        </is>
      </c>
      <c r="J142" s="1382" t="n"/>
      <c r="K142" s="400" t="n">
        <v>0</v>
      </c>
      <c r="L142" s="1399"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79" t="n"/>
      <c r="C143" s="386" t="n">
        <v>0</v>
      </c>
      <c r="D143" s="1399" t="n"/>
      <c r="E143" s="382" t="inlineStr">
        <is>
          <t>69(1)c)</t>
        </is>
      </c>
      <c r="F143" s="1382" t="n"/>
      <c r="G143" s="396" t="n">
        <v>0</v>
      </c>
      <c r="H143" s="1419" t="n"/>
      <c r="I143" s="382" t="inlineStr">
        <is>
          <t>69(1)g) re d)</t>
        </is>
      </c>
      <c r="J143" s="1382" t="n"/>
      <c r="K143" s="400" t="n">
        <v>0</v>
      </c>
      <c r="L143" s="1399"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79" t="n"/>
      <c r="C144" s="386" t="n">
        <v>0</v>
      </c>
      <c r="D144" s="1399" t="n"/>
      <c r="E144" s="382" t="inlineStr">
        <is>
          <t>69(1)d)</t>
        </is>
      </c>
      <c r="F144" s="1382" t="n"/>
      <c r="G144" s="396" t="n">
        <v>0</v>
      </c>
      <c r="H144" s="1419" t="n"/>
      <c r="I144" s="382" t="inlineStr">
        <is>
          <t>69(1)g) re e)</t>
        </is>
      </c>
      <c r="J144" s="1382" t="n"/>
      <c r="K144" s="400" t="n">
        <v>0</v>
      </c>
      <c r="L144" s="1399"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3" t="n"/>
      <c r="C145" s="575" t="n">
        <v>0</v>
      </c>
      <c r="D145" s="1407" t="n"/>
      <c r="E145" s="382" t="inlineStr">
        <is>
          <t>69(1)e)</t>
        </is>
      </c>
      <c r="F145" s="1382" t="n"/>
      <c r="G145" s="396" t="n">
        <v>0</v>
      </c>
      <c r="H145" s="1419" t="n"/>
      <c r="I145" s="382" t="inlineStr">
        <is>
          <t>69(1)g) re f)</t>
        </is>
      </c>
      <c r="J145" s="1382" t="n"/>
      <c r="K145" s="400" t="n">
        <v>0</v>
      </c>
      <c r="L145" s="1399"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0" t="n"/>
      <c r="C146" s="846" t="n"/>
      <c r="D146" s="1411" t="n"/>
      <c r="E146" s="440" t="inlineStr">
        <is>
          <t>69(1)f)</t>
        </is>
      </c>
      <c r="F146" s="1394" t="n"/>
      <c r="G146" s="874" t="n">
        <v>0</v>
      </c>
      <c r="H146" s="1416" t="n"/>
      <c r="I146" s="440" t="inlineStr">
        <is>
          <t>69.1(1)</t>
        </is>
      </c>
      <c r="J146" s="1394" t="n"/>
      <c r="K146" s="435" t="n">
        <v>0</v>
      </c>
      <c r="L146" s="1407"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1" t="n"/>
      <c r="C150" s="448" t="inlineStr">
        <is>
          <t>Électronique</t>
        </is>
      </c>
      <c r="D150" s="1410" t="n"/>
      <c r="E150" s="1410" t="n"/>
      <c r="F150" s="1410" t="n"/>
      <c r="G150" s="1411" t="n"/>
      <c r="H150" s="667" t="inlineStr">
        <is>
          <t>Autres</t>
        </is>
      </c>
      <c r="I150" s="1411"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5" t="n"/>
      <c r="B151" s="1389" t="n"/>
      <c r="C151" s="628" t="inlineStr">
        <is>
          <t>Document électronique</t>
        </is>
      </c>
      <c r="D151" s="1394" t="n"/>
      <c r="E151" s="629" t="inlineStr">
        <is>
          <t>Ensemble de données</t>
        </is>
      </c>
      <c r="F151" s="741" t="inlineStr">
        <is>
          <t>Vidéo</t>
        </is>
      </c>
      <c r="G151" s="187" t="inlineStr">
        <is>
          <t>Audio</t>
        </is>
      </c>
      <c r="H151" s="1395" t="n"/>
      <c r="I151" s="1389"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28" t="n"/>
      <c r="C152" s="976" t="n">
        <v>0</v>
      </c>
      <c r="D152" s="1428" t="n"/>
      <c r="E152" s="242" t="n">
        <v>0</v>
      </c>
      <c r="F152" s="242" t="n">
        <v>0</v>
      </c>
      <c r="G152" s="1329" t="n">
        <v>0</v>
      </c>
      <c r="H152" s="900" t="n">
        <v>0</v>
      </c>
      <c r="I152" s="1429"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0" t="n"/>
      <c r="C158" s="1421" t="n"/>
      <c r="D158" s="332" t="inlineStr">
        <is>
          <t>Nombre de pages communiquées</t>
        </is>
      </c>
      <c r="E158" s="1372" t="n"/>
      <c r="F158" s="1403" t="n"/>
      <c r="G158" s="973" t="inlineStr">
        <is>
          <t>Nombre de demandes</t>
        </is>
      </c>
      <c r="H158" s="1410" t="n"/>
      <c r="I158" s="1421"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0</v>
      </c>
      <c r="B159" s="1428" t="n"/>
      <c r="C159" s="1430" t="n"/>
      <c r="D159" s="413" t="n">
        <v>0</v>
      </c>
      <c r="E159" s="1428" t="n"/>
      <c r="F159" s="1430" t="n"/>
      <c r="G159" s="413" t="n">
        <v>0</v>
      </c>
      <c r="H159" s="1428" t="n"/>
      <c r="I159" s="1430"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1" t="inlineStr">
        <is>
          <t>Disposition</t>
        </is>
      </c>
      <c r="B164" s="1411" t="n"/>
      <c r="C164" s="1414" t="inlineStr">
        <is>
          <t>Moins de 100 pages traitées</t>
        </is>
      </c>
      <c r="D164" s="1376" t="n"/>
      <c r="E164" s="442" t="inlineStr">
        <is>
          <t>100 à 500 pages traitées</t>
        </is>
      </c>
      <c r="F164" s="1404" t="n"/>
      <c r="G164" s="568" t="inlineStr">
        <is>
          <t>501 à 1 000 pages traitées</t>
        </is>
      </c>
      <c r="H164" s="1404" t="n"/>
      <c r="I164" s="442" t="inlineStr">
        <is>
          <t>1 001 à 5 000 pages traitées</t>
        </is>
      </c>
      <c r="J164" s="1404" t="n"/>
      <c r="K164" s="568" t="inlineStr">
        <is>
          <t>Plus de 5 000 pages traitées</t>
        </is>
      </c>
      <c r="L164" s="1404"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5" t="n"/>
      <c r="B165" s="1389"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2" t="inlineStr">
        <is>
          <t>Communication totale</t>
        </is>
      </c>
      <c r="B166" s="1376" t="n"/>
      <c r="C166" s="815" t="n">
        <v>0</v>
      </c>
      <c r="D166" s="421" t="n">
        <v>0</v>
      </c>
      <c r="E166" s="1154" t="n">
        <v>0</v>
      </c>
      <c r="F166" s="597" t="n">
        <v>0</v>
      </c>
      <c r="G166" s="815" t="n">
        <v>0</v>
      </c>
      <c r="H166" s="421" t="n">
        <v>0</v>
      </c>
      <c r="I166" s="1154" t="n">
        <v>0</v>
      </c>
      <c r="J166" s="597" t="n">
        <v>0</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3" t="inlineStr">
        <is>
          <t>Communication partielle</t>
        </is>
      </c>
      <c r="B167" s="1381" t="n"/>
      <c r="C167" s="681" t="n">
        <v>0</v>
      </c>
      <c r="D167" s="345" t="n">
        <v>0</v>
      </c>
      <c r="E167" s="357" t="n">
        <v>0</v>
      </c>
      <c r="F167" s="358" t="n">
        <v>0</v>
      </c>
      <c r="G167" s="681" t="n">
        <v>0</v>
      </c>
      <c r="H167" s="345" t="n">
        <v>0</v>
      </c>
      <c r="I167" s="357" t="n">
        <v>0</v>
      </c>
      <c r="J167" s="358" t="n">
        <v>0</v>
      </c>
      <c r="K167" s="681" t="n">
        <v>0</v>
      </c>
      <c r="L167" s="345" t="n">
        <v>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3" t="inlineStr">
        <is>
          <t>Exception totale</t>
        </is>
      </c>
      <c r="B168" s="1381" t="n"/>
      <c r="C168" s="681" t="n">
        <v>0</v>
      </c>
      <c r="D168" s="345" t="n">
        <v>0</v>
      </c>
      <c r="E168" s="357" t="n">
        <v>0</v>
      </c>
      <c r="F168" s="358" t="n">
        <v>0</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3" t="inlineStr">
        <is>
          <t>Exclusion totale</t>
        </is>
      </c>
      <c r="B169" s="1381" t="n"/>
      <c r="C169" s="681" t="n">
        <v>0</v>
      </c>
      <c r="D169" s="345" t="n">
        <v>0</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3" t="inlineStr">
        <is>
          <t>Demande abandonnée</t>
        </is>
      </c>
      <c r="B170" s="1381" t="n"/>
      <c r="C170" s="681" t="n">
        <v>0</v>
      </c>
      <c r="D170" s="358" t="n">
        <v>0</v>
      </c>
      <c r="E170" s="681" t="n">
        <v>0</v>
      </c>
      <c r="F170" s="358" t="n">
        <v>0</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4" t="inlineStr">
        <is>
          <t>Ni confirmée ni infirmée</t>
        </is>
      </c>
      <c r="B171" s="1384" t="n"/>
      <c r="C171" s="681" t="n">
        <v>0</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4"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5" t="inlineStr">
        <is>
          <t>Total</t>
        </is>
      </c>
      <c r="B173" s="1373"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6" t="inlineStr">
        <is>
          <t>Nombre de minutes traitées</t>
        </is>
      </c>
      <c r="B177" s="1372" t="n"/>
      <c r="C177" s="1403" t="n"/>
      <c r="D177" s="1437" t="inlineStr">
        <is>
          <t>Nombre de minutes communiquées</t>
        </is>
      </c>
      <c r="E177" s="1372" t="n"/>
      <c r="F177" s="1403" t="n"/>
      <c r="G177" s="1438" t="inlineStr">
        <is>
          <t>Nombre de demandes</t>
        </is>
      </c>
      <c r="H177" s="1372" t="n"/>
      <c r="I177" s="1373"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28" t="n"/>
      <c r="C178" s="1430" t="n"/>
      <c r="D178" s="283" t="n">
        <v>0</v>
      </c>
      <c r="E178" s="1428" t="n"/>
      <c r="F178" s="1430" t="n"/>
      <c r="G178" s="1439" t="n">
        <v>0</v>
      </c>
      <c r="H178" s="1428" t="n"/>
      <c r="I178" s="1429"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1" t="inlineStr">
        <is>
          <t>Disposition</t>
        </is>
      </c>
      <c r="B182" s="1411" t="n"/>
      <c r="C182" s="390" t="inlineStr">
        <is>
          <t>Moins de 60 minutes traitées</t>
        </is>
      </c>
      <c r="D182" s="1375" t="n"/>
      <c r="E182" s="1404" t="n"/>
      <c r="F182" s="831" t="inlineStr">
        <is>
          <t xml:space="preserve">60-120 minutes traitées </t>
        </is>
      </c>
      <c r="G182" s="1375" t="n"/>
      <c r="H182" s="1404" t="n"/>
      <c r="I182" s="831" t="inlineStr">
        <is>
          <t xml:space="preserve">Plus de 120 minutes traitées </t>
        </is>
      </c>
      <c r="J182" s="1375" t="n"/>
      <c r="K182" s="1404"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5" t="n"/>
      <c r="B183" s="1389" t="n"/>
      <c r="C183" s="169" t="inlineStr">
        <is>
          <t>Nombre de demandes</t>
        </is>
      </c>
      <c r="D183" s="349" t="inlineStr">
        <is>
          <t>Minutes  traitées</t>
        </is>
      </c>
      <c r="E183" s="1394" t="n"/>
      <c r="F183" s="156" t="inlineStr">
        <is>
          <t>Nombre de demandes</t>
        </is>
      </c>
      <c r="G183" s="349" t="inlineStr">
        <is>
          <t>Minutes traitées</t>
        </is>
      </c>
      <c r="H183" s="1394" t="n"/>
      <c r="I183" s="156" t="inlineStr">
        <is>
          <t>Nombre de demandes</t>
        </is>
      </c>
      <c r="J183" s="349" t="inlineStr">
        <is>
          <t>Minutes  traitées</t>
        </is>
      </c>
      <c r="K183" s="1394"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2" t="inlineStr">
        <is>
          <t>Communication totale</t>
        </is>
      </c>
      <c r="B184" s="1376" t="n"/>
      <c r="C184" s="1154" t="n">
        <v>0</v>
      </c>
      <c r="D184" s="420" t="n">
        <v>0</v>
      </c>
      <c r="E184" s="1405" t="n"/>
      <c r="F184" s="245" t="n">
        <v>0</v>
      </c>
      <c r="G184" s="420" t="n">
        <v>0</v>
      </c>
      <c r="H184" s="1405" t="n"/>
      <c r="I184" s="1154" t="n">
        <v>0</v>
      </c>
      <c r="J184" s="420" t="n">
        <v>0</v>
      </c>
      <c r="K184" s="1405"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79" t="n"/>
      <c r="C185" s="681" t="n">
        <v>0</v>
      </c>
      <c r="D185" s="344" t="n">
        <v>0</v>
      </c>
      <c r="E185" s="1399" t="n"/>
      <c r="F185" s="681" t="n">
        <v>0</v>
      </c>
      <c r="G185" s="344" t="n">
        <v>0</v>
      </c>
      <c r="H185" s="1399" t="n"/>
      <c r="I185" s="1154" t="n">
        <v>0</v>
      </c>
      <c r="J185" s="344" t="n">
        <v>0</v>
      </c>
      <c r="K185" s="1399"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79" t="n"/>
      <c r="C186" s="681" t="n">
        <v>0</v>
      </c>
      <c r="D186" s="344" t="n">
        <v>0</v>
      </c>
      <c r="E186" s="1399" t="n"/>
      <c r="F186" s="681" t="n">
        <v>0</v>
      </c>
      <c r="G186" s="344" t="n">
        <v>0</v>
      </c>
      <c r="H186" s="1399" t="n"/>
      <c r="I186" s="1154" t="n">
        <v>0</v>
      </c>
      <c r="J186" s="344" t="n">
        <v>0</v>
      </c>
      <c r="K186" s="1399"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79" t="n"/>
      <c r="C187" s="681" t="n">
        <v>0</v>
      </c>
      <c r="D187" s="344" t="n">
        <v>0</v>
      </c>
      <c r="E187" s="1399" t="n"/>
      <c r="F187" s="681" t="n">
        <v>0</v>
      </c>
      <c r="G187" s="344" t="n">
        <v>0</v>
      </c>
      <c r="H187" s="1399" t="n"/>
      <c r="I187" s="1154" t="n">
        <v>0</v>
      </c>
      <c r="J187" s="344" t="n">
        <v>0</v>
      </c>
      <c r="K187" s="1399"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79" t="n"/>
      <c r="C188" s="681" t="n">
        <v>0</v>
      </c>
      <c r="D188" s="344" t="n">
        <v>0</v>
      </c>
      <c r="E188" s="1399" t="n"/>
      <c r="F188" s="681" t="n">
        <v>0</v>
      </c>
      <c r="G188" s="344" t="n">
        <v>0</v>
      </c>
      <c r="H188" s="1399" t="n"/>
      <c r="I188" s="1154" t="n">
        <v>0</v>
      </c>
      <c r="J188" s="344" t="n">
        <v>0</v>
      </c>
      <c r="K188" s="1399"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0" t="inlineStr">
        <is>
          <t>Ni confirmée ni infirmée</t>
        </is>
      </c>
      <c r="B189" s="1381" t="n"/>
      <c r="C189" s="357" t="n">
        <v>0</v>
      </c>
      <c r="D189" s="346" t="n">
        <v>0</v>
      </c>
      <c r="E189" s="1382" t="n"/>
      <c r="F189" s="153" t="n">
        <v>0</v>
      </c>
      <c r="G189" s="346" t="n">
        <v>0</v>
      </c>
      <c r="H189" s="1382" t="n"/>
      <c r="I189" s="198" t="n">
        <v>0</v>
      </c>
      <c r="J189" s="346" t="n">
        <v>0</v>
      </c>
      <c r="K189" s="1382"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4" t="n"/>
      <c r="C190" s="154" t="n">
        <v>0</v>
      </c>
      <c r="D190" s="334" t="n">
        <v>0</v>
      </c>
      <c r="E190" s="1407" t="n"/>
      <c r="F190" s="154" t="n">
        <v>0</v>
      </c>
      <c r="G190" s="334" t="n">
        <v>0</v>
      </c>
      <c r="H190" s="1407" t="n"/>
      <c r="I190" s="536" t="n">
        <v>0</v>
      </c>
      <c r="J190" s="334" t="n">
        <v>0</v>
      </c>
      <c r="K190" s="1407"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2" t="n"/>
      <c r="C191" s="809">
        <f>SUM(C184:C190)</f>
        <v/>
      </c>
      <c r="D191" s="336">
        <f>SUM(D184:E190)</f>
        <v/>
      </c>
      <c r="E191" s="1441" t="n"/>
      <c r="F191" s="809">
        <f>SUM(F184:F190)</f>
        <v/>
      </c>
      <c r="G191" s="336">
        <f>SUM(G184:H190)</f>
        <v/>
      </c>
      <c r="H191" s="1441" t="n"/>
      <c r="I191" s="640">
        <f>SUM(I184:I190)</f>
        <v/>
      </c>
      <c r="J191" s="336">
        <f>SUM(J184:K190)</f>
        <v/>
      </c>
      <c r="K191" s="1441"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6" t="inlineStr">
        <is>
          <t>Nombre de minutes traitées</t>
        </is>
      </c>
      <c r="B195" s="1372" t="n"/>
      <c r="C195" s="1403" t="n"/>
      <c r="D195" s="1437" t="inlineStr">
        <is>
          <t>Nombre de minutes communiquées</t>
        </is>
      </c>
      <c r="E195" s="1372" t="n"/>
      <c r="F195" s="1403" t="n"/>
      <c r="G195" s="1438" t="inlineStr">
        <is>
          <t>Nombre de demandes</t>
        </is>
      </c>
      <c r="H195" s="1372" t="n"/>
      <c r="I195" s="1373"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28" t="n"/>
      <c r="C196" s="1430" t="n"/>
      <c r="D196" s="1442" t="n">
        <v>0</v>
      </c>
      <c r="E196" s="1428" t="n"/>
      <c r="F196" s="1430" t="n"/>
      <c r="G196" s="226" t="n">
        <v>0</v>
      </c>
      <c r="H196" s="1428" t="n"/>
      <c r="I196" s="1429"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1" t="n"/>
      <c r="C200" s="390" t="inlineStr">
        <is>
          <t xml:space="preserve">Moins de 60 minutes traitées </t>
        </is>
      </c>
      <c r="D200" s="1375" t="n"/>
      <c r="E200" s="1404" t="n"/>
      <c r="F200" s="390" t="inlineStr">
        <is>
          <t xml:space="preserve">60-120 minutes traitées </t>
        </is>
      </c>
      <c r="G200" s="1375" t="n"/>
      <c r="H200" s="1404" t="n"/>
      <c r="I200" s="831" t="inlineStr">
        <is>
          <t xml:space="preserve">Plus de 120 minutes traitées </t>
        </is>
      </c>
      <c r="J200" s="1375" t="n"/>
      <c r="K200" s="1404"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3" t="n"/>
      <c r="B201" s="1396" t="n"/>
      <c r="C201" s="169" t="inlineStr">
        <is>
          <t>Nombre de demandes</t>
        </is>
      </c>
      <c r="D201" s="349" t="inlineStr">
        <is>
          <t>Minutes  traitées</t>
        </is>
      </c>
      <c r="E201" s="1394" t="n"/>
      <c r="F201" s="169" t="inlineStr">
        <is>
          <t>Nombre de demandes</t>
        </is>
      </c>
      <c r="G201" s="349" t="inlineStr">
        <is>
          <t>Minutes traitées</t>
        </is>
      </c>
      <c r="H201" s="1394" t="n"/>
      <c r="I201" s="156" t="inlineStr">
        <is>
          <t>Nombre de demandes</t>
        </is>
      </c>
      <c r="J201" s="349" t="inlineStr">
        <is>
          <t>Minutes  traitées</t>
        </is>
      </c>
      <c r="K201" s="1394"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4" t="n"/>
      <c r="C202" s="1154" t="n">
        <v>0</v>
      </c>
      <c r="D202" s="834" t="n">
        <v>0</v>
      </c>
      <c r="E202" s="1397" t="n"/>
      <c r="F202" s="1154" t="n">
        <v>0</v>
      </c>
      <c r="G202" s="834" t="n">
        <v>0</v>
      </c>
      <c r="H202" s="1397" t="n"/>
      <c r="I202" s="1154" t="n">
        <v>0</v>
      </c>
      <c r="J202" s="420" t="n">
        <v>0</v>
      </c>
      <c r="K202" s="1405"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2" t="n"/>
      <c r="C203" s="357" t="n">
        <v>0</v>
      </c>
      <c r="D203" s="344" t="n">
        <v>0</v>
      </c>
      <c r="E203" s="1399" t="n"/>
      <c r="F203" s="357" t="n">
        <v>0</v>
      </c>
      <c r="G203" s="344" t="n">
        <v>0</v>
      </c>
      <c r="H203" s="1399" t="n"/>
      <c r="I203" s="357" t="n">
        <v>0</v>
      </c>
      <c r="J203" s="344" t="n">
        <v>0</v>
      </c>
      <c r="K203" s="1399"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2" t="n"/>
      <c r="C204" s="681" t="n">
        <v>0</v>
      </c>
      <c r="D204" s="344" t="n">
        <v>0</v>
      </c>
      <c r="E204" s="1399" t="n"/>
      <c r="F204" s="357" t="n">
        <v>0</v>
      </c>
      <c r="G204" s="344" t="n">
        <v>0</v>
      </c>
      <c r="H204" s="1399" t="n"/>
      <c r="I204" s="357" t="n">
        <v>0</v>
      </c>
      <c r="J204" s="344" t="n">
        <v>0</v>
      </c>
      <c r="K204" s="1399"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2" t="n"/>
      <c r="C205" s="357" t="n">
        <v>0</v>
      </c>
      <c r="D205" s="344" t="n">
        <v>0</v>
      </c>
      <c r="E205" s="1399" t="n"/>
      <c r="F205" s="357" t="n">
        <v>0</v>
      </c>
      <c r="G205" s="344" t="n">
        <v>0</v>
      </c>
      <c r="H205" s="1399" t="n"/>
      <c r="I205" s="357" t="n">
        <v>0</v>
      </c>
      <c r="J205" s="344" t="n">
        <v>0</v>
      </c>
      <c r="K205" s="1399"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2" t="n"/>
      <c r="C206" s="357" t="n">
        <v>0</v>
      </c>
      <c r="D206" s="344" t="n">
        <v>0</v>
      </c>
      <c r="E206" s="1399" t="n"/>
      <c r="F206" s="357" t="n">
        <v>0</v>
      </c>
      <c r="G206" s="344" t="n">
        <v>0</v>
      </c>
      <c r="H206" s="1399" t="n"/>
      <c r="I206" s="357" t="n">
        <v>0</v>
      </c>
      <c r="J206" s="344" t="n">
        <v>0</v>
      </c>
      <c r="K206" s="1399"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2" t="n"/>
      <c r="C207" s="681" t="n">
        <v>0</v>
      </c>
      <c r="D207" s="346" t="n">
        <v>0</v>
      </c>
      <c r="E207" s="1382" t="n"/>
      <c r="F207" s="247" t="n">
        <v>0</v>
      </c>
      <c r="G207" s="346" t="n">
        <v>0</v>
      </c>
      <c r="H207" s="1382" t="n"/>
      <c r="I207" s="247" t="n">
        <v>0</v>
      </c>
      <c r="J207" s="346" t="n">
        <v>0</v>
      </c>
      <c r="K207" s="1382"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0" t="n"/>
      <c r="C208" s="154" t="n">
        <v>0</v>
      </c>
      <c r="D208" s="334" t="n">
        <v>0</v>
      </c>
      <c r="E208" s="1407" t="n"/>
      <c r="F208" s="128" t="n">
        <v>0</v>
      </c>
      <c r="G208" s="334" t="n">
        <v>0</v>
      </c>
      <c r="H208" s="1407" t="n"/>
      <c r="I208" s="128" t="n">
        <v>0</v>
      </c>
      <c r="J208" s="334" t="n">
        <v>0</v>
      </c>
      <c r="K208" s="1407"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3" t="n"/>
      <c r="C209" s="543">
        <f>SUM(C202:C208)</f>
        <v/>
      </c>
      <c r="D209" s="336">
        <f>SUM(D202:E208)</f>
        <v/>
      </c>
      <c r="E209" s="1441" t="n"/>
      <c r="F209" s="640">
        <f>SUM(F202:F208)</f>
        <v/>
      </c>
      <c r="G209" s="336">
        <f>SUM(G202:H208)</f>
        <v/>
      </c>
      <c r="H209" s="1441" t="n"/>
      <c r="I209" s="640">
        <f>SUM(I202:I208)</f>
        <v/>
      </c>
      <c r="J209" s="336">
        <f>SUM(J202:K208)</f>
        <v/>
      </c>
      <c r="K209" s="1441"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3" t="n"/>
      <c r="E210" s="1443" t="n"/>
      <c r="F210" s="451" t="n"/>
      <c r="G210" s="1443" t="n"/>
      <c r="H210" s="1443" t="n"/>
      <c r="I210" s="451" t="n"/>
      <c r="J210" s="1443" t="n"/>
      <c r="K210" s="1443"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4" t="inlineStr">
        <is>
          <t>Disposition</t>
        </is>
      </c>
      <c r="B214" s="1373" t="n"/>
      <c r="C214" s="429" t="inlineStr">
        <is>
          <t>Consultation requise</t>
        </is>
      </c>
      <c r="D214" s="1403" t="n"/>
      <c r="E214" s="332" t="inlineStr">
        <is>
          <t>Avis juridique</t>
        </is>
      </c>
      <c r="F214" s="1403" t="n"/>
      <c r="G214" s="332" t="inlineStr">
        <is>
          <t>Autres</t>
        </is>
      </c>
      <c r="H214" s="1403" t="n"/>
      <c r="I214" s="429" t="inlineStr">
        <is>
          <t>Total</t>
        </is>
      </c>
      <c r="J214" s="1403"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5" t="inlineStr">
        <is>
          <t>Communication totale</t>
        </is>
      </c>
      <c r="B215" s="1376" t="n"/>
      <c r="C215" s="245" t="n">
        <v>0</v>
      </c>
      <c r="D215" s="1397" t="n"/>
      <c r="E215" s="420" t="n">
        <v>0</v>
      </c>
      <c r="F215" s="1405" t="n"/>
      <c r="G215" s="420" t="n">
        <v>0</v>
      </c>
      <c r="H215" s="1405" t="n"/>
      <c r="I215" s="433">
        <f>SUM(C215:H215)</f>
        <v/>
      </c>
      <c r="J215" s="1396"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6" t="inlineStr">
        <is>
          <t>Communication partielle</t>
        </is>
      </c>
      <c r="B216" s="1381" t="n"/>
      <c r="C216" s="681" t="n">
        <v>0</v>
      </c>
      <c r="D216" s="1399" t="n"/>
      <c r="E216" s="344" t="n">
        <v>0</v>
      </c>
      <c r="F216" s="1399" t="n"/>
      <c r="G216" s="344" t="n">
        <v>0</v>
      </c>
      <c r="H216" s="1399" t="n"/>
      <c r="I216" s="414">
        <f>SUM(C216:H216)</f>
        <v/>
      </c>
      <c r="J216" s="1382"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6" t="inlineStr">
        <is>
          <t>Exception totale</t>
        </is>
      </c>
      <c r="B217" s="1381" t="n"/>
      <c r="C217" s="681" t="n">
        <v>0</v>
      </c>
      <c r="D217" s="1399" t="n"/>
      <c r="E217" s="344" t="n">
        <v>0</v>
      </c>
      <c r="F217" s="1399" t="n"/>
      <c r="G217" s="344" t="n">
        <v>0</v>
      </c>
      <c r="H217" s="1399" t="n"/>
      <c r="I217" s="414">
        <f>SUM(C217:H217)</f>
        <v/>
      </c>
      <c r="J217" s="1382"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6" t="inlineStr">
        <is>
          <t>Exclusion totale</t>
        </is>
      </c>
      <c r="B218" s="1381" t="n"/>
      <c r="C218" s="681" t="n">
        <v>0</v>
      </c>
      <c r="D218" s="1399" t="n"/>
      <c r="E218" s="344" t="n">
        <v>0</v>
      </c>
      <c r="F218" s="1399" t="n"/>
      <c r="G218" s="345" t="n">
        <v>0</v>
      </c>
      <c r="H218" s="1419" t="n"/>
      <c r="I218" s="414">
        <f>SUM(C218:H218)</f>
        <v/>
      </c>
      <c r="J218" s="1382"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6" t="inlineStr">
        <is>
          <t>Demande abandonnée</t>
        </is>
      </c>
      <c r="B219" s="1381" t="n"/>
      <c r="C219" s="681" t="n">
        <v>0</v>
      </c>
      <c r="D219" s="1399" t="n"/>
      <c r="E219" s="344" t="n">
        <v>0</v>
      </c>
      <c r="F219" s="1399" t="n"/>
      <c r="G219" s="344" t="n">
        <v>0</v>
      </c>
      <c r="H219" s="1399" t="n"/>
      <c r="I219" s="414">
        <f>SUM(C219:H219)</f>
        <v/>
      </c>
      <c r="J219" s="1382"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7" t="inlineStr">
        <is>
          <t>Ni confirmée ni infirmée</t>
        </is>
      </c>
      <c r="B220" s="1381" t="n"/>
      <c r="C220" s="681" t="n">
        <v>0</v>
      </c>
      <c r="D220" s="1399" t="n"/>
      <c r="E220" s="344" t="n">
        <v>0</v>
      </c>
      <c r="F220" s="1399" t="n"/>
      <c r="G220" s="344" t="n">
        <v>0</v>
      </c>
      <c r="H220" s="1399" t="n"/>
      <c r="I220" s="414">
        <f>SUM(C220:H220)</f>
        <v/>
      </c>
      <c r="J220" s="1382"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48" t="inlineStr">
        <is>
          <t>Refus d'agir avec l'approbation de la Commissaire à l'information</t>
        </is>
      </c>
      <c r="B221" s="1389" t="n"/>
      <c r="C221" s="680" t="n">
        <v>0</v>
      </c>
      <c r="D221" s="1407" t="n"/>
      <c r="E221" s="533" t="n">
        <v>0</v>
      </c>
      <c r="F221" s="1407" t="n"/>
      <c r="G221" s="533" t="n">
        <v>0</v>
      </c>
      <c r="H221" s="1407" t="n"/>
      <c r="I221" s="544">
        <f>SUM(C221:H221)</f>
        <v/>
      </c>
      <c r="J221" s="1394"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49" t="inlineStr">
        <is>
          <t>Total</t>
        </is>
      </c>
      <c r="B222" s="1373" t="n"/>
      <c r="C222" s="809">
        <f>SUM(C215:D221)</f>
        <v/>
      </c>
      <c r="D222" s="1403" t="n"/>
      <c r="E222" s="336">
        <f>SUM(E215:F221)</f>
        <v/>
      </c>
      <c r="F222" s="1441" t="n"/>
      <c r="G222" s="336">
        <f>SUM(G215:H221)</f>
        <v/>
      </c>
      <c r="H222" s="1441" t="n"/>
      <c r="I222" s="543">
        <f>SUM(I215:J221)</f>
        <v/>
      </c>
      <c r="J222" s="1441"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0" t="inlineStr">
        <is>
          <t>Nombre de demandes fermées dans les délais prévus par la Loi</t>
        </is>
      </c>
      <c r="B228" s="1410" t="n"/>
      <c r="C228" s="1410" t="n"/>
      <c r="D228" s="1411" t="n"/>
      <c r="E228" s="1451">
        <f>H19-A238</f>
        <v/>
      </c>
      <c r="F228" s="1411"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3" t="n"/>
      <c r="B229" s="1371" t="n"/>
      <c r="C229" s="1371" t="n"/>
      <c r="D229" s="1452" t="n"/>
      <c r="E229" s="1423" t="n"/>
      <c r="F229" s="1452"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3" t="inlineStr">
        <is>
          <t>Pourcentage des demandes fermées dans les délais prévus par la Loi (%)</t>
        </is>
      </c>
      <c r="B230" s="1386" t="n"/>
      <c r="C230" s="1386" t="n"/>
      <c r="D230" s="1387" t="n"/>
      <c r="E230" s="1454">
        <f>IF(H19=0,"0",(E228/H19)*100)</f>
        <v/>
      </c>
      <c r="F230" s="1387"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5" t="inlineStr">
        <is>
          <t>Nombre de demandes fermées au-delà des délais prévus par la Loi</t>
        </is>
      </c>
      <c r="B236" s="1410" t="n"/>
      <c r="C236" s="1410" t="n"/>
      <c r="D236" s="1411" t="n"/>
      <c r="E236" s="586" t="inlineStr">
        <is>
          <t>Motif principal</t>
        </is>
      </c>
      <c r="F236" s="1375" t="n"/>
      <c r="G236" s="1375" t="n"/>
      <c r="H236" s="1375" t="n"/>
      <c r="I236" s="1375" t="n"/>
      <c r="J236" s="1375" t="n"/>
      <c r="K236" s="1375" t="n"/>
      <c r="L236" s="1404"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5" t="n"/>
      <c r="B237" s="1388" t="n"/>
      <c r="C237" s="1388" t="n"/>
      <c r="D237" s="1389" t="n"/>
      <c r="E237" s="589" t="inlineStr">
        <is>
          <t>Entrave au fonctionnement / Charge de travail</t>
        </is>
      </c>
      <c r="F237" s="1394" t="n"/>
      <c r="G237" s="590" t="inlineStr">
        <is>
          <t>Consultation externe</t>
        </is>
      </c>
      <c r="H237" s="1394" t="n"/>
      <c r="I237" s="590" t="inlineStr">
        <is>
          <t>Consultation interne</t>
        </is>
      </c>
      <c r="J237" s="1394" t="n"/>
      <c r="K237" s="590" t="inlineStr">
        <is>
          <t>Autre</t>
        </is>
      </c>
      <c r="L237" s="1394"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6">
        <f>SUM(E238:L238)</f>
        <v/>
      </c>
      <c r="B238" s="1372" t="n"/>
      <c r="C238" s="1372" t="n"/>
      <c r="D238" s="1373" t="n"/>
      <c r="E238" s="861" t="n">
        <v>0</v>
      </c>
      <c r="F238" s="1457" t="n"/>
      <c r="G238" s="327" t="n">
        <v>0</v>
      </c>
      <c r="H238" s="1457" t="n"/>
      <c r="I238" s="327" t="n">
        <v>0</v>
      </c>
      <c r="J238" s="1457" t="n"/>
      <c r="K238" s="327" t="n">
        <v>0</v>
      </c>
      <c r="L238" s="1457"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2" t="n"/>
      <c r="C242" s="1403" t="n"/>
      <c r="D242" s="429" t="inlineStr">
        <is>
          <t>Nombre de demandes
fermées au-delà des délais prévus par la Loi où aucune prorogation n’a été prise</t>
        </is>
      </c>
      <c r="E242" s="1372" t="n"/>
      <c r="F242" s="1403" t="n"/>
      <c r="G242" s="332" t="inlineStr">
        <is>
          <t>Nombre de demandes fermées
au-delà des délais prévus par la Loi où une prorogation a été prise</t>
        </is>
      </c>
      <c r="H242" s="1372" t="n"/>
      <c r="I242" s="1403" t="n"/>
      <c r="J242" s="329" t="inlineStr">
        <is>
          <t>Total</t>
        </is>
      </c>
      <c r="K242" s="1372" t="n"/>
      <c r="L242" s="1403"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1" t="n"/>
      <c r="C243" s="1396" t="n"/>
      <c r="D243" s="245" t="n">
        <v>0</v>
      </c>
      <c r="E243" s="1377" t="n"/>
      <c r="F243" s="1397" t="n"/>
      <c r="G243" s="420" t="n">
        <v>0</v>
      </c>
      <c r="H243" s="1370" t="n"/>
      <c r="I243" s="1405" t="n"/>
      <c r="J243" s="433">
        <f>SUM(D243:I243)</f>
        <v/>
      </c>
      <c r="K243" s="1371" t="n"/>
      <c r="L243" s="1396"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79" t="n"/>
      <c r="C244" s="1382" t="n"/>
      <c r="D244" s="681" t="n">
        <v>0</v>
      </c>
      <c r="E244" s="1398" t="n"/>
      <c r="F244" s="1399" t="n"/>
      <c r="G244" s="344" t="n">
        <v>0</v>
      </c>
      <c r="H244" s="1398" t="n"/>
      <c r="I244" s="1399" t="n"/>
      <c r="J244" s="433">
        <f>SUM(D244:I244)</f>
        <v/>
      </c>
      <c r="K244" s="1371" t="n"/>
      <c r="L244" s="1396"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79" t="n"/>
      <c r="C245" s="1382" t="n"/>
      <c r="D245" s="681" t="n">
        <v>0</v>
      </c>
      <c r="E245" s="1398" t="n"/>
      <c r="F245" s="1399" t="n"/>
      <c r="G245" s="344" t="n">
        <v>0</v>
      </c>
      <c r="H245" s="1398" t="n"/>
      <c r="I245" s="1399" t="n"/>
      <c r="J245" s="433">
        <f>SUM(D245:I245)</f>
        <v/>
      </c>
      <c r="K245" s="1371" t="n"/>
      <c r="L245" s="1396"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79" t="n"/>
      <c r="C246" s="1382" t="n"/>
      <c r="D246" s="681" t="n">
        <v>0</v>
      </c>
      <c r="E246" s="1398" t="n"/>
      <c r="F246" s="1399" t="n"/>
      <c r="G246" s="344" t="n">
        <v>0</v>
      </c>
      <c r="H246" s="1398" t="n"/>
      <c r="I246" s="1399" t="n"/>
      <c r="J246" s="433">
        <f>SUM(D246:I246)</f>
        <v/>
      </c>
      <c r="K246" s="1371" t="n"/>
      <c r="L246" s="1396"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79" t="n"/>
      <c r="C247" s="1382" t="n"/>
      <c r="D247" s="681" t="n">
        <v>0</v>
      </c>
      <c r="E247" s="1398" t="n"/>
      <c r="F247" s="1399" t="n"/>
      <c r="G247" s="344" t="n">
        <v>0</v>
      </c>
      <c r="H247" s="1398" t="n"/>
      <c r="I247" s="1399" t="n"/>
      <c r="J247" s="433">
        <f>SUM(D247:I247)</f>
        <v/>
      </c>
      <c r="K247" s="1371" t="n"/>
      <c r="L247" s="1396"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79" t="n"/>
      <c r="C248" s="1382" t="n"/>
      <c r="D248" s="681" t="n">
        <v>0</v>
      </c>
      <c r="E248" s="1398" t="n"/>
      <c r="F248" s="1399" t="n"/>
      <c r="G248" s="344" t="n">
        <v>0</v>
      </c>
      <c r="H248" s="1398" t="n"/>
      <c r="I248" s="1399" t="n"/>
      <c r="J248" s="433">
        <f>SUM(D248:I248)</f>
        <v/>
      </c>
      <c r="K248" s="1371" t="n"/>
      <c r="L248" s="1396"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6" t="n"/>
      <c r="C249" s="1394" t="n"/>
      <c r="D249" s="680" t="n">
        <v>0</v>
      </c>
      <c r="E249" s="1406" t="n"/>
      <c r="F249" s="1407" t="n"/>
      <c r="G249" s="533" t="n">
        <v>0</v>
      </c>
      <c r="H249" s="1406" t="n"/>
      <c r="I249" s="1407" t="n"/>
      <c r="J249" s="606">
        <f>SUM(D249:I249)</f>
        <v/>
      </c>
      <c r="L249" s="1458"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88" t="n"/>
      <c r="C250" s="1441" t="n"/>
      <c r="D250" s="809">
        <f>SUM(D243:F249)</f>
        <v/>
      </c>
      <c r="E250" s="1372" t="n"/>
      <c r="F250" s="1403" t="n"/>
      <c r="G250" s="336">
        <f>SUM(G243:I249)</f>
        <v/>
      </c>
      <c r="H250" s="1388" t="n"/>
      <c r="I250" s="1441" t="n"/>
      <c r="J250" s="321">
        <f>SUM(D250:I250)</f>
        <v/>
      </c>
      <c r="K250" s="1372" t="n"/>
      <c r="L250" s="1373"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2" t="n"/>
      <c r="C254" s="1403" t="n"/>
      <c r="D254" s="857" t="inlineStr">
        <is>
          <t>Acceptées</t>
        </is>
      </c>
      <c r="E254" s="1372" t="n"/>
      <c r="F254" s="1403" t="n"/>
      <c r="G254" s="612" t="inlineStr">
        <is>
          <t>Refusées</t>
        </is>
      </c>
      <c r="H254" s="1372" t="n"/>
      <c r="I254" s="1403" t="n"/>
      <c r="J254" s="857" t="inlineStr">
        <is>
          <t>Total</t>
        </is>
      </c>
      <c r="K254" s="1372" t="n"/>
      <c r="L254" s="1403"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1" t="n"/>
      <c r="C255" s="1396" t="n"/>
      <c r="D255" s="245" t="n">
        <v>0</v>
      </c>
      <c r="E255" s="1377" t="n"/>
      <c r="F255" s="1397" t="n"/>
      <c r="G255" s="420" t="n">
        <v>0</v>
      </c>
      <c r="H255" s="1370" t="n"/>
      <c r="I255" s="1405" t="n"/>
      <c r="J255" s="433">
        <f>SUM(D255:I255)</f>
        <v/>
      </c>
      <c r="K255" s="1371" t="n"/>
      <c r="L255" s="1396"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6" t="n"/>
      <c r="C256" s="1394" t="n"/>
      <c r="D256" s="680" t="n">
        <v>0</v>
      </c>
      <c r="E256" s="1406" t="n"/>
      <c r="F256" s="1407" t="n"/>
      <c r="G256" s="533" t="n">
        <v>0</v>
      </c>
      <c r="H256" s="1406" t="n"/>
      <c r="I256" s="1407" t="n"/>
      <c r="J256" s="544">
        <f>SUM(D256:I256)</f>
        <v/>
      </c>
      <c r="K256" s="1386" t="n"/>
      <c r="L256" s="1394"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88" t="n"/>
      <c r="C257" s="1441" t="n"/>
      <c r="D257" s="809">
        <f>SUM(D255:F256)</f>
        <v/>
      </c>
      <c r="E257" s="1372" t="n"/>
      <c r="F257" s="1403" t="n"/>
      <c r="G257" s="336">
        <f>SUM(G255:I256)</f>
        <v/>
      </c>
      <c r="H257" s="1388" t="n"/>
      <c r="I257" s="1441" t="n"/>
      <c r="J257" s="543">
        <f>SUM(D257:I257)</f>
        <v/>
      </c>
      <c r="K257" s="1388" t="n"/>
      <c r="L257" s="1441"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59" t="inlineStr">
        <is>
          <t>Disposition des demandes où le délai a été prorogé</t>
        </is>
      </c>
      <c r="B263" s="1410" t="n"/>
      <c r="C263" s="1410" t="n"/>
      <c r="D263" s="1411" t="n"/>
      <c r="E263" s="626" t="inlineStr">
        <is>
          <t>9(1)a)
Entrave au fonctionnement</t>
        </is>
      </c>
      <c r="F263" s="1421" t="n"/>
      <c r="G263" s="627" t="inlineStr">
        <is>
          <t>9(1)b)
Consultation</t>
        </is>
      </c>
      <c r="H263" s="1375" t="n"/>
      <c r="I263" s="1375" t="n"/>
      <c r="J263" s="1404" t="n"/>
      <c r="K263" s="627" t="inlineStr">
        <is>
          <t>9(1)c)
Avis à un tiers</t>
        </is>
      </c>
      <c r="L263" s="1421"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5" t="n"/>
      <c r="B264" s="1388" t="n"/>
      <c r="C264" s="1388" t="n"/>
      <c r="D264" s="1389" t="n"/>
      <c r="E264" s="1423" t="n"/>
      <c r="F264" s="1396" t="n"/>
      <c r="G264" s="741" t="inlineStr">
        <is>
          <t>Article 69</t>
        </is>
      </c>
      <c r="H264" s="1394" t="n"/>
      <c r="I264" s="741" t="inlineStr">
        <is>
          <t>Autres</t>
        </is>
      </c>
      <c r="J264" s="1394" t="n"/>
      <c r="K264" s="1460" t="n"/>
      <c r="L264" s="1396"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1" t="inlineStr">
        <is>
          <t>Communication totale</t>
        </is>
      </c>
      <c r="B265" s="1375" t="n"/>
      <c r="C265" s="1375" t="n"/>
      <c r="D265" s="1376" t="n"/>
      <c r="E265" s="753" t="n">
        <v>0</v>
      </c>
      <c r="F265" s="1405" t="n"/>
      <c r="G265" s="754" t="n">
        <v>0</v>
      </c>
      <c r="H265" s="1405" t="n"/>
      <c r="I265" s="754" t="n">
        <v>0</v>
      </c>
      <c r="J265" s="1405" t="n"/>
      <c r="K265" s="754" t="n">
        <v>0</v>
      </c>
      <c r="L265" s="1405"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2" t="inlineStr">
        <is>
          <t>Communication partielle</t>
        </is>
      </c>
      <c r="B266" s="1379" t="n"/>
      <c r="C266" s="1379" t="n"/>
      <c r="D266" s="1381" t="n"/>
      <c r="E266" s="618" t="n">
        <v>0</v>
      </c>
      <c r="F266" s="1399" t="n"/>
      <c r="G266" s="386" t="n">
        <v>0</v>
      </c>
      <c r="H266" s="1399" t="n"/>
      <c r="I266" s="386" t="n">
        <v>0</v>
      </c>
      <c r="J266" s="1399" t="n"/>
      <c r="K266" s="386" t="n">
        <v>0</v>
      </c>
      <c r="L266" s="1399"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2" t="inlineStr">
        <is>
          <t>Exception totale</t>
        </is>
      </c>
      <c r="B267" s="1379" t="n"/>
      <c r="C267" s="1379" t="n"/>
      <c r="D267" s="1381" t="n"/>
      <c r="E267" s="618" t="n">
        <v>0</v>
      </c>
      <c r="F267" s="1399" t="n"/>
      <c r="G267" s="386" t="n">
        <v>0</v>
      </c>
      <c r="H267" s="1399" t="n"/>
      <c r="I267" s="386" t="n">
        <v>0</v>
      </c>
      <c r="J267" s="1399" t="n"/>
      <c r="K267" s="386" t="n">
        <v>0</v>
      </c>
      <c r="L267" s="1399"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2" t="inlineStr">
        <is>
          <t>Exclusion totale</t>
        </is>
      </c>
      <c r="B268" s="1379" t="n"/>
      <c r="C268" s="1379" t="n"/>
      <c r="D268" s="1381" t="n"/>
      <c r="E268" s="618" t="n">
        <v>0</v>
      </c>
      <c r="F268" s="1399" t="n"/>
      <c r="G268" s="386" t="n">
        <v>0</v>
      </c>
      <c r="H268" s="1399" t="n"/>
      <c r="I268" s="386" t="n">
        <v>0</v>
      </c>
      <c r="J268" s="1399" t="n"/>
      <c r="K268" s="386" t="n">
        <v>0</v>
      </c>
      <c r="L268" s="1399"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2" t="inlineStr">
        <is>
          <t>Demande abandonnée</t>
        </is>
      </c>
      <c r="B269" s="1379" t="n"/>
      <c r="C269" s="1379" t="n"/>
      <c r="D269" s="1381" t="n"/>
      <c r="E269" s="618" t="n">
        <v>0</v>
      </c>
      <c r="F269" s="1399" t="n"/>
      <c r="G269" s="386" t="n">
        <v>0</v>
      </c>
      <c r="H269" s="1399" t="n"/>
      <c r="I269" s="386" t="n">
        <v>0</v>
      </c>
      <c r="J269" s="1399" t="n"/>
      <c r="K269" s="387" t="n">
        <v>0</v>
      </c>
      <c r="L269" s="1419"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2" t="inlineStr">
        <is>
          <t>Aucun document n’existe</t>
        </is>
      </c>
      <c r="B270" s="1379" t="n"/>
      <c r="C270" s="1379" t="n"/>
      <c r="D270" s="1381" t="n"/>
      <c r="E270" s="618" t="n">
        <v>0</v>
      </c>
      <c r="F270" s="1399" t="n"/>
      <c r="G270" s="386" t="n">
        <v>0</v>
      </c>
      <c r="H270" s="1399" t="n"/>
      <c r="I270" s="386" t="n">
        <v>0</v>
      </c>
      <c r="J270" s="1399" t="n"/>
      <c r="K270" s="386" t="n">
        <v>0</v>
      </c>
      <c r="L270" s="1399"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3" t="inlineStr">
        <is>
          <t>Refus d'agir avec l'approbation de la Commissaire à l'information</t>
        </is>
      </c>
      <c r="B271" s="1386" t="n"/>
      <c r="C271" s="1386" t="n"/>
      <c r="D271" s="1387" t="n"/>
      <c r="E271" s="666" t="n">
        <v>0</v>
      </c>
      <c r="F271" s="1407" t="n"/>
      <c r="G271" s="575" t="n">
        <v>0</v>
      </c>
      <c r="H271" s="1407" t="n"/>
      <c r="I271" s="575" t="n">
        <v>0</v>
      </c>
      <c r="J271" s="1407" t="n"/>
      <c r="K271" s="575" t="n">
        <v>0</v>
      </c>
      <c r="L271" s="1407"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49" t="inlineStr">
        <is>
          <t>Total</t>
        </is>
      </c>
      <c r="B272" s="1372" t="n"/>
      <c r="C272" s="1372" t="n"/>
      <c r="D272" s="1373" t="n"/>
      <c r="E272" s="543">
        <f>SUM(E265:F271)</f>
        <v/>
      </c>
      <c r="F272" s="1441" t="n"/>
      <c r="G272" s="336">
        <f>SUM(G265:H271)</f>
        <v/>
      </c>
      <c r="H272" s="1441" t="n"/>
      <c r="I272" s="336">
        <f>SUM(I265:J271)</f>
        <v/>
      </c>
      <c r="J272" s="1441" t="n"/>
      <c r="K272" s="336">
        <f>SUM(K265:L271)</f>
        <v/>
      </c>
      <c r="L272" s="1441"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59" t="inlineStr">
        <is>
          <t>Durée des prorogations</t>
        </is>
      </c>
      <c r="B276" s="1410" t="n"/>
      <c r="C276" s="1410" t="n"/>
      <c r="D276" s="1411" t="n"/>
      <c r="E276" s="626" t="inlineStr">
        <is>
          <t>9(1)a)
Entrave au fonctionnement</t>
        </is>
      </c>
      <c r="F276" s="1421" t="n"/>
      <c r="G276" s="627" t="inlineStr">
        <is>
          <t>9(1)b)
Consultation</t>
        </is>
      </c>
      <c r="H276" s="1375" t="n"/>
      <c r="I276" s="1375" t="n"/>
      <c r="J276" s="1404" t="n"/>
      <c r="K276" s="627" t="inlineStr">
        <is>
          <t>9(1)c)
Avis à un tiers</t>
        </is>
      </c>
      <c r="L276" s="1421"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5" t="n"/>
      <c r="B277" s="1388" t="n"/>
      <c r="C277" s="1388" t="n"/>
      <c r="D277" s="1389" t="n"/>
      <c r="E277" s="1423" t="n"/>
      <c r="F277" s="1396" t="n"/>
      <c r="G277" s="741" t="inlineStr">
        <is>
          <t>Article 69</t>
        </is>
      </c>
      <c r="H277" s="1394" t="n"/>
      <c r="I277" s="741" t="inlineStr">
        <is>
          <t>Autres</t>
        </is>
      </c>
      <c r="J277" s="1394" t="n"/>
      <c r="K277" s="1460" t="n"/>
      <c r="L277" s="1396"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4" t="inlineStr">
        <is>
          <t>30 jours ou moins</t>
        </is>
      </c>
      <c r="B278" s="1375" t="n"/>
      <c r="C278" s="1375" t="n"/>
      <c r="D278" s="1376" t="n"/>
      <c r="E278" s="742" t="n">
        <v>0</v>
      </c>
      <c r="F278" s="1397" t="n"/>
      <c r="G278" s="744" t="n">
        <v>0</v>
      </c>
      <c r="H278" s="1397" t="n"/>
      <c r="I278" s="744" t="n">
        <v>0</v>
      </c>
      <c r="J278" s="1397" t="n"/>
      <c r="K278" s="743" t="n">
        <v>0</v>
      </c>
      <c r="L278" s="1397"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5" t="inlineStr">
        <is>
          <t>31 à 60 jours</t>
        </is>
      </c>
      <c r="B279" s="1379" t="n"/>
      <c r="C279" s="1379" t="n"/>
      <c r="D279" s="1381" t="n"/>
      <c r="E279" s="654" t="n">
        <v>0</v>
      </c>
      <c r="F279" s="1399" t="n"/>
      <c r="G279" s="656" t="n">
        <v>0</v>
      </c>
      <c r="H279" s="1399" t="n"/>
      <c r="I279" s="656" t="n">
        <v>0</v>
      </c>
      <c r="J279" s="1399" t="n"/>
      <c r="K279" s="655" t="n">
        <v>0</v>
      </c>
      <c r="L279" s="1399"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5" t="inlineStr">
        <is>
          <t>61 à 120 jours</t>
        </is>
      </c>
      <c r="B280" s="1379" t="n"/>
      <c r="C280" s="1379" t="n"/>
      <c r="D280" s="1381" t="n"/>
      <c r="E280" s="654" t="n">
        <v>0</v>
      </c>
      <c r="F280" s="1399" t="n"/>
      <c r="G280" s="656" t="n">
        <v>0</v>
      </c>
      <c r="H280" s="1399" t="n"/>
      <c r="I280" s="656" t="n">
        <v>0</v>
      </c>
      <c r="J280" s="1399" t="n"/>
      <c r="K280" s="655" t="n">
        <v>0</v>
      </c>
      <c r="L280" s="1399"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5" t="inlineStr">
        <is>
          <t>121 à 180 jours</t>
        </is>
      </c>
      <c r="B281" s="1379" t="n"/>
      <c r="C281" s="1379" t="n"/>
      <c r="D281" s="1381" t="n"/>
      <c r="E281" s="654" t="n">
        <v>0</v>
      </c>
      <c r="F281" s="1399" t="n"/>
      <c r="G281" s="656" t="n">
        <v>0</v>
      </c>
      <c r="H281" s="1399" t="n"/>
      <c r="I281" s="656" t="n">
        <v>0</v>
      </c>
      <c r="J281" s="1399" t="n"/>
      <c r="K281" s="655" t="n">
        <v>0</v>
      </c>
      <c r="L281" s="1399"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2" t="inlineStr">
        <is>
          <t>181 à 365 jours</t>
        </is>
      </c>
      <c r="B282" s="1379" t="n"/>
      <c r="C282" s="1379" t="n"/>
      <c r="D282" s="1381" t="n"/>
      <c r="E282" s="618" t="n">
        <v>0</v>
      </c>
      <c r="F282" s="1399" t="n"/>
      <c r="G282" s="386" t="n">
        <v>0</v>
      </c>
      <c r="H282" s="1399" t="n"/>
      <c r="I282" s="386" t="n">
        <v>0</v>
      </c>
      <c r="J282" s="1399" t="n"/>
      <c r="K282" s="386" t="n">
        <v>0</v>
      </c>
      <c r="L282" s="1399"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6" t="inlineStr">
        <is>
          <t>Plus de 365 jours</t>
        </is>
      </c>
      <c r="B283" s="1386" t="n"/>
      <c r="C283" s="1386" t="n"/>
      <c r="D283" s="1387" t="n"/>
      <c r="E283" s="666" t="n">
        <v>0</v>
      </c>
      <c r="F283" s="1407" t="n"/>
      <c r="G283" s="575" t="n">
        <v>0</v>
      </c>
      <c r="H283" s="1407" t="n"/>
      <c r="I283" s="575" t="n">
        <v>0</v>
      </c>
      <c r="J283" s="1407" t="n"/>
      <c r="K283" s="575" t="n">
        <v>0</v>
      </c>
      <c r="L283" s="1407"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49" t="inlineStr">
        <is>
          <t>Total</t>
        </is>
      </c>
      <c r="B284" s="1372" t="n"/>
      <c r="C284" s="1372" t="n"/>
      <c r="D284" s="1373" t="n"/>
      <c r="E284" s="543">
        <f>SUM(E278:F283)</f>
        <v/>
      </c>
      <c r="F284" s="1441" t="n"/>
      <c r="G284" s="336">
        <f>SUM(G278:H283)</f>
        <v/>
      </c>
      <c r="H284" s="1441" t="n"/>
      <c r="I284" s="336">
        <f>SUM(I278:J283)</f>
        <v/>
      </c>
      <c r="J284" s="1441" t="n"/>
      <c r="K284" s="360">
        <f>SUM(K278:L283)</f>
        <v/>
      </c>
      <c r="L284" s="1389"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1" t="n"/>
      <c r="C288" s="1467" t="inlineStr">
        <is>
          <t>Frais perçus</t>
        </is>
      </c>
      <c r="D288" s="1375" t="n"/>
      <c r="E288" s="1376" t="n"/>
      <c r="F288" s="1467" t="inlineStr">
        <is>
          <t xml:space="preserve">Frais dispensés </t>
        </is>
      </c>
      <c r="G288" s="1375" t="n"/>
      <c r="H288" s="1376" t="n"/>
      <c r="I288" s="1468" t="inlineStr">
        <is>
          <t>Frais remboursés</t>
        </is>
      </c>
      <c r="J288" s="1410" t="n"/>
      <c r="K288" s="1411"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5" t="n"/>
      <c r="B289" s="1389" t="n"/>
      <c r="C289" s="1469" t="inlineStr">
        <is>
          <t>Nombre de demandes</t>
        </is>
      </c>
      <c r="D289" s="1394" t="n"/>
      <c r="E289" s="158" t="inlineStr">
        <is>
          <t>Montant</t>
        </is>
      </c>
      <c r="F289" s="1469" t="inlineStr">
        <is>
          <t>Nombre de demandes</t>
        </is>
      </c>
      <c r="G289" s="1394" t="n"/>
      <c r="H289" s="158" t="inlineStr">
        <is>
          <t>Montant</t>
        </is>
      </c>
      <c r="I289" s="1469" t="inlineStr">
        <is>
          <t>Nombre de demandes</t>
        </is>
      </c>
      <c r="J289" s="1394"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1" t="inlineStr">
        <is>
          <t>Présentation</t>
        </is>
      </c>
      <c r="B290" s="1376" t="n"/>
      <c r="C290" s="1470" t="n">
        <v>0</v>
      </c>
      <c r="D290" s="1397" t="n"/>
      <c r="E290" s="1471" t="n">
        <v>0</v>
      </c>
      <c r="F290" s="1470" t="n">
        <v>0</v>
      </c>
      <c r="G290" s="1397" t="n"/>
      <c r="H290" s="1471" t="n">
        <v>0</v>
      </c>
      <c r="I290" s="636" t="n">
        <v>0</v>
      </c>
      <c r="J290" s="1377" t="n"/>
      <c r="K290" s="1472"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3" t="inlineStr">
        <is>
          <t>Autres frais</t>
        </is>
      </c>
      <c r="B291" s="1387" t="n"/>
      <c r="C291" s="666" t="n">
        <v>0</v>
      </c>
      <c r="D291" s="1407" t="n"/>
      <c r="E291" s="1474" t="n">
        <v>0</v>
      </c>
      <c r="F291" s="666" t="n">
        <v>0</v>
      </c>
      <c r="G291" s="1407" t="n"/>
      <c r="H291" s="1474" t="n">
        <v>0</v>
      </c>
      <c r="I291" s="635" t="n">
        <v>0</v>
      </c>
      <c r="J291" s="1406" t="n"/>
      <c r="K291" s="1474" t="n">
        <v>0</v>
      </c>
      <c r="L291" s="105" t="n"/>
      <c r="AA291" s="88" t="n"/>
      <c r="AB291" s="88" t="n"/>
      <c r="AC291" s="88" t="n"/>
      <c r="AD291" s="88" t="n"/>
      <c r="AE291" s="88" t="n"/>
      <c r="AF291" s="88" t="n"/>
      <c r="AG291" s="88" t="n"/>
      <c r="AH291" s="26" t="n"/>
      <c r="AI291" s="26" t="n"/>
      <c r="AJ291" s="26" t="n"/>
      <c r="AK291" s="26" t="n"/>
    </row>
    <row r="292" ht="17.25" customHeight="1" thickBot="1" thickTop="1">
      <c r="A292" s="1449" t="inlineStr">
        <is>
          <t>Total</t>
        </is>
      </c>
      <c r="B292" s="1373" t="n"/>
      <c r="C292" s="857">
        <f>SUM(C290:D291)</f>
        <v/>
      </c>
      <c r="D292" s="1403" t="n"/>
      <c r="E292" s="1475">
        <f>SUM(E290:E291)</f>
        <v/>
      </c>
      <c r="F292" s="1476">
        <f>SUM(F290:G291)</f>
        <v/>
      </c>
      <c r="G292" s="1394" t="n"/>
      <c r="H292" s="1475">
        <f>SUM(H290:H291)</f>
        <v/>
      </c>
      <c r="I292" s="1476">
        <f>SUM(I290:J291)</f>
        <v/>
      </c>
      <c r="J292" s="1394" t="n"/>
      <c r="K292" s="1475">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7" t="inlineStr">
        <is>
          <t>Consultations</t>
        </is>
      </c>
      <c r="B298" s="1372" t="n"/>
      <c r="C298" s="1372" t="n"/>
      <c r="D298" s="1373" t="n"/>
      <c r="E298" s="650" t="inlineStr">
        <is>
          <t>Autres institutions du gouvernement du Canada</t>
        </is>
      </c>
      <c r="F298" s="1403" t="n"/>
      <c r="G298" s="641" t="inlineStr">
        <is>
          <t>Nombre de pages à traiter</t>
        </is>
      </c>
      <c r="H298" s="1403" t="n"/>
      <c r="I298" s="650" t="inlineStr">
        <is>
          <t>Autres organisations</t>
        </is>
      </c>
      <c r="J298" s="1403" t="n"/>
      <c r="K298" s="641" t="inlineStr">
        <is>
          <t>Nombre de pages à traiter</t>
        </is>
      </c>
      <c r="L298" s="1403"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78" t="inlineStr">
        <is>
          <t>Reçues pendant la période d'établissement de rapport</t>
        </is>
      </c>
      <c r="B299" s="1375" t="n"/>
      <c r="C299" s="1375" t="n"/>
      <c r="D299" s="1376" t="n"/>
      <c r="E299" s="815" t="n">
        <v>0</v>
      </c>
      <c r="F299" s="1405" t="n"/>
      <c r="G299" s="420" t="n">
        <v>0</v>
      </c>
      <c r="H299" s="1405" t="n"/>
      <c r="I299" s="815" t="n">
        <v>0</v>
      </c>
      <c r="J299" s="1405" t="n"/>
      <c r="K299" s="420" t="n">
        <v>0</v>
      </c>
      <c r="L299" s="1405"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79" t="inlineStr">
        <is>
          <t>En suspens à la fin de la période d'établissement de rapport précédente</t>
        </is>
      </c>
      <c r="B300" s="1386" t="n"/>
      <c r="C300" s="1386" t="n"/>
      <c r="D300" s="1387" t="n"/>
      <c r="E300" s="649" t="n">
        <v>0</v>
      </c>
      <c r="F300" s="1402" t="n"/>
      <c r="G300" s="638" t="n">
        <v>0</v>
      </c>
      <c r="H300" s="1402" t="n"/>
      <c r="I300" s="649" t="n">
        <v>0</v>
      </c>
      <c r="J300" s="1402" t="n"/>
      <c r="K300" s="638" t="n">
        <v>0</v>
      </c>
      <c r="L300" s="1402"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0" t="inlineStr">
        <is>
          <t>Total</t>
        </is>
      </c>
      <c r="B301" s="1372" t="n"/>
      <c r="C301" s="1372" t="n"/>
      <c r="D301" s="1373" t="n"/>
      <c r="E301" s="809">
        <f>SUM(E299:F300)</f>
        <v/>
      </c>
      <c r="F301" s="1403" t="n"/>
      <c r="G301" s="810">
        <f>SUM(G299:H300)</f>
        <v/>
      </c>
      <c r="H301" s="1403" t="n"/>
      <c r="I301" s="809">
        <f>SUM(I299:J300)</f>
        <v/>
      </c>
      <c r="J301" s="1403" t="n"/>
      <c r="K301" s="810">
        <f>SUM(K299:L300)</f>
        <v/>
      </c>
      <c r="L301" s="1403"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78" t="inlineStr">
        <is>
          <t>Fermées pendant la période d'établissement de rapport</t>
        </is>
      </c>
      <c r="B302" s="1375" t="n"/>
      <c r="C302" s="1375" t="n"/>
      <c r="D302" s="1376" t="n"/>
      <c r="E302" s="815" t="n">
        <v>0</v>
      </c>
      <c r="F302" s="1405" t="n"/>
      <c r="G302" s="420" t="n">
        <v>0</v>
      </c>
      <c r="H302" s="1405" t="n"/>
      <c r="I302" s="815" t="n">
        <v>0</v>
      </c>
      <c r="J302" s="1405" t="n"/>
      <c r="K302" s="420" t="n">
        <v>0</v>
      </c>
      <c r="L302" s="1405"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1" t="inlineStr">
        <is>
          <t>Reportées à l'intérieur des délais négociés à la prochaine période d'établissement de rapport</t>
        </is>
      </c>
      <c r="B303" s="1379" t="n"/>
      <c r="C303" s="1379" t="n"/>
      <c r="D303" s="1381" t="n"/>
      <c r="E303" s="681" t="n">
        <v>0</v>
      </c>
      <c r="F303" s="1399" t="n"/>
      <c r="G303" s="357" t="n">
        <v>0</v>
      </c>
      <c r="H303" s="1399" t="n"/>
      <c r="I303" s="681" t="n">
        <v>0</v>
      </c>
      <c r="J303" s="1399" t="n"/>
      <c r="K303" s="357" t="n">
        <v>0</v>
      </c>
      <c r="L303" s="1399"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79" t="inlineStr">
        <is>
          <t>Reportées au-delà des délais négociés à la prochaine période d'établissement de rapport</t>
        </is>
      </c>
      <c r="B304" s="1386" t="n"/>
      <c r="C304" s="1386" t="n"/>
      <c r="D304" s="1387" t="n"/>
      <c r="E304" s="680" t="n">
        <v>0</v>
      </c>
      <c r="F304" s="1407" t="n"/>
      <c r="G304" s="533" t="n">
        <v>0</v>
      </c>
      <c r="H304" s="1407" t="n"/>
      <c r="I304" s="680" t="n">
        <v>0</v>
      </c>
      <c r="J304" s="1407" t="n"/>
      <c r="K304" s="533" t="n">
        <v>0</v>
      </c>
      <c r="L304" s="1407"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0" t="n"/>
      <c r="C308" s="1410" t="n"/>
      <c r="D308" s="1411" t="n"/>
      <c r="E308" s="676" t="inlineStr">
        <is>
          <t>Nombre de jours requis pour traiter les demandes de consultation</t>
        </is>
      </c>
      <c r="F308" s="1375" t="n"/>
      <c r="G308" s="1375" t="n"/>
      <c r="H308" s="1375" t="n"/>
      <c r="I308" s="1375" t="n"/>
      <c r="J308" s="1375" t="n"/>
      <c r="K308" s="1375" t="n"/>
      <c r="L308" s="1404"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5" t="n"/>
      <c r="B309" s="1388" t="n"/>
      <c r="C309" s="1388" t="n"/>
      <c r="D309" s="1389"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1" t="inlineStr">
        <is>
          <t>Communiquer en entier</t>
        </is>
      </c>
      <c r="B310" s="1375" t="n"/>
      <c r="C310" s="1375" t="n"/>
      <c r="D310" s="1376" t="n"/>
      <c r="E310" s="815" t="n">
        <v>0</v>
      </c>
      <c r="F310" s="420" t="n">
        <v>0</v>
      </c>
      <c r="G310" s="420" t="n">
        <v>0</v>
      </c>
      <c r="H310" s="420" t="n">
        <v>0</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2" t="inlineStr">
        <is>
          <t>Communiquer en partie</t>
        </is>
      </c>
      <c r="B311" s="1379" t="n"/>
      <c r="C311" s="1379" t="n"/>
      <c r="D311" s="1381" t="n"/>
      <c r="E311" s="681" t="n">
        <v>0</v>
      </c>
      <c r="F311" s="344" t="n">
        <v>0</v>
      </c>
      <c r="G311" s="344" t="n">
        <v>0</v>
      </c>
      <c r="H311" s="344" t="n">
        <v>0</v>
      </c>
      <c r="I311" s="344" t="n">
        <v>0</v>
      </c>
      <c r="J311" s="344" t="n">
        <v>0</v>
      </c>
      <c r="K311" s="358" t="n">
        <v>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2" t="inlineStr">
        <is>
          <t>Exempter en entier</t>
        </is>
      </c>
      <c r="B312" s="1379" t="n"/>
      <c r="C312" s="1379" t="n"/>
      <c r="D312" s="1381" t="n"/>
      <c r="E312" s="681" t="n">
        <v>0</v>
      </c>
      <c r="F312" s="344" t="n">
        <v>0</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2" t="inlineStr">
        <is>
          <t>Exclure en entier</t>
        </is>
      </c>
      <c r="B313" s="1379" t="n"/>
      <c r="C313" s="1379" t="n"/>
      <c r="D313" s="1381" t="n"/>
      <c r="E313" s="681" t="n">
        <v>0</v>
      </c>
      <c r="F313" s="344" t="n">
        <v>0</v>
      </c>
      <c r="G313" s="344" t="n">
        <v>0</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2" t="inlineStr">
        <is>
          <t>Consulter une autre institution</t>
        </is>
      </c>
      <c r="B314" s="1379" t="n"/>
      <c r="C314" s="1379" t="n"/>
      <c r="D314" s="1381"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6" t="inlineStr">
        <is>
          <t>Autre</t>
        </is>
      </c>
      <c r="B315" s="1386" t="n"/>
      <c r="C315" s="1386" t="n"/>
      <c r="D315" s="1387" t="n"/>
      <c r="E315" s="680" t="n">
        <v>0</v>
      </c>
      <c r="F315" s="533" t="n">
        <v>0</v>
      </c>
      <c r="G315" s="533" t="n">
        <v>0</v>
      </c>
      <c r="H315" s="533" t="n">
        <v>0</v>
      </c>
      <c r="I315" s="533" t="n">
        <v>0</v>
      </c>
      <c r="J315" s="533" t="n">
        <v>0</v>
      </c>
      <c r="K315" s="534" t="n">
        <v>0</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49" t="inlineStr">
        <is>
          <t>Total</t>
        </is>
      </c>
      <c r="B316" s="1372" t="n"/>
      <c r="C316" s="1372" t="n"/>
      <c r="D316" s="1373"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0" t="n"/>
      <c r="C320" s="1410" t="n"/>
      <c r="D320" s="1411" t="n"/>
      <c r="E320" s="676" t="inlineStr">
        <is>
          <t>Nombre de jours requis pour traiter les demandes de consultation</t>
        </is>
      </c>
      <c r="F320" s="1375" t="n"/>
      <c r="G320" s="1375" t="n"/>
      <c r="H320" s="1375" t="n"/>
      <c r="I320" s="1375" t="n"/>
      <c r="J320" s="1375" t="n"/>
      <c r="K320" s="1375" t="n"/>
      <c r="L320" s="1404"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5" t="n"/>
      <c r="B321" s="1388" t="n"/>
      <c r="C321" s="1388" t="n"/>
      <c r="D321" s="1389"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1" t="inlineStr">
        <is>
          <t>Communiquer en entier</t>
        </is>
      </c>
      <c r="B322" s="1375" t="n"/>
      <c r="C322" s="1375" t="n"/>
      <c r="D322" s="1376" t="n"/>
      <c r="E322" s="815" t="n">
        <v>0</v>
      </c>
      <c r="F322" s="420" t="n">
        <v>0</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2" t="inlineStr">
        <is>
          <t>Communiquer en partie</t>
        </is>
      </c>
      <c r="B323" s="1379" t="n"/>
      <c r="C323" s="1379" t="n"/>
      <c r="D323" s="1381" t="n"/>
      <c r="E323" s="681" t="n">
        <v>0</v>
      </c>
      <c r="F323" s="344" t="n">
        <v>0</v>
      </c>
      <c r="G323" s="344" t="n">
        <v>0</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2" t="inlineStr">
        <is>
          <t>Exempter en entier</t>
        </is>
      </c>
      <c r="B324" s="1379" t="n"/>
      <c r="C324" s="1379" t="n"/>
      <c r="D324" s="1381" t="n"/>
      <c r="E324" s="681" t="n">
        <v>0</v>
      </c>
      <c r="F324" s="344" t="n">
        <v>0</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2" t="inlineStr">
        <is>
          <t>Exclure en entier</t>
        </is>
      </c>
      <c r="B325" s="1379" t="n"/>
      <c r="C325" s="1379" t="n"/>
      <c r="D325" s="1381"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2" t="inlineStr">
        <is>
          <t>Consulter une autre institution</t>
        </is>
      </c>
      <c r="B326" s="1379" t="n"/>
      <c r="C326" s="1379" t="n"/>
      <c r="D326" s="1381"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6" t="inlineStr">
        <is>
          <t>Autre</t>
        </is>
      </c>
      <c r="B327" s="1386" t="n"/>
      <c r="C327" s="1386" t="n"/>
      <c r="D327" s="1387"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2" t="n"/>
      <c r="C328" s="1372" t="n"/>
      <c r="D328" s="1372"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59" t="inlineStr">
        <is>
          <t>Nombre de jours</t>
        </is>
      </c>
      <c r="B334" s="1411" t="n"/>
      <c r="C334" s="1482" t="inlineStr">
        <is>
          <t>Moins de 100 pages traitées</t>
        </is>
      </c>
      <c r="D334" s="1376" t="n"/>
      <c r="E334" s="1482" t="inlineStr">
        <is>
          <t>De 100 à 500 pages traitées</t>
        </is>
      </c>
      <c r="F334" s="1376" t="n"/>
      <c r="G334" s="670" t="inlineStr">
        <is>
          <t>De 501 à 1 000 pages traitées</t>
        </is>
      </c>
      <c r="H334" s="1404" t="n"/>
      <c r="I334" s="803" t="inlineStr">
        <is>
          <t>De 1 001 à 5 000 pages traitées</t>
        </is>
      </c>
      <c r="J334" s="1404" t="n"/>
      <c r="K334" s="670" t="inlineStr">
        <is>
          <t>Plus de 5 000 pages traitées</t>
        </is>
      </c>
      <c r="L334" s="1404"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5" t="n"/>
      <c r="B335" s="1389"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6" t="n"/>
      <c r="C336" s="753" t="n">
        <v>0</v>
      </c>
      <c r="D336" s="877" t="n">
        <v>0</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3" t="inlineStr">
        <is>
          <t>16 à 30</t>
        </is>
      </c>
      <c r="B337" s="1381" t="n"/>
      <c r="C337" s="618" t="n">
        <v>0</v>
      </c>
      <c r="D337" s="387" t="n">
        <v>0</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2" t="n"/>
      <c r="C338" s="618" t="n">
        <v>0</v>
      </c>
      <c r="D338" s="387" t="n">
        <v>0</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2" t="n"/>
      <c r="C339" s="618" t="n">
        <v>0</v>
      </c>
      <c r="D339" s="387" t="n">
        <v>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2" t="inlineStr">
        <is>
          <t>121 à 180</t>
        </is>
      </c>
      <c r="B340" s="1381"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2"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4" t="inlineStr">
        <is>
          <t>Plus de 365</t>
        </is>
      </c>
      <c r="B342" s="1387"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1"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59" t="inlineStr">
        <is>
          <t>Nombre de jours</t>
        </is>
      </c>
      <c r="B347" s="1411" t="n"/>
      <c r="C347" s="1482" t="inlineStr">
        <is>
          <t>Moins de 100 pages traitées</t>
        </is>
      </c>
      <c r="D347" s="1376" t="n"/>
      <c r="E347" s="1482" t="inlineStr">
        <is>
          <t>De 100 à 500 pages traitées</t>
        </is>
      </c>
      <c r="F347" s="1376" t="n"/>
      <c r="G347" s="670" t="inlineStr">
        <is>
          <t>De 501 à 1 000 pages traitées</t>
        </is>
      </c>
      <c r="H347" s="1404" t="n"/>
      <c r="I347" s="803" t="inlineStr">
        <is>
          <t>De 1 001 à 5 000 pages traitées</t>
        </is>
      </c>
      <c r="J347" s="1404" t="n"/>
      <c r="K347" s="670" t="inlineStr">
        <is>
          <t>Plus de 5 000 pages traitées</t>
        </is>
      </c>
      <c r="L347" s="1404"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5" t="n"/>
      <c r="B348" s="1389"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6"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3" t="inlineStr">
        <is>
          <t>16 à 30</t>
        </is>
      </c>
      <c r="B350" s="1381"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2"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2"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2" t="inlineStr">
        <is>
          <t>121 à 180</t>
        </is>
      </c>
      <c r="B353" s="1381"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2"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4" t="inlineStr">
        <is>
          <t>Plus de 365</t>
        </is>
      </c>
      <c r="B355" s="1387"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1"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5" t="inlineStr">
        <is>
          <t xml:space="preserve">Article 32
Avis d’enquête
</t>
        </is>
      </c>
      <c r="B362" s="1403" t="n"/>
      <c r="C362" s="1486" t="inlineStr">
        <is>
          <t xml:space="preserve">Article 30(5)
Cessation de l’enquête
</t>
        </is>
      </c>
      <c r="D362" s="1403" t="n"/>
      <c r="E362" s="1487" t="inlineStr">
        <is>
          <t xml:space="preserve">Article 35
Présenter des observations
</t>
        </is>
      </c>
      <c r="F362" s="1373"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88" t="n">
        <v>0</v>
      </c>
      <c r="B363" s="1457" t="n"/>
      <c r="C363" s="1489" t="n">
        <v>0</v>
      </c>
      <c r="D363" s="1430" t="n"/>
      <c r="E363" s="1490" t="n">
        <v>0</v>
      </c>
      <c r="F363" s="1491"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2" t="inlineStr">
        <is>
          <t>Article 37(1) Comptes rendus initiaux</t>
        </is>
      </c>
      <c r="B367" s="1375" t="n"/>
      <c r="C367" s="1375" t="n"/>
      <c r="D367" s="1375" t="n"/>
      <c r="E367" s="1375" t="n"/>
      <c r="F367" s="1376" t="n"/>
      <c r="G367" s="1492" t="inlineStr">
        <is>
          <t>Article 37(2) Comptes rendus finaux</t>
        </is>
      </c>
      <c r="H367" s="1375" t="n"/>
      <c r="I367" s="1375" t="n"/>
      <c r="J367" s="1375" t="n"/>
      <c r="K367" s="1375" t="n"/>
      <c r="L367" s="1376"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3" t="inlineStr">
        <is>
          <t>Reçus</t>
        </is>
      </c>
      <c r="B368" s="1441" t="n"/>
      <c r="C368" s="1494" t="inlineStr">
        <is>
          <t xml:space="preserve">Contenant des recommandations  émis par la Commissaire à l’information </t>
        </is>
      </c>
      <c r="D368" s="1441" t="n"/>
      <c r="E368" s="696" t="inlineStr">
        <is>
          <t>Contenant une intention d'émettre une ordonnance par la Commissaire à l'information</t>
        </is>
      </c>
      <c r="F368" s="1388" t="n"/>
      <c r="G368" s="1493" t="inlineStr">
        <is>
          <t>Reçus</t>
        </is>
      </c>
      <c r="H368" s="1441" t="n"/>
      <c r="I368" s="1494" t="inlineStr">
        <is>
          <t>Contenant des recommandations  émis par la Commissaire à l’information</t>
        </is>
      </c>
      <c r="J368" s="1441" t="n"/>
      <c r="K368" s="1495" t="inlineStr">
        <is>
          <t>Contenant des ordonnances émis par la Commissaire à l’information</t>
        </is>
      </c>
      <c r="L368" s="1389"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88" t="n">
        <v>0</v>
      </c>
      <c r="B369" s="1457" t="n"/>
      <c r="C369" s="1489" t="n">
        <v>0</v>
      </c>
      <c r="D369" s="1430" t="n"/>
      <c r="E369" s="685" t="n">
        <v>0</v>
      </c>
      <c r="F369" s="1496" t="n"/>
      <c r="G369" s="1497" t="n">
        <v>0</v>
      </c>
      <c r="H369" s="1430" t="n"/>
      <c r="I369" s="1498" t="n">
        <v>0</v>
      </c>
      <c r="J369" s="1457" t="n"/>
      <c r="K369" s="1490" t="n">
        <v>0</v>
      </c>
      <c r="L369" s="1491"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499" t="inlineStr">
        <is>
          <t>Article 41</t>
        </is>
      </c>
      <c r="B376" s="1375" t="n"/>
      <c r="C376" s="1375" t="n"/>
      <c r="D376" s="1375" t="n"/>
      <c r="E376" s="1375" t="n"/>
      <c r="F376" s="1375" t="n"/>
      <c r="G376" s="1375" t="n"/>
      <c r="H376" s="1375" t="n"/>
      <c r="I376" s="1375" t="n"/>
      <c r="J376" s="1375" t="n"/>
      <c r="K376" s="1375" t="n"/>
      <c r="L376" s="1376"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0" t="inlineStr">
        <is>
          <t>Plaignant (1)</t>
        </is>
      </c>
      <c r="B377" s="1441" t="n"/>
      <c r="C377" s="259" t="inlineStr">
        <is>
          <t>Institution (2)</t>
        </is>
      </c>
      <c r="D377" s="1441" t="n"/>
      <c r="E377" s="259" t="inlineStr">
        <is>
          <t>Tier  (3)</t>
        </is>
      </c>
      <c r="F377" s="1441" t="n"/>
      <c r="G377" s="745" t="inlineStr">
        <is>
          <t>Commissaire à la protection de la vie privée (4)</t>
        </is>
      </c>
      <c r="H377" s="1388" t="n"/>
      <c r="I377" s="1388" t="n"/>
      <c r="J377" s="1441" t="n"/>
      <c r="K377" s="748" t="inlineStr">
        <is>
          <t>Total</t>
        </is>
      </c>
      <c r="L377" s="1441"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1" t="n">
        <v>0</v>
      </c>
      <c r="B378" s="1457" t="n"/>
      <c r="C378" s="283" t="n">
        <v>0</v>
      </c>
      <c r="D378" s="1430" t="n"/>
      <c r="E378" s="1502" t="n">
        <v>0</v>
      </c>
      <c r="F378" s="1457" t="n"/>
      <c r="G378" s="1503" t="n">
        <v>0</v>
      </c>
      <c r="H378" s="1496" t="n"/>
      <c r="I378" s="1496" t="n"/>
      <c r="J378" s="1491" t="n"/>
      <c r="K378" s="1504">
        <f>SUM(A378:J378)</f>
        <v/>
      </c>
      <c r="L378" s="1389"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5" t="inlineStr">
        <is>
          <t>Article 44 - en vertu de l'alinéa 28(1)b)</t>
        </is>
      </c>
      <c r="B382" s="1372" t="n"/>
      <c r="C382" s="1373"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6" t="n">
        <v>0</v>
      </c>
      <c r="B383" s="1428" t="n"/>
      <c r="C383" s="1429"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7" t="inlineStr">
        <is>
          <t>Dépenses</t>
        </is>
      </c>
      <c r="B389" s="1372" t="n"/>
      <c r="C389" s="1372" t="n"/>
      <c r="D389" s="1372" t="n"/>
      <c r="E389" s="1372" t="n"/>
      <c r="F389" s="1372" t="n"/>
      <c r="G389" s="1373" t="n"/>
      <c r="H389" s="611" t="inlineStr">
        <is>
          <t>Montant</t>
        </is>
      </c>
      <c r="I389" s="1372" t="n"/>
      <c r="J389" s="1372" t="n"/>
      <c r="K389" s="1403"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1" t="inlineStr">
        <is>
          <t xml:space="preserve">Salaires </t>
        </is>
      </c>
      <c r="B390" s="1375" t="n"/>
      <c r="C390" s="1375" t="n"/>
      <c r="D390" s="1375" t="n"/>
      <c r="E390" s="1375" t="n"/>
      <c r="F390" s="1375" t="n"/>
      <c r="G390" s="1376" t="n"/>
      <c r="H390" s="1508" t="n">
        <v>0</v>
      </c>
      <c r="I390" s="1370" t="n"/>
      <c r="J390" s="1370" t="n"/>
      <c r="K390" s="1405"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2" t="inlineStr">
        <is>
          <t>Heures supplémentaires</t>
        </is>
      </c>
      <c r="B391" s="1379" t="n"/>
      <c r="C391" s="1379" t="n"/>
      <c r="D391" s="1379" t="n"/>
      <c r="E391" s="1379" t="n"/>
      <c r="F391" s="1379" t="n"/>
      <c r="G391" s="1381" t="n"/>
      <c r="H391" s="1509" t="n">
        <v>0</v>
      </c>
      <c r="I391" s="1398" t="n"/>
      <c r="J391" s="1398" t="n"/>
      <c r="K391" s="1399"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2" t="inlineStr">
        <is>
          <t>Biens et services</t>
        </is>
      </c>
      <c r="B392" s="1379" t="n"/>
      <c r="C392" s="1379" t="n"/>
      <c r="D392" s="1379" t="n"/>
      <c r="E392" s="1379" t="n"/>
      <c r="F392" s="1379" t="n"/>
      <c r="G392" s="1381" t="n"/>
      <c r="H392" s="1510">
        <f>SUM(F393:G394)</f>
        <v/>
      </c>
      <c r="I392" s="1379" t="n"/>
      <c r="J392" s="1379" t="n"/>
      <c r="K392" s="1382"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1" t="n"/>
      <c r="C393" s="1371" t="n"/>
      <c r="D393" s="1371" t="n"/>
      <c r="E393" s="1371" t="n"/>
      <c r="F393" s="1511" t="n">
        <v>0</v>
      </c>
      <c r="G393" s="1397" t="n"/>
      <c r="H393" s="1512" t="n"/>
      <c r="K393" s="1513"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6" t="n"/>
      <c r="C394" s="1386" t="n"/>
      <c r="D394" s="1386" t="n"/>
      <c r="E394" s="1386" t="n"/>
      <c r="F394" s="1514" t="n">
        <v>0</v>
      </c>
      <c r="G394" s="1407" t="n"/>
      <c r="H394" s="1388" t="n"/>
      <c r="I394" s="1388" t="n"/>
      <c r="J394" s="1388" t="n"/>
      <c r="K394" s="1389"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2" t="n"/>
      <c r="C395" s="1372" t="n"/>
      <c r="D395" s="1372" t="n"/>
      <c r="E395" s="1372" t="n"/>
      <c r="F395" s="1372" t="n"/>
      <c r="G395" s="1372" t="n"/>
      <c r="H395" s="1515">
        <f>SUM(H390:K392)</f>
        <v/>
      </c>
      <c r="I395" s="1372" t="n"/>
      <c r="J395" s="1372" t="n"/>
      <c r="K395" s="1403"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2" t="n"/>
      <c r="C399" s="1372" t="n"/>
      <c r="D399" s="1372" t="n"/>
      <c r="E399" s="1372" t="n"/>
      <c r="F399" s="731" t="inlineStr">
        <is>
          <t>Années-personnes consacrées aux activités liées à l’accès à l’information</t>
        </is>
      </c>
      <c r="G399" s="1410" t="n"/>
      <c r="H399" s="1421"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5" t="n"/>
      <c r="C400" s="1375" t="n"/>
      <c r="D400" s="1375" t="n"/>
      <c r="E400" s="1375" t="n"/>
      <c r="F400" s="1516" t="n">
        <v>0</v>
      </c>
      <c r="G400" s="1377" t="n"/>
      <c r="H400" s="1378"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79" t="n"/>
      <c r="C401" s="1379" t="n"/>
      <c r="D401" s="1379" t="n"/>
      <c r="E401" s="1379" t="n"/>
      <c r="F401" s="1517" t="n">
        <v>0</v>
      </c>
      <c r="G401" s="1398" t="n"/>
      <c r="H401" s="1419"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79" t="n"/>
      <c r="C402" s="1379" t="n"/>
      <c r="D402" s="1379" t="n"/>
      <c r="E402" s="1379" t="n"/>
      <c r="F402" s="1517" t="n">
        <v>0</v>
      </c>
      <c r="G402" s="1398" t="n"/>
      <c r="H402" s="1419"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79" t="n"/>
      <c r="C403" s="1379" t="n"/>
      <c r="D403" s="1379" t="n"/>
      <c r="E403" s="1379" t="n"/>
      <c r="F403" s="1517" t="n">
        <v>0</v>
      </c>
      <c r="G403" s="1398" t="n"/>
      <c r="H403" s="1419"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6" t="n"/>
      <c r="C404" s="1386" t="n"/>
      <c r="D404" s="1386" t="n"/>
      <c r="E404" s="1386" t="n"/>
      <c r="F404" s="1518" t="n">
        <v>0</v>
      </c>
      <c r="G404" s="1401" t="n"/>
      <c r="H404" s="1519"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2" t="n"/>
      <c r="C405" s="1372" t="n"/>
      <c r="D405" s="1372" t="n"/>
      <c r="E405" s="1372" t="n"/>
      <c r="F405" s="1520">
        <f>SUM(F400:H404)</f>
        <v/>
      </c>
      <c r="G405" s="1372" t="n"/>
      <c r="H405" s="1403"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inlineStr">
        <is>
          <t>Santé Canada</t>
        </is>
      </c>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44287</v>
      </c>
      <c r="I8" s="1371" t="n"/>
      <c r="J8" s="1371" t="n"/>
      <c r="K8" s="42" t="inlineStr">
        <is>
          <t>au</t>
        </is>
      </c>
      <c r="L8" s="1216" t="n">
        <v>44651</v>
      </c>
      <c r="M8" s="1371" t="n"/>
      <c r="N8" s="1371"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0" t="n"/>
      <c r="J14" s="1410" t="n"/>
      <c r="K14" s="280" t="n"/>
    </row>
    <row r="15" ht="15" customHeight="1" thickTop="1">
      <c r="A15" s="1521" t="inlineStr">
        <is>
          <t>Reçues pendant la période d'établissement de rapport</t>
        </is>
      </c>
      <c r="B15" s="1375" t="n"/>
      <c r="C15" s="1375" t="n"/>
      <c r="D15" s="1375" t="n"/>
      <c r="E15" s="1375" t="n"/>
      <c r="F15" s="1375" t="n"/>
      <c r="G15" s="1376" t="n"/>
      <c r="H15" s="1096" t="n">
        <v>219</v>
      </c>
      <c r="I15" s="1377" t="n"/>
      <c r="J15" s="1378" t="n"/>
    </row>
    <row r="16" ht="15" customHeight="1" thickBot="1">
      <c r="A16" s="1222" t="inlineStr">
        <is>
          <t>En suspens à la fin de la période d'établissement de rapport précédente</t>
        </is>
      </c>
      <c r="B16" s="1379" t="n"/>
      <c r="C16" s="1379" t="n"/>
      <c r="D16" s="1379" t="n"/>
      <c r="E16" s="1379" t="n"/>
      <c r="F16" s="1379" t="n"/>
      <c r="G16" s="1379" t="n"/>
      <c r="H16" s="1380">
        <f>SUM(G17:G18)</f>
        <v/>
      </c>
      <c r="I16" s="1379" t="n"/>
      <c r="J16" s="1381" t="n"/>
    </row>
    <row r="17" ht="28.5" customHeight="1" thickTop="1">
      <c r="A17" s="839" t="inlineStr">
        <is>
          <t>• En suspens à la fin de la période d'établissement de rapport précédente</t>
        </is>
      </c>
      <c r="B17" s="1379" t="n"/>
      <c r="C17" s="1379" t="n"/>
      <c r="D17" s="1379" t="n"/>
      <c r="E17" s="1379" t="n"/>
      <c r="F17" s="1379" t="n"/>
      <c r="G17" s="207" t="n">
        <v>34</v>
      </c>
      <c r="H17" s="1393" t="n"/>
      <c r="I17" s="1383" t="n"/>
      <c r="J17" s="1384" t="n"/>
    </row>
    <row r="18" ht="15" customHeight="1" thickBot="1">
      <c r="A18" s="1225" t="inlineStr">
        <is>
          <t>• En suspens pour plus d'une période d'établissement de rapport</t>
        </is>
      </c>
      <c r="B18" s="1383" t="n"/>
      <c r="C18" s="1383" t="n"/>
      <c r="D18" s="1383" t="n"/>
      <c r="E18" s="1383" t="n"/>
      <c r="F18" s="1383" t="n"/>
      <c r="G18" s="209" t="n">
        <v>15</v>
      </c>
      <c r="H18" s="1395" t="n"/>
      <c r="I18" s="1388" t="n"/>
      <c r="J18" s="1389" t="n"/>
    </row>
    <row r="19" ht="15" customHeight="1" thickBot="1" thickTop="1">
      <c r="A19" s="1522" t="inlineStr">
        <is>
          <t>Total</t>
        </is>
      </c>
      <c r="B19" s="1372" t="n"/>
      <c r="C19" s="1372" t="n"/>
      <c r="D19" s="1372" t="n"/>
      <c r="E19" s="1372" t="n"/>
      <c r="F19" s="1372" t="n"/>
      <c r="G19" s="1373" t="n"/>
      <c r="H19" s="1523">
        <f>SUM(H15:J16)</f>
        <v/>
      </c>
      <c r="I19" s="1372" t="n"/>
      <c r="J19" s="1373" t="n"/>
      <c r="O19" s="31" t="n"/>
    </row>
    <row r="20" ht="15" customHeight="1" thickTop="1">
      <c r="A20" s="1071" t="inlineStr">
        <is>
          <t>Fermées pendant la période d'établissement de rapport</t>
        </is>
      </c>
      <c r="B20" s="1371" t="n"/>
      <c r="C20" s="1371" t="n"/>
      <c r="D20" s="1371" t="n"/>
      <c r="E20" s="1371" t="n"/>
      <c r="F20" s="1371" t="n"/>
      <c r="G20" s="1371" t="n"/>
      <c r="H20" s="1524" t="n">
        <v>212</v>
      </c>
      <c r="I20" s="1370" t="n"/>
      <c r="J20" s="1525" t="n"/>
    </row>
    <row r="21" ht="15" customHeight="1" thickBot="1">
      <c r="A21" s="1073" t="inlineStr">
        <is>
          <t>Reportées à la prochaine période d'établissement de rapport</t>
        </is>
      </c>
      <c r="B21" s="1379" t="n"/>
      <c r="C21" s="1379" t="n"/>
      <c r="D21" s="1379" t="n"/>
      <c r="E21" s="1379" t="n"/>
      <c r="F21" s="1379" t="n"/>
      <c r="G21" s="1379" t="n"/>
      <c r="H21" s="1380">
        <f>SUM(G22:G23)</f>
        <v/>
      </c>
      <c r="I21" s="1379" t="n"/>
      <c r="J21" s="1381"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79" t="n"/>
      <c r="C22" s="1379" t="n"/>
      <c r="D22" s="1379" t="n"/>
      <c r="E22" s="1379" t="n"/>
      <c r="F22" s="1379" t="n"/>
      <c r="G22" s="207" t="n">
        <v>30</v>
      </c>
      <c r="H22" s="1393" t="n"/>
      <c r="I22" s="1383" t="n"/>
      <c r="J22" s="1384" t="n"/>
    </row>
    <row r="23" ht="29.25" customHeight="1" thickBot="1">
      <c r="A23" s="646" t="inlineStr">
        <is>
          <t>• Reportées à la prochaine période d'établissement de rapport au-delà des délais prévus par la Loi</t>
        </is>
      </c>
      <c r="B23" s="1386" t="n"/>
      <c r="C23" s="1386" t="n"/>
      <c r="D23" s="1386" t="n"/>
      <c r="E23" s="1386" t="n"/>
      <c r="F23" s="1386" t="n"/>
      <c r="G23" s="209" t="n">
        <v>26</v>
      </c>
      <c r="H23" s="1395" t="n"/>
      <c r="I23" s="1388" t="n"/>
      <c r="J23" s="1389"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2" t="n"/>
      <c r="C27" s="1372" t="n"/>
      <c r="D27" s="1372" t="n"/>
      <c r="E27" s="1372" t="n"/>
      <c r="F27" s="1373" t="n"/>
      <c r="G27" s="258" t="inlineStr">
        <is>
          <t>Nombre des demandes</t>
        </is>
      </c>
      <c r="H27" s="1372" t="n"/>
      <c r="I27" s="1372" t="n"/>
      <c r="J27" s="1373" t="n"/>
      <c r="K27" s="28" t="n"/>
      <c r="L27" s="28" t="n"/>
    </row>
    <row r="28" ht="15" customHeight="1" thickTop="1">
      <c r="A28" s="926" t="inlineStr">
        <is>
          <t>En ligne</t>
        </is>
      </c>
      <c r="B28" s="1371" t="n"/>
      <c r="C28" s="1371" t="n"/>
      <c r="D28" s="1371" t="n"/>
      <c r="E28" s="1371" t="n"/>
      <c r="F28" s="1396" t="n"/>
      <c r="G28" s="943" t="n">
        <v>212</v>
      </c>
      <c r="H28" s="1377" t="n"/>
      <c r="I28" s="1377" t="n"/>
      <c r="J28" s="1397" t="n"/>
      <c r="L28" s="28" t="n"/>
    </row>
    <row r="29" ht="15" customHeight="1">
      <c r="A29" s="505" t="inlineStr">
        <is>
          <t>Courriel</t>
        </is>
      </c>
      <c r="B29" s="1379" t="n"/>
      <c r="C29" s="1379" t="n"/>
      <c r="D29" s="1379" t="n"/>
      <c r="E29" s="1379" t="n"/>
      <c r="F29" s="1382" t="n"/>
      <c r="G29" s="553" t="n">
        <v>1</v>
      </c>
      <c r="H29" s="1398" t="n"/>
      <c r="I29" s="1398" t="n"/>
      <c r="J29" s="1399" t="n"/>
      <c r="L29" s="28" t="n"/>
    </row>
    <row r="30" ht="15" customHeight="1">
      <c r="A30" s="505" t="inlineStr">
        <is>
          <t>Poste</t>
        </is>
      </c>
      <c r="B30" s="1379" t="n"/>
      <c r="C30" s="1379" t="n"/>
      <c r="D30" s="1379" t="n"/>
      <c r="E30" s="1379" t="n"/>
      <c r="F30" s="1382" t="n"/>
      <c r="G30" s="553" t="n">
        <v>5</v>
      </c>
      <c r="H30" s="1398" t="n"/>
      <c r="I30" s="1398" t="n"/>
      <c r="J30" s="1399" t="n"/>
      <c r="L30" s="28" t="n"/>
    </row>
    <row r="31" ht="15" customHeight="1">
      <c r="A31" s="505" t="inlineStr">
        <is>
          <t>En personne</t>
        </is>
      </c>
      <c r="B31" s="1379" t="n"/>
      <c r="C31" s="1379" t="n"/>
      <c r="D31" s="1379" t="n"/>
      <c r="E31" s="1379" t="n"/>
      <c r="F31" s="1382" t="n"/>
      <c r="G31" s="553" t="n">
        <v>0</v>
      </c>
      <c r="H31" s="1398" t="n"/>
      <c r="I31" s="1398" t="n"/>
      <c r="J31" s="1399" t="n"/>
      <c r="L31" s="28" t="n"/>
    </row>
    <row r="32" ht="15" customHeight="1">
      <c r="A32" s="505" t="inlineStr">
        <is>
          <t>Téléphone</t>
        </is>
      </c>
      <c r="B32" s="1379" t="n"/>
      <c r="C32" s="1379" t="n"/>
      <c r="D32" s="1379" t="n"/>
      <c r="E32" s="1379" t="n"/>
      <c r="F32" s="1382" t="n"/>
      <c r="G32" s="502" t="n">
        <v>0</v>
      </c>
      <c r="H32" s="1398" t="n"/>
      <c r="I32" s="1398" t="n"/>
      <c r="J32" s="1399" t="n"/>
      <c r="L32" s="28" t="n"/>
    </row>
    <row r="33" ht="15" customHeight="1" thickBot="1">
      <c r="A33" s="888" t="inlineStr">
        <is>
          <t>Télécopieur</t>
        </is>
      </c>
      <c r="B33" s="1383" t="n"/>
      <c r="C33" s="1383" t="n"/>
      <c r="D33" s="1383" t="n"/>
      <c r="E33" s="1383" t="n"/>
      <c r="F33" s="1400" t="n"/>
      <c r="G33" s="891" t="n">
        <v>1</v>
      </c>
      <c r="H33" s="1406" t="n"/>
      <c r="I33" s="1406" t="n"/>
      <c r="J33" s="1407" t="n"/>
      <c r="L33" s="28" t="n"/>
    </row>
    <row r="34" ht="15" customHeight="1" thickBot="1" thickTop="1">
      <c r="A34" s="894" t="inlineStr">
        <is>
          <t>Total</t>
        </is>
      </c>
      <c r="B34" s="1372" t="n"/>
      <c r="C34" s="1372" t="n"/>
      <c r="D34" s="1372" t="n"/>
      <c r="E34" s="1372" t="n"/>
      <c r="F34" s="1403" t="n"/>
      <c r="G34" s="549">
        <f>SUM(G28:J33)</f>
        <v/>
      </c>
      <c r="H34" s="1372" t="n"/>
      <c r="I34" s="1372" t="n"/>
      <c r="J34" s="1403"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2" t="n"/>
      <c r="J41" s="1372" t="n"/>
      <c r="K41" s="210" t="n"/>
    </row>
    <row r="42" ht="15" customHeight="1" thickTop="1">
      <c r="A42" s="906" t="inlineStr">
        <is>
          <t>Reçues pendant la période d'établissement de rapport</t>
        </is>
      </c>
      <c r="B42" s="1410" t="n"/>
      <c r="C42" s="1410" t="n"/>
      <c r="D42" s="1410" t="n"/>
      <c r="E42" s="1410" t="n"/>
      <c r="F42" s="1410" t="n"/>
      <c r="G42" s="1410" t="n"/>
      <c r="H42" s="1413" t="n">
        <v>0</v>
      </c>
      <c r="I42" s="1377" t="n"/>
      <c r="J42" s="1378"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79" t="n"/>
      <c r="C43" s="1379" t="n"/>
      <c r="D43" s="1379" t="n"/>
      <c r="E43" s="1379" t="n"/>
      <c r="F43" s="1379" t="n"/>
      <c r="G43" s="1379" t="n"/>
      <c r="H43" s="1380">
        <f>SUM(G44:G45)</f>
        <v/>
      </c>
      <c r="I43" s="1379" t="n"/>
      <c r="J43" s="1381" t="n"/>
    </row>
    <row r="44" ht="25.5" customHeight="1" thickTop="1">
      <c r="A44" s="886" t="inlineStr">
        <is>
          <t>• En suspens à la fin de la période d'établissement de rapport précédente</t>
        </is>
      </c>
      <c r="B44" s="1379" t="n"/>
      <c r="C44" s="1379" t="n"/>
      <c r="D44" s="1379" t="n"/>
      <c r="E44" s="1379" t="n"/>
      <c r="F44" s="1379" t="n"/>
      <c r="G44" s="212" t="n">
        <v>0</v>
      </c>
      <c r="H44" s="1393" t="n"/>
      <c r="I44" s="1383" t="n"/>
      <c r="J44" s="1384" t="n"/>
    </row>
    <row r="45" ht="17.25" customHeight="1" thickBot="1">
      <c r="A45" s="1026" t="inlineStr">
        <is>
          <t>• En suspens pour plus d'une période d'établissement de rapport</t>
        </is>
      </c>
      <c r="B45" s="1388" t="n"/>
      <c r="C45" s="1388" t="n"/>
      <c r="D45" s="1388" t="n"/>
      <c r="E45" s="1388" t="n"/>
      <c r="F45" s="1388" t="n"/>
      <c r="G45" s="281" t="n">
        <v>0</v>
      </c>
      <c r="H45" s="1395" t="n"/>
      <c r="I45" s="1388" t="n"/>
      <c r="J45" s="1389" t="n"/>
    </row>
    <row r="46" ht="15" customHeight="1" thickBot="1" thickTop="1">
      <c r="A46" s="933" t="inlineStr">
        <is>
          <t>Total</t>
        </is>
      </c>
      <c r="B46" s="1372" t="n"/>
      <c r="C46" s="1372" t="n"/>
      <c r="D46" s="1372" t="n"/>
      <c r="E46" s="1372" t="n"/>
      <c r="F46" s="1372" t="n"/>
      <c r="G46" s="1372" t="n"/>
      <c r="H46" s="258">
        <f>SUM(H42:J43)</f>
        <v/>
      </c>
      <c r="I46" s="1372" t="n"/>
      <c r="J46" s="1373" t="n"/>
    </row>
    <row r="47" ht="15" customHeight="1" thickTop="1">
      <c r="A47" s="965" t="inlineStr">
        <is>
          <t>Fermées pendant la période d'établissement de rapport</t>
        </is>
      </c>
      <c r="H47" s="1413" t="n">
        <v>0</v>
      </c>
      <c r="I47" s="1377" t="n"/>
      <c r="J47" s="1378" t="n"/>
    </row>
    <row r="48" ht="15" customHeight="1" thickBot="1">
      <c r="A48" s="1526" t="inlineStr">
        <is>
          <t>Reportées à la prochaine période d'établissement de rapport</t>
        </is>
      </c>
      <c r="B48" s="1386" t="n"/>
      <c r="C48" s="1386" t="n"/>
      <c r="D48" s="1386" t="n"/>
      <c r="E48" s="1386" t="n"/>
      <c r="F48" s="1386" t="n"/>
      <c r="G48" s="1387" t="n"/>
      <c r="H48" s="972">
        <f>H46-H47</f>
        <v/>
      </c>
      <c r="I48" s="1386" t="n"/>
      <c r="J48" s="1387"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2" t="n"/>
      <c r="C52" s="1372" t="n"/>
      <c r="D52" s="1372" t="n"/>
      <c r="E52" s="1372" t="n"/>
      <c r="F52" s="1372" t="n"/>
      <c r="G52" s="1408" t="inlineStr">
        <is>
          <t>Nombre des demandes</t>
        </is>
      </c>
      <c r="H52" s="1372" t="n"/>
      <c r="I52" s="1372" t="n"/>
      <c r="J52" s="1373" t="n"/>
    </row>
    <row r="53" ht="15" customHeight="1" thickTop="1">
      <c r="A53" s="926" t="inlineStr">
        <is>
          <t>En ligne</t>
        </is>
      </c>
      <c r="B53" s="1371" t="n"/>
      <c r="C53" s="1371" t="n"/>
      <c r="D53" s="1371" t="n"/>
      <c r="E53" s="1371" t="n"/>
      <c r="F53" s="1396" t="n"/>
      <c r="G53" s="943" t="n">
        <v>0</v>
      </c>
      <c r="H53" s="1377" t="n"/>
      <c r="I53" s="1377" t="n"/>
      <c r="J53" s="1397" t="n"/>
    </row>
    <row r="54" ht="15" customHeight="1">
      <c r="A54" s="505" t="inlineStr">
        <is>
          <t>Courriel</t>
        </is>
      </c>
      <c r="B54" s="1379" t="n"/>
      <c r="C54" s="1379" t="n"/>
      <c r="D54" s="1379" t="n"/>
      <c r="E54" s="1379" t="n"/>
      <c r="F54" s="1382" t="n"/>
      <c r="G54" s="553" t="n">
        <v>0</v>
      </c>
      <c r="H54" s="1398" t="n"/>
      <c r="I54" s="1398" t="n"/>
      <c r="J54" s="1399" t="n"/>
    </row>
    <row r="55" ht="15" customHeight="1">
      <c r="A55" s="505" t="inlineStr">
        <is>
          <t>Poste</t>
        </is>
      </c>
      <c r="B55" s="1379" t="n"/>
      <c r="C55" s="1379" t="n"/>
      <c r="D55" s="1379" t="n"/>
      <c r="E55" s="1379" t="n"/>
      <c r="F55" s="1382" t="n"/>
      <c r="G55" s="553" t="n">
        <v>0</v>
      </c>
      <c r="H55" s="1398" t="n"/>
      <c r="I55" s="1398" t="n"/>
      <c r="J55" s="1399" t="n"/>
    </row>
    <row r="56" ht="15" customHeight="1">
      <c r="A56" s="505" t="inlineStr">
        <is>
          <t>En personne</t>
        </is>
      </c>
      <c r="B56" s="1379" t="n"/>
      <c r="C56" s="1379" t="n"/>
      <c r="D56" s="1379" t="n"/>
      <c r="E56" s="1379" t="n"/>
      <c r="F56" s="1382" t="n"/>
      <c r="G56" s="553" t="n">
        <v>0</v>
      </c>
      <c r="H56" s="1398" t="n"/>
      <c r="I56" s="1398" t="n"/>
      <c r="J56" s="1399" t="n"/>
    </row>
    <row r="57" ht="15" customHeight="1">
      <c r="A57" s="505" t="inlineStr">
        <is>
          <t>Téléphone</t>
        </is>
      </c>
      <c r="B57" s="1379" t="n"/>
      <c r="C57" s="1379" t="n"/>
      <c r="D57" s="1379" t="n"/>
      <c r="E57" s="1379" t="n"/>
      <c r="F57" s="1382" t="n"/>
      <c r="G57" s="502" t="n">
        <v>0</v>
      </c>
      <c r="H57" s="1398" t="n"/>
      <c r="I57" s="1398" t="n"/>
      <c r="J57" s="1399" t="n"/>
    </row>
    <row r="58" ht="15" customHeight="1" thickBot="1">
      <c r="A58" s="888" t="inlineStr">
        <is>
          <t>Télécopieur</t>
        </is>
      </c>
      <c r="B58" s="1383" t="n"/>
      <c r="C58" s="1383" t="n"/>
      <c r="D58" s="1383" t="n"/>
      <c r="E58" s="1383" t="n"/>
      <c r="F58" s="1400" t="n"/>
      <c r="G58" s="891" t="n">
        <v>0</v>
      </c>
      <c r="H58" s="1406" t="n"/>
      <c r="I58" s="1406" t="n"/>
      <c r="J58" s="1407" t="n"/>
    </row>
    <row r="59" ht="15" customHeight="1" thickBot="1" thickTop="1">
      <c r="A59" s="894" t="inlineStr">
        <is>
          <t>Total</t>
        </is>
      </c>
      <c r="B59" s="1372" t="n"/>
      <c r="C59" s="1372" t="n"/>
      <c r="D59" s="1372" t="n"/>
      <c r="E59" s="1372" t="n"/>
      <c r="F59" s="1403" t="n"/>
      <c r="G59" s="549">
        <f>SUM(G53:J58)</f>
        <v/>
      </c>
      <c r="H59" s="1372" t="n"/>
      <c r="I59" s="1372" t="n"/>
      <c r="J59" s="1403"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5" t="n"/>
      <c r="C63" s="1375" t="n"/>
      <c r="D63" s="1375" t="n"/>
      <c r="E63" s="1375" t="n"/>
      <c r="F63" s="1375" t="n"/>
      <c r="G63" s="1375" t="n"/>
      <c r="H63" s="1404"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4" t="n"/>
      <c r="C69" s="1414" t="inlineStr">
        <is>
          <t>De 100 à 500 pages communiquées</t>
        </is>
      </c>
      <c r="D69" s="1376" t="n"/>
      <c r="E69" s="568" t="inlineStr">
        <is>
          <t>De 501 à 1 000 pages communiquées</t>
        </is>
      </c>
      <c r="F69" s="1404" t="n"/>
      <c r="G69" s="442" t="inlineStr">
        <is>
          <t>De 1 001 à 5 000 pages communiquées</t>
        </is>
      </c>
      <c r="H69" s="1404" t="n"/>
      <c r="I69" s="568" t="inlineStr">
        <is>
          <t>Plus de 5 000 pages communiquées</t>
        </is>
      </c>
      <c r="J69" s="1404"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0" t="n"/>
      <c r="C78" s="1421" t="n"/>
      <c r="D78" s="1022" t="inlineStr">
        <is>
          <t>Délai de traitement</t>
        </is>
      </c>
      <c r="E78" s="1375" t="n"/>
      <c r="F78" s="1375" t="n"/>
      <c r="G78" s="1375" t="n"/>
      <c r="H78" s="1375" t="n"/>
      <c r="I78" s="1375" t="n"/>
      <c r="J78" s="1375" t="n"/>
      <c r="K78" s="1404" t="n"/>
      <c r="L78" s="194">
        <f>IF(K82&gt;SUM(C93:D101,G93:H102,K93:L101),"Le nombre total de demandes indiqué dans ""Exception totale"" doit être égal ou inférieur au nombre total de demandes indiqué dans le tableau 3.2.","")</f>
        <v/>
      </c>
    </row>
    <row r="79" ht="27" customHeight="1" thickBot="1">
      <c r="A79" s="1423" t="n"/>
      <c r="B79" s="1371" t="n"/>
      <c r="C79" s="1396"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5" t="n"/>
      <c r="C80" s="1404" t="n"/>
      <c r="D80" s="163" t="n">
        <v>6</v>
      </c>
      <c r="E80" s="164" t="n">
        <v>6</v>
      </c>
      <c r="F80" s="164" t="n">
        <v>6</v>
      </c>
      <c r="G80" s="164" t="n">
        <v>5</v>
      </c>
      <c r="H80" s="164" t="n">
        <v>1</v>
      </c>
      <c r="I80" s="164" t="n">
        <v>1</v>
      </c>
      <c r="J80" s="165" t="n">
        <v>1</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79" t="n"/>
      <c r="C81" s="1382" t="n"/>
      <c r="D81" s="166" t="n">
        <v>26</v>
      </c>
      <c r="E81" s="167" t="n">
        <v>2</v>
      </c>
      <c r="F81" s="167" t="n">
        <v>14</v>
      </c>
      <c r="G81" s="167" t="n">
        <v>17</v>
      </c>
      <c r="H81" s="167" t="n">
        <v>7</v>
      </c>
      <c r="I81" s="167" t="n">
        <v>8</v>
      </c>
      <c r="J81" s="168" t="n">
        <v>8</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79" t="n"/>
      <c r="C82" s="1382" t="n"/>
      <c r="D82" s="166" t="n">
        <v>5</v>
      </c>
      <c r="E82" s="167" t="n">
        <v>61</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79" t="n"/>
      <c r="C83" s="1382"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79" t="n"/>
      <c r="C84" s="1382" t="n"/>
      <c r="D84" s="166" t="n">
        <v>0</v>
      </c>
      <c r="E84" s="167" t="n">
        <v>0</v>
      </c>
      <c r="F84" s="167" t="n">
        <v>0</v>
      </c>
      <c r="G84" s="167" t="n">
        <v>0</v>
      </c>
      <c r="H84" s="167" t="n">
        <v>23</v>
      </c>
      <c r="I84" s="167" t="n">
        <v>11</v>
      </c>
      <c r="J84" s="168" t="n">
        <v>5</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3" t="inlineStr">
        <is>
          <t>Demande abandonnée</t>
        </is>
      </c>
      <c r="B85" s="1379" t="n"/>
      <c r="C85" s="1381" t="n"/>
      <c r="D85" s="166" t="n">
        <v>1</v>
      </c>
      <c r="E85" s="167" t="n">
        <v>1</v>
      </c>
      <c r="F85" s="167" t="n">
        <v>0</v>
      </c>
      <c r="G85" s="167" t="n">
        <v>0</v>
      </c>
      <c r="H85" s="167" t="n">
        <v>41</v>
      </c>
      <c r="I85" s="167" t="n">
        <v>61</v>
      </c>
      <c r="J85" s="168" t="n">
        <v>8</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6" t="n"/>
      <c r="C86" s="1394" t="n"/>
      <c r="D86" s="128" t="n">
        <v>9</v>
      </c>
      <c r="E86" s="334" t="n">
        <v>3</v>
      </c>
      <c r="F86" s="334" t="n">
        <v>1</v>
      </c>
      <c r="G86" s="334" t="n">
        <v>1</v>
      </c>
      <c r="H86" s="334" t="n">
        <v>1</v>
      </c>
      <c r="I86" s="334" t="n">
        <v>84</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88" t="n"/>
      <c r="C87" s="1441"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3" t="n"/>
      <c r="C92" s="430" t="inlineStr">
        <is>
          <t>Nombre de demandes</t>
        </is>
      </c>
      <c r="D92" s="1373" t="n"/>
      <c r="E92" s="491" t="inlineStr">
        <is>
          <t>Article</t>
        </is>
      </c>
      <c r="F92" s="1403" t="n"/>
      <c r="G92" s="332" t="inlineStr">
        <is>
          <t>Nombre de demandes</t>
        </is>
      </c>
      <c r="H92" s="1403" t="n"/>
      <c r="I92" s="491" t="inlineStr">
        <is>
          <t>Article</t>
        </is>
      </c>
      <c r="J92" s="1403" t="n"/>
      <c r="K92" s="332" t="inlineStr">
        <is>
          <t>Nombre de demandes</t>
        </is>
      </c>
      <c r="L92" s="1403" t="n"/>
    </row>
    <row r="93" ht="15.75" customHeight="1" thickTop="1">
      <c r="A93" s="1028" t="inlineStr">
        <is>
          <t>18(2)</t>
        </is>
      </c>
      <c r="B93" s="1396" t="n"/>
      <c r="C93" s="754" t="n">
        <v>0</v>
      </c>
      <c r="D93" s="1405" t="n"/>
      <c r="E93" s="1028" t="inlineStr">
        <is>
          <t>22(1)a)(i)</t>
        </is>
      </c>
      <c r="F93" s="1396" t="n"/>
      <c r="G93" s="754" t="n">
        <v>0</v>
      </c>
      <c r="H93" s="1405" t="n"/>
      <c r="I93" s="1028" t="inlineStr">
        <is>
          <t>23a)</t>
        </is>
      </c>
      <c r="J93" s="1396" t="n"/>
      <c r="K93" s="754" t="n">
        <v>0</v>
      </c>
      <c r="L93" s="1405" t="n"/>
    </row>
    <row r="94">
      <c r="A94" s="1029" t="inlineStr">
        <is>
          <t>19(1)a)</t>
        </is>
      </c>
      <c r="B94" s="1382" t="n"/>
      <c r="C94" s="386" t="n">
        <v>0</v>
      </c>
      <c r="D94" s="1399" t="n"/>
      <c r="E94" s="1029" t="inlineStr">
        <is>
          <t>22(1)a)(ii)</t>
        </is>
      </c>
      <c r="F94" s="1382" t="n"/>
      <c r="G94" s="386" t="n">
        <v>0</v>
      </c>
      <c r="H94" s="1399" t="n"/>
      <c r="I94" s="1029" t="inlineStr">
        <is>
          <t>23b)</t>
        </is>
      </c>
      <c r="J94" s="1382" t="n"/>
      <c r="K94" s="386" t="n">
        <v>0</v>
      </c>
      <c r="L94" s="1399" t="n"/>
    </row>
    <row r="95">
      <c r="A95" s="1029" t="inlineStr">
        <is>
          <t>19(1)b)</t>
        </is>
      </c>
      <c r="B95" s="1382" t="n"/>
      <c r="C95" s="386" t="n">
        <v>0</v>
      </c>
      <c r="D95" s="1399" t="n"/>
      <c r="E95" s="1029" t="inlineStr">
        <is>
          <t>22(1)a)(iii)</t>
        </is>
      </c>
      <c r="F95" s="1382" t="n"/>
      <c r="G95" s="386" t="n">
        <v>0</v>
      </c>
      <c r="H95" s="1399" t="n"/>
      <c r="I95" s="1029" t="inlineStr">
        <is>
          <t>24a)</t>
        </is>
      </c>
      <c r="J95" s="1382" t="n"/>
      <c r="K95" s="386" t="n">
        <v>0</v>
      </c>
      <c r="L95" s="1399" t="n"/>
    </row>
    <row r="96">
      <c r="A96" s="1029" t="inlineStr">
        <is>
          <t>19(1)c)</t>
        </is>
      </c>
      <c r="B96" s="1382" t="n"/>
      <c r="C96" s="386" t="n">
        <v>0</v>
      </c>
      <c r="D96" s="1399" t="n"/>
      <c r="E96" s="1029" t="inlineStr">
        <is>
          <t>22(1)b)</t>
        </is>
      </c>
      <c r="F96" s="1382" t="n"/>
      <c r="G96" s="386" t="n">
        <v>4</v>
      </c>
      <c r="H96" s="1399" t="n"/>
      <c r="I96" s="1029" t="inlineStr">
        <is>
          <t>24b)</t>
        </is>
      </c>
      <c r="J96" s="1382" t="n"/>
      <c r="K96" s="386" t="n">
        <v>0</v>
      </c>
      <c r="L96" s="1399" t="n"/>
    </row>
    <row r="97">
      <c r="A97" s="1029" t="inlineStr">
        <is>
          <t>19(1)d)</t>
        </is>
      </c>
      <c r="B97" s="1382" t="n"/>
      <c r="C97" s="386" t="n">
        <v>0</v>
      </c>
      <c r="D97" s="1399" t="n"/>
      <c r="E97" s="1029" t="inlineStr">
        <is>
          <t>22(1)c)</t>
        </is>
      </c>
      <c r="F97" s="1382" t="n"/>
      <c r="G97" s="386" t="n">
        <v>0</v>
      </c>
      <c r="H97" s="1399" t="n"/>
      <c r="I97" s="1029" t="n">
        <v>25</v>
      </c>
      <c r="J97" s="1382" t="n"/>
      <c r="K97" s="386" t="n">
        <v>0</v>
      </c>
      <c r="L97" s="1399" t="n"/>
    </row>
    <row r="98">
      <c r="A98" s="1029" t="inlineStr">
        <is>
          <t>19(1)e)</t>
        </is>
      </c>
      <c r="B98" s="1382" t="n"/>
      <c r="C98" s="386" t="n">
        <v>0</v>
      </c>
      <c r="D98" s="1399" t="n"/>
      <c r="E98" s="1029" t="inlineStr">
        <is>
          <t>22(2)</t>
        </is>
      </c>
      <c r="F98" s="1382" t="n"/>
      <c r="G98" s="386" t="n">
        <v>0</v>
      </c>
      <c r="H98" s="1399" t="n"/>
      <c r="I98" s="1029" t="n">
        <v>26</v>
      </c>
      <c r="J98" s="1382" t="n"/>
      <c r="K98" s="386" t="n">
        <v>59</v>
      </c>
      <c r="L98" s="1399" t="n"/>
    </row>
    <row r="99">
      <c r="A99" s="1029" t="inlineStr">
        <is>
          <t>19(1)f)</t>
        </is>
      </c>
      <c r="B99" s="1382" t="n"/>
      <c r="C99" s="386" t="n">
        <v>0</v>
      </c>
      <c r="D99" s="1399" t="n"/>
      <c r="E99" s="1029" t="n">
        <v>22.1</v>
      </c>
      <c r="F99" s="1382" t="n"/>
      <c r="G99" s="386" t="n">
        <v>0</v>
      </c>
      <c r="H99" s="1399" t="n"/>
      <c r="I99" s="1029" t="n">
        <v>27</v>
      </c>
      <c r="J99" s="1382" t="n"/>
      <c r="K99" s="386" t="n">
        <v>2</v>
      </c>
      <c r="L99" s="1399" t="n"/>
    </row>
    <row r="100">
      <c r="A100" s="1029" t="inlineStr">
        <is>
          <t>20</t>
        </is>
      </c>
      <c r="B100" s="1382" t="n"/>
      <c r="C100" s="386" t="n">
        <v>0</v>
      </c>
      <c r="D100" s="1399" t="n"/>
      <c r="E100" s="1029" t="n">
        <v>22.2</v>
      </c>
      <c r="F100" s="1382" t="n"/>
      <c r="G100" s="386" t="n">
        <v>0</v>
      </c>
      <c r="H100" s="1399" t="n"/>
      <c r="I100" s="1311" t="n">
        <v>27.1</v>
      </c>
      <c r="J100" s="1382" t="n"/>
      <c r="K100" s="344" t="n">
        <v>0</v>
      </c>
      <c r="L100" s="1399" t="n"/>
    </row>
    <row r="101" ht="15.75" customHeight="1" thickBot="1">
      <c r="A101" s="1321" t="inlineStr">
        <is>
          <t>21</t>
        </is>
      </c>
      <c r="B101" s="1394" t="n"/>
      <c r="C101" s="575" t="n">
        <v>0</v>
      </c>
      <c r="D101" s="1407" t="n"/>
      <c r="E101" s="1029" t="n">
        <v>22.3</v>
      </c>
      <c r="F101" s="1382" t="n"/>
      <c r="G101" s="386" t="n">
        <v>0</v>
      </c>
      <c r="H101" s="1399" t="n"/>
      <c r="I101" s="1321" t="n">
        <v>28</v>
      </c>
      <c r="J101" s="1394" t="n"/>
      <c r="K101" s="575" t="n">
        <v>0</v>
      </c>
      <c r="L101" s="1407"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4" t="n"/>
      <c r="G102" s="892" t="n">
        <v>0</v>
      </c>
      <c r="H102" s="1407"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3" t="n"/>
      <c r="C106" s="430" t="inlineStr">
        <is>
          <t>Nombre de demandes</t>
        </is>
      </c>
      <c r="D106" s="1373" t="n"/>
      <c r="E106" s="491" t="inlineStr">
        <is>
          <t>Article</t>
        </is>
      </c>
      <c r="F106" s="1403" t="n"/>
      <c r="G106" s="332" t="inlineStr">
        <is>
          <t>Nombre de demandes</t>
        </is>
      </c>
      <c r="H106" s="1403" t="n"/>
      <c r="I106" s="491" t="inlineStr">
        <is>
          <t>Article</t>
        </is>
      </c>
      <c r="J106" s="1403" t="n"/>
      <c r="K106" s="332" t="inlineStr">
        <is>
          <t>Nombre de demandes</t>
        </is>
      </c>
      <c r="L106" s="1403" t="n"/>
    </row>
    <row r="107" ht="15.75" customHeight="1" thickTop="1">
      <c r="A107" s="1028" t="inlineStr">
        <is>
          <t>69(1)a)</t>
        </is>
      </c>
      <c r="B107" s="1396" t="n"/>
      <c r="C107" s="754" t="n">
        <v>0</v>
      </c>
      <c r="D107" s="1405" t="n"/>
      <c r="E107" s="1315" t="inlineStr">
        <is>
          <t>70(1)</t>
        </is>
      </c>
      <c r="F107" s="1404" t="n"/>
      <c r="G107" s="1317" t="n">
        <v>0</v>
      </c>
      <c r="H107" s="1397" t="n"/>
      <c r="I107" s="1028" t="inlineStr">
        <is>
          <t>70(1)d)</t>
        </is>
      </c>
      <c r="J107" s="1396" t="n"/>
      <c r="K107" s="754" t="n">
        <v>0</v>
      </c>
      <c r="L107" s="1405" t="n"/>
    </row>
    <row r="108">
      <c r="A108" s="1029" t="inlineStr">
        <is>
          <t>69(1)b)</t>
        </is>
      </c>
      <c r="B108" s="1382" t="n"/>
      <c r="C108" s="386" t="n">
        <v>0</v>
      </c>
      <c r="D108" s="1399" t="n"/>
      <c r="E108" s="1028" t="inlineStr">
        <is>
          <t>70(1)a)</t>
        </is>
      </c>
      <c r="F108" s="1396" t="n"/>
      <c r="G108" s="754" t="n">
        <v>0</v>
      </c>
      <c r="H108" s="1405" t="n"/>
      <c r="I108" s="1029" t="inlineStr">
        <is>
          <t>70(1)e)</t>
        </is>
      </c>
      <c r="J108" s="1382" t="n"/>
      <c r="K108" s="386" t="n">
        <v>0</v>
      </c>
      <c r="L108" s="1399" t="n"/>
    </row>
    <row r="109" ht="15.75" customHeight="1" thickBot="1">
      <c r="A109" s="1321" t="n">
        <v>69.09999999999999</v>
      </c>
      <c r="B109" s="1394" t="n"/>
      <c r="C109" s="575" t="n">
        <v>0</v>
      </c>
      <c r="D109" s="1407" t="n"/>
      <c r="E109" s="1029" t="inlineStr">
        <is>
          <t>70(1)b)</t>
        </is>
      </c>
      <c r="F109" s="1382" t="n"/>
      <c r="G109" s="387" t="n">
        <v>0</v>
      </c>
      <c r="H109" s="1419" t="n"/>
      <c r="I109" s="1029" t="inlineStr">
        <is>
          <t>70(1)f)</t>
        </is>
      </c>
      <c r="J109" s="1382" t="n"/>
      <c r="K109" s="386" t="n">
        <v>0</v>
      </c>
      <c r="L109" s="1399" t="n"/>
    </row>
    <row r="110" ht="16.5" customHeight="1" thickBot="1" thickTop="1">
      <c r="A110" s="47" t="n"/>
      <c r="B110" s="47" t="n"/>
      <c r="C110" s="47" t="n"/>
      <c r="D110" s="47" t="n"/>
      <c r="E110" s="1321" t="inlineStr">
        <is>
          <t>70(1)c)</t>
        </is>
      </c>
      <c r="F110" s="1394" t="n"/>
      <c r="G110" s="436" t="n">
        <v>0</v>
      </c>
      <c r="H110" s="1416" t="n"/>
      <c r="I110" s="1321" t="n">
        <v>70.09999999999999</v>
      </c>
      <c r="J110" s="1394" t="n"/>
      <c r="K110" s="575" t="n">
        <v>0</v>
      </c>
      <c r="L110" s="1407"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7" t="inlineStr">
        <is>
          <t>Papier</t>
        </is>
      </c>
      <c r="B114" s="1411" t="n"/>
      <c r="C114" s="1322" t="inlineStr">
        <is>
          <t>Électronique</t>
        </is>
      </c>
      <c r="D114" s="1375" t="n"/>
      <c r="E114" s="1375" t="n"/>
      <c r="F114" s="1375" t="n"/>
      <c r="G114" s="1375" t="n"/>
      <c r="H114" s="1527" t="inlineStr">
        <is>
          <t>Autres</t>
        </is>
      </c>
      <c r="I114" s="1411"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5" t="n"/>
      <c r="B115" s="1389" t="n"/>
      <c r="C115" s="1345" t="inlineStr">
        <is>
          <t>Document électronique</t>
        </is>
      </c>
      <c r="D115" s="1394" t="n"/>
      <c r="E115" s="188" t="inlineStr">
        <is>
          <t>Ensemble de données</t>
        </is>
      </c>
      <c r="F115" s="189" t="inlineStr">
        <is>
          <t>Vidéo</t>
        </is>
      </c>
      <c r="G115" s="190" t="inlineStr">
        <is>
          <t>Audio</t>
        </is>
      </c>
      <c r="H115" s="1528" t="n"/>
      <c r="I115" s="1529"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12</v>
      </c>
      <c r="B116" s="1429" t="n"/>
      <c r="C116" s="861" t="n">
        <v>75</v>
      </c>
      <c r="D116" s="1457" t="n"/>
      <c r="E116" s="327" t="n">
        <v>0</v>
      </c>
      <c r="F116" s="242" t="n">
        <v>0</v>
      </c>
      <c r="G116" s="285" t="n">
        <v>0</v>
      </c>
      <c r="H116" s="900" t="n">
        <v>0</v>
      </c>
      <c r="I116" s="1429"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0" t="n"/>
      <c r="C122" s="1421" t="n"/>
      <c r="D122" s="732" t="inlineStr">
        <is>
          <t>Nombre de pages communiquées</t>
        </is>
      </c>
      <c r="E122" s="1410" t="n"/>
      <c r="F122" s="1421" t="n"/>
      <c r="G122" s="973" t="inlineStr">
        <is>
          <t>Nombre de demandes</t>
        </is>
      </c>
      <c r="H122" s="1410" t="n"/>
      <c r="I122" s="1421" t="n"/>
      <c r="J122" s="985" t="inlineStr">
        <is>
          <t>Section 3.5.1 - Le "Nombre de pages communiquées" doit être égal ou inférieur au "Nombre de pages traitées".</t>
        </is>
      </c>
    </row>
    <row r="123" ht="15.75" customHeight="1" thickBot="1" thickTop="1">
      <c r="A123" s="412" t="n">
        <v>15762</v>
      </c>
      <c r="B123" s="1428" t="n"/>
      <c r="C123" s="1430" t="n"/>
      <c r="D123" s="413" t="n">
        <v>13309</v>
      </c>
      <c r="E123" s="1428" t="n"/>
      <c r="F123" s="1430" t="n"/>
      <c r="G123" s="413" t="n">
        <v>171</v>
      </c>
      <c r="H123" s="1428" t="n"/>
      <c r="I123" s="1430"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1" t="inlineStr">
        <is>
          <t>Disposition</t>
        </is>
      </c>
      <c r="B128" s="1411" t="n"/>
      <c r="C128" s="1414" t="inlineStr">
        <is>
          <t>Moins de 100 pages traitées</t>
        </is>
      </c>
      <c r="D128" s="1376" t="n"/>
      <c r="E128" s="442" t="inlineStr">
        <is>
          <t>100 à 500 pages traitées</t>
        </is>
      </c>
      <c r="F128" s="1404" t="n"/>
      <c r="G128" s="568" t="inlineStr">
        <is>
          <t>501 à 1 000 pages traitées</t>
        </is>
      </c>
      <c r="H128" s="1404" t="n"/>
      <c r="I128" s="442" t="inlineStr">
        <is>
          <t>1 001 à 5 000 pages traitées</t>
        </is>
      </c>
      <c r="J128" s="1404" t="n"/>
      <c r="K128" s="568" t="inlineStr">
        <is>
          <t>Plus de 5 000 pages traitées</t>
        </is>
      </c>
      <c r="L128" s="1404"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5" t="n"/>
      <c r="B129" s="1389"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2" t="inlineStr">
        <is>
          <t>Communication totale</t>
        </is>
      </c>
      <c r="B130" s="1376" t="n"/>
      <c r="C130" s="815" t="n">
        <v>26</v>
      </c>
      <c r="D130" s="421" t="n">
        <v>310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3" t="inlineStr">
        <is>
          <t>Communication partielle</t>
        </is>
      </c>
      <c r="B131" s="1381" t="n"/>
      <c r="C131" s="681" t="n">
        <v>33</v>
      </c>
      <c r="D131" s="345" t="n">
        <v>1002</v>
      </c>
      <c r="E131" s="357" t="n">
        <v>19</v>
      </c>
      <c r="F131" s="358" t="n">
        <v>4265</v>
      </c>
      <c r="G131" s="681" t="n">
        <v>4</v>
      </c>
      <c r="H131" s="345" t="n">
        <v>2446</v>
      </c>
      <c r="I131" s="357" t="n">
        <v>5</v>
      </c>
      <c r="J131" s="358" t="n">
        <v>7739</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3" t="inlineStr">
        <is>
          <t>Exception totale</t>
        </is>
      </c>
      <c r="B132" s="1381"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3" t="inlineStr">
        <is>
          <t>Exclusion totale</t>
        </is>
      </c>
      <c r="B133" s="1381"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3" t="inlineStr">
        <is>
          <t>Demande abandonnée</t>
        </is>
      </c>
      <c r="B134" s="1381" t="n"/>
      <c r="C134" s="681" t="n">
        <v>84</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4" t="inlineStr">
        <is>
          <t>Ni confirmée ni infirmée</t>
        </is>
      </c>
      <c r="B135" s="1384"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5" t="inlineStr">
        <is>
          <t>Total</t>
        </is>
      </c>
      <c r="B136" s="1373"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6" t="inlineStr">
        <is>
          <t>Nombre de minutes traitées</t>
        </is>
      </c>
      <c r="B140" s="1372" t="n"/>
      <c r="C140" s="1403" t="n"/>
      <c r="D140" s="1437" t="inlineStr">
        <is>
          <t>Nombre de minutes communiquées</t>
        </is>
      </c>
      <c r="E140" s="1372" t="n"/>
      <c r="F140" s="1403" t="n"/>
      <c r="G140" s="1438" t="inlineStr">
        <is>
          <t>Nombre de demandes</t>
        </is>
      </c>
      <c r="H140" s="1372" t="n"/>
      <c r="I140" s="1373" t="n"/>
      <c r="J140" s="1034" t="inlineStr">
        <is>
          <t>Section 3.5.3 - Le "Nombre de pages communiquées" doit être égal ou inférieur au "Nombre de pages traitées".</t>
        </is>
      </c>
      <c r="U140" s="119" t="n"/>
      <c r="V140" s="118" t="n"/>
    </row>
    <row r="141" ht="15.75" customHeight="1" thickBot="1" thickTop="1">
      <c r="A141" s="282" t="n">
        <v>0</v>
      </c>
      <c r="B141" s="1428" t="n"/>
      <c r="C141" s="1430" t="n"/>
      <c r="D141" s="283" t="n">
        <v>0</v>
      </c>
      <c r="E141" s="1428" t="n"/>
      <c r="F141" s="1430" t="n"/>
      <c r="G141" s="1439" t="n">
        <v>0</v>
      </c>
      <c r="H141" s="1428" t="n"/>
      <c r="I141" s="1429"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0" t="n"/>
      <c r="B142" s="1530" t="n"/>
      <c r="C142" s="1530" t="n"/>
      <c r="D142" s="1530" t="n"/>
      <c r="E142" s="1531" t="n"/>
      <c r="F142" s="1531"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0" t="n"/>
      <c r="C145" s="1421" t="n"/>
      <c r="D145" s="1204" t="inlineStr">
        <is>
          <t xml:space="preserve">Moins de 60 minutes traitées </t>
        </is>
      </c>
      <c r="E145" s="1375" t="n"/>
      <c r="F145" s="1375" t="n"/>
      <c r="G145" s="1375" t="n"/>
      <c r="H145" s="1404" t="n"/>
      <c r="I145" s="1338" t="inlineStr">
        <is>
          <t xml:space="preserve">60-120 minutes traitées </t>
        </is>
      </c>
      <c r="J145" s="1375" t="n"/>
      <c r="K145" s="1375" t="n"/>
      <c r="L145" s="1375" t="n"/>
      <c r="M145" s="1404" t="n"/>
      <c r="N145" s="1196" t="inlineStr">
        <is>
          <t xml:space="preserve">Plus de 120 minutes traitées </t>
        </is>
      </c>
      <c r="O145" s="1375" t="n"/>
      <c r="P145" s="1375" t="n"/>
      <c r="Q145" s="1375" t="n"/>
      <c r="R145" s="1404"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3" t="n"/>
      <c r="B146" s="1371" t="n"/>
      <c r="C146" s="1396" t="n"/>
      <c r="D146" s="1198" t="inlineStr">
        <is>
          <t>Nombre de demandes</t>
        </is>
      </c>
      <c r="E146" s="1386" t="n"/>
      <c r="F146" s="1394" t="n"/>
      <c r="G146" s="1199" t="inlineStr">
        <is>
          <t>Minutes  traitées</t>
        </is>
      </c>
      <c r="H146" s="1394" t="n"/>
      <c r="I146" s="1201" t="inlineStr">
        <is>
          <t>Nombre de demandes</t>
        </is>
      </c>
      <c r="J146" s="1386" t="n"/>
      <c r="K146" s="1394" t="n"/>
      <c r="L146" s="1199" t="inlineStr">
        <is>
          <t>Minutes traitées</t>
        </is>
      </c>
      <c r="M146" s="1394" t="n"/>
      <c r="N146" s="1198" t="inlineStr">
        <is>
          <t>Nombre de demandes</t>
        </is>
      </c>
      <c r="O146" s="1386" t="n"/>
      <c r="P146" s="1394" t="n"/>
      <c r="Q146" s="1202" t="inlineStr">
        <is>
          <t>Minutes  traitées</t>
        </is>
      </c>
      <c r="R146" s="1394" t="n"/>
      <c r="S146" s="32" t="n"/>
    </row>
    <row r="147" ht="13.5" customFormat="1" customHeight="1" s="55" thickTop="1">
      <c r="A147" s="1189" t="inlineStr">
        <is>
          <t>Communication totale</t>
        </is>
      </c>
      <c r="B147" s="1371" t="n"/>
      <c r="C147" s="1396" t="n"/>
      <c r="D147" s="1195" t="n">
        <v>0</v>
      </c>
      <c r="E147" s="1370" t="n"/>
      <c r="F147" s="1405" t="n"/>
      <c r="G147" s="1020" t="n">
        <v>0</v>
      </c>
      <c r="H147" s="1405" t="n"/>
      <c r="I147" s="1195" t="n">
        <v>0</v>
      </c>
      <c r="J147" s="1370" t="n"/>
      <c r="K147" s="1405" t="n"/>
      <c r="L147" s="1020" t="n">
        <v>0</v>
      </c>
      <c r="M147" s="1405" t="n"/>
      <c r="N147" s="1192" t="n">
        <v>0</v>
      </c>
      <c r="O147" s="1370" t="n"/>
      <c r="P147" s="1405" t="n"/>
      <c r="Q147" s="1020" t="n">
        <v>0</v>
      </c>
      <c r="R147" s="1405"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79" t="n"/>
      <c r="C148" s="1382" t="n"/>
      <c r="D148" s="991" t="n">
        <v>0</v>
      </c>
      <c r="E148" s="1398" t="n"/>
      <c r="F148" s="1399" t="n"/>
      <c r="G148" s="992" t="n">
        <v>0</v>
      </c>
      <c r="H148" s="1399" t="n"/>
      <c r="I148" s="991" t="n">
        <v>0</v>
      </c>
      <c r="J148" s="1398" t="n"/>
      <c r="K148" s="1399" t="n"/>
      <c r="L148" s="992" t="n">
        <v>0</v>
      </c>
      <c r="M148" s="1399" t="n"/>
      <c r="N148" s="1170" t="n">
        <v>0</v>
      </c>
      <c r="O148" s="1398" t="n"/>
      <c r="P148" s="1399" t="n"/>
      <c r="Q148" s="992" t="n">
        <v>0</v>
      </c>
      <c r="R148" s="1399"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79" t="n"/>
      <c r="C149" s="1382" t="n"/>
      <c r="D149" s="991" t="n">
        <v>0</v>
      </c>
      <c r="E149" s="1398" t="n"/>
      <c r="F149" s="1399" t="n"/>
      <c r="G149" s="992" t="n">
        <v>0</v>
      </c>
      <c r="H149" s="1399" t="n"/>
      <c r="I149" s="991" t="n">
        <v>0</v>
      </c>
      <c r="J149" s="1398" t="n"/>
      <c r="K149" s="1399" t="n"/>
      <c r="L149" s="992" t="n">
        <v>0</v>
      </c>
      <c r="M149" s="1399" t="n"/>
      <c r="N149" s="1170" t="n">
        <v>0</v>
      </c>
      <c r="O149" s="1398" t="n"/>
      <c r="P149" s="1399" t="n"/>
      <c r="Q149" s="992" t="n">
        <v>0</v>
      </c>
      <c r="R149" s="1399"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79" t="n"/>
      <c r="C150" s="1382" t="n"/>
      <c r="D150" s="991" t="n">
        <v>0</v>
      </c>
      <c r="E150" s="1398" t="n"/>
      <c r="F150" s="1399" t="n"/>
      <c r="G150" s="992" t="n">
        <v>0</v>
      </c>
      <c r="H150" s="1399" t="n"/>
      <c r="I150" s="991" t="n">
        <v>0</v>
      </c>
      <c r="J150" s="1398" t="n"/>
      <c r="K150" s="1399" t="n"/>
      <c r="L150" s="992" t="n">
        <v>0</v>
      </c>
      <c r="M150" s="1399" t="n"/>
      <c r="N150" s="1170" t="n">
        <v>0</v>
      </c>
      <c r="O150" s="1398" t="n"/>
      <c r="P150" s="1399" t="n"/>
      <c r="Q150" s="992" t="n">
        <v>0</v>
      </c>
      <c r="R150" s="1399"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79" t="n"/>
      <c r="C151" s="1382" t="n"/>
      <c r="D151" s="991" t="n">
        <v>0</v>
      </c>
      <c r="E151" s="1398" t="n"/>
      <c r="F151" s="1399" t="n"/>
      <c r="G151" s="992" t="n">
        <v>0</v>
      </c>
      <c r="H151" s="1399" t="n"/>
      <c r="I151" s="991" t="n">
        <v>0</v>
      </c>
      <c r="J151" s="1398" t="n"/>
      <c r="K151" s="1399" t="n"/>
      <c r="L151" s="992" t="n">
        <v>0</v>
      </c>
      <c r="M151" s="1399" t="n"/>
      <c r="N151" s="1170" t="n">
        <v>0</v>
      </c>
      <c r="O151" s="1398" t="n"/>
      <c r="P151" s="1399" t="n"/>
      <c r="Q151" s="992" t="n">
        <v>0</v>
      </c>
      <c r="R151" s="1399"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6" t="n"/>
      <c r="C152" s="1394" t="n"/>
      <c r="D152" s="1367" t="n">
        <v>0</v>
      </c>
      <c r="E152" s="1406" t="n"/>
      <c r="F152" s="1407" t="n"/>
      <c r="G152" s="1182" t="n">
        <v>0</v>
      </c>
      <c r="H152" s="1394" t="n"/>
      <c r="I152" s="1181" t="n">
        <v>0</v>
      </c>
      <c r="J152" s="1386" t="n"/>
      <c r="K152" s="1394" t="n"/>
      <c r="L152" s="1182" t="n">
        <v>0</v>
      </c>
      <c r="M152" s="1394" t="n"/>
      <c r="N152" s="1186" t="n">
        <v>0</v>
      </c>
      <c r="O152" s="1386" t="n"/>
      <c r="P152" s="1394" t="n"/>
      <c r="Q152" s="1182" t="n">
        <v>0</v>
      </c>
      <c r="R152" s="1394"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88" t="n"/>
      <c r="C153" s="1441" t="n"/>
      <c r="D153" s="1341">
        <f>SUM(D147:F152)</f>
        <v/>
      </c>
      <c r="E153" s="1388" t="n"/>
      <c r="F153" s="1441" t="n"/>
      <c r="G153" s="1187">
        <f>SUM(G147:H152)</f>
        <v/>
      </c>
      <c r="H153" s="1441" t="n"/>
      <c r="I153" s="1341">
        <f>SUM(I147:K152)</f>
        <v/>
      </c>
      <c r="J153" s="1388" t="n"/>
      <c r="K153" s="1441" t="n"/>
      <c r="L153" s="1187">
        <f>SUM(L147:M152)</f>
        <v/>
      </c>
      <c r="M153" s="1441" t="n"/>
      <c r="N153" s="1361">
        <f>SUM(N147:P152)</f>
        <v/>
      </c>
      <c r="O153" s="1388" t="n"/>
      <c r="P153" s="1441" t="n"/>
      <c r="Q153" s="1187">
        <f>SUM(Q147:R152)</f>
        <v/>
      </c>
      <c r="R153" s="1441"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6" t="inlineStr">
        <is>
          <t>Nombre de minutes traitées</t>
        </is>
      </c>
      <c r="B157" s="1372" t="n"/>
      <c r="C157" s="1403" t="n"/>
      <c r="D157" s="343" t="inlineStr">
        <is>
          <t>Nombre de minutes communiquées</t>
        </is>
      </c>
      <c r="E157" s="1372" t="n"/>
      <c r="F157" s="1403" t="n"/>
      <c r="G157" s="1438" t="inlineStr">
        <is>
          <t>Nombre de demandes</t>
        </is>
      </c>
      <c r="H157" s="1372" t="n"/>
      <c r="I157" s="1373"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2" t="n">
        <v>0</v>
      </c>
      <c r="B158" s="1428" t="n"/>
      <c r="C158" s="1430" t="n"/>
      <c r="D158" s="1533" t="n">
        <v>0</v>
      </c>
      <c r="E158" s="1428" t="n"/>
      <c r="F158" s="1430" t="n"/>
      <c r="G158" s="1439" t="n">
        <v>0</v>
      </c>
      <c r="H158" s="1428" t="n"/>
      <c r="I158" s="1429"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0" t="n"/>
      <c r="B159" s="1530" t="n"/>
      <c r="C159" s="1530" t="n"/>
      <c r="D159" s="1530" t="n"/>
      <c r="E159" s="1531" t="n"/>
      <c r="F159" s="1531"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0" t="n"/>
      <c r="C162" s="1421" t="n"/>
      <c r="D162" s="1204" t="inlineStr">
        <is>
          <t xml:space="preserve">Moins de 60 minutes traitées </t>
        </is>
      </c>
      <c r="E162" s="1375" t="n"/>
      <c r="F162" s="1375" t="n"/>
      <c r="G162" s="1375" t="n"/>
      <c r="H162" s="1404" t="n"/>
      <c r="I162" s="1338" t="inlineStr">
        <is>
          <t xml:space="preserve">60-120 minutes traitées </t>
        </is>
      </c>
      <c r="J162" s="1375" t="n"/>
      <c r="K162" s="1375" t="n"/>
      <c r="L162" s="1375" t="n"/>
      <c r="M162" s="1404" t="n"/>
      <c r="N162" s="1196" t="inlineStr">
        <is>
          <t xml:space="preserve">Plus de 120 minutes traitées </t>
        </is>
      </c>
      <c r="O162" s="1375" t="n"/>
      <c r="P162" s="1375" t="n"/>
      <c r="Q162" s="1375" t="n"/>
      <c r="R162" s="1404"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3" t="n"/>
      <c r="B163" s="1371" t="n"/>
      <c r="C163" s="1396" t="n"/>
      <c r="D163" s="1198" t="inlineStr">
        <is>
          <t>Nombre de demandes</t>
        </is>
      </c>
      <c r="E163" s="1386" t="n"/>
      <c r="F163" s="1394" t="n"/>
      <c r="G163" s="1199" t="inlineStr">
        <is>
          <t>Minutes  traitées</t>
        </is>
      </c>
      <c r="H163" s="1394" t="n"/>
      <c r="I163" s="1201" t="inlineStr">
        <is>
          <t>Nombre de demandes</t>
        </is>
      </c>
      <c r="J163" s="1386" t="n"/>
      <c r="K163" s="1394" t="n"/>
      <c r="L163" s="1199" t="inlineStr">
        <is>
          <t>Minutes traitées</t>
        </is>
      </c>
      <c r="M163" s="1394" t="n"/>
      <c r="N163" s="1201" t="inlineStr">
        <is>
          <t>Nombre de demandes</t>
        </is>
      </c>
      <c r="O163" s="1386" t="n"/>
      <c r="P163" s="1394" t="n"/>
      <c r="Q163" s="1202" t="inlineStr">
        <is>
          <t>Minutes  traitées</t>
        </is>
      </c>
      <c r="R163" s="1394" t="n"/>
      <c r="S163" s="32" t="n"/>
      <c r="T163" s="32" t="n"/>
    </row>
    <row r="164" ht="13.5" customFormat="1" customHeight="1" s="55" thickTop="1">
      <c r="A164" s="1189" t="inlineStr">
        <is>
          <t>Communication totale</t>
        </is>
      </c>
      <c r="B164" s="1371" t="n"/>
      <c r="C164" s="1396" t="n"/>
      <c r="D164" s="1192" t="n">
        <v>0</v>
      </c>
      <c r="E164" s="1370" t="n"/>
      <c r="F164" s="1405" t="n"/>
      <c r="G164" s="1193" t="n">
        <v>0</v>
      </c>
      <c r="H164" s="1405" t="n"/>
      <c r="I164" s="1195" t="n">
        <v>0</v>
      </c>
      <c r="J164" s="1370" t="n"/>
      <c r="K164" s="1405" t="n"/>
      <c r="L164" s="1193" t="n">
        <v>0</v>
      </c>
      <c r="M164" s="1405" t="n"/>
      <c r="N164" s="1195" t="n">
        <v>0</v>
      </c>
      <c r="O164" s="1370" t="n"/>
      <c r="P164" s="1405" t="n"/>
      <c r="Q164" s="1193" t="n">
        <v>0</v>
      </c>
      <c r="R164" s="1405"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79" t="n"/>
      <c r="C165" s="1382" t="n"/>
      <c r="D165" s="1170" t="n">
        <v>0</v>
      </c>
      <c r="E165" s="1398" t="n"/>
      <c r="F165" s="1399" t="n"/>
      <c r="G165" s="1171" t="n">
        <v>0</v>
      </c>
      <c r="H165" s="1399" t="n"/>
      <c r="I165" s="991" t="n">
        <v>0</v>
      </c>
      <c r="J165" s="1398" t="n"/>
      <c r="K165" s="1399" t="n"/>
      <c r="L165" s="1171" t="n">
        <v>0</v>
      </c>
      <c r="M165" s="1399" t="n"/>
      <c r="N165" s="1170" t="n">
        <v>0</v>
      </c>
      <c r="O165" s="1398" t="n"/>
      <c r="P165" s="1399" t="n"/>
      <c r="Q165" s="1171" t="n">
        <v>0</v>
      </c>
      <c r="R165" s="1399"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79" t="n"/>
      <c r="C166" s="1382" t="n"/>
      <c r="D166" s="1170" t="n">
        <v>0</v>
      </c>
      <c r="E166" s="1398" t="n"/>
      <c r="F166" s="1399" t="n"/>
      <c r="G166" s="1171" t="n">
        <v>0</v>
      </c>
      <c r="H166" s="1399" t="n"/>
      <c r="I166" s="991" t="n">
        <v>0</v>
      </c>
      <c r="J166" s="1398" t="n"/>
      <c r="K166" s="1399" t="n"/>
      <c r="L166" s="1171" t="n">
        <v>0</v>
      </c>
      <c r="M166" s="1399" t="n"/>
      <c r="N166" s="991" t="n">
        <v>0</v>
      </c>
      <c r="O166" s="1398" t="n"/>
      <c r="P166" s="1399" t="n"/>
      <c r="Q166" s="1171" t="n">
        <v>0</v>
      </c>
      <c r="R166" s="1399"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79" t="n"/>
      <c r="C167" s="1382" t="n"/>
      <c r="D167" s="991" t="n">
        <v>0</v>
      </c>
      <c r="E167" s="1398" t="n"/>
      <c r="F167" s="1399" t="n"/>
      <c r="G167" s="1171" t="n">
        <v>0</v>
      </c>
      <c r="H167" s="1399" t="n"/>
      <c r="I167" s="1170" t="n">
        <v>0</v>
      </c>
      <c r="J167" s="1398" t="n"/>
      <c r="K167" s="1399" t="n"/>
      <c r="L167" s="1171" t="n">
        <v>0</v>
      </c>
      <c r="M167" s="1399" t="n"/>
      <c r="N167" s="991" t="n">
        <v>0</v>
      </c>
      <c r="O167" s="1398" t="n"/>
      <c r="P167" s="1399" t="n"/>
      <c r="Q167" s="1171" t="n">
        <v>0</v>
      </c>
      <c r="R167" s="1399"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79" t="n"/>
      <c r="C168" s="1382" t="n"/>
      <c r="D168" s="1170" t="n">
        <v>0</v>
      </c>
      <c r="E168" s="1398" t="n"/>
      <c r="F168" s="1399" t="n"/>
      <c r="G168" s="1171" t="n">
        <v>0</v>
      </c>
      <c r="H168" s="1399" t="n"/>
      <c r="I168" s="1170" t="n">
        <v>0</v>
      </c>
      <c r="J168" s="1398" t="n"/>
      <c r="K168" s="1399" t="n"/>
      <c r="L168" s="1171" t="n">
        <v>0</v>
      </c>
      <c r="M168" s="1399" t="n"/>
      <c r="N168" s="991" t="n">
        <v>0</v>
      </c>
      <c r="O168" s="1398" t="n"/>
      <c r="P168" s="1399" t="n"/>
      <c r="Q168" s="1171" t="n">
        <v>0</v>
      </c>
      <c r="R168" s="1399"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6" t="n"/>
      <c r="C169" s="1394" t="n"/>
      <c r="D169" s="1177" t="n">
        <v>0</v>
      </c>
      <c r="E169" s="1406" t="n"/>
      <c r="F169" s="1407" t="n"/>
      <c r="G169" s="1179" t="n">
        <v>0</v>
      </c>
      <c r="H169" s="1394" t="n"/>
      <c r="I169" s="1181" t="n">
        <v>0</v>
      </c>
      <c r="J169" s="1386" t="n"/>
      <c r="K169" s="1394" t="n"/>
      <c r="L169" s="1179" t="n">
        <v>0</v>
      </c>
      <c r="M169" s="1394" t="n"/>
      <c r="N169" s="1181" t="n">
        <v>0</v>
      </c>
      <c r="O169" s="1386" t="n"/>
      <c r="P169" s="1394" t="n"/>
      <c r="Q169" s="1179" t="n">
        <v>0</v>
      </c>
      <c r="R169" s="1394"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88" t="n"/>
      <c r="C170" s="1441" t="n"/>
      <c r="D170" s="1016">
        <f>SUM(D164:F169)</f>
        <v/>
      </c>
      <c r="E170" s="1372" t="n"/>
      <c r="F170" s="1403" t="n"/>
      <c r="G170" s="1018">
        <f>SUM(G164:H169)</f>
        <v/>
      </c>
      <c r="H170" s="1441" t="n"/>
      <c r="I170" s="1016">
        <f>SUM(I164:K169)</f>
        <v/>
      </c>
      <c r="J170" s="1372" t="n"/>
      <c r="K170" s="1403" t="n"/>
      <c r="L170" s="1018">
        <f>SUM(L164:M169)</f>
        <v/>
      </c>
      <c r="M170" s="1441" t="n"/>
      <c r="N170" s="1016">
        <f>SUM(N164:P169)</f>
        <v/>
      </c>
      <c r="O170" s="1372" t="n"/>
      <c r="P170" s="1403" t="n"/>
      <c r="Q170" s="1018">
        <f>SUM(Q164:R169)</f>
        <v/>
      </c>
      <c r="R170" s="1441"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4" t="inlineStr">
        <is>
          <t>Disposition</t>
        </is>
      </c>
      <c r="B174" s="1373" t="n"/>
      <c r="C174" s="1278" t="inlineStr">
        <is>
          <t>Consultation requise</t>
        </is>
      </c>
      <c r="D174" s="1403" t="n"/>
      <c r="E174" s="1070" t="inlineStr">
        <is>
          <t>Avis juridique</t>
        </is>
      </c>
      <c r="F174" s="1403" t="n"/>
      <c r="G174" s="1070" t="inlineStr">
        <is>
          <t>Renseignements entremêlés</t>
        </is>
      </c>
      <c r="H174" s="1403" t="n"/>
      <c r="I174" s="1070" t="inlineStr">
        <is>
          <t>Autres</t>
        </is>
      </c>
      <c r="J174" s="1403" t="n"/>
      <c r="K174" s="429" t="inlineStr">
        <is>
          <t>Total</t>
        </is>
      </c>
      <c r="L174" s="1403" t="n"/>
      <c r="T174" s="32" t="n"/>
    </row>
    <row r="175" ht="15.75" customHeight="1" thickTop="1">
      <c r="A175" s="1445" t="inlineStr">
        <is>
          <t>Communication totale</t>
        </is>
      </c>
      <c r="B175" s="1376" t="n"/>
      <c r="C175" s="815" t="n">
        <v>0</v>
      </c>
      <c r="D175" s="1405" t="n"/>
      <c r="E175" s="420" t="n">
        <v>0</v>
      </c>
      <c r="F175" s="1405" t="n"/>
      <c r="G175" s="420" t="n">
        <v>0</v>
      </c>
      <c r="H175" s="1405" t="n"/>
      <c r="I175" s="420" t="n">
        <v>2</v>
      </c>
      <c r="J175" s="1405" t="n"/>
      <c r="K175" s="433">
        <f>SUM(C175:J175)</f>
        <v/>
      </c>
      <c r="L175" s="1396" t="n"/>
      <c r="M175" s="26" t="n"/>
      <c r="T175" s="32" t="n"/>
    </row>
    <row r="176" ht="28.5" customHeight="1">
      <c r="A176" s="1446" t="inlineStr">
        <is>
          <t>Communication partielle</t>
        </is>
      </c>
      <c r="B176" s="1381" t="n"/>
      <c r="C176" s="681" t="n">
        <v>2</v>
      </c>
      <c r="D176" s="1399" t="n"/>
      <c r="E176" s="344" t="n">
        <v>2</v>
      </c>
      <c r="F176" s="1399" t="n"/>
      <c r="G176" s="344" t="n">
        <v>1</v>
      </c>
      <c r="H176" s="1399" t="n"/>
      <c r="I176" s="344" t="n">
        <v>1</v>
      </c>
      <c r="J176" s="1399" t="n"/>
      <c r="K176" s="414">
        <f>SUM(C176:J176)</f>
        <v/>
      </c>
      <c r="L176" s="1382" t="n"/>
      <c r="M176" s="26" t="n"/>
      <c r="T176" s="32" t="n"/>
    </row>
    <row r="177" ht="15" customHeight="1">
      <c r="A177" s="1446" t="inlineStr">
        <is>
          <t>Exception totale</t>
        </is>
      </c>
      <c r="B177" s="1381" t="n"/>
      <c r="C177" s="681" t="n">
        <v>6</v>
      </c>
      <c r="D177" s="1399" t="n"/>
      <c r="E177" s="344" t="n">
        <v>10</v>
      </c>
      <c r="F177" s="1399" t="n"/>
      <c r="G177" s="344" t="n">
        <v>0</v>
      </c>
      <c r="H177" s="1399" t="n"/>
      <c r="I177" s="344" t="n">
        <v>0</v>
      </c>
      <c r="J177" s="1399" t="n"/>
      <c r="K177" s="414">
        <f>SUM(C177:J177)</f>
        <v/>
      </c>
      <c r="L177" s="1382" t="n"/>
      <c r="M177" s="26" t="n"/>
      <c r="T177" s="32" t="n"/>
    </row>
    <row r="178" ht="15" customHeight="1">
      <c r="A178" s="1446" t="inlineStr">
        <is>
          <t>Exclusion totale</t>
        </is>
      </c>
      <c r="B178" s="1381" t="n"/>
      <c r="C178" s="681" t="n">
        <v>0</v>
      </c>
      <c r="D178" s="1399" t="n"/>
      <c r="E178" s="344" t="n">
        <v>0</v>
      </c>
      <c r="F178" s="1399" t="n"/>
      <c r="G178" s="344" t="n">
        <v>0</v>
      </c>
      <c r="H178" s="1399" t="n"/>
      <c r="I178" s="345" t="n">
        <v>0</v>
      </c>
      <c r="J178" s="1419" t="n"/>
      <c r="K178" s="414">
        <f>SUM(C178:J178)</f>
        <v/>
      </c>
      <c r="L178" s="1382" t="n"/>
      <c r="M178" s="26" t="n"/>
      <c r="T178" s="32" t="n"/>
    </row>
    <row r="179">
      <c r="A179" s="1446" t="inlineStr">
        <is>
          <t>Demande abandonnée</t>
        </is>
      </c>
      <c r="B179" s="1381" t="n"/>
      <c r="C179" s="681" t="n">
        <v>0</v>
      </c>
      <c r="D179" s="1399" t="n"/>
      <c r="E179" s="344" t="n">
        <v>0</v>
      </c>
      <c r="F179" s="1399" t="n"/>
      <c r="G179" s="344" t="n">
        <v>0</v>
      </c>
      <c r="H179" s="1399" t="n"/>
      <c r="I179" s="344" t="n">
        <v>0</v>
      </c>
      <c r="J179" s="1399" t="n"/>
      <c r="K179" s="414">
        <f>SUM(C179:J179)</f>
        <v/>
      </c>
      <c r="L179" s="1382" t="n"/>
      <c r="M179" s="26" t="n"/>
      <c r="T179" s="32" t="n"/>
    </row>
    <row r="180" ht="26.65" customHeight="1" thickBot="1">
      <c r="A180" s="1534" t="inlineStr">
        <is>
          <t>Ni confirmée ni infirmée</t>
        </is>
      </c>
      <c r="B180" s="1387" t="n"/>
      <c r="C180" s="680" t="n">
        <v>0</v>
      </c>
      <c r="D180" s="1407" t="n"/>
      <c r="E180" s="533" t="n">
        <v>0</v>
      </c>
      <c r="F180" s="1407" t="n"/>
      <c r="G180" s="533" t="n">
        <v>0</v>
      </c>
      <c r="H180" s="1407" t="n"/>
      <c r="I180" s="533" t="n">
        <v>0</v>
      </c>
      <c r="J180" s="1407" t="n"/>
      <c r="K180" s="544">
        <f>SUM(C180:J180)</f>
        <v/>
      </c>
      <c r="L180" s="1394" t="n"/>
      <c r="M180" s="26" t="n"/>
      <c r="T180" s="32" t="n"/>
    </row>
    <row r="181" ht="16.5" customHeight="1" thickBot="1" thickTop="1">
      <c r="A181" s="598" t="inlineStr">
        <is>
          <t>Total</t>
        </is>
      </c>
      <c r="B181" s="1441" t="n"/>
      <c r="C181" s="543">
        <f>SUM(C175:D180)</f>
        <v/>
      </c>
      <c r="D181" s="1441" t="n"/>
      <c r="E181" s="336">
        <f>SUM(E175:F180)</f>
        <v/>
      </c>
      <c r="F181" s="1441" t="n"/>
      <c r="G181" s="336">
        <f>SUM(G175:H180)</f>
        <v/>
      </c>
      <c r="H181" s="1441" t="n"/>
      <c r="I181" s="336">
        <f>SUM(I175:J180)</f>
        <v/>
      </c>
      <c r="J181" s="1441" t="n"/>
      <c r="K181" s="543">
        <f>SUM(K175:L180)</f>
        <v/>
      </c>
      <c r="L181" s="1441"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0" t="n"/>
      <c r="C187" s="1410" t="n"/>
      <c r="D187" s="1421" t="n"/>
      <c r="E187" s="999">
        <f>H20-A198</f>
        <v/>
      </c>
      <c r="F187" s="1421" t="n"/>
      <c r="G187" s="58" t="n"/>
      <c r="N187" s="55" t="n"/>
    </row>
    <row r="188" ht="15" customFormat="1" customHeight="1" s="32">
      <c r="A188" s="1423" t="n"/>
      <c r="B188" s="1371" t="n"/>
      <c r="C188" s="1371" t="n"/>
      <c r="D188" s="1396" t="n"/>
      <c r="E188" s="1423" t="n"/>
      <c r="F188" s="1396" t="n"/>
      <c r="G188" s="59" t="n"/>
      <c r="N188" s="60" t="n"/>
    </row>
    <row r="189" ht="18" customFormat="1" customHeight="1" s="32">
      <c r="A189" s="1003" t="inlineStr">
        <is>
          <t>Pourcentage des demandes fermées dans les délais prévus par la Loi (%)</t>
        </is>
      </c>
      <c r="B189" s="1383" t="n"/>
      <c r="C189" s="1383" t="n"/>
      <c r="D189" s="1400" t="n"/>
      <c r="E189" s="1009">
        <f>IF(H20=0,"0",(E187/H20)*100)</f>
        <v/>
      </c>
      <c r="F189" s="1400" t="n"/>
      <c r="G189" s="61" t="n"/>
      <c r="N189" s="60" t="n"/>
    </row>
    <row r="190" ht="12.75" customFormat="1" customHeight="1" s="32" thickBot="1">
      <c r="A190" s="1423" t="n"/>
      <c r="B190" s="1371" t="n"/>
      <c r="C190" s="1371" t="n"/>
      <c r="D190" s="1396" t="n"/>
      <c r="E190" s="1371" t="n"/>
      <c r="F190" s="1396"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5" t="inlineStr">
        <is>
          <t>Nombre de demandes fermées au-delà des délais prévus par la Loi</t>
        </is>
      </c>
      <c r="B196" s="1410" t="n"/>
      <c r="C196" s="1410" t="n"/>
      <c r="D196" s="1411" t="n"/>
      <c r="E196" s="626" t="inlineStr">
        <is>
          <t>Motif principal</t>
        </is>
      </c>
      <c r="F196" s="1375" t="n"/>
      <c r="G196" s="1375" t="n"/>
      <c r="H196" s="1375" t="n"/>
      <c r="I196" s="1375" t="n"/>
      <c r="J196" s="1375" t="n"/>
      <c r="K196" s="1375" t="n"/>
      <c r="L196" s="1404" t="n"/>
      <c r="T196" s="32" t="n"/>
    </row>
    <row r="197" ht="42" customHeight="1" thickBot="1">
      <c r="A197" s="1395" t="n"/>
      <c r="B197" s="1388" t="n"/>
      <c r="C197" s="1388" t="n"/>
      <c r="D197" s="1389" t="n"/>
      <c r="E197" s="1247" t="inlineStr">
        <is>
          <t>Entrave au fonctionnement /Charge de travail</t>
        </is>
      </c>
      <c r="F197" s="1441" t="n"/>
      <c r="G197" s="1248" t="inlineStr">
        <is>
          <t xml:space="preserve">Consultation externe </t>
        </is>
      </c>
      <c r="H197" s="1441" t="n"/>
      <c r="I197" s="1248" t="inlineStr">
        <is>
          <t>Consultation interne</t>
        </is>
      </c>
      <c r="J197" s="1441" t="n"/>
      <c r="K197" s="1248" t="inlineStr">
        <is>
          <t>Autres</t>
        </is>
      </c>
      <c r="L197" s="1441" t="n"/>
      <c r="T197" s="32" t="n"/>
    </row>
    <row r="198" ht="16.5" customHeight="1" thickBot="1" thickTop="1">
      <c r="A198" s="1250">
        <f>SUM(E198:L198)</f>
        <v/>
      </c>
      <c r="B198" s="1388" t="n"/>
      <c r="C198" s="1388" t="n"/>
      <c r="D198" s="1441" t="n"/>
      <c r="E198" s="861" t="n">
        <v>53</v>
      </c>
      <c r="F198" s="1457" t="n"/>
      <c r="G198" s="327" t="n">
        <v>0</v>
      </c>
      <c r="H198" s="1457" t="n"/>
      <c r="I198" s="327" t="n">
        <v>0</v>
      </c>
      <c r="J198" s="1457" t="n"/>
      <c r="K198" s="327" t="n">
        <v>17</v>
      </c>
      <c r="L198" s="1457"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59" t="inlineStr">
        <is>
          <t xml:space="preserve">Nombre de jours au-delà des délais prévus par la Loi
</t>
        </is>
      </c>
      <c r="B202" s="1372" t="n"/>
      <c r="C202" s="1373" t="n"/>
      <c r="D202" s="329" t="inlineStr">
        <is>
          <t>Nombre de demandes
fermées au-delà des délais prévus par la Loi où aucune prolongation n’a été prise</t>
        </is>
      </c>
      <c r="E202" s="1372" t="n"/>
      <c r="F202" s="1403" t="n"/>
      <c r="G202" s="330" t="inlineStr">
        <is>
          <t>Nombre de demandes fermées
au-delà des délais prévus par la Loi où une prolongation a été prise</t>
        </is>
      </c>
      <c r="H202" s="1372" t="n"/>
      <c r="I202" s="1403" t="n"/>
      <c r="J202" s="389" t="inlineStr">
        <is>
          <t>Total</t>
        </is>
      </c>
      <c r="K202" s="1372" t="n"/>
      <c r="L202" s="1373" t="n"/>
      <c r="T202" s="32" t="n"/>
    </row>
    <row r="203" ht="15.75" customHeight="1" thickTop="1">
      <c r="A203" s="1461" t="inlineStr">
        <is>
          <t>1 à 15 jours</t>
        </is>
      </c>
      <c r="B203" s="1375" t="n"/>
      <c r="C203" s="1376" t="n"/>
      <c r="D203" s="815" t="n">
        <v>17</v>
      </c>
      <c r="E203" s="1370" t="n"/>
      <c r="F203" s="1405" t="n"/>
      <c r="G203" s="420" t="n">
        <v>1</v>
      </c>
      <c r="H203" s="1370" t="n"/>
      <c r="I203" s="1405" t="n"/>
      <c r="J203" s="433">
        <f>SUM(D203:I203)</f>
        <v/>
      </c>
      <c r="K203" s="1371" t="n"/>
      <c r="L203" s="1396" t="n"/>
      <c r="M203" s="26" t="n"/>
      <c r="T203" s="32" t="n"/>
    </row>
    <row r="204">
      <c r="A204" s="1462" t="inlineStr">
        <is>
          <t>16 à 30 jours</t>
        </is>
      </c>
      <c r="B204" s="1379" t="n"/>
      <c r="C204" s="1381" t="n"/>
      <c r="D204" s="681" t="n">
        <v>18</v>
      </c>
      <c r="E204" s="1398" t="n"/>
      <c r="F204" s="1399" t="n"/>
      <c r="G204" s="344" t="n">
        <v>9</v>
      </c>
      <c r="H204" s="1398" t="n"/>
      <c r="I204" s="1399" t="n"/>
      <c r="J204" s="414">
        <f>SUM(D204:I204)</f>
        <v/>
      </c>
      <c r="K204" s="1379" t="n"/>
      <c r="L204" s="1382" t="n"/>
      <c r="M204" s="26" t="n"/>
      <c r="T204" s="32" t="n"/>
    </row>
    <row r="205">
      <c r="A205" s="1462" t="inlineStr">
        <is>
          <t>31 à 60 jours</t>
        </is>
      </c>
      <c r="B205" s="1379" t="n"/>
      <c r="C205" s="1381" t="n"/>
      <c r="D205" s="681" t="n">
        <v>0</v>
      </c>
      <c r="E205" s="1398" t="n"/>
      <c r="F205" s="1399" t="n"/>
      <c r="G205" s="344" t="n">
        <v>9</v>
      </c>
      <c r="H205" s="1398" t="n"/>
      <c r="I205" s="1399" t="n"/>
      <c r="J205" s="414">
        <f>SUM(D205:I205)</f>
        <v/>
      </c>
      <c r="K205" s="1379" t="n"/>
      <c r="L205" s="1382" t="n"/>
      <c r="M205" s="26" t="n"/>
      <c r="T205" s="32" t="n"/>
    </row>
    <row r="206">
      <c r="A206" s="1462" t="inlineStr">
        <is>
          <t>61 à 120 jours</t>
        </is>
      </c>
      <c r="B206" s="1379" t="n"/>
      <c r="C206" s="1381" t="n"/>
      <c r="D206" s="681" t="n">
        <v>9</v>
      </c>
      <c r="E206" s="1398" t="n"/>
      <c r="F206" s="1399" t="n"/>
      <c r="G206" s="344" t="n">
        <v>1</v>
      </c>
      <c r="H206" s="1398" t="n"/>
      <c r="I206" s="1399" t="n"/>
      <c r="J206" s="414">
        <f>SUM(D206:I206)</f>
        <v/>
      </c>
      <c r="K206" s="1379" t="n"/>
      <c r="L206" s="1382" t="n"/>
      <c r="M206" s="26" t="n"/>
      <c r="T206" s="32" t="n"/>
    </row>
    <row r="207">
      <c r="A207" s="1462" t="inlineStr">
        <is>
          <t>121 à 180 jours</t>
        </is>
      </c>
      <c r="B207" s="1379" t="n"/>
      <c r="C207" s="1381" t="n"/>
      <c r="D207" s="681" t="n">
        <v>10</v>
      </c>
      <c r="E207" s="1398" t="n"/>
      <c r="F207" s="1399" t="n"/>
      <c r="G207" s="344" t="n">
        <v>11</v>
      </c>
      <c r="H207" s="1398" t="n"/>
      <c r="I207" s="1399" t="n"/>
      <c r="J207" s="414">
        <f>SUM(D207:I207)</f>
        <v/>
      </c>
      <c r="K207" s="1379" t="n"/>
      <c r="L207" s="1382" t="n"/>
      <c r="M207" s="26" t="n"/>
      <c r="T207" s="32" t="n"/>
    </row>
    <row r="208">
      <c r="A208" s="1462" t="inlineStr">
        <is>
          <t>181 à 365 jours</t>
        </is>
      </c>
      <c r="B208" s="1379" t="n"/>
      <c r="C208" s="1381" t="n"/>
      <c r="D208" s="681" t="n">
        <v>1</v>
      </c>
      <c r="E208" s="1398" t="n"/>
      <c r="F208" s="1399" t="n"/>
      <c r="G208" s="344" t="n">
        <v>12</v>
      </c>
      <c r="H208" s="1398" t="n"/>
      <c r="I208" s="1399" t="n"/>
      <c r="J208" s="414">
        <f>SUM(D208:I208)</f>
        <v/>
      </c>
      <c r="K208" s="1379" t="n"/>
      <c r="L208" s="1382" t="n"/>
      <c r="M208" s="26" t="n"/>
      <c r="T208" s="32" t="n"/>
    </row>
    <row r="209" ht="15.75" customHeight="1" thickBot="1">
      <c r="A209" s="1466" t="inlineStr">
        <is>
          <t>Plus de 365 jours</t>
        </is>
      </c>
      <c r="B209" s="1386" t="n"/>
      <c r="C209" s="1387" t="n"/>
      <c r="D209" s="680" t="n">
        <v>7</v>
      </c>
      <c r="E209" s="1406" t="n"/>
      <c r="F209" s="1407" t="n"/>
      <c r="G209" s="533" t="n">
        <v>1</v>
      </c>
      <c r="H209" s="1406" t="n"/>
      <c r="I209" s="1407" t="n"/>
      <c r="J209" s="544">
        <f>SUM(D209:I209)</f>
        <v/>
      </c>
      <c r="K209" s="1386" t="n"/>
      <c r="L209" s="1394" t="n"/>
      <c r="M209" s="26" t="n"/>
      <c r="T209" s="32" t="n"/>
    </row>
    <row r="210" ht="15.75" customHeight="1" thickBot="1" thickTop="1">
      <c r="A210" s="598" t="inlineStr">
        <is>
          <t>Total</t>
        </is>
      </c>
      <c r="B210" s="1388" t="n"/>
      <c r="C210" s="1441" t="n"/>
      <c r="D210" s="543">
        <f>SUM(D203:F209)</f>
        <v/>
      </c>
      <c r="E210" s="1388" t="n"/>
      <c r="F210" s="1441" t="n"/>
      <c r="G210" s="336">
        <f>SUM(G203:I209)</f>
        <v/>
      </c>
      <c r="H210" s="1388" t="n"/>
      <c r="I210" s="1441" t="n"/>
      <c r="J210" s="543">
        <f>SUM(D210:I210)</f>
        <v/>
      </c>
      <c r="K210" s="1388" t="n"/>
      <c r="L210" s="1441"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5" t="inlineStr">
        <is>
          <t>Demandes de traduction</t>
        </is>
      </c>
      <c r="B214" s="1372" t="n"/>
      <c r="C214" s="1373" t="n"/>
      <c r="D214" s="857" t="inlineStr">
        <is>
          <t>Acceptées</t>
        </is>
      </c>
      <c r="E214" s="1372" t="n"/>
      <c r="F214" s="1403" t="n"/>
      <c r="G214" s="612" t="inlineStr">
        <is>
          <t>Refusées</t>
        </is>
      </c>
      <c r="H214" s="1372" t="n"/>
      <c r="I214" s="1403" t="n"/>
      <c r="J214" s="857" t="inlineStr">
        <is>
          <t>Total</t>
        </is>
      </c>
      <c r="K214" s="1372" t="n"/>
      <c r="L214" s="1403" t="n"/>
      <c r="T214" s="32" t="n"/>
    </row>
    <row r="215" ht="15.75" customHeight="1" thickTop="1">
      <c r="A215" s="1461" t="inlineStr">
        <is>
          <t>De l’anglais au français</t>
        </is>
      </c>
      <c r="B215" s="1375" t="n"/>
      <c r="C215" s="1376" t="n"/>
      <c r="D215" s="815" t="n">
        <v>0</v>
      </c>
      <c r="E215" s="1370" t="n"/>
      <c r="F215" s="1405" t="n"/>
      <c r="G215" s="420" t="n">
        <v>0</v>
      </c>
      <c r="H215" s="1370" t="n"/>
      <c r="I215" s="1405" t="n"/>
      <c r="J215" s="433">
        <f>SUM(D215:I215)</f>
        <v/>
      </c>
      <c r="K215" s="1371" t="n"/>
      <c r="L215" s="1396" t="n"/>
      <c r="T215" s="32" t="n"/>
    </row>
    <row r="216" ht="15.75" customHeight="1" thickBot="1">
      <c r="A216" s="1466" t="inlineStr">
        <is>
          <t>Du français à l’anglais</t>
        </is>
      </c>
      <c r="B216" s="1386" t="n"/>
      <c r="C216" s="1387" t="n"/>
      <c r="D216" s="680" t="n">
        <v>0</v>
      </c>
      <c r="E216" s="1406" t="n"/>
      <c r="F216" s="1407" t="n"/>
      <c r="G216" s="533" t="n">
        <v>0</v>
      </c>
      <c r="H216" s="1406" t="n"/>
      <c r="I216" s="1407" t="n"/>
      <c r="J216" s="544">
        <f>SUM(D216:I216)</f>
        <v/>
      </c>
      <c r="K216" s="1386" t="n"/>
      <c r="L216" s="1394" t="n"/>
      <c r="T216" s="32" t="n"/>
    </row>
    <row r="217" ht="16.5" customHeight="1" thickBot="1" thickTop="1">
      <c r="A217" s="1039" t="inlineStr">
        <is>
          <t>Total</t>
        </is>
      </c>
      <c r="B217" s="1372" t="n"/>
      <c r="C217" s="1403" t="n"/>
      <c r="D217" s="809">
        <f>SUM(D215:F216)</f>
        <v/>
      </c>
      <c r="E217" s="1372" t="n"/>
      <c r="F217" s="1403" t="n"/>
      <c r="G217" s="810">
        <f>SUM(G215:I216)</f>
        <v/>
      </c>
      <c r="H217" s="1372" t="n"/>
      <c r="I217" s="1403" t="n"/>
      <c r="J217" s="809">
        <f>SUM(D217:I217)</f>
        <v/>
      </c>
      <c r="K217" s="1372" t="n"/>
      <c r="L217" s="1403"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2" t="n"/>
      <c r="C222" s="1403" t="n"/>
      <c r="D222" s="332" t="inlineStr">
        <is>
          <t>Alinéa 8(2)m)</t>
        </is>
      </c>
      <c r="E222" s="1372" t="n"/>
      <c r="F222" s="1403" t="n"/>
      <c r="G222" s="375" t="inlineStr">
        <is>
          <t>Paragraphe 8(5)</t>
        </is>
      </c>
      <c r="H222" s="1372" t="n"/>
      <c r="I222" s="1403" t="n"/>
      <c r="J222" s="375" t="inlineStr">
        <is>
          <t>Total</t>
        </is>
      </c>
      <c r="K222" s="1372" t="n"/>
      <c r="L222" s="1403" t="n"/>
      <c r="T222" s="32" t="n"/>
    </row>
    <row r="223" ht="16.5" customHeight="1" thickBot="1" thickTop="1">
      <c r="A223" s="1354" t="n">
        <v>6</v>
      </c>
      <c r="B223" s="1496" t="n"/>
      <c r="C223" s="1457" t="n"/>
      <c r="D223" s="327" t="n">
        <v>0</v>
      </c>
      <c r="E223" s="1496" t="n"/>
      <c r="F223" s="1457" t="n"/>
      <c r="G223" s="861" t="n">
        <v>0</v>
      </c>
      <c r="H223" s="1496" t="n"/>
      <c r="I223" s="1457" t="n"/>
      <c r="J223" s="640">
        <f>SUM(A223:I223)</f>
        <v/>
      </c>
      <c r="K223" s="1388" t="n"/>
      <c r="L223" s="1441"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2" t="n"/>
      <c r="C227" s="1372" t="n"/>
      <c r="D227" s="1372" t="n"/>
      <c r="E227" s="1372" t="n"/>
      <c r="F227" s="1372" t="n"/>
      <c r="G227" s="1372" t="n"/>
      <c r="H227" s="1372" t="n"/>
      <c r="I227" s="1408" t="inlineStr">
        <is>
          <t>Nombre</t>
        </is>
      </c>
      <c r="J227" s="1373"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6" t="inlineStr">
        <is>
          <t>Mentions annexées</t>
        </is>
      </c>
      <c r="B228" s="1375" t="n"/>
      <c r="C228" s="1375" t="n"/>
      <c r="D228" s="1375" t="n"/>
      <c r="E228" s="1375" t="n"/>
      <c r="F228" s="1375" t="n"/>
      <c r="G228" s="1375" t="n"/>
      <c r="H228" s="1376" t="n"/>
      <c r="I228" s="514" t="n">
        <v>0</v>
      </c>
      <c r="J228" s="1378"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6" t="n"/>
      <c r="C229" s="1386" t="n"/>
      <c r="D229" s="1386" t="n"/>
      <c r="E229" s="1386" t="n"/>
      <c r="F229" s="1386" t="n"/>
      <c r="G229" s="1386" t="n"/>
      <c r="H229" s="1386" t="n"/>
      <c r="I229" s="1537" t="n">
        <v>0</v>
      </c>
      <c r="J229" s="1416" t="n"/>
      <c r="M229" s="64" t="n"/>
      <c r="N229" s="55" t="n"/>
    </row>
    <row r="230" ht="17.25" customFormat="1" customHeight="1" s="32" thickBot="1" thickTop="1">
      <c r="A230" s="933" t="inlineStr">
        <is>
          <t>Total</t>
        </is>
      </c>
      <c r="B230" s="1372" t="n"/>
      <c r="C230" s="1372" t="n"/>
      <c r="D230" s="1372" t="n"/>
      <c r="E230" s="1372" t="n"/>
      <c r="F230" s="1372" t="n"/>
      <c r="G230" s="1372" t="n"/>
      <c r="H230" s="1372" t="n"/>
      <c r="I230" s="258">
        <f>SUM(I228:J229)</f>
        <v/>
      </c>
      <c r="J230" s="1373"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5" t="n"/>
      <c r="G236" s="1375" t="n"/>
      <c r="H236" s="1375" t="n"/>
      <c r="I236" s="1375" t="n"/>
      <c r="J236" s="1375" t="n"/>
      <c r="K236" s="1375" t="n"/>
      <c r="L236" s="1375" t="n"/>
      <c r="M236" s="1538" t="inlineStr">
        <is>
          <t>15a)(ii) Consultation</t>
        </is>
      </c>
      <c r="N236" s="1375" t="n"/>
      <c r="O236" s="1375" t="n"/>
      <c r="P236" s="1375" t="n"/>
      <c r="Q236" s="1404" t="n"/>
      <c r="R236" s="1539" t="inlineStr">
        <is>
          <t>15b) Traduction ou cas de transfert sur support de substitution</t>
        </is>
      </c>
      <c r="S236" s="1411" t="n"/>
    </row>
    <row r="237" ht="15.75" customFormat="1" customHeight="1" s="32" thickBot="1">
      <c r="D237" s="295" t="n"/>
      <c r="E237" s="1056" t="inlineStr">
        <is>
          <t>Examen approfondi nécessaire pour déterminer les exceptions</t>
        </is>
      </c>
      <c r="F237" s="1400" t="n"/>
      <c r="G237" s="1061" t="inlineStr">
        <is>
          <t>Grand nombre de pages</t>
        </is>
      </c>
      <c r="H237" s="1400" t="n"/>
      <c r="I237" s="1061" t="inlineStr">
        <is>
          <t>Grand volume de demandes</t>
        </is>
      </c>
      <c r="J237" s="1400" t="n"/>
      <c r="K237" s="1061" t="inlineStr">
        <is>
          <t>Les documents sont difficiles à obtenir</t>
        </is>
      </c>
      <c r="L237" s="1400" t="n"/>
      <c r="M237" s="1061" t="inlineStr">
        <is>
          <t>Document confidentiels du Cabinet (article 70)</t>
        </is>
      </c>
      <c r="N237" s="1400" t="n"/>
      <c r="O237" s="1062" t="inlineStr">
        <is>
          <t>Externe</t>
        </is>
      </c>
      <c r="P237" s="1062" t="inlineStr">
        <is>
          <t>Interne</t>
        </is>
      </c>
      <c r="Q237" s="1400" t="n"/>
      <c r="R237" s="1540" t="n"/>
      <c r="S237" s="1513" t="n"/>
    </row>
    <row r="238" ht="12" customFormat="1" customHeight="1" s="32" thickTop="1">
      <c r="A238" s="1455" t="inlineStr">
        <is>
          <t>Nombre de prorogations prises</t>
        </is>
      </c>
      <c r="B238" s="1410" t="n"/>
      <c r="C238" s="1410" t="n"/>
      <c r="D238" s="1411" t="n"/>
      <c r="E238" s="1541" t="n"/>
      <c r="F238" s="1458" t="n"/>
      <c r="G238" s="1540" t="n"/>
      <c r="H238" s="1458" t="n"/>
      <c r="I238" s="1540" t="n"/>
      <c r="J238" s="1458" t="n"/>
      <c r="K238" s="1540" t="n"/>
      <c r="L238" s="1458" t="n"/>
      <c r="M238" s="1540" t="n"/>
      <c r="N238" s="1458" t="n"/>
      <c r="O238" s="1542" t="n"/>
      <c r="P238" s="1540" t="n"/>
      <c r="Q238" s="1458" t="n"/>
      <c r="R238" s="1540" t="n"/>
      <c r="S238" s="1513" t="n"/>
    </row>
    <row r="239" ht="27.75" customFormat="1" customHeight="1" s="32" thickBot="1">
      <c r="A239" s="1395" t="n"/>
      <c r="B239" s="1388" t="n"/>
      <c r="C239" s="1388" t="n"/>
      <c r="D239" s="1389" t="n"/>
      <c r="E239" s="1423" t="n"/>
      <c r="F239" s="1396" t="n"/>
      <c r="G239" s="1460" t="n"/>
      <c r="H239" s="1396" t="n"/>
      <c r="I239" s="1460" t="n"/>
      <c r="J239" s="1396" t="n"/>
      <c r="K239" s="1460" t="n"/>
      <c r="L239" s="1396" t="n"/>
      <c r="M239" s="1460" t="n"/>
      <c r="N239" s="1396" t="n"/>
      <c r="O239" s="1543" t="n"/>
      <c r="P239" s="1460" t="n"/>
      <c r="Q239" s="1396" t="n"/>
      <c r="R239" s="1544" t="n"/>
      <c r="S239" s="1389" t="n"/>
    </row>
    <row r="240" ht="15.75" customFormat="1" customHeight="1" s="32" thickBot="1" thickTop="1">
      <c r="A240" s="809">
        <f>SUM(E240:S240)</f>
        <v/>
      </c>
      <c r="B240" s="1372" t="n"/>
      <c r="C240" s="1372" t="n"/>
      <c r="D240" s="1403" t="n"/>
      <c r="E240" s="220" t="n">
        <v>18</v>
      </c>
      <c r="F240" s="1457" t="n"/>
      <c r="G240" s="296" t="n">
        <v>0</v>
      </c>
      <c r="H240" s="1457" t="n"/>
      <c r="I240" s="296" t="n">
        <v>4</v>
      </c>
      <c r="J240" s="1457" t="n"/>
      <c r="K240" s="296" t="n">
        <v>12</v>
      </c>
      <c r="L240" s="1457" t="n"/>
      <c r="M240" s="1545" t="n">
        <v>1</v>
      </c>
      <c r="N240" s="1457" t="n"/>
      <c r="O240" s="296" t="n">
        <v>0</v>
      </c>
      <c r="P240" s="296" t="n">
        <v>0</v>
      </c>
      <c r="Q240" s="1457" t="n"/>
      <c r="R240" s="221" t="n">
        <v>1</v>
      </c>
      <c r="S240" s="1491"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5" t="n"/>
      <c r="G244" s="1375" t="n"/>
      <c r="H244" s="1375" t="n"/>
      <c r="I244" s="1375" t="n"/>
      <c r="J244" s="1375" t="n"/>
      <c r="K244" s="1375" t="n"/>
      <c r="L244" s="1375" t="n"/>
      <c r="M244" s="1546" t="inlineStr">
        <is>
          <t>15a)(ii) Consultation</t>
        </is>
      </c>
      <c r="N244" s="1547" t="n"/>
      <c r="O244" s="1547" t="n"/>
      <c r="P244" s="1547" t="n"/>
      <c r="Q244" s="1548" t="n"/>
      <c r="R244" s="772" t="inlineStr">
        <is>
          <t>15b) Traduction ou cas de transfert sur support de substitution</t>
        </is>
      </c>
      <c r="S244" s="1411"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5" t="inlineStr">
        <is>
          <t>Durée des prorogations</t>
        </is>
      </c>
      <c r="B245" s="1410" t="n"/>
      <c r="C245" s="1410" t="n"/>
      <c r="D245" s="1411" t="n"/>
      <c r="E245" s="1056" t="inlineStr">
        <is>
          <t>Examen approfondi nécessaire pour déterminer les exceptions</t>
        </is>
      </c>
      <c r="F245" s="1400" t="n"/>
      <c r="G245" s="1061" t="inlineStr">
        <is>
          <t>Grand nombre de pages</t>
        </is>
      </c>
      <c r="H245" s="1400" t="n"/>
      <c r="I245" s="1061" t="inlineStr">
        <is>
          <t>Grand volume de demandes</t>
        </is>
      </c>
      <c r="J245" s="1400" t="n"/>
      <c r="K245" s="1061" t="inlineStr">
        <is>
          <t>Les documents sont difficiles à obtenir</t>
        </is>
      </c>
      <c r="L245" s="1400" t="n"/>
      <c r="M245" s="1151" t="inlineStr">
        <is>
          <t>Document confidentiels du Cabinet (article 70)</t>
        </is>
      </c>
      <c r="N245" s="1458" t="n"/>
      <c r="O245" s="1153" t="inlineStr">
        <is>
          <t>Externe</t>
        </is>
      </c>
      <c r="P245" s="1153" t="inlineStr">
        <is>
          <t>Interne</t>
        </is>
      </c>
      <c r="Q245" s="1458" t="n"/>
      <c r="S245" s="1513" t="n"/>
      <c r="T245" s="986" t="inlineStr">
        <is>
          <t>Section 6.2 - Le total sous "Grand nombre de pages" doit être égal au nombre sous "Grand nombre de pages" de la Section 6.1</t>
        </is>
      </c>
    </row>
    <row r="246" ht="16.5" customFormat="1" customHeight="1" s="32">
      <c r="A246" s="1541" t="n"/>
      <c r="D246" s="1513" t="n"/>
      <c r="E246" s="1541" t="n"/>
      <c r="F246" s="1458" t="n"/>
      <c r="G246" s="1540" t="n"/>
      <c r="H246" s="1458" t="n"/>
      <c r="I246" s="1540" t="n"/>
      <c r="J246" s="1458" t="n"/>
      <c r="K246" s="1540" t="n"/>
      <c r="L246" s="1458" t="n"/>
      <c r="M246" s="1540" t="n"/>
      <c r="N246" s="1458" t="n"/>
      <c r="O246" s="1542" t="n"/>
      <c r="P246" s="1540" t="n"/>
      <c r="Q246" s="1458" t="n"/>
      <c r="S246" s="1513" t="n"/>
      <c r="T246" s="986" t="inlineStr">
        <is>
          <t>Section 6.2 - Le total sous "Grand volume de demandes" doit être égal au nombre sous "Grand volume de demandes" de la Section 6.1</t>
        </is>
      </c>
    </row>
    <row r="247" ht="16.5" customFormat="1" customHeight="1" s="32" thickBot="1">
      <c r="A247" s="1395" t="n"/>
      <c r="B247" s="1388" t="n"/>
      <c r="C247" s="1388" t="n"/>
      <c r="D247" s="1389" t="n"/>
      <c r="E247" s="1423" t="n"/>
      <c r="F247" s="1396" t="n"/>
      <c r="G247" s="1460" t="n"/>
      <c r="H247" s="1396" t="n"/>
      <c r="I247" s="1460" t="n"/>
      <c r="J247" s="1396" t="n"/>
      <c r="K247" s="1460" t="n"/>
      <c r="L247" s="1396" t="n"/>
      <c r="M247" s="1460" t="n"/>
      <c r="N247" s="1396" t="n"/>
      <c r="O247" s="1543" t="n"/>
      <c r="P247" s="1460" t="n"/>
      <c r="Q247" s="1396" t="n"/>
      <c r="R247" s="1388" t="n"/>
      <c r="S247" s="1389" t="n"/>
      <c r="T247" s="986" t="inlineStr">
        <is>
          <t>Section 6.2 - Le total sous "Les documents sont difficiles à obtenir" doit être égal au nombre sous "Les documents sont difficiles à obtenir" de la Section 6.1</t>
        </is>
      </c>
    </row>
    <row r="248" ht="18" customFormat="1" customHeight="1" s="32" thickTop="1">
      <c r="A248" s="1549" t="inlineStr">
        <is>
          <t>1 à 15 jours</t>
        </is>
      </c>
      <c r="B248" s="1371" t="n"/>
      <c r="C248" s="1371" t="n"/>
      <c r="D248" s="1452" t="n"/>
      <c r="E248" s="815" t="n">
        <v>0</v>
      </c>
      <c r="F248" s="1405" t="n"/>
      <c r="G248" s="420" t="n">
        <v>0</v>
      </c>
      <c r="H248" s="1405" t="n"/>
      <c r="I248" s="420" t="n">
        <v>0</v>
      </c>
      <c r="J248" s="1405" t="n"/>
      <c r="K248" s="420" t="n">
        <v>0</v>
      </c>
      <c r="L248" s="1405" t="n"/>
      <c r="M248" s="420" t="n">
        <v>0</v>
      </c>
      <c r="N248" s="1405" t="n"/>
      <c r="O248" s="420" t="n">
        <v>0</v>
      </c>
      <c r="P248" s="420" t="n">
        <v>0</v>
      </c>
      <c r="Q248" s="1405" t="n"/>
      <c r="R248" s="421" t="n">
        <v>0</v>
      </c>
      <c r="S248" s="1525" t="n"/>
      <c r="T248" s="986" t="inlineStr">
        <is>
          <t>Section 6.2 - Le total sous "Document confidentiels du Cabinet (article 70)" doit être égal au nombre sous "Document confidentiels du Cabinet (article 70)" de la Section 6.1</t>
        </is>
      </c>
    </row>
    <row r="249" ht="14.25" customFormat="1" customHeight="1" s="32">
      <c r="A249" s="1550" t="inlineStr">
        <is>
          <t>16 à 30 jours</t>
        </is>
      </c>
      <c r="B249" s="1379" t="n"/>
      <c r="C249" s="1379" t="n"/>
      <c r="D249" s="1381" t="n"/>
      <c r="E249" s="649" t="n">
        <v>0</v>
      </c>
      <c r="F249" s="1402" t="n"/>
      <c r="G249" s="638" t="n">
        <v>4</v>
      </c>
      <c r="H249" s="1402" t="n"/>
      <c r="I249" s="638" t="n">
        <v>12</v>
      </c>
      <c r="J249" s="1402" t="n"/>
      <c r="K249" s="638" t="n">
        <v>1</v>
      </c>
      <c r="L249" s="1402" t="n"/>
      <c r="M249" s="638" t="n">
        <v>0</v>
      </c>
      <c r="N249" s="1402" t="n"/>
      <c r="O249" s="638" t="n">
        <v>0</v>
      </c>
      <c r="P249" s="638" t="n">
        <v>1</v>
      </c>
      <c r="Q249" s="1402" t="n"/>
      <c r="R249" s="345" t="n">
        <v>0</v>
      </c>
      <c r="S249" s="1419" t="n"/>
      <c r="T249" s="986" t="inlineStr">
        <is>
          <t>Section 6.2 - Le total sous "Externe" doit être égal au nombre sous "Externe" de la Section 6.1</t>
        </is>
      </c>
    </row>
    <row r="250" customFormat="1" s="32" thickBot="1">
      <c r="A250" s="1551" t="inlineStr">
        <is>
          <t>Plus de 31 jours</t>
        </is>
      </c>
      <c r="B250" s="1388" t="n"/>
      <c r="C250" s="1388" t="n"/>
      <c r="D250" s="1389" t="n"/>
      <c r="E250" s="1552" t="n">
        <v>0</v>
      </c>
      <c r="F250" s="1400" t="n"/>
      <c r="G250" s="68" t="n">
        <v>0</v>
      </c>
      <c r="H250" s="1400" t="n"/>
      <c r="I250" s="68" t="n">
        <v>0</v>
      </c>
      <c r="J250" s="1400" t="n"/>
      <c r="K250" s="68" t="n">
        <v>0</v>
      </c>
      <c r="L250" s="1400" t="n"/>
      <c r="M250" s="68" t="n">
        <v>0</v>
      </c>
      <c r="N250" s="1400" t="n"/>
      <c r="O250" s="68" t="n">
        <v>0</v>
      </c>
      <c r="P250" s="68" t="n">
        <v>0</v>
      </c>
      <c r="Q250" s="1400" t="n"/>
      <c r="R250" s="679" t="n">
        <v>0</v>
      </c>
      <c r="S250" s="1416" t="n"/>
      <c r="T250" s="986" t="inlineStr">
        <is>
          <t>Section 6.2 - Le total sous "Interne" doit être égal au nombre sous "Interne" de la Section 6.1</t>
        </is>
      </c>
    </row>
    <row r="251" ht="15" customFormat="1" customHeight="1" s="32" thickBot="1" thickTop="1">
      <c r="A251" s="1435" t="inlineStr">
        <is>
          <t>Total</t>
        </is>
      </c>
      <c r="B251" s="1372" t="n"/>
      <c r="C251" s="1372" t="n"/>
      <c r="D251" s="1373" t="n"/>
      <c r="E251" s="809">
        <f>SUM(E248:F249)</f>
        <v/>
      </c>
      <c r="F251" s="1403" t="n"/>
      <c r="G251" s="810">
        <f>SUM(G248:H249)</f>
        <v/>
      </c>
      <c r="H251" s="1403" t="n"/>
      <c r="I251" s="810">
        <f>SUM(I248:J249)</f>
        <v/>
      </c>
      <c r="J251" s="1403" t="n"/>
      <c r="K251" s="810">
        <f>SUM(K248:L249)</f>
        <v/>
      </c>
      <c r="L251" s="1403" t="n"/>
      <c r="M251" s="810">
        <f>SUM(M248:N249)</f>
        <v/>
      </c>
      <c r="N251" s="1403" t="n"/>
      <c r="O251" s="601">
        <f>SUM(O248:O249)</f>
        <v/>
      </c>
      <c r="P251" s="810">
        <f>SUM(P248:Q249)</f>
        <v/>
      </c>
      <c r="Q251" s="1403" t="n"/>
      <c r="R251" s="360">
        <f>SUM(R248:S250)</f>
        <v/>
      </c>
      <c r="S251" s="1389"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4" t="inlineStr">
        <is>
          <t>Consultations</t>
        </is>
      </c>
      <c r="B257" s="1372" t="n"/>
      <c r="C257" s="1372" t="n"/>
      <c r="D257" s="1373" t="n"/>
      <c r="E257" s="1278" t="inlineStr">
        <is>
          <t>Autres institutions du gouvernement du Canada</t>
        </is>
      </c>
      <c r="F257" s="1403" t="n"/>
      <c r="G257" s="1070" t="inlineStr">
        <is>
          <t>Nombre de pages à traiter</t>
        </is>
      </c>
      <c r="H257" s="1403" t="n"/>
      <c r="I257" s="1278" t="inlineStr">
        <is>
          <t>Autres organisations</t>
        </is>
      </c>
      <c r="J257" s="1403" t="n"/>
      <c r="K257" s="1070" t="inlineStr">
        <is>
          <t>Nombre de pages à traiter</t>
        </is>
      </c>
      <c r="L257" s="1403" t="n"/>
      <c r="T257" s="32" t="n"/>
    </row>
    <row r="258" ht="29.65" customHeight="1" thickTop="1">
      <c r="A258" s="1553" t="inlineStr">
        <is>
          <t>Reçues pendant la période d'établissement de rapport</t>
        </is>
      </c>
      <c r="B258" s="1375" t="n"/>
      <c r="C258" s="1375" t="n"/>
      <c r="D258" s="1376" t="n"/>
      <c r="E258" s="1470" t="n">
        <v>5</v>
      </c>
      <c r="F258" s="1397" t="n"/>
      <c r="G258" s="754" t="n">
        <v>19</v>
      </c>
      <c r="H258" s="1405" t="n"/>
      <c r="I258" s="753" t="n">
        <v>0</v>
      </c>
      <c r="J258" s="1405" t="n"/>
      <c r="K258" s="754" t="n">
        <v>0</v>
      </c>
      <c r="L258" s="1405" t="n"/>
      <c r="M258" s="26" t="n"/>
      <c r="T258" s="32" t="n"/>
    </row>
    <row r="259" ht="32.25" customHeight="1" thickBot="1">
      <c r="A259" s="1463" t="inlineStr">
        <is>
          <t>En suspens à la fin de la période d'établissement de rapport précédente</t>
        </is>
      </c>
      <c r="B259" s="1386" t="n"/>
      <c r="C259" s="1386" t="n"/>
      <c r="D259" s="1387" t="n"/>
      <c r="E259" s="666" t="n">
        <v>0</v>
      </c>
      <c r="F259" s="1407" t="n"/>
      <c r="G259" s="1035" t="n">
        <v>0</v>
      </c>
      <c r="H259" s="1402" t="n"/>
      <c r="I259" s="1146" t="n">
        <v>0</v>
      </c>
      <c r="J259" s="1402" t="n"/>
      <c r="K259" s="1035" t="n">
        <v>0</v>
      </c>
      <c r="L259" s="1402"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0" t="inlineStr">
        <is>
          <t>Total</t>
        </is>
      </c>
      <c r="B260" s="1372" t="n"/>
      <c r="C260" s="1372" t="n"/>
      <c r="D260" s="1373" t="n"/>
      <c r="E260" s="809">
        <f>SUM(E258:F259)</f>
        <v/>
      </c>
      <c r="F260" s="1403" t="n"/>
      <c r="G260" s="810">
        <f>SUM(G258:H259)</f>
        <v/>
      </c>
      <c r="H260" s="1403" t="n"/>
      <c r="I260" s="809">
        <f>SUM(I258:J259)</f>
        <v/>
      </c>
      <c r="J260" s="1403" t="n"/>
      <c r="K260" s="810">
        <f>SUM(K258:L259)</f>
        <v/>
      </c>
      <c r="L260" s="1403" t="n"/>
      <c r="AA260" s="115" t="n"/>
      <c r="AB260" s="115" t="n"/>
      <c r="AC260" s="115" t="n"/>
      <c r="AD260" s="115" t="n"/>
      <c r="AE260" s="115" t="n"/>
      <c r="AF260" s="115" t="n"/>
      <c r="AG260" s="115" t="n"/>
      <c r="AH260" s="115" t="n"/>
      <c r="AI260" s="115" t="n"/>
      <c r="AJ260" s="115" t="n"/>
      <c r="AK260" s="115" t="n"/>
    </row>
    <row r="261" ht="31.5" customHeight="1" thickTop="1">
      <c r="A261" s="1478" t="inlineStr">
        <is>
          <t>Fermées pendant la période d'établissement de rapport</t>
        </is>
      </c>
      <c r="B261" s="1375" t="n"/>
      <c r="C261" s="1375" t="n"/>
      <c r="D261" s="1376" t="n"/>
      <c r="E261" s="245" t="n">
        <v>5</v>
      </c>
      <c r="F261" s="1397" t="n"/>
      <c r="G261" s="420" t="n">
        <v>19</v>
      </c>
      <c r="H261" s="1405" t="n"/>
      <c r="I261" s="815" t="n">
        <v>0</v>
      </c>
      <c r="J261" s="1405" t="n"/>
      <c r="K261" s="420" t="n">
        <v>0</v>
      </c>
      <c r="L261" s="1405"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79" t="n"/>
      <c r="C262" s="1379" t="n"/>
      <c r="D262" s="1382" t="n"/>
      <c r="E262" s="357" t="n">
        <v>0</v>
      </c>
      <c r="F262" s="1399" t="n"/>
      <c r="G262" s="345" t="n">
        <v>0</v>
      </c>
      <c r="H262" s="1419" t="n"/>
      <c r="I262" s="357" t="n">
        <v>0</v>
      </c>
      <c r="J262" s="1399" t="n"/>
      <c r="K262" s="532" t="n">
        <v>0</v>
      </c>
      <c r="L262" s="1419"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4" t="inlineStr">
        <is>
          <t>Reportées au-delà des délais négociés à la prochaine période d'établissement de rapport</t>
        </is>
      </c>
      <c r="B263" s="1386" t="n"/>
      <c r="C263" s="1386" t="n"/>
      <c r="D263" s="1387" t="n"/>
      <c r="E263" s="1555" t="n">
        <v>0</v>
      </c>
      <c r="F263" s="1407" t="n"/>
      <c r="G263" s="1144" t="n">
        <v>0</v>
      </c>
      <c r="H263" s="1407" t="n"/>
      <c r="I263" s="1555" t="n">
        <v>0</v>
      </c>
      <c r="J263" s="1407" t="n"/>
      <c r="K263" s="1147" t="n">
        <v>0</v>
      </c>
      <c r="L263" s="1416"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0" t="n"/>
      <c r="C267" s="1410" t="n"/>
      <c r="D267" s="1411" t="n"/>
      <c r="E267" s="626" t="inlineStr">
        <is>
          <t>Nombre de jours requis pour traiter les demandes de consultation</t>
        </is>
      </c>
      <c r="F267" s="1375" t="n"/>
      <c r="G267" s="1375" t="n"/>
      <c r="H267" s="1375" t="n"/>
      <c r="I267" s="1375" t="n"/>
      <c r="J267" s="1375" t="n"/>
      <c r="K267" s="1375" t="n"/>
      <c r="L267" s="1404" t="n"/>
      <c r="T267" s="32" t="n"/>
    </row>
    <row r="268" ht="28.9" customHeight="1" thickBot="1">
      <c r="A268" s="1395" t="n"/>
      <c r="B268" s="1388" t="n"/>
      <c r="C268" s="1388" t="n"/>
      <c r="D268" s="1389"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1" t="inlineStr">
        <is>
          <t>Communiquer en entier</t>
        </is>
      </c>
      <c r="B269" s="1375" t="n"/>
      <c r="C269" s="1375" t="n"/>
      <c r="D269" s="1376" t="n"/>
      <c r="E269" s="815" t="n">
        <v>2</v>
      </c>
      <c r="F269" s="420" t="n">
        <v>1</v>
      </c>
      <c r="G269" s="420" t="n">
        <v>1</v>
      </c>
      <c r="H269" s="420" t="n">
        <v>0</v>
      </c>
      <c r="I269" s="420" t="n">
        <v>0</v>
      </c>
      <c r="J269" s="420" t="n">
        <v>0</v>
      </c>
      <c r="K269" s="597" t="n">
        <v>0</v>
      </c>
      <c r="L269" s="277">
        <f>SUM(E269:K269)</f>
        <v/>
      </c>
      <c r="M269" s="26" t="n"/>
      <c r="T269" s="32" t="n"/>
    </row>
    <row r="270">
      <c r="A270" s="1462" t="inlineStr">
        <is>
          <t>Communiquer en partie</t>
        </is>
      </c>
      <c r="B270" s="1379" t="n"/>
      <c r="C270" s="1379" t="n"/>
      <c r="D270" s="1381"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79" t="n"/>
      <c r="C271" s="1379" t="n"/>
      <c r="D271" s="1382"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79" t="n"/>
      <c r="C272" s="1379" t="n"/>
      <c r="D272" s="1382" t="n"/>
      <c r="E272" s="681" t="n">
        <v>0</v>
      </c>
      <c r="F272" s="344" t="n">
        <v>0</v>
      </c>
      <c r="G272" s="344" t="n">
        <v>0</v>
      </c>
      <c r="H272" s="344" t="n">
        <v>0</v>
      </c>
      <c r="I272" s="344" t="n">
        <v>0</v>
      </c>
      <c r="J272" s="344" t="n">
        <v>0</v>
      </c>
      <c r="K272" s="358" t="n">
        <v>0</v>
      </c>
      <c r="L272" s="278">
        <f>SUM(E272:K272)</f>
        <v/>
      </c>
      <c r="M272" s="26" t="n"/>
      <c r="T272" s="32" t="n"/>
    </row>
    <row r="273">
      <c r="A273" s="1462" t="inlineStr">
        <is>
          <t>Consulter une autre institution</t>
        </is>
      </c>
      <c r="B273" s="1379" t="n"/>
      <c r="C273" s="1379" t="n"/>
      <c r="D273" s="1381" t="n"/>
      <c r="E273" s="681" t="n">
        <v>0</v>
      </c>
      <c r="F273" s="344" t="n">
        <v>0</v>
      </c>
      <c r="G273" s="344" t="n">
        <v>1</v>
      </c>
      <c r="H273" s="344" t="n">
        <v>0</v>
      </c>
      <c r="I273" s="344" t="n">
        <v>0</v>
      </c>
      <c r="J273" s="344" t="n">
        <v>0</v>
      </c>
      <c r="K273" s="358" t="n">
        <v>0</v>
      </c>
      <c r="L273" s="278">
        <f>SUM(E273:K273)</f>
        <v/>
      </c>
      <c r="M273" s="26" t="n"/>
      <c r="T273" s="32" t="n"/>
    </row>
    <row r="274" ht="15.75" customHeight="1" thickBot="1">
      <c r="A274" s="1466" t="inlineStr">
        <is>
          <t>Autre</t>
        </is>
      </c>
      <c r="B274" s="1386" t="n"/>
      <c r="C274" s="1386" t="n"/>
      <c r="D274" s="1387"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88" t="n"/>
      <c r="C275" s="1388" t="n"/>
      <c r="D275" s="1441"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0" t="n"/>
      <c r="C279" s="1410" t="n"/>
      <c r="D279" s="1411" t="n"/>
      <c r="E279" s="626" t="inlineStr">
        <is>
          <t>Nombre de jours requis pour traiter les demandes de consultation</t>
        </is>
      </c>
      <c r="F279" s="1375" t="n"/>
      <c r="G279" s="1375" t="n"/>
      <c r="H279" s="1375" t="n"/>
      <c r="I279" s="1375" t="n"/>
      <c r="J279" s="1375" t="n"/>
      <c r="K279" s="1375" t="n"/>
      <c r="L279" s="1404" t="n"/>
      <c r="T279" s="32" t="n"/>
    </row>
    <row r="280" ht="29.65" customHeight="1" thickBot="1">
      <c r="A280" s="1395" t="n"/>
      <c r="B280" s="1388" t="n"/>
      <c r="C280" s="1388" t="n"/>
      <c r="D280" s="1389"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1" t="inlineStr">
        <is>
          <t>Communiquer en entier</t>
        </is>
      </c>
      <c r="B281" s="1375" t="n"/>
      <c r="C281" s="1375" t="n"/>
      <c r="D281" s="1376" t="n"/>
      <c r="E281" s="815" t="n">
        <v>0</v>
      </c>
      <c r="F281" s="420" t="n">
        <v>0</v>
      </c>
      <c r="G281" s="420" t="n">
        <v>0</v>
      </c>
      <c r="H281" s="420" t="n">
        <v>0</v>
      </c>
      <c r="I281" s="420" t="n">
        <v>0</v>
      </c>
      <c r="J281" s="420" t="n">
        <v>0</v>
      </c>
      <c r="K281" s="597" t="n">
        <v>0</v>
      </c>
      <c r="L281" s="277">
        <f>SUM(E281:K281)</f>
        <v/>
      </c>
      <c r="M281" s="26" t="n"/>
      <c r="T281" s="32" t="n"/>
    </row>
    <row r="282">
      <c r="A282" s="1462" t="inlineStr">
        <is>
          <t>Communiquer en partie</t>
        </is>
      </c>
      <c r="B282" s="1379" t="n"/>
      <c r="C282" s="1379" t="n"/>
      <c r="D282" s="1381"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79" t="n"/>
      <c r="C283" s="1379" t="n"/>
      <c r="D283" s="1382"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79" t="n"/>
      <c r="C284" s="1379" t="n"/>
      <c r="D284" s="1382" t="n"/>
      <c r="E284" s="681" t="n">
        <v>0</v>
      </c>
      <c r="F284" s="344" t="n">
        <v>0</v>
      </c>
      <c r="G284" s="344" t="n">
        <v>0</v>
      </c>
      <c r="H284" s="344" t="n">
        <v>0</v>
      </c>
      <c r="I284" s="344" t="n">
        <v>0</v>
      </c>
      <c r="J284" s="344" t="n">
        <v>0</v>
      </c>
      <c r="K284" s="358" t="n">
        <v>0</v>
      </c>
      <c r="L284" s="278">
        <f>SUM(E284:K284)</f>
        <v/>
      </c>
      <c r="M284" s="26" t="n"/>
      <c r="T284" s="32" t="n"/>
    </row>
    <row r="285">
      <c r="A285" s="1462" t="inlineStr">
        <is>
          <t>Consulter une autre institution</t>
        </is>
      </c>
      <c r="B285" s="1379" t="n"/>
      <c r="C285" s="1379" t="n"/>
      <c r="D285" s="1381" t="n"/>
      <c r="E285" s="681" t="n">
        <v>0</v>
      </c>
      <c r="F285" s="344" t="n">
        <v>0</v>
      </c>
      <c r="G285" s="344" t="n">
        <v>0</v>
      </c>
      <c r="H285" s="344" t="n">
        <v>0</v>
      </c>
      <c r="I285" s="344" t="n">
        <v>0</v>
      </c>
      <c r="J285" s="344" t="n">
        <v>0</v>
      </c>
      <c r="K285" s="358" t="n">
        <v>0</v>
      </c>
      <c r="L285" s="278">
        <f>SUM(E285:K285)</f>
        <v/>
      </c>
      <c r="M285" s="26" t="n"/>
      <c r="T285" s="32" t="n"/>
    </row>
    <row r="286" ht="15.75" customHeight="1" thickBot="1">
      <c r="A286" s="1466" t="inlineStr">
        <is>
          <t>Autre</t>
        </is>
      </c>
      <c r="B286" s="1386" t="n"/>
      <c r="C286" s="1386" t="n"/>
      <c r="D286" s="1387"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2" t="n"/>
      <c r="C287" s="1372" t="n"/>
      <c r="D287" s="1403"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59" t="inlineStr">
        <is>
          <t>Nombre de jours</t>
        </is>
      </c>
      <c r="B293" s="1411" t="n"/>
      <c r="C293" s="1482" t="inlineStr">
        <is>
          <t>Moins de 100 pages traitées</t>
        </is>
      </c>
      <c r="D293" s="1376" t="n"/>
      <c r="E293" s="1482" t="inlineStr">
        <is>
          <t>De 100 à 500 pages traitées</t>
        </is>
      </c>
      <c r="F293" s="1376" t="n"/>
      <c r="G293" s="670" t="inlineStr">
        <is>
          <t>De 501 à 1 000 pages traitées</t>
        </is>
      </c>
      <c r="H293" s="1404" t="n"/>
      <c r="I293" s="803" t="inlineStr">
        <is>
          <t>De 1 001 à 5 000 pages traitées</t>
        </is>
      </c>
      <c r="J293" s="1404" t="n"/>
      <c r="K293" s="670" t="inlineStr">
        <is>
          <t>Plus de 5 000 pages traitées</t>
        </is>
      </c>
      <c r="L293" s="1404" t="n"/>
      <c r="T293" s="32" t="n"/>
    </row>
    <row r="294" ht="40.5" customHeight="1" thickBot="1">
      <c r="A294" s="1395" t="n"/>
      <c r="B294" s="1389"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6"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3" t="inlineStr">
        <is>
          <t>16 à 30</t>
        </is>
      </c>
      <c r="B296" s="1381"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2"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2"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2" t="inlineStr">
        <is>
          <t>121 à 180</t>
        </is>
      </c>
      <c r="B299" s="1381"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2"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4" t="inlineStr">
        <is>
          <t>Plus de 365</t>
        </is>
      </c>
      <c r="B301" s="1387"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1"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59" t="inlineStr">
        <is>
          <t>Nombre de jours</t>
        </is>
      </c>
      <c r="B306" s="1411" t="n"/>
      <c r="C306" s="1482" t="inlineStr">
        <is>
          <t>Moins de 100 pages traitées</t>
        </is>
      </c>
      <c r="D306" s="1376" t="n"/>
      <c r="E306" s="1482" t="inlineStr">
        <is>
          <t>De 100 à 500 pages traitées</t>
        </is>
      </c>
      <c r="F306" s="1376" t="n"/>
      <c r="G306" s="670" t="inlineStr">
        <is>
          <t>De 501 à 1 000 pages traitées</t>
        </is>
      </c>
      <c r="H306" s="1404" t="n"/>
      <c r="I306" s="803" t="inlineStr">
        <is>
          <t>De 1 001 à 5 000 pages traitées</t>
        </is>
      </c>
      <c r="J306" s="1404" t="n"/>
      <c r="K306" s="670" t="inlineStr">
        <is>
          <t>Plus de 5 000 pages traitées</t>
        </is>
      </c>
      <c r="L306" s="1404" t="n"/>
      <c r="T306" s="32" t="n"/>
    </row>
    <row r="307" ht="37.5" customHeight="1" thickBot="1">
      <c r="A307" s="1395" t="n"/>
      <c r="B307" s="1389"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6"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3" t="inlineStr">
        <is>
          <t>16 à 30</t>
        </is>
      </c>
      <c r="B309" s="1381"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2"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2"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2" t="inlineStr">
        <is>
          <t>121 à 180</t>
        </is>
      </c>
      <c r="B312" s="1381"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2"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4" t="inlineStr">
        <is>
          <t>Plus de 365</t>
        </is>
      </c>
      <c r="B314" s="1387"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1"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3" t="n"/>
      <c r="C319" s="332" t="inlineStr">
        <is>
          <t>Article 33</t>
        </is>
      </c>
      <c r="D319" s="1403" t="n"/>
      <c r="E319" s="1437" t="inlineStr">
        <is>
          <t>Article 35</t>
        </is>
      </c>
      <c r="F319" s="1403" t="n"/>
      <c r="G319" s="1539" t="inlineStr">
        <is>
          <t>Recours judiciaire</t>
        </is>
      </c>
      <c r="H319" s="1373" t="n"/>
      <c r="I319" s="1505" t="inlineStr">
        <is>
          <t>Total</t>
        </is>
      </c>
      <c r="J319" s="1373" t="n"/>
      <c r="M319" s="76" t="n"/>
      <c r="N319" s="76" t="n"/>
    </row>
    <row r="320" ht="17.25" customFormat="1" customHeight="1" s="77" thickBot="1" thickTop="1">
      <c r="A320" s="412" t="n">
        <v>4</v>
      </c>
      <c r="B320" s="1430" t="n"/>
      <c r="C320" s="413" t="n">
        <v>2</v>
      </c>
      <c r="D320" s="1430" t="n"/>
      <c r="E320" s="413" t="n">
        <v>2</v>
      </c>
      <c r="F320" s="1430" t="n"/>
      <c r="G320" s="824" t="n">
        <v>0</v>
      </c>
      <c r="H320" s="1429" t="n"/>
      <c r="I320" s="321">
        <f>SUM(A320:H320)</f>
        <v/>
      </c>
      <c r="J320" s="1373"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6" t="inlineStr">
        <is>
          <t xml:space="preserve">Nombre d’ÉFVP terminées </t>
        </is>
      </c>
      <c r="B325" s="1375" t="n"/>
      <c r="C325" s="1375" t="n"/>
      <c r="D325" s="1375" t="n"/>
      <c r="E325" s="1376" t="n"/>
      <c r="F325" s="559" t="n">
        <v>2</v>
      </c>
      <c r="G325" s="1377" t="n"/>
      <c r="H325" s="1377" t="n"/>
      <c r="I325" s="1378" t="n"/>
      <c r="T325" s="32" t="n"/>
    </row>
    <row r="326" ht="15.75" customHeight="1" thickBot="1">
      <c r="A326" s="1283" t="inlineStr">
        <is>
          <t>Nombre d’ÉFVP modifiées</t>
        </is>
      </c>
      <c r="B326" s="1386" t="n"/>
      <c r="C326" s="1386" t="n"/>
      <c r="D326" s="1386" t="n"/>
      <c r="E326" s="1386" t="n"/>
      <c r="F326" s="1276" t="n">
        <v>0</v>
      </c>
      <c r="G326" s="1406" t="n"/>
      <c r="H326" s="1406" t="n"/>
      <c r="I326" s="1416"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88" t="n"/>
      <c r="C328" s="1388" t="n"/>
      <c r="D328" s="1388" t="n"/>
      <c r="E328" s="1388" t="n"/>
      <c r="F328" s="1388" t="n"/>
      <c r="G328" s="1388" t="n"/>
      <c r="H328" s="1388" t="n"/>
      <c r="I328" s="1388" t="n"/>
      <c r="J328" s="1388" t="n"/>
      <c r="K328" s="1388" t="n"/>
      <c r="L328" s="79" t="n"/>
      <c r="T328" s="32" t="n"/>
    </row>
    <row r="329" ht="16.5" customHeight="1" thickBot="1" thickTop="1">
      <c r="A329" s="1557" t="inlineStr">
        <is>
          <t>Fichiers de renseignements personnels</t>
        </is>
      </c>
      <c r="B329" s="1410" t="n"/>
      <c r="C329" s="1410" t="n"/>
      <c r="D329" s="1410" t="n"/>
      <c r="E329" s="1411" t="n"/>
      <c r="F329" s="303" t="inlineStr">
        <is>
          <t>Actifs</t>
        </is>
      </c>
      <c r="G329" s="1302" t="inlineStr">
        <is>
          <t>Créés</t>
        </is>
      </c>
      <c r="H329" s="1302" t="inlineStr">
        <is>
          <t>Supprimés</t>
        </is>
      </c>
      <c r="I329" s="1403" t="n"/>
      <c r="J329" s="1302" t="inlineStr">
        <is>
          <t>Modifiés</t>
        </is>
      </c>
      <c r="K329" s="1403" t="n"/>
      <c r="T329" s="32" t="n"/>
    </row>
    <row r="330" ht="15.75" customHeight="1" thickTop="1">
      <c r="A330" s="1288" t="inlineStr">
        <is>
          <t>Spécifiques à l'institution</t>
        </is>
      </c>
      <c r="B330" s="1375" t="n"/>
      <c r="C330" s="1375" t="n"/>
      <c r="D330" s="1375" t="n"/>
      <c r="E330" s="1404" t="n"/>
      <c r="F330" s="301" t="n">
        <v>52</v>
      </c>
      <c r="G330" s="1297" t="n">
        <v>8</v>
      </c>
      <c r="H330" s="1297" t="n">
        <v>2</v>
      </c>
      <c r="I330" s="1405" t="n"/>
      <c r="J330" s="1297" t="n">
        <v>0</v>
      </c>
      <c r="K330" s="1405" t="n"/>
      <c r="T330" s="32" t="n"/>
    </row>
    <row r="331" ht="15.75" customHeight="1" thickBot="1">
      <c r="A331" s="1291" t="inlineStr">
        <is>
          <t>Centraux</t>
        </is>
      </c>
      <c r="B331" s="1386" t="n"/>
      <c r="C331" s="1386" t="n"/>
      <c r="D331" s="1386" t="n"/>
      <c r="E331" s="1394" t="n"/>
      <c r="F331" s="299" t="n">
        <v>0</v>
      </c>
      <c r="G331" s="171" t="n">
        <v>0</v>
      </c>
      <c r="H331" s="1298" t="n">
        <v>0</v>
      </c>
      <c r="I331" s="1402" t="n"/>
      <c r="J331" s="1298" t="n">
        <v>0</v>
      </c>
      <c r="K331" s="1402" t="n"/>
      <c r="T331" s="32" t="n"/>
    </row>
    <row r="332" ht="16.5" customHeight="1" thickBot="1" thickTop="1">
      <c r="A332" s="1294" t="inlineStr">
        <is>
          <t xml:space="preserve">Total </t>
        </is>
      </c>
      <c r="B332" s="1372" t="n"/>
      <c r="C332" s="1372" t="n"/>
      <c r="D332" s="1372" t="n"/>
      <c r="E332" s="1403" t="n"/>
      <c r="F332" s="297">
        <f>SUM(F330:F331)</f>
        <v/>
      </c>
      <c r="G332" s="298">
        <f>SUM(G330:G331)</f>
        <v/>
      </c>
      <c r="H332" s="1270">
        <f>SUM(H330:I331)</f>
        <v/>
      </c>
      <c r="I332" s="1403" t="n"/>
      <c r="J332" s="1270">
        <f>SUM(J330:K331)</f>
        <v/>
      </c>
      <c r="K332" s="1403"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5" t="n"/>
      <c r="C337" s="1375" t="n"/>
      <c r="D337" s="1375" t="n"/>
      <c r="E337" s="1375" t="n"/>
      <c r="F337" s="1375" t="n"/>
      <c r="G337" s="1375" t="n"/>
      <c r="H337" s="1375" t="n"/>
      <c r="I337" s="1404" t="n"/>
      <c r="J337" s="304" t="n">
        <v>0</v>
      </c>
      <c r="L337" s="83" t="n"/>
      <c r="N337" s="55" t="n"/>
    </row>
    <row r="338" ht="15" customFormat="1" customHeight="1" s="32" thickBot="1">
      <c r="A338" s="1093" t="inlineStr">
        <is>
          <t>Nombre d’atteintes substantielles à la vie privée signalées au CPVP</t>
        </is>
      </c>
      <c r="B338" s="1386" t="n"/>
      <c r="C338" s="1386" t="n"/>
      <c r="D338" s="1386" t="n"/>
      <c r="E338" s="1386" t="n"/>
      <c r="F338" s="1386" t="n"/>
      <c r="G338" s="1386" t="n"/>
      <c r="H338" s="1386" t="n"/>
      <c r="I338" s="1394"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2" t="n"/>
      <c r="C341" s="1372" t="n"/>
      <c r="D341" s="1372" t="n"/>
      <c r="E341" s="1372" t="n"/>
      <c r="F341" s="1372" t="n"/>
      <c r="G341" s="1372" t="n"/>
      <c r="H341" s="1372" t="n"/>
      <c r="I341" s="1403" t="n"/>
      <c r="J341" s="306" t="n">
        <v>78</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2" t="n"/>
      <c r="C347" s="1372" t="n"/>
      <c r="D347" s="1372" t="n"/>
      <c r="E347" s="1372" t="n"/>
      <c r="F347" s="1372" t="n"/>
      <c r="G347" s="1372" t="n"/>
      <c r="H347" s="1403" t="n"/>
      <c r="I347" s="857" t="inlineStr">
        <is>
          <t>Montant</t>
        </is>
      </c>
      <c r="J347" s="1372" t="n"/>
      <c r="K347" s="1372" t="n"/>
      <c r="L347" s="1403" t="n"/>
      <c r="N347" s="60" t="n"/>
    </row>
    <row r="348" customFormat="1" s="32" thickTop="1">
      <c r="A348" s="1285" t="inlineStr">
        <is>
          <t xml:space="preserve">Salaires </t>
        </is>
      </c>
      <c r="B348" s="1371" t="n"/>
      <c r="C348" s="1371" t="n"/>
      <c r="D348" s="1371" t="n"/>
      <c r="E348" s="1371" t="n"/>
      <c r="F348" s="1371" t="n"/>
      <c r="G348" s="1371" t="n"/>
      <c r="H348" s="1396" t="n"/>
      <c r="I348" s="1558" t="n">
        <v>1488649</v>
      </c>
      <c r="J348" s="1377" t="n"/>
      <c r="K348" s="1377" t="n"/>
      <c r="L348" s="1378"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79" t="n"/>
      <c r="C349" s="1379" t="n"/>
      <c r="D349" s="1379" t="n"/>
      <c r="E349" s="1379" t="n"/>
      <c r="F349" s="1379" t="n"/>
      <c r="G349" s="1379" t="n"/>
      <c r="H349" s="1382" t="n"/>
      <c r="I349" s="1559" t="n">
        <v>21350</v>
      </c>
      <c r="J349" s="1398" t="n"/>
      <c r="K349" s="1398" t="n"/>
      <c r="L349" s="1419" t="n"/>
      <c r="N349" s="60" t="n"/>
    </row>
    <row r="350" customFormat="1" s="32" thickBot="1">
      <c r="A350" s="1103" t="inlineStr">
        <is>
          <t>Biens et services</t>
        </is>
      </c>
      <c r="B350" s="1379" t="n"/>
      <c r="C350" s="1379" t="n"/>
      <c r="D350" s="1379" t="n"/>
      <c r="E350" s="1379" t="n"/>
      <c r="F350" s="1379" t="n"/>
      <c r="G350" s="1379" t="n"/>
      <c r="H350" s="1382" t="n"/>
      <c r="I350" s="1560">
        <f>SUM(F351:H352)</f>
        <v/>
      </c>
      <c r="J350" s="1379" t="n"/>
      <c r="K350" s="1379" t="n"/>
      <c r="L350" s="1381" t="n"/>
      <c r="N350" s="60" t="n"/>
    </row>
    <row r="351" customFormat="1" s="32" thickTop="1">
      <c r="A351" s="956" t="inlineStr">
        <is>
          <t>• Contrats de services professionnels</t>
        </is>
      </c>
      <c r="B351" s="1379" t="n"/>
      <c r="C351" s="1379" t="n"/>
      <c r="D351" s="1379" t="n"/>
      <c r="E351" s="1382" t="n"/>
      <c r="F351" s="1561" t="n">
        <v>460156</v>
      </c>
      <c r="G351" s="1377" t="n"/>
      <c r="H351" s="1397" t="n"/>
      <c r="I351" s="1562" t="n"/>
      <c r="J351" s="1383" t="n"/>
      <c r="K351" s="1383" t="n"/>
      <c r="L351" s="1384" t="n"/>
      <c r="N351" s="60" t="n"/>
    </row>
    <row r="352" customFormat="1" s="32" thickBot="1">
      <c r="A352" s="1117" t="inlineStr">
        <is>
          <t>• Autres</t>
        </is>
      </c>
      <c r="B352" s="1386" t="n"/>
      <c r="C352" s="1386" t="n"/>
      <c r="D352" s="1386" t="n"/>
      <c r="E352" s="1394" t="n"/>
      <c r="F352" s="1563" t="n">
        <v>37839</v>
      </c>
      <c r="G352" s="1406" t="n"/>
      <c r="H352" s="1407" t="n"/>
      <c r="I352" s="1395" t="n"/>
      <c r="J352" s="1388" t="n"/>
      <c r="K352" s="1388" t="n"/>
      <c r="L352" s="1389" t="n"/>
      <c r="N352" s="60" t="n"/>
    </row>
    <row r="353" ht="15.75" customFormat="1" customHeight="1" s="32" thickBot="1" thickTop="1">
      <c r="A353" s="1123" t="inlineStr">
        <is>
          <t>Total</t>
        </is>
      </c>
      <c r="B353" s="1388" t="n"/>
      <c r="C353" s="1388" t="n"/>
      <c r="D353" s="1388" t="n"/>
      <c r="E353" s="1388" t="n"/>
      <c r="F353" s="1388" t="n"/>
      <c r="G353" s="1388" t="n"/>
      <c r="H353" s="1441" t="n"/>
      <c r="I353" s="1564">
        <f>SUM(I348:L350)</f>
        <v/>
      </c>
      <c r="J353" s="1372" t="n"/>
      <c r="K353" s="1372" t="n"/>
      <c r="L353" s="1373"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59" t="inlineStr">
        <is>
          <t>Ressources</t>
        </is>
      </c>
      <c r="B356" s="1372" t="n"/>
      <c r="C356" s="1372" t="n"/>
      <c r="D356" s="1372" t="n"/>
      <c r="E356" s="1373" t="n"/>
      <c r="F356" s="731" t="inlineStr">
        <is>
          <t>Années-personnes consacrées aux activités liées à la protection des renseignements personnels</t>
        </is>
      </c>
      <c r="G356" s="1410" t="n"/>
      <c r="H356" s="1421" t="n"/>
      <c r="N356" s="60" t="n"/>
    </row>
    <row r="357" customFormat="1" s="32" thickTop="1">
      <c r="A357" s="1461" t="inlineStr">
        <is>
          <t>Employés à temps plein</t>
        </is>
      </c>
      <c r="B357" s="1375" t="n"/>
      <c r="C357" s="1375" t="n"/>
      <c r="D357" s="1375" t="n"/>
      <c r="E357" s="1376" t="n"/>
      <c r="F357" s="1516" t="n">
        <v>14.999</v>
      </c>
      <c r="G357" s="1377" t="n"/>
      <c r="H357" s="1378" t="n"/>
      <c r="N357" s="60" t="n"/>
    </row>
    <row r="358" ht="14.25" customFormat="1" customHeight="1" s="32">
      <c r="A358" s="1462" t="inlineStr">
        <is>
          <t>Employés à temps partiel et occasionnels</t>
        </is>
      </c>
      <c r="B358" s="1379" t="n"/>
      <c r="C358" s="1379" t="n"/>
      <c r="D358" s="1379" t="n"/>
      <c r="E358" s="1381" t="n"/>
      <c r="F358" s="1517" t="n">
        <v>1.825</v>
      </c>
      <c r="G358" s="1398" t="n"/>
      <c r="H358" s="1419" t="n"/>
      <c r="N358" s="60" t="n"/>
    </row>
    <row r="359" ht="14.25" customFormat="1" customHeight="1" s="32">
      <c r="A359" s="1462" t="inlineStr">
        <is>
          <t>Employés régionaux</t>
        </is>
      </c>
      <c r="B359" s="1379" t="n"/>
      <c r="C359" s="1379" t="n"/>
      <c r="D359" s="1379" t="n"/>
      <c r="E359" s="1381" t="n"/>
      <c r="F359" s="1517" t="n">
        <v>0</v>
      </c>
      <c r="G359" s="1398" t="n"/>
      <c r="H359" s="1419" t="n"/>
      <c r="N359" s="60" t="n"/>
    </row>
    <row r="360" ht="15.75" customFormat="1" customHeight="1" s="32">
      <c r="A360" s="1462" t="inlineStr">
        <is>
          <t>Experts-conseils et personnel d’agence</t>
        </is>
      </c>
      <c r="B360" s="1379" t="n"/>
      <c r="C360" s="1379" t="n"/>
      <c r="D360" s="1379" t="n"/>
      <c r="E360" s="1381" t="n"/>
      <c r="F360" s="1517" t="n">
        <v>2.378</v>
      </c>
      <c r="G360" s="1398" t="n"/>
      <c r="H360" s="1419" t="n"/>
      <c r="N360" s="60" t="n"/>
    </row>
    <row r="361" customFormat="1" s="32" thickBot="1">
      <c r="A361" s="1466" t="inlineStr">
        <is>
          <t>Étudiants</t>
        </is>
      </c>
      <c r="B361" s="1386" t="n"/>
      <c r="C361" s="1386" t="n"/>
      <c r="D361" s="1386" t="n"/>
      <c r="E361" s="1387" t="n"/>
      <c r="F361" s="1565" t="n">
        <v>0.207</v>
      </c>
      <c r="G361" s="1406" t="n"/>
      <c r="H361" s="1416" t="n"/>
      <c r="N361" s="55" t="n"/>
    </row>
    <row r="362" ht="15.75" customFormat="1" customHeight="1" s="32" thickBot="1" thickTop="1">
      <c r="A362" s="1435" t="inlineStr">
        <is>
          <t>Total</t>
        </is>
      </c>
      <c r="B362" s="1372" t="n"/>
      <c r="C362" s="1372" t="n"/>
      <c r="D362" s="1372" t="n"/>
      <c r="E362" s="1373" t="n"/>
      <c r="F362" s="1566">
        <f>SUM(F357:H361)</f>
        <v/>
      </c>
      <c r="G362" s="1372" t="n"/>
      <c r="H362" s="1373"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2026-01-02T13:48:03+00:00Z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