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National Defence</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45017</v>
      </c>
      <c r="I8" s="1331" t="n"/>
      <c r="J8" s="1331" t="n"/>
      <c r="K8" s="1043" t="inlineStr">
        <is>
          <t>to</t>
        </is>
      </c>
      <c r="L8" s="1329" t="n">
        <v>45382</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6857</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643</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513</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6568</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524</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921</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4432</v>
      </c>
      <c r="H28" s="1339" t="n"/>
      <c r="I28" s="1339" t="n"/>
      <c r="J28" s="1340" t="n"/>
      <c r="K28" s="73" t="n"/>
    </row>
    <row r="29">
      <c r="A29" s="677" t="inlineStr">
        <is>
          <t>E-mail</t>
        </is>
      </c>
      <c r="B29" s="1342" t="n"/>
      <c r="C29" s="1342" t="n"/>
      <c r="D29" s="1342" t="n"/>
      <c r="E29" s="1342" t="n"/>
      <c r="F29" s="1342" t="n"/>
      <c r="G29" s="1481" t="n">
        <v>726</v>
      </c>
      <c r="H29" s="1362" t="n"/>
      <c r="I29" s="1362" t="n"/>
      <c r="J29" s="1368" t="n"/>
      <c r="K29" s="73" t="n"/>
    </row>
    <row r="30">
      <c r="A30" s="677" t="inlineStr">
        <is>
          <t>Mail</t>
        </is>
      </c>
      <c r="B30" s="1342" t="n"/>
      <c r="C30" s="1342" t="n"/>
      <c r="D30" s="1342" t="n"/>
      <c r="E30" s="1342" t="n"/>
      <c r="F30" s="1342" t="n"/>
      <c r="G30" s="1481" t="n">
        <v>1699</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46</v>
      </c>
      <c r="E80" s="173" t="n">
        <v>557</v>
      </c>
      <c r="F80" s="173" t="n">
        <v>425</v>
      </c>
      <c r="G80" s="173" t="n">
        <v>156</v>
      </c>
      <c r="H80" s="173" t="n">
        <v>53</v>
      </c>
      <c r="I80" s="173" t="n">
        <v>40</v>
      </c>
      <c r="J80" s="174" t="n">
        <v>8</v>
      </c>
      <c r="K80" s="742">
        <f>SUM(D80:J80)</f>
        <v/>
      </c>
      <c r="N80" s="49" t="n"/>
    </row>
    <row r="81">
      <c r="A81" s="983" t="inlineStr">
        <is>
          <t>Disclosed in part</t>
        </is>
      </c>
      <c r="B81" s="1342" t="n"/>
      <c r="C81" s="1390" t="n"/>
      <c r="D81" s="175" t="n">
        <v>1285</v>
      </c>
      <c r="E81" s="171" t="n">
        <v>9</v>
      </c>
      <c r="F81" s="171" t="n">
        <v>569</v>
      </c>
      <c r="G81" s="178" t="n">
        <v>989</v>
      </c>
      <c r="H81" s="178" t="n">
        <v>373</v>
      </c>
      <c r="I81" s="178" t="n">
        <v>203</v>
      </c>
      <c r="J81" s="180" t="n">
        <v>399</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171</v>
      </c>
      <c r="E82" s="177" t="n">
        <v>2713</v>
      </c>
      <c r="F82" s="177" t="n">
        <v>0</v>
      </c>
      <c r="G82" s="178" t="n">
        <v>9</v>
      </c>
      <c r="H82" s="171" t="n">
        <v>11</v>
      </c>
      <c r="I82" s="178" t="n">
        <v>11</v>
      </c>
      <c r="J82" s="180" t="n">
        <v>3</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2</v>
      </c>
      <c r="E83" s="178" t="n">
        <v>1</v>
      </c>
      <c r="F83" s="178" t="n">
        <v>37</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359</v>
      </c>
      <c r="I84" s="171" t="n">
        <v>862</v>
      </c>
      <c r="J84" s="181" t="n">
        <v>228</v>
      </c>
      <c r="K84" s="283">
        <f>SUM(D84:J84)</f>
        <v/>
      </c>
      <c r="N84" s="49" t="n"/>
    </row>
    <row r="85">
      <c r="A85" s="983" t="inlineStr">
        <is>
          <t>Request abandoned</t>
        </is>
      </c>
      <c r="B85" s="1342" t="n"/>
      <c r="C85" s="1390" t="n"/>
      <c r="D85" s="175" t="n">
        <v>174</v>
      </c>
      <c r="E85" s="178" t="n">
        <v>29</v>
      </c>
      <c r="F85" s="177" t="n">
        <v>11</v>
      </c>
      <c r="G85" s="178" t="n">
        <v>3</v>
      </c>
      <c r="H85" s="171" t="n">
        <v>1666</v>
      </c>
      <c r="I85" s="177" t="n">
        <v>277</v>
      </c>
      <c r="J85" s="182" t="n">
        <v>346</v>
      </c>
      <c r="K85" s="283">
        <f>SUM(D85:J85)</f>
        <v/>
      </c>
    </row>
    <row r="86" ht="15" customHeight="1" thickBot="1">
      <c r="A86" s="1256" t="inlineStr">
        <is>
          <t>Neither confirmed nor denied</t>
        </is>
      </c>
      <c r="B86" s="1348" t="n"/>
      <c r="C86" s="1384" t="n"/>
      <c r="D86" s="176" t="n">
        <v>139</v>
      </c>
      <c r="E86" s="1" t="n">
        <v>85</v>
      </c>
      <c r="F86" s="1" t="n">
        <v>14</v>
      </c>
      <c r="G86" s="1" t="n">
        <v>1</v>
      </c>
      <c r="H86" s="177" t="n">
        <v>3</v>
      </c>
      <c r="I86" s="1" t="n">
        <v>865</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93</v>
      </c>
      <c r="H93" s="1421" t="n"/>
      <c r="I93" s="1252" t="inlineStr">
        <is>
          <t>23(a)</t>
        </is>
      </c>
      <c r="J93" s="1383" t="n"/>
      <c r="K93" s="1254" t="n">
        <v>1</v>
      </c>
      <c r="L93" s="1417" t="n"/>
      <c r="M93" s="49" t="n"/>
      <c r="N93" s="49" t="n"/>
      <c r="O93" s="49" t="n"/>
      <c r="P93" s="49" t="n"/>
      <c r="Q93" s="49" t="n"/>
      <c r="R93" s="49" t="n"/>
      <c r="S93" s="49" t="n"/>
    </row>
    <row r="94" customFormat="1" s="66">
      <c r="A94" s="1245" t="inlineStr">
        <is>
          <t>19(1)(a)</t>
        </is>
      </c>
      <c r="B94" s="1390" t="n"/>
      <c r="C94" s="477" t="n">
        <v>2</v>
      </c>
      <c r="D94" s="1418" t="n"/>
      <c r="E94" s="1245" t="inlineStr">
        <is>
          <t>22(1)(a)(ii)</t>
        </is>
      </c>
      <c r="F94" s="1390" t="n"/>
      <c r="G94" s="477" t="n">
        <v>1</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1</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26</v>
      </c>
      <c r="D96" s="1418" t="n"/>
      <c r="E96" s="1245" t="inlineStr">
        <is>
          <t>22(1)(b)</t>
        </is>
      </c>
      <c r="F96" s="1390" t="n"/>
      <c r="G96" s="477" t="n">
        <v>9</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15</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2634</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116</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30</v>
      </c>
      <c r="D101" s="1419" t="n"/>
      <c r="E101" s="1245" t="n">
        <v>22.3</v>
      </c>
      <c r="F101" s="1390" t="n"/>
      <c r="G101" s="477" t="n">
        <v>0</v>
      </c>
      <c r="H101" s="1418" t="n"/>
      <c r="I101" s="1232" t="n">
        <v>28</v>
      </c>
      <c r="J101" s="1384" t="n"/>
      <c r="K101" s="548" t="n">
        <v>2</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1</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215</v>
      </c>
      <c r="B116" s="1400" t="n"/>
      <c r="C116" s="1229" t="n">
        <v>3783</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1282442</v>
      </c>
      <c r="B123" s="1460" t="n"/>
      <c r="C123" s="1465" t="n"/>
      <c r="D123" s="278" t="n">
        <v>1263995</v>
      </c>
      <c r="E123" s="1402" t="n"/>
      <c r="F123" s="1401" t="n"/>
      <c r="G123" s="1220" t="n">
        <v>4902</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1066</v>
      </c>
      <c r="D130" s="1237" t="n">
        <v>20660</v>
      </c>
      <c r="E130" s="990" t="n">
        <v>187</v>
      </c>
      <c r="F130" s="594" t="n">
        <v>42333</v>
      </c>
      <c r="G130" s="483" t="n">
        <v>29</v>
      </c>
      <c r="H130" s="1237" t="n">
        <v>20107</v>
      </c>
      <c r="I130" s="990" t="n">
        <v>3</v>
      </c>
      <c r="J130" s="594" t="n">
        <v>3626</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822</v>
      </c>
      <c r="D131" s="1246" t="n">
        <v>32761</v>
      </c>
      <c r="E131" s="990" t="n">
        <v>996</v>
      </c>
      <c r="F131" s="430" t="n">
        <v>275225</v>
      </c>
      <c r="G131" s="483" t="n">
        <v>545</v>
      </c>
      <c r="H131" s="1246" t="n">
        <v>384375</v>
      </c>
      <c r="I131" s="990" t="n">
        <v>350</v>
      </c>
      <c r="J131" s="430" t="n">
        <v>497173</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20</v>
      </c>
      <c r="D132" s="1246" t="n">
        <v>658</v>
      </c>
      <c r="E132" s="990" t="n">
        <v>14</v>
      </c>
      <c r="F132" s="430" t="n">
        <v>3350</v>
      </c>
      <c r="G132" s="483" t="n">
        <v>3</v>
      </c>
      <c r="H132" s="1246" t="n">
        <v>2071</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865</v>
      </c>
      <c r="D134" s="1246" t="n">
        <v>103</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2</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1957</v>
      </c>
      <c r="B141" s="1402" t="n"/>
      <c r="C141" s="1401" t="n"/>
      <c r="D141" s="278" t="n">
        <v>0</v>
      </c>
      <c r="E141" s="1402" t="n"/>
      <c r="F141" s="1401" t="n"/>
      <c r="G141" s="1485" t="n">
        <v>11</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2</v>
      </c>
      <c r="E148" s="1362" t="n"/>
      <c r="F148" s="1418" t="n"/>
      <c r="G148" s="935" t="n">
        <v>100</v>
      </c>
      <c r="H148" s="1418" t="n"/>
      <c r="I148" s="940" t="n">
        <v>1</v>
      </c>
      <c r="J148" s="1362" t="n"/>
      <c r="K148" s="1418" t="n"/>
      <c r="L148" s="935" t="n">
        <v>108</v>
      </c>
      <c r="M148" s="1418" t="n"/>
      <c r="N148" s="934" t="n">
        <v>4</v>
      </c>
      <c r="O148" s="1362" t="n"/>
      <c r="P148" s="1418" t="n"/>
      <c r="Q148" s="935" t="n">
        <v>1172</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2</v>
      </c>
      <c r="E149" s="1362" t="n"/>
      <c r="F149" s="1418" t="n"/>
      <c r="G149" s="935" t="n">
        <v>53</v>
      </c>
      <c r="H149" s="1418" t="n"/>
      <c r="I149" s="940" t="n">
        <v>0</v>
      </c>
      <c r="J149" s="1362" t="n"/>
      <c r="K149" s="1418" t="n"/>
      <c r="L149" s="935" t="n">
        <v>0</v>
      </c>
      <c r="M149" s="1418" t="n"/>
      <c r="N149" s="934" t="n">
        <v>2</v>
      </c>
      <c r="O149" s="1362" t="n"/>
      <c r="P149" s="1418" t="n"/>
      <c r="Q149" s="935" t="n">
        <v>524</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4134</v>
      </c>
      <c r="B158" s="1402" t="n"/>
      <c r="C158" s="1401" t="n"/>
      <c r="D158" s="278" t="n">
        <v>0</v>
      </c>
      <c r="E158" s="1402" t="n"/>
      <c r="F158" s="1401" t="n"/>
      <c r="G158" s="1485" t="n">
        <v>8</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2</v>
      </c>
      <c r="E165" s="1362" t="n"/>
      <c r="F165" s="1418" t="n"/>
      <c r="G165" s="935" t="n">
        <v>49</v>
      </c>
      <c r="H165" s="1418" t="n"/>
      <c r="I165" s="940" t="n">
        <v>1</v>
      </c>
      <c r="J165" s="1362" t="n"/>
      <c r="K165" s="1418" t="n"/>
      <c r="L165" s="935" t="n">
        <v>79</v>
      </c>
      <c r="M165" s="1418" t="n"/>
      <c r="N165" s="934" t="n">
        <v>4</v>
      </c>
      <c r="O165" s="1362" t="n"/>
      <c r="P165" s="1418" t="n"/>
      <c r="Q165" s="935" t="n">
        <v>3831</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1</v>
      </c>
      <c r="O166" s="1362" t="n"/>
      <c r="P166" s="1418" t="n"/>
      <c r="Q166" s="935" t="n">
        <v>175</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1395</v>
      </c>
      <c r="F198" s="1401" t="n"/>
      <c r="G198" s="1493" t="n">
        <v>1</v>
      </c>
      <c r="H198" s="1401" t="n"/>
      <c r="I198" s="1493" t="n">
        <v>1</v>
      </c>
      <c r="J198" s="1401" t="n"/>
      <c r="K198" s="1494" t="n">
        <v>593</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222</v>
      </c>
      <c r="E203" s="1330" t="n"/>
      <c r="F203" s="1421" t="n"/>
      <c r="G203" s="1255" t="n">
        <v>65</v>
      </c>
      <c r="H203" s="1339" t="n"/>
      <c r="I203" s="1340" t="n"/>
      <c r="J203" s="271">
        <f>SUM(D203:I203)</f>
        <v/>
      </c>
      <c r="K203" s="1336" t="n"/>
      <c r="L203" s="1337" t="n"/>
      <c r="M203" s="88" t="n"/>
      <c r="N203" s="49" t="n"/>
    </row>
    <row r="204" ht="15.75" customHeight="1">
      <c r="A204" s="1412" t="inlineStr">
        <is>
          <t>16 to 30 days</t>
        </is>
      </c>
      <c r="B204" s="1342" t="n"/>
      <c r="C204" s="1343" t="n"/>
      <c r="D204" s="431" t="n">
        <v>287</v>
      </c>
      <c r="E204" s="1362" t="n"/>
      <c r="F204" s="1418" t="n"/>
      <c r="G204" s="1246" t="n">
        <v>148</v>
      </c>
      <c r="H204" s="1362" t="n"/>
      <c r="I204" s="1368" t="n"/>
      <c r="J204" s="267">
        <f>SUM(D204:I204)</f>
        <v/>
      </c>
      <c r="K204" s="1342" t="n"/>
      <c r="L204" s="1343" t="n"/>
      <c r="M204" s="88" t="n"/>
      <c r="N204" s="49" t="n"/>
    </row>
    <row r="205" ht="15.75" customHeight="1">
      <c r="A205" s="1412" t="inlineStr">
        <is>
          <t>31 to 60 days</t>
        </is>
      </c>
      <c r="B205" s="1342" t="n"/>
      <c r="C205" s="1343" t="n"/>
      <c r="D205" s="431" t="n">
        <v>44</v>
      </c>
      <c r="E205" s="1362" t="n"/>
      <c r="F205" s="1418" t="n"/>
      <c r="G205" s="1246" t="n">
        <v>192</v>
      </c>
      <c r="H205" s="1362" t="n"/>
      <c r="I205" s="1368" t="n"/>
      <c r="J205" s="267">
        <f>SUM(D205:I205)</f>
        <v/>
      </c>
      <c r="K205" s="1342" t="n"/>
      <c r="L205" s="1343" t="n"/>
      <c r="M205" s="66" t="n"/>
      <c r="N205" s="49" t="n"/>
    </row>
    <row r="206" ht="18" customHeight="1">
      <c r="A206" s="983" t="inlineStr">
        <is>
          <t>61 to 120 days</t>
        </is>
      </c>
      <c r="B206" s="1342" t="n"/>
      <c r="C206" s="1390" t="n"/>
      <c r="D206" s="431" t="n">
        <v>308</v>
      </c>
      <c r="E206" s="1362" t="n"/>
      <c r="F206" s="1418" t="n"/>
      <c r="G206" s="477" t="n">
        <v>65</v>
      </c>
      <c r="H206" s="1362" t="n"/>
      <c r="I206" s="1418" t="n"/>
      <c r="J206" s="986">
        <f>SUM(D206:I206)</f>
        <v/>
      </c>
      <c r="K206" s="1342" t="n"/>
      <c r="L206" s="1390" t="n"/>
      <c r="M206" s="66" t="n"/>
      <c r="N206" s="49" t="n"/>
    </row>
    <row r="207" ht="18.75" customHeight="1">
      <c r="A207" s="983" t="inlineStr">
        <is>
          <t>121  to 180 days</t>
        </is>
      </c>
      <c r="B207" s="1342" t="n"/>
      <c r="C207" s="1390" t="n"/>
      <c r="D207" s="431" t="n">
        <v>373</v>
      </c>
      <c r="E207" s="1362" t="n"/>
      <c r="F207" s="1418" t="n"/>
      <c r="G207" s="477" t="n">
        <v>309</v>
      </c>
      <c r="H207" s="1362" t="n"/>
      <c r="I207" s="1418" t="n"/>
      <c r="J207" s="986">
        <f>SUM(D207:I207)</f>
        <v/>
      </c>
      <c r="K207" s="1342" t="n"/>
      <c r="L207" s="1390" t="n"/>
      <c r="M207" s="66" t="n"/>
      <c r="N207" s="49" t="n"/>
    </row>
    <row r="208" ht="18.75" customHeight="1">
      <c r="A208" s="983" t="inlineStr">
        <is>
          <t>181 to 365 days</t>
        </is>
      </c>
      <c r="B208" s="1342" t="n"/>
      <c r="C208" s="1390" t="n"/>
      <c r="D208" s="431" t="n">
        <v>122</v>
      </c>
      <c r="E208" s="1362" t="n"/>
      <c r="F208" s="1418" t="n"/>
      <c r="G208" s="477" t="n">
        <v>431</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123</v>
      </c>
      <c r="E209" s="1363" t="n"/>
      <c r="F209" s="1419" t="n"/>
      <c r="G209" s="548" t="n">
        <v>90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197</v>
      </c>
      <c r="B223" s="1402" t="n"/>
      <c r="C223" s="1401" t="n"/>
      <c r="D223" s="1034" t="n">
        <v>60</v>
      </c>
      <c r="E223" s="1402" t="n"/>
      <c r="F223" s="1402" t="n"/>
      <c r="G223" s="1494" t="n">
        <v>60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2010</v>
      </c>
      <c r="F240" s="1465" t="n"/>
      <c r="G240" s="295" t="n">
        <v>0</v>
      </c>
      <c r="H240" s="1465" t="n"/>
      <c r="I240" s="295" t="n">
        <v>0</v>
      </c>
      <c r="J240" s="1465" t="n"/>
      <c r="K240" s="295" t="n">
        <v>2010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2010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3</v>
      </c>
      <c r="F258" s="1417" t="n"/>
      <c r="G258" s="550" t="n">
        <v>126</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1</v>
      </c>
      <c r="F259" s="1419" t="n"/>
      <c r="G259" s="617" t="n">
        <v>9</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4</v>
      </c>
      <c r="F261" s="1516" t="n"/>
      <c r="G261" s="1132" t="n">
        <v>135</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2</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2</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1</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82</v>
      </c>
      <c r="B320" s="1465" t="n"/>
      <c r="C320" s="979" t="n">
        <v>83</v>
      </c>
      <c r="D320" s="1465" t="n"/>
      <c r="E320" s="979" t="n">
        <v>28</v>
      </c>
      <c r="F320" s="1465" t="n"/>
      <c r="G320" s="1084" t="n">
        <v>2</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9</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66</v>
      </c>
      <c r="G330" s="303" t="n">
        <v>5</v>
      </c>
      <c r="H330" s="303" t="n">
        <v>0</v>
      </c>
      <c r="I330" s="1417" t="n"/>
      <c r="J330" s="1527" t="n">
        <v>5</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1</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1</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134</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6066340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25470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1187176</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902452</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64.03100000000001</v>
      </c>
      <c r="G357" s="1339" t="n"/>
      <c r="H357" s="1340" t="n"/>
      <c r="N357" s="88" t="n"/>
    </row>
    <row r="358">
      <c r="A358" s="1412" t="inlineStr">
        <is>
          <t>Part-time and casual employees</t>
        </is>
      </c>
      <c r="B358" s="1342" t="n"/>
      <c r="C358" s="1342" t="n"/>
      <c r="D358" s="1342" t="n"/>
      <c r="E358" s="1343" t="n"/>
      <c r="F358" s="1476" t="n">
        <v>4.115</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5.25</v>
      </c>
      <c r="G360" s="1362" t="n"/>
      <c r="H360" s="1368" t="n"/>
      <c r="N360" s="88" t="n"/>
    </row>
    <row r="361" ht="15" customHeight="1" thickBot="1">
      <c r="A361" s="1511" t="inlineStr">
        <is>
          <t>Students</t>
        </is>
      </c>
      <c r="B361" s="1348" t="n"/>
      <c r="C361" s="1348" t="n"/>
      <c r="D361" s="1348" t="n"/>
      <c r="E361" s="1356" t="n"/>
      <c r="F361" s="1477" t="n">
        <v>0.351</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2026-01-02T13:49:00+00:00Z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