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Immigration, Refugees and Citizenship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44287</v>
      </c>
      <c r="E8" s="1331" t="n"/>
      <c r="F8" s="1331" t="n"/>
      <c r="G8" s="826" t="inlineStr">
        <is>
          <t>to</t>
        </is>
      </c>
      <c r="H8" s="1328" t="n">
        <v>44651</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177473</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19631</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147712</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19829</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29563</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320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5932</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77989</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6361</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69267</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17604</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176003</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325</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1145</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3691</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106</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3153</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3691</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439</v>
      </c>
      <c r="B73" s="211" t="n">
        <v>549</v>
      </c>
      <c r="C73" s="211" t="n">
        <v>1437</v>
      </c>
      <c r="D73" s="211" t="n">
        <v>634</v>
      </c>
      <c r="E73" s="211" t="n">
        <v>51</v>
      </c>
      <c r="F73" s="211" t="n">
        <v>43</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92</v>
      </c>
      <c r="F104" s="132" t="n">
        <v>3552</v>
      </c>
      <c r="G104" s="132" t="n">
        <v>8628</v>
      </c>
      <c r="H104" s="132" t="n">
        <v>4727</v>
      </c>
      <c r="I104" s="132" t="n">
        <v>611</v>
      </c>
      <c r="J104" s="132" t="n">
        <v>334</v>
      </c>
      <c r="K104" s="364" t="n">
        <v>488</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18432</v>
      </c>
      <c r="F105" s="153" t="n">
        <v>379</v>
      </c>
      <c r="G105" s="153" t="n">
        <v>30339</v>
      </c>
      <c r="H105" s="153" t="n">
        <v>65088</v>
      </c>
      <c r="I105" s="153" t="n">
        <v>21594</v>
      </c>
      <c r="J105" s="153" t="n">
        <v>2193</v>
      </c>
      <c r="K105" s="676" t="n">
        <v>1560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898</v>
      </c>
      <c r="F106" s="153" t="n">
        <v>122051</v>
      </c>
      <c r="G106" s="153" t="n">
        <v>0</v>
      </c>
      <c r="H106" s="153" t="n">
        <v>7</v>
      </c>
      <c r="I106" s="153" t="n">
        <v>4</v>
      </c>
      <c r="J106" s="153" t="n">
        <v>2</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13</v>
      </c>
      <c r="H107" s="153" t="n">
        <v>1</v>
      </c>
      <c r="I107" s="153" t="n">
        <v>6</v>
      </c>
      <c r="J107" s="153" t="n">
        <v>2</v>
      </c>
      <c r="K107" s="676" t="n">
        <v>2</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1</v>
      </c>
      <c r="F108" s="153" t="n">
        <v>1</v>
      </c>
      <c r="G108" s="153" t="n">
        <v>1</v>
      </c>
      <c r="H108" s="153" t="n">
        <v>14</v>
      </c>
      <c r="I108" s="153" t="n">
        <v>129</v>
      </c>
      <c r="J108" s="153" t="n">
        <v>196</v>
      </c>
      <c r="K108" s="579" t="n">
        <v>317</v>
      </c>
      <c r="L108" s="229">
        <f>SUM(E108:K108)</f>
        <v/>
      </c>
      <c r="M108" s="366" t="n"/>
      <c r="AI108" s="30" t="n"/>
      <c r="AJ108" s="30" t="n"/>
      <c r="AK108" s="30" t="n"/>
    </row>
    <row r="109">
      <c r="A109" s="409" t="inlineStr">
        <is>
          <t>Request transferred</t>
        </is>
      </c>
      <c r="B109" s="1342" t="n"/>
      <c r="C109" s="1342" t="n"/>
      <c r="D109" s="1390" t="n"/>
      <c r="E109" s="153" t="n">
        <v>314</v>
      </c>
      <c r="F109" s="153" t="n">
        <v>118</v>
      </c>
      <c r="G109" s="153" t="n">
        <v>36</v>
      </c>
      <c r="H109" s="153" t="n">
        <v>13</v>
      </c>
      <c r="I109" s="153" t="n">
        <v>1123</v>
      </c>
      <c r="J109" s="153" t="n">
        <v>9</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1</v>
      </c>
      <c r="H110" s="153" t="n">
        <v>0</v>
      </c>
      <c r="I110" s="153" t="n">
        <v>0</v>
      </c>
      <c r="J110" s="153" t="n">
        <v>10</v>
      </c>
      <c r="K110" s="579" t="n">
        <v>224</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2854</v>
      </c>
      <c r="F111" s="153" t="n">
        <v>653</v>
      </c>
      <c r="G111" s="153" t="n">
        <v>1097</v>
      </c>
      <c r="H111" s="153" t="n">
        <v>123</v>
      </c>
      <c r="I111" s="153" t="n">
        <v>330</v>
      </c>
      <c r="J111" s="153" t="n">
        <v>781</v>
      </c>
      <c r="K111" s="579" t="n">
        <v>6062</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5</v>
      </c>
      <c r="G112" s="503" t="n">
        <v>1</v>
      </c>
      <c r="H112" s="503" t="n">
        <v>0</v>
      </c>
      <c r="I112" s="503" t="n">
        <v>0</v>
      </c>
      <c r="J112" s="503" t="n">
        <v>1</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7597</v>
      </c>
      <c r="D118" s="906" t="inlineStr">
        <is>
          <t>16(2)</t>
        </is>
      </c>
      <c r="E118" s="1383" t="n"/>
      <c r="F118" s="414" t="n">
        <v>416</v>
      </c>
      <c r="G118" s="488" t="inlineStr">
        <is>
          <t>18(a)</t>
        </is>
      </c>
      <c r="H118" s="1383" t="n"/>
      <c r="I118" s="170" t="n">
        <v>1</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37</v>
      </c>
      <c r="D119" s="886" t="inlineStr">
        <is>
          <t>16(2)(a)</t>
        </is>
      </c>
      <c r="E119" s="1390" t="n"/>
      <c r="F119" s="231" t="n">
        <v>3</v>
      </c>
      <c r="G119" s="886" t="inlineStr">
        <is>
          <t>18(b)</t>
        </is>
      </c>
      <c r="H119" s="1390" t="n"/>
      <c r="I119" s="641" t="n">
        <v>2</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41</v>
      </c>
      <c r="D120" s="886" t="inlineStr">
        <is>
          <t>16(2)(b)</t>
        </is>
      </c>
      <c r="E120" s="1390" t="n"/>
      <c r="F120" s="585" t="n">
        <v>2</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5</v>
      </c>
      <c r="D121" s="886" t="inlineStr">
        <is>
          <t>16(2)(c)</t>
        </is>
      </c>
      <c r="E121" s="1390" t="n"/>
      <c r="F121" s="585" t="n">
        <v>85566</v>
      </c>
      <c r="G121" s="886" t="inlineStr">
        <is>
          <t>18(d)</t>
        </is>
      </c>
      <c r="H121" s="1390" t="n"/>
      <c r="I121" s="641" t="n">
        <v>6</v>
      </c>
      <c r="J121" s="886" t="inlineStr">
        <is>
          <t>21(1)(a)</t>
        </is>
      </c>
      <c r="K121" s="1390" t="n"/>
      <c r="L121" s="585" t="n">
        <v>254</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393</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2</v>
      </c>
      <c r="D123" s="886" t="inlineStr">
        <is>
          <t>16.1(1)(a)</t>
        </is>
      </c>
      <c r="E123" s="1390" t="n"/>
      <c r="F123" s="585" t="n">
        <v>0</v>
      </c>
      <c r="G123" s="886" t="inlineStr">
        <is>
          <t>18.1(1)(b)</t>
        </is>
      </c>
      <c r="H123" s="1390" t="n"/>
      <c r="I123" s="641" t="n">
        <v>1</v>
      </c>
      <c r="J123" s="886" t="inlineStr">
        <is>
          <t>21(1)(c)</t>
        </is>
      </c>
      <c r="K123" s="1390" t="n"/>
      <c r="L123" s="585" t="n">
        <v>48</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117</v>
      </c>
      <c r="D124" s="886" t="inlineStr">
        <is>
          <t>16.1(1)(b)</t>
        </is>
      </c>
      <c r="E124" s="1390" t="n"/>
      <c r="F124" s="585" t="n">
        <v>0</v>
      </c>
      <c r="G124" s="886" t="inlineStr">
        <is>
          <t>18.1(1)(c)</t>
        </is>
      </c>
      <c r="H124" s="1390" t="n"/>
      <c r="I124" s="641" t="n">
        <v>0</v>
      </c>
      <c r="J124" s="886" t="inlineStr">
        <is>
          <t>21(1)(d)</t>
        </is>
      </c>
      <c r="K124" s="1390" t="n"/>
      <c r="L124" s="585" t="n">
        <v>67</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12</v>
      </c>
      <c r="D125" s="886" t="inlineStr">
        <is>
          <t>16.1(1)(c)</t>
        </is>
      </c>
      <c r="E125" s="1390" t="n"/>
      <c r="F125" s="585" t="n">
        <v>7</v>
      </c>
      <c r="G125" s="886" t="inlineStr">
        <is>
          <t>18.1(1)(d)</t>
        </is>
      </c>
      <c r="H125" s="1390" t="n"/>
      <c r="I125" s="641" t="n">
        <v>0</v>
      </c>
      <c r="J125" s="886" t="n">
        <v>22</v>
      </c>
      <c r="K125" s="1390" t="n"/>
      <c r="L125" s="585" t="n">
        <v>25</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22236</v>
      </c>
      <c r="D126" s="886" t="inlineStr">
        <is>
          <t>16.1(1)(d)</t>
        </is>
      </c>
      <c r="E126" s="1390" t="n"/>
      <c r="F126" s="585" t="n">
        <v>0</v>
      </c>
      <c r="G126" s="886" t="inlineStr">
        <is>
          <t>19(1)</t>
        </is>
      </c>
      <c r="H126" s="1390" t="n"/>
      <c r="I126" s="641" t="n">
        <v>51105</v>
      </c>
      <c r="J126" s="886" t="inlineStr">
        <is>
          <t>22.1(1)</t>
        </is>
      </c>
      <c r="K126" s="1390" t="n"/>
      <c r="L126" s="585" t="n">
        <v>2</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4</v>
      </c>
      <c r="D127" s="886" t="inlineStr">
        <is>
          <t>16.2(1)</t>
        </is>
      </c>
      <c r="E127" s="1390" t="n"/>
      <c r="F127" s="585" t="n">
        <v>0</v>
      </c>
      <c r="G127" s="886" t="inlineStr">
        <is>
          <t>20(1)(a)</t>
        </is>
      </c>
      <c r="H127" s="1390" t="n"/>
      <c r="I127" s="641" t="n">
        <v>2</v>
      </c>
      <c r="J127" s="886" t="n">
        <v>23</v>
      </c>
      <c r="K127" s="1390" t="n"/>
      <c r="L127" s="585" t="n">
        <v>157</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279</v>
      </c>
      <c r="D128" s="886" t="n">
        <v>16.3</v>
      </c>
      <c r="E128" s="1390" t="n"/>
      <c r="F128" s="585" t="n">
        <v>0</v>
      </c>
      <c r="G128" s="886" t="inlineStr">
        <is>
          <t>20(1)(b)</t>
        </is>
      </c>
      <c r="H128" s="1390" t="n"/>
      <c r="I128" s="641" t="n">
        <v>87</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273</v>
      </c>
      <c r="J130" s="1397" t="n">
        <v>26</v>
      </c>
      <c r="K130" s="1384" t="n"/>
      <c r="L130" s="529" t="n">
        <v>30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2</v>
      </c>
      <c r="G131" s="1397" t="inlineStr">
        <is>
          <t>20(1)(d)</t>
        </is>
      </c>
      <c r="H131" s="1384" t="n"/>
      <c r="I131" s="233" t="n">
        <v>15</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174</v>
      </c>
      <c r="D133" s="1397" t="n">
        <v>17</v>
      </c>
      <c r="E133" s="1384" t="n"/>
      <c r="F133" s="529" t="n">
        <v>38595</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23957</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10</v>
      </c>
      <c r="D140" s="1340" t="n"/>
      <c r="E140" s="488" t="inlineStr">
        <is>
          <t>69(1)</t>
        </is>
      </c>
      <c r="F140" s="1383" t="n"/>
      <c r="G140" s="435" t="n">
        <v>0</v>
      </c>
      <c r="H140" s="1340" t="n"/>
      <c r="I140" s="488" t="inlineStr">
        <is>
          <t>69(1)(g) re (a)</t>
        </is>
      </c>
      <c r="J140" s="1383" t="n"/>
      <c r="K140" s="435" t="n">
        <v>12</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3</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2</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2</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1</v>
      </c>
      <c r="H144" s="1368" t="n"/>
      <c r="I144" s="886" t="inlineStr">
        <is>
          <t>69(1)(g) re (e)</t>
        </is>
      </c>
      <c r="J144" s="1390" t="n"/>
      <c r="K144" s="585" t="n">
        <v>3</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1</v>
      </c>
      <c r="H145" s="1368" t="n"/>
      <c r="I145" s="886" t="inlineStr">
        <is>
          <t>69(1)(g) re (f)</t>
        </is>
      </c>
      <c r="J145" s="1390" t="n"/>
      <c r="K145" s="585" t="n">
        <v>4</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140483</v>
      </c>
      <c r="D152" s="1401" t="n"/>
      <c r="E152" s="494" t="n">
        <v>0</v>
      </c>
      <c r="F152" s="494" t="n">
        <v>0</v>
      </c>
      <c r="G152" s="235" t="n">
        <v>1</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11564878</v>
      </c>
      <c r="B159" s="1402" t="n"/>
      <c r="C159" s="1401" t="n"/>
      <c r="D159" s="1403" t="n">
        <v>8761858</v>
      </c>
      <c r="E159" s="1404" t="n"/>
      <c r="F159" s="1405" t="n"/>
      <c r="G159" s="1406" t="n">
        <v>146579</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16090</v>
      </c>
      <c r="D166" s="1237" t="n">
        <v>659279</v>
      </c>
      <c r="E166" s="990" t="n">
        <v>2283</v>
      </c>
      <c r="F166" s="594" t="n">
        <v>401677</v>
      </c>
      <c r="G166" s="483" t="n">
        <v>35</v>
      </c>
      <c r="H166" s="1237" t="n">
        <v>27320</v>
      </c>
      <c r="I166" s="990" t="n">
        <v>15</v>
      </c>
      <c r="J166" s="594" t="n">
        <v>30244</v>
      </c>
      <c r="K166" s="483" t="n">
        <v>9</v>
      </c>
      <c r="L166" s="1255" t="n">
        <v>109558</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103489</v>
      </c>
      <c r="D167" s="1246" t="n">
        <v>6181034</v>
      </c>
      <c r="E167" s="431" t="n">
        <v>18325</v>
      </c>
      <c r="F167" s="430" t="n">
        <v>3886622</v>
      </c>
      <c r="G167" s="476" t="n">
        <v>188</v>
      </c>
      <c r="H167" s="1246" t="n">
        <v>155057</v>
      </c>
      <c r="I167" s="990" t="n">
        <v>46</v>
      </c>
      <c r="J167" s="594" t="n">
        <v>73114</v>
      </c>
      <c r="K167" s="483" t="n">
        <v>3</v>
      </c>
      <c r="L167" s="1237" t="n">
        <v>22302</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13</v>
      </c>
      <c r="D168" s="1246" t="n">
        <v>609</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14</v>
      </c>
      <c r="D169" s="1246" t="n">
        <v>968</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6062</v>
      </c>
      <c r="D170" s="430" t="n">
        <v>17094</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7</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20</v>
      </c>
      <c r="B178" s="1402" t="n"/>
      <c r="C178" s="1401" t="n"/>
      <c r="D178" s="1416" t="n">
        <v>20</v>
      </c>
      <c r="E178" s="1402" t="n"/>
      <c r="F178" s="1401" t="n"/>
      <c r="G178" s="214" t="n">
        <v>1</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1</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1</v>
      </c>
      <c r="E185" s="1418" t="n"/>
      <c r="F185" s="143" t="n">
        <v>20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20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6</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6</v>
      </c>
      <c r="D216" s="1418" t="n"/>
      <c r="E216" s="477" t="n">
        <v>117</v>
      </c>
      <c r="F216" s="1418" t="n"/>
      <c r="G216" s="477" t="n">
        <v>10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127</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2</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2</v>
      </c>
      <c r="D220" s="1418" t="n"/>
      <c r="E220" s="477" t="n">
        <v>8</v>
      </c>
      <c r="F220" s="1418" t="n"/>
      <c r="G220" s="477" t="n">
        <v>1</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9</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97436</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52494</v>
      </c>
      <c r="E243" s="1330" t="n"/>
      <c r="F243" s="1421" t="n"/>
      <c r="G243" s="1255" t="n">
        <v>1355</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53849</v>
      </c>
      <c r="E244" s="1362" t="n"/>
      <c r="F244" s="1418" t="n"/>
      <c r="G244" s="1246" t="n">
        <v>12440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370</v>
      </c>
      <c r="E245" s="1362" t="n"/>
      <c r="F245" s="1418" t="n"/>
      <c r="G245" s="1246" t="n">
        <v>12810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19450</v>
      </c>
      <c r="E246" s="1362" t="n"/>
      <c r="F246" s="1418" t="n"/>
      <c r="G246" s="1246" t="n">
        <v>285</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19735</v>
      </c>
      <c r="E247" s="1362" t="n"/>
      <c r="F247" s="1418" t="n"/>
      <c r="G247" s="1246" t="n">
        <v>6733</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221</v>
      </c>
      <c r="E248" s="1362" t="n"/>
      <c r="F248" s="1418" t="n"/>
      <c r="G248" s="1246" t="n">
        <v>6954</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1401</v>
      </c>
      <c r="E249" s="1363" t="n"/>
      <c r="F249" s="1419" t="n"/>
      <c r="G249" s="1242" t="n">
        <v>111</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12</v>
      </c>
      <c r="F265" s="1421" t="n"/>
      <c r="G265" s="1439" t="n">
        <v>2</v>
      </c>
      <c r="H265" s="1417" t="n"/>
      <c r="I265" s="1439" t="n">
        <v>1193</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969</v>
      </c>
      <c r="F266" s="1418" t="n"/>
      <c r="G266" s="577" t="n">
        <v>2</v>
      </c>
      <c r="H266" s="1418" t="n"/>
      <c r="I266" s="577" t="n">
        <v>2631</v>
      </c>
      <c r="J266" s="1418" t="n"/>
      <c r="K266" s="578" t="n">
        <v>10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1</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1</v>
      </c>
      <c r="F268" s="1418" t="n"/>
      <c r="G268" s="577" t="n">
        <v>0</v>
      </c>
      <c r="H268" s="1418" t="n"/>
      <c r="I268" s="577" t="n">
        <v>5</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3</v>
      </c>
      <c r="F269" s="1418" t="n"/>
      <c r="G269" s="577" t="n">
        <v>0</v>
      </c>
      <c r="H269" s="1418" t="n"/>
      <c r="I269" s="577" t="n">
        <v>155</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14</v>
      </c>
      <c r="F270" s="1418" t="n"/>
      <c r="G270" s="577" t="n">
        <v>1</v>
      </c>
      <c r="H270" s="1418" t="n"/>
      <c r="I270" s="577" t="n">
        <v>487</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22</v>
      </c>
      <c r="F278" s="1417" t="n"/>
      <c r="G278" s="1439" t="n">
        <v>1</v>
      </c>
      <c r="H278" s="1417" t="n"/>
      <c r="I278" s="1439" t="n">
        <v>145</v>
      </c>
      <c r="J278" s="1417" t="n"/>
      <c r="K278" s="1442" t="n">
        <v>4</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238</v>
      </c>
      <c r="F279" s="1418" t="n"/>
      <c r="G279" s="577" t="n">
        <v>3</v>
      </c>
      <c r="H279" s="1418" t="n"/>
      <c r="I279" s="577" t="n">
        <v>2642</v>
      </c>
      <c r="J279" s="1418" t="n"/>
      <c r="K279" s="1444" t="n">
        <v>2</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729</v>
      </c>
      <c r="F280" s="1418" t="n"/>
      <c r="G280" s="577" t="n">
        <v>0</v>
      </c>
      <c r="H280" s="1418" t="n"/>
      <c r="I280" s="577" t="n">
        <v>190</v>
      </c>
      <c r="J280" s="1418" t="n"/>
      <c r="K280" s="1444" t="n">
        <v>5</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8</v>
      </c>
      <c r="F281" s="1418" t="n"/>
      <c r="G281" s="577" t="n">
        <v>1</v>
      </c>
      <c r="H281" s="1418" t="n"/>
      <c r="I281" s="577" t="n">
        <v>28</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1</v>
      </c>
      <c r="F282" s="1418" t="n"/>
      <c r="G282" s="577" t="n">
        <v>0</v>
      </c>
      <c r="H282" s="1418" t="n"/>
      <c r="I282" s="577" t="n">
        <v>1466</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v>
      </c>
      <c r="F283" s="1419" t="n"/>
      <c r="G283" s="590" t="n">
        <v>0</v>
      </c>
      <c r="H283" s="1419" t="n"/>
      <c r="I283" s="590" t="n">
        <v>1</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176814</v>
      </c>
      <c r="D290" s="379" t="n">
        <v>735665</v>
      </c>
      <c r="E290" s="1339" t="n"/>
      <c r="F290" s="184" t="n">
        <v>551</v>
      </c>
      <c r="G290" s="379" t="n">
        <v>2755</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170</v>
      </c>
      <c r="F299" s="1421" t="n"/>
      <c r="G299" s="1398" t="n">
        <v>5528</v>
      </c>
      <c r="H299" s="1340" t="n"/>
      <c r="I299" s="184" t="n">
        <v>1</v>
      </c>
      <c r="J299" s="1417" t="n"/>
      <c r="K299" s="1398" t="n">
        <v>5</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35</v>
      </c>
      <c r="F300" s="1449" t="n"/>
      <c r="G300" s="316" t="n">
        <v>3805</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205</v>
      </c>
      <c r="F302" s="1421" t="n"/>
      <c r="G302" s="1398" t="n">
        <v>9333</v>
      </c>
      <c r="H302" s="1340" t="n"/>
      <c r="I302" s="184" t="n">
        <v>1</v>
      </c>
      <c r="J302" s="1417" t="n"/>
      <c r="K302" s="1398" t="n">
        <v>5</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198</v>
      </c>
      <c r="F303" s="1418" t="n"/>
      <c r="G303" s="578" t="n">
        <v>8283</v>
      </c>
      <c r="H303" s="1368" t="n"/>
      <c r="I303" s="737" t="n">
        <v>1</v>
      </c>
      <c r="J303" s="1418" t="n"/>
      <c r="K303" s="578" t="n">
        <v>5</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v>
      </c>
      <c r="F304" s="1419" t="n"/>
      <c r="G304" s="316" t="n">
        <v>16</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32</v>
      </c>
      <c r="F310" s="484" t="n">
        <v>25</v>
      </c>
      <c r="G310" s="484" t="n">
        <v>4</v>
      </c>
      <c r="H310" s="484" t="n">
        <v>2</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63</v>
      </c>
      <c r="F311" s="477" t="n">
        <v>34</v>
      </c>
      <c r="G311" s="477" t="n">
        <v>37</v>
      </c>
      <c r="H311" s="477" t="n">
        <v>33</v>
      </c>
      <c r="I311" s="477" t="n">
        <v>15</v>
      </c>
      <c r="J311" s="477" t="n">
        <v>4</v>
      </c>
      <c r="K311" s="430" t="n">
        <v>5</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1</v>
      </c>
      <c r="F312" s="477" t="n">
        <v>129</v>
      </c>
      <c r="G312" s="477" t="n">
        <v>0</v>
      </c>
      <c r="H312" s="477" t="n">
        <v>0</v>
      </c>
      <c r="I312" s="477" t="n">
        <v>1</v>
      </c>
      <c r="J312" s="477" t="n">
        <v>1</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2</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1</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1</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10</v>
      </c>
      <c r="D336" s="1237" t="n">
        <v>51</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3</v>
      </c>
      <c r="D337" s="1246" t="n">
        <v>96</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1</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4152</v>
      </c>
      <c r="B363" s="1401" t="n"/>
      <c r="C363" s="211" t="n">
        <v>2</v>
      </c>
      <c r="D363" s="1401" t="n"/>
      <c r="E363" s="1457" t="n">
        <v>65</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8707338</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720960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73768</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105588</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49.49</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72.06999999999999</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2026-01-02T13:56:17+00:00Z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