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n"/>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0</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0</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0</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0</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0</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0</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0</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0</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0</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0</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0</v>
      </c>
      <c r="B73" s="211" t="n">
        <v>0</v>
      </c>
      <c r="C73" s="211" t="n">
        <v>0</v>
      </c>
      <c r="D73" s="211" t="n">
        <v>0</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0</v>
      </c>
      <c r="G104" s="132" t="n">
        <v>0</v>
      </c>
      <c r="H104" s="132" t="n">
        <v>0</v>
      </c>
      <c r="I104" s="132" t="n">
        <v>0</v>
      </c>
      <c r="J104" s="132" t="n">
        <v>0</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0</v>
      </c>
      <c r="F105" s="153" t="n">
        <v>0</v>
      </c>
      <c r="G105" s="153" t="n">
        <v>0</v>
      </c>
      <c r="H105" s="153" t="n">
        <v>0</v>
      </c>
      <c r="I105" s="153" t="n">
        <v>0</v>
      </c>
      <c r="J105" s="153" t="n">
        <v>0</v>
      </c>
      <c r="K105" s="676" t="n">
        <v>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0</v>
      </c>
      <c r="F106" s="153" t="n">
        <v>0</v>
      </c>
      <c r="G106" s="153" t="n">
        <v>0</v>
      </c>
      <c r="H106" s="153" t="n">
        <v>0</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0</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0</v>
      </c>
      <c r="I108" s="153" t="n">
        <v>0</v>
      </c>
      <c r="J108" s="153" t="n">
        <v>0</v>
      </c>
      <c r="K108" s="579" t="n">
        <v>0</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0</v>
      </c>
      <c r="J109" s="153" t="n">
        <v>0</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0</v>
      </c>
      <c r="K110" s="579" t="n">
        <v>0</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0</v>
      </c>
      <c r="F111" s="153" t="n">
        <v>0</v>
      </c>
      <c r="G111" s="153" t="n">
        <v>0</v>
      </c>
      <c r="H111" s="153" t="n">
        <v>0</v>
      </c>
      <c r="I111" s="153" t="n">
        <v>0</v>
      </c>
      <c r="J111" s="153" t="n">
        <v>0</v>
      </c>
      <c r="K111" s="579" t="n">
        <v>0</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0</v>
      </c>
      <c r="D118" s="906" t="inlineStr">
        <is>
          <t>16(2)</t>
        </is>
      </c>
      <c r="E118" s="1383" t="n"/>
      <c r="F118" s="414" t="n">
        <v>0</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0</v>
      </c>
      <c r="G121" s="886" t="inlineStr">
        <is>
          <t>18(d)</t>
        </is>
      </c>
      <c r="H121" s="1390" t="n"/>
      <c r="I121" s="641" t="n">
        <v>0</v>
      </c>
      <c r="J121" s="886" t="inlineStr">
        <is>
          <t>21(1)(a)</t>
        </is>
      </c>
      <c r="K121" s="1390" t="n"/>
      <c r="L121" s="585" t="n">
        <v>0</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0</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0</v>
      </c>
      <c r="D124" s="886" t="inlineStr">
        <is>
          <t>16.1(1)(b)</t>
        </is>
      </c>
      <c r="E124" s="1390" t="n"/>
      <c r="F124" s="585" t="n">
        <v>0</v>
      </c>
      <c r="G124" s="886" t="inlineStr">
        <is>
          <t>18.1(1)(c)</t>
        </is>
      </c>
      <c r="H124" s="1390" t="n"/>
      <c r="I124" s="641" t="n">
        <v>0</v>
      </c>
      <c r="J124" s="886" t="inlineStr">
        <is>
          <t>21(1)(d)</t>
        </is>
      </c>
      <c r="K124" s="1390" t="n"/>
      <c r="L124" s="585" t="n">
        <v>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0</v>
      </c>
      <c r="J127" s="886" t="n">
        <v>23</v>
      </c>
      <c r="K127" s="1390" t="n"/>
      <c r="L127" s="585" t="n">
        <v>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0</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0</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0</v>
      </c>
      <c r="D140" s="1340" t="n"/>
      <c r="E140" s="488" t="inlineStr">
        <is>
          <t>69(1)</t>
        </is>
      </c>
      <c r="F140" s="1383" t="n"/>
      <c r="G140" s="435" t="n">
        <v>0</v>
      </c>
      <c r="H140" s="1340" t="n"/>
      <c r="I140" s="488" t="inlineStr">
        <is>
          <t>69(1)(g) re (a)</t>
        </is>
      </c>
      <c r="J140" s="1383" t="n"/>
      <c r="K140" s="435" t="n">
        <v>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0</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0</v>
      </c>
      <c r="B159" s="1402" t="n"/>
      <c r="C159" s="1401" t="n"/>
      <c r="D159" s="1403" t="n">
        <v>0</v>
      </c>
      <c r="E159" s="1404" t="n"/>
      <c r="F159" s="1405" t="n"/>
      <c r="G159" s="1406" t="n">
        <v>0</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0</v>
      </c>
      <c r="D166" s="1237" t="n">
        <v>0</v>
      </c>
      <c r="E166" s="990" t="n">
        <v>0</v>
      </c>
      <c r="F166" s="594" t="n">
        <v>0</v>
      </c>
      <c r="G166" s="483" t="n">
        <v>0</v>
      </c>
      <c r="H166" s="1237" t="n">
        <v>0</v>
      </c>
      <c r="I166" s="990" t="n">
        <v>0</v>
      </c>
      <c r="J166" s="594" t="n">
        <v>0</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0</v>
      </c>
      <c r="D167" s="1246" t="n">
        <v>0</v>
      </c>
      <c r="E167" s="431" t="n">
        <v>0</v>
      </c>
      <c r="F167" s="430" t="n">
        <v>0</v>
      </c>
      <c r="G167" s="476" t="n">
        <v>0</v>
      </c>
      <c r="H167" s="1246" t="n">
        <v>0</v>
      </c>
      <c r="I167" s="990" t="n">
        <v>0</v>
      </c>
      <c r="J167" s="594" t="n">
        <v>0</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0</v>
      </c>
      <c r="D168" s="1246" t="n">
        <v>0</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0</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0</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0</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0</v>
      </c>
      <c r="D216" s="1418" t="n"/>
      <c r="E216" s="477" t="n">
        <v>0</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0</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0</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0</v>
      </c>
      <c r="E243" s="1330" t="n"/>
      <c r="F243" s="1421" t="n"/>
      <c r="G243" s="1255" t="n">
        <v>0</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0</v>
      </c>
      <c r="E244" s="1362" t="n"/>
      <c r="F244" s="1418" t="n"/>
      <c r="G244" s="1246" t="n">
        <v>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0</v>
      </c>
      <c r="E245" s="1362" t="n"/>
      <c r="F245" s="1418" t="n"/>
      <c r="G245" s="1246" t="n">
        <v>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0</v>
      </c>
      <c r="E246" s="1362" t="n"/>
      <c r="F246" s="1418" t="n"/>
      <c r="G246" s="1246" t="n">
        <v>0</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0</v>
      </c>
      <c r="E247" s="1362" t="n"/>
      <c r="F247" s="1418" t="n"/>
      <c r="G247" s="1246" t="n">
        <v>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0</v>
      </c>
      <c r="E248" s="1362" t="n"/>
      <c r="F248" s="1418" t="n"/>
      <c r="G248" s="1246" t="n">
        <v>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0</v>
      </c>
      <c r="E249" s="1363" t="n"/>
      <c r="F249" s="1419" t="n"/>
      <c r="G249" s="1242" t="n">
        <v>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0</v>
      </c>
      <c r="F265" s="1421" t="n"/>
      <c r="G265" s="1439" t="n">
        <v>0</v>
      </c>
      <c r="H265" s="1417" t="n"/>
      <c r="I265" s="1439" t="n">
        <v>0</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0</v>
      </c>
      <c r="F266" s="1418" t="n"/>
      <c r="G266" s="577" t="n">
        <v>0</v>
      </c>
      <c r="H266" s="1418" t="n"/>
      <c r="I266" s="577" t="n">
        <v>0</v>
      </c>
      <c r="J266" s="1418" t="n"/>
      <c r="K266" s="578" t="n">
        <v>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0</v>
      </c>
      <c r="F269" s="1418" t="n"/>
      <c r="G269" s="577" t="n">
        <v>0</v>
      </c>
      <c r="H269" s="1418" t="n"/>
      <c r="I269" s="577" t="n">
        <v>0</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0</v>
      </c>
      <c r="F278" s="1417" t="n"/>
      <c r="G278" s="1439" t="n">
        <v>0</v>
      </c>
      <c r="H278" s="1417" t="n"/>
      <c r="I278" s="1439" t="n">
        <v>0</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0</v>
      </c>
      <c r="F279" s="1418" t="n"/>
      <c r="G279" s="577" t="n">
        <v>0</v>
      </c>
      <c r="H279" s="1418" t="n"/>
      <c r="I279" s="577" t="n">
        <v>0</v>
      </c>
      <c r="J279" s="1418" t="n"/>
      <c r="K279" s="1444" t="n">
        <v>0</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0</v>
      </c>
      <c r="F280" s="1418" t="n"/>
      <c r="G280" s="577" t="n">
        <v>0</v>
      </c>
      <c r="H280" s="1418" t="n"/>
      <c r="I280" s="577" t="n">
        <v>0</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0</v>
      </c>
      <c r="F281" s="1418" t="n"/>
      <c r="G281" s="577" t="n">
        <v>0</v>
      </c>
      <c r="H281" s="1418" t="n"/>
      <c r="I281" s="577" t="n">
        <v>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0</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0</v>
      </c>
      <c r="D290" s="379" t="n">
        <v>0</v>
      </c>
      <c r="E290" s="1339" t="n"/>
      <c r="F290" s="184" t="n">
        <v>0</v>
      </c>
      <c r="G290" s="379" t="n">
        <v>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0</v>
      </c>
      <c r="F299" s="1421" t="n"/>
      <c r="G299" s="1398" t="n">
        <v>0</v>
      </c>
      <c r="H299" s="1340" t="n"/>
      <c r="I299" s="184" t="n">
        <v>0</v>
      </c>
      <c r="J299" s="1417" t="n"/>
      <c r="K299" s="1398" t="n">
        <v>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0</v>
      </c>
      <c r="F300" s="1449" t="n"/>
      <c r="G300" s="316" t="n">
        <v>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0</v>
      </c>
      <c r="F302" s="1421" t="n"/>
      <c r="G302" s="1398" t="n">
        <v>0</v>
      </c>
      <c r="H302" s="1340" t="n"/>
      <c r="I302" s="184" t="n">
        <v>0</v>
      </c>
      <c r="J302" s="1417" t="n"/>
      <c r="K302" s="1398" t="n">
        <v>0</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0</v>
      </c>
      <c r="F303" s="1418" t="n"/>
      <c r="G303" s="578" t="n">
        <v>0</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0</v>
      </c>
      <c r="F304" s="1419" t="n"/>
      <c r="G304" s="316" t="n">
        <v>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0</v>
      </c>
      <c r="F310" s="484" t="n">
        <v>0</v>
      </c>
      <c r="G310" s="484" t="n">
        <v>0</v>
      </c>
      <c r="H310" s="484" t="n">
        <v>0</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0</v>
      </c>
      <c r="F311" s="477" t="n">
        <v>0</v>
      </c>
      <c r="G311" s="477" t="n">
        <v>0</v>
      </c>
      <c r="H311" s="477" t="n">
        <v>0</v>
      </c>
      <c r="I311" s="477" t="n">
        <v>0</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0</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0</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0</v>
      </c>
      <c r="D336" s="1237" t="n">
        <v>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0</v>
      </c>
      <c r="D337" s="1246" t="n">
        <v>0</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0</v>
      </c>
      <c r="D338" s="1246" t="n">
        <v>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0</v>
      </c>
      <c r="B363" s="1401" t="n"/>
      <c r="C363" s="211" t="n">
        <v>0</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0</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0</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inlineStr">
        <is>
          <t>Immigration, Refugees and Citizenship Canada</t>
        </is>
      </c>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45017</v>
      </c>
      <c r="I8" s="1331" t="n"/>
      <c r="J8" s="1331" t="n"/>
      <c r="K8" s="1043" t="inlineStr">
        <is>
          <t>to</t>
        </is>
      </c>
      <c r="L8" s="1329" t="n">
        <v>45382</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69720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12271</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1693</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67168</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8029</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8491</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68500</v>
      </c>
      <c r="H28" s="1339" t="n"/>
      <c r="I28" s="1339" t="n"/>
      <c r="J28" s="1340" t="n"/>
      <c r="K28" s="73" t="n"/>
    </row>
    <row r="29">
      <c r="A29" s="677" t="inlineStr">
        <is>
          <t>E-mail</t>
        </is>
      </c>
      <c r="B29" s="1342" t="n"/>
      <c r="C29" s="1342" t="n"/>
      <c r="D29" s="1342" t="n"/>
      <c r="E29" s="1342" t="n"/>
      <c r="F29" s="1342" t="n"/>
      <c r="G29" s="1481" t="n">
        <v>788</v>
      </c>
      <c r="H29" s="1362" t="n"/>
      <c r="I29" s="1362" t="n"/>
      <c r="J29" s="1368" t="n"/>
      <c r="K29" s="73" t="n"/>
    </row>
    <row r="30">
      <c r="A30" s="677" t="inlineStr">
        <is>
          <t>Mail</t>
        </is>
      </c>
      <c r="B30" s="1342" t="n"/>
      <c r="C30" s="1342" t="n"/>
      <c r="D30" s="1342" t="n"/>
      <c r="E30" s="1342" t="n"/>
      <c r="F30" s="1342" t="n"/>
      <c r="G30" s="1481" t="n">
        <v>432</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1452</v>
      </c>
      <c r="E80" s="173" t="n">
        <v>16955</v>
      </c>
      <c r="F80" s="173" t="n">
        <v>2601</v>
      </c>
      <c r="G80" s="173" t="n">
        <v>308</v>
      </c>
      <c r="H80" s="173" t="n">
        <v>239</v>
      </c>
      <c r="I80" s="173" t="n">
        <v>906</v>
      </c>
      <c r="J80" s="174" t="n">
        <v>201</v>
      </c>
      <c r="K80" s="742">
        <f>SUM(D80:J80)</f>
        <v/>
      </c>
      <c r="N80" s="49" t="n"/>
    </row>
    <row r="81">
      <c r="A81" s="983" t="inlineStr">
        <is>
          <t>Disclosed in part</t>
        </is>
      </c>
      <c r="B81" s="1342" t="n"/>
      <c r="C81" s="1390" t="n"/>
      <c r="D81" s="175" t="n">
        <v>22662</v>
      </c>
      <c r="E81" s="171" t="n">
        <v>2497</v>
      </c>
      <c r="F81" s="171" t="n">
        <v>25836</v>
      </c>
      <c r="G81" s="178" t="n">
        <v>5281</v>
      </c>
      <c r="H81" s="178" t="n">
        <v>553</v>
      </c>
      <c r="I81" s="178" t="n">
        <v>410</v>
      </c>
      <c r="J81" s="180" t="n">
        <v>1201</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1367</v>
      </c>
      <c r="E82" s="177" t="n">
        <v>37145</v>
      </c>
      <c r="F82" s="177" t="n">
        <v>0</v>
      </c>
      <c r="G82" s="178" t="n">
        <v>1</v>
      </c>
      <c r="H82" s="171" t="n">
        <v>1</v>
      </c>
      <c r="I82" s="178" t="n">
        <v>1</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3</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131</v>
      </c>
      <c r="I84" s="171" t="n">
        <v>131</v>
      </c>
      <c r="J84" s="181" t="n">
        <v>42</v>
      </c>
      <c r="K84" s="283">
        <f>SUM(D84:J84)</f>
        <v/>
      </c>
      <c r="N84" s="49" t="n"/>
    </row>
    <row r="85">
      <c r="A85" s="983" t="inlineStr">
        <is>
          <t>Request abandoned</t>
        </is>
      </c>
      <c r="B85" s="1342" t="n"/>
      <c r="C85" s="1390" t="n"/>
      <c r="D85" s="175" t="n">
        <v>23</v>
      </c>
      <c r="E85" s="178" t="n">
        <v>11</v>
      </c>
      <c r="F85" s="177" t="n">
        <v>28</v>
      </c>
      <c r="G85" s="178" t="n">
        <v>15</v>
      </c>
      <c r="H85" s="171" t="n">
        <v>381</v>
      </c>
      <c r="I85" s="177" t="n">
        <v>2006</v>
      </c>
      <c r="J85" s="182" t="n">
        <v>589</v>
      </c>
      <c r="K85" s="283">
        <f>SUM(D85:J85)</f>
        <v/>
      </c>
    </row>
    <row r="86" ht="15" customHeight="1" thickBot="1">
      <c r="A86" s="1256" t="inlineStr">
        <is>
          <t>Neither confirmed nor denied</t>
        </is>
      </c>
      <c r="B86" s="1348" t="n"/>
      <c r="C86" s="1384" t="n"/>
      <c r="D86" s="176" t="n">
        <v>109</v>
      </c>
      <c r="E86" s="1" t="n">
        <v>130</v>
      </c>
      <c r="F86" s="1" t="n">
        <v>110</v>
      </c>
      <c r="G86" s="1" t="n">
        <v>151</v>
      </c>
      <c r="H86" s="177" t="n">
        <v>1024</v>
      </c>
      <c r="I86" s="1" t="n">
        <v>4119</v>
      </c>
      <c r="J86" s="179" t="n">
        <v>945</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1594</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1</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10</v>
      </c>
      <c r="D96" s="1418" t="n"/>
      <c r="E96" s="1245" t="inlineStr">
        <is>
          <t>22(1)(b)</t>
        </is>
      </c>
      <c r="F96" s="1390" t="n"/>
      <c r="G96" s="477" t="n">
        <v>8571</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2</v>
      </c>
      <c r="D97" s="1418" t="n"/>
      <c r="E97" s="1245" t="inlineStr">
        <is>
          <t>22(1)(c)</t>
        </is>
      </c>
      <c r="F97" s="1390" t="n"/>
      <c r="G97" s="477" t="n">
        <v>6</v>
      </c>
      <c r="H97" s="1418" t="n"/>
      <c r="I97" s="1245" t="n">
        <v>25</v>
      </c>
      <c r="J97" s="1390" t="n"/>
      <c r="K97" s="477" t="n">
        <v>197</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25117</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4</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15243</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59807</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1466740</v>
      </c>
      <c r="B123" s="1460" t="n"/>
      <c r="C123" s="1465" t="n"/>
      <c r="D123" s="278" t="n">
        <v>1253301</v>
      </c>
      <c r="E123" s="1402" t="n"/>
      <c r="F123" s="1401" t="n"/>
      <c r="G123" s="1220" t="n">
        <v>66787</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22549</v>
      </c>
      <c r="D130" s="1237" t="n">
        <v>301582</v>
      </c>
      <c r="E130" s="990" t="n">
        <v>110</v>
      </c>
      <c r="F130" s="594" t="n">
        <v>18382</v>
      </c>
      <c r="G130" s="483" t="n">
        <v>1</v>
      </c>
      <c r="H130" s="1237" t="n">
        <v>720</v>
      </c>
      <c r="I130" s="990" t="n">
        <v>2</v>
      </c>
      <c r="J130" s="594" t="n">
        <v>5727</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35599</v>
      </c>
      <c r="D131" s="1246" t="n">
        <v>773448</v>
      </c>
      <c r="E131" s="990" t="n">
        <v>1438</v>
      </c>
      <c r="F131" s="430" t="n">
        <v>248726</v>
      </c>
      <c r="G131" s="483" t="n">
        <v>74</v>
      </c>
      <c r="H131" s="1246" t="n">
        <v>51233</v>
      </c>
      <c r="I131" s="990" t="n">
        <v>34</v>
      </c>
      <c r="J131" s="430" t="n">
        <v>55117</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3</v>
      </c>
      <c r="D132" s="1246" t="n">
        <v>17</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4111</v>
      </c>
      <c r="D134" s="1246" t="n">
        <v>9085</v>
      </c>
      <c r="E134" s="431" t="n">
        <v>7</v>
      </c>
      <c r="F134" s="430" t="n">
        <v>1012</v>
      </c>
      <c r="G134" s="483" t="n">
        <v>0</v>
      </c>
      <c r="H134" s="1246" t="n">
        <v>0</v>
      </c>
      <c r="I134" s="990" t="n">
        <v>1</v>
      </c>
      <c r="J134" s="430" t="n">
        <v>1691</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2858</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5</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5</v>
      </c>
      <c r="D176" s="1418" t="n"/>
      <c r="E176" s="477" t="n">
        <v>17</v>
      </c>
      <c r="F176" s="1418" t="n"/>
      <c r="G176" s="477" t="n">
        <v>0</v>
      </c>
      <c r="H176" s="1418" t="n"/>
      <c r="I176" s="477" t="n">
        <v>25117</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25134</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9</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12011</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3976</v>
      </c>
      <c r="E203" s="1330" t="n"/>
      <c r="F203" s="1421" t="n"/>
      <c r="G203" s="1255" t="n">
        <v>51</v>
      </c>
      <c r="H203" s="1339" t="n"/>
      <c r="I203" s="1340" t="n"/>
      <c r="J203" s="271">
        <f>SUM(D203:I203)</f>
        <v/>
      </c>
      <c r="K203" s="1336" t="n"/>
      <c r="L203" s="1337" t="n"/>
      <c r="M203" s="88" t="n"/>
      <c r="N203" s="49" t="n"/>
    </row>
    <row r="204" ht="15.75" customHeight="1">
      <c r="A204" s="1412" t="inlineStr">
        <is>
          <t>16 to 30 days</t>
        </is>
      </c>
      <c r="B204" s="1342" t="n"/>
      <c r="C204" s="1343" t="n"/>
      <c r="D204" s="431" t="n">
        <v>4027</v>
      </c>
      <c r="E204" s="1362" t="n"/>
      <c r="F204" s="1418" t="n"/>
      <c r="G204" s="1246" t="n">
        <v>460</v>
      </c>
      <c r="H204" s="1362" t="n"/>
      <c r="I204" s="1368" t="n"/>
      <c r="J204" s="267">
        <f>SUM(D204:I204)</f>
        <v/>
      </c>
      <c r="K204" s="1342" t="n"/>
      <c r="L204" s="1343" t="n"/>
      <c r="M204" s="88" t="n"/>
      <c r="N204" s="49" t="n"/>
    </row>
    <row r="205" ht="15.75" customHeight="1">
      <c r="A205" s="1412" t="inlineStr">
        <is>
          <t>31 to 60 days</t>
        </is>
      </c>
      <c r="B205" s="1342" t="n"/>
      <c r="C205" s="1343" t="n"/>
      <c r="D205" s="431" t="n">
        <v>8</v>
      </c>
      <c r="E205" s="1362" t="n"/>
      <c r="F205" s="1418" t="n"/>
      <c r="G205" s="1246" t="n">
        <v>468</v>
      </c>
      <c r="H205" s="1362" t="n"/>
      <c r="I205" s="1368" t="n"/>
      <c r="J205" s="267">
        <f>SUM(D205:I205)</f>
        <v/>
      </c>
      <c r="K205" s="1342" t="n"/>
      <c r="L205" s="1343" t="n"/>
      <c r="M205" s="66" t="n"/>
      <c r="N205" s="49" t="n"/>
    </row>
    <row r="206" ht="18" customHeight="1">
      <c r="A206" s="983" t="inlineStr">
        <is>
          <t>61 to 120 days</t>
        </is>
      </c>
      <c r="B206" s="1342" t="n"/>
      <c r="C206" s="1390" t="n"/>
      <c r="D206" s="431" t="n">
        <v>588</v>
      </c>
      <c r="E206" s="1362" t="n"/>
      <c r="F206" s="1418" t="n"/>
      <c r="G206" s="477" t="n">
        <v>10</v>
      </c>
      <c r="H206" s="1362" t="n"/>
      <c r="I206" s="1418" t="n"/>
      <c r="J206" s="986">
        <f>SUM(D206:I206)</f>
        <v/>
      </c>
      <c r="K206" s="1342" t="n"/>
      <c r="L206" s="1390" t="n"/>
      <c r="M206" s="66" t="n"/>
      <c r="N206" s="49" t="n"/>
    </row>
    <row r="207" ht="18.75" customHeight="1">
      <c r="A207" s="983" t="inlineStr">
        <is>
          <t>121  to 180 days</t>
        </is>
      </c>
      <c r="B207" s="1342" t="n"/>
      <c r="C207" s="1390" t="n"/>
      <c r="D207" s="431" t="n">
        <v>598</v>
      </c>
      <c r="E207" s="1362" t="n"/>
      <c r="F207" s="1418" t="n"/>
      <c r="G207" s="477" t="n">
        <v>909</v>
      </c>
      <c r="H207" s="1362" t="n"/>
      <c r="I207" s="1418" t="n"/>
      <c r="J207" s="986">
        <f>SUM(D207:I207)</f>
        <v/>
      </c>
      <c r="K207" s="1342" t="n"/>
      <c r="L207" s="1390" t="n"/>
      <c r="M207" s="66" t="n"/>
      <c r="N207" s="49" t="n"/>
    </row>
    <row r="208" ht="18.75" customHeight="1">
      <c r="A208" s="983" t="inlineStr">
        <is>
          <t>181 to 365 days</t>
        </is>
      </c>
      <c r="B208" s="1342" t="n"/>
      <c r="C208" s="1390" t="n"/>
      <c r="D208" s="431" t="n">
        <v>20</v>
      </c>
      <c r="E208" s="1362" t="n"/>
      <c r="F208" s="1418" t="n"/>
      <c r="G208" s="477" t="n">
        <v>929</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891</v>
      </c>
      <c r="E209" s="1363" t="n"/>
      <c r="F209" s="1419" t="n"/>
      <c r="G209" s="548" t="n">
        <v>18</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2018</v>
      </c>
      <c r="B223" s="1402" t="n"/>
      <c r="C223" s="1401" t="n"/>
      <c r="D223" s="1034" t="n">
        <v>36</v>
      </c>
      <c r="E223" s="1402" t="n"/>
      <c r="F223" s="1402" t="n"/>
      <c r="G223" s="1494" t="n">
        <v>36</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3607</v>
      </c>
      <c r="F240" s="1465" t="n"/>
      <c r="G240" s="295" t="n">
        <v>0</v>
      </c>
      <c r="H240" s="1465" t="n"/>
      <c r="I240" s="295" t="n">
        <v>0</v>
      </c>
      <c r="J240" s="1465" t="n"/>
      <c r="K240" s="295" t="n">
        <v>194</v>
      </c>
      <c r="L240" s="1465" t="n"/>
      <c r="M240" s="1503" t="n">
        <v>0</v>
      </c>
      <c r="N240" s="1465" t="n"/>
      <c r="O240" s="295" t="n">
        <v>122</v>
      </c>
      <c r="P240" s="295" t="n">
        <v>3</v>
      </c>
      <c r="Q240" s="1465" t="n"/>
      <c r="R240" s="1180" t="n">
        <v>3288</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194</v>
      </c>
      <c r="J249" s="1449" t="n"/>
      <c r="K249" s="20" t="n">
        <v>0</v>
      </c>
      <c r="L249" s="1449" t="n"/>
      <c r="M249" s="20" t="n">
        <v>122</v>
      </c>
      <c r="N249" s="1449" t="n"/>
      <c r="O249" s="20" t="n">
        <v>3</v>
      </c>
      <c r="P249" s="20" t="n">
        <v>3288</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51</v>
      </c>
      <c r="F258" s="1417" t="n"/>
      <c r="G258" s="550" t="n">
        <v>1310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2</v>
      </c>
      <c r="F259" s="1419" t="n"/>
      <c r="G259" s="617" t="n">
        <v>56</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53</v>
      </c>
      <c r="F261" s="1516" t="n"/>
      <c r="G261" s="1132" t="n">
        <v>1366</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4</v>
      </c>
      <c r="F269" s="484" t="n">
        <v>5</v>
      </c>
      <c r="G269" s="484" t="n">
        <v>3</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26</v>
      </c>
      <c r="F270" s="477" t="n">
        <v>10</v>
      </c>
      <c r="G270" s="477" t="n">
        <v>4</v>
      </c>
      <c r="H270" s="477" t="n">
        <v>1</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90</v>
      </c>
      <c r="B320" s="1465" t="n"/>
      <c r="C320" s="979" t="n">
        <v>11</v>
      </c>
      <c r="D320" s="1465" t="n"/>
      <c r="E320" s="979" t="n">
        <v>5</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5</v>
      </c>
      <c r="G325" s="1339" t="n"/>
      <c r="H325" s="1339" t="n"/>
      <c r="I325" s="1340" t="n"/>
      <c r="M325" s="108" t="n"/>
    </row>
    <row r="326" ht="15" customHeight="1" thickBot="1">
      <c r="A326" s="947" t="inlineStr">
        <is>
          <t>Number of PIAs modified</t>
        </is>
      </c>
      <c r="B326" s="1348" t="n"/>
      <c r="C326" s="1348" t="n"/>
      <c r="D326" s="1348" t="n"/>
      <c r="E326" s="1348" t="n"/>
      <c r="F326" s="1482" t="n">
        <v>1</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18</v>
      </c>
      <c r="G330" s="303" t="n">
        <v>0</v>
      </c>
      <c r="H330" s="303" t="n">
        <v>0</v>
      </c>
      <c r="I330" s="1417" t="n"/>
      <c r="J330" s="1527" t="n">
        <v>5</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7</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7</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6536</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2114612</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45993</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1150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41891</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16.933</v>
      </c>
      <c r="G357" s="1339" t="n"/>
      <c r="H357" s="1340" t="n"/>
      <c r="N357" s="88" t="n"/>
    </row>
    <row r="358">
      <c r="A358" s="1412" t="inlineStr">
        <is>
          <t>Part-time and casual employees</t>
        </is>
      </c>
      <c r="B358" s="1342" t="n"/>
      <c r="C358" s="1342" t="n"/>
      <c r="D358" s="1342" t="n"/>
      <c r="E358" s="1343" t="n"/>
      <c r="F358" s="1476" t="n">
        <v>6.321</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0.586</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2026-01-02T13:47:46+00:00Z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