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mauPL8T47wSNkiZsuWJFnUUGNLpObWt/DYk2AGDbDcKtzo8vRCmfzk1rb+1hAfSKS4n88TCCIbkFiP8CceUFRw==" workbookSaltValue="qnygT3Lywc+3qMYSKQBN3A==" workbookSpinCount="100000"/>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ATI" sheetId="1" state="visible" r:id="rId1"/>
    <sheet xmlns:r="http://schemas.openxmlformats.org/officeDocument/2006/relationships" name="Priv" sheetId="2" state="visible" r:id="rId2"/>
    <sheet xmlns:r="http://schemas.openxmlformats.org/officeDocument/2006/relationships" name="ATI_ForConsumption" sheetId="3" state="veryHidden" r:id="rId3"/>
    <sheet xmlns:r="http://schemas.openxmlformats.org/officeDocument/2006/relationships" name="Privacy_ForConsumption" sheetId="4" state="hidden" r:id="rId4"/>
  </sheets>
  <definedNames>
    <definedName name="_xlnm.Print_Area" localSheetId="0">'ATI'!$A$1:$L$405</definedName>
    <definedName name="_xlnm.Print_Area" localSheetId="1">'Priv'!$A$1:$S$363</definedName>
  </definedNames>
  <calcPr calcId="191028" fullCalcOnLoad="1"/>
</workbook>
</file>

<file path=xl/styles.xml><?xml version="1.0" encoding="utf-8"?>
<styleSheet xmlns="http://schemas.openxmlformats.org/spreadsheetml/2006/main">
  <numFmts count="3">
    <numFmt numFmtId="164" formatCode="&quot;$&quot;#,##0"/>
    <numFmt numFmtId="165" formatCode="&quot;$&quot;#,##0.00"/>
    <numFmt numFmtId="166" formatCode="0.000"/>
  </numFmts>
  <fonts count="51">
    <font>
      <name val="Calibri"/>
      <family val="2"/>
      <color theme="1"/>
      <sz val="11"/>
      <scheme val="minor"/>
    </font>
    <font>
      <name val="Arial"/>
      <family val="2"/>
      <color theme="1"/>
      <sz val="11"/>
    </font>
    <font>
      <name val="Arial"/>
      <family val="2"/>
      <color theme="1"/>
      <sz val="7"/>
    </font>
    <font>
      <name val="Arial"/>
      <family val="2"/>
      <b val="1"/>
      <color theme="1"/>
      <sz val="14"/>
    </font>
    <font>
      <name val="Arial"/>
      <family val="2"/>
      <b val="1"/>
      <i val="1"/>
      <color theme="1"/>
      <sz val="14"/>
    </font>
    <font>
      <name val="Arial"/>
      <family val="2"/>
      <b val="1"/>
      <color theme="1"/>
      <sz val="11"/>
    </font>
    <font>
      <name val="Arial"/>
      <family val="2"/>
      <b val="1"/>
      <color theme="0"/>
      <sz val="12"/>
    </font>
    <font>
      <name val="Arial"/>
      <family val="2"/>
      <b val="1"/>
      <i val="1"/>
      <color theme="0"/>
      <sz val="12"/>
    </font>
    <font>
      <name val="Arial"/>
      <family val="2"/>
      <b val="1"/>
      <color rgb="FF000000"/>
      <sz val="11"/>
    </font>
    <font>
      <name val="Arial"/>
      <family val="2"/>
      <color theme="1"/>
      <sz val="10"/>
    </font>
    <font>
      <name val="Arial"/>
      <family val="2"/>
      <b val="1"/>
      <color theme="1"/>
      <sz val="10"/>
    </font>
    <font>
      <name val="Arial"/>
      <family val="2"/>
      <sz val="10"/>
    </font>
    <font>
      <name val="Arial"/>
      <family val="2"/>
      <b val="1"/>
      <sz val="8.5"/>
    </font>
    <font>
      <name val="Arial"/>
      <family val="2"/>
      <b val="1"/>
      <sz val="9"/>
    </font>
    <font>
      <name val="Arial"/>
      <family val="2"/>
      <b val="1"/>
      <sz val="10"/>
    </font>
    <font>
      <name val="Arial"/>
      <family val="2"/>
      <sz val="7.5"/>
    </font>
    <font>
      <name val="Arial"/>
      <family val="2"/>
      <b val="1"/>
      <sz val="6"/>
    </font>
    <font>
      <name val="Arial"/>
      <family val="2"/>
      <b val="1"/>
      <color rgb="FFFFFFFF"/>
      <sz val="12"/>
    </font>
    <font>
      <name val="Arial"/>
      <family val="2"/>
      <b val="1"/>
      <sz val="9.5"/>
    </font>
    <font>
      <name val="Arial"/>
      <family val="2"/>
      <color theme="0"/>
      <sz val="11"/>
    </font>
    <font>
      <name val="Arial"/>
      <family val="2"/>
      <b val="1"/>
      <color rgb="FFFF0000"/>
      <sz val="11"/>
    </font>
    <font>
      <name val="Arial"/>
      <family val="2"/>
      <b val="1"/>
      <color rgb="FFFF0000"/>
      <sz val="10"/>
    </font>
    <font>
      <name val="Arial"/>
      <family val="2"/>
      <color rgb="FFFF0000"/>
      <sz val="10"/>
    </font>
    <font>
      <name val="Arial"/>
      <family val="2"/>
      <b val="1"/>
      <color rgb="FFFF0000"/>
      <sz val="12"/>
    </font>
    <font>
      <name val="Arial"/>
      <family val="2"/>
      <b val="1"/>
      <color theme="9" tint="0.3999755851924192"/>
      <sz val="12"/>
    </font>
    <font>
      <name val="Arial"/>
      <family val="2"/>
      <b val="1"/>
      <sz val="11"/>
    </font>
    <font>
      <name val="Arial"/>
      <family val="2"/>
      <sz val="11"/>
    </font>
    <font>
      <name val="Calibri"/>
      <family val="2"/>
      <sz val="11"/>
      <scheme val="minor"/>
    </font>
    <font>
      <name val="Calibri"/>
      <family val="2"/>
      <color theme="1"/>
      <sz val="10"/>
      <scheme val="minor"/>
    </font>
    <font>
      <name val="Calibri"/>
      <family val="2"/>
      <b val="1"/>
      <color theme="1"/>
      <sz val="10"/>
      <scheme val="minor"/>
    </font>
    <font>
      <name val="Arial"/>
      <family val="2"/>
      <color theme="1"/>
      <sz val="9"/>
    </font>
    <font>
      <name val="Arial"/>
      <family val="2"/>
      <b val="1"/>
      <color theme="1"/>
      <sz val="8"/>
    </font>
    <font>
      <name val="Arial"/>
      <family val="2"/>
      <color rgb="FF00B0F0"/>
      <sz val="9"/>
    </font>
    <font>
      <name val="Calibri"/>
      <family val="2"/>
      <i val="1"/>
      <color rgb="FFFF0000"/>
      <sz val="12"/>
    </font>
    <font>
      <name val="Calibri"/>
      <family val="2"/>
      <b val="1"/>
      <color theme="1"/>
      <sz val="11"/>
      <scheme val="minor"/>
    </font>
    <font>
      <name val="Arial"/>
      <family val="2"/>
      <b val="1"/>
      <sz val="8"/>
    </font>
    <font>
      <name val="Arial"/>
      <family val="2"/>
      <b val="1"/>
      <color theme="0"/>
      <sz val="11"/>
    </font>
    <font>
      <name val="Arial"/>
      <family val="2"/>
      <b val="1"/>
      <color rgb="FFFFFFFF"/>
      <sz val="11"/>
    </font>
    <font>
      <name val="Arial"/>
      <family val="2"/>
      <b val="1"/>
      <i val="1"/>
      <color theme="0"/>
      <sz val="11"/>
    </font>
    <font>
      <name val="Arial"/>
      <family val="2"/>
      <b val="1"/>
      <i val="1"/>
      <color rgb="FFFFFFFF"/>
      <sz val="11"/>
    </font>
    <font>
      <name val="Arial"/>
      <family val="2"/>
      <b val="1"/>
      <color theme="1"/>
      <sz val="11"/>
      <u val="single"/>
    </font>
    <font>
      <name val="Calibri"/>
      <family val="2"/>
      <color rgb="FF000000"/>
      <sz val="11"/>
    </font>
    <font>
      <name val="Calibri"/>
      <charset val="1"/>
      <family val="2"/>
      <color rgb="FF444444"/>
      <sz val="11"/>
    </font>
    <font>
      <name val="Arial"/>
      <family val="2"/>
      <color rgb="FFFF0000"/>
      <sz val="11"/>
    </font>
    <font>
      <name val="Arial"/>
      <family val="2"/>
      <b val="1"/>
      <sz val="7.5"/>
    </font>
    <font>
      <name val="Arial"/>
      <family val="2"/>
      <color theme="0"/>
      <sz val="7"/>
    </font>
    <font>
      <name val="Arial"/>
      <family val="2"/>
      <sz val="7"/>
    </font>
    <font>
      <name val="Arial"/>
      <family val="2"/>
      <color rgb="FF000000"/>
      <sz val="9"/>
    </font>
    <font>
      <name val="Arial"/>
      <family val="2"/>
      <color theme="0"/>
      <sz val="10"/>
    </font>
    <font>
      <name val="Arial"/>
      <family val="2"/>
      <color theme="0"/>
      <sz val="8"/>
    </font>
    <font>
      <name val="Arial"/>
      <family val="2"/>
      <b val="1"/>
      <color theme="0"/>
      <sz val="10"/>
    </font>
  </fonts>
  <fills count="7">
    <fill>
      <patternFill/>
    </fill>
    <fill>
      <patternFill patternType="gray125"/>
    </fill>
    <fill>
      <patternFill patternType="solid">
        <fgColor theme="1"/>
        <bgColor indexed="64"/>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rgb="FFD9D9D9"/>
        <bgColor rgb="FF000000"/>
      </patternFill>
    </fill>
  </fills>
  <borders count="116">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top style="thick">
        <color indexed="64"/>
      </top>
      <bottom style="thick">
        <color indexed="64"/>
      </bottom>
      <diagonal/>
    </border>
    <border>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bottom style="thin">
        <color indexed="64"/>
      </bottom>
      <diagonal/>
    </border>
    <border>
      <left style="thin">
        <color indexed="64"/>
      </left>
      <right/>
      <top style="thick">
        <color indexed="64"/>
      </top>
      <bottom style="thin">
        <color indexed="64"/>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top style="thin">
        <color indexed="64"/>
      </top>
      <bottom/>
      <diagonal/>
    </border>
    <border>
      <left/>
      <right style="thick">
        <color indexed="64"/>
      </right>
      <top style="thin">
        <color indexed="64"/>
      </top>
      <bottom/>
      <diagonal/>
    </border>
    <border>
      <left style="thin">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n">
        <color indexed="64"/>
      </left>
      <right style="thick">
        <color indexed="64"/>
      </right>
      <top/>
      <bottom style="thin">
        <color indexed="64"/>
      </bottom>
      <diagonal/>
    </border>
    <border>
      <left/>
      <right style="thin">
        <color indexed="64"/>
      </right>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top style="thick">
        <color indexed="64"/>
      </top>
      <bottom style="thin">
        <color indexed="64"/>
      </bottom>
      <diagonal/>
    </border>
    <border>
      <left style="thin">
        <color indexed="64"/>
      </left>
      <right/>
      <top/>
      <bottom style="thin">
        <color indexed="64"/>
      </bottom>
      <diagonal/>
    </border>
    <border>
      <left style="thick">
        <color indexed="64"/>
      </left>
      <right/>
      <top style="thin">
        <color indexed="64"/>
      </top>
      <bottom style="thin">
        <color indexed="64"/>
      </bottom>
      <diagonal/>
    </border>
    <border>
      <left style="thin">
        <color indexed="64"/>
      </left>
      <right style="thick">
        <color indexed="64"/>
      </right>
      <top/>
      <bottom/>
      <diagonal/>
    </border>
    <border>
      <left style="thick">
        <color indexed="64"/>
      </left>
      <right/>
      <top style="thin">
        <color indexed="64"/>
      </top>
      <bottom/>
      <diagonal/>
    </border>
    <border>
      <left style="thick">
        <color indexed="64"/>
      </left>
      <right/>
      <top/>
      <bottom/>
      <diagonal/>
    </border>
    <border>
      <left style="thick">
        <color indexed="64"/>
      </left>
      <right style="thin">
        <color indexed="64"/>
      </right>
      <top/>
      <bottom style="thin">
        <color indexed="64"/>
      </bottom>
      <diagonal/>
    </border>
    <border>
      <left/>
      <right style="thick">
        <color indexed="64"/>
      </right>
      <top style="thin">
        <color indexed="64"/>
      </top>
      <bottom style="thick">
        <color indexed="64"/>
      </bottom>
      <diagonal/>
    </border>
    <border>
      <left style="thick">
        <color indexed="64"/>
      </left>
      <right/>
      <top style="thin">
        <color indexed="64"/>
      </top>
      <bottom style="thick">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indexed="64"/>
      </left>
      <right/>
      <top/>
      <bottom/>
      <diagonal/>
    </border>
    <border>
      <left/>
      <right style="thin">
        <color indexed="64"/>
      </right>
      <top/>
      <bottom/>
      <diagonal/>
    </border>
    <border>
      <left/>
      <right style="thin">
        <color indexed="64"/>
      </right>
      <top/>
      <bottom style="thick">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n">
        <color indexed="64"/>
      </bottom>
      <diagonal/>
    </border>
    <border>
      <left style="thick">
        <color indexed="64"/>
      </left>
      <right/>
      <top/>
      <bottom style="thin">
        <color indexed="64"/>
      </bottom>
      <diagonal/>
    </border>
    <border>
      <left/>
      <right style="thick">
        <color indexed="64"/>
      </right>
      <top/>
      <bottom/>
      <diagonal/>
    </border>
    <border>
      <left/>
      <right style="thick">
        <color indexed="64"/>
      </right>
      <top style="thick">
        <color indexed="64"/>
      </top>
      <bottom style="thick">
        <color indexed="64"/>
      </bottom>
      <diagonal/>
    </border>
    <border>
      <left style="thin">
        <color indexed="64"/>
      </left>
      <right style="thin">
        <color indexed="64"/>
      </right>
      <top/>
      <bottom/>
      <diagonal/>
    </border>
    <border>
      <left/>
      <right style="thick">
        <color indexed="64"/>
      </right>
      <top/>
      <bottom style="thin">
        <color indexed="64"/>
      </bottom>
      <diagonal/>
    </border>
    <border>
      <left style="thin">
        <color indexed="64"/>
      </left>
      <right style="thin">
        <color indexed="64"/>
      </right>
      <top/>
      <bottom style="thick">
        <color indexed="64"/>
      </bottom>
      <diagonal/>
    </border>
    <border>
      <left/>
      <right/>
      <top style="thick">
        <color indexed="64"/>
      </top>
      <bottom/>
      <diagonal/>
    </border>
    <border>
      <left style="thick">
        <color indexed="64"/>
      </left>
      <right style="thick">
        <color indexed="64"/>
      </right>
      <top style="thick">
        <color indexed="64"/>
      </top>
      <bottom style="thin">
        <color indexed="64"/>
      </bottom>
      <diagonal/>
    </border>
    <border>
      <left style="thick">
        <color indexed="64"/>
      </left>
      <right/>
      <top style="thick">
        <color indexed="64"/>
      </top>
      <bottom/>
      <diagonal/>
    </border>
    <border>
      <left/>
      <right style="thick">
        <color indexed="64"/>
      </right>
      <top style="thick">
        <color indexed="64"/>
      </top>
      <bottom/>
      <diagonal/>
    </border>
    <border>
      <left style="thick">
        <color indexed="64"/>
      </left>
      <right/>
      <top/>
      <bottom style="thick">
        <color indexed="64"/>
      </bottom>
      <diagonal/>
    </border>
    <border>
      <left style="thin">
        <color indexed="64"/>
      </left>
      <right/>
      <top style="thin">
        <color indexed="64"/>
      </top>
      <bottom style="medium">
        <color indexed="64"/>
      </bottom>
      <diagonal/>
    </border>
    <border>
      <left/>
      <right style="thick">
        <color indexed="64"/>
      </right>
      <top style="thin">
        <color indexed="64"/>
      </top>
      <bottom style="medium">
        <color indexed="64"/>
      </bottom>
      <diagonal/>
    </border>
    <border>
      <left style="thick">
        <color indexed="64"/>
      </left>
      <right style="thin">
        <color indexed="64"/>
      </right>
      <top style="thin">
        <color indexed="64"/>
      </top>
      <bottom style="medium">
        <color indexed="64"/>
      </bottom>
      <diagonal/>
    </border>
    <border>
      <left style="thin">
        <color indexed="64"/>
      </left>
      <right style="thick">
        <color indexed="64"/>
      </right>
      <top style="thin">
        <color indexed="64"/>
      </top>
      <bottom style="medium">
        <color indexed="64"/>
      </bottom>
      <diagonal/>
    </border>
    <border>
      <left style="thick">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ck">
        <color indexed="64"/>
      </left>
      <right style="thin">
        <color indexed="64"/>
      </right>
      <top/>
      <bottom/>
      <diagonal/>
    </border>
    <border>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bottom style="thick">
        <color indexed="64"/>
      </bottom>
      <diagonal/>
    </border>
    <border>
      <left style="thick">
        <color indexed="64"/>
      </left>
      <right style="thin">
        <color indexed="64"/>
      </right>
      <top/>
      <bottom style="thick">
        <color indexed="64"/>
      </bottom>
      <diagonal/>
    </border>
    <border>
      <left style="thin">
        <color indexed="64"/>
      </left>
      <right/>
      <top style="thick">
        <color indexed="64"/>
      </top>
      <bottom/>
      <diagonal/>
    </border>
    <border>
      <left style="thick">
        <color indexed="64"/>
      </left>
      <right style="thick">
        <color indexed="64"/>
      </right>
      <top/>
      <bottom style="thin">
        <color indexed="64"/>
      </bottom>
      <diagonal/>
    </border>
    <border>
      <left/>
      <right/>
      <top style="thick">
        <color indexed="64"/>
      </top>
      <bottom style="thin">
        <color rgb="FF000000"/>
      </bottom>
      <diagonal/>
    </border>
    <border>
      <left style="thin">
        <color indexed="64"/>
      </left>
      <right style="thin">
        <color indexed="64"/>
      </right>
      <top style="thin">
        <color rgb="FF000000"/>
      </top>
      <bottom style="thin">
        <color indexed="64"/>
      </bottom>
      <diagonal/>
    </border>
    <border>
      <left style="thick">
        <color indexed="64"/>
      </left>
      <right/>
      <top style="thin">
        <color indexed="64"/>
      </top>
      <bottom style="medium">
        <color indexed="64"/>
      </bottom>
      <diagonal/>
    </border>
    <border>
      <left style="thick">
        <color indexed="64"/>
      </left>
      <right style="thick">
        <color indexed="64"/>
      </right>
      <top/>
      <bottom/>
      <diagonal/>
    </border>
    <border>
      <left style="thin">
        <color indexed="64"/>
      </left>
      <right/>
      <top style="thick">
        <color indexed="64"/>
      </top>
      <bottom style="thin">
        <color rgb="FF000000"/>
      </bottom>
      <diagonal/>
    </border>
    <border>
      <left/>
      <right style="thin">
        <color indexed="64"/>
      </right>
      <top style="thick">
        <color indexed="64"/>
      </top>
      <bottom style="thin">
        <color rgb="FF000000"/>
      </bottom>
      <diagonal/>
    </border>
    <border>
      <left style="thin">
        <color rgb="FF000000"/>
      </left>
      <right style="thin">
        <color rgb="FF000000"/>
      </right>
      <top style="thin">
        <color rgb="FF000000"/>
      </top>
      <bottom style="medium">
        <color rgb="FF000000"/>
      </bottom>
      <diagonal/>
    </border>
    <border>
      <left style="thin">
        <color indexed="64"/>
      </left>
      <right style="thin">
        <color indexed="64"/>
      </right>
      <top style="thin">
        <color indexed="64"/>
      </top>
      <bottom style="medium">
        <color rgb="FF000000"/>
      </bottom>
      <diagonal/>
    </border>
    <border>
      <left style="medium">
        <color rgb="FF000000"/>
      </left>
      <right/>
      <top style="medium">
        <color rgb="FF000000"/>
      </top>
      <bottom style="thin">
        <color indexed="64"/>
      </bottom>
      <diagonal/>
    </border>
    <border>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top style="thin">
        <color indexed="64"/>
      </top>
      <bottom/>
      <diagonal/>
    </border>
    <border>
      <left style="thin">
        <color indexed="64"/>
      </left>
      <right style="medium">
        <color rgb="FF000000"/>
      </right>
      <top style="thin">
        <color indexed="64"/>
      </top>
      <bottom/>
      <diagonal/>
    </border>
    <border>
      <left style="medium">
        <color rgb="FF000000"/>
      </left>
      <right style="thin">
        <color rgb="FF000000"/>
      </right>
      <top style="thin">
        <color rgb="FF000000"/>
      </top>
      <bottom style="medium">
        <color rgb="FF000000"/>
      </bottom>
      <diagonal/>
    </border>
    <border>
      <left style="thin">
        <color indexed="64"/>
      </left>
      <right style="medium">
        <color rgb="FF000000"/>
      </right>
      <top style="thin">
        <color indexed="64"/>
      </top>
      <bottom style="medium">
        <color rgb="FF000000"/>
      </bottom>
      <diagonal/>
    </border>
    <border>
      <left style="thick">
        <color indexed="64"/>
      </left>
      <right style="thick">
        <color indexed="64"/>
      </right>
      <top style="thick">
        <color indexed="64"/>
      </top>
      <bottom/>
      <diagonal/>
    </border>
    <border>
      <left style="thick">
        <color indexed="64"/>
      </left>
      <right style="thick">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thick">
        <color indexed="64"/>
      </top>
      <bottom style="thin">
        <color rgb="FF000000"/>
      </bottom>
      <diagonal/>
    </border>
    <border>
      <left/>
      <right/>
      <top style="thin">
        <color rgb="FF000000"/>
      </top>
      <bottom/>
      <diagonal/>
    </border>
    <border>
      <left/>
      <right style="thin">
        <color indexed="64"/>
      </right>
      <top style="thin">
        <color rgb="FF000000"/>
      </top>
      <bottom/>
      <diagonal/>
    </border>
    <border>
      <left style="thick">
        <color indexed="64"/>
      </left>
      <right style="thin">
        <color indexed="64"/>
      </right>
      <top style="thick">
        <color indexed="64"/>
      </top>
      <bottom/>
      <diagonal/>
    </border>
    <border>
      <left style="medium">
        <color rgb="FF000000"/>
      </left>
      <right style="thin">
        <color indexed="64"/>
      </right>
      <top style="medium">
        <color rgb="FF000000"/>
      </top>
      <bottom style="thin">
        <color indexed="64"/>
      </bottom>
      <diagonal/>
    </border>
    <border>
      <left/>
      <right/>
      <top style="medium">
        <color rgb="FF000000"/>
      </top>
      <bottom/>
      <diagonal/>
    </border>
    <border>
      <left/>
      <right style="thin">
        <color indexed="64"/>
      </right>
      <top style="medium">
        <color rgb="FF000000"/>
      </top>
      <bottom/>
      <diagonal/>
    </border>
    <border>
      <left style="medium">
        <color rgb="FF000000"/>
      </left>
      <right style="thin">
        <color indexed="64"/>
      </right>
      <top style="thin">
        <color indexed="64"/>
      </top>
      <bottom/>
      <diagonal/>
    </border>
    <border>
      <left/>
      <right style="thin">
        <color rgb="FF000000"/>
      </right>
      <top style="thin">
        <color rgb="FF000000"/>
      </top>
      <bottom/>
      <diagonal/>
    </border>
    <border>
      <left/>
      <right style="thin">
        <color rgb="FF000000"/>
      </right>
      <top style="thin">
        <color rgb="FF000000"/>
      </top>
      <bottom style="medium">
        <color rgb="FF000000"/>
      </bottom>
      <diagonal/>
    </border>
    <border>
      <left/>
      <right style="thin">
        <color indexed="64"/>
      </right>
      <top style="thin">
        <color indexed="64"/>
      </top>
      <bottom style="medium">
        <color rgb="FF000000"/>
      </bottom>
      <diagonal/>
    </border>
    <border>
      <left style="thick">
        <color indexed="64"/>
      </left>
      <right style="thick">
        <color indexed="64"/>
      </right>
      <top style="thin">
        <color indexed="64"/>
      </top>
      <bottom style="medium">
        <color indexed="64"/>
      </bottom>
      <diagonal/>
    </border>
  </borders>
  <cellStyleXfs count="2">
    <xf numFmtId="0" fontId="0" fillId="0" borderId="0"/>
    <xf numFmtId="0" fontId="11" fillId="0" borderId="0"/>
  </cellStyleXfs>
  <cellXfs count="1530">
    <xf numFmtId="0" fontId="0" fillId="0" borderId="0" pivotButton="0" quotePrefix="0" xfId="0"/>
    <xf numFmtId="0" fontId="9" fillId="3" borderId="18" applyAlignment="1" applyProtection="1" pivotButton="0" quotePrefix="0" xfId="0">
      <alignment horizontal="center"/>
      <protection locked="0" hidden="0"/>
    </xf>
    <xf numFmtId="0" fontId="9" fillId="3" borderId="37" applyAlignment="1" applyProtection="1" pivotButton="0" quotePrefix="0" xfId="0">
      <alignment horizontal="center"/>
      <protection locked="0" hidden="0"/>
    </xf>
    <xf numFmtId="0" fontId="9" fillId="3" borderId="67" applyAlignment="1" applyProtection="1" pivotButton="0" quotePrefix="0" xfId="0">
      <alignment horizontal="center"/>
      <protection locked="0" hidden="0"/>
    </xf>
    <xf numFmtId="0" fontId="9" fillId="3" borderId="65" applyAlignment="1" applyProtection="1" pivotButton="0" quotePrefix="0" xfId="0">
      <alignment horizontal="center"/>
      <protection locked="0" hidden="0"/>
    </xf>
    <xf numFmtId="0" fontId="0" fillId="4" borderId="0" pivotButton="0" quotePrefix="0" xfId="0"/>
    <xf numFmtId="0" fontId="0" fillId="0" borderId="0" applyAlignment="1" pivotButton="0" quotePrefix="0" xfId="0">
      <alignment horizontal="right"/>
    </xf>
    <xf numFmtId="0" fontId="0" fillId="4" borderId="0" applyAlignment="1" pivotButton="0" quotePrefix="0" xfId="0">
      <alignment horizontal="right"/>
    </xf>
    <xf numFmtId="0" fontId="0" fillId="5" borderId="0" pivotButton="0" quotePrefix="0" xfId="0"/>
    <xf numFmtId="0" fontId="0" fillId="5" borderId="0" applyAlignment="1" pivotButton="0" quotePrefix="0" xfId="0">
      <alignment horizontal="right"/>
    </xf>
    <xf numFmtId="0" fontId="41" fillId="6" borderId="0" pivotButton="0" quotePrefix="0" xfId="0"/>
    <xf numFmtId="0" fontId="42" fillId="4" borderId="0" pivotButton="0" quotePrefix="0" xfId="0"/>
    <xf numFmtId="0" fontId="42" fillId="5" borderId="0" pivotButton="0" quotePrefix="0" xfId="0"/>
    <xf numFmtId="0" fontId="11" fillId="3" borderId="4"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2" applyAlignment="1" applyProtection="1" pivotButton="0" quotePrefix="0" xfId="1">
      <alignment horizontal="center" vertical="center"/>
      <protection locked="0" hidden="0"/>
    </xf>
    <xf numFmtId="0" fontId="11" fillId="3" borderId="32"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35" applyAlignment="1" applyProtection="1" pivotButton="0" quotePrefix="0" xfId="1">
      <alignment horizontal="center" vertical="center"/>
      <protection locked="0" hidden="0"/>
    </xf>
    <xf numFmtId="0" fontId="11" fillId="3" borderId="44" applyAlignment="1" applyProtection="1" pivotButton="0" quotePrefix="0" xfId="1">
      <alignment horizontal="center" vertical="center"/>
      <protection locked="0" hidden="0"/>
    </xf>
    <xf numFmtId="0" fontId="11" fillId="3" borderId="6"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39" applyAlignment="1" applyProtection="1" pivotButton="0" quotePrefix="0" xfId="1">
      <alignment horizontal="center" vertical="center"/>
      <protection locked="0" hidden="0"/>
    </xf>
    <xf numFmtId="0" fontId="9" fillId="3" borderId="7" applyAlignment="1" applyProtection="1" pivotButton="0" quotePrefix="0" xfId="0">
      <alignment horizontal="center"/>
      <protection locked="0" hidden="0"/>
    </xf>
    <xf numFmtId="0" fontId="11" fillId="3" borderId="31" applyAlignment="1" applyProtection="1" pivotButton="0" quotePrefix="0" xfId="1">
      <alignment horizontal="center" vertical="center"/>
      <protection locked="0" hidden="0"/>
    </xf>
    <xf numFmtId="0" fontId="1" fillId="0" borderId="0" pivotButton="0" quotePrefix="0" xfId="0"/>
    <xf numFmtId="0" fontId="20" fillId="0" borderId="0" pivotButton="0" quotePrefix="0" xfId="0"/>
    <xf numFmtId="0" fontId="1" fillId="0" borderId="0" applyAlignment="1" pivotButton="0" quotePrefix="0" xfId="0">
      <alignment horizontal="center"/>
    </xf>
    <xf numFmtId="0" fontId="1" fillId="0" borderId="26" pivotButton="0" quotePrefix="0" xfId="0"/>
    <xf numFmtId="0" fontId="5" fillId="0" borderId="0" pivotButton="0" quotePrefix="0" xfId="0"/>
    <xf numFmtId="0" fontId="9" fillId="0" borderId="0" pivotButton="0" quotePrefix="0" xfId="0"/>
    <xf numFmtId="0" fontId="9" fillId="0" borderId="0" applyAlignment="1" pivotButton="0" quotePrefix="0" xfId="0">
      <alignment horizontal="left" indent="1"/>
    </xf>
    <xf numFmtId="0" fontId="9" fillId="0" borderId="0" applyAlignment="1" pivotButton="0" quotePrefix="0" xfId="0">
      <alignment horizontal="center"/>
    </xf>
    <xf numFmtId="0" fontId="5" fillId="0" borderId="0" applyAlignment="1" pivotButton="0" quotePrefix="0" xfId="0">
      <alignment horizontal="left" indent="1"/>
    </xf>
    <xf numFmtId="0" fontId="10" fillId="0" borderId="0" applyAlignment="1" pivotButton="0" quotePrefix="0" xfId="0">
      <alignment horizontal="left"/>
    </xf>
    <xf numFmtId="0" fontId="10" fillId="0" borderId="0" applyAlignment="1" pivotButton="0" quotePrefix="0" xfId="0">
      <alignment horizontal="left" indent="1"/>
    </xf>
    <xf numFmtId="0" fontId="10" fillId="0" borderId="0" pivotButton="0" quotePrefix="0" xfId="0"/>
    <xf numFmtId="0" fontId="12" fillId="0" borderId="0" applyAlignment="1" pivotButton="0" quotePrefix="0" xfId="1">
      <alignment horizontal="center" vertical="center" wrapText="1"/>
    </xf>
    <xf numFmtId="0" fontId="9" fillId="0" borderId="0" applyAlignment="1" pivotButton="0" quotePrefix="0" xfId="0">
      <alignment horizontal="left" wrapText="1" indent="1"/>
    </xf>
    <xf numFmtId="0" fontId="9" fillId="0" borderId="0" applyAlignment="1" pivotButton="0" quotePrefix="0" xfId="0">
      <alignment horizontal="center" vertical="center"/>
    </xf>
    <xf numFmtId="0" fontId="11" fillId="0" borderId="0" applyAlignment="1" pivotButton="0" quotePrefix="0" xfId="1">
      <alignment horizontal="left" vertical="center"/>
    </xf>
    <xf numFmtId="0" fontId="11" fillId="0" borderId="0" applyAlignment="1" pivotButton="0" quotePrefix="0" xfId="1">
      <alignment horizontal="center" vertical="center"/>
    </xf>
    <xf numFmtId="0" fontId="11" fillId="0" borderId="0" applyAlignment="1" pivotButton="0" quotePrefix="0" xfId="1">
      <alignment vertical="center"/>
    </xf>
    <xf numFmtId="0" fontId="11" fillId="0" borderId="43" applyAlignment="1" pivotButton="0" quotePrefix="0" xfId="1">
      <alignment vertical="center"/>
    </xf>
    <xf numFmtId="0" fontId="15" fillId="0" borderId="0" applyAlignment="1" pivotButton="0" quotePrefix="0" xfId="1">
      <alignment horizontal="left"/>
    </xf>
    <xf numFmtId="0" fontId="11" fillId="0" borderId="0" applyAlignment="1" pivotButton="0" quotePrefix="0" xfId="1">
      <alignment horizontal="center"/>
    </xf>
    <xf numFmtId="0" fontId="5" fillId="0" borderId="0" applyAlignment="1" pivotButton="0" quotePrefix="0" xfId="0">
      <alignment horizontal="left" vertical="center" indent="1"/>
    </xf>
    <xf numFmtId="0" fontId="11" fillId="0" borderId="0" applyAlignment="1" pivotButton="0" quotePrefix="1" xfId="1">
      <alignment horizontal="left" vertical="center"/>
    </xf>
    <xf numFmtId="0" fontId="5" fillId="3" borderId="0" applyAlignment="1" pivotButton="0" quotePrefix="0" xfId="0">
      <alignment horizontal="left" vertical="center" indent="1"/>
    </xf>
    <xf numFmtId="0" fontId="1" fillId="3" borderId="0" pivotButton="0" quotePrefix="0" xfId="0"/>
    <xf numFmtId="0" fontId="14" fillId="0" borderId="0" applyAlignment="1" pivotButton="0" quotePrefix="0" xfId="1">
      <alignment vertical="center" wrapText="1"/>
    </xf>
    <xf numFmtId="0" fontId="43" fillId="0" borderId="0" pivotButton="0" quotePrefix="1" xfId="0"/>
    <xf numFmtId="0" fontId="14" fillId="0" borderId="0" applyAlignment="1" pivotButton="0" quotePrefix="0" xfId="1">
      <alignment horizontal="left" vertical="center" indent="1"/>
    </xf>
    <xf numFmtId="0" fontId="5" fillId="0" borderId="0" applyAlignment="1" pivotButton="0" quotePrefix="0" xfId="0">
      <alignment vertical="center" wrapText="1"/>
    </xf>
    <xf numFmtId="0" fontId="21" fillId="0" borderId="0" applyAlignment="1" pivotButton="0" quotePrefix="0" xfId="0">
      <alignment horizontal="left" vertical="center" indent="1"/>
    </xf>
    <xf numFmtId="0" fontId="22" fillId="0" borderId="0" pivotButton="0" quotePrefix="0" xfId="0"/>
    <xf numFmtId="0" fontId="21" fillId="0" borderId="0" applyAlignment="1" pivotButton="0" quotePrefix="0" xfId="1">
      <alignment horizontal="left" vertical="center" indent="1"/>
    </xf>
    <xf numFmtId="0" fontId="11" fillId="0" borderId="0" applyAlignment="1" pivotButton="0" quotePrefix="0" xfId="1">
      <alignment horizontal="left" vertical="center" wrapText="1" indent="1"/>
    </xf>
    <xf numFmtId="0" fontId="36" fillId="0" borderId="0" applyAlignment="1" pivotButton="0" quotePrefix="0" xfId="0">
      <alignment horizontal="left" indent="1"/>
    </xf>
    <xf numFmtId="0" fontId="19" fillId="0" borderId="0" pivotButton="0" quotePrefix="0" xfId="0"/>
    <xf numFmtId="0" fontId="19" fillId="0" borderId="0" applyAlignment="1" pivotButton="0" quotePrefix="0" xfId="0">
      <alignment horizontal="center"/>
    </xf>
    <xf numFmtId="0" fontId="5" fillId="3" borderId="0" applyAlignment="1" pivotButton="0" quotePrefix="0" xfId="0">
      <alignment horizontal="left" indent="1"/>
    </xf>
    <xf numFmtId="0" fontId="5" fillId="3" borderId="0" pivotButton="0" quotePrefix="0" xfId="0"/>
    <xf numFmtId="0" fontId="28" fillId="0" borderId="0" applyAlignment="1" pivotButton="0" quotePrefix="0" xfId="0">
      <alignment horizontal="center"/>
    </xf>
    <xf numFmtId="164" fontId="14" fillId="0" borderId="0" applyAlignment="1" pivotButton="0" quotePrefix="0" xfId="1">
      <alignment horizontal="center" vertical="center"/>
    </xf>
    <xf numFmtId="0" fontId="20" fillId="3" borderId="0" pivotButton="0" quotePrefix="0" xfId="0"/>
    <xf numFmtId="0" fontId="2" fillId="3" borderId="0" applyAlignment="1" pivotButton="0" quotePrefix="0" xfId="0">
      <alignment wrapText="1"/>
    </xf>
    <xf numFmtId="0" fontId="1" fillId="3" borderId="0" applyAlignment="1" pivotButton="0" quotePrefix="0" xfId="0">
      <alignment horizontal="center"/>
    </xf>
    <xf numFmtId="0" fontId="6" fillId="3" borderId="0" applyAlignment="1" pivotButton="0" quotePrefix="0" xfId="0">
      <alignment horizontal="left"/>
    </xf>
    <xf numFmtId="0" fontId="6" fillId="3" borderId="0" pivotButton="0" quotePrefix="0" xfId="0"/>
    <xf numFmtId="0" fontId="26" fillId="3" borderId="0" pivotButton="0" quotePrefix="0" xfId="0"/>
    <xf numFmtId="0" fontId="8" fillId="3" borderId="0" applyAlignment="1" pivotButton="0" quotePrefix="0" xfId="0">
      <alignment horizontal="left" vertical="center" indent="1"/>
    </xf>
    <xf numFmtId="0" fontId="9" fillId="3" borderId="0" pivotButton="0" quotePrefix="0" xfId="0"/>
    <xf numFmtId="0" fontId="9" fillId="3" borderId="0" applyAlignment="1" pivotButton="0" quotePrefix="0" xfId="0">
      <alignment horizontal="center"/>
    </xf>
    <xf numFmtId="0" fontId="11" fillId="3" borderId="0" applyAlignment="1" pivotButton="0" quotePrefix="0" xfId="1">
      <alignment horizontal="left" vertical="center" indent="2"/>
    </xf>
    <xf numFmtId="0" fontId="11" fillId="3" borderId="0" applyAlignment="1" pivotButton="0" quotePrefix="0" xfId="1">
      <alignment horizontal="center" vertical="center"/>
    </xf>
    <xf numFmtId="0" fontId="10" fillId="3" borderId="0" applyAlignment="1" pivotButton="0" quotePrefix="0" xfId="0">
      <alignment horizontal="left" indent="1"/>
    </xf>
    <xf numFmtId="0" fontId="11" fillId="3" borderId="0" applyAlignment="1" pivotButton="0" quotePrefix="0" xfId="1">
      <alignment vertical="center" wrapText="1"/>
    </xf>
    <xf numFmtId="0" fontId="9" fillId="0" borderId="0" applyAlignment="1" pivotButton="0" quotePrefix="0" xfId="0">
      <alignment vertical="center"/>
    </xf>
    <xf numFmtId="0" fontId="10" fillId="3" borderId="0" applyAlignment="1" pivotButton="0" quotePrefix="0" xfId="0">
      <alignment vertical="center"/>
    </xf>
    <xf numFmtId="0" fontId="21" fillId="3" borderId="0" pivotButton="0" quotePrefix="0" xfId="0"/>
    <xf numFmtId="0" fontId="11" fillId="3" borderId="0" applyAlignment="1" pivotButton="0" quotePrefix="0" xfId="1">
      <alignment vertical="center"/>
    </xf>
    <xf numFmtId="0" fontId="1" fillId="3" borderId="0" applyAlignment="1" pivotButton="0" quotePrefix="0" xfId="0">
      <alignment horizontal="left" indent="1"/>
    </xf>
    <xf numFmtId="0" fontId="14" fillId="3" borderId="0" applyAlignment="1" pivotButton="0" quotePrefix="0" xfId="1">
      <alignment horizontal="left" vertical="center" indent="1"/>
    </xf>
    <xf numFmtId="0" fontId="5" fillId="3" borderId="0" applyAlignment="1" pivotButton="0" quotePrefix="0" xfId="0">
      <alignment vertical="center" wrapText="1"/>
    </xf>
    <xf numFmtId="0" fontId="0" fillId="3" borderId="0" pivotButton="0" quotePrefix="0" xfId="0"/>
    <xf numFmtId="0" fontId="2" fillId="0" borderId="0" applyAlignment="1" pivotButton="0" quotePrefix="0" xfId="0">
      <alignment wrapText="1"/>
    </xf>
    <xf numFmtId="0" fontId="28" fillId="3" borderId="0" applyAlignment="1" pivotButton="0" quotePrefix="0" xfId="0">
      <alignment horizontal="center" vertical="center"/>
    </xf>
    <xf numFmtId="0" fontId="2" fillId="3" borderId="0" applyAlignment="1" pivotButton="0" quotePrefix="0" xfId="0">
      <alignment vertical="center" wrapText="1"/>
    </xf>
    <xf numFmtId="0" fontId="9" fillId="3" borderId="0" applyAlignment="1" pivotButton="0" quotePrefix="0" xfId="0">
      <alignment horizontal="center" vertical="center"/>
    </xf>
    <xf numFmtId="0" fontId="1" fillId="3" borderId="0" applyAlignment="1" pivotButton="0" quotePrefix="0" xfId="0">
      <alignment horizontal="right"/>
    </xf>
    <xf numFmtId="0" fontId="25" fillId="3" borderId="0" applyAlignment="1" pivotButton="0" quotePrefix="0" xfId="0">
      <alignment horizontal="left" vertical="center" indent="1"/>
    </xf>
    <xf numFmtId="0" fontId="14" fillId="3" borderId="0" applyAlignment="1" pivotButton="0" quotePrefix="0" xfId="1">
      <alignment vertical="center" wrapText="1"/>
    </xf>
    <xf numFmtId="0" fontId="2" fillId="3" borderId="0" applyAlignment="1" pivotButton="0" quotePrefix="0" xfId="0">
      <alignment horizontal="center" wrapText="1"/>
    </xf>
    <xf numFmtId="0" fontId="17" fillId="3" borderId="0" applyAlignment="1" pivotButton="0" quotePrefix="0" xfId="0">
      <alignment horizontal="left" indent="1"/>
    </xf>
    <xf numFmtId="0" fontId="21" fillId="3" borderId="0" applyAlignment="1" pivotButton="0" quotePrefix="0" xfId="0">
      <alignment horizontal="left" vertical="center" indent="1"/>
    </xf>
    <xf numFmtId="0" fontId="9" fillId="3" borderId="16" applyAlignment="1" pivotButton="0" quotePrefix="0" xfId="0">
      <alignment horizontal="left" indent="1"/>
    </xf>
    <xf numFmtId="0" fontId="9" fillId="3" borderId="8" applyAlignment="1" pivotButton="0" quotePrefix="0" xfId="0">
      <alignment horizontal="left" indent="1"/>
    </xf>
    <xf numFmtId="0" fontId="14" fillId="3" borderId="0" applyAlignment="1" pivotButton="0" quotePrefix="0" xfId="1">
      <alignment horizontal="center" wrapText="1"/>
    </xf>
    <xf numFmtId="0" fontId="11" fillId="2" borderId="6" applyAlignment="1" pivotButton="0" quotePrefix="0" xfId="1">
      <alignment horizontal="center" vertical="center"/>
    </xf>
    <xf numFmtId="0" fontId="8" fillId="3" borderId="0" applyAlignment="1" pivotButton="0" quotePrefix="0" xfId="0">
      <alignment horizontal="left" vertical="center" wrapText="1" indent="1"/>
    </xf>
    <xf numFmtId="0" fontId="14" fillId="3" borderId="0" applyAlignment="1" pivotButton="0" quotePrefix="0" xfId="1">
      <alignment wrapText="1"/>
    </xf>
    <xf numFmtId="0" fontId="6" fillId="3" borderId="0" applyAlignment="1" pivotButton="0" quotePrefix="0" xfId="0">
      <alignment horizontal="left" indent="1"/>
    </xf>
    <xf numFmtId="0" fontId="16" fillId="3" borderId="37" applyAlignment="1" pivotButton="0" quotePrefix="0" xfId="1">
      <alignment horizontal="center" wrapText="1"/>
    </xf>
    <xf numFmtId="0" fontId="16" fillId="3" borderId="34" applyAlignment="1" pivotButton="0" quotePrefix="0" xfId="1">
      <alignment horizontal="center" wrapText="1"/>
    </xf>
    <xf numFmtId="0" fontId="16" fillId="3" borderId="7" applyAlignment="1" pivotButton="0" quotePrefix="0" xfId="1">
      <alignment horizontal="center" wrapText="1"/>
    </xf>
    <xf numFmtId="0" fontId="19" fillId="3" borderId="0" pivotButton="0" quotePrefix="0" xfId="0"/>
    <xf numFmtId="0" fontId="6" fillId="3" borderId="0" applyAlignment="1" pivotButton="0" quotePrefix="0" xfId="0">
      <alignment horizontal="center" wrapText="1"/>
    </xf>
    <xf numFmtId="0" fontId="33" fillId="3" borderId="0" applyAlignment="1" pivotButton="0" quotePrefix="0" xfId="0">
      <alignment vertical="center"/>
    </xf>
    <xf numFmtId="0" fontId="23" fillId="3" borderId="0" applyAlignment="1" pivotButton="0" quotePrefix="0" xfId="0">
      <alignment horizontal="left" indent="1"/>
    </xf>
    <xf numFmtId="0" fontId="14" fillId="3" borderId="0" applyAlignment="1" pivotButton="0" quotePrefix="0" xfId="0">
      <alignment vertical="top"/>
    </xf>
    <xf numFmtId="0" fontId="28" fillId="3" borderId="0" pivotButton="0" quotePrefix="0" xfId="0"/>
    <xf numFmtId="0" fontId="26" fillId="3" borderId="0" applyAlignment="1" pivotButton="0" quotePrefix="0" xfId="0">
      <alignment horizontal="center" vertical="top"/>
    </xf>
    <xf numFmtId="0" fontId="25" fillId="3" borderId="0" applyAlignment="1" pivotButton="0" quotePrefix="0" xfId="0">
      <alignment vertical="top"/>
    </xf>
    <xf numFmtId="0" fontId="22" fillId="0" borderId="0" pivotButton="0" quotePrefix="1" xfId="0"/>
    <xf numFmtId="0" fontId="10" fillId="0" borderId="0" applyAlignment="1" pivotButton="0" quotePrefix="0" xfId="0">
      <alignment vertical="center" wrapText="1"/>
    </xf>
    <xf numFmtId="0" fontId="22" fillId="0" borderId="0" applyAlignment="1" pivotButton="0" quotePrefix="1" xfId="0">
      <alignment vertical="center" wrapText="1"/>
    </xf>
    <xf numFmtId="0" fontId="11" fillId="0" borderId="43" applyAlignment="1" pivotButton="0" quotePrefix="0" xfId="1">
      <alignment horizontal="left" vertical="center"/>
    </xf>
    <xf numFmtId="0" fontId="44" fillId="0" borderId="34" applyAlignment="1" pivotButton="0" quotePrefix="0" xfId="1">
      <alignment horizontal="center" wrapText="1"/>
    </xf>
    <xf numFmtId="0" fontId="44" fillId="0" borderId="37" applyAlignment="1" pivotButton="0" quotePrefix="0" xfId="1">
      <alignment horizontal="center" wrapText="1"/>
    </xf>
    <xf numFmtId="0" fontId="44" fillId="0" borderId="7" applyAlignment="1" pivotButton="0" quotePrefix="0" xfId="1">
      <alignment horizontal="center" wrapText="1"/>
    </xf>
    <xf numFmtId="0" fontId="5" fillId="0" borderId="0" applyAlignment="1" pivotButton="0" quotePrefix="0" xfId="0">
      <alignment wrapText="1"/>
    </xf>
    <xf numFmtId="0" fontId="9" fillId="3" borderId="0" applyAlignment="1" pivotButton="0" quotePrefix="0" xfId="0">
      <alignment horizontal="left" indent="1"/>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3" borderId="7" applyAlignment="1" applyProtection="1" pivotButton="0" quotePrefix="0" xfId="1">
      <alignment horizontal="center" vertical="center"/>
      <protection locked="0" hidden="0"/>
    </xf>
    <xf numFmtId="0" fontId="14" fillId="3" borderId="25" applyAlignment="1" pivotButton="0" quotePrefix="0" xfId="1">
      <alignment horizontal="center" wrapText="1"/>
    </xf>
    <xf numFmtId="0" fontId="9" fillId="3" borderId="26" pivotButton="0" quotePrefix="0" xfId="0"/>
    <xf numFmtId="0" fontId="31" fillId="3" borderId="46" applyAlignment="1" pivotButton="0" quotePrefix="0" xfId="0">
      <alignment horizontal="center" wrapText="1"/>
    </xf>
    <xf numFmtId="0" fontId="31" fillId="3" borderId="18" applyAlignment="1" pivotButton="0" quotePrefix="0" xfId="0">
      <alignment horizontal="center" wrapText="1"/>
    </xf>
    <xf numFmtId="0" fontId="31" fillId="3" borderId="34" applyAlignment="1" pivotButton="0" quotePrefix="0" xfId="0">
      <alignment horizontal="center" wrapText="1"/>
    </xf>
    <xf numFmtId="0" fontId="9" fillId="3" borderId="22" applyAlignment="1" applyProtection="1" pivotButton="0" quotePrefix="0" xfId="0">
      <alignment horizontal="center" vertical="center"/>
      <protection locked="0" hidden="0"/>
    </xf>
    <xf numFmtId="0" fontId="9" fillId="3" borderId="17" applyAlignment="1" applyProtection="1" pivotButton="0" quotePrefix="0" xfId="0">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34" applyAlignment="1" applyProtection="1" pivotButton="0" quotePrefix="0" xfId="0">
      <alignment horizontal="center" vertical="center"/>
      <protection locked="0" hidden="0"/>
    </xf>
    <xf numFmtId="0" fontId="44" fillId="3" borderId="37" applyAlignment="1" pivotButton="0" quotePrefix="0" xfId="1">
      <alignment horizontal="center" wrapText="1"/>
    </xf>
    <xf numFmtId="0" fontId="44" fillId="3" borderId="34" applyAlignment="1" pivotButton="0" quotePrefix="0" xfId="1">
      <alignment horizontal="center" wrapText="1"/>
    </xf>
    <xf numFmtId="0" fontId="9" fillId="3" borderId="37" applyAlignment="1" applyProtection="1" pivotButton="0" quotePrefix="0" xfId="0">
      <alignment horizontal="center" vertical="center"/>
      <protection locked="0" hidden="0"/>
    </xf>
    <xf numFmtId="0" fontId="11" fillId="3" borderId="44" applyAlignment="1" pivotButton="0" quotePrefix="0" xfId="1">
      <alignment horizontal="center" vertical="center"/>
    </xf>
    <xf numFmtId="0" fontId="11" fillId="3" borderId="35" applyAlignment="1" pivotButton="0" quotePrefix="0" xfId="1">
      <alignment horizontal="center" vertical="center"/>
    </xf>
    <xf numFmtId="0" fontId="11" fillId="3" borderId="36" applyAlignment="1" pivotButton="0" quotePrefix="0" xfId="1">
      <alignment horizontal="center" vertical="center"/>
    </xf>
    <xf numFmtId="0" fontId="31" fillId="3" borderId="37" applyAlignment="1" pivotButton="0" quotePrefix="0" xfId="0">
      <alignment horizontal="center" vertical="center" wrapText="1"/>
    </xf>
    <xf numFmtId="0" fontId="9" fillId="3" borderId="44" applyAlignment="1" applyProtection="1" pivotButton="0" quotePrefix="0" xfId="0">
      <alignment horizontal="center" vertical="center"/>
      <protection locked="0" hidden="0"/>
    </xf>
    <xf numFmtId="0" fontId="9" fillId="3" borderId="32" applyAlignment="1" applyProtection="1" pivotButton="0" quotePrefix="0" xfId="0">
      <alignment horizontal="center" vertical="center"/>
      <protection locked="0" hidden="0"/>
    </xf>
    <xf numFmtId="0" fontId="11" fillId="3" borderId="32" applyAlignment="1" pivotButton="0" quotePrefix="0" xfId="1">
      <alignment horizontal="center" vertical="center"/>
    </xf>
    <xf numFmtId="0" fontId="11" fillId="3" borderId="37" applyAlignment="1" pivotButton="0" quotePrefix="0" xfId="1">
      <alignment horizontal="center" vertical="center"/>
    </xf>
    <xf numFmtId="0" fontId="11" fillId="3" borderId="39" applyAlignment="1" pivotButton="0" quotePrefix="0" xfId="1">
      <alignment horizontal="center" vertical="center"/>
    </xf>
    <xf numFmtId="0" fontId="1" fillId="3" borderId="26" pivotButton="0" quotePrefix="0" xfId="0"/>
    <xf numFmtId="0" fontId="14" fillId="3" borderId="57" applyAlignment="1" pivotButton="0" quotePrefix="0" xfId="1">
      <alignment horizontal="center" wrapText="1"/>
    </xf>
    <xf numFmtId="0" fontId="14" fillId="3" borderId="59" applyAlignment="1" pivotButton="0" quotePrefix="0" xfId="1">
      <alignment horizontal="center" wrapText="1"/>
    </xf>
    <xf numFmtId="0" fontId="5" fillId="3" borderId="0" applyAlignment="1" pivotButton="0" quotePrefix="0" xfId="0">
      <alignment horizontal="left" wrapText="1"/>
    </xf>
    <xf numFmtId="0" fontId="9" fillId="3" borderId="16"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1" fillId="3" borderId="9" applyAlignment="1" applyProtection="1" pivotButton="0" quotePrefix="0" xfId="1">
      <alignment horizontal="center" vertical="center"/>
      <protection locked="0" hidden="0"/>
    </xf>
    <xf numFmtId="0" fontId="45" fillId="3" borderId="0" applyAlignment="1" pivotButton="0" quotePrefix="0" xfId="0">
      <alignment wrapText="1"/>
    </xf>
    <xf numFmtId="0" fontId="19" fillId="0" borderId="0" pivotButton="0" quotePrefix="1" xfId="0"/>
    <xf numFmtId="0" fontId="11" fillId="3" borderId="2" applyAlignment="1" pivotButton="0" quotePrefix="0" xfId="1">
      <alignment horizontal="center" vertical="center"/>
    </xf>
    <xf numFmtId="0" fontId="11" fillId="3" borderId="31" applyAlignment="1" pivotButton="0" quotePrefix="0" xfId="1">
      <alignment horizontal="center" vertical="center"/>
    </xf>
    <xf numFmtId="0" fontId="46" fillId="3" borderId="0" applyAlignment="1" pivotButton="0" quotePrefix="0" xfId="0">
      <alignment wrapText="1"/>
    </xf>
    <xf numFmtId="0" fontId="26" fillId="0" borderId="0" pivotButton="0" quotePrefix="1" xfId="0"/>
    <xf numFmtId="0" fontId="41" fillId="5" borderId="0" pivotButton="0" quotePrefix="0" xfId="0"/>
    <xf numFmtId="0" fontId="41" fillId="5" borderId="0" applyAlignment="1" pivotButton="0" quotePrefix="0" xfId="0">
      <alignment horizontal="right"/>
    </xf>
    <xf numFmtId="0" fontId="42" fillId="4" borderId="0" pivotButton="0" quotePrefix="1" xfId="0"/>
    <xf numFmtId="0" fontId="35" fillId="0" borderId="37" applyAlignment="1" pivotButton="0" quotePrefix="0" xfId="1">
      <alignment horizontal="center" vertical="center" wrapText="1"/>
    </xf>
    <xf numFmtId="0" fontId="14" fillId="0" borderId="51" applyAlignment="1" pivotButton="0" quotePrefix="0" xfId="1">
      <alignment horizontal="center"/>
    </xf>
    <xf numFmtId="0" fontId="10" fillId="0" borderId="59" applyAlignment="1" pivotButton="0" quotePrefix="0" xfId="0">
      <alignment horizontal="center"/>
    </xf>
    <xf numFmtId="0" fontId="14" fillId="0" borderId="27" applyAlignment="1" pivotButton="0" quotePrefix="0" xfId="1">
      <alignment horizontal="center"/>
    </xf>
    <xf numFmtId="0" fontId="11" fillId="0" borderId="1" applyAlignment="1" applyProtection="1" pivotButton="0" quotePrefix="0" xfId="1">
      <alignment horizontal="center" vertical="center"/>
      <protection locked="0" hidden="0"/>
    </xf>
    <xf numFmtId="0" fontId="9" fillId="3" borderId="5" applyAlignment="1" applyProtection="1" pivotButton="0" quotePrefix="0" xfId="0">
      <alignment horizontal="center"/>
      <protection locked="0" hidden="0"/>
    </xf>
    <xf numFmtId="0" fontId="9" fillId="3" borderId="72" applyAlignment="1" applyProtection="1" pivotButton="0" quotePrefix="0" xfId="0">
      <alignment horizontal="center"/>
      <protection locked="0" hidden="0"/>
    </xf>
    <xf numFmtId="0" fontId="9" fillId="3" borderId="73" applyAlignment="1" applyProtection="1" pivotButton="0" quotePrefix="0" xfId="0">
      <alignment horizontal="center"/>
      <protection locked="0" hidden="0"/>
    </xf>
    <xf numFmtId="0" fontId="9" fillId="3" borderId="74" applyAlignment="1" applyProtection="1" pivotButton="0" quotePrefix="0" xfId="0">
      <alignment horizontal="center"/>
      <protection locked="0" hidden="0"/>
    </xf>
    <xf numFmtId="0" fontId="9" fillId="3" borderId="32" applyAlignment="1" applyProtection="1" pivotButton="0" quotePrefix="0" xfId="0">
      <alignment horizontal="center"/>
      <protection locked="0" hidden="0"/>
    </xf>
    <xf numFmtId="0" fontId="9" fillId="3" borderId="50" applyAlignment="1" applyProtection="1" pivotButton="0" quotePrefix="0" xfId="0">
      <alignment horizontal="center"/>
      <protection locked="0" hidden="0"/>
    </xf>
    <xf numFmtId="0" fontId="9" fillId="3" borderId="57" applyAlignment="1" applyProtection="1" pivotButton="0" quotePrefix="0" xfId="0">
      <alignment horizontal="center"/>
      <protection locked="0" hidden="0"/>
    </xf>
    <xf numFmtId="0" fontId="9" fillId="3" borderId="6" applyAlignment="1" applyProtection="1" pivotButton="0" quotePrefix="0" xfId="0">
      <alignment horizontal="center"/>
      <protection locked="0" hidden="0"/>
    </xf>
    <xf numFmtId="0" fontId="9" fillId="3" borderId="34" applyAlignment="1" applyProtection="1" pivotButton="0" quotePrefix="0" xfId="0">
      <alignment horizontal="center"/>
      <protection locked="0" hidden="0"/>
    </xf>
    <xf numFmtId="0" fontId="9" fillId="3" borderId="29" applyAlignment="1" applyProtection="1" pivotButton="0" quotePrefix="0" xfId="0">
      <alignment horizontal="center"/>
      <protection locked="0" hidden="0"/>
    </xf>
    <xf numFmtId="0" fontId="9" fillId="3" borderId="31" applyAlignment="1" applyProtection="1" pivotButton="0" quotePrefix="0" xfId="0">
      <alignment horizontal="center"/>
      <protection locked="0" hidden="0"/>
    </xf>
    <xf numFmtId="0" fontId="9" fillId="3" borderId="41" applyAlignment="1" applyProtection="1" pivotButton="0" quotePrefix="0" xfId="0">
      <alignment horizontal="center"/>
      <protection locked="0" hidden="0"/>
    </xf>
    <xf numFmtId="0" fontId="11" fillId="3" borderId="29" applyAlignment="1" applyProtection="1" pivotButton="0" quotePrefix="0" xfId="1">
      <alignment horizontal="center" vertical="center"/>
      <protection locked="0" hidden="0"/>
    </xf>
    <xf numFmtId="0" fontId="11" fillId="0" borderId="22" applyAlignment="1" applyProtection="1" pivotButton="0" quotePrefix="0" xfId="1">
      <alignment horizontal="center" vertical="center"/>
      <protection locked="0" hidden="0"/>
    </xf>
    <xf numFmtId="0" fontId="11" fillId="0" borderId="20" applyAlignment="1" applyProtection="1" pivotButton="0" quotePrefix="0" xfId="1">
      <alignment horizontal="center" vertical="center"/>
      <protection locked="0" hidden="0"/>
    </xf>
    <xf numFmtId="0" fontId="41" fillId="4" borderId="0" pivotButton="0" quotePrefix="0" xfId="0"/>
    <xf numFmtId="0" fontId="9" fillId="3" borderId="7" applyAlignment="1" pivotButton="0" quotePrefix="0" xfId="0">
      <alignment horizontal="center" vertical="center"/>
    </xf>
    <xf numFmtId="0" fontId="11" fillId="3" borderId="71" applyAlignment="1" pivotButton="0" quotePrefix="0" xfId="1">
      <alignment horizontal="center" vertical="center"/>
    </xf>
    <xf numFmtId="0" fontId="11" fillId="3" borderId="20" applyAlignment="1" pivotButton="0" quotePrefix="0" xfId="1">
      <alignment horizontal="center" vertical="center"/>
    </xf>
    <xf numFmtId="0" fontId="43" fillId="3" borderId="0" pivotButton="0" quotePrefix="0" xfId="0"/>
    <xf numFmtId="0" fontId="22" fillId="3" borderId="0" pivotButton="0" quotePrefix="0" xfId="0"/>
    <xf numFmtId="0" fontId="22" fillId="3" borderId="0" applyAlignment="1" pivotButton="0" quotePrefix="1" xfId="0">
      <alignment wrapText="1"/>
    </xf>
    <xf numFmtId="0" fontId="10" fillId="3" borderId="12" applyAlignment="1" pivotButton="0" quotePrefix="0" xfId="0">
      <alignment horizontal="left" indent="1"/>
    </xf>
    <xf numFmtId="0" fontId="11" fillId="0" borderId="33"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3" applyAlignment="1" pivotButton="0" quotePrefix="0" xfId="0">
      <alignment horizontal="left" indent="1"/>
    </xf>
    <xf numFmtId="0" fontId="11" fillId="0" borderId="3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0" fontId="10" fillId="0" borderId="45" applyAlignment="1" pivotButton="0" quotePrefix="0" xfId="0">
      <alignment horizontal="center"/>
    </xf>
    <xf numFmtId="0" fontId="14" fillId="0" borderId="64" applyAlignment="1" pivotButton="0" quotePrefix="0" xfId="1">
      <alignment horizontal="center" wrapText="1"/>
    </xf>
    <xf numFmtId="0" fontId="9" fillId="3" borderId="4" applyAlignment="1" pivotButton="0" quotePrefix="0" xfId="0">
      <alignment horizontal="center" vertical="center"/>
    </xf>
    <xf numFmtId="0" fontId="1" fillId="0" borderId="27" pivotButton="0" quotePrefix="0" xfId="0"/>
    <xf numFmtId="0" fontId="9" fillId="0" borderId="53" applyAlignment="1" applyProtection="1" pivotButton="0" quotePrefix="0" xfId="0">
      <alignment horizontal="center" vertical="center"/>
      <protection locked="0" hidden="0"/>
    </xf>
    <xf numFmtId="0" fontId="9" fillId="0" borderId="43" pivotButton="0" quotePrefix="0" xfId="0"/>
    <xf numFmtId="0" fontId="1" fillId="0" borderId="43" pivotButton="0" quotePrefix="0" xfId="0"/>
    <xf numFmtId="0" fontId="9" fillId="0" borderId="60" applyAlignment="1" pivotButton="0" quotePrefix="0" xfId="0">
      <alignment horizontal="center"/>
    </xf>
    <xf numFmtId="0" fontId="5" fillId="0" borderId="43" pivotButton="0" quotePrefix="0" xfId="0"/>
    <xf numFmtId="0" fontId="9" fillId="3" borderId="45" applyAlignment="1" pivotButton="0" quotePrefix="0" xfId="0">
      <alignment horizontal="left" indent="1"/>
    </xf>
    <xf numFmtId="0" fontId="10" fillId="0" borderId="43" pivotButton="0" quotePrefix="0" xfId="0"/>
    <xf numFmtId="0" fontId="12" fillId="0" borderId="43" applyAlignment="1" pivotButton="0" quotePrefix="0" xfId="1">
      <alignment horizontal="center" vertical="center" wrapText="1"/>
    </xf>
    <xf numFmtId="0" fontId="9" fillId="0" borderId="10"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9" fillId="3" borderId="47" applyAlignment="1" applyProtection="1" pivotButton="0" quotePrefix="0" xfId="0">
      <alignment horizontal="center" vertical="center"/>
      <protection locked="0" hidden="0"/>
    </xf>
    <xf numFmtId="0" fontId="9" fillId="3" borderId="48"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31" fillId="3" borderId="64" applyAlignment="1" pivotButton="0" quotePrefix="0" xfId="0">
      <alignment horizontal="center" wrapText="1"/>
    </xf>
    <xf numFmtId="0" fontId="31" fillId="3" borderId="78" applyAlignment="1" pivotButton="0" quotePrefix="0" xfId="0">
      <alignment horizontal="center" wrapText="1"/>
    </xf>
    <xf numFmtId="0" fontId="1" fillId="0" borderId="60" pivotButton="0" quotePrefix="0" xfId="0"/>
    <xf numFmtId="0" fontId="35" fillId="0" borderId="26" applyAlignment="1" pivotButton="0" quotePrefix="0" xfId="1">
      <alignment horizontal="center" wrapText="1"/>
    </xf>
    <xf numFmtId="0" fontId="13" fillId="0" borderId="27" applyAlignment="1" pivotButton="0" quotePrefix="0" xfId="1">
      <alignment horizontal="center" wrapText="1" shrinkToFit="1"/>
    </xf>
    <xf numFmtId="0" fontId="9" fillId="0" borderId="60" pivotButton="0" quotePrefix="0" xfId="0"/>
    <xf numFmtId="0" fontId="10" fillId="3" borderId="62" applyAlignment="1" pivotButton="0" quotePrefix="0" xfId="0">
      <alignment horizontal="center" vertical="center"/>
    </xf>
    <xf numFmtId="0" fontId="10" fillId="3" borderId="47" applyAlignment="1" pivotButton="0" quotePrefix="0" xfId="0">
      <alignment horizontal="center" vertical="center"/>
    </xf>
    <xf numFmtId="0" fontId="10" fillId="3" borderId="10" applyAlignment="1" pivotButton="0" quotePrefix="0" xfId="0">
      <alignment horizontal="center" vertical="center"/>
    </xf>
    <xf numFmtId="0" fontId="10" fillId="3" borderId="48" applyAlignment="1" pivotButton="0" quotePrefix="0" xfId="0">
      <alignment horizontal="center" vertical="center"/>
    </xf>
    <xf numFmtId="0" fontId="10" fillId="3" borderId="79" applyAlignment="1" pivotButton="0" quotePrefix="0" xfId="0">
      <alignment horizontal="center" vertical="center"/>
    </xf>
    <xf numFmtId="0" fontId="10" fillId="3" borderId="61" applyAlignment="1" pivotButton="0" quotePrefix="0" xfId="0">
      <alignment horizontal="center" vertical="center"/>
    </xf>
    <xf numFmtId="0" fontId="10" fillId="3" borderId="76" applyAlignment="1" pivotButton="0" quotePrefix="0" xfId="0">
      <alignment horizontal="center" vertical="center"/>
    </xf>
    <xf numFmtId="0" fontId="10" fillId="3" borderId="77" applyAlignment="1" pivotButton="0" quotePrefix="0" xfId="0">
      <alignment horizontal="center" vertical="center"/>
    </xf>
    <xf numFmtId="0" fontId="11" fillId="0" borderId="58" applyAlignment="1" applyProtection="1" pivotButton="0" quotePrefix="0" xfId="1">
      <alignment horizontal="center" vertical="center"/>
      <protection locked="0" hidden="0"/>
    </xf>
    <xf numFmtId="0" fontId="11" fillId="0" borderId="3" applyAlignment="1" applyProtection="1" pivotButton="0" quotePrefix="0" xfId="1">
      <alignment horizontal="center" vertical="center"/>
      <protection locked="0" hidden="0"/>
    </xf>
    <xf numFmtId="0" fontId="11" fillId="0" borderId="24"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1" fillId="0" borderId="12" applyAlignment="1" applyProtection="1" pivotButton="0" quotePrefix="0" xfId="1">
      <alignment horizontal="center" vertical="center"/>
      <protection locked="0" hidden="0"/>
    </xf>
    <xf numFmtId="0" fontId="31" fillId="3" borderId="37" applyAlignment="1" pivotButton="0" quotePrefix="0" xfId="0">
      <alignment horizontal="center" wrapText="1"/>
    </xf>
    <xf numFmtId="0" fontId="31" fillId="3" borderId="80" applyAlignment="1" pivotButton="0" quotePrefix="0" xfId="0">
      <alignment horizontal="center" wrapText="1"/>
    </xf>
    <xf numFmtId="0" fontId="31" fillId="3" borderId="27" applyAlignment="1" pivotButton="0" quotePrefix="0" xfId="0">
      <alignment horizontal="center" wrapText="1"/>
    </xf>
    <xf numFmtId="0" fontId="31" fillId="3" borderId="9" applyAlignment="1" pivotButton="0" quotePrefix="0" xfId="0">
      <alignment horizontal="center" wrapText="1"/>
    </xf>
    <xf numFmtId="0" fontId="31" fillId="3" borderId="45" applyAlignment="1" pivotButton="0" quotePrefix="0" xfId="0">
      <alignment horizontal="center" wrapText="1"/>
    </xf>
    <xf numFmtId="0" fontId="11" fillId="3" borderId="30" applyAlignment="1" applyProtection="1" pivotButton="0" quotePrefix="0" xfId="1">
      <alignment horizontal="center" vertical="center"/>
      <protection locked="0" hidden="0"/>
    </xf>
    <xf numFmtId="0" fontId="31" fillId="3" borderId="28" applyAlignment="1" pivotButton="0" quotePrefix="0" xfId="0">
      <alignment horizontal="center" vertical="center" wrapText="1"/>
    </xf>
    <xf numFmtId="0" fontId="31" fillId="3" borderId="9" applyAlignment="1" pivotButton="0" quotePrefix="0" xfId="0">
      <alignment horizontal="center" vertical="center" wrapText="1"/>
    </xf>
    <xf numFmtId="0" fontId="9" fillId="3" borderId="38" applyAlignment="1" pivotButton="0" quotePrefix="0" xfId="0">
      <alignment horizontal="left" indent="1"/>
    </xf>
    <xf numFmtId="0" fontId="9" fillId="3" borderId="46" applyAlignment="1" pivotButton="0" quotePrefix="0" xfId="0">
      <alignment horizontal="left" indent="1"/>
    </xf>
    <xf numFmtId="0" fontId="10" fillId="3" borderId="52" applyAlignment="1" pivotButton="0" quotePrefix="0" xfId="0">
      <alignment horizontal="left" indent="1"/>
    </xf>
    <xf numFmtId="0" fontId="10" fillId="3" borderId="56" applyAlignment="1" pivotButton="0" quotePrefix="0" xfId="0">
      <alignment horizontal="left" indent="1"/>
    </xf>
    <xf numFmtId="0" fontId="9" fillId="0" borderId="47" applyAlignment="1" applyProtection="1" pivotButton="0" quotePrefix="0" xfId="0">
      <alignment horizontal="center" vertical="center"/>
      <protection locked="0" hidden="0"/>
    </xf>
    <xf numFmtId="0" fontId="13" fillId="3" borderId="80" applyAlignment="1" pivotButton="0" quotePrefix="0" xfId="1">
      <alignment horizontal="center" wrapText="1"/>
    </xf>
    <xf numFmtId="0" fontId="13" fillId="3" borderId="59" applyAlignment="1" pivotButton="0" quotePrefix="0" xfId="1">
      <alignment horizontal="center" wrapText="1"/>
    </xf>
    <xf numFmtId="0" fontId="13" fillId="3" borderId="25" applyAlignment="1" pivotButton="0" quotePrefix="0" xfId="1">
      <alignment horizontal="center" wrapText="1"/>
    </xf>
    <xf numFmtId="0" fontId="14" fillId="3" borderId="79" applyAlignment="1" pivotButton="0" quotePrefix="0" xfId="1">
      <alignment horizontal="center" wrapText="1"/>
    </xf>
    <xf numFmtId="0" fontId="14" fillId="3" borderId="47" applyAlignment="1" pivotButton="0" quotePrefix="0" xfId="1">
      <alignment horizontal="center" vertical="center"/>
    </xf>
    <xf numFmtId="0" fontId="14" fillId="3" borderId="48" applyAlignment="1" pivotButton="0" quotePrefix="0" xfId="1">
      <alignment horizontal="center" vertical="center"/>
    </xf>
    <xf numFmtId="0" fontId="14" fillId="3" borderId="13" applyAlignment="1" pivotButton="0" quotePrefix="0" xfId="1">
      <alignment horizontal="center" vertical="center"/>
    </xf>
    <xf numFmtId="0" fontId="10" fillId="3" borderId="80" applyAlignment="1" pivotButton="0" quotePrefix="0" xfId="0">
      <alignment horizontal="center" vertical="center"/>
    </xf>
    <xf numFmtId="0" fontId="10" fillId="3" borderId="59" applyAlignment="1" pivotButton="0" quotePrefix="0" xfId="0">
      <alignment horizontal="center" vertical="center"/>
    </xf>
    <xf numFmtId="0" fontId="14" fillId="3" borderId="11" applyAlignment="1" pivotButton="0" quotePrefix="0" xfId="1">
      <alignment horizontal="center" vertical="center"/>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4" fillId="3" borderId="12" applyAlignment="1" pivotButton="0" quotePrefix="0" xfId="1">
      <alignment horizontal="center" vertical="center"/>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4" fillId="0" borderId="47" applyAlignment="1" pivotButton="0" quotePrefix="0" xfId="1">
      <alignment horizontal="center" vertical="center"/>
    </xf>
    <xf numFmtId="0" fontId="14" fillId="3" borderId="79" applyAlignment="1" pivotButton="0" quotePrefix="0" xfId="1">
      <alignment horizontal="center" vertical="center"/>
    </xf>
    <xf numFmtId="0" fontId="14" fillId="3" borderId="82" applyAlignment="1" pivotButton="0" quotePrefix="0" xfId="1">
      <alignment horizontal="center" vertical="center"/>
    </xf>
    <xf numFmtId="0" fontId="14" fillId="3" borderId="76" applyAlignment="1" pivotButton="0" quotePrefix="0" xfId="1">
      <alignment horizontal="center" vertical="center"/>
    </xf>
    <xf numFmtId="0" fontId="14" fillId="3" borderId="77" applyAlignment="1" pivotButton="0" quotePrefix="0" xfId="1">
      <alignment horizontal="center" vertical="center"/>
    </xf>
    <xf numFmtId="0" fontId="14" fillId="3" borderId="51" applyAlignment="1" pivotButton="0" quotePrefix="0" xfId="1">
      <alignment horizontal="center" vertical="center"/>
    </xf>
    <xf numFmtId="0" fontId="14" fillId="3" borderId="10" applyAlignment="1" pivotButton="0" quotePrefix="0" xfId="1">
      <alignment horizontal="center" vertical="center"/>
    </xf>
    <xf numFmtId="0" fontId="14" fillId="3" borderId="61" applyAlignment="1" pivotButton="0" quotePrefix="0" xfId="1">
      <alignment horizontal="center" vertic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10" fillId="3" borderId="52" applyAlignment="1" pivotButton="0" quotePrefix="0" xfId="0">
      <alignment horizontal="left" vertical="center" indent="1"/>
    </xf>
    <xf numFmtId="0" fontId="14" fillId="3" borderId="71" applyAlignment="1" pivotButton="0" quotePrefix="0" xfId="1">
      <alignment horizontal="center" wrapText="1"/>
    </xf>
    <xf numFmtId="0" fontId="9" fillId="3" borderId="47" applyAlignment="1" applyProtection="1" pivotButton="0" quotePrefix="0" xfId="0">
      <alignment horizontal="center"/>
      <protection locked="0" hidden="0"/>
    </xf>
    <xf numFmtId="0" fontId="9" fillId="3" borderId="1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10" fillId="3" borderId="75" applyAlignment="1" pivotButton="0" quotePrefix="0" xfId="0">
      <alignment horizontal="center"/>
    </xf>
    <xf numFmtId="0" fontId="10" fillId="3" borderId="53" applyAlignment="1" pivotButton="0" quotePrefix="0" xfId="0">
      <alignment horizontal="center"/>
    </xf>
    <xf numFmtId="0" fontId="10" fillId="3" borderId="33" applyAlignment="1" pivotButton="0" quotePrefix="0" xfId="0">
      <alignment horizontal="center"/>
    </xf>
    <xf numFmtId="0" fontId="10" fillId="3" borderId="27" applyAlignment="1" pivotButton="0" quotePrefix="0" xfId="0">
      <alignment horizontal="center"/>
    </xf>
    <xf numFmtId="0" fontId="12" fillId="3" borderId="80" applyAlignment="1" pivotButton="0" quotePrefix="0" xfId="1">
      <alignment horizontal="center" wrapText="1"/>
    </xf>
    <xf numFmtId="0" fontId="12" fillId="3" borderId="59" applyAlignment="1" pivotButton="0" quotePrefix="0" xfId="1">
      <alignment horizontal="center" wrapText="1"/>
    </xf>
    <xf numFmtId="0" fontId="12" fillId="3" borderId="57" applyAlignment="1" pivotButton="0" quotePrefix="0" xfId="1">
      <alignment horizontal="center" wrapText="1"/>
    </xf>
    <xf numFmtId="0" fontId="12" fillId="3" borderId="41" applyAlignment="1" pivotButton="0" quotePrefix="0" xfId="1">
      <alignment horizontal="center" wrapText="1"/>
    </xf>
    <xf numFmtId="0" fontId="13" fillId="3" borderId="55" applyAlignment="1" pivotButton="0" quotePrefix="0" xfId="1">
      <alignment horizontal="center" wrapText="1"/>
    </xf>
    <xf numFmtId="0" fontId="11" fillId="0" borderId="26" applyAlignment="1" applyProtection="1" pivotButton="0" quotePrefix="0" xfId="1">
      <alignment horizontal="center" vertical="center"/>
      <protection locked="0" hidden="0"/>
    </xf>
    <xf numFmtId="0" fontId="11" fillId="0" borderId="59" applyAlignment="1" applyProtection="1" pivotButton="0" quotePrefix="0" xfId="1">
      <alignment horizontal="center" vertical="center"/>
      <protection locked="0" hidden="0"/>
    </xf>
    <xf numFmtId="0" fontId="9" fillId="3" borderId="34" applyAlignment="1" pivotButton="0" quotePrefix="0" xfId="0">
      <alignment horizontal="center" vertical="center"/>
    </xf>
    <xf numFmtId="0" fontId="10" fillId="3" borderId="12" applyAlignment="1" pivotButton="0" quotePrefix="0" xfId="0">
      <alignment horizontal="left" vertical="center" indent="1"/>
    </xf>
    <xf numFmtId="0" fontId="10" fillId="3" borderId="56" applyAlignment="1" pivotButton="0" quotePrefix="0" xfId="0">
      <alignment horizontal="left" vertical="center" indent="1"/>
    </xf>
    <xf numFmtId="0" fontId="9" fillId="3" borderId="59" applyAlignment="1" applyProtection="1" pivotButton="0" quotePrefix="0" xfId="0">
      <alignment horizontal="center" vertical="center"/>
      <protection locked="0" hidden="0"/>
    </xf>
    <xf numFmtId="0" fontId="18" fillId="3" borderId="80" applyAlignment="1" pivotButton="0" quotePrefix="0" xfId="1">
      <alignment horizontal="center" wrapText="1"/>
    </xf>
    <xf numFmtId="0" fontId="18" fillId="3" borderId="59" applyAlignment="1" pivotButton="0" quotePrefix="0" xfId="1">
      <alignment horizontal="center" wrapText="1"/>
    </xf>
    <xf numFmtId="0" fontId="18" fillId="3" borderId="25" applyAlignment="1" pivotButton="0" quotePrefix="0" xfId="1">
      <alignment horizontal="center" wrapText="1"/>
    </xf>
    <xf numFmtId="0" fontId="14" fillId="3" borderId="75" applyAlignment="1" pivotButton="0" quotePrefix="0" xfId="1">
      <alignment horizontal="center" vertical="center"/>
    </xf>
    <xf numFmtId="0" fontId="9" fillId="3" borderId="68" applyAlignment="1" applyProtection="1" pivotButton="0" quotePrefix="0" xfId="0">
      <alignment horizontal="center"/>
      <protection locked="0" hidden="0"/>
    </xf>
    <xf numFmtId="0" fontId="25" fillId="3" borderId="10" applyAlignment="1" pivotButton="0" quotePrefix="0" xfId="0">
      <alignment horizontal="center"/>
    </xf>
    <xf numFmtId="0" fontId="25" fillId="3" borderId="13" applyAlignment="1" pivotButton="0" quotePrefix="0" xfId="0">
      <alignment horizontal="center"/>
    </xf>
    <xf numFmtId="0" fontId="26" fillId="3" borderId="21"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5" fillId="3" borderId="59" applyAlignment="1" pivotButton="0" quotePrefix="0" xfId="0">
      <alignment horizontal="center"/>
    </xf>
    <xf numFmtId="0" fontId="25" fillId="3" borderId="80" applyAlignment="1" pivotButton="0" quotePrefix="0" xfId="0">
      <alignment horizontal="center"/>
    </xf>
    <xf numFmtId="0" fontId="26" fillId="3" borderId="80" applyAlignment="1" applyProtection="1" pivotButton="0" quotePrefix="0" xfId="0">
      <alignment horizontal="center"/>
      <protection locked="0" hidden="0"/>
    </xf>
    <xf numFmtId="0" fontId="26" fillId="3" borderId="59" applyAlignment="1" applyProtection="1" pivotButton="0" quotePrefix="0" xfId="0">
      <alignment horizontal="center"/>
      <protection locked="0" hidden="0"/>
    </xf>
    <xf numFmtId="0" fontId="26" fillId="3" borderId="53" applyAlignment="1" applyProtection="1" pivotButton="0" quotePrefix="0" xfId="0">
      <alignment horizontal="center" vertical="top"/>
      <protection locked="0" hidden="0"/>
    </xf>
    <xf numFmtId="0" fontId="26" fillId="3" borderId="77" applyAlignment="1" applyProtection="1" pivotButton="0" quotePrefix="0" xfId="0">
      <alignment horizontal="center" vertical="top"/>
      <protection locked="0" hidden="0"/>
    </xf>
    <xf numFmtId="0" fontId="26" fillId="3" borderId="75" applyAlignment="1" applyProtection="1" pivotButton="0" quotePrefix="0" xfId="0">
      <alignment horizontal="center" vertical="top"/>
      <protection locked="0" hidden="0"/>
    </xf>
    <xf numFmtId="0" fontId="11" fillId="3" borderId="77" applyAlignment="1" applyProtection="1" pivotButton="0" quotePrefix="0" xfId="1">
      <alignment horizontal="center" vertical="center"/>
      <protection locked="0" hidden="0"/>
    </xf>
    <xf numFmtId="0" fontId="11" fillId="3" borderId="61" applyAlignment="1" applyProtection="1" pivotButton="0" quotePrefix="0" xfId="1">
      <alignment horizontal="center" vertical="center"/>
      <protection locked="0" hidden="0"/>
    </xf>
    <xf numFmtId="0" fontId="11" fillId="3" borderId="82"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11" fillId="0" borderId="34" applyAlignment="1" applyProtection="1" pivotButton="0" quotePrefix="0" xfId="1">
      <alignment horizontal="center" vertical="center"/>
      <protection locked="0" hidden="0"/>
    </xf>
    <xf numFmtId="0" fontId="9" fillId="3" borderId="32" applyAlignment="1" pivotButton="0" quotePrefix="0" xfId="0">
      <alignment horizontal="center" vertical="center"/>
    </xf>
    <xf numFmtId="0" fontId="10" fillId="3" borderId="51" applyAlignment="1" pivotButton="0" quotePrefix="0" xfId="0">
      <alignment horizontal="center" vertical="center"/>
    </xf>
    <xf numFmtId="0" fontId="13" fillId="0" borderId="80" applyAlignment="1" pivotButton="0" quotePrefix="0" xfId="1">
      <alignment horizontal="center" wrapText="1"/>
    </xf>
    <xf numFmtId="0" fontId="13" fillId="0" borderId="25" applyAlignment="1" pivotButton="0" quotePrefix="0" xfId="1">
      <alignment horizontal="center" wrapText="1"/>
    </xf>
    <xf numFmtId="0" fontId="13" fillId="0" borderId="59" applyAlignment="1" pivotButton="0" quotePrefix="0" xfId="1">
      <alignment horizontal="center" wrapText="1"/>
    </xf>
    <xf numFmtId="0" fontId="13" fillId="0" borderId="26" applyAlignment="1" pivotButton="0" quotePrefix="0" xfId="1">
      <alignment horizontal="center" wrapText="1"/>
    </xf>
    <xf numFmtId="0" fontId="13" fillId="0" borderId="78" applyAlignment="1" pivotButton="0" quotePrefix="0" xfId="1">
      <alignment horizontal="center" wrapText="1"/>
    </xf>
    <xf numFmtId="0" fontId="35" fillId="0" borderId="59" applyAlignment="1" pivotButton="0" quotePrefix="0" xfId="1">
      <alignment horizontal="center" wrapText="1"/>
    </xf>
    <xf numFmtId="0" fontId="35" fillId="0" borderId="25" applyAlignment="1" pivotButton="0" quotePrefix="0" xfId="1">
      <alignment horizontal="center" wrapText="1"/>
    </xf>
    <xf numFmtId="0" fontId="35" fillId="0" borderId="78" applyAlignment="1" pivotButton="0" quotePrefix="0" xfId="1">
      <alignment horizontal="center" wrapText="1"/>
    </xf>
    <xf numFmtId="0" fontId="35" fillId="0" borderId="86" applyAlignment="1" pivotButton="0" quotePrefix="0" xfId="1">
      <alignment horizontal="center" wrapText="1"/>
    </xf>
    <xf numFmtId="0" fontId="9" fillId="0" borderId="31" applyAlignment="1" applyProtection="1" pivotButton="0" quotePrefix="0" xfId="0">
      <alignment horizontal="center" vertical="center"/>
      <protection locked="0" hidden="0"/>
    </xf>
    <xf numFmtId="0" fontId="13" fillId="0" borderId="48" applyAlignment="1" pivotButton="0" quotePrefix="0" xfId="1">
      <alignment horizontal="center" wrapText="1" shrinkToFit="1"/>
    </xf>
    <xf numFmtId="0" fontId="13" fillId="0" borderId="56" applyAlignment="1" pivotButton="0" quotePrefix="0" xfId="1">
      <alignment horizontal="center" wrapText="1" shrinkToFit="1"/>
    </xf>
    <xf numFmtId="0" fontId="8" fillId="3" borderId="0" applyAlignment="1" pivotButton="0" quotePrefix="0" xfId="0">
      <alignment vertical="center"/>
    </xf>
    <xf numFmtId="0" fontId="47" fillId="3" borderId="0" applyAlignment="1" pivotButton="0" quotePrefix="0" xfId="0">
      <alignment horizontal="left" indent="1"/>
    </xf>
    <xf numFmtId="0" fontId="30" fillId="3" borderId="0" pivotButton="0" quotePrefix="0" xfId="0"/>
    <xf numFmtId="0" fontId="43" fillId="0" borderId="0" pivotButton="0" quotePrefix="0" xfId="0"/>
    <xf numFmtId="0" fontId="22" fillId="3" borderId="0" applyAlignment="1" pivotButton="0" quotePrefix="0" xfId="0">
      <alignment horizontal="center"/>
    </xf>
    <xf numFmtId="0" fontId="48" fillId="0" borderId="0" pivotButton="0" quotePrefix="0" xfId="0"/>
    <xf numFmtId="0" fontId="48" fillId="3" borderId="0" pivotButton="0" quotePrefix="0" xfId="0"/>
    <xf numFmtId="0" fontId="48" fillId="0" borderId="0" pivotButton="0" quotePrefix="1" xfId="0"/>
    <xf numFmtId="0" fontId="48" fillId="3" borderId="43" pivotButton="0" quotePrefix="0" xfId="0"/>
    <xf numFmtId="0" fontId="48" fillId="0" borderId="0" applyAlignment="1" pivotButton="0" quotePrefix="0" xfId="0">
      <alignment vertical="center" wrapText="1"/>
    </xf>
    <xf numFmtId="0" fontId="50" fillId="0" borderId="0" applyAlignment="1" pivotButton="0" quotePrefix="0" xfId="0">
      <alignment vertical="center" wrapText="1"/>
    </xf>
    <xf numFmtId="0" fontId="22" fillId="0" borderId="0" applyAlignment="1" pivotButton="0" quotePrefix="1" xfId="0">
      <alignment horizontal="left" vertical="center" wrapText="1"/>
    </xf>
    <xf numFmtId="0" fontId="22" fillId="3" borderId="0" applyAlignment="1" pivotButton="0" quotePrefix="0" xfId="0">
      <alignment horizontal="left" wrapText="1"/>
    </xf>
    <xf numFmtId="0" fontId="48" fillId="0" borderId="0" applyAlignment="1" pivotButton="0" quotePrefix="0" xfId="0">
      <alignment horizontal="left" vertical="center" wrapText="1"/>
    </xf>
    <xf numFmtId="0" fontId="25" fillId="0" borderId="0" applyAlignment="1" pivotButton="0" quotePrefix="0" xfId="0">
      <alignment horizontal="left" vertical="center" indent="1"/>
    </xf>
    <xf numFmtId="0" fontId="5" fillId="0" borderId="0" applyAlignment="1" pivotButton="0" quotePrefix="0" xfId="0">
      <alignment horizontal="left" vertical="center" indent="2"/>
    </xf>
    <xf numFmtId="0" fontId="5" fillId="0" borderId="0" applyAlignment="1" pivotButton="0" quotePrefix="0" xfId="0">
      <alignment horizontal="left" vertical="center" indent="1"/>
    </xf>
    <xf numFmtId="0" fontId="43" fillId="0" borderId="0" applyAlignment="1" pivotButton="0" quotePrefix="0" xfId="0">
      <alignment horizontal="left"/>
    </xf>
    <xf numFmtId="0" fontId="8" fillId="0" borderId="0" applyAlignment="1" pivotButton="0" quotePrefix="0" xfId="0">
      <alignment horizontal="left" vertical="center" indent="1"/>
    </xf>
    <xf numFmtId="0" fontId="22" fillId="0" borderId="0" pivotButton="0" quotePrefix="0" xfId="0"/>
    <xf numFmtId="0" fontId="9" fillId="3" borderId="40" applyAlignment="1" pivotButton="0" quotePrefix="0" xfId="0">
      <alignment horizontal="center" vertical="center"/>
    </xf>
    <xf numFmtId="0" fontId="9" fillId="3" borderId="3" applyAlignment="1" pivotButton="0" quotePrefix="0" xfId="0">
      <alignment horizontal="center" vertical="center"/>
    </xf>
    <xf numFmtId="0" fontId="9" fillId="3" borderId="33" applyAlignment="1" pivotButton="0" quotePrefix="0" xfId="0">
      <alignment horizontal="center" vertical="center"/>
    </xf>
    <xf numFmtId="0" fontId="9" fillId="3" borderId="42"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64" applyAlignment="1" pivotButton="0" quotePrefix="0" xfId="0">
      <alignment horizontal="center"/>
    </xf>
    <xf numFmtId="0" fontId="9" fillId="3" borderId="26" applyAlignment="1" pivotButton="0" quotePrefix="0" xfId="0">
      <alignment horizontal="center"/>
    </xf>
    <xf numFmtId="0" fontId="9" fillId="3" borderId="27" applyAlignment="1" pivotButton="0" quotePrefix="0" xfId="0">
      <alignment horizontal="center"/>
    </xf>
    <xf numFmtId="0" fontId="10" fillId="3" borderId="52" applyAlignment="1" pivotButton="0" quotePrefix="0" xfId="0">
      <alignment horizontal="center" vertical="center"/>
    </xf>
    <xf numFmtId="0" fontId="10" fillId="3" borderId="12" applyAlignment="1" pivotButton="0" quotePrefix="0" xfId="0">
      <alignment horizontal="center" vertical="center"/>
    </xf>
    <xf numFmtId="0" fontId="10" fillId="3" borderId="56" applyAlignment="1" pivotButton="0" quotePrefix="0" xfId="0">
      <alignment horizontal="center" vertical="center"/>
    </xf>
    <xf numFmtId="0" fontId="9" fillId="3" borderId="38" applyAlignment="1" applyProtection="1" pivotButton="0" quotePrefix="0" xfId="0">
      <alignment horizontal="center" vertical="center"/>
      <protection locked="0" hidden="0"/>
    </xf>
    <xf numFmtId="0" fontId="9" fillId="3" borderId="16" applyAlignment="1" applyProtection="1" pivotButton="0" quotePrefix="0" xfId="0">
      <alignment horizontal="center" vertical="center"/>
      <protection locked="0" hidden="0"/>
    </xf>
    <xf numFmtId="0" fontId="9" fillId="3" borderId="53" applyAlignment="1" applyProtection="1" pivotButton="0" quotePrefix="0" xfId="0">
      <alignment horizontal="center" vertical="center"/>
      <protection locked="0" hidden="0"/>
    </xf>
    <xf numFmtId="0" fontId="22" fillId="0" borderId="0" pivotButton="0" quotePrefix="1" xfId="0"/>
    <xf numFmtId="0" fontId="11" fillId="0" borderId="40" applyAlignment="1" pivotButton="0" quotePrefix="1" xfId="1">
      <alignment horizontal="left" vertical="center"/>
    </xf>
    <xf numFmtId="0" fontId="11" fillId="0" borderId="4" applyAlignment="1" pivotButton="0" quotePrefix="1" xfId="1">
      <alignment horizontal="left" vertical="center"/>
    </xf>
    <xf numFmtId="0" fontId="14" fillId="0" borderId="52" applyAlignment="1" pivotButton="0" quotePrefix="0" xfId="1">
      <alignment horizontal="center" wrapText="1"/>
    </xf>
    <xf numFmtId="0" fontId="14" fillId="0" borderId="13" applyAlignment="1" pivotButton="0" quotePrefix="0" xfId="1">
      <alignment horizontal="center" wrapText="1"/>
    </xf>
    <xf numFmtId="0" fontId="47" fillId="0" borderId="0" applyAlignment="1" pivotButton="0" quotePrefix="0" xfId="0">
      <alignment horizontal="left" indent="1"/>
    </xf>
    <xf numFmtId="0" fontId="5" fillId="3" borderId="0" applyAlignment="1" pivotButton="0" quotePrefix="0" xfId="0">
      <alignment horizontal="left" wrapText="1" indent="2"/>
    </xf>
    <xf numFmtId="0" fontId="5" fillId="3" borderId="0" applyAlignment="1" pivotButton="0" quotePrefix="0" xfId="0">
      <alignment horizontal="left" vertical="center" indent="2"/>
    </xf>
    <xf numFmtId="0" fontId="5" fillId="0" borderId="0" applyAlignment="1" pivotButton="0" quotePrefix="0" xfId="0">
      <alignment horizontal="left" indent="1"/>
    </xf>
    <xf numFmtId="0" fontId="5" fillId="3" borderId="0" applyAlignment="1" pivotButton="0" quotePrefix="0" xfId="0">
      <alignment horizontal="left" vertical="center" indent="1"/>
    </xf>
    <xf numFmtId="0" fontId="5" fillId="3" borderId="0" applyAlignment="1" pivotButton="0" quotePrefix="0" xfId="0">
      <alignment horizontal="left" vertical="top" indent="1"/>
    </xf>
    <xf numFmtId="0" fontId="14" fillId="0" borderId="8" applyAlignment="1" pivotButton="0" quotePrefix="0" xfId="1">
      <alignment horizontal="center" vertical="center"/>
    </xf>
    <xf numFmtId="0" fontId="14" fillId="0" borderId="45" applyAlignment="1" pivotButton="0" quotePrefix="0" xfId="1">
      <alignment horizontal="center" vertical="center"/>
    </xf>
    <xf numFmtId="165" fontId="11" fillId="0" borderId="15" applyAlignment="1" applyProtection="1" pivotButton="0" quotePrefix="0" xfId="1">
      <alignment horizontal="center" vertical="center"/>
      <protection locked="0" hidden="0"/>
    </xf>
    <xf numFmtId="165" fontId="11" fillId="0" borderId="16" applyAlignment="1" applyProtection="1" pivotButton="0" quotePrefix="0" xfId="1">
      <alignment horizontal="center" vertical="center"/>
      <protection locked="0" hidden="0"/>
    </xf>
    <xf numFmtId="165" fontId="11" fillId="0" borderId="7" applyAlignment="1" applyProtection="1" pivotButton="0" quotePrefix="0" xfId="1">
      <alignment horizontal="center" vertical="center"/>
      <protection locked="0" hidden="0"/>
    </xf>
    <xf numFmtId="165" fontId="11" fillId="0" borderId="8" applyAlignment="1" applyProtection="1" pivotButton="0" quotePrefix="0" xfId="1">
      <alignment horizontal="center" vertical="center"/>
      <protection locked="0" hidden="0"/>
    </xf>
    <xf numFmtId="165" fontId="14" fillId="0" borderId="11" applyAlignment="1" pivotButton="0" quotePrefix="0" xfId="1">
      <alignment horizontal="center" vertical="center"/>
    </xf>
    <xf numFmtId="165" fontId="14" fillId="0" borderId="12" applyAlignment="1" pivotButton="0" quotePrefix="0" xfId="1">
      <alignment horizontal="center" vertical="center"/>
    </xf>
    <xf numFmtId="165" fontId="11" fillId="0" borderId="53" applyAlignment="1" applyProtection="1" pivotButton="0" quotePrefix="0" xfId="1">
      <alignment horizontal="center" vertical="center"/>
      <protection locked="0" hidden="0"/>
    </xf>
    <xf numFmtId="0" fontId="9" fillId="0" borderId="46" applyAlignment="1" applyProtection="1" pivotButton="0" quotePrefix="0" xfId="0">
      <alignment horizontal="center" vertical="center"/>
      <protection locked="0" hidden="0"/>
    </xf>
    <xf numFmtId="0" fontId="9" fillId="0" borderId="8" applyAlignment="1" applyProtection="1" pivotButton="0" quotePrefix="0" xfId="0">
      <alignment horizontal="center" vertical="center"/>
      <protection locked="0" hidden="0"/>
    </xf>
    <xf numFmtId="0" fontId="9" fillId="0" borderId="45" applyAlignment="1" applyProtection="1" pivotButton="0" quotePrefix="0" xfId="0">
      <alignment horizontal="center" vertical="center"/>
      <protection locked="0" hidden="0"/>
    </xf>
    <xf numFmtId="0" fontId="9" fillId="0" borderId="40" applyAlignment="1" pivotButton="0" quotePrefix="0" xfId="0">
      <alignment horizontal="left" wrapText="1"/>
    </xf>
    <xf numFmtId="0" fontId="9" fillId="0" borderId="3" applyAlignment="1" pivotButton="0" quotePrefix="0" xfId="0">
      <alignment horizontal="left" wrapText="1"/>
    </xf>
    <xf numFmtId="0" fontId="9" fillId="0" borderId="33" applyAlignment="1" pivotButton="0" quotePrefix="0" xfId="0">
      <alignment horizontal="left" wrapText="1"/>
    </xf>
    <xf numFmtId="0" fontId="9" fillId="0" borderId="40" applyAlignment="1" applyProtection="1" pivotButton="0" quotePrefix="0" xfId="0">
      <alignment horizontal="center" vertical="center"/>
      <protection locked="0" hidden="0"/>
    </xf>
    <xf numFmtId="0" fontId="9" fillId="0" borderId="3" applyAlignment="1" applyProtection="1" pivotButton="0" quotePrefix="0" xfId="0">
      <alignment horizontal="center" vertical="center"/>
      <protection locked="0" hidden="0"/>
    </xf>
    <xf numFmtId="0" fontId="9" fillId="0" borderId="33" applyAlignment="1" applyProtection="1" pivotButton="0" quotePrefix="0" xfId="0">
      <alignment horizontal="center" vertical="center"/>
      <protection locked="0" hidden="0"/>
    </xf>
    <xf numFmtId="0" fontId="9" fillId="0" borderId="37" pivotButton="0" quotePrefix="0" xfId="0"/>
    <xf numFmtId="0" fontId="9" fillId="0" borderId="18" pivotButton="0" quotePrefix="0" xfId="0"/>
    <xf numFmtId="0" fontId="9" fillId="0" borderId="34" pivotButton="0" quotePrefix="0" xfId="0"/>
    <xf numFmtId="0" fontId="10" fillId="0" borderId="52" applyAlignment="1" pivotButton="0" quotePrefix="0" xfId="0">
      <alignment horizontal="center" vertical="center"/>
    </xf>
    <xf numFmtId="0" fontId="10" fillId="0" borderId="12" applyAlignment="1" pivotButton="0" quotePrefix="0" xfId="0">
      <alignment horizontal="center" vertical="center"/>
    </xf>
    <xf numFmtId="0" fontId="10" fillId="0" borderId="56" applyAlignment="1" pivotButton="0" quotePrefix="0" xfId="0">
      <alignment horizontal="center" vertical="center"/>
    </xf>
    <xf numFmtId="0" fontId="9" fillId="0" borderId="54"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9" fillId="0" borderId="58" applyAlignment="1" applyProtection="1" pivotButton="0" quotePrefix="0" xfId="0">
      <alignment horizontal="center" vertical="center"/>
      <protection locked="0" hidden="0"/>
    </xf>
    <xf numFmtId="0" fontId="11" fillId="0" borderId="38" applyAlignment="1" pivotButton="0" quotePrefix="1" xfId="1">
      <alignment horizontal="left" vertical="center"/>
    </xf>
    <xf numFmtId="0" fontId="11" fillId="0" borderId="17" applyAlignment="1" pivotButton="0" quotePrefix="1" xfId="1">
      <alignment horizontal="left" vertical="center"/>
    </xf>
    <xf numFmtId="0" fontId="11" fillId="0" borderId="3" applyAlignment="1" pivotButton="0" quotePrefix="1" xfId="1">
      <alignment horizontal="left" vertical="center"/>
    </xf>
    <xf numFmtId="0" fontId="9" fillId="0" borderId="54" applyAlignment="1" pivotButton="0" quotePrefix="0" xfId="0">
      <alignment horizontal="left"/>
    </xf>
    <xf numFmtId="0" fontId="9" fillId="0" borderId="1" applyAlignment="1" pivotButton="0" quotePrefix="0" xfId="0">
      <alignment horizontal="left"/>
    </xf>
    <xf numFmtId="0" fontId="11" fillId="0" borderId="32" applyAlignment="1" pivotButton="0" quotePrefix="0" xfId="1">
      <alignment horizontal="left" vertical="center"/>
    </xf>
    <xf numFmtId="0" fontId="11" fillId="0" borderId="5" applyAlignment="1" pivotButton="0" quotePrefix="0" xfId="1">
      <alignment horizontal="left" vertical="center"/>
    </xf>
    <xf numFmtId="0" fontId="11" fillId="0" borderId="31" applyAlignment="1" pivotButton="0" quotePrefix="0" xfId="1">
      <alignment horizontal="left" vertical="center"/>
    </xf>
    <xf numFmtId="0" fontId="9" fillId="0" borderId="38" applyAlignment="1" applyProtection="1" pivotButton="0" quotePrefix="0" xfId="0">
      <alignment horizontal="center" vertical="center"/>
      <protection locked="0" hidden="0"/>
    </xf>
    <xf numFmtId="0" fontId="9" fillId="0" borderId="16" applyAlignment="1" applyProtection="1" pivotButton="0" quotePrefix="0" xfId="0">
      <alignment horizontal="center" vertical="center"/>
      <protection locked="0" hidden="0"/>
    </xf>
    <xf numFmtId="0" fontId="9" fillId="0" borderId="53" applyAlignment="1" applyProtection="1" pivotButton="0" quotePrefix="0" xfId="0">
      <alignment horizontal="center" vertical="center"/>
      <protection locked="0" hidden="0"/>
    </xf>
    <xf numFmtId="0" fontId="10" fillId="0" borderId="38" applyAlignment="1" pivotButton="0" quotePrefix="0" xfId="0">
      <alignment horizontal="center"/>
    </xf>
    <xf numFmtId="0" fontId="10" fillId="0" borderId="16" applyAlignment="1" pivotButton="0" quotePrefix="0" xfId="0">
      <alignment horizontal="center"/>
    </xf>
    <xf numFmtId="0" fontId="10" fillId="0" borderId="53" applyAlignment="1" pivotButton="0" quotePrefix="0" xfId="0">
      <alignment horizontal="center"/>
    </xf>
    <xf numFmtId="0" fontId="14" fillId="0" borderId="10" applyAlignment="1" pivotButton="0" quotePrefix="0" xfId="1">
      <alignment horizontal="center"/>
    </xf>
    <xf numFmtId="0" fontId="14" fillId="0" borderId="11" applyAlignment="1" pivotButton="0" quotePrefix="0" xfId="1">
      <alignment horizontal="center"/>
    </xf>
    <xf numFmtId="0" fontId="10" fillId="3" borderId="59" applyAlignment="1" pivotButton="0" quotePrefix="0" xfId="0">
      <alignment horizontal="center" vertical="center"/>
    </xf>
    <xf numFmtId="0" fontId="10" fillId="3" borderId="78" applyAlignment="1" pivotButton="0" quotePrefix="0" xfId="0">
      <alignment horizontal="center" vertical="center"/>
    </xf>
    <xf numFmtId="0" fontId="14" fillId="0" borderId="62" applyAlignment="1" pivotButton="0" quotePrefix="0" xfId="1">
      <alignment horizontal="center" wrapText="1"/>
    </xf>
    <xf numFmtId="0" fontId="14" fillId="0" borderId="60" applyAlignment="1" pivotButton="0" quotePrefix="0" xfId="1">
      <alignment horizontal="center" wrapText="1"/>
    </xf>
    <xf numFmtId="0" fontId="14" fillId="0" borderId="63" applyAlignment="1" pivotButton="0" quotePrefix="0" xfId="1">
      <alignment horizontal="center" wrapText="1"/>
    </xf>
    <xf numFmtId="0" fontId="14" fillId="0" borderId="64" applyAlignment="1" pivotButton="0" quotePrefix="0" xfId="1">
      <alignment horizontal="center" wrapText="1"/>
    </xf>
    <xf numFmtId="0" fontId="14" fillId="0" borderId="26" applyAlignment="1" pivotButton="0" quotePrefix="0" xfId="1">
      <alignment horizontal="center" wrapText="1"/>
    </xf>
    <xf numFmtId="0" fontId="14" fillId="0" borderId="27" applyAlignment="1" pivotButton="0" quotePrefix="0" xfId="1">
      <alignment horizontal="center" wrapText="1"/>
    </xf>
    <xf numFmtId="0" fontId="14" fillId="0" borderId="12" applyAlignment="1" pivotButton="0" quotePrefix="0" xfId="1">
      <alignment horizontal="center" wrapText="1"/>
    </xf>
    <xf numFmtId="0" fontId="14" fillId="0" borderId="56" applyAlignment="1" pivotButton="0" quotePrefix="0" xfId="1">
      <alignment horizontal="center" wrapText="1"/>
    </xf>
    <xf numFmtId="0" fontId="11" fillId="3" borderId="2" applyAlignment="1" applyProtection="1" pivotButton="0" quotePrefix="0" xfId="1">
      <alignment horizontal="center" vertical="center"/>
      <protection locked="0" hidden="0"/>
    </xf>
    <xf numFmtId="0" fontId="11" fillId="3" borderId="4" applyAlignment="1" applyProtection="1" pivotButton="0" quotePrefix="0" xfId="1">
      <alignment horizontal="center" vertical="center"/>
      <protection locked="0" hidden="0"/>
    </xf>
    <xf numFmtId="0" fontId="14" fillId="3" borderId="40" applyAlignment="1" pivotButton="0" quotePrefix="0" xfId="1">
      <alignment horizontal="center" vertical="center"/>
    </xf>
    <xf numFmtId="0" fontId="14" fillId="3" borderId="33" applyAlignment="1" pivotButton="0" quotePrefix="0" xfId="1">
      <alignment horizontal="center" vertical="center"/>
    </xf>
    <xf numFmtId="0" fontId="11" fillId="0" borderId="16"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2" applyAlignment="1" applyProtection="1" pivotButton="0" quotePrefix="0" xfId="0">
      <alignment horizontal="center" vertical="center"/>
      <protection locked="0" hidden="0"/>
    </xf>
    <xf numFmtId="0" fontId="9" fillId="3" borderId="12"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28" fillId="3" borderId="12" applyAlignment="1" applyProtection="1" pivotButton="0" quotePrefix="0" xfId="0">
      <alignment horizontal="center" vertical="center"/>
      <protection locked="0" hidden="0"/>
    </xf>
    <xf numFmtId="0" fontId="28" fillId="3" borderId="13" applyAlignment="1" applyProtection="1" pivotButton="0" quotePrefix="0" xfId="0">
      <alignment horizontal="center" vertical="center"/>
      <protection locked="0" hidden="0"/>
    </xf>
    <xf numFmtId="0" fontId="9" fillId="3" borderId="56" applyAlignment="1" applyProtection="1" pivotButton="0" quotePrefix="0" xfId="0">
      <alignment horizontal="center" vertical="center"/>
      <protection locked="0" hidden="0"/>
    </xf>
    <xf numFmtId="0" fontId="14" fillId="3" borderId="11" applyAlignment="1" pivotButton="0" quotePrefix="0" xfId="1">
      <alignment horizontal="center" wrapText="1"/>
    </xf>
    <xf numFmtId="0" fontId="28" fillId="3" borderId="12" applyAlignment="1" pivotButton="0" quotePrefix="0" xfId="0">
      <alignment horizontal="center" wrapText="1"/>
    </xf>
    <xf numFmtId="0" fontId="28" fillId="3" borderId="13" applyAlignment="1" pivotButton="0" quotePrefix="0" xfId="0">
      <alignment horizontal="center" wrapText="1"/>
    </xf>
    <xf numFmtId="0" fontId="14" fillId="3" borderId="11" applyAlignment="1" pivotButton="0" quotePrefix="0" xfId="1">
      <alignment horizontal="center"/>
    </xf>
    <xf numFmtId="0" fontId="14" fillId="3" borderId="12" applyAlignment="1" pivotButton="0" quotePrefix="0" xfId="1">
      <alignment horizontal="center"/>
    </xf>
    <xf numFmtId="0" fontId="14" fillId="3" borderId="56" applyAlignment="1" pivotButton="0" quotePrefix="0" xfId="1">
      <alignment horizontal="center"/>
    </xf>
    <xf numFmtId="0" fontId="11" fillId="3" borderId="40" applyAlignment="1" pivotButton="0" quotePrefix="0" xfId="1">
      <alignment horizontal="left" vertical="center" wrapText="1" indent="1"/>
    </xf>
    <xf numFmtId="0" fontId="11" fillId="3" borderId="33" applyAlignment="1" pivotButton="0" quotePrefix="0" xfId="1">
      <alignment horizontal="left" vertical="center" wrapText="1" indent="1"/>
    </xf>
    <xf numFmtId="0" fontId="11" fillId="3" borderId="40" applyAlignment="1" pivotButton="0" quotePrefix="0" xfId="1">
      <alignment horizontal="left" vertical="center" indent="1"/>
    </xf>
    <xf numFmtId="0" fontId="11" fillId="3" borderId="33" applyAlignment="1" pivotButton="0" quotePrefix="0" xfId="1">
      <alignment horizontal="left" vertical="center" indent="1"/>
    </xf>
    <xf numFmtId="0" fontId="14" fillId="3" borderId="52" applyAlignment="1" pivotButton="0" quotePrefix="0" xfId="1">
      <alignment horizontal="center" vertical="center"/>
    </xf>
    <xf numFmtId="0" fontId="14" fillId="3" borderId="13" applyAlignment="1" pivotButton="0" quotePrefix="0" xfId="1">
      <alignment horizontal="center" vertical="center"/>
    </xf>
    <xf numFmtId="0" fontId="11" fillId="3" borderId="40" applyAlignment="1" applyProtection="1" pivotButton="0" quotePrefix="0" xfId="1">
      <alignment horizontal="center" vertical="center"/>
      <protection locked="0" hidden="0"/>
    </xf>
    <xf numFmtId="0" fontId="14" fillId="0" borderId="9" applyAlignment="1" pivotButton="0" quotePrefix="0" xfId="1">
      <alignment horizontal="center" wrapText="1"/>
    </xf>
    <xf numFmtId="0" fontId="14" fillId="0" borderId="18" applyAlignment="1" pivotButton="0" quotePrefix="0" xfId="1">
      <alignment horizontal="center" wrapText="1"/>
    </xf>
    <xf numFmtId="0" fontId="14" fillId="0" borderId="7" applyAlignment="1" pivotButton="0" quotePrefix="0" xfId="1">
      <alignment horizontal="center" wrapText="1"/>
    </xf>
    <xf numFmtId="0" fontId="14" fillId="3" borderId="3" applyAlignment="1" pivotButton="0" quotePrefix="0" xfId="1">
      <alignment horizontal="center" vertical="center"/>
    </xf>
    <xf numFmtId="0" fontId="11" fillId="0" borderId="11" applyAlignment="1" applyProtection="1" pivotButton="0" quotePrefix="0" xfId="1">
      <alignment horizontal="center" vertical="center"/>
      <protection locked="0" hidden="0"/>
    </xf>
    <xf numFmtId="0" fontId="11" fillId="0" borderId="56" applyAlignment="1" applyProtection="1" pivotButton="0" quotePrefix="0" xfId="1">
      <alignment horizontal="center" vertical="center"/>
      <protection locked="0" hidden="0"/>
    </xf>
    <xf numFmtId="0" fontId="14" fillId="3" borderId="56" applyAlignment="1" pivotButton="0" quotePrefix="0" xfId="1">
      <alignment horizontal="center" vertical="center"/>
    </xf>
    <xf numFmtId="0" fontId="14" fillId="3" borderId="11" applyAlignment="1" pivotButton="0" quotePrefix="0" xfId="1">
      <alignment horizontal="center" vertical="center"/>
    </xf>
    <xf numFmtId="0" fontId="14" fillId="0" borderId="38" applyAlignment="1" pivotButton="0" quotePrefix="0" xfId="1">
      <alignment horizontal="center" wrapText="1"/>
    </xf>
    <xf numFmtId="0" fontId="14" fillId="0" borderId="16" applyAlignment="1" pivotButton="0" quotePrefix="0" xfId="1">
      <alignment horizontal="center" wrapText="1"/>
    </xf>
    <xf numFmtId="0" fontId="14" fillId="0" borderId="53" applyAlignment="1" pivotButton="0" quotePrefix="0" xfId="1">
      <alignment horizontal="center" wrapText="1"/>
    </xf>
    <xf numFmtId="0" fontId="14" fillId="0" borderId="47" applyAlignment="1" pivotButton="0" quotePrefix="0" xfId="1">
      <alignment horizontal="center" wrapText="1"/>
    </xf>
    <xf numFmtId="0" fontId="14" fillId="0" borderId="10" applyAlignment="1" pivotButton="0" quotePrefix="0" xfId="1">
      <alignment horizontal="center" wrapText="1"/>
    </xf>
    <xf numFmtId="0" fontId="9" fillId="3" borderId="8" applyAlignment="1" applyProtection="1" pivotButton="0" quotePrefix="0" xfId="0">
      <alignment horizontal="center" vertical="center"/>
      <protection locked="0" hidden="0"/>
    </xf>
    <xf numFmtId="0" fontId="9" fillId="3" borderId="45" applyAlignment="1" applyProtection="1" pivotButton="0" quotePrefix="0" xfId="0">
      <alignment horizontal="center" vertical="center"/>
      <protection locked="0" hidden="0"/>
    </xf>
    <xf numFmtId="0" fontId="11" fillId="0" borderId="0" applyAlignment="1" pivotButton="0" quotePrefix="0" xfId="1">
      <alignment horizontal="center" vertical="center"/>
    </xf>
    <xf numFmtId="0" fontId="11" fillId="0" borderId="13" applyAlignment="1" applyProtection="1" pivotButton="0" quotePrefix="0" xfId="1">
      <alignment horizontal="center" vertical="center"/>
      <protection locked="0" hidden="0"/>
    </xf>
    <xf numFmtId="0" fontId="11" fillId="0" borderId="40" applyAlignment="1" pivotButton="0" quotePrefix="0" xfId="1">
      <alignment horizontal="left" vertical="center" indent="1"/>
    </xf>
    <xf numFmtId="0" fontId="11" fillId="0" borderId="3" applyAlignment="1" pivotButton="0" quotePrefix="0" xfId="1">
      <alignment horizontal="left" vertical="center" indent="1"/>
    </xf>
    <xf numFmtId="0" fontId="11" fillId="0" borderId="33" applyAlignment="1" pivotButton="0" quotePrefix="0" xfId="1">
      <alignment horizontal="left" vertical="center" indent="1"/>
    </xf>
    <xf numFmtId="0" fontId="11" fillId="3" borderId="32"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3" applyAlignment="1" applyProtection="1" pivotButton="0" quotePrefix="0" xfId="1">
      <alignment horizontal="center" vertical="center"/>
      <protection locked="0" hidden="0"/>
    </xf>
    <xf numFmtId="0" fontId="11" fillId="3" borderId="33" applyAlignment="1" applyProtection="1" pivotButton="0" quotePrefix="0" xfId="1">
      <alignment horizontal="center" vertical="center"/>
      <protection locked="0" hidden="0"/>
    </xf>
    <xf numFmtId="0" fontId="11" fillId="0" borderId="38" applyAlignment="1" pivotButton="0" quotePrefix="0" xfId="1">
      <alignment horizontal="left" vertical="center" indent="1"/>
    </xf>
    <xf numFmtId="0" fontId="11" fillId="0" borderId="16" applyAlignment="1" pivotButton="0" quotePrefix="0" xfId="1">
      <alignment horizontal="left" vertical="center" indent="1"/>
    </xf>
    <xf numFmtId="0" fontId="11" fillId="0" borderId="53" applyAlignment="1" pivotButton="0" quotePrefix="0" xfId="1">
      <alignment horizontal="left" vertical="center" indent="1"/>
    </xf>
    <xf numFmtId="0" fontId="11" fillId="3" borderId="44"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15" applyAlignment="1" applyProtection="1" pivotButton="0" quotePrefix="0" xfId="1">
      <alignment horizontal="center" vertical="center"/>
      <protection locked="0" hidden="0"/>
    </xf>
    <xf numFmtId="0" fontId="11" fillId="3" borderId="16" applyAlignment="1" applyProtection="1" pivotButton="0" quotePrefix="0" xfId="1">
      <alignment horizontal="center" vertical="center"/>
      <protection locked="0" hidden="0"/>
    </xf>
    <xf numFmtId="0" fontId="11" fillId="3" borderId="53" applyAlignment="1" applyProtection="1" pivotButton="0" quotePrefix="0" xfId="1">
      <alignment horizontal="center" vertical="center"/>
      <protection locked="0" hidden="0"/>
    </xf>
    <xf numFmtId="0" fontId="11" fillId="0" borderId="22" applyAlignment="1" pivotButton="0" quotePrefix="1" xfId="1">
      <alignment horizontal="left" vertical="center"/>
    </xf>
    <xf numFmtId="0" fontId="11" fillId="0" borderId="21" applyAlignment="1" pivotButton="0" quotePrefix="0" xfId="1">
      <alignment horizontal="left" vertical="center"/>
    </xf>
    <xf numFmtId="0" fontId="11" fillId="3" borderId="52" applyAlignment="1" pivotButton="0" quotePrefix="0" xfId="1">
      <alignment horizontal="center" vertical="center"/>
    </xf>
    <xf numFmtId="0" fontId="11" fillId="3" borderId="12" applyAlignment="1" pivotButton="0" quotePrefix="0" xfId="1">
      <alignment horizontal="center" vertical="center"/>
    </xf>
    <xf numFmtId="0" fontId="11" fillId="3" borderId="56" applyAlignment="1" pivotButton="0" quotePrefix="0" xfId="1">
      <alignment horizontal="center" vertical="center"/>
    </xf>
    <xf numFmtId="0" fontId="11" fillId="0" borderId="47"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4" fillId="0" borderId="45" applyAlignment="1" pivotButton="0" quotePrefix="0" xfId="1">
      <alignment horizontal="center" wrapText="1"/>
    </xf>
    <xf numFmtId="0" fontId="14" fillId="0" borderId="52" applyAlignment="1" pivotButton="0" quotePrefix="0" xfId="1">
      <alignment horizontal="left" vertical="center" indent="1"/>
    </xf>
    <xf numFmtId="0" fontId="14" fillId="0" borderId="56" applyAlignment="1" pivotButton="0" quotePrefix="0" xfId="1">
      <alignment horizontal="left" vertical="center" indent="1"/>
    </xf>
    <xf numFmtId="0" fontId="11" fillId="0" borderId="40" applyAlignment="1" pivotButton="0" quotePrefix="0" xfId="1">
      <alignment horizontal="left" vertical="center" wrapText="1" indent="1"/>
    </xf>
    <xf numFmtId="0" fontId="11" fillId="0" borderId="33" applyAlignment="1" pivotButton="0" quotePrefix="0" xfId="1">
      <alignment horizontal="left" vertical="center" wrapText="1" indent="1"/>
    </xf>
    <xf numFmtId="0" fontId="10" fillId="3" borderId="25" applyAlignment="1" pivotButton="0" quotePrefix="0" xfId="0">
      <alignment horizontal="center" vertical="center"/>
    </xf>
    <xf numFmtId="0" fontId="10" fillId="3" borderId="27" applyAlignment="1" pivotButton="0" quotePrefix="0" xfId="0">
      <alignment horizontal="center" vertical="center"/>
    </xf>
    <xf numFmtId="0" fontId="9" fillId="3" borderId="46"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0" fillId="0" borderId="62" applyAlignment="1" pivotButton="0" quotePrefix="0" xfId="0">
      <alignment horizontal="left" wrapText="1" indent="1"/>
    </xf>
    <xf numFmtId="0" fontId="10" fillId="0" borderId="60" applyAlignment="1" pivotButton="0" quotePrefix="0" xfId="0">
      <alignment horizontal="left" wrapText="1" indent="1"/>
    </xf>
    <xf numFmtId="0" fontId="10" fillId="0" borderId="63" applyAlignment="1" pivotButton="0" quotePrefix="0" xfId="0">
      <alignment horizontal="left" wrapText="1" indent="1"/>
    </xf>
    <xf numFmtId="0" fontId="10" fillId="0" borderId="54" applyAlignment="1" pivotButton="0" quotePrefix="0" xfId="0">
      <alignment horizontal="left" wrapText="1" indent="1"/>
    </xf>
    <xf numFmtId="0" fontId="10" fillId="0" borderId="1" applyAlignment="1" pivotButton="0" quotePrefix="0" xfId="0">
      <alignment horizontal="left" wrapText="1" indent="1"/>
    </xf>
    <xf numFmtId="0" fontId="10" fillId="0" borderId="58" applyAlignment="1" pivotButton="0" quotePrefix="0" xfId="0">
      <alignment horizontal="left" wrapText="1" indent="1"/>
    </xf>
    <xf numFmtId="0" fontId="9" fillId="3" borderId="17" applyAlignment="1" pivotButton="0" quotePrefix="0" xfId="0">
      <alignment horizontal="center" vertical="center"/>
    </xf>
    <xf numFmtId="0" fontId="28" fillId="3" borderId="30" applyAlignment="1" pivotButton="0" quotePrefix="0" xfId="0">
      <alignment horizontal="center" vertical="center"/>
    </xf>
    <xf numFmtId="0" fontId="28" fillId="3" borderId="4" applyAlignment="1" pivotButton="0" quotePrefix="0" xfId="0">
      <alignment horizontal="center" vertical="center"/>
    </xf>
    <xf numFmtId="0" fontId="28" fillId="3" borderId="31" applyAlignment="1" pivotButton="0" quotePrefix="0" xfId="0">
      <alignment horizontal="center" vertical="center"/>
    </xf>
    <xf numFmtId="0" fontId="9" fillId="3" borderId="9" applyAlignment="1" pivotButton="0" quotePrefix="0" xfId="0">
      <alignment horizontal="center" vertical="center" wrapText="1"/>
    </xf>
    <xf numFmtId="0" fontId="9" fillId="3" borderId="34" applyAlignment="1" pivotButton="0" quotePrefix="0" xfId="0">
      <alignment horizontal="center" vertical="center" wrapText="1"/>
    </xf>
    <xf numFmtId="0" fontId="10" fillId="0" borderId="46" applyAlignment="1" pivotButton="0" quotePrefix="0" xfId="0">
      <alignment horizontal="left" wrapText="1" indent="1"/>
    </xf>
    <xf numFmtId="0" fontId="10" fillId="0" borderId="8" applyAlignment="1" pivotButton="0" quotePrefix="0" xfId="0">
      <alignment horizontal="left" wrapText="1" indent="1"/>
    </xf>
    <xf numFmtId="0" fontId="10" fillId="0" borderId="45" applyAlignment="1" pivotButton="0" quotePrefix="0" xfId="0">
      <alignment horizontal="left" wrapText="1" indent="1"/>
    </xf>
    <xf numFmtId="0" fontId="25" fillId="0" borderId="0" applyAlignment="1" pivotButton="0" quotePrefix="0" xfId="0">
      <alignment horizontal="left" vertical="center" indent="2"/>
    </xf>
    <xf numFmtId="0" fontId="11" fillId="0" borderId="52" applyAlignment="1" applyProtection="1" pivotButton="0" quotePrefix="0" xfId="1">
      <alignment horizontal="center" vertical="center"/>
      <protection locked="0" hidden="0"/>
    </xf>
    <xf numFmtId="0" fontId="14" fillId="3" borderId="12" applyAlignment="1" pivotButton="0" quotePrefix="0" xfId="1">
      <alignment horizontal="center" vertical="center"/>
    </xf>
    <xf numFmtId="0" fontId="9" fillId="0" borderId="46" applyAlignment="1" pivotButton="0" quotePrefix="0" xfId="0">
      <alignment horizontal="left" wrapText="1" indent="1"/>
    </xf>
    <xf numFmtId="0" fontId="9" fillId="0" borderId="45" applyAlignment="1" pivotButton="0" quotePrefix="0" xfId="0">
      <alignment horizontal="left" wrapText="1" indent="1"/>
    </xf>
    <xf numFmtId="0" fontId="11" fillId="0" borderId="2" applyAlignment="1" applyProtection="1" pivotButton="0" quotePrefix="0" xfId="1">
      <alignment horizontal="center" vertical="center"/>
      <protection locked="0" hidden="0"/>
    </xf>
    <xf numFmtId="0" fontId="11" fillId="0" borderId="4" applyAlignment="1" applyProtection="1" pivotButton="0" quotePrefix="0" xfId="1">
      <alignment horizontal="center" vertical="center"/>
      <protection locked="0" hidden="0"/>
    </xf>
    <xf numFmtId="0" fontId="14" fillId="0" borderId="11" applyAlignment="1" pivotButton="0" quotePrefix="0" xfId="1">
      <alignment horizontal="center" wrapText="1"/>
    </xf>
    <xf numFmtId="0" fontId="11" fillId="0" borderId="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166" fontId="11" fillId="3" borderId="40" applyAlignment="1" applyProtection="1" pivotButton="0" quotePrefix="0" xfId="1">
      <alignment horizontal="center" vertical="center"/>
      <protection locked="0" hidden="0"/>
    </xf>
    <xf numFmtId="166" fontId="11" fillId="3" borderId="3" applyAlignment="1" applyProtection="1" pivotButton="0" quotePrefix="0" xfId="1">
      <alignment horizontal="center" vertical="center"/>
      <protection locked="0" hidden="0"/>
    </xf>
    <xf numFmtId="166" fontId="11" fillId="3" borderId="33" applyAlignment="1" applyProtection="1" pivotButton="0" quotePrefix="0" xfId="1">
      <alignment horizontal="center" vertical="center"/>
      <protection locked="0" hidden="0"/>
    </xf>
    <xf numFmtId="0" fontId="9" fillId="0" borderId="11" applyAlignment="1" applyProtection="1" pivotButton="0" quotePrefix="0" xfId="0">
      <alignment horizontal="center" vertical="center"/>
      <protection locked="0" hidden="0"/>
    </xf>
    <xf numFmtId="0" fontId="9" fillId="0" borderId="12"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14" fillId="3" borderId="52" applyAlignment="1" pivotButton="0" quotePrefix="0" xfId="1">
      <alignment horizontal="center" wrapText="1"/>
    </xf>
    <xf numFmtId="0" fontId="14" fillId="3" borderId="12" applyAlignment="1" pivotButton="0" quotePrefix="0" xfId="1">
      <alignment horizontal="center" wrapText="1"/>
    </xf>
    <xf numFmtId="0" fontId="14" fillId="3" borderId="56" applyAlignment="1" pivotButton="0" quotePrefix="0" xfId="1">
      <alignment horizontal="center" wrapText="1"/>
    </xf>
    <xf numFmtId="0" fontId="11" fillId="3" borderId="52" applyAlignment="1" applyProtection="1" pivotButton="0" quotePrefix="0" xfId="1">
      <alignment horizontal="center" vertical="center"/>
      <protection locked="0" hidden="0"/>
    </xf>
    <xf numFmtId="0" fontId="11" fillId="3" borderId="12" applyAlignment="1" applyProtection="1" pivotButton="0" quotePrefix="0" xfId="1">
      <alignment horizontal="center" vertical="center"/>
      <protection locked="0" hidden="0"/>
    </xf>
    <xf numFmtId="0" fontId="11" fillId="3" borderId="56" applyAlignment="1" applyProtection="1" pivotButton="0" quotePrefix="0" xfId="1">
      <alignment horizontal="center" vertical="center"/>
      <protection locked="0" hidden="0"/>
    </xf>
    <xf numFmtId="0" fontId="36" fillId="2" borderId="0" applyAlignment="1" pivotButton="0" quotePrefix="0" xfId="0">
      <alignment horizontal="left"/>
    </xf>
    <xf numFmtId="0" fontId="5" fillId="3" borderId="0" applyAlignment="1" pivotButton="0" quotePrefix="0" xfId="0">
      <alignment horizontal="left" indent="1"/>
    </xf>
    <xf numFmtId="0" fontId="14" fillId="0" borderId="12" applyAlignment="1" pivotButton="0" quotePrefix="0" xfId="1">
      <alignment horizontal="left" vertical="center" indent="1"/>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0" borderId="44" applyAlignment="1" applyProtection="1" pivotButton="0" quotePrefix="0" xfId="1">
      <alignment horizontal="center" vertical="center"/>
      <protection locked="0" hidden="0"/>
    </xf>
    <xf numFmtId="0" fontId="11" fillId="0" borderId="14" applyAlignment="1" applyProtection="1" pivotButton="0" quotePrefix="0" xfId="1">
      <alignment horizontal="center" vertical="center"/>
      <protection locked="0" hidden="0"/>
    </xf>
    <xf numFmtId="0" fontId="11" fillId="0" borderId="2" applyAlignment="1" applyProtection="1" pivotButton="0" quotePrefix="0" xfId="1">
      <alignment horizontal="center" vertical="center" wrapText="1"/>
      <protection locked="0" hidden="0"/>
    </xf>
    <xf numFmtId="0" fontId="11" fillId="0" borderId="33" applyAlignment="1" applyProtection="1" pivotButton="0" quotePrefix="0" xfId="1">
      <alignment horizontal="center" vertical="center" wrapText="1"/>
      <protection locked="0" hidden="0"/>
    </xf>
    <xf numFmtId="0" fontId="14" fillId="0" borderId="62" applyAlignment="1" pivotButton="0" quotePrefix="0" xfId="1">
      <alignment horizontal="center"/>
    </xf>
    <xf numFmtId="0" fontId="14" fillId="0" borderId="60" applyAlignment="1" pivotButton="0" quotePrefix="0" xfId="1">
      <alignment horizontal="center"/>
    </xf>
    <xf numFmtId="0" fontId="14" fillId="0" borderId="64" applyAlignment="1" pivotButton="0" quotePrefix="0" xfId="1">
      <alignment horizontal="center"/>
    </xf>
    <xf numFmtId="0" fontId="14" fillId="0" borderId="26" applyAlignment="1" pivotButton="0" quotePrefix="0" xfId="1">
      <alignment horizontal="center"/>
    </xf>
    <xf numFmtId="0" fontId="9" fillId="3" borderId="5" applyAlignment="1" applyProtection="1" pivotButton="0" quotePrefix="0" xfId="0">
      <alignment horizontal="center" vertical="center"/>
      <protection locked="0" hidden="0"/>
    </xf>
    <xf numFmtId="0" fontId="9" fillId="3" borderId="2" applyAlignment="1" applyProtection="1" pivotButton="0" quotePrefix="0" xfId="0">
      <alignment horizontal="center" vertical="center"/>
      <protection locked="0" hidden="0"/>
    </xf>
    <xf numFmtId="0" fontId="9" fillId="3" borderId="39" applyAlignment="1" applyProtection="1" pivotButton="0" quotePrefix="0" xfId="0">
      <alignment horizontal="center" vertical="center"/>
      <protection locked="0" hidden="0"/>
    </xf>
    <xf numFmtId="0" fontId="9" fillId="3" borderId="58" applyAlignment="1" applyProtection="1" pivotButton="0" quotePrefix="0" xfId="0">
      <alignment horizontal="center" vertical="center"/>
      <protection locked="0" hidden="0"/>
    </xf>
    <xf numFmtId="0" fontId="9" fillId="3" borderId="5" applyAlignment="1" pivotButton="0" quotePrefix="0" xfId="0">
      <alignment horizontal="center" vertical="center"/>
    </xf>
    <xf numFmtId="0" fontId="9" fillId="3" borderId="2" applyAlignment="1" pivotButton="0" quotePrefix="0" xfId="0">
      <alignment horizontal="center" vertical="center"/>
    </xf>
    <xf numFmtId="0" fontId="14" fillId="0" borderId="7" applyAlignment="1" pivotButton="0" quotePrefix="0" xfId="1">
      <alignment horizontal="center"/>
    </xf>
    <xf numFmtId="0" fontId="14" fillId="0" borderId="9" applyAlignment="1" pivotButton="0" quotePrefix="0" xfId="1">
      <alignment horizontal="center"/>
    </xf>
    <xf numFmtId="0" fontId="11" fillId="0" borderId="40" applyAlignment="1" pivotButton="0" quotePrefix="0" xfId="1">
      <alignment horizontal="left" wrapText="1" indent="1"/>
    </xf>
    <xf numFmtId="0" fontId="11" fillId="0" borderId="3" applyAlignment="1" pivotButton="0" quotePrefix="0" xfId="1">
      <alignment horizontal="left" wrapText="1" indent="1"/>
    </xf>
    <xf numFmtId="0" fontId="11" fillId="0" borderId="33" applyAlignment="1" pivotButton="0" quotePrefix="0" xfId="1">
      <alignment horizontal="left" wrapText="1" indent="1"/>
    </xf>
    <xf numFmtId="0" fontId="14" fillId="3" borderId="46" applyAlignment="1" pivotButton="0" quotePrefix="0" xfId="1">
      <alignment horizontal="center" vertical="center"/>
    </xf>
    <xf numFmtId="0" fontId="14" fillId="3" borderId="8" applyAlignment="1" pivotButton="0" quotePrefix="0" xfId="1">
      <alignment horizontal="center" vertical="center"/>
    </xf>
    <xf numFmtId="0" fontId="14" fillId="3" borderId="45" applyAlignment="1" pivotButton="0" quotePrefix="0" xfId="1">
      <alignment horizontal="center" vertical="center"/>
    </xf>
    <xf numFmtId="0" fontId="11" fillId="3" borderId="7" applyAlignment="1" applyProtection="1" pivotButton="0" quotePrefix="0" xfId="1">
      <alignment horizontal="center" vertical="center"/>
      <protection locked="0" hidden="0"/>
    </xf>
    <xf numFmtId="0" fontId="11" fillId="3" borderId="8" applyAlignment="1" applyProtection="1" pivotButton="0" quotePrefix="0" xfId="1">
      <alignment horizontal="center" vertical="center"/>
      <protection locked="0" hidden="0"/>
    </xf>
    <xf numFmtId="0" fontId="11" fillId="3" borderId="45" applyAlignment="1" applyProtection="1" pivotButton="0" quotePrefix="0" xfId="1">
      <alignment horizontal="center" vertical="center"/>
      <protection locked="0" hidden="0"/>
    </xf>
    <xf numFmtId="0" fontId="14" fillId="3" borderId="38" applyAlignment="1" pivotButton="0" quotePrefix="0" xfId="1">
      <alignment horizontal="center" vertical="center"/>
    </xf>
    <xf numFmtId="0" fontId="14" fillId="3" borderId="16" applyAlignment="1" pivotButton="0" quotePrefix="0" xfId="1">
      <alignment horizontal="center" vertical="center"/>
    </xf>
    <xf numFmtId="0" fontId="14" fillId="3" borderId="53" applyAlignment="1" pivotButton="0" quotePrefix="0" xfId="1">
      <alignment horizontal="center" vertical="center"/>
    </xf>
    <xf numFmtId="0" fontId="11" fillId="0" borderId="5"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14" applyAlignment="1" applyProtection="1" pivotButton="0" quotePrefix="0" xfId="0">
      <alignment horizontal="center" vertical="center"/>
      <protection locked="0" hidden="0"/>
    </xf>
    <xf numFmtId="0" fontId="9" fillId="3" borderId="35" applyAlignment="1" applyProtection="1" pivotButton="0" quotePrefix="0" xfId="0">
      <alignment horizontal="center" vertical="center"/>
      <protection locked="0" hidden="0"/>
    </xf>
    <xf numFmtId="0" fontId="9" fillId="3" borderId="33" applyAlignment="1" applyProtection="1" pivotButton="0" quotePrefix="0" xfId="0">
      <alignment horizontal="center" vertical="center"/>
      <protection locked="0" hidden="0"/>
    </xf>
    <xf numFmtId="0" fontId="14" fillId="0" borderId="81" applyAlignment="1" pivotButton="0" quotePrefix="0" xfId="1">
      <alignment horizontal="center" wrapText="1"/>
    </xf>
    <xf numFmtId="0" fontId="14" fillId="0" borderId="25" applyAlignment="1" pivotButton="0" quotePrefix="0" xfId="1">
      <alignment horizontal="center" wrapText="1"/>
    </xf>
    <xf numFmtId="0" fontId="11" fillId="0" borderId="33" applyAlignment="1" applyProtection="1" pivotButton="0" quotePrefix="0" xfId="1">
      <alignment horizontal="center" vertical="center"/>
      <protection locked="0" hidden="0"/>
    </xf>
    <xf numFmtId="0" fontId="11" fillId="0" borderId="46" applyAlignment="1" pivotButton="0" quotePrefix="0" xfId="1">
      <alignment horizontal="left" vertical="center" wrapText="1" indent="1"/>
    </xf>
    <xf numFmtId="0" fontId="11" fillId="0" borderId="8" applyAlignment="1" pivotButton="0" quotePrefix="0" xfId="1">
      <alignment horizontal="left" vertical="center" wrapText="1" indent="1"/>
    </xf>
    <xf numFmtId="0" fontId="11" fillId="0" borderId="45" applyAlignment="1" pivotButton="0" quotePrefix="0" xfId="1">
      <alignment horizontal="left" vertical="center" wrapText="1" indent="1"/>
    </xf>
    <xf numFmtId="0" fontId="11" fillId="0" borderId="37" applyAlignment="1" applyProtection="1" pivotButton="0" quotePrefix="0" xfId="1">
      <alignment horizontal="center" vertical="center"/>
      <protection locked="0" hidden="0"/>
    </xf>
    <xf numFmtId="0" fontId="11" fillId="0" borderId="18" applyAlignment="1" applyProtection="1" pivotButton="0" quotePrefix="0" xfId="1">
      <alignment horizontal="center" vertical="center"/>
      <protection locked="0" hidden="0"/>
    </xf>
    <xf numFmtId="0" fontId="11" fillId="0" borderId="46" applyAlignment="1" pivotButton="0" quotePrefix="0" xfId="1">
      <alignment horizontal="left" vertical="center" indent="1"/>
    </xf>
    <xf numFmtId="0" fontId="11" fillId="0" borderId="8" applyAlignment="1" pivotButton="0" quotePrefix="0" xfId="1">
      <alignment horizontal="left" vertical="center" indent="1"/>
    </xf>
    <xf numFmtId="0" fontId="11" fillId="0" borderId="45" applyAlignment="1" pivotButton="0" quotePrefix="0" xfId="1">
      <alignment horizontal="left" vertical="center" indent="1"/>
    </xf>
    <xf numFmtId="0" fontId="11" fillId="3" borderId="39" applyAlignment="1" applyProtection="1" pivotButton="0" quotePrefix="0" xfId="1">
      <alignment horizontal="center" vertical="center"/>
      <protection locked="0" hidden="0"/>
    </xf>
    <xf numFmtId="0" fontId="11" fillId="0" borderId="15" applyAlignment="1" applyProtection="1" pivotButton="0" quotePrefix="0" xfId="1">
      <alignment horizontal="center" vertical="center"/>
      <protection locked="0" hidden="0"/>
    </xf>
    <xf numFmtId="0" fontId="11" fillId="0" borderId="17" applyAlignment="1" applyProtection="1" pivotButton="0" quotePrefix="0" xfId="1">
      <alignment horizontal="center" vertical="center"/>
      <protection locked="0" hidden="0"/>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1" fillId="0" borderId="9" applyAlignment="1" applyProtection="1" pivotButton="0" quotePrefix="0" xfId="1">
      <alignment horizontal="center" vertical="center"/>
      <protection locked="0" hidden="0"/>
    </xf>
    <xf numFmtId="0" fontId="11" fillId="0" borderId="32" applyAlignment="1" applyProtection="1" pivotButton="0" quotePrefix="0" xfId="1">
      <alignment horizontal="center" vertical="center" wrapText="1"/>
      <protection locked="0" hidden="0"/>
    </xf>
    <xf numFmtId="0" fontId="11" fillId="0" borderId="5" applyAlignment="1" applyProtection="1" pivotButton="0" quotePrefix="0" xfId="1">
      <alignment horizontal="center" vertical="center" wrapText="1"/>
      <protection locked="0" hidden="0"/>
    </xf>
    <xf numFmtId="0" fontId="11" fillId="0" borderId="22" applyAlignment="1" applyProtection="1" pivotButton="0" quotePrefix="0" xfId="1">
      <alignment horizontal="center" vertical="center" wrapText="1"/>
      <protection locked="0" hidden="0"/>
    </xf>
    <xf numFmtId="0" fontId="11" fillId="0" borderId="21" applyAlignment="1" applyProtection="1" pivotButton="0" quotePrefix="0" xfId="1">
      <alignment horizontal="center" vertical="center" wrapText="1"/>
      <protection locked="0" hidden="0"/>
    </xf>
    <xf numFmtId="0" fontId="11" fillId="0" borderId="15" applyAlignment="1" applyProtection="1" pivotButton="0" quotePrefix="0" xfId="1">
      <alignment horizontal="center" vertical="center" wrapText="1"/>
      <protection locked="0" hidden="0"/>
    </xf>
    <xf numFmtId="0" fontId="11" fillId="0" borderId="53" applyAlignment="1" applyProtection="1" pivotButton="0" quotePrefix="0" xfId="1">
      <alignment horizontal="center" vertical="center" wrapText="1"/>
      <protection locked="0" hidden="0"/>
    </xf>
    <xf numFmtId="0" fontId="8" fillId="0" borderId="0" applyAlignment="1" pivotButton="0" quotePrefix="0" xfId="0">
      <alignment horizontal="left" vertical="center" wrapText="1" indent="1"/>
    </xf>
    <xf numFmtId="0" fontId="11" fillId="0" borderId="46" applyAlignment="1" applyProtection="1" pivotButton="0" quotePrefix="0" xfId="1">
      <alignment horizontal="center" vertical="center"/>
      <protection locked="0" hidden="0"/>
    </xf>
    <xf numFmtId="0" fontId="11" fillId="0" borderId="40" applyAlignment="1" applyProtection="1" pivotButton="0" quotePrefix="0" xfId="1">
      <alignment horizontal="center" vertical="center"/>
      <protection locked="0" hidden="0"/>
    </xf>
    <xf numFmtId="0" fontId="11" fillId="0" borderId="3" applyAlignment="1" pivotButton="0" quotePrefix="0" xfId="1">
      <alignment horizontal="left" vertical="center" wrapText="1" indent="1"/>
    </xf>
    <xf numFmtId="0" fontId="14" fillId="0" borderId="63" applyAlignment="1" pivotButton="0" quotePrefix="0" xfId="1">
      <alignment horizontal="center"/>
    </xf>
    <xf numFmtId="0" fontId="14" fillId="0" borderId="27" applyAlignment="1" pivotButton="0" quotePrefix="0" xfId="1">
      <alignment horizontal="center"/>
    </xf>
    <xf numFmtId="0" fontId="14" fillId="0" borderId="11" applyAlignment="1" pivotButton="0" quotePrefix="0" xfId="1">
      <alignment horizontal="center" vertical="center"/>
    </xf>
    <xf numFmtId="0" fontId="14" fillId="0" borderId="56" applyAlignment="1" pivotButton="0" quotePrefix="0" xfId="1">
      <alignment horizontal="center" vertical="center"/>
    </xf>
    <xf numFmtId="0" fontId="14" fillId="0" borderId="52" applyAlignment="1" pivotButton="0" quotePrefix="0" xfId="1">
      <alignment horizontal="center" vertical="center"/>
    </xf>
    <xf numFmtId="0" fontId="14" fillId="0" borderId="13" applyAlignment="1" pivotButton="0" quotePrefix="0" xfId="1">
      <alignment horizontal="center" vertical="center"/>
    </xf>
    <xf numFmtId="0" fontId="11" fillId="0" borderId="20" applyAlignment="1" applyProtection="1" pivotButton="0" quotePrefix="0" xfId="1">
      <alignment horizontal="center" vertical="center"/>
      <protection locked="0" hidden="0"/>
    </xf>
    <xf numFmtId="0" fontId="11" fillId="0" borderId="6" applyAlignment="1" applyProtection="1" pivotButton="0" quotePrefix="0" xfId="1">
      <alignment horizontal="center" vertical="center"/>
      <protection locked="0" hidden="0"/>
    </xf>
    <xf numFmtId="0" fontId="14" fillId="0" borderId="52" applyAlignment="1" pivotButton="0" quotePrefix="0" xfId="1">
      <alignment horizontal="left" vertical="center" wrapText="1" indent="1"/>
    </xf>
    <xf numFmtId="0" fontId="14" fillId="0" borderId="12" applyAlignment="1" pivotButton="0" quotePrefix="0" xfId="1">
      <alignment horizontal="left" vertical="center" wrapText="1" indent="1"/>
    </xf>
    <xf numFmtId="0" fontId="14" fillId="0" borderId="56" applyAlignment="1" pivotButton="0" quotePrefix="0" xfId="1">
      <alignment horizontal="left" vertical="center" wrapText="1" indent="1"/>
    </xf>
    <xf numFmtId="0" fontId="11" fillId="0" borderId="38" applyAlignment="1" applyProtection="1" pivotButton="0" quotePrefix="0" xfId="1">
      <alignment horizontal="center" vertical="center"/>
      <protection locked="0" hidden="0"/>
    </xf>
    <xf numFmtId="0" fontId="11" fillId="0" borderId="38" applyAlignment="1" pivotButton="0" quotePrefix="0" xfId="1">
      <alignment horizontal="left" vertical="center" wrapText="1" indent="1"/>
    </xf>
    <xf numFmtId="0" fontId="11" fillId="0" borderId="16" applyAlignment="1" pivotButton="0" quotePrefix="0" xfId="1">
      <alignment horizontal="left" vertical="center" wrapText="1" indent="1"/>
    </xf>
    <xf numFmtId="0" fontId="11" fillId="0" borderId="53" applyAlignment="1" pivotButton="0" quotePrefix="0" xfId="1">
      <alignment horizontal="left" vertical="center" wrapText="1" indent="1"/>
    </xf>
    <xf numFmtId="0" fontId="11" fillId="0" borderId="46" applyAlignment="1" pivotButton="0" quotePrefix="1" xfId="1">
      <alignment horizontal="left" vertical="center"/>
    </xf>
    <xf numFmtId="0" fontId="11" fillId="0" borderId="9" applyAlignment="1" pivotButton="0" quotePrefix="1" xfId="1">
      <alignment horizontal="left" vertical="center"/>
    </xf>
    <xf numFmtId="0" fontId="11" fillId="0" borderId="8" applyAlignment="1" pivotButton="0" quotePrefix="1" xfId="1">
      <alignment horizontal="left" vertical="center"/>
    </xf>
    <xf numFmtId="0" fontId="11" fillId="0" borderId="16" applyAlignment="1" pivotButton="0" quotePrefix="1" xfId="1">
      <alignment horizontal="left" vertical="center"/>
    </xf>
    <xf numFmtId="0" fontId="14" fillId="0" borderId="52" applyAlignment="1" pivotButton="0" quotePrefix="0" xfId="1">
      <alignment horizontal="center"/>
    </xf>
    <xf numFmtId="0" fontId="14" fillId="0" borderId="13" applyAlignment="1" pivotButton="0" quotePrefix="0" xfId="1">
      <alignment horizontal="center"/>
    </xf>
    <xf numFmtId="0" fontId="11" fillId="0" borderId="42" applyAlignment="1" pivotButton="0" quotePrefix="1" xfId="1">
      <alignment horizontal="left" vertical="center"/>
    </xf>
    <xf numFmtId="0" fontId="11" fillId="0" borderId="23" applyAlignment="1" pivotButton="0" quotePrefix="1" xfId="1">
      <alignment horizontal="left" vertical="center"/>
    </xf>
    <xf numFmtId="0" fontId="11" fillId="0" borderId="8" applyAlignment="1" applyProtection="1" pivotButton="0" quotePrefix="0" xfId="1">
      <alignment horizontal="center" vertical="center"/>
      <protection locked="0" hidden="0"/>
    </xf>
    <xf numFmtId="0" fontId="11" fillId="0" borderId="60" applyAlignment="1" pivotButton="0" quotePrefix="0" xfId="1">
      <alignment vertical="center"/>
    </xf>
    <xf numFmtId="0" fontId="11" fillId="3" borderId="38" applyAlignment="1" pivotButton="0" quotePrefix="0" xfId="1">
      <alignment horizontal="left" vertical="center" indent="1"/>
    </xf>
    <xf numFmtId="0" fontId="11" fillId="3" borderId="53" applyAlignment="1" pivotButton="0" quotePrefix="0" xfId="1">
      <alignment horizontal="left" vertical="center" indent="1"/>
    </xf>
    <xf numFmtId="0" fontId="14" fillId="0" borderId="46" applyAlignment="1" pivotButton="0" quotePrefix="0" xfId="1">
      <alignment horizontal="center"/>
    </xf>
    <xf numFmtId="0" fontId="14" fillId="0" borderId="38" applyAlignment="1" pivotButton="0" quotePrefix="0" xfId="1">
      <alignment horizontal="center"/>
    </xf>
    <xf numFmtId="0" fontId="14" fillId="0" borderId="16" applyAlignment="1" pivotButton="0" quotePrefix="0" xfId="1">
      <alignment horizontal="center"/>
    </xf>
    <xf numFmtId="0" fontId="14" fillId="0" borderId="53" applyAlignment="1" pivotButton="0" quotePrefix="0" xfId="1">
      <alignment horizontal="center"/>
    </xf>
    <xf numFmtId="0" fontId="11" fillId="0" borderId="3" applyAlignment="1" applyProtection="1" pivotButton="0" quotePrefix="0" xfId="1">
      <alignment horizontal="center" vertical="center"/>
      <protection locked="0" hidden="0"/>
    </xf>
    <xf numFmtId="0" fontId="5" fillId="3" borderId="0" applyAlignment="1" pivotButton="0" quotePrefix="0" xfId="0">
      <alignment horizontal="left" vertical="center" wrapText="1" indent="2"/>
    </xf>
    <xf numFmtId="0" fontId="9" fillId="0" borderId="52" applyAlignment="1" applyProtection="1" pivotButton="0" quotePrefix="0" xfId="0">
      <alignment horizontal="center" vertical="center"/>
      <protection locked="0" hidden="0"/>
    </xf>
    <xf numFmtId="0" fontId="9" fillId="0" borderId="13" applyAlignment="1" applyProtection="1" pivotButton="0" quotePrefix="0" xfId="0">
      <alignment horizontal="center" vertical="center"/>
      <protection locked="0" hidden="0"/>
    </xf>
    <xf numFmtId="0" fontId="9" fillId="0" borderId="81" applyAlignment="1" applyProtection="1" pivotButton="0" quotePrefix="0" xfId="0">
      <alignment horizontal="center" vertical="center"/>
      <protection locked="0" hidden="0"/>
    </xf>
    <xf numFmtId="0" fontId="28" fillId="0" borderId="60" applyAlignment="1" applyProtection="1" pivotButton="0" quotePrefix="0" xfId="0">
      <alignment horizontal="center" vertical="center"/>
      <protection locked="0" hidden="0"/>
    </xf>
    <xf numFmtId="0" fontId="28" fillId="0" borderId="72" applyAlignment="1" applyProtection="1" pivotButton="0" quotePrefix="0" xfId="0">
      <alignment horizontal="center" vertical="center"/>
      <protection locked="0" hidden="0"/>
    </xf>
    <xf numFmtId="0" fontId="14" fillId="3" borderId="62" applyAlignment="1" pivotButton="0" quotePrefix="0" xfId="1">
      <alignment horizontal="center"/>
    </xf>
    <xf numFmtId="0" fontId="14" fillId="3" borderId="63" applyAlignment="1" pivotButton="0" quotePrefix="0" xfId="1">
      <alignment horizontal="center"/>
    </xf>
    <xf numFmtId="0" fontId="14" fillId="3" borderId="64" applyAlignment="1" pivotButton="0" quotePrefix="0" xfId="1">
      <alignment horizontal="center"/>
    </xf>
    <xf numFmtId="0" fontId="14" fillId="3" borderId="27" applyAlignment="1" pivotButton="0" quotePrefix="0" xfId="1">
      <alignment horizontal="center"/>
    </xf>
    <xf numFmtId="0" fontId="11" fillId="0" borderId="0" applyAlignment="1" pivotButton="0" quotePrefix="0" xfId="1">
      <alignment vertical="center"/>
    </xf>
    <xf numFmtId="0" fontId="11" fillId="0" borderId="55" applyAlignment="1" pivotButton="0" quotePrefix="0" xfId="1">
      <alignment vertical="center"/>
    </xf>
    <xf numFmtId="0" fontId="11" fillId="0" borderId="75" applyAlignment="1" applyProtection="1" pivotButton="0" quotePrefix="0" xfId="1">
      <alignment horizontal="center" vertical="center"/>
      <protection locked="0" hidden="0"/>
    </xf>
    <xf numFmtId="0" fontId="14" fillId="3" borderId="54" applyAlignment="1" pivotButton="0" quotePrefix="0" xfId="1">
      <alignment horizontal="center" vertical="center" wrapText="1"/>
    </xf>
    <xf numFmtId="0" fontId="14" fillId="3" borderId="1" applyAlignment="1" pivotButton="0" quotePrefix="0" xfId="1">
      <alignment horizontal="center" vertical="center" wrapText="1"/>
    </xf>
    <xf numFmtId="0" fontId="28" fillId="0" borderId="12" applyAlignment="1" pivotButton="0" quotePrefix="0" xfId="0">
      <alignment horizontal="center" wrapText="1"/>
    </xf>
    <xf numFmtId="0" fontId="14" fillId="0" borderId="12" applyAlignment="1" pivotButton="0" quotePrefix="0" xfId="1">
      <alignment horizontal="center"/>
    </xf>
    <xf numFmtId="0" fontId="14" fillId="0" borderId="56" applyAlignment="1" pivotButton="0" quotePrefix="0" xfId="1">
      <alignment horizontal="center"/>
    </xf>
    <xf numFmtId="0" fontId="14" fillId="3" borderId="58" applyAlignment="1" pivotButton="0" quotePrefix="0" xfId="1">
      <alignment horizontal="center" vertical="center" wrapText="1"/>
    </xf>
    <xf numFmtId="0" fontId="14" fillId="3" borderId="36" applyAlignment="1" pivotButton="0" quotePrefix="0" xfId="1">
      <alignment horizontal="center" vertical="center" wrapText="1"/>
    </xf>
    <xf numFmtId="0" fontId="14" fillId="3" borderId="39" applyAlignment="1" pivotButton="0" quotePrefix="0" xfId="1">
      <alignment horizontal="center" vertical="center" wrapText="1"/>
    </xf>
    <xf numFmtId="0" fontId="9" fillId="0" borderId="40" applyAlignment="1" pivotButton="0" quotePrefix="0" xfId="0">
      <alignment horizontal="left" indent="1"/>
    </xf>
    <xf numFmtId="0" fontId="9" fillId="0" borderId="3" applyAlignment="1" pivotButton="0" quotePrefix="0" xfId="0">
      <alignment horizontal="left" indent="1"/>
    </xf>
    <xf numFmtId="0" fontId="9" fillId="0" borderId="33" applyAlignment="1" pivotButton="0" quotePrefix="0" xfId="0">
      <alignment horizontal="left" indent="1"/>
    </xf>
    <xf numFmtId="0" fontId="10" fillId="0" borderId="52" applyAlignment="1" pivotButton="0" quotePrefix="0" xfId="0">
      <alignment horizontal="center"/>
    </xf>
    <xf numFmtId="0" fontId="10" fillId="0" borderId="12" applyAlignment="1" pivotButton="0" quotePrefix="0" xfId="0">
      <alignment horizontal="center"/>
    </xf>
    <xf numFmtId="0" fontId="10" fillId="0" borderId="56" applyAlignment="1" pivotButton="0" quotePrefix="0" xfId="0">
      <alignment horizontal="center"/>
    </xf>
    <xf numFmtId="0" fontId="9" fillId="0" borderId="62" applyAlignment="1" pivotButton="0" quotePrefix="0" xfId="0">
      <alignment horizontal="left" indent="1"/>
    </xf>
    <xf numFmtId="0" fontId="9" fillId="0" borderId="60" applyAlignment="1" pivotButton="0" quotePrefix="0" xfId="0">
      <alignment horizontal="left" indent="1"/>
    </xf>
    <xf numFmtId="0" fontId="9" fillId="0" borderId="63" applyAlignment="1" pivotButton="0" quotePrefix="0" xfId="0">
      <alignment horizontal="left" indent="1"/>
    </xf>
    <xf numFmtId="0" fontId="10" fillId="0" borderId="52" applyAlignment="1" pivotButton="0" quotePrefix="0" xfId="0">
      <alignment horizontal="left" indent="1"/>
    </xf>
    <xf numFmtId="0" fontId="10" fillId="0" borderId="12" applyAlignment="1" pivotButton="0" quotePrefix="0" xfId="0">
      <alignment horizontal="left" indent="1"/>
    </xf>
    <xf numFmtId="0" fontId="10" fillId="0" borderId="56" applyAlignment="1" pivotButton="0" quotePrefix="0" xfId="0">
      <alignment horizontal="left" indent="1"/>
    </xf>
    <xf numFmtId="0" fontId="9" fillId="3" borderId="40"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0" applyAlignment="1" pivotButton="0" quotePrefix="0" xfId="0">
      <alignment horizontal="left" indent="1"/>
    </xf>
    <xf numFmtId="0" fontId="9" fillId="3" borderId="3" applyAlignment="1" pivotButton="0" quotePrefix="0" xfId="0">
      <alignment horizontal="left" indent="1"/>
    </xf>
    <xf numFmtId="0" fontId="9" fillId="3" borderId="33" applyAlignment="1" pivotButton="0" quotePrefix="0" xfId="0">
      <alignment horizontal="left" indent="1"/>
    </xf>
    <xf numFmtId="0" fontId="9" fillId="3" borderId="38" applyAlignment="1" pivotButton="0" quotePrefix="0" xfId="0">
      <alignment horizontal="left" vertical="center" indent="1"/>
    </xf>
    <xf numFmtId="0" fontId="9" fillId="3" borderId="16" applyAlignment="1" pivotButton="0" quotePrefix="0" xfId="0">
      <alignment horizontal="left" vertical="center" indent="1"/>
    </xf>
    <xf numFmtId="0" fontId="9" fillId="3" borderId="53" applyAlignment="1" pivotButton="0" quotePrefix="0" xfId="0">
      <alignment horizontal="left" vertical="center" indent="1"/>
    </xf>
    <xf numFmtId="0" fontId="9" fillId="3" borderId="40" applyAlignment="1" pivotButton="0" quotePrefix="0" xfId="0">
      <alignment horizontal="left" vertical="center" indent="1"/>
    </xf>
    <xf numFmtId="0" fontId="9" fillId="3" borderId="3" applyAlignment="1" pivotButton="0" quotePrefix="0" xfId="0">
      <alignment horizontal="left" vertical="center" indent="1"/>
    </xf>
    <xf numFmtId="0" fontId="9" fillId="3" borderId="24" applyAlignment="1" pivotButton="0" quotePrefix="0" xfId="0">
      <alignment horizontal="left" vertical="center" indent="1"/>
    </xf>
    <xf numFmtId="0" fontId="11" fillId="3" borderId="40" applyAlignment="1" pivotButton="0" quotePrefix="0" xfId="1">
      <alignment horizontal="left" vertical="center" wrapText="1" indent="2"/>
    </xf>
    <xf numFmtId="0" fontId="11" fillId="3" borderId="3" applyAlignment="1" pivotButton="0" quotePrefix="0" xfId="1">
      <alignment horizontal="left" vertical="center" wrapText="1" indent="2"/>
    </xf>
    <xf numFmtId="0" fontId="11" fillId="3" borderId="33" applyAlignment="1" pivotButton="0" quotePrefix="0" xfId="1">
      <alignment horizontal="left" vertical="center" wrapText="1" indent="2"/>
    </xf>
    <xf numFmtId="0" fontId="11" fillId="3" borderId="46" applyAlignment="1" pivotButton="0" quotePrefix="0" xfId="1">
      <alignment horizontal="left" vertical="center" indent="2"/>
    </xf>
    <xf numFmtId="0" fontId="11" fillId="3" borderId="8" applyAlignment="1" pivotButton="0" quotePrefix="0" xfId="1">
      <alignment horizontal="left" vertical="center" indent="2"/>
    </xf>
    <xf numFmtId="0" fontId="9" fillId="0" borderId="46" applyAlignment="1" pivotButton="0" quotePrefix="0" xfId="0">
      <alignment horizontal="left" indent="1"/>
    </xf>
    <xf numFmtId="0" fontId="9" fillId="0" borderId="8" applyAlignment="1" pivotButton="0" quotePrefix="0" xfId="0">
      <alignment horizontal="left" indent="1"/>
    </xf>
    <xf numFmtId="0" fontId="9" fillId="0" borderId="45" applyAlignment="1" pivotButton="0" quotePrefix="0" xfId="0">
      <alignment horizontal="left" indent="1"/>
    </xf>
    <xf numFmtId="0" fontId="3" fillId="0" borderId="0" applyAlignment="1" pivotButton="0" quotePrefix="0" xfId="0">
      <alignment horizontal="center"/>
    </xf>
    <xf numFmtId="0" fontId="9" fillId="0" borderId="38" applyAlignment="1" pivotButton="0" quotePrefix="0" xfId="0">
      <alignment horizontal="left" vertical="center" indent="1"/>
    </xf>
    <xf numFmtId="0" fontId="9" fillId="0" borderId="16" applyAlignment="1" pivotButton="0" quotePrefix="0" xfId="0">
      <alignment horizontal="left" vertical="center" indent="1"/>
    </xf>
    <xf numFmtId="0" fontId="9" fillId="0" borderId="53" applyAlignment="1" pivotButton="0" quotePrefix="0" xfId="0">
      <alignment horizontal="left" vertical="center" indent="1"/>
    </xf>
    <xf numFmtId="0" fontId="9" fillId="0" borderId="40" applyAlignment="1" pivotButton="0" quotePrefix="0" xfId="0">
      <alignment horizontal="left" vertical="center" indent="1"/>
    </xf>
    <xf numFmtId="0" fontId="9" fillId="0" borderId="3" applyAlignment="1" pivotButton="0" quotePrefix="0" xfId="0">
      <alignment horizontal="left" vertical="center" indent="1"/>
    </xf>
    <xf numFmtId="0" fontId="9" fillId="0" borderId="24" applyAlignment="1" pivotButton="0" quotePrefix="0" xfId="0">
      <alignment horizontal="left" vertical="center" indent="1"/>
    </xf>
    <xf numFmtId="0" fontId="9" fillId="0" borderId="42" applyAlignment="1" pivotButton="0" quotePrefix="0" xfId="0">
      <alignment horizontal="center" vertical="center"/>
    </xf>
    <xf numFmtId="0" fontId="9" fillId="0" borderId="23" applyAlignment="1" pivotButton="0" quotePrefix="0" xfId="0">
      <alignment horizontal="center" vertical="center"/>
    </xf>
    <xf numFmtId="0" fontId="9" fillId="0" borderId="64" applyAlignment="1" pivotButton="0" quotePrefix="0" xfId="0">
      <alignment horizontal="center" vertical="center"/>
    </xf>
    <xf numFmtId="0" fontId="9" fillId="0" borderId="26" applyAlignment="1" pivotButton="0" quotePrefix="0" xfId="0">
      <alignment horizontal="center" vertical="center"/>
    </xf>
    <xf numFmtId="0" fontId="9" fillId="0" borderId="42" applyAlignment="1" pivotButton="0" quotePrefix="0" xfId="0">
      <alignment horizontal="center"/>
    </xf>
    <xf numFmtId="0" fontId="9" fillId="0" borderId="23" applyAlignment="1" pivotButton="0" quotePrefix="0" xfId="0">
      <alignment horizontal="center"/>
    </xf>
    <xf numFmtId="0" fontId="9" fillId="0" borderId="24" applyAlignment="1" pivotButton="0" quotePrefix="0" xfId="0">
      <alignment horizontal="center"/>
    </xf>
    <xf numFmtId="0" fontId="9" fillId="0" borderId="43" applyAlignment="1" pivotButton="0" quotePrefix="0" xfId="0">
      <alignment horizontal="center"/>
    </xf>
    <xf numFmtId="0" fontId="9" fillId="0" borderId="0" applyAlignment="1" pivotButton="0" quotePrefix="0" xfId="0">
      <alignment horizontal="center"/>
    </xf>
    <xf numFmtId="0" fontId="9" fillId="0" borderId="55" applyAlignment="1" pivotButton="0" quotePrefix="0" xfId="0">
      <alignment horizontal="center"/>
    </xf>
    <xf numFmtId="0" fontId="9" fillId="0" borderId="42" applyAlignment="1" pivotButton="0" quotePrefix="0" xfId="0">
      <alignment horizontal="left" indent="1"/>
    </xf>
    <xf numFmtId="0" fontId="9" fillId="0" borderId="23" applyAlignment="1" pivotButton="0" quotePrefix="0" xfId="0">
      <alignment horizontal="left" indent="1"/>
    </xf>
    <xf numFmtId="0" fontId="36" fillId="2" borderId="0" applyAlignment="1" pivotButton="0" quotePrefix="0" xfId="0">
      <alignment horizontal="left" indent="1"/>
    </xf>
    <xf numFmtId="0" fontId="9" fillId="0" borderId="32" applyAlignment="1" pivotButton="0" quotePrefix="0" xfId="0">
      <alignment wrapText="1"/>
    </xf>
    <xf numFmtId="0" fontId="9" fillId="0" borderId="5" applyAlignment="1" pivotButton="0" quotePrefix="0" xfId="0">
      <alignment wrapText="1"/>
    </xf>
    <xf numFmtId="0" fontId="9" fillId="0" borderId="31" applyAlignment="1" pivotButton="0" quotePrefix="0" xfId="0">
      <alignment wrapText="1"/>
    </xf>
    <xf numFmtId="0" fontId="9" fillId="0" borderId="37" applyAlignment="1" pivotButton="0" quotePrefix="0" xfId="0">
      <alignment wrapText="1"/>
    </xf>
    <xf numFmtId="0" fontId="9" fillId="0" borderId="18" applyAlignment="1" pivotButton="0" quotePrefix="0" xfId="0">
      <alignment wrapText="1"/>
    </xf>
    <xf numFmtId="0" fontId="9" fillId="0" borderId="34" applyAlignment="1" pivotButton="0" quotePrefix="0" xfId="0">
      <alignment wrapText="1"/>
    </xf>
    <xf numFmtId="0" fontId="14" fillId="0" borderId="47" applyAlignment="1" pivotButton="0" quotePrefix="0" xfId="1">
      <alignment horizontal="left" vertical="center"/>
    </xf>
    <xf numFmtId="0" fontId="14" fillId="0" borderId="10" applyAlignment="1" pivotButton="0" quotePrefix="0" xfId="1">
      <alignment horizontal="left" vertical="center"/>
    </xf>
    <xf numFmtId="0" fontId="14" fillId="0" borderId="48" applyAlignment="1" pivotButton="0" quotePrefix="0" xfId="1">
      <alignment horizontal="left" vertical="center"/>
    </xf>
    <xf numFmtId="0" fontId="9" fillId="3" borderId="46" applyAlignment="1" pivotButton="0" quotePrefix="0" xfId="0">
      <alignment horizontal="left" indent="1"/>
    </xf>
    <xf numFmtId="0" fontId="9" fillId="3" borderId="8" applyAlignment="1" pivotButton="0" quotePrefix="0" xfId="0">
      <alignment horizontal="left" indent="1"/>
    </xf>
    <xf numFmtId="0" fontId="9" fillId="3" borderId="45" applyAlignment="1" pivotButton="0" quotePrefix="0" xfId="0">
      <alignment horizontal="left" indent="1"/>
    </xf>
    <xf numFmtId="0" fontId="10" fillId="3" borderId="52" applyAlignment="1" pivotButton="0" quotePrefix="0" xfId="0">
      <alignment horizontal="left" indent="1"/>
    </xf>
    <xf numFmtId="0" fontId="10" fillId="3" borderId="12" applyAlignment="1" pivotButton="0" quotePrefix="0" xfId="0">
      <alignment horizontal="left" indent="1"/>
    </xf>
    <xf numFmtId="0" fontId="10" fillId="3" borderId="56" applyAlignment="1" pivotButton="0" quotePrefix="0" xfId="0">
      <alignment horizontal="left" indent="1"/>
    </xf>
    <xf numFmtId="0" fontId="10" fillId="3" borderId="52" applyAlignment="1" pivotButton="0" quotePrefix="0" xfId="0">
      <alignment horizontal="center"/>
    </xf>
    <xf numFmtId="0" fontId="10" fillId="3" borderId="12" applyAlignment="1" pivotButton="0" quotePrefix="0" xfId="0">
      <alignment horizontal="center"/>
    </xf>
    <xf numFmtId="0" fontId="10" fillId="3" borderId="56" applyAlignment="1" pivotButton="0" quotePrefix="0" xfId="0">
      <alignment horizontal="center"/>
    </xf>
    <xf numFmtId="0" fontId="9" fillId="3" borderId="38" applyAlignment="1" pivotButton="0" quotePrefix="0" xfId="0">
      <alignment horizontal="left" indent="1"/>
    </xf>
    <xf numFmtId="0" fontId="9" fillId="3" borderId="16" applyAlignment="1" pivotButton="0" quotePrefix="0" xfId="0">
      <alignment horizontal="left" indent="1"/>
    </xf>
    <xf numFmtId="0" fontId="9" fillId="3" borderId="53" applyAlignment="1" pivotButton="0" quotePrefix="0" xfId="0">
      <alignment horizontal="left" indent="1"/>
    </xf>
    <xf numFmtId="0" fontId="14" fillId="0" borderId="38" applyAlignment="1" pivotButton="0" quotePrefix="0" xfId="1">
      <alignment horizontal="center" vertical="center" wrapText="1"/>
    </xf>
    <xf numFmtId="0" fontId="14" fillId="0" borderId="53" applyAlignment="1" pivotButton="0" quotePrefix="0" xfId="1">
      <alignment horizontal="center" vertical="center" wrapText="1"/>
    </xf>
    <xf numFmtId="0" fontId="11" fillId="0" borderId="32" applyAlignment="1" applyProtection="1" pivotButton="0" quotePrefix="0" xfId="1">
      <alignment horizontal="center" vertical="center"/>
      <protection locked="0" hidden="0"/>
    </xf>
    <xf numFmtId="0" fontId="14" fillId="0" borderId="43" applyAlignment="1" pivotButton="0" quotePrefix="0" xfId="1">
      <alignment horizontal="center" wrapText="1"/>
    </xf>
    <xf numFmtId="0" fontId="14" fillId="0" borderId="0" applyAlignment="1" pivotButton="0" quotePrefix="0" xfId="1">
      <alignment horizontal="center" wrapText="1"/>
    </xf>
    <xf numFmtId="0" fontId="10" fillId="3" borderId="38" applyAlignment="1" pivotButton="0" quotePrefix="0" xfId="0">
      <alignment horizontal="center"/>
    </xf>
    <xf numFmtId="0" fontId="10" fillId="3" borderId="16" applyAlignment="1" pivotButton="0" quotePrefix="0" xfId="0">
      <alignment horizontal="center"/>
    </xf>
    <xf numFmtId="0" fontId="10" fillId="3" borderId="53" applyAlignment="1" pivotButton="0" quotePrefix="0" xfId="0">
      <alignment horizontal="center"/>
    </xf>
    <xf numFmtId="0" fontId="14" fillId="0" borderId="17" applyAlignment="1" pivotButton="0" quotePrefix="0" xfId="1">
      <alignment horizontal="center" vertical="center" wrapText="1"/>
    </xf>
    <xf numFmtId="0" fontId="14" fillId="0" borderId="15" applyAlignment="1" pivotButton="0" quotePrefix="0" xfId="1">
      <alignment horizontal="center" vertical="center" wrapText="1"/>
    </xf>
    <xf numFmtId="0" fontId="10" fillId="0" borderId="52" applyAlignment="1" pivotButton="0" quotePrefix="0" xfId="0">
      <alignment horizontal="center" wrapText="1"/>
    </xf>
    <xf numFmtId="0" fontId="10" fillId="0" borderId="13" applyAlignment="1" pivotButton="0" quotePrefix="0" xfId="0">
      <alignment horizontal="center" wrapText="1"/>
    </xf>
    <xf numFmtId="0" fontId="10" fillId="0" borderId="11" applyAlignment="1" pivotButton="0" quotePrefix="0" xfId="0">
      <alignment horizontal="center" wrapText="1"/>
    </xf>
    <xf numFmtId="0" fontId="29" fillId="0" borderId="56" applyAlignment="1" pivotButton="0" quotePrefix="0" xfId="0">
      <alignment horizontal="center" wrapText="1"/>
    </xf>
    <xf numFmtId="0" fontId="31" fillId="0" borderId="0" applyAlignment="1" pivotButton="0" quotePrefix="0" xfId="0">
      <alignment horizontal="center" vertical="top" wrapText="1"/>
    </xf>
    <xf numFmtId="0" fontId="9" fillId="0" borderId="25" applyAlignment="1" applyProtection="1" pivotButton="0" quotePrefix="0" xfId="0">
      <alignment horizontal="center" vertical="center"/>
      <protection locked="0" hidden="0"/>
    </xf>
    <xf numFmtId="0" fontId="28" fillId="0" borderId="27" applyAlignment="1" applyProtection="1" pivotButton="0" quotePrefix="0" xfId="0">
      <alignment horizontal="center" vertical="center"/>
      <protection locked="0" hidden="0"/>
    </xf>
    <xf numFmtId="0" fontId="32" fillId="0" borderId="0" applyAlignment="1" pivotButton="0" quotePrefix="0" xfId="0">
      <alignment horizontal="center"/>
    </xf>
    <xf numFmtId="0" fontId="30" fillId="0" borderId="0" applyAlignment="1" pivotButton="0" quotePrefix="0" xfId="0">
      <alignment horizontal="center"/>
    </xf>
    <xf numFmtId="164" fontId="14" fillId="3" borderId="52" applyAlignment="1" pivotButton="0" quotePrefix="0" xfId="1">
      <alignment horizontal="center" vertical="center"/>
    </xf>
    <xf numFmtId="164" fontId="14" fillId="3" borderId="12" applyAlignment="1" pivotButton="0" quotePrefix="0" xfId="1">
      <alignment horizontal="center" vertical="center"/>
    </xf>
    <xf numFmtId="164" fontId="14" fillId="3" borderId="56" applyAlignment="1" pivotButton="0" quotePrefix="0" xfId="1">
      <alignment horizontal="center" vertical="center"/>
    </xf>
    <xf numFmtId="166" fontId="11" fillId="3" borderId="46" applyAlignment="1" applyProtection="1" pivotButton="0" quotePrefix="0" xfId="1">
      <alignment horizontal="center" vertical="center"/>
      <protection locked="0" hidden="0"/>
    </xf>
    <xf numFmtId="166" fontId="11" fillId="3" borderId="8" applyAlignment="1" applyProtection="1" pivotButton="0" quotePrefix="0" xfId="1">
      <alignment horizontal="center" vertical="center"/>
      <protection locked="0" hidden="0"/>
    </xf>
    <xf numFmtId="166" fontId="11" fillId="3" borderId="45" applyAlignment="1" applyProtection="1" pivotButton="0" quotePrefix="0" xfId="1">
      <alignment horizontal="center" vertical="center"/>
      <protection locked="0" hidden="0"/>
    </xf>
    <xf numFmtId="166" fontId="14" fillId="3" borderId="52" applyAlignment="1" pivotButton="0" quotePrefix="0" xfId="1">
      <alignment horizontal="center" vertical="center"/>
    </xf>
    <xf numFmtId="166" fontId="14" fillId="3" borderId="12" applyAlignment="1" pivotButton="0" quotePrefix="0" xfId="1">
      <alignment horizontal="center" vertical="center"/>
    </xf>
    <xf numFmtId="166" fontId="14" fillId="3" borderId="56" applyAlignment="1" pivotButton="0" quotePrefix="0" xfId="1">
      <alignment horizontal="center" vertical="center"/>
    </xf>
    <xf numFmtId="0" fontId="14" fillId="0" borderId="12" applyAlignment="1" pivotButton="0" quotePrefix="0" xfId="1">
      <alignment horizontal="center" vertical="center"/>
    </xf>
    <xf numFmtId="164" fontId="11" fillId="0" borderId="40" applyAlignment="1" applyProtection="1" pivotButton="0" quotePrefix="0" xfId="1">
      <alignment horizontal="center" vertical="center"/>
      <protection locked="0" hidden="0"/>
    </xf>
    <xf numFmtId="164" fontId="11" fillId="0" borderId="3" applyAlignment="1" applyProtection="1" pivotButton="0" quotePrefix="0" xfId="1">
      <alignment horizontal="center" vertical="center"/>
      <protection locked="0" hidden="0"/>
    </xf>
    <xf numFmtId="164" fontId="11" fillId="0" borderId="33" applyAlignment="1" applyProtection="1" pivotButton="0" quotePrefix="0" xfId="1">
      <alignment horizontal="center" vertical="center"/>
      <protection locked="0" hidden="0"/>
    </xf>
    <xf numFmtId="164" fontId="11" fillId="0" borderId="38" applyAlignment="1" applyProtection="1" pivotButton="0" quotePrefix="0" xfId="1">
      <alignment horizontal="center" vertical="center"/>
      <protection locked="0" hidden="0"/>
    </xf>
    <xf numFmtId="164" fontId="11" fillId="0" borderId="16" applyAlignment="1" applyProtection="1" pivotButton="0" quotePrefix="0" xfId="1">
      <alignment horizontal="center" vertical="center"/>
      <protection locked="0" hidden="0"/>
    </xf>
    <xf numFmtId="164" fontId="11" fillId="0" borderId="53" applyAlignment="1" applyProtection="1" pivotButton="0" quotePrefix="0" xfId="1">
      <alignment horizontal="center" vertical="center"/>
      <protection locked="0" hidden="0"/>
    </xf>
    <xf numFmtId="0" fontId="11" fillId="0" borderId="23" applyAlignment="1" pivotButton="0" quotePrefix="0" xfId="1">
      <alignment horizontal="left" vertical="center" indent="1"/>
    </xf>
    <xf numFmtId="0" fontId="11" fillId="0" borderId="24" applyAlignment="1" pivotButton="0" quotePrefix="0" xfId="1">
      <alignment horizontal="left" vertical="center" indent="1"/>
    </xf>
    <xf numFmtId="164" fontId="11" fillId="3" borderId="3" applyAlignment="1" pivotButton="0" quotePrefix="0" xfId="1">
      <alignment horizontal="center" vertical="center"/>
    </xf>
    <xf numFmtId="164" fontId="11" fillId="3" borderId="33" applyAlignment="1" pivotButton="0" quotePrefix="0" xfId="1">
      <alignment horizontal="center" vertical="center"/>
    </xf>
    <xf numFmtId="166" fontId="11" fillId="3" borderId="38" applyAlignment="1" applyProtection="1" pivotButton="0" quotePrefix="0" xfId="1">
      <alignment horizontal="center" vertical="center"/>
      <protection locked="0" hidden="0"/>
    </xf>
    <xf numFmtId="166" fontId="11" fillId="3" borderId="16" applyAlignment="1" applyProtection="1" pivotButton="0" quotePrefix="0" xfId="1">
      <alignment horizontal="center" vertical="center"/>
      <protection locked="0" hidden="0"/>
    </xf>
    <xf numFmtId="166" fontId="11" fillId="3" borderId="53" applyAlignment="1" applyProtection="1" pivotButton="0" quotePrefix="0" xfId="1">
      <alignment horizontal="center" vertical="center"/>
      <protection locked="0" hidden="0"/>
    </xf>
    <xf numFmtId="0" fontId="11" fillId="0" borderId="40" applyAlignment="1" pivotButton="0" quotePrefix="0" xfId="1">
      <alignment horizontal="left" vertical="center" wrapText="1" indent="2"/>
    </xf>
    <xf numFmtId="0" fontId="11" fillId="0" borderId="3" applyAlignment="1" pivotButton="0" quotePrefix="0" xfId="1">
      <alignment horizontal="left" vertical="center" wrapText="1" indent="2"/>
    </xf>
    <xf numFmtId="0" fontId="11" fillId="0" borderId="33" applyAlignment="1" pivotButton="0" quotePrefix="0" xfId="1">
      <alignment horizontal="left" vertical="center" wrapText="1" indent="2"/>
    </xf>
    <xf numFmtId="0" fontId="11" fillId="0" borderId="46" applyAlignment="1" pivotButton="0" quotePrefix="0" xfId="1">
      <alignment horizontal="left" vertical="center" indent="2"/>
    </xf>
    <xf numFmtId="0" fontId="11" fillId="0" borderId="8" applyAlignment="1" pivotButton="0" quotePrefix="0" xfId="1">
      <alignment horizontal="left" vertical="center" indent="2"/>
    </xf>
    <xf numFmtId="0" fontId="10" fillId="3" borderId="64" applyAlignment="1" pivotButton="0" quotePrefix="0" xfId="0">
      <alignment horizontal="center" wrapText="1"/>
    </xf>
    <xf numFmtId="0" fontId="10" fillId="3" borderId="51" applyAlignment="1" pivotButton="0" quotePrefix="0" xfId="0">
      <alignment horizontal="center" wrapText="1"/>
    </xf>
    <xf numFmtId="0" fontId="10" fillId="3" borderId="25" applyAlignment="1" pivotButton="0" quotePrefix="0" xfId="0">
      <alignment horizontal="center" wrapText="1"/>
    </xf>
    <xf numFmtId="0" fontId="29" fillId="3" borderId="27" applyAlignment="1" pivotButton="0" quotePrefix="0" xfId="0">
      <alignment horizontal="center" wrapText="1"/>
    </xf>
    <xf numFmtId="0" fontId="9" fillId="3" borderId="25" applyAlignment="1" applyProtection="1" pivotButton="0" quotePrefix="0" xfId="0">
      <alignment horizontal="center" vertical="center"/>
      <protection locked="0" hidden="0"/>
    </xf>
    <xf numFmtId="0" fontId="28" fillId="3" borderId="26" applyAlignment="1" applyProtection="1" pivotButton="0" quotePrefix="0" xfId="0">
      <alignment horizontal="center" vertical="center"/>
      <protection locked="0" hidden="0"/>
    </xf>
    <xf numFmtId="0" fontId="37" fillId="2" borderId="0" applyAlignment="1" pivotButton="0" quotePrefix="0" xfId="0">
      <alignment horizontal="left" indent="1"/>
    </xf>
    <xf numFmtId="164" fontId="11" fillId="0" borderId="42" applyAlignment="1" pivotButton="0" quotePrefix="0" xfId="1">
      <alignment horizontal="center" vertical="center"/>
    </xf>
    <xf numFmtId="164" fontId="11" fillId="0" borderId="23" applyAlignment="1" pivotButton="0" quotePrefix="0" xfId="1">
      <alignment horizontal="center" vertical="center"/>
    </xf>
    <xf numFmtId="164" fontId="11" fillId="0" borderId="24" applyAlignment="1" pivotButton="0" quotePrefix="0" xfId="1">
      <alignment horizontal="center" vertical="center"/>
    </xf>
    <xf numFmtId="164" fontId="11" fillId="0" borderId="64" applyAlignment="1" pivotButton="0" quotePrefix="0" xfId="1">
      <alignment horizontal="center" vertical="center"/>
    </xf>
    <xf numFmtId="164" fontId="11" fillId="0" borderId="26" applyAlignment="1" pivotButton="0" quotePrefix="0" xfId="1">
      <alignment horizontal="center" vertical="center"/>
    </xf>
    <xf numFmtId="164" fontId="11" fillId="0" borderId="27" applyAlignment="1" pivotButton="0" quotePrefix="0" xfId="1">
      <alignment horizontal="center" vertical="center"/>
    </xf>
    <xf numFmtId="164" fontId="11" fillId="0" borderId="46" applyAlignment="1" applyProtection="1" pivotButton="0" quotePrefix="0" xfId="1">
      <alignment horizontal="center" vertical="center"/>
      <protection locked="0" hidden="0"/>
    </xf>
    <xf numFmtId="164" fontId="11" fillId="0" borderId="45" applyAlignment="1" applyProtection="1" pivotButton="0" quotePrefix="0" xfId="1">
      <alignment horizontal="center" vertical="center"/>
      <protection locked="0" hidden="0"/>
    </xf>
    <xf numFmtId="0" fontId="28" fillId="0" borderId="51" applyAlignment="1" applyProtection="1" pivotButton="0" quotePrefix="0" xfId="0">
      <alignment horizontal="center" vertical="center"/>
      <protection locked="0" hidden="0"/>
    </xf>
    <xf numFmtId="0" fontId="10" fillId="0" borderId="64" applyAlignment="1" pivotButton="0" quotePrefix="0" xfId="0">
      <alignment horizontal="center"/>
    </xf>
    <xf numFmtId="0" fontId="10" fillId="0" borderId="51" applyAlignment="1" pivotButton="0" quotePrefix="0" xfId="0">
      <alignment horizontal="center"/>
    </xf>
    <xf numFmtId="0" fontId="10" fillId="0" borderId="25" applyAlignment="1" pivotButton="0" quotePrefix="0" xfId="0">
      <alignment horizontal="center"/>
    </xf>
    <xf numFmtId="0" fontId="29" fillId="0" borderId="51" applyAlignment="1" pivotButton="0" quotePrefix="0" xfId="0">
      <alignment horizontal="center"/>
    </xf>
    <xf numFmtId="0" fontId="10" fillId="0" borderId="26" applyAlignment="1" pivotButton="0" quotePrefix="0" xfId="0">
      <alignment horizontal="center"/>
    </xf>
    <xf numFmtId="0" fontId="10" fillId="0" borderId="27" applyAlignment="1" pivotButton="0" quotePrefix="0" xfId="0">
      <alignment horizontal="center"/>
    </xf>
    <xf numFmtId="0" fontId="9" fillId="0" borderId="8" applyAlignment="1" pivotButton="0" quotePrefix="0" xfId="0">
      <alignment horizontal="left" wrapText="1" indent="1"/>
    </xf>
    <xf numFmtId="0" fontId="11" fillId="0" borderId="38" applyAlignment="1" pivotButton="0" quotePrefix="0" xfId="1">
      <alignment horizontal="left" wrapText="1" indent="1"/>
    </xf>
    <xf numFmtId="0" fontId="11" fillId="0" borderId="16" applyAlignment="1" pivotButton="0" quotePrefix="0" xfId="1">
      <alignment horizontal="left" wrapText="1" indent="1"/>
    </xf>
    <xf numFmtId="0" fontId="11" fillId="0" borderId="53" applyAlignment="1" pivotButton="0" quotePrefix="0" xfId="1">
      <alignment horizontal="left" wrapText="1" indent="1"/>
    </xf>
    <xf numFmtId="0" fontId="14" fillId="0" borderId="22" applyAlignment="1" pivotButton="0" quotePrefix="0" xfId="1">
      <alignment horizontal="center" wrapText="1"/>
    </xf>
    <xf numFmtId="0" fontId="14" fillId="0" borderId="21" applyAlignment="1" pivotButton="0" quotePrefix="0" xfId="1">
      <alignment horizontal="center" wrapText="1"/>
    </xf>
    <xf numFmtId="0" fontId="14" fillId="0" borderId="37" applyAlignment="1" pivotButton="0" quotePrefix="0" xfId="1">
      <alignment horizontal="center" wrapText="1"/>
    </xf>
    <xf numFmtId="0" fontId="14" fillId="0" borderId="15" applyAlignment="1" pivotButton="0" quotePrefix="0" xfId="1">
      <alignment horizontal="center" wrapText="1"/>
    </xf>
    <xf numFmtId="0" fontId="14" fillId="0" borderId="17" applyAlignment="1" pivotButton="0" quotePrefix="0" xfId="1">
      <alignment horizontal="center" wrapText="1"/>
    </xf>
    <xf numFmtId="0" fontId="11" fillId="0" borderId="69" applyAlignment="1" pivotButton="0" quotePrefix="0" xfId="1">
      <alignment horizontal="left" vertical="center" indent="1"/>
    </xf>
    <xf numFmtId="0" fontId="11" fillId="0" borderId="70" applyAlignment="1" pivotButton="0" quotePrefix="0" xfId="1">
      <alignment horizontal="left" vertical="center" indent="1"/>
    </xf>
    <xf numFmtId="0" fontId="14" fillId="0" borderId="22" applyAlignment="1" pivotButton="0" quotePrefix="0" xfId="1">
      <alignment horizontal="center"/>
    </xf>
    <xf numFmtId="0" fontId="14" fillId="0" borderId="30" applyAlignment="1" pivotButton="0" quotePrefix="0" xfId="1">
      <alignment horizontal="center"/>
    </xf>
    <xf numFmtId="0" fontId="14" fillId="0" borderId="67" applyAlignment="1" pivotButton="0" quotePrefix="0" xfId="1">
      <alignment horizontal="center"/>
    </xf>
    <xf numFmtId="0" fontId="14" fillId="0" borderId="68" applyAlignment="1" pivotButton="0" quotePrefix="0" xfId="1">
      <alignment horizontal="center"/>
    </xf>
    <xf numFmtId="0" fontId="14" fillId="0" borderId="47" applyAlignment="1" pivotButton="0" quotePrefix="0" xfId="1">
      <alignment horizontal="center" vertical="center"/>
    </xf>
    <xf numFmtId="0" fontId="14" fillId="0" borderId="10" applyAlignment="1" pivotButton="0" quotePrefix="0" xfId="1">
      <alignment horizontal="center" vertical="center"/>
    </xf>
    <xf numFmtId="0" fontId="8" fillId="0" borderId="0" applyAlignment="1" pivotButton="0" quotePrefix="0" xfId="0">
      <alignment horizontal="left" wrapText="1" indent="1"/>
    </xf>
    <xf numFmtId="0" fontId="11" fillId="0" borderId="20" applyAlignment="1" pivotButton="0" quotePrefix="0" xfId="1">
      <alignment horizontal="left" vertical="top" indent="1"/>
    </xf>
    <xf numFmtId="0" fontId="11" fillId="0" borderId="19" applyAlignment="1" pivotButton="0" quotePrefix="0" xfId="1">
      <alignment horizontal="left" vertical="top" indent="1"/>
    </xf>
    <xf numFmtId="0" fontId="14" fillId="0" borderId="47" applyAlignment="1" pivotButton="0" quotePrefix="0" xfId="1">
      <alignment horizontal="left" vertical="center" indent="1"/>
    </xf>
    <xf numFmtId="0" fontId="14" fillId="0" borderId="48" applyAlignment="1" pivotButton="0" quotePrefix="0" xfId="1">
      <alignment horizontal="left" vertical="center" indent="1"/>
    </xf>
    <xf numFmtId="0" fontId="1" fillId="0" borderId="0" applyAlignment="1" pivotButton="0" quotePrefix="0" xfId="0">
      <alignment horizontal="center"/>
    </xf>
    <xf numFmtId="165" fontId="11" fillId="0" borderId="45" applyAlignment="1" applyProtection="1" pivotButton="0" quotePrefix="0" xfId="1">
      <alignment horizontal="center" vertical="center"/>
      <protection locked="0" hidden="0"/>
    </xf>
    <xf numFmtId="165" fontId="14" fillId="0" borderId="56" applyAlignment="1" pivotButton="0" quotePrefix="0" xfId="1">
      <alignment horizontal="center" vertical="center"/>
    </xf>
    <xf numFmtId="0" fontId="11" fillId="0" borderId="44" applyAlignment="1" pivotButton="0" quotePrefix="0" xfId="1">
      <alignment horizontal="left" vertical="center" indent="1"/>
    </xf>
    <xf numFmtId="0" fontId="11" fillId="0" borderId="14" applyAlignment="1" pivotButton="0" quotePrefix="0" xfId="1">
      <alignment horizontal="left" vertical="center" indent="1"/>
    </xf>
    <xf numFmtId="0" fontId="11" fillId="0" borderId="39" applyAlignment="1" pivotButton="0" quotePrefix="0" xfId="1">
      <alignment horizontal="left" vertical="center" indent="1"/>
    </xf>
    <xf numFmtId="0" fontId="11" fillId="0" borderId="37" applyAlignment="1" pivotButton="0" quotePrefix="0" xfId="1">
      <alignment horizontal="left" vertical="center" indent="1"/>
    </xf>
    <xf numFmtId="0" fontId="11" fillId="0" borderId="18" applyAlignment="1" pivotButton="0" quotePrefix="0" xfId="1">
      <alignment horizontal="left" vertical="center" indent="1"/>
    </xf>
    <xf numFmtId="0" fontId="11" fillId="0" borderId="7" applyAlignment="1" pivotButton="0" quotePrefix="0" xfId="1">
      <alignment horizontal="left" vertical="center" indent="1"/>
    </xf>
    <xf numFmtId="0" fontId="17" fillId="2" borderId="0" applyAlignment="1" pivotButton="0" quotePrefix="0" xfId="0">
      <alignment horizontal="left" indent="1"/>
    </xf>
    <xf numFmtId="0" fontId="14" fillId="3" borderId="37" applyAlignment="1" pivotButton="0" quotePrefix="0" xfId="1">
      <alignment horizontal="center" vertical="center"/>
    </xf>
    <xf numFmtId="0" fontId="14" fillId="3" borderId="18" applyAlignment="1" pivotButton="0" quotePrefix="0" xfId="1">
      <alignment horizontal="center" vertical="center"/>
    </xf>
    <xf numFmtId="0" fontId="14" fillId="3" borderId="34" applyAlignment="1" pivotButton="0" quotePrefix="0" xfId="1">
      <alignment horizontal="center" vertical="center"/>
    </xf>
    <xf numFmtId="0" fontId="14" fillId="0" borderId="80" applyAlignment="1" pivotButton="0" quotePrefix="0" xfId="1">
      <alignment horizontal="left" vertical="center" indent="1"/>
    </xf>
    <xf numFmtId="0" fontId="14" fillId="0" borderId="59" applyAlignment="1" pivotButton="0" quotePrefix="0" xfId="1">
      <alignment horizontal="left" vertical="center" indent="1"/>
    </xf>
    <xf numFmtId="0" fontId="14" fillId="0" borderId="25" applyAlignment="1" pivotButton="0" quotePrefix="0" xfId="1">
      <alignment horizontal="left" vertical="center" indent="1"/>
    </xf>
    <xf numFmtId="0" fontId="14" fillId="3" borderId="44" applyAlignment="1" pivotButton="0" quotePrefix="0" xfId="1">
      <alignment horizontal="center" vertical="center"/>
    </xf>
    <xf numFmtId="0" fontId="14" fillId="3" borderId="14" applyAlignment="1" pivotButton="0" quotePrefix="0" xfId="1">
      <alignment horizontal="center" vertical="center"/>
    </xf>
    <xf numFmtId="0" fontId="14" fillId="3" borderId="35" applyAlignment="1" pivotButton="0" quotePrefix="0" xfId="1">
      <alignment horizontal="center" vertical="center"/>
    </xf>
    <xf numFmtId="0" fontId="14" fillId="0" borderId="47" applyAlignment="1" pivotButton="0" quotePrefix="0" xfId="1">
      <alignment horizontal="center"/>
    </xf>
    <xf numFmtId="0" fontId="14" fillId="0" borderId="48" applyAlignment="1" pivotButton="0" quotePrefix="0" xfId="1">
      <alignment horizontal="center"/>
    </xf>
    <xf numFmtId="0" fontId="9" fillId="0" borderId="0" applyAlignment="1" pivotButton="0" quotePrefix="0" xfId="0">
      <alignment horizontal="left" vertical="center" wrapText="1"/>
    </xf>
    <xf numFmtId="0" fontId="10" fillId="0" borderId="22" applyAlignment="1" pivotButton="0" quotePrefix="0" xfId="0">
      <alignment horizontal="center" vertical="center"/>
    </xf>
    <xf numFmtId="0" fontId="10" fillId="0" borderId="21" applyAlignment="1" pivotButton="0" quotePrefix="0" xfId="0">
      <alignment horizontal="center" vertical="center"/>
    </xf>
    <xf numFmtId="0" fontId="10" fillId="0" borderId="30" applyAlignment="1" pivotButton="0" quotePrefix="0" xfId="0">
      <alignment horizontal="center" vertical="center"/>
    </xf>
    <xf numFmtId="0" fontId="14" fillId="0" borderId="51" applyAlignment="1" pivotButton="0" quotePrefix="0" xfId="1">
      <alignment horizontal="center" wrapText="1"/>
    </xf>
    <xf numFmtId="0" fontId="10" fillId="0" borderId="22" applyAlignment="1" pivotButton="0" quotePrefix="0" xfId="0">
      <alignment horizontal="left" wrapText="1"/>
    </xf>
    <xf numFmtId="0" fontId="10" fillId="0" borderId="21" applyAlignment="1" pivotButton="0" quotePrefix="0" xfId="0">
      <alignment horizontal="left" wrapText="1"/>
    </xf>
    <xf numFmtId="0" fontId="10" fillId="0" borderId="30" applyAlignment="1" pivotButton="0" quotePrefix="0" xfId="0">
      <alignment horizontal="left" wrapText="1"/>
    </xf>
    <xf numFmtId="0" fontId="10" fillId="0" borderId="37" applyAlignment="1" pivotButton="0" quotePrefix="0" xfId="0">
      <alignment horizontal="left" wrapText="1"/>
    </xf>
    <xf numFmtId="0" fontId="10" fillId="0" borderId="18" applyAlignment="1" pivotButton="0" quotePrefix="0" xfId="0">
      <alignment horizontal="left" wrapText="1"/>
    </xf>
    <xf numFmtId="0" fontId="10" fillId="0" borderId="34" applyAlignment="1" pivotButton="0" quotePrefix="0" xfId="0">
      <alignment horizontal="left" wrapText="1"/>
    </xf>
    <xf numFmtId="0" fontId="11" fillId="0" borderId="22" applyAlignment="1" pivotButton="0" quotePrefix="0" xfId="1">
      <alignment horizontal="left" vertical="center"/>
    </xf>
    <xf numFmtId="0" fontId="11" fillId="0" borderId="30" applyAlignment="1" pivotButton="0" quotePrefix="0" xfId="1">
      <alignment horizontal="left" vertical="center"/>
    </xf>
    <xf numFmtId="0" fontId="11" fillId="3" borderId="46" applyAlignment="1" pivotButton="0" quotePrefix="0" xfId="0">
      <alignment horizontal="center" vertical="center"/>
    </xf>
    <xf numFmtId="0" fontId="11" fillId="3" borderId="8" applyAlignment="1" pivotButton="0" quotePrefix="0" xfId="0">
      <alignment horizontal="center" vertical="center"/>
    </xf>
    <xf numFmtId="0" fontId="11" fillId="3" borderId="45" applyAlignment="1" pivotButton="0" quotePrefix="0" xfId="0">
      <alignment horizontal="center" vertical="center"/>
    </xf>
    <xf numFmtId="0" fontId="9" fillId="3" borderId="42" applyAlignment="1" pivotButton="0" quotePrefix="0" xfId="0">
      <alignment horizontal="left" indent="1"/>
    </xf>
    <xf numFmtId="0" fontId="9" fillId="3" borderId="23" applyAlignment="1" pivotButton="0" quotePrefix="0" xfId="0">
      <alignment horizontal="left" indent="1"/>
    </xf>
    <xf numFmtId="0" fontId="9" fillId="3" borderId="24" applyAlignment="1" pivotButton="0" quotePrefix="0" xfId="0">
      <alignment horizontal="left" indent="1"/>
    </xf>
    <xf numFmtId="0" fontId="14" fillId="3" borderId="52" applyAlignment="1" pivotButton="0" quotePrefix="0" xfId="1">
      <alignment horizontal="left" vertical="center" indent="1"/>
    </xf>
    <xf numFmtId="0" fontId="14" fillId="3" borderId="56" applyAlignment="1" pivotButton="0" quotePrefix="0" xfId="1">
      <alignment horizontal="left" vertical="center" indent="1"/>
    </xf>
    <xf numFmtId="0" fontId="9" fillId="3" borderId="46" applyAlignment="1" pivotButton="0" quotePrefix="0" xfId="0">
      <alignment horizontal="left" wrapText="1" indent="1"/>
    </xf>
    <xf numFmtId="0" fontId="9" fillId="3" borderId="45" applyAlignment="1" pivotButton="0" quotePrefix="0" xfId="0">
      <alignment horizontal="left" wrapText="1" indent="1"/>
    </xf>
    <xf numFmtId="0" fontId="14" fillId="3" borderId="13" applyAlignment="1" pivotButton="0" quotePrefix="0" xfId="1">
      <alignment horizontal="center" wrapText="1"/>
    </xf>
    <xf numFmtId="0" fontId="11" fillId="3" borderId="3" applyAlignment="1" pivotButton="0" quotePrefix="0" xfId="1">
      <alignment horizontal="left" vertical="center" wrapText="1" indent="1"/>
    </xf>
    <xf numFmtId="0" fontId="9" fillId="3" borderId="21" applyAlignment="1" applyProtection="1" pivotButton="0" quotePrefix="0" xfId="0">
      <alignment horizontal="center" vertical="center"/>
      <protection locked="0" hidden="0"/>
    </xf>
    <xf numFmtId="0" fontId="9" fillId="3" borderId="15" applyAlignment="1" applyProtection="1" pivotButton="0" quotePrefix="0" xfId="0">
      <alignment horizontal="center" vertical="center"/>
      <protection locked="0" hidden="0"/>
    </xf>
    <xf numFmtId="0" fontId="11" fillId="3" borderId="16" applyAlignment="1" pivotButton="0" quotePrefix="0" xfId="1">
      <alignment horizontal="left" vertical="center" indent="1"/>
    </xf>
    <xf numFmtId="0" fontId="9" fillId="3" borderId="30" applyAlignment="1" applyProtection="1" pivotButton="0" quotePrefix="0" xfId="0">
      <alignment horizontal="center" vertical="center"/>
      <protection locked="0" hidden="0"/>
    </xf>
    <xf numFmtId="0" fontId="9" fillId="3" borderId="18" applyAlignment="1" applyProtection="1" pivotButton="0" quotePrefix="0" xfId="0">
      <alignment horizontal="center" vertical="center"/>
      <protection locked="0" hidden="0"/>
    </xf>
    <xf numFmtId="0" fontId="14" fillId="3" borderId="60" applyAlignment="1" pivotButton="0" quotePrefix="0" xfId="1">
      <alignment horizontal="center"/>
    </xf>
    <xf numFmtId="0" fontId="14" fillId="3" borderId="26" applyAlignment="1" pivotButton="0" quotePrefix="0" xfId="1">
      <alignment horizontal="center"/>
    </xf>
    <xf numFmtId="0" fontId="11" fillId="3" borderId="3" applyAlignment="1" pivotButton="0" quotePrefix="0" xfId="1">
      <alignment horizontal="left" vertical="center" indent="1"/>
    </xf>
    <xf numFmtId="0" fontId="14" fillId="3" borderId="12" applyAlignment="1" pivotButton="0" quotePrefix="0" xfId="1">
      <alignment horizontal="left" vertical="center" indent="1"/>
    </xf>
    <xf numFmtId="0" fontId="11" fillId="3" borderId="17" applyAlignment="1" applyProtection="1" pivotButton="0" quotePrefix="0" xfId="1">
      <alignment horizontal="center" vertical="center"/>
      <protection locked="0" hidden="0"/>
    </xf>
    <xf numFmtId="0" fontId="11" fillId="3" borderId="38" applyAlignment="1" applyProtection="1" pivotButton="0" quotePrefix="0" xfId="1">
      <alignment horizontal="center" vertical="center"/>
      <protection locked="0" hidden="0"/>
    </xf>
    <xf numFmtId="0" fontId="9" fillId="3" borderId="31" applyAlignment="1" pivotButton="0" quotePrefix="0" xfId="0">
      <alignment horizontal="center" vertical="center"/>
    </xf>
    <xf numFmtId="0" fontId="9" fillId="0" borderId="42" applyAlignment="1" pivotButton="0" quotePrefix="0" xfId="0">
      <alignment horizontal="left"/>
    </xf>
    <xf numFmtId="0" fontId="9" fillId="0" borderId="23" applyAlignment="1" pivotButton="0" quotePrefix="0" xfId="0">
      <alignment horizontal="left"/>
    </xf>
    <xf numFmtId="0" fontId="11" fillId="0" borderId="32" applyAlignment="1" pivotButton="0" quotePrefix="1" xfId="1">
      <alignment horizontal="left" vertical="center"/>
    </xf>
    <xf numFmtId="0" fontId="28" fillId="3" borderId="27" applyAlignment="1" applyProtection="1" pivotButton="0" quotePrefix="0" xfId="0">
      <alignment horizontal="center" vertical="center"/>
      <protection locked="0" hidden="0"/>
    </xf>
    <xf numFmtId="0" fontId="14" fillId="3" borderId="62" applyAlignment="1" pivotButton="0" quotePrefix="0" xfId="1">
      <alignment horizontal="center" wrapText="1"/>
    </xf>
    <xf numFmtId="0" fontId="14" fillId="3" borderId="63" applyAlignment="1" pivotButton="0" quotePrefix="0" xfId="1">
      <alignment horizontal="center" wrapText="1"/>
    </xf>
    <xf numFmtId="0" fontId="10" fillId="3" borderId="22" applyAlignment="1" pivotButton="0" quotePrefix="0" xfId="0">
      <alignment horizontal="center" vertical="center" wrapText="1"/>
    </xf>
    <xf numFmtId="0" fontId="10" fillId="3" borderId="21" applyAlignment="1" pivotButton="0" quotePrefix="0" xfId="0">
      <alignment horizontal="center" vertical="center" wrapText="1"/>
    </xf>
    <xf numFmtId="0" fontId="10" fillId="3" borderId="30" applyAlignment="1" pivotButton="0" quotePrefix="0" xfId="0">
      <alignment horizontal="center" vertical="center" wrapText="1"/>
    </xf>
    <xf numFmtId="0" fontId="10" fillId="3" borderId="17" applyAlignment="1" pivotButton="0" quotePrefix="0" xfId="0">
      <alignment horizontal="center" vertical="center" wrapText="1"/>
    </xf>
    <xf numFmtId="0" fontId="31" fillId="3" borderId="18" applyAlignment="1" pivotButton="0" quotePrefix="0" xfId="0">
      <alignment horizontal="center" vertical="center"/>
    </xf>
    <xf numFmtId="0" fontId="31" fillId="3" borderId="34" applyAlignment="1" pivotButton="0" quotePrefix="0" xfId="0">
      <alignment horizontal="center" vertical="center"/>
    </xf>
    <xf numFmtId="0" fontId="31" fillId="3" borderId="6" applyAlignment="1" pivotButton="0" quotePrefix="0" xfId="0">
      <alignment horizontal="center" vertical="center" wrapText="1"/>
    </xf>
    <xf numFmtId="0" fontId="31" fillId="3" borderId="29" applyAlignment="1" pivotButton="0" quotePrefix="0" xfId="0">
      <alignment horizontal="center" vertical="center"/>
    </xf>
    <xf numFmtId="0" fontId="31" fillId="3" borderId="18" applyAlignment="1" pivotButton="0" quotePrefix="0" xfId="0">
      <alignment horizontal="center" vertical="center" wrapText="1"/>
    </xf>
    <xf numFmtId="0" fontId="9" fillId="3" borderId="34" applyAlignment="1" applyProtection="1" pivotButton="0" quotePrefix="0" xfId="0">
      <alignment horizontal="center" vertical="center"/>
      <protection locked="0" hidden="0"/>
    </xf>
    <xf numFmtId="0" fontId="22" fillId="0" borderId="0" applyAlignment="1" pivotButton="0" quotePrefix="1" xfId="0">
      <alignment horizontal="left" vertical="center"/>
    </xf>
    <xf numFmtId="0" fontId="22" fillId="3" borderId="0" applyAlignment="1" pivotButton="0" quotePrefix="1" xfId="0">
      <alignment horizontal="left"/>
    </xf>
    <xf numFmtId="0" fontId="48" fillId="0" borderId="0" applyAlignment="1" pivotButton="0" quotePrefix="1" xfId="0">
      <alignment horizontal="left" vertical="center" wrapText="1"/>
    </xf>
    <xf numFmtId="0" fontId="14" fillId="3" borderId="38" applyAlignment="1" pivotButton="0" quotePrefix="0" xfId="1">
      <alignment horizontal="center" wrapText="1"/>
    </xf>
    <xf numFmtId="0" fontId="14" fillId="3" borderId="53" applyAlignment="1" pivotButton="0" quotePrefix="0" xfId="1">
      <alignment horizontal="center" wrapText="1"/>
    </xf>
    <xf numFmtId="0" fontId="48" fillId="0" borderId="0" pivotButton="0" quotePrefix="1" xfId="0"/>
    <xf numFmtId="0" fontId="9" fillId="0" borderId="22" pivotButton="0" quotePrefix="0" xfId="0"/>
    <xf numFmtId="0" fontId="9" fillId="0" borderId="21" pivotButton="0" quotePrefix="0" xfId="0"/>
    <xf numFmtId="0" fontId="9" fillId="0" borderId="30" pivotButton="0" quotePrefix="0" xfId="0"/>
    <xf numFmtId="0" fontId="9" fillId="0" borderId="22" applyAlignment="1" pivotButton="0" quotePrefix="0" xfId="0">
      <alignment wrapText="1"/>
    </xf>
    <xf numFmtId="0" fontId="9" fillId="0" borderId="21" applyAlignment="1" pivotButton="0" quotePrefix="0" xfId="0">
      <alignment wrapText="1"/>
    </xf>
    <xf numFmtId="0" fontId="9" fillId="0" borderId="30" applyAlignment="1" pivotButton="0" quotePrefix="0" xfId="0">
      <alignment wrapText="1"/>
    </xf>
    <xf numFmtId="0" fontId="49" fillId="0" borderId="0" applyAlignment="1" pivotButton="0" quotePrefix="0" xfId="0">
      <alignment horizontal="center" wrapText="1"/>
    </xf>
    <xf numFmtId="0" fontId="22" fillId="0" borderId="0" applyAlignment="1" pivotButton="0" quotePrefix="1" xfId="0">
      <alignment horizontal="left" vertical="top" wrapText="1"/>
    </xf>
    <xf numFmtId="0" fontId="22" fillId="3" borderId="0" applyAlignment="1" pivotButton="0" quotePrefix="1" xfId="0">
      <alignment horizontal="left" wrapText="1"/>
    </xf>
    <xf numFmtId="0" fontId="48" fillId="0" borderId="0" applyAlignment="1" pivotButton="0" quotePrefix="0" xfId="0">
      <alignment horizontal="left"/>
    </xf>
    <xf numFmtId="0" fontId="1" fillId="0" borderId="0" applyAlignment="1" pivotButton="0" quotePrefix="0" xfId="0">
      <alignment horizontal="left" vertical="center" wrapText="1"/>
    </xf>
    <xf numFmtId="0" fontId="48" fillId="3" borderId="0" applyAlignment="1" pivotButton="0" quotePrefix="0" xfId="0">
      <alignment horizontal="left" vertical="center" wrapText="1"/>
    </xf>
    <xf numFmtId="0" fontId="48" fillId="0" borderId="0" applyAlignment="1" pivotButton="0" quotePrefix="1" xfId="0">
      <alignment horizontal="left" vertical="center"/>
    </xf>
    <xf numFmtId="0" fontId="9" fillId="0" borderId="1" applyAlignment="1" applyProtection="1" pivotButton="0" quotePrefix="0" xfId="0">
      <alignment horizontal="left"/>
      <protection locked="0" hidden="0"/>
    </xf>
    <xf numFmtId="0" fontId="11" fillId="0" borderId="32" applyAlignment="1" pivotButton="0" quotePrefix="0" xfId="1">
      <alignment horizontal="left" vertical="center" wrapText="1"/>
    </xf>
    <xf numFmtId="0" fontId="11" fillId="0" borderId="5" applyAlignment="1" pivotButton="0" quotePrefix="0" xfId="1">
      <alignment horizontal="left" vertical="center" wrapText="1"/>
    </xf>
    <xf numFmtId="0" fontId="11" fillId="0" borderId="31" applyAlignment="1" pivotButton="0" quotePrefix="0" xfId="1">
      <alignment horizontal="left" vertical="center" wrapText="1"/>
    </xf>
    <xf numFmtId="0" fontId="9" fillId="0" borderId="38" pivotButton="0" quotePrefix="0" xfId="0"/>
    <xf numFmtId="0" fontId="9" fillId="0" borderId="17" pivotButton="0" quotePrefix="0" xfId="0"/>
    <xf numFmtId="0" fontId="9" fillId="0" borderId="37" applyAlignment="1" pivotButton="0" quotePrefix="0" xfId="0">
      <alignment horizontal="left" wrapText="1"/>
    </xf>
    <xf numFmtId="0" fontId="9" fillId="0" borderId="18" applyAlignment="1" pivotButton="0" quotePrefix="0" xfId="0">
      <alignment horizontal="left" wrapText="1"/>
    </xf>
    <xf numFmtId="0" fontId="9" fillId="0" borderId="34" applyAlignment="1" pivotButton="0" quotePrefix="0" xfId="0">
      <alignment horizontal="left" wrapText="1"/>
    </xf>
    <xf numFmtId="0" fontId="10" fillId="0" borderId="47" pivotButton="0" quotePrefix="0" xfId="0"/>
    <xf numFmtId="0" fontId="10" fillId="0" borderId="10" pivotButton="0" quotePrefix="0" xfId="0"/>
    <xf numFmtId="0" fontId="10" fillId="0" borderId="48" pivotButton="0" quotePrefix="0" xfId="0"/>
    <xf numFmtId="0" fontId="11" fillId="3" borderId="80" applyAlignment="1" pivotButton="0" quotePrefix="0" xfId="0">
      <alignment horizontal="left" vertical="top" indent="1"/>
    </xf>
    <xf numFmtId="0" fontId="28" fillId="3" borderId="59" applyAlignment="1" pivotButton="0" quotePrefix="0" xfId="0">
      <alignment horizontal="left" indent="1"/>
    </xf>
    <xf numFmtId="0" fontId="28" fillId="3" borderId="25" applyAlignment="1" pivotButton="0" quotePrefix="0" xfId="0">
      <alignment horizontal="left" indent="1"/>
    </xf>
    <xf numFmtId="0" fontId="9" fillId="3" borderId="4" applyAlignment="1" applyProtection="1" pivotButton="0" quotePrefix="0" xfId="0">
      <alignment horizontal="center" wrapText="1"/>
      <protection locked="0" hidden="0"/>
    </xf>
    <xf numFmtId="0" fontId="9" fillId="3" borderId="5" applyAlignment="1" applyProtection="1" pivotButton="0" quotePrefix="0" xfId="0">
      <alignment horizontal="center" wrapText="1"/>
      <protection locked="0" hidden="0"/>
    </xf>
    <xf numFmtId="0" fontId="9" fillId="3" borderId="31" applyAlignment="1" applyProtection="1" pivotButton="0" quotePrefix="0" xfId="0">
      <alignment horizontal="center" wrapText="1"/>
      <protection locked="0" hidden="0"/>
    </xf>
    <xf numFmtId="0" fontId="11" fillId="3" borderId="32" applyAlignment="1" pivotButton="0" quotePrefix="0" xfId="1">
      <alignment horizontal="left" vertical="center" wrapText="1"/>
    </xf>
    <xf numFmtId="0" fontId="11" fillId="3" borderId="5" applyAlignment="1" pivotButton="0" quotePrefix="0" xfId="1">
      <alignment horizontal="left" vertical="center" wrapText="1"/>
    </xf>
    <xf numFmtId="0" fontId="11" fillId="3" borderId="2" applyAlignment="1" pivotButton="0" quotePrefix="0" xfId="1">
      <alignment horizontal="left" vertical="center" wrapText="1"/>
    </xf>
    <xf numFmtId="0" fontId="9" fillId="3" borderId="32" applyAlignment="1" applyProtection="1" pivotButton="0" quotePrefix="0" xfId="0">
      <alignment horizontal="center" wrapText="1"/>
      <protection locked="0" hidden="0"/>
    </xf>
    <xf numFmtId="0" fontId="11" fillId="3" borderId="32" applyAlignment="1" pivotButton="0" quotePrefix="0" xfId="1">
      <alignment horizontal="left" vertical="center"/>
    </xf>
    <xf numFmtId="0" fontId="11" fillId="3" borderId="5" applyAlignment="1" pivotButton="0" quotePrefix="0" xfId="1">
      <alignment horizontal="left" vertical="center"/>
    </xf>
    <xf numFmtId="0" fontId="11" fillId="3" borderId="2" applyAlignment="1" pivotButton="0" quotePrefix="0" xfId="1">
      <alignment horizontal="left" vertical="center"/>
    </xf>
    <xf numFmtId="0" fontId="26" fillId="3" borderId="25" applyAlignment="1" applyProtection="1" pivotButton="0" quotePrefix="0" xfId="0">
      <alignment horizontal="center"/>
      <protection locked="0" hidden="0"/>
    </xf>
    <xf numFmtId="0" fontId="26" fillId="3" borderId="51" applyAlignment="1" applyProtection="1" pivotButton="0" quotePrefix="0" xfId="0">
      <alignment horizontal="center"/>
      <protection locked="0" hidden="0"/>
    </xf>
    <xf numFmtId="0" fontId="26" fillId="3" borderId="27" applyAlignment="1" applyProtection="1" pivotButton="0" quotePrefix="0" xfId="0">
      <alignment horizontal="center"/>
      <protection locked="0" hidden="0"/>
    </xf>
    <xf numFmtId="0" fontId="9" fillId="3" borderId="46" applyAlignment="1" pivotButton="0" quotePrefix="0" xfId="0">
      <alignment horizontal="left"/>
    </xf>
    <xf numFmtId="0" fontId="9" fillId="3" borderId="8" applyAlignment="1" pivotButton="0" quotePrefix="0" xfId="0">
      <alignment horizontal="left"/>
    </xf>
    <xf numFmtId="0" fontId="10" fillId="3" borderId="59" applyAlignment="1" pivotButton="0" quotePrefix="0" xfId="0">
      <alignment horizontal="center" wrapText="1"/>
    </xf>
    <xf numFmtId="0" fontId="10" fillId="3" borderId="78" applyAlignment="1" pivotButton="0" quotePrefix="0" xfId="0">
      <alignment horizontal="center" wrapText="1"/>
    </xf>
    <xf numFmtId="0" fontId="10" fillId="3" borderId="80" applyAlignment="1" pivotButton="0" quotePrefix="0" xfId="0">
      <alignment horizontal="center" wrapText="1"/>
    </xf>
    <xf numFmtId="0" fontId="9" fillId="3" borderId="18" applyAlignment="1" pivotButton="0" quotePrefix="0" xfId="0">
      <alignment horizontal="center" wrapText="1"/>
    </xf>
    <xf numFmtId="0" fontId="9" fillId="3" borderId="34" applyAlignment="1" pivotButton="0" quotePrefix="0" xfId="0">
      <alignment horizontal="center" wrapText="1"/>
    </xf>
    <xf numFmtId="0" fontId="6" fillId="2" borderId="0" applyAlignment="1" pivotButton="0" quotePrefix="0" xfId="0">
      <alignment horizontal="left" vertical="top"/>
    </xf>
    <xf numFmtId="0" fontId="22" fillId="0" borderId="0" applyAlignment="1" pivotButton="0" quotePrefix="1" xfId="0">
      <alignment horizontal="left"/>
    </xf>
    <xf numFmtId="0" fontId="9" fillId="3" borderId="0" applyAlignment="1" pivotButton="0" quotePrefix="0" xfId="0">
      <alignment horizontal="left" vertical="top" wrapText="1"/>
    </xf>
    <xf numFmtId="0" fontId="9" fillId="3" borderId="9" applyAlignment="1" pivotButton="0" quotePrefix="0" xfId="0">
      <alignment horizontal="center" wrapText="1"/>
    </xf>
    <xf numFmtId="0" fontId="9" fillId="3" borderId="85" applyAlignment="1" pivotButton="0" quotePrefix="0" xfId="0">
      <alignment horizontal="left" wrapText="1" indent="1"/>
    </xf>
    <xf numFmtId="0" fontId="9" fillId="3" borderId="66" applyAlignment="1" pivotButton="0" quotePrefix="0" xfId="0">
      <alignment horizontal="left" wrapText="1" indent="1"/>
    </xf>
    <xf numFmtId="0" fontId="14" fillId="3" borderId="80" applyAlignment="1" pivotButton="0" quotePrefix="0" xfId="1">
      <alignment horizontal="left" vertical="center" indent="1"/>
    </xf>
    <xf numFmtId="0" fontId="14" fillId="3" borderId="25" applyAlignment="1" pivotButton="0" quotePrefix="0" xfId="1">
      <alignment horizontal="left" vertical="center" indent="1"/>
    </xf>
    <xf numFmtId="0" fontId="14" fillId="3" borderId="52" applyAlignment="1" pivotButton="0" quotePrefix="0" xfId="1">
      <alignment horizontal="center" vertical="center" wrapText="1"/>
    </xf>
    <xf numFmtId="0" fontId="14" fillId="3" borderId="13" applyAlignment="1" pivotButton="0" quotePrefix="0" xfId="1">
      <alignment horizontal="center" vertical="center" wrapText="1"/>
    </xf>
    <xf numFmtId="0" fontId="14" fillId="3" borderId="10" applyAlignment="1" pivotButton="0" quotePrefix="0" xfId="1">
      <alignment horizontal="center" wrapText="1"/>
    </xf>
    <xf numFmtId="0" fontId="6" fillId="2" borderId="0" applyAlignment="1" pivotButton="0" quotePrefix="0" xfId="0">
      <alignment horizontal="left"/>
    </xf>
    <xf numFmtId="0" fontId="25" fillId="3" borderId="47" applyAlignment="1" pivotButton="0" quotePrefix="0" xfId="0">
      <alignment horizontal="center" vertical="center"/>
    </xf>
    <xf numFmtId="0" fontId="0" fillId="3" borderId="10" applyAlignment="1" pivotButton="0" quotePrefix="0" xfId="0">
      <alignment horizontal="center" vertical="center"/>
    </xf>
    <xf numFmtId="0" fontId="0" fillId="3" borderId="48" applyAlignment="1" pivotButton="0" quotePrefix="0" xfId="0">
      <alignment horizontal="center" vertical="center"/>
    </xf>
    <xf numFmtId="0" fontId="25" fillId="3" borderId="10" applyAlignment="1" pivotButton="0" quotePrefix="0" xfId="0">
      <alignment horizontal="center"/>
    </xf>
    <xf numFmtId="0" fontId="0" fillId="3" borderId="10" applyAlignment="1" pivotButton="0" quotePrefix="0" xfId="0">
      <alignment horizontal="center"/>
    </xf>
    <xf numFmtId="0" fontId="0" fillId="3" borderId="48" applyAlignment="1" pivotButton="0" quotePrefix="0" xfId="0">
      <alignment horizontal="center"/>
    </xf>
    <xf numFmtId="0" fontId="9" fillId="3" borderId="38" applyAlignment="1" pivotButton="0" quotePrefix="0" xfId="0">
      <alignment horizontal="left"/>
    </xf>
    <xf numFmtId="0" fontId="9" fillId="3" borderId="16" applyAlignment="1" pivotButton="0" quotePrefix="0" xfId="0">
      <alignment horizontal="left"/>
    </xf>
    <xf numFmtId="0" fontId="9" fillId="3" borderId="53" applyAlignment="1" pivotButton="0" quotePrefix="0" xfId="0">
      <alignment horizontal="left"/>
    </xf>
    <xf numFmtId="0" fontId="9" fillId="3" borderId="16" applyAlignment="1" applyProtection="1" pivotButton="0" quotePrefix="0" xfId="0">
      <alignment horizontal="center"/>
      <protection locked="0" hidden="0"/>
    </xf>
    <xf numFmtId="0" fontId="9" fillId="3" borderId="53" applyAlignment="1" applyProtection="1" pivotButton="0" quotePrefix="0" xfId="0">
      <alignment horizontal="center"/>
      <protection locked="0" hidden="0"/>
    </xf>
    <xf numFmtId="0" fontId="11" fillId="3" borderId="64" applyAlignment="1" applyProtection="1" pivotButton="0" quotePrefix="0" xfId="1">
      <alignment horizontal="center" vertical="center"/>
      <protection locked="0" hidden="0"/>
    </xf>
    <xf numFmtId="0" fontId="11" fillId="3" borderId="51" applyAlignment="1" applyProtection="1" pivotButton="0" quotePrefix="0" xfId="1">
      <alignment horizontal="center" vertical="center"/>
      <protection locked="0" hidden="0"/>
    </xf>
    <xf numFmtId="0" fontId="11" fillId="3" borderId="59" applyAlignment="1" applyProtection="1" pivotButton="0" quotePrefix="0" xfId="1">
      <alignment horizontal="center" vertical="center"/>
      <protection locked="0" hidden="0"/>
    </xf>
    <xf numFmtId="0" fontId="14" fillId="3" borderId="80" applyAlignment="1" pivotButton="0" quotePrefix="0" xfId="1">
      <alignment horizontal="left" vertical="center"/>
    </xf>
    <xf numFmtId="0" fontId="14" fillId="3" borderId="59" applyAlignment="1" pivotButton="0" quotePrefix="0" xfId="1">
      <alignment horizontal="left" vertical="center"/>
    </xf>
    <xf numFmtId="0" fontId="14" fillId="3" borderId="25" applyAlignment="1" pivotButton="0" quotePrefix="0" xfId="1">
      <alignment horizontal="left" vertical="center"/>
    </xf>
    <xf numFmtId="0" fontId="11" fillId="3" borderId="32" applyAlignment="1" pivotButton="0" quotePrefix="0" xfId="1">
      <alignment horizontal="left" vertical="center" indent="1"/>
    </xf>
    <xf numFmtId="0" fontId="11" fillId="3" borderId="5" applyAlignment="1" pivotButton="0" quotePrefix="0" xfId="1">
      <alignment horizontal="left" vertical="center" indent="1"/>
    </xf>
    <xf numFmtId="0" fontId="11" fillId="3" borderId="31" applyAlignment="1" pivotButton="0" quotePrefix="0" xfId="1">
      <alignment horizontal="left" vertical="center" indent="1"/>
    </xf>
    <xf numFmtId="0" fontId="14" fillId="3" borderId="32" applyAlignment="1" pivotButton="0" quotePrefix="0" xfId="1">
      <alignment horizontal="center" vertical="center"/>
    </xf>
    <xf numFmtId="0" fontId="14" fillId="3" borderId="5" applyAlignment="1" pivotButton="0" quotePrefix="0" xfId="1">
      <alignment horizontal="center" vertical="center"/>
    </xf>
    <xf numFmtId="0" fontId="14" fillId="3" borderId="31" applyAlignment="1" pivotButton="0" quotePrefix="0" xfId="1">
      <alignment horizontal="center" vertical="center"/>
    </xf>
    <xf numFmtId="0" fontId="11" fillId="3" borderId="1"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22" applyAlignment="1" pivotButton="0" quotePrefix="0" xfId="0">
      <alignment horizontal="left" vertical="top" indent="1"/>
    </xf>
    <xf numFmtId="0" fontId="28" fillId="3" borderId="21" applyAlignment="1" pivotButton="0" quotePrefix="0" xfId="0">
      <alignment horizontal="left" indent="1"/>
    </xf>
    <xf numFmtId="0" fontId="28" fillId="3" borderId="30" applyAlignment="1" pivotButton="0" quotePrefix="0" xfId="0">
      <alignment horizontal="left" indent="1"/>
    </xf>
    <xf numFmtId="0" fontId="26" fillId="3" borderId="15"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6" fillId="3" borderId="53" applyAlignment="1" applyProtection="1" pivotButton="0" quotePrefix="0" xfId="0">
      <alignment horizontal="center"/>
      <protection locked="0" hidden="0"/>
    </xf>
    <xf numFmtId="0" fontId="11" fillId="3" borderId="31" applyAlignment="1" pivotButton="0" quotePrefix="0" xfId="1">
      <alignment horizontal="left" vertical="center"/>
    </xf>
    <xf numFmtId="0" fontId="11" fillId="3" borderId="44" applyAlignment="1" pivotButton="0" quotePrefix="0" xfId="1">
      <alignment horizontal="left" vertical="center" indent="1"/>
    </xf>
    <xf numFmtId="0" fontId="11" fillId="3" borderId="39" applyAlignment="1" pivotButton="0" quotePrefix="0" xfId="1">
      <alignment horizontal="left" vertical="center" indent="1"/>
    </xf>
    <xf numFmtId="0" fontId="11" fillId="3" borderId="2" applyAlignment="1" pivotButton="0" quotePrefix="0" xfId="1">
      <alignment horizontal="left" vertical="center" indent="1"/>
    </xf>
    <xf numFmtId="0" fontId="14" fillId="3" borderId="64" applyAlignment="1" pivotButton="0" quotePrefix="0" xfId="1">
      <alignment horizontal="center" wrapText="1"/>
    </xf>
    <xf numFmtId="0" fontId="14" fillId="3" borderId="27" applyAlignment="1" pivotButton="0" quotePrefix="0" xfId="1">
      <alignment horizontal="center" wrapText="1"/>
    </xf>
    <xf numFmtId="0" fontId="14" fillId="3" borderId="59" applyAlignment="1" pivotButton="0" quotePrefix="0" xfId="1">
      <alignment horizontal="left" vertical="center" indent="1"/>
    </xf>
    <xf numFmtId="0" fontId="31" fillId="3" borderId="9" applyAlignment="1" pivotButton="0" quotePrefix="0" xfId="0">
      <alignment horizontal="center" wrapText="1"/>
    </xf>
    <xf numFmtId="0" fontId="31" fillId="3" borderId="18" applyAlignment="1" pivotButton="0" quotePrefix="0" xfId="0">
      <alignment horizontal="center" wrapText="1"/>
    </xf>
    <xf numFmtId="0" fontId="31" fillId="3" borderId="18" applyAlignment="1" pivotButton="0" quotePrefix="0" xfId="0">
      <alignment horizontal="center"/>
    </xf>
    <xf numFmtId="0" fontId="31" fillId="3" borderId="34" applyAlignment="1" pivotButton="0" quotePrefix="0" xfId="0">
      <alignment horizontal="center"/>
    </xf>
    <xf numFmtId="0" fontId="11" fillId="3" borderId="44" applyAlignment="1" pivotButton="0" quotePrefix="0" xfId="1">
      <alignment horizontal="left" vertical="center"/>
    </xf>
    <xf numFmtId="0" fontId="11" fillId="3" borderId="14" applyAlignment="1" pivotButton="0" quotePrefix="0" xfId="1">
      <alignment horizontal="left" vertical="center"/>
    </xf>
    <xf numFmtId="0" fontId="11" fillId="3" borderId="35" applyAlignment="1" pivotButton="0" quotePrefix="0" xfId="1">
      <alignment horizontal="left" vertical="center"/>
    </xf>
    <xf numFmtId="0" fontId="9" fillId="3" borderId="44" applyAlignment="1" applyProtection="1" pivotButton="0" quotePrefix="0" xfId="0">
      <alignment horizontal="center" wrapText="1"/>
      <protection locked="0" hidden="0"/>
    </xf>
    <xf numFmtId="0" fontId="9" fillId="3" borderId="14" applyAlignment="1" applyProtection="1" pivotButton="0" quotePrefix="0" xfId="0">
      <alignment horizontal="center" wrapText="1"/>
      <protection locked="0" hidden="0"/>
    </xf>
    <xf numFmtId="0" fontId="9" fillId="3" borderId="35" applyAlignment="1" applyProtection="1" pivotButton="0" quotePrefix="0" xfId="0">
      <alignment horizontal="center" wrapText="1"/>
      <protection locked="0" hidden="0"/>
    </xf>
    <xf numFmtId="0" fontId="9" fillId="3" borderId="36" applyAlignment="1" applyProtection="1" pivotButton="0" quotePrefix="0" xfId="0">
      <alignment horizontal="center" wrapText="1"/>
      <protection locked="0" hidden="0"/>
    </xf>
    <xf numFmtId="0" fontId="31" fillId="3" borderId="37" applyAlignment="1" pivotButton="0" quotePrefix="0" xfId="0">
      <alignment horizontal="center" wrapText="1"/>
    </xf>
    <xf numFmtId="0" fontId="31" fillId="3" borderId="34" applyAlignment="1" pivotButton="0" quotePrefix="0" xfId="0">
      <alignment horizontal="center" wrapText="1"/>
    </xf>
    <xf numFmtId="0" fontId="11" fillId="3" borderId="39" applyAlignment="1" pivotButton="0" quotePrefix="0" xfId="1">
      <alignment horizontal="left" vertical="center"/>
    </xf>
    <xf numFmtId="0" fontId="14" fillId="3" borderId="22" applyAlignment="1" pivotButton="0" quotePrefix="0" xfId="1">
      <alignment horizontal="left"/>
    </xf>
    <xf numFmtId="0" fontId="14" fillId="3" borderId="21" applyAlignment="1" pivotButton="0" quotePrefix="0" xfId="1">
      <alignment horizontal="left"/>
    </xf>
    <xf numFmtId="0" fontId="14" fillId="3" borderId="15" applyAlignment="1" pivotButton="0" quotePrefix="0" xfId="1">
      <alignment horizontal="left"/>
    </xf>
    <xf numFmtId="0" fontId="14" fillId="3" borderId="37" applyAlignment="1" pivotButton="0" quotePrefix="0" xfId="1">
      <alignment horizontal="left"/>
    </xf>
    <xf numFmtId="0" fontId="14" fillId="3" borderId="18" applyAlignment="1" pivotButton="0" quotePrefix="0" xfId="1">
      <alignment horizontal="left"/>
    </xf>
    <xf numFmtId="0" fontId="14" fillId="3" borderId="7" applyAlignment="1" pivotButton="0" quotePrefix="0" xfId="1">
      <alignment horizontal="left"/>
    </xf>
    <xf numFmtId="0" fontId="11" fillId="3" borderId="37" applyAlignment="1" pivotButton="0" quotePrefix="0" xfId="1">
      <alignment horizontal="left" vertical="center" wrapText="1"/>
    </xf>
    <xf numFmtId="0" fontId="11" fillId="3" borderId="18" applyAlignment="1" pivotButton="0" quotePrefix="0" xfId="1">
      <alignment horizontal="left" vertical="center" wrapText="1"/>
    </xf>
    <xf numFmtId="0" fontId="11" fillId="3" borderId="7" applyAlignment="1" pivotButton="0" quotePrefix="0" xfId="1">
      <alignment horizontal="left" vertical="center" wrapText="1"/>
    </xf>
    <xf numFmtId="0" fontId="9" fillId="3" borderId="37" applyAlignment="1" applyProtection="1" pivotButton="0" quotePrefix="0" xfId="0">
      <alignment horizontal="center" wrapText="1"/>
      <protection locked="0" hidden="0"/>
    </xf>
    <xf numFmtId="0" fontId="9" fillId="3" borderId="18" applyAlignment="1" applyProtection="1" pivotButton="0" quotePrefix="0" xfId="0">
      <alignment horizontal="center" wrapText="1"/>
      <protection locked="0" hidden="0"/>
    </xf>
    <xf numFmtId="0" fontId="10" fillId="3" borderId="22" applyAlignment="1" pivotButton="0" quotePrefix="0" xfId="0">
      <alignment horizontal="center" wrapText="1"/>
    </xf>
    <xf numFmtId="0" fontId="10" fillId="3" borderId="21" applyAlignment="1" pivotButton="0" quotePrefix="0" xfId="0">
      <alignment horizontal="center" wrapText="1"/>
    </xf>
    <xf numFmtId="0" fontId="10" fillId="3" borderId="30" applyAlignment="1" pivotButton="0" quotePrefix="0" xfId="0">
      <alignment horizontal="center" wrapText="1"/>
    </xf>
    <xf numFmtId="0" fontId="9" fillId="3" borderId="37" applyAlignment="1" pivotButton="0" quotePrefix="0" xfId="0">
      <alignment horizontal="center" wrapText="1"/>
    </xf>
    <xf numFmtId="0" fontId="11" fillId="3" borderId="13" applyAlignment="1" applyProtection="1" pivotButton="0" quotePrefix="0" xfId="1">
      <alignment horizontal="center" vertical="center"/>
      <protection locked="0" hidden="0"/>
    </xf>
    <xf numFmtId="0" fontId="11" fillId="3" borderId="11" applyAlignment="1" applyProtection="1" pivotButton="0" quotePrefix="0" xfId="1">
      <alignment horizontal="center" vertical="center"/>
      <protection locked="0" hidden="0"/>
    </xf>
    <xf numFmtId="0" fontId="11" fillId="3" borderId="46" applyAlignment="1" applyProtection="1" pivotButton="0" quotePrefix="0" xfId="1">
      <alignment horizontal="center" vertical="center"/>
      <protection locked="0" hidden="0"/>
    </xf>
    <xf numFmtId="0" fontId="11" fillId="3" borderId="9" applyAlignment="1" applyProtection="1" pivotButton="0" quotePrefix="0" xfId="1">
      <alignment horizontal="center" vertical="center"/>
      <protection locked="0" hidden="0"/>
    </xf>
    <xf numFmtId="0" fontId="14" fillId="3" borderId="64" applyAlignment="1" pivotButton="0" quotePrefix="0" xfId="1">
      <alignment horizontal="center" vertical="center"/>
    </xf>
    <xf numFmtId="0" fontId="14" fillId="3" borderId="26" applyAlignment="1" pivotButton="0" quotePrefix="0" xfId="1">
      <alignment horizontal="center" vertical="center"/>
    </xf>
    <xf numFmtId="0" fontId="14" fillId="3" borderId="51" applyAlignment="1" pivotButton="0" quotePrefix="0" xfId="1">
      <alignment horizontal="center" vertical="center"/>
    </xf>
    <xf numFmtId="0" fontId="11" fillId="3" borderId="46" applyAlignment="1" pivotButton="0" quotePrefix="0" xfId="1">
      <alignment horizontal="left" vertical="center" indent="1"/>
    </xf>
    <xf numFmtId="0" fontId="11" fillId="3" borderId="8" applyAlignment="1" pivotButton="0" quotePrefix="0" xfId="1">
      <alignment horizontal="left" vertical="center" indent="1"/>
    </xf>
    <xf numFmtId="0" fontId="11" fillId="3" borderId="45" applyAlignment="1" pivotButton="0" quotePrefix="0" xfId="1">
      <alignment horizontal="left" vertical="center" indent="1"/>
    </xf>
    <xf numFmtId="0" fontId="1" fillId="3" borderId="0" applyAlignment="1" pivotButton="0" quotePrefix="0" xfId="0">
      <alignment horizontal="center"/>
    </xf>
    <xf numFmtId="164" fontId="11" fillId="3" borderId="3" applyAlignment="1" applyProtection="1" pivotButton="0" quotePrefix="0" xfId="1">
      <alignment horizontal="center" vertical="center"/>
      <protection locked="0" hidden="0"/>
    </xf>
    <xf numFmtId="164" fontId="11" fillId="3" borderId="33" applyAlignment="1" applyProtection="1" pivotButton="0" quotePrefix="0" xfId="1">
      <alignment horizontal="center" vertical="center"/>
      <protection locked="0" hidden="0"/>
    </xf>
    <xf numFmtId="0" fontId="11" fillId="3" borderId="6" applyAlignment="1" pivotButton="0" quotePrefix="0" xfId="1">
      <alignment horizontal="left" vertical="center" indent="1"/>
    </xf>
    <xf numFmtId="0" fontId="11" fillId="3" borderId="29" applyAlignment="1" pivotButton="0" quotePrefix="0" xfId="1">
      <alignment horizontal="left" vertical="center" indent="1"/>
    </xf>
    <xf numFmtId="0" fontId="11" fillId="3" borderId="32" applyAlignment="1" pivotButton="0" quotePrefix="0" xfId="1">
      <alignment horizontal="left" vertical="center" wrapText="1" indent="2"/>
    </xf>
    <xf numFmtId="0" fontId="11" fillId="3" borderId="5" applyAlignment="1" pivotButton="0" quotePrefix="0" xfId="1">
      <alignment horizontal="left" vertical="center" wrapText="1" indent="2"/>
    </xf>
    <xf numFmtId="0" fontId="11" fillId="3" borderId="31" applyAlignment="1" pivotButton="0" quotePrefix="0" xfId="1">
      <alignment horizontal="left" vertical="center" wrapText="1" indent="2"/>
    </xf>
    <xf numFmtId="164" fontId="11" fillId="3" borderId="22" applyAlignment="1" applyProtection="1" pivotButton="0" quotePrefix="0" xfId="1">
      <alignment horizontal="center" vertical="center"/>
      <protection locked="0" hidden="0"/>
    </xf>
    <xf numFmtId="164" fontId="11" fillId="3" borderId="21" applyAlignment="1" applyProtection="1" pivotButton="0" quotePrefix="0" xfId="1">
      <alignment horizontal="center" vertical="center"/>
      <protection locked="0" hidden="0"/>
    </xf>
    <xf numFmtId="164" fontId="11" fillId="3" borderId="30" applyAlignment="1" applyProtection="1" pivotButton="0" quotePrefix="0" xfId="1">
      <alignment horizontal="center" vertical="center"/>
      <protection locked="0" hidden="0"/>
    </xf>
    <xf numFmtId="164" fontId="11" fillId="3" borderId="23" applyAlignment="1" pivotButton="0" quotePrefix="0" xfId="1">
      <alignment horizontal="center" vertical="center"/>
    </xf>
    <xf numFmtId="164" fontId="11" fillId="3" borderId="24" applyAlignment="1" pivotButton="0" quotePrefix="0" xfId="1">
      <alignment horizontal="center" vertical="center"/>
    </xf>
    <xf numFmtId="164" fontId="11" fillId="3" borderId="26" applyAlignment="1" pivotButton="0" quotePrefix="0" xfId="1">
      <alignment horizontal="center" vertical="center"/>
    </xf>
    <xf numFmtId="164" fontId="11" fillId="3" borderId="27" applyAlignment="1" pivotButton="0" quotePrefix="0" xfId="1">
      <alignment horizontal="center" vertical="center"/>
    </xf>
    <xf numFmtId="0" fontId="11" fillId="3" borderId="37" applyAlignment="1" pivotButton="0" quotePrefix="0" xfId="1">
      <alignment horizontal="left" vertical="center" indent="2"/>
    </xf>
    <xf numFmtId="0" fontId="11" fillId="3" borderId="18" applyAlignment="1" pivotButton="0" quotePrefix="0" xfId="1">
      <alignment horizontal="left" vertical="center" indent="2"/>
    </xf>
    <xf numFmtId="0" fontId="11" fillId="3" borderId="7" applyAlignment="1" pivotButton="0" quotePrefix="0" xfId="1">
      <alignment horizontal="left" vertical="center" indent="2"/>
    </xf>
    <xf numFmtId="164" fontId="11" fillId="3" borderId="37" applyAlignment="1" applyProtection="1" pivotButton="0" quotePrefix="0" xfId="1">
      <alignment horizontal="center" vertical="center"/>
      <protection locked="0" hidden="0"/>
    </xf>
    <xf numFmtId="164" fontId="11" fillId="3" borderId="18" applyAlignment="1" applyProtection="1" pivotButton="0" quotePrefix="0" xfId="1">
      <alignment horizontal="center" vertical="center"/>
      <protection locked="0" hidden="0"/>
    </xf>
    <xf numFmtId="164" fontId="11" fillId="3" borderId="34" applyAlignment="1" applyProtection="1" pivotButton="0" quotePrefix="0" xfId="1">
      <alignment horizontal="center" vertical="center"/>
      <protection locked="0" hidden="0"/>
    </xf>
    <xf numFmtId="0" fontId="14" fillId="3" borderId="47" applyAlignment="1" pivotButton="0" quotePrefix="0" xfId="1">
      <alignment horizontal="center" vertical="center"/>
    </xf>
    <xf numFmtId="0" fontId="14" fillId="3" borderId="10" applyAlignment="1" pivotButton="0" quotePrefix="0" xfId="1">
      <alignment horizontal="center" vertical="center"/>
    </xf>
    <xf numFmtId="0" fontId="14" fillId="3" borderId="48" applyAlignment="1" pivotButton="0" quotePrefix="0" xfId="1">
      <alignment horizontal="center" vertical="center"/>
    </xf>
    <xf numFmtId="0" fontId="11" fillId="3" borderId="14" applyAlignment="1" pivotButton="0" quotePrefix="0" xfId="1">
      <alignment horizontal="left" vertical="center" indent="1"/>
    </xf>
    <xf numFmtId="0" fontId="11" fillId="3" borderId="35" applyAlignment="1" pivotButton="0" quotePrefix="0" xfId="1">
      <alignment horizontal="left" vertical="center" indent="1"/>
    </xf>
    <xf numFmtId="164" fontId="11" fillId="3" borderId="16" applyAlignment="1" applyProtection="1" pivotButton="0" quotePrefix="0" xfId="1">
      <alignment horizontal="center" vertical="center"/>
      <protection locked="0" hidden="0"/>
    </xf>
    <xf numFmtId="164" fontId="11" fillId="3" borderId="53" applyAlignment="1" applyProtection="1" pivotButton="0" quotePrefix="0" xfId="1">
      <alignment horizontal="center" vertical="center"/>
      <protection locked="0" hidden="0"/>
    </xf>
    <xf numFmtId="0" fontId="25" fillId="3" borderId="59" applyAlignment="1" pivotButton="0" quotePrefix="0" xfId="0">
      <alignment horizontal="center"/>
    </xf>
    <xf numFmtId="0" fontId="34" fillId="3" borderId="59" applyAlignment="1" pivotButton="0" quotePrefix="0" xfId="0">
      <alignment horizontal="center"/>
    </xf>
    <xf numFmtId="0" fontId="34" fillId="3" borderId="78" applyAlignment="1" pivotButton="0" quotePrefix="0" xfId="0">
      <alignment horizontal="center"/>
    </xf>
    <xf numFmtId="0" fontId="11" fillId="3" borderId="37" applyAlignment="1" pivotButton="0" quotePrefix="0" xfId="0">
      <alignment horizontal="left" vertical="top" indent="1"/>
    </xf>
    <xf numFmtId="0" fontId="11" fillId="3" borderId="18" applyAlignment="1" pivotButton="0" quotePrefix="0" xfId="0">
      <alignment horizontal="left" vertical="top" indent="1"/>
    </xf>
    <xf numFmtId="0" fontId="28" fillId="3" borderId="7" applyAlignment="1" pivotButton="0" quotePrefix="0" xfId="0">
      <alignment horizontal="left" indent="1"/>
    </xf>
    <xf numFmtId="0" fontId="17" fillId="2" borderId="0" applyAlignment="1" pivotButton="0" quotePrefix="0" xfId="0">
      <alignment horizontal="left"/>
    </xf>
    <xf numFmtId="0" fontId="11" fillId="3" borderId="47" applyAlignment="1" pivotButton="0" quotePrefix="0" xfId="0">
      <alignment horizontal="left" vertical="top" indent="1"/>
    </xf>
    <xf numFmtId="0" fontId="11" fillId="3" borderId="10" applyAlignment="1" pivotButton="0" quotePrefix="0" xfId="0">
      <alignment horizontal="left" vertical="top" indent="1"/>
    </xf>
    <xf numFmtId="0" fontId="28" fillId="3" borderId="48" applyAlignment="1" pivotButton="0" quotePrefix="0" xfId="0">
      <alignment horizontal="left" indent="1"/>
    </xf>
    <xf numFmtId="0" fontId="25" fillId="3" borderId="0" applyAlignment="1" pivotButton="0" quotePrefix="0" xfId="0">
      <alignment horizontal="left" indent="1"/>
    </xf>
    <xf numFmtId="0" fontId="8" fillId="3" borderId="0" applyAlignment="1" pivotButton="0" quotePrefix="0" xfId="0">
      <alignment horizontal="left" vertical="center" indent="1"/>
    </xf>
    <xf numFmtId="0" fontId="11" fillId="3" borderId="26" applyAlignment="1" applyProtection="1" pivotButton="0" quotePrefix="0" xfId="1">
      <alignment horizontal="center" vertical="center"/>
      <protection locked="0" hidden="0"/>
    </xf>
    <xf numFmtId="0" fontId="11" fillId="3" borderId="27" applyAlignment="1" applyProtection="1" pivotButton="0" quotePrefix="0" xfId="1">
      <alignment horizontal="center" vertical="center"/>
      <protection locked="0" hidden="0"/>
    </xf>
    <xf numFmtId="0" fontId="11" fillId="3" borderId="64" applyAlignment="1" pivotButton="0" quotePrefix="0" xfId="1">
      <alignment horizontal="center" vertical="center"/>
    </xf>
    <xf numFmtId="0" fontId="11" fillId="3" borderId="27" applyAlignment="1" pivotButton="0" quotePrefix="0" xfId="1">
      <alignment horizontal="center" vertical="center"/>
    </xf>
    <xf numFmtId="0" fontId="9" fillId="3" borderId="46" applyAlignment="1" applyProtection="1" pivotButton="0" quotePrefix="0" xfId="0">
      <alignment horizontal="center"/>
      <protection locked="0" hidden="0"/>
    </xf>
    <xf numFmtId="0" fontId="9" fillId="3" borderId="8" applyAlignment="1" applyProtection="1" pivotButton="0" quotePrefix="0" xfId="0">
      <alignment horizontal="center"/>
      <protection locked="0" hidden="0"/>
    </xf>
    <xf numFmtId="0" fontId="9" fillId="3" borderId="45" applyAlignment="1" applyProtection="1" pivotButton="0" quotePrefix="0" xfId="0">
      <alignment horizontal="center"/>
      <protection locked="0" hidden="0"/>
    </xf>
    <xf numFmtId="0" fontId="13" fillId="3" borderId="22" applyAlignment="1" pivotButton="0" quotePrefix="0" xfId="1">
      <alignment horizontal="center" wrapText="1"/>
    </xf>
    <xf numFmtId="0" fontId="13" fillId="3" borderId="30" applyAlignment="1" pivotButton="0" quotePrefix="0" xfId="1">
      <alignment horizontal="center" wrapText="1"/>
    </xf>
    <xf numFmtId="0" fontId="13" fillId="3" borderId="17" applyAlignment="1" pivotButton="0" quotePrefix="0" xfId="1">
      <alignment horizontal="center" wrapText="1"/>
    </xf>
    <xf numFmtId="0" fontId="13" fillId="3" borderId="15" applyAlignment="1" pivotButton="0" quotePrefix="0" xfId="1">
      <alignment horizontal="center" wrapText="1"/>
    </xf>
    <xf numFmtId="0" fontId="13" fillId="3" borderId="22" applyAlignment="1" pivotButton="0" quotePrefix="0" xfId="1">
      <alignment horizontal="center" vertical="center" wrapText="1"/>
    </xf>
    <xf numFmtId="0" fontId="13" fillId="3" borderId="30" applyAlignment="1" pivotButton="0" quotePrefix="0" xfId="1">
      <alignment horizontal="center" vertical="center" wrapText="1"/>
    </xf>
    <xf numFmtId="0" fontId="13" fillId="3" borderId="17" applyAlignment="1" pivotButton="0" quotePrefix="0" xfId="1">
      <alignment horizontal="center" vertical="center" wrapText="1"/>
    </xf>
    <xf numFmtId="0" fontId="13" fillId="3" borderId="15" applyAlignment="1" pivotButton="0" quotePrefix="0" xfId="1">
      <alignment horizontal="center" vertical="center" wrapText="1"/>
    </xf>
    <xf numFmtId="0" fontId="11" fillId="3" borderId="37" applyAlignment="1" pivotButton="0" quotePrefix="0" xfId="1">
      <alignment horizontal="left" vertical="center" indent="1"/>
    </xf>
    <xf numFmtId="0" fontId="11" fillId="3" borderId="18" applyAlignment="1" pivotButton="0" quotePrefix="0" xfId="1">
      <alignment horizontal="left" vertical="center" indent="1"/>
    </xf>
    <xf numFmtId="0" fontId="11" fillId="3" borderId="7" applyAlignment="1" pivotButton="0" quotePrefix="0" xfId="1">
      <alignment horizontal="left" vertical="center" indent="1"/>
    </xf>
    <xf numFmtId="0" fontId="14" fillId="0" borderId="10" applyAlignment="1" pivotButton="0" quotePrefix="0" xfId="1">
      <alignment horizontal="left" vertical="center" indent="1"/>
    </xf>
    <xf numFmtId="0" fontId="14" fillId="0" borderId="11" applyAlignment="1" pivotButton="0" quotePrefix="0" xfId="1">
      <alignment horizontal="left" vertical="center" indent="1"/>
    </xf>
    <xf numFmtId="0" fontId="14" fillId="3" borderId="22" applyAlignment="1" pivotButton="0" quotePrefix="0" xfId="1">
      <alignment horizontal="center"/>
    </xf>
    <xf numFmtId="0" fontId="14" fillId="3" borderId="21" applyAlignment="1" pivotButton="0" quotePrefix="0" xfId="1">
      <alignment horizontal="center"/>
    </xf>
    <xf numFmtId="0" fontId="14" fillId="3" borderId="15" applyAlignment="1" pivotButton="0" quotePrefix="0" xfId="1">
      <alignment horizontal="center"/>
    </xf>
    <xf numFmtId="0" fontId="14" fillId="3" borderId="37" applyAlignment="1" pivotButton="0" quotePrefix="0" xfId="1">
      <alignment horizontal="center"/>
    </xf>
    <xf numFmtId="0" fontId="14" fillId="3" borderId="18" applyAlignment="1" pivotButton="0" quotePrefix="0" xfId="1">
      <alignment horizontal="center"/>
    </xf>
    <xf numFmtId="0" fontId="14" fillId="3" borderId="7" applyAlignment="1" pivotButton="0" quotePrefix="0" xfId="1">
      <alignment horizontal="center"/>
    </xf>
    <xf numFmtId="0" fontId="14" fillId="3" borderId="16" applyAlignment="1" pivotButton="0" quotePrefix="0" xfId="1">
      <alignment horizontal="center" wrapText="1"/>
    </xf>
    <xf numFmtId="0" fontId="8" fillId="3" borderId="0" applyAlignment="1" pivotButton="0" quotePrefix="0" xfId="0">
      <alignment horizontal="left" vertical="top" wrapText="1" indent="1"/>
    </xf>
    <xf numFmtId="0" fontId="11" fillId="0" borderId="95" applyAlignment="1" applyProtection="1" pivotButton="0" quotePrefix="0" xfId="1">
      <alignment horizontal="center" vertical="center"/>
      <protection locked="0" hidden="0"/>
    </xf>
    <xf numFmtId="0" fontId="11" fillId="0" borderId="28" applyAlignment="1" applyProtection="1" pivotButton="0" quotePrefix="0" xfId="1">
      <alignment horizontal="center" vertical="center"/>
      <protection locked="0" hidden="0"/>
    </xf>
    <xf numFmtId="0" fontId="11" fillId="0" borderId="96" applyAlignment="1" applyProtection="1" pivotButton="0" quotePrefix="0" xfId="1">
      <alignment horizontal="center" vertical="center"/>
      <protection locked="0" hidden="0"/>
    </xf>
    <xf numFmtId="0" fontId="11" fillId="0" borderId="97" applyAlignment="1" applyProtection="1" pivotButton="0" quotePrefix="0" xfId="1">
      <alignment horizontal="center" vertical="center"/>
      <protection locked="0" hidden="0"/>
    </xf>
    <xf numFmtId="0" fontId="11" fillId="0" borderId="89" applyAlignment="1" applyProtection="1" pivotButton="0" quotePrefix="0" xfId="1">
      <alignment horizontal="center" vertical="center"/>
      <protection locked="0" hidden="0"/>
    </xf>
    <xf numFmtId="0" fontId="11" fillId="0" borderId="90" applyAlignment="1" applyProtection="1" pivotButton="0" quotePrefix="0" xfId="1">
      <alignment horizontal="center" vertical="center"/>
      <protection locked="0" hidden="0"/>
    </xf>
    <xf numFmtId="0" fontId="11" fillId="0" borderId="98" applyAlignment="1" applyProtection="1" pivotButton="0" quotePrefix="0" xfId="1">
      <alignment horizontal="center" vertical="center"/>
      <protection locked="0" hidden="0"/>
    </xf>
    <xf numFmtId="0" fontId="11" fillId="0" borderId="7" applyAlignment="1" applyProtection="1" pivotButton="0" quotePrefix="0" xfId="1">
      <alignment horizontal="center" vertical="center" wrapText="1"/>
      <protection locked="0" hidden="0"/>
    </xf>
    <xf numFmtId="0" fontId="11" fillId="0" borderId="45" applyAlignment="1" applyProtection="1" pivotButton="0" quotePrefix="0" xfId="1">
      <alignment horizontal="center" vertical="center" wrapText="1"/>
      <protection locked="0" hidden="0"/>
    </xf>
    <xf numFmtId="0" fontId="14" fillId="0" borderId="47" applyAlignment="1" pivotButton="0" quotePrefix="0" xfId="1">
      <alignment horizontal="left" vertical="center" wrapText="1" indent="1"/>
    </xf>
    <xf numFmtId="0" fontId="14" fillId="0" borderId="10" applyAlignment="1" pivotButton="0" quotePrefix="0" xfId="1">
      <alignment horizontal="left" vertical="center" wrapText="1" indent="1"/>
    </xf>
    <xf numFmtId="0" fontId="14" fillId="0" borderId="11" applyAlignment="1" pivotButton="0" quotePrefix="0" xfId="1">
      <alignment horizontal="left" vertical="center" wrapText="1" indent="1"/>
    </xf>
    <xf numFmtId="0" fontId="14" fillId="0" borderId="62" applyAlignment="1" pivotButton="0" quotePrefix="0" xfId="1">
      <alignment horizontal="center" vertical="center"/>
    </xf>
    <xf numFmtId="0" fontId="14" fillId="0" borderId="72" applyAlignment="1" pivotButton="0" quotePrefix="0" xfId="1">
      <alignment horizontal="center" vertical="center"/>
    </xf>
    <xf numFmtId="0" fontId="14" fillId="0" borderId="73" applyAlignment="1" pivotButton="0" quotePrefix="0" xfId="1">
      <alignment horizontal="center" vertical="center"/>
    </xf>
    <xf numFmtId="0" fontId="14" fillId="0" borderId="74" applyAlignment="1" pivotButton="0" quotePrefix="0" xfId="1">
      <alignment horizontal="center" vertical="center"/>
    </xf>
    <xf numFmtId="0" fontId="11" fillId="0" borderId="44" applyAlignment="1" pivotButton="0" quotePrefix="0" xfId="1">
      <alignment horizontal="left" vertical="center" wrapText="1" indent="1"/>
    </xf>
    <xf numFmtId="0" fontId="11" fillId="0" borderId="14" applyAlignment="1" pivotButton="0" quotePrefix="0" xfId="1">
      <alignment horizontal="left" vertical="center" wrapText="1" indent="1"/>
    </xf>
    <xf numFmtId="0" fontId="11" fillId="0" borderId="39" applyAlignment="1" pivotButton="0" quotePrefix="0" xfId="1">
      <alignment horizontal="left" vertical="center" wrapText="1" indent="1"/>
    </xf>
    <xf numFmtId="0" fontId="11" fillId="0" borderId="91" applyAlignment="1" applyProtection="1" pivotButton="0" quotePrefix="0" xfId="1">
      <alignment horizontal="center" vertical="center"/>
      <protection locked="0" hidden="0"/>
    </xf>
    <xf numFmtId="0" fontId="11" fillId="0" borderId="92" applyAlignment="1" applyProtection="1" pivotButton="0" quotePrefix="0" xfId="1">
      <alignment horizontal="center" vertical="center"/>
      <protection locked="0" hidden="0"/>
    </xf>
    <xf numFmtId="0" fontId="11" fillId="0" borderId="93" applyAlignment="1" applyProtection="1" pivotButton="0" quotePrefix="0" xfId="1">
      <alignment horizontal="center" vertical="center"/>
      <protection locked="0" hidden="0"/>
    </xf>
    <xf numFmtId="0" fontId="11" fillId="0" borderId="94" applyAlignment="1" applyProtection="1" pivotButton="0" quotePrefix="0" xfId="1">
      <alignment horizontal="center" vertical="center"/>
      <protection locked="0" hidden="0"/>
    </xf>
    <xf numFmtId="0" fontId="11" fillId="0" borderId="36" applyAlignment="1" applyProtection="1" pivotButton="0" quotePrefix="0" xfId="1">
      <alignment horizontal="center" vertical="center"/>
      <protection locked="0" hidden="0"/>
    </xf>
    <xf numFmtId="0" fontId="11" fillId="0" borderId="35" applyAlignment="1" applyProtection="1" pivotButton="0" quotePrefix="0" xfId="1">
      <alignment horizontal="center" vertical="center"/>
      <protection locked="0" hidden="0"/>
    </xf>
    <xf numFmtId="0" fontId="8" fillId="3" borderId="0" applyAlignment="1" pivotButton="0" quotePrefix="0" xfId="0">
      <alignment horizontal="left" vertical="center" wrapText="1" indent="1"/>
    </xf>
    <xf numFmtId="0" fontId="11" fillId="0" borderId="20" applyAlignment="1" pivotButton="0" quotePrefix="0" xfId="1">
      <alignment horizontal="left" vertical="center" wrapText="1" indent="1"/>
    </xf>
    <xf numFmtId="0" fontId="11" fillId="0" borderId="6" applyAlignment="1" pivotButton="0" quotePrefix="0" xfId="1">
      <alignment horizontal="left" vertical="center" wrapText="1" indent="1"/>
    </xf>
    <xf numFmtId="0" fontId="11" fillId="0" borderId="19" applyAlignment="1" pivotButton="0" quotePrefix="0" xfId="1">
      <alignment horizontal="left" vertical="center" wrapText="1" indent="1"/>
    </xf>
    <xf numFmtId="0" fontId="11" fillId="0" borderId="29" applyAlignment="1" applyProtection="1" pivotButton="0" quotePrefix="0" xfId="1">
      <alignment horizontal="center" vertical="center"/>
      <protection locked="0" hidden="0"/>
    </xf>
    <xf numFmtId="0" fontId="14" fillId="0" borderId="48" applyAlignment="1" pivotButton="0" quotePrefix="0" xfId="1">
      <alignment horizontal="center" wrapText="1"/>
    </xf>
    <xf numFmtId="0" fontId="14" fillId="3" borderId="60" applyAlignment="1" pivotButton="0" quotePrefix="0" xfId="1">
      <alignment horizontal="center" wrapText="1"/>
    </xf>
    <xf numFmtId="0" fontId="14" fillId="3" borderId="43" applyAlignment="1" pivotButton="0" quotePrefix="0" xfId="1">
      <alignment horizontal="center" wrapText="1"/>
    </xf>
    <xf numFmtId="0" fontId="14" fillId="3" borderId="0" applyAlignment="1" pivotButton="0" quotePrefix="0" xfId="1">
      <alignment horizontal="center" wrapText="1"/>
    </xf>
    <xf numFmtId="0" fontId="14" fillId="3" borderId="55" applyAlignment="1" pivotButton="0" quotePrefix="0" xfId="1">
      <alignment horizontal="center" wrapText="1"/>
    </xf>
    <xf numFmtId="0" fontId="14" fillId="3" borderId="26" applyAlignment="1" pivotButton="0" quotePrefix="0" xfId="1">
      <alignment horizontal="center" wrapText="1"/>
    </xf>
    <xf numFmtId="0" fontId="11" fillId="3" borderId="54" applyAlignment="1" pivotButton="0" quotePrefix="0" xfId="1">
      <alignment horizontal="left" vertical="center" indent="1"/>
    </xf>
    <xf numFmtId="0" fontId="11" fillId="3" borderId="1" applyAlignment="1" pivotButton="0" quotePrefix="0" xfId="1">
      <alignment horizontal="left" vertical="center" indent="1"/>
    </xf>
    <xf numFmtId="0" fontId="11" fillId="3" borderId="58" applyAlignment="1" pivotButton="0" quotePrefix="0" xfId="1">
      <alignment horizontal="left" vertical="center" indent="1"/>
    </xf>
    <xf numFmtId="0" fontId="11" fillId="3" borderId="49" applyAlignment="1" applyProtection="1" pivotButton="0" quotePrefix="0" xfId="1">
      <alignment horizontal="center" vertical="center"/>
      <protection locked="0" hidden="0"/>
    </xf>
    <xf numFmtId="0" fontId="11" fillId="3" borderId="0" applyAlignment="1" applyProtection="1" pivotButton="0" quotePrefix="0" xfId="1">
      <alignment horizontal="center" vertical="center"/>
      <protection locked="0" hidden="0"/>
    </xf>
    <xf numFmtId="0" fontId="11" fillId="3" borderId="58" applyAlignment="1" applyProtection="1" pivotButton="0" quotePrefix="0" xfId="1">
      <alignment horizontal="center" vertical="center"/>
      <protection locked="0" hidden="0"/>
    </xf>
    <xf numFmtId="0" fontId="5" fillId="3" borderId="62" applyAlignment="1" pivotButton="0" quotePrefix="0" xfId="0">
      <alignment horizontal="center"/>
    </xf>
    <xf numFmtId="0" fontId="5" fillId="3" borderId="60" applyAlignment="1" pivotButton="0" quotePrefix="0" xfId="0">
      <alignment horizontal="center"/>
    </xf>
    <xf numFmtId="0" fontId="5" fillId="3" borderId="16" applyAlignment="1" pivotButton="0" quotePrefix="0" xfId="0">
      <alignment horizontal="center"/>
    </xf>
    <xf numFmtId="0" fontId="5" fillId="3" borderId="17" applyAlignment="1" pivotButton="0" quotePrefix="0" xfId="0">
      <alignment horizontal="center"/>
    </xf>
    <xf numFmtId="0" fontId="5" fillId="3" borderId="87" applyAlignment="1" pivotButton="0" quotePrefix="0" xfId="0">
      <alignment horizontal="center"/>
    </xf>
    <xf numFmtId="0" fontId="5" fillId="3" borderId="83" applyAlignment="1" pivotButton="0" quotePrefix="0" xfId="0">
      <alignment horizontal="center"/>
    </xf>
    <xf numFmtId="0" fontId="5" fillId="3" borderId="88" applyAlignment="1" pivotButton="0" quotePrefix="0" xfId="0">
      <alignment horizontal="center"/>
    </xf>
    <xf numFmtId="0" fontId="14" fillId="3" borderId="32" applyAlignment="1" pivotButton="0" quotePrefix="0" xfId="1">
      <alignment horizontal="center" wrapText="1"/>
    </xf>
    <xf numFmtId="0" fontId="27" fillId="3" borderId="5" pivotButton="0" quotePrefix="0" xfId="0"/>
    <xf numFmtId="0" fontId="27" fillId="3" borderId="32" pivotButton="0" quotePrefix="0" xfId="0"/>
    <xf numFmtId="0" fontId="27" fillId="3" borderId="37" pivotButton="0" quotePrefix="0" xfId="0"/>
    <xf numFmtId="0" fontId="27" fillId="3" borderId="18" pivotButton="0" quotePrefix="0" xfId="0"/>
    <xf numFmtId="0" fontId="14" fillId="3" borderId="5" applyAlignment="1" pivotButton="0" quotePrefix="0" xfId="1">
      <alignment horizontal="center" wrapText="1"/>
    </xf>
    <xf numFmtId="0" fontId="27" fillId="3" borderId="6" pivotButton="0" quotePrefix="0" xfId="0"/>
    <xf numFmtId="0" fontId="14" fillId="3" borderId="84" applyAlignment="1" pivotButton="0" quotePrefix="0" xfId="1">
      <alignment horizontal="center" wrapText="1"/>
    </xf>
    <xf numFmtId="0" fontId="27" fillId="3" borderId="84" pivotButton="0" quotePrefix="0" xfId="0"/>
    <xf numFmtId="0" fontId="14" fillId="3" borderId="84" applyAlignment="1" pivotButton="0" quotePrefix="0" xfId="1">
      <alignment horizontal="center"/>
    </xf>
    <xf numFmtId="0" fontId="14" fillId="3" borderId="47" applyAlignment="1" pivotButton="0" quotePrefix="0" xfId="1">
      <alignment horizontal="center"/>
    </xf>
    <xf numFmtId="0" fontId="14" fillId="3" borderId="10" applyAlignment="1" pivotButton="0" quotePrefix="0" xfId="1">
      <alignment horizontal="center"/>
    </xf>
    <xf numFmtId="0" fontId="9" fillId="3" borderId="64" applyAlignment="1" applyProtection="1" pivotButton="0" quotePrefix="0" xfId="0">
      <alignment horizontal="center" vertical="center"/>
      <protection locked="0" hidden="0"/>
    </xf>
    <xf numFmtId="0" fontId="9" fillId="3" borderId="51" applyAlignment="1" applyProtection="1" pivotButton="0" quotePrefix="0" xfId="0">
      <alignment horizontal="center" vertical="center"/>
      <protection locked="0" hidden="0"/>
    </xf>
    <xf numFmtId="0" fontId="5" fillId="3" borderId="38" applyAlignment="1" pivotButton="0" quotePrefix="0" xfId="0">
      <alignment horizontal="center"/>
    </xf>
    <xf numFmtId="0" fontId="5" fillId="3" borderId="15" applyAlignment="1" pivotButton="0" quotePrefix="0" xfId="0">
      <alignment horizontal="center"/>
    </xf>
    <xf numFmtId="0" fontId="14" fillId="3" borderId="5" applyAlignment="1" pivotButton="0" quotePrefix="0" xfId="1">
      <alignment horizontal="center"/>
    </xf>
    <xf numFmtId="0" fontId="9" fillId="3" borderId="25" applyAlignment="1" applyProtection="1" pivotButton="0" quotePrefix="0" xfId="0">
      <alignment horizontal="center" vertical="center" wrapText="1"/>
      <protection locked="0" hidden="0"/>
    </xf>
    <xf numFmtId="0" fontId="9" fillId="3" borderId="51" applyAlignment="1" applyProtection="1" pivotButton="0" quotePrefix="0" xfId="0">
      <alignment horizontal="center" vertical="center" wrapText="1"/>
      <protection locked="0" hidden="0"/>
    </xf>
    <xf numFmtId="0" fontId="9" fillId="3" borderId="26" applyAlignment="1" applyProtection="1" pivotButton="0" quotePrefix="0" xfId="0">
      <alignment horizontal="center" vertical="center"/>
      <protection locked="0" hidden="0"/>
    </xf>
    <xf numFmtId="0" fontId="9" fillId="3" borderId="27" applyAlignment="1" applyProtection="1" pivotButton="0" quotePrefix="0" xfId="0">
      <alignment horizontal="center" vertical="center"/>
      <protection locked="0" hidden="0"/>
    </xf>
    <xf numFmtId="0" fontId="10" fillId="3" borderId="22" applyAlignment="1" pivotButton="0" quotePrefix="0" xfId="0">
      <alignment vertical="center" wrapText="1"/>
    </xf>
    <xf numFmtId="0" fontId="29" fillId="3" borderId="21" applyAlignment="1" pivotButton="0" quotePrefix="0" xfId="0">
      <alignment vertical="center" wrapText="1"/>
    </xf>
    <xf numFmtId="0" fontId="29" fillId="3" borderId="30" applyAlignment="1" pivotButton="0" quotePrefix="0" xfId="0">
      <alignment vertical="center" wrapText="1"/>
    </xf>
    <xf numFmtId="0" fontId="29" fillId="3" borderId="32" applyAlignment="1" pivotButton="0" quotePrefix="0" xfId="0">
      <alignment vertical="center"/>
    </xf>
    <xf numFmtId="0" fontId="29" fillId="3" borderId="5" applyAlignment="1" pivotButton="0" quotePrefix="0" xfId="0">
      <alignment vertical="center"/>
    </xf>
    <xf numFmtId="0" fontId="29" fillId="3" borderId="31" applyAlignment="1" pivotButton="0" quotePrefix="0" xfId="0">
      <alignment vertical="center"/>
    </xf>
    <xf numFmtId="0" fontId="28" fillId="3" borderId="28" applyAlignment="1" pivotButton="0" quotePrefix="0" xfId="0">
      <alignment horizontal="center" vertical="center"/>
    </xf>
    <xf numFmtId="0" fontId="28" fillId="3" borderId="29" applyAlignment="1" pivotButton="0" quotePrefix="0" xfId="0">
      <alignment horizontal="center" vertical="center"/>
    </xf>
    <xf numFmtId="0" fontId="14" fillId="3" borderId="62" applyAlignment="1" pivotButton="0" quotePrefix="0" xfId="1">
      <alignment horizontal="center" vertical="center" wrapText="1"/>
    </xf>
    <xf numFmtId="0" fontId="14" fillId="3" borderId="60" applyAlignment="1" pivotButton="0" quotePrefix="0" xfId="1">
      <alignment horizontal="center" vertical="center" wrapText="1"/>
    </xf>
    <xf numFmtId="0" fontId="14" fillId="3" borderId="63" applyAlignment="1" pivotButton="0" quotePrefix="0" xfId="1">
      <alignment horizontal="center" vertical="center" wrapText="1"/>
    </xf>
    <xf numFmtId="0" fontId="14" fillId="3" borderId="64" applyAlignment="1" pivotButton="0" quotePrefix="0" xfId="1">
      <alignment horizontal="center" vertical="center" wrapText="1"/>
    </xf>
    <xf numFmtId="0" fontId="14" fillId="3" borderId="26" applyAlignment="1" pivotButton="0" quotePrefix="0" xfId="1">
      <alignment horizontal="center" vertical="center" wrapText="1"/>
    </xf>
    <xf numFmtId="0" fontId="14" fillId="3" borderId="27" applyAlignment="1" pivotButton="0" quotePrefix="0" xfId="1">
      <alignment horizontal="center" vertical="center" wrapText="1"/>
    </xf>
    <xf numFmtId="0" fontId="14" fillId="3" borderId="38" applyAlignment="1" pivotButton="0" quotePrefix="0" xfId="1">
      <alignment horizontal="center" vertical="center" wrapText="1"/>
    </xf>
    <xf numFmtId="0" fontId="14" fillId="3" borderId="16" applyAlignment="1" pivotButton="0" quotePrefix="0" xfId="1">
      <alignment horizontal="center" vertical="center" wrapText="1"/>
    </xf>
    <xf numFmtId="0" fontId="14" fillId="3" borderId="53" applyAlignment="1" pivotButton="0" quotePrefix="0" xfId="1">
      <alignment horizontal="center" vertical="center" wrapText="1"/>
    </xf>
    <xf numFmtId="0" fontId="14" fillId="3" borderId="46" applyAlignment="1" pivotButton="0" quotePrefix="0" xfId="1">
      <alignment horizontal="center" wrapText="1"/>
    </xf>
    <xf numFmtId="0" fontId="14" fillId="3" borderId="9" applyAlignment="1" pivotButton="0" quotePrefix="0" xfId="1">
      <alignment horizontal="center" wrapText="1"/>
    </xf>
    <xf numFmtId="0" fontId="14" fillId="3" borderId="7" applyAlignment="1" pivotButton="0" quotePrefix="0" xfId="1">
      <alignment horizontal="center" wrapText="1"/>
    </xf>
    <xf numFmtId="0" fontId="14" fillId="3" borderId="45" applyAlignment="1" pivotButton="0" quotePrefix="0" xfId="1">
      <alignment horizontal="center" wrapText="1"/>
    </xf>
    <xf numFmtId="0" fontId="10" fillId="3" borderId="32" applyAlignment="1" pivotButton="0" quotePrefix="0" xfId="0">
      <alignment vertical="center" wrapText="1"/>
    </xf>
    <xf numFmtId="0" fontId="10" fillId="3" borderId="5" applyAlignment="1" pivotButton="0" quotePrefix="0" xfId="0">
      <alignment vertical="center" wrapText="1"/>
    </xf>
    <xf numFmtId="0" fontId="10" fillId="3" borderId="31" applyAlignment="1" pivotButton="0" quotePrefix="0" xfId="0">
      <alignment vertical="center" wrapText="1"/>
    </xf>
    <xf numFmtId="0" fontId="10" fillId="3" borderId="37" applyAlignment="1" pivotButton="0" quotePrefix="0" xfId="0">
      <alignment vertical="center" wrapText="1"/>
    </xf>
    <xf numFmtId="0" fontId="10" fillId="3" borderId="18" applyAlignment="1" pivotButton="0" quotePrefix="0" xfId="0">
      <alignment vertical="center" wrapText="1"/>
    </xf>
    <xf numFmtId="0" fontId="10" fillId="3" borderId="34" applyAlignment="1" pivotButton="0" quotePrefix="0" xfId="0">
      <alignment vertical="center" wrapText="1"/>
    </xf>
    <xf numFmtId="0" fontId="9" fillId="3" borderId="4" applyAlignment="1" pivotButton="0" quotePrefix="0" xfId="0">
      <alignment horizontal="center" vertical="center"/>
    </xf>
    <xf numFmtId="0" fontId="9" fillId="3" borderId="9" applyAlignment="1" pivotButton="0" quotePrefix="0" xfId="0">
      <alignment horizontal="center" vertical="center"/>
    </xf>
    <xf numFmtId="0" fontId="9" fillId="3" borderId="34" applyAlignment="1" pivotButton="0" quotePrefix="0" xfId="0">
      <alignment horizontal="center" vertical="center"/>
    </xf>
    <xf numFmtId="0" fontId="11" fillId="3" borderId="46" applyAlignment="1" pivotButton="0" quotePrefix="0" xfId="1">
      <alignment horizontal="left" vertical="center" wrapText="1" indent="1"/>
    </xf>
    <xf numFmtId="0" fontId="11" fillId="3" borderId="45" applyAlignment="1" pivotButton="0" quotePrefix="0" xfId="1">
      <alignment horizontal="left" vertical="center" wrapText="1" indent="1"/>
    </xf>
    <xf numFmtId="0" fontId="11" fillId="3" borderId="32" applyAlignment="1" pivotButton="0" quotePrefix="0" xfId="1">
      <alignment horizontal="left" vertical="center" wrapText="1" indent="1"/>
    </xf>
    <xf numFmtId="0" fontId="11" fillId="3" borderId="2" applyAlignment="1" pivotButton="0" quotePrefix="0" xfId="1">
      <alignment horizontal="left" vertical="center" wrapText="1" indent="1"/>
    </xf>
    <xf numFmtId="0" fontId="14" fillId="3" borderId="47" applyAlignment="1" pivotButton="0" quotePrefix="0" xfId="1">
      <alignment horizontal="center" wrapText="1"/>
    </xf>
    <xf numFmtId="0" fontId="14" fillId="3" borderId="48" applyAlignment="1" pivotButton="0" quotePrefix="0" xfId="1">
      <alignment horizontal="center" wrapText="1"/>
    </xf>
    <xf numFmtId="0" fontId="11" fillId="3" borderId="44" applyAlignment="1" pivotButton="0" quotePrefix="0" xfId="1">
      <alignment horizontal="left" vertical="center" wrapText="1" indent="1"/>
    </xf>
    <xf numFmtId="0" fontId="11" fillId="3" borderId="39" applyAlignment="1" pivotButton="0" quotePrefix="0" xfId="1">
      <alignment horizontal="left" vertical="center" wrapText="1" indent="1"/>
    </xf>
    <xf numFmtId="0" fontId="9" fillId="3" borderId="8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1"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9" fillId="3" borderId="13" applyAlignment="1" applyProtection="1" pivotButton="0" quotePrefix="0" xfId="0">
      <alignment horizontal="center"/>
      <protection locked="0" hidden="0"/>
    </xf>
    <xf numFmtId="0" fontId="9" fillId="3" borderId="78" applyAlignment="1" applyProtection="1" pivotButton="0" quotePrefix="0" xfId="0">
      <alignment horizontal="center"/>
      <protection locked="0" hidden="0"/>
    </xf>
    <xf numFmtId="0" fontId="22" fillId="0" borderId="43" applyAlignment="1" pivotButton="0" quotePrefix="1" xfId="0">
      <alignment horizontal="left" vertical="center" wrapText="1"/>
    </xf>
    <xf numFmtId="0" fontId="0" fillId="3" borderId="12" applyAlignment="1" pivotButton="0" quotePrefix="0" xfId="0">
      <alignment horizontal="center" wrapText="1"/>
    </xf>
    <xf numFmtId="0" fontId="0" fillId="3" borderId="13" applyAlignment="1" pivotButton="0" quotePrefix="0" xfId="0">
      <alignment horizontal="center" wrapText="1"/>
    </xf>
    <xf numFmtId="0" fontId="11" fillId="0" borderId="26" applyAlignment="1" applyProtection="1" pivotButton="0" quotePrefix="0" xfId="1">
      <alignment horizontal="center" vertical="center"/>
      <protection locked="0" hidden="0"/>
    </xf>
    <xf numFmtId="0" fontId="11" fillId="0" borderId="51" applyAlignment="1" applyProtection="1" pivotButton="0" quotePrefix="0" xfId="1">
      <alignment horizontal="center" vertical="center"/>
      <protection locked="0" hidden="0"/>
    </xf>
    <xf numFmtId="0" fontId="11" fillId="3" borderId="46" applyAlignment="1" pivotButton="0" quotePrefix="1" xfId="1">
      <alignment horizontal="left" vertical="center"/>
    </xf>
    <xf numFmtId="0" fontId="11" fillId="3" borderId="9" applyAlignment="1" pivotButton="0" quotePrefix="1" xfId="1">
      <alignment horizontal="left" vertical="center"/>
    </xf>
    <xf numFmtId="0" fontId="11" fillId="3" borderId="37" applyAlignment="1" pivotButton="0" quotePrefix="1" xfId="1">
      <alignment horizontal="left" vertical="center"/>
    </xf>
    <xf numFmtId="0" fontId="11" fillId="3" borderId="18" applyAlignment="1" pivotButton="0" quotePrefix="0" xfId="1">
      <alignment horizontal="left" vertical="center"/>
    </xf>
    <xf numFmtId="0" fontId="14" fillId="3" borderId="0" applyAlignment="1" pivotButton="0" quotePrefix="0" xfId="1">
      <alignment horizontal="center"/>
    </xf>
    <xf numFmtId="0" fontId="14" fillId="0" borderId="61" applyAlignment="1" pivotButton="0" quotePrefix="0" xfId="1">
      <alignment horizontal="center"/>
    </xf>
    <xf numFmtId="0" fontId="11" fillId="3" borderId="44" applyAlignment="1" pivotButton="0" quotePrefix="1" xfId="1">
      <alignment horizontal="left" vertical="center"/>
    </xf>
    <xf numFmtId="0" fontId="11" fillId="3" borderId="35" applyAlignment="1" applyProtection="1" pivotButton="0" quotePrefix="0" xfId="1">
      <alignment horizontal="center" vertical="center"/>
      <protection locked="0" hidden="0"/>
    </xf>
    <xf numFmtId="0" fontId="9" fillId="3" borderId="22" pivotButton="0" quotePrefix="0" xfId="0"/>
    <xf numFmtId="0" fontId="9" fillId="3" borderId="21" pivotButton="0" quotePrefix="0" xfId="0"/>
    <xf numFmtId="0" fontId="9" fillId="0" borderId="21" applyAlignment="1" applyProtection="1" pivotButton="0" quotePrefix="0" xfId="0">
      <alignment horizontal="center"/>
      <protection locked="0" hidden="0"/>
    </xf>
    <xf numFmtId="0" fontId="9" fillId="0" borderId="30" applyAlignment="1" applyProtection="1" pivotButton="0" quotePrefix="0" xfId="0">
      <alignment horizontal="center"/>
      <protection locked="0" hidden="0"/>
    </xf>
    <xf numFmtId="0" fontId="11" fillId="3" borderId="34" applyAlignment="1" applyProtection="1" pivotButton="0" quotePrefix="0" xfId="1">
      <alignment horizontal="center" vertical="center"/>
      <protection locked="0" hidden="0"/>
    </xf>
    <xf numFmtId="0" fontId="11" fillId="3" borderId="40" applyAlignment="1" pivotButton="0" quotePrefix="1" xfId="1">
      <alignment horizontal="left" vertical="center"/>
    </xf>
    <xf numFmtId="0" fontId="11" fillId="3" borderId="4" applyAlignment="1" pivotButton="0" quotePrefix="1" xfId="1">
      <alignment horizontal="left" vertical="center"/>
    </xf>
    <xf numFmtId="0" fontId="11" fillId="3" borderId="32" applyAlignment="1" pivotButton="0" quotePrefix="1" xfId="1">
      <alignment horizontal="left" vertical="center"/>
    </xf>
    <xf numFmtId="0" fontId="11" fillId="3" borderId="31" applyAlignment="1" applyProtection="1" pivotButton="0" quotePrefix="0" xfId="1">
      <alignment horizontal="center" vertical="center"/>
      <protection locked="0" hidden="0"/>
    </xf>
    <xf numFmtId="0" fontId="11" fillId="0" borderId="39" applyAlignment="1" applyProtection="1" pivotButton="0" quotePrefix="0" xfId="1">
      <alignment horizontal="center" vertical="center"/>
      <protection locked="0" hidden="0"/>
    </xf>
    <xf numFmtId="0" fontId="1" fillId="3" borderId="18" applyAlignment="1" applyProtection="1" pivotButton="0" quotePrefix="0" xfId="0">
      <alignment horizontal="center"/>
      <protection locked="0" hidden="0"/>
    </xf>
    <xf numFmtId="0" fontId="1" fillId="3" borderId="34" applyAlignment="1" applyProtection="1" pivotButton="0" quotePrefix="0" xfId="0">
      <alignment horizontal="center"/>
      <protection locked="0" hidden="0"/>
    </xf>
    <xf numFmtId="0" fontId="14" fillId="3" borderId="52" applyAlignment="1" pivotButton="0" quotePrefix="0" xfId="1">
      <alignment horizontal="center"/>
    </xf>
    <xf numFmtId="0" fontId="14" fillId="3" borderId="13" applyAlignment="1" pivotButton="0" quotePrefix="0" xfId="1">
      <alignment horizontal="center"/>
    </xf>
    <xf numFmtId="0" fontId="11" fillId="3" borderId="22" applyAlignment="1" pivotButton="0" quotePrefix="1" xfId="1">
      <alignment horizontal="left" vertical="center"/>
    </xf>
    <xf numFmtId="0" fontId="11" fillId="3" borderId="21" applyAlignment="1" pivotButton="0" quotePrefix="0" xfId="1">
      <alignment horizontal="left" vertical="center"/>
    </xf>
    <xf numFmtId="0" fontId="11" fillId="3" borderId="21" applyAlignment="1" applyProtection="1" pivotButton="0" quotePrefix="0" xfId="1">
      <alignment horizontal="center" vertical="center"/>
      <protection locked="0" hidden="0"/>
    </xf>
    <xf numFmtId="0" fontId="11" fillId="3" borderId="30" applyAlignment="1" applyProtection="1" pivotButton="0" quotePrefix="0" xfId="1">
      <alignment horizontal="center" vertical="center"/>
      <protection locked="0" hidden="0"/>
    </xf>
    <xf numFmtId="0" fontId="9" fillId="3" borderId="37" applyAlignment="1" pivotButton="0" quotePrefix="0" xfId="0">
      <alignment horizontal="left" wrapText="1" indent="1"/>
    </xf>
    <xf numFmtId="0" fontId="9" fillId="3" borderId="18" applyAlignment="1" pivotButton="0" quotePrefix="0" xfId="0">
      <alignment horizontal="left" wrapText="1" indent="1"/>
    </xf>
    <xf numFmtId="0" fontId="9" fillId="3" borderId="34" applyAlignment="1" pivotButton="0" quotePrefix="0" xfId="0">
      <alignment horizontal="left" wrapText="1" indent="1"/>
    </xf>
    <xf numFmtId="0" fontId="14" fillId="0" borderId="78" applyAlignment="1" pivotButton="0" quotePrefix="0" xfId="1">
      <alignment horizontal="left" vertical="center" indent="1"/>
    </xf>
    <xf numFmtId="0" fontId="6" fillId="2" borderId="0" applyAlignment="1" pivotButton="0" quotePrefix="0" xfId="0">
      <alignment horizontal="left" wrapText="1"/>
    </xf>
    <xf numFmtId="0" fontId="9" fillId="3" borderId="38" applyAlignment="1" applyProtection="1" pivotButton="0" quotePrefix="0" xfId="0">
      <alignment horizontal="center"/>
      <protection locked="0" hidden="0"/>
    </xf>
    <xf numFmtId="0" fontId="9" fillId="3" borderId="40" applyAlignment="1" applyProtection="1" pivotButton="0" quotePrefix="0" xfId="0">
      <alignment horizontal="center"/>
      <protection locked="0" hidden="0"/>
    </xf>
    <xf numFmtId="0" fontId="9" fillId="3" borderId="3" applyAlignment="1" applyProtection="1" pivotButton="0" quotePrefix="0" xfId="0">
      <alignment horizontal="center"/>
      <protection locked="0" hidden="0"/>
    </xf>
    <xf numFmtId="0" fontId="9" fillId="3" borderId="33" applyAlignment="1" applyProtection="1" pivotButton="0" quotePrefix="0" xfId="0">
      <alignment horizontal="center"/>
      <protection locked="0" hidden="0"/>
    </xf>
    <xf numFmtId="0" fontId="5" fillId="3" borderId="22" applyAlignment="1" pivotButton="0" quotePrefix="0" xfId="0">
      <alignment horizontal="center" wrapText="1"/>
    </xf>
    <xf numFmtId="0" fontId="5" fillId="3" borderId="21" applyAlignment="1" pivotButton="0" quotePrefix="0" xfId="0">
      <alignment horizontal="center" wrapText="1"/>
    </xf>
    <xf numFmtId="0" fontId="5" fillId="3" borderId="30" applyAlignment="1" pivotButton="0" quotePrefix="0" xfId="0">
      <alignment horizontal="center" wrapText="1"/>
    </xf>
    <xf numFmtId="0" fontId="5" fillId="3" borderId="20" applyAlignment="1" pivotButton="0" quotePrefix="0" xfId="0">
      <alignment horizontal="center" wrapText="1"/>
    </xf>
    <xf numFmtId="0" fontId="5" fillId="3" borderId="6" applyAlignment="1" pivotButton="0" quotePrefix="0" xfId="0">
      <alignment horizontal="center" wrapText="1"/>
    </xf>
    <xf numFmtId="0" fontId="5" fillId="3" borderId="29" applyAlignment="1" pivotButton="0" quotePrefix="0" xfId="0">
      <alignment horizontal="center" wrapText="1"/>
    </xf>
    <xf numFmtId="0" fontId="11" fillId="3" borderId="22" applyAlignment="1" pivotButton="0" quotePrefix="0" xfId="1">
      <alignment horizontal="left" vertical="center" indent="1"/>
    </xf>
    <xf numFmtId="0" fontId="11" fillId="3" borderId="21" applyAlignment="1" pivotButton="0" quotePrefix="0" xfId="1">
      <alignment horizontal="left" vertical="center" indent="1"/>
    </xf>
    <xf numFmtId="0" fontId="11" fillId="3" borderId="30" applyAlignment="1" pivotButton="0" quotePrefix="0" xfId="1">
      <alignment horizontal="left" vertical="center" indent="1"/>
    </xf>
    <xf numFmtId="0" fontId="3" fillId="3" borderId="0" applyAlignment="1" pivotButton="0" quotePrefix="0" xfId="0">
      <alignment horizontal="center"/>
    </xf>
    <xf numFmtId="0" fontId="9" fillId="3" borderId="52" applyAlignment="1" applyProtection="1" pivotButton="0" quotePrefix="0" xfId="0">
      <alignment horizontal="center"/>
      <protection locked="0" hidden="0"/>
    </xf>
    <xf numFmtId="0" fontId="0" fillId="3" borderId="12" applyAlignment="1" applyProtection="1" pivotButton="0" quotePrefix="0" xfId="0">
      <alignment horizontal="center"/>
      <protection locked="0" hidden="0"/>
    </xf>
    <xf numFmtId="0" fontId="0" fillId="3" borderId="13" applyAlignment="1" applyProtection="1" pivotButton="0" quotePrefix="0" xfId="0">
      <alignment horizontal="center"/>
      <protection locked="0" hidden="0"/>
    </xf>
    <xf numFmtId="0" fontId="9" fillId="3" borderId="56" applyAlignment="1" applyProtection="1" pivotButton="0" quotePrefix="0" xfId="0">
      <alignment horizontal="center"/>
      <protection locked="0" hidden="0"/>
    </xf>
    <xf numFmtId="0" fontId="14" fillId="3" borderId="30" applyAlignment="1" pivotButton="0" quotePrefix="0" xfId="1">
      <alignment horizontal="left"/>
    </xf>
    <xf numFmtId="0" fontId="14" fillId="3" borderId="34" applyAlignment="1" pivotButton="0" quotePrefix="0" xfId="1">
      <alignment horizontal="left"/>
    </xf>
    <xf numFmtId="0" fontId="9" fillId="3" borderId="3" applyAlignment="1" pivotButton="0" quotePrefix="0" xfId="0">
      <alignment horizontal="center"/>
    </xf>
    <xf numFmtId="0" fontId="9" fillId="3" borderId="33" applyAlignment="1" pivotButton="0" quotePrefix="0" xfId="0">
      <alignment horizontal="center"/>
    </xf>
    <xf numFmtId="0" fontId="9" fillId="3" borderId="40" applyAlignment="1" pivotButton="0" quotePrefix="0" xfId="0">
      <alignment horizont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9" fillId="3" borderId="17" applyAlignment="1" applyProtection="1" pivotButton="0" quotePrefix="0" xfId="0">
      <alignment horizontal="center"/>
      <protection locked="0" hidden="0"/>
    </xf>
    <xf numFmtId="0" fontId="9" fillId="3" borderId="21" applyAlignment="1" applyProtection="1" pivotButton="0" quotePrefix="0" xfId="0">
      <alignment horizontal="center"/>
      <protection locked="0" hidden="0"/>
    </xf>
    <xf numFmtId="0" fontId="9" fillId="3" borderId="30" applyAlignment="1" applyProtection="1" pivotButton="0" quotePrefix="0" xfId="0">
      <alignment horizontal="center"/>
      <protection locked="0" hidden="0"/>
    </xf>
    <xf numFmtId="0" fontId="10" fillId="3" borderId="17" applyAlignment="1" pivotButton="0" quotePrefix="0" xfId="0">
      <alignment horizontal="center" wrapText="1"/>
    </xf>
    <xf numFmtId="0" fontId="43" fillId="0" borderId="0" applyAlignment="1" pivotButton="0" quotePrefix="1" xfId="0">
      <alignment horizontal="left" vertical="center" wrapText="1"/>
    </xf>
    <xf numFmtId="0" fontId="11" fillId="3" borderId="34" applyAlignment="1" pivotButton="0" quotePrefix="0" xfId="1">
      <alignment horizontal="left" vertical="center" indent="1"/>
    </xf>
    <xf numFmtId="0" fontId="5" fillId="3" borderId="0" applyAlignment="1" pivotButton="0" quotePrefix="0" xfId="0">
      <alignment horizontal="left" vertical="center" wrapText="1" indent="1"/>
    </xf>
    <xf numFmtId="0" fontId="9" fillId="3" borderId="46" applyAlignment="1" pivotButton="0" quotePrefix="0" xfId="0">
      <alignment horizontal="center"/>
    </xf>
    <xf numFmtId="0" fontId="9" fillId="3" borderId="8" applyAlignment="1" pivotButton="0" quotePrefix="0" xfId="0">
      <alignment horizontal="center"/>
    </xf>
    <xf numFmtId="0" fontId="9" fillId="3" borderId="45" applyAlignment="1" pivotButton="0" quotePrefix="0" xfId="0">
      <alignment horizontal="center"/>
    </xf>
    <xf numFmtId="0" fontId="9" fillId="3" borderId="23" applyAlignment="1" pivotButton="0" quotePrefix="0" xfId="0">
      <alignment horizontal="left" vertical="center" indent="1"/>
    </xf>
    <xf numFmtId="0" fontId="1" fillId="3" borderId="23" applyAlignment="1" pivotButton="0" quotePrefix="0" xfId="0">
      <alignment horizontal="center"/>
    </xf>
    <xf numFmtId="0" fontId="1" fillId="3" borderId="24" applyAlignment="1" pivotButton="0" quotePrefix="0" xfId="0">
      <alignment horizontal="center"/>
    </xf>
    <xf numFmtId="0" fontId="1" fillId="3" borderId="26" applyAlignment="1" pivotButton="0" quotePrefix="0" xfId="0">
      <alignment horizontal="center"/>
    </xf>
    <xf numFmtId="0" fontId="1" fillId="3" borderId="27" applyAlignment="1" pivotButton="0" quotePrefix="0" xfId="0">
      <alignment horizontal="center"/>
    </xf>
    <xf numFmtId="0" fontId="11" fillId="3" borderId="64" applyAlignment="1" pivotButton="0" quotePrefix="0" xfId="1">
      <alignment horizontal="left" vertical="center" indent="2"/>
    </xf>
    <xf numFmtId="0" fontId="11" fillId="3" borderId="26" applyAlignment="1" pivotButton="0" quotePrefix="0" xfId="1">
      <alignment horizontal="left" vertical="center" indent="2"/>
    </xf>
    <xf numFmtId="0" fontId="11" fillId="2" borderId="19" applyAlignment="1" pivotButton="0" quotePrefix="0" xfId="1">
      <alignment horizontal="center" vertical="center"/>
    </xf>
    <xf numFmtId="0" fontId="11" fillId="2" borderId="28" applyAlignment="1" pivotButton="0" quotePrefix="0" xfId="1">
      <alignment horizontal="center" vertical="center"/>
    </xf>
    <xf numFmtId="0" fontId="11" fillId="3" borderId="23" applyAlignment="1" applyProtection="1" pivotButton="0" quotePrefix="0" xfId="1">
      <alignment horizontal="center" vertical="center"/>
      <protection locked="0" hidden="0"/>
    </xf>
    <xf numFmtId="0" fontId="11" fillId="3" borderId="24" applyAlignment="1" applyProtection="1" pivotButton="0" quotePrefix="0" xfId="1">
      <alignment horizontal="center" vertical="center"/>
      <protection locked="0" hidden="0"/>
    </xf>
    <xf numFmtId="0" fontId="11" fillId="2" borderId="42" applyAlignment="1" pivotButton="0" quotePrefix="0" xfId="1">
      <alignment horizontal="center" vertical="center"/>
    </xf>
    <xf numFmtId="0" fontId="11" fillId="3" borderId="42" applyAlignment="1" pivotButton="0" quotePrefix="0" xfId="1">
      <alignment horizontal="left" vertical="center" indent="1"/>
    </xf>
    <xf numFmtId="0" fontId="11" fillId="3" borderId="23" applyAlignment="1" pivotButton="0" quotePrefix="0" xfId="1">
      <alignment horizontal="left" vertical="center" indent="1"/>
    </xf>
    <xf numFmtId="0" fontId="11" fillId="3" borderId="24" applyAlignment="1" pivotButton="0" quotePrefix="0" xfId="1">
      <alignment horizontal="left" vertical="center" indent="1"/>
    </xf>
    <xf numFmtId="0" fontId="11" fillId="3" borderId="19" applyAlignment="1" applyProtection="1" pivotButton="0" quotePrefix="0" xfId="1">
      <alignment horizontal="center" vertical="center"/>
      <protection locked="0" hidden="0"/>
    </xf>
    <xf numFmtId="0" fontId="11" fillId="3" borderId="28" applyAlignment="1" applyProtection="1" pivotButton="0" quotePrefix="0" xfId="1">
      <alignment horizontal="center" vertical="center"/>
      <protection locked="0" hidden="0"/>
    </xf>
    <xf numFmtId="0" fontId="25" fillId="3" borderId="0" applyAlignment="1" pivotButton="0" quotePrefix="0" xfId="0">
      <alignment horizontal="left" vertical="center" indent="1"/>
    </xf>
    <xf numFmtId="0" fontId="25" fillId="3" borderId="0" applyAlignment="1" pivotButton="0" quotePrefix="0" xfId="0">
      <alignment horizontal="left" vertical="center" indent="2"/>
    </xf>
    <xf numFmtId="0" fontId="2" fillId="3" borderId="0" applyAlignment="1" pivotButton="0" quotePrefix="0" xfId="0">
      <alignment horizontal="left" vertical="center" wrapText="1"/>
    </xf>
    <xf numFmtId="0" fontId="9" fillId="3" borderId="43" applyAlignment="1" pivotButton="0" quotePrefix="0" xfId="0">
      <alignment horizontal="left" indent="1"/>
    </xf>
    <xf numFmtId="0" fontId="9" fillId="3" borderId="0" applyAlignment="1" pivotButton="0" quotePrefix="0" xfId="0">
      <alignment horizontal="left" indent="1"/>
    </xf>
    <xf numFmtId="0" fontId="9" fillId="3" borderId="62" applyAlignment="1" pivotButton="0" quotePrefix="0" xfId="0">
      <alignment horizontal="left" vertical="center" indent="1"/>
    </xf>
    <xf numFmtId="0" fontId="9" fillId="3" borderId="60" applyAlignment="1" pivotButton="0" quotePrefix="0" xfId="0">
      <alignment horizontal="left" vertical="center" indent="1"/>
    </xf>
    <xf numFmtId="0" fontId="9" fillId="3" borderId="63" applyAlignment="1" pivotButton="0" quotePrefix="0" xfId="0">
      <alignment horizontal="left" vertical="center" indent="1"/>
    </xf>
    <xf numFmtId="0" fontId="9" fillId="0" borderId="0" applyAlignment="1" pivotButton="0" quotePrefix="1" xfId="0">
      <alignment horizontal="left" vertical="center" wrapText="1"/>
    </xf>
    <xf numFmtId="0" fontId="9" fillId="0" borderId="0" applyAlignment="1" pivotButton="0" quotePrefix="0" xfId="0">
      <alignment horizontal="left" vertical="center"/>
    </xf>
    <xf numFmtId="0" fontId="9" fillId="0" borderId="0" applyAlignment="1" pivotButton="0" quotePrefix="0" xfId="0">
      <alignment horizontal="left"/>
    </xf>
    <xf numFmtId="0" fontId="11" fillId="0" borderId="0" applyAlignment="1" pivotButton="0" quotePrefix="1" xfId="0">
      <alignment horizontal="left" vertical="center"/>
    </xf>
    <xf numFmtId="0" fontId="1" fillId="3" borderId="1" applyAlignment="1" applyProtection="1" pivotButton="0" quotePrefix="0" xfId="0">
      <alignment horizontal="left"/>
      <protection locked="0" hidden="0"/>
    </xf>
    <xf numFmtId="0" fontId="11" fillId="3" borderId="0" applyAlignment="1" pivotButton="0" quotePrefix="0" xfId="1">
      <alignment horizontal="left" vertical="center" wrapText="1"/>
    </xf>
    <xf numFmtId="14" fontId="9" fillId="0" borderId="1" applyAlignment="1" pivotButton="0" quotePrefix="0" xfId="0">
      <alignment horizontal="center"/>
    </xf>
    <xf numFmtId="14" fontId="1" fillId="0" borderId="1" applyAlignment="1" pivotButton="0" quotePrefix="0" xfId="0">
      <alignment horizontal="center"/>
    </xf>
    <xf numFmtId="0" fontId="0" fillId="0" borderId="1" applyProtection="1" pivotButton="0" quotePrefix="0" xfId="0">
      <protection locked="0" hidden="0"/>
    </xf>
    <xf numFmtId="0" fontId="0" fillId="0" borderId="1" pivotButton="0" quotePrefix="0" xfId="0"/>
    <xf numFmtId="0" fontId="10" fillId="0" borderId="75" applyAlignment="1" pivotButton="0" quotePrefix="0" xfId="0">
      <alignment horizontal="center"/>
    </xf>
    <xf numFmtId="0" fontId="0" fillId="0" borderId="12" pivotButton="0" quotePrefix="0" xfId="0"/>
    <xf numFmtId="0" fontId="0" fillId="0" borderId="56" pivotButton="0" quotePrefix="0" xfId="0"/>
    <xf numFmtId="0" fontId="9" fillId="0" borderId="61" applyAlignment="1" pivotButton="0" quotePrefix="0" xfId="0">
      <alignment horizontal="left" vertical="center" indent="1"/>
    </xf>
    <xf numFmtId="0" fontId="0" fillId="0" borderId="16" pivotButton="0" quotePrefix="0" xfId="0"/>
    <xf numFmtId="0" fontId="0" fillId="0" borderId="53" pivotButton="0" quotePrefix="0" xfId="0"/>
    <xf numFmtId="0" fontId="9" fillId="0" borderId="61" applyAlignment="1" applyProtection="1" pivotButton="0" quotePrefix="0" xfId="0">
      <alignment horizontal="center" vertical="center"/>
      <protection locked="0" hidden="0"/>
    </xf>
    <xf numFmtId="0" fontId="0" fillId="0" borderId="16" applyProtection="1" pivotButton="0" quotePrefix="0" xfId="0">
      <protection locked="0" hidden="0"/>
    </xf>
    <xf numFmtId="0" fontId="0" fillId="0" borderId="53" applyProtection="1" pivotButton="0" quotePrefix="0" xfId="0">
      <protection locked="0" hidden="0"/>
    </xf>
    <xf numFmtId="0" fontId="9" fillId="0" borderId="76" applyAlignment="1" pivotButton="0" quotePrefix="0" xfId="0">
      <alignment horizontal="left" vertical="center" indent="1"/>
    </xf>
    <xf numFmtId="0" fontId="0" fillId="0" borderId="3" pivotButton="0" quotePrefix="0" xfId="0"/>
    <xf numFmtId="0" fontId="0" fillId="0" borderId="33" pivotButton="0" quotePrefix="0" xfId="0"/>
    <xf numFmtId="0" fontId="9" fillId="3" borderId="76" applyAlignment="1" pivotButton="0" quotePrefix="0" xfId="0">
      <alignment horizontal="center" vertical="center"/>
    </xf>
    <xf numFmtId="0" fontId="11" fillId="3" borderId="76" applyAlignment="1" pivotButton="0" quotePrefix="0" xfId="1">
      <alignment horizontal="left" vertical="center" wrapText="1" indent="2"/>
    </xf>
    <xf numFmtId="0" fontId="9" fillId="0" borderId="46" applyAlignment="1" pivotButton="0" quotePrefix="0" xfId="0">
      <alignment horizontal="center" vertical="center"/>
    </xf>
    <xf numFmtId="0" fontId="0" fillId="0" borderId="23" pivotButton="0" quotePrefix="0" xfId="0"/>
    <xf numFmtId="0" fontId="0" fillId="0" borderId="8" pivotButton="0" quotePrefix="0" xfId="0"/>
    <xf numFmtId="0" fontId="0" fillId="0" borderId="64" pivotButton="0" quotePrefix="0" xfId="0"/>
    <xf numFmtId="0" fontId="0" fillId="0" borderId="26" pivotButton="0" quotePrefix="0" xfId="0"/>
    <xf numFmtId="0" fontId="10" fillId="0" borderId="75" applyAlignment="1" pivotButton="0" quotePrefix="0" xfId="0">
      <alignment horizontal="left" indent="1"/>
    </xf>
    <xf numFmtId="0" fontId="9" fillId="0" borderId="99" applyAlignment="1" pivotButton="0" quotePrefix="0" xfId="0">
      <alignment horizontal="left" indent="1"/>
    </xf>
    <xf numFmtId="0" fontId="0" fillId="0" borderId="60" pivotButton="0" quotePrefix="0" xfId="0"/>
    <xf numFmtId="0" fontId="0" fillId="0" borderId="63" pivotButton="0" quotePrefix="0" xfId="0"/>
    <xf numFmtId="0" fontId="9" fillId="0" borderId="77" applyAlignment="1" pivotButton="0" quotePrefix="0" xfId="0">
      <alignment horizontal="left" indent="1"/>
    </xf>
    <xf numFmtId="0" fontId="0" fillId="0" borderId="45" pivotButton="0" quotePrefix="0" xfId="0"/>
    <xf numFmtId="0" fontId="9" fillId="0" borderId="100" applyAlignment="1" pivotButton="0" quotePrefix="0" xfId="0">
      <alignment horizontal="center"/>
    </xf>
    <xf numFmtId="0" fontId="0" fillId="0" borderId="24" pivotButton="0" quotePrefix="0" xfId="0"/>
    <xf numFmtId="0" fontId="0" fillId="0" borderId="43" pivotButton="0" quotePrefix="0" xfId="0"/>
    <xf numFmtId="0" fontId="0" fillId="0" borderId="55" pivotButton="0" quotePrefix="0" xfId="0"/>
    <xf numFmtId="0" fontId="9" fillId="0" borderId="76" applyAlignment="1" pivotButton="0" quotePrefix="0" xfId="0">
      <alignment horizontal="left" indent="1"/>
    </xf>
    <xf numFmtId="0" fontId="0" fillId="0" borderId="3" applyProtection="1" pivotButton="0" quotePrefix="0" xfId="0">
      <protection locked="0" hidden="0"/>
    </xf>
    <xf numFmtId="0" fontId="0" fillId="0" borderId="8" applyProtection="1" pivotButton="0" quotePrefix="0" xfId="0">
      <protection locked="0" hidden="0"/>
    </xf>
    <xf numFmtId="0" fontId="9" fillId="3" borderId="61" applyAlignment="1" pivotButton="0" quotePrefix="0" xfId="0">
      <alignment horizontal="left" indent="1"/>
    </xf>
    <xf numFmtId="0" fontId="9" fillId="3" borderId="61" applyAlignment="1" applyProtection="1" pivotButton="0" quotePrefix="0" xfId="0">
      <alignment horizontal="center" vertical="center"/>
      <protection locked="0" hidden="0"/>
    </xf>
    <xf numFmtId="0" fontId="9" fillId="3" borderId="76" applyAlignment="1" pivotButton="0" quotePrefix="0" xfId="0">
      <alignment horizontal="left" indent="1"/>
    </xf>
    <xf numFmtId="0" fontId="9" fillId="3" borderId="76" applyAlignment="1" applyProtection="1" pivotButton="0" quotePrefix="0" xfId="0">
      <alignment horizontal="center" vertical="center"/>
      <protection locked="0" hidden="0"/>
    </xf>
    <xf numFmtId="0" fontId="0" fillId="0" borderId="33" applyProtection="1" pivotButton="0" quotePrefix="0" xfId="0">
      <protection locked="0" hidden="0"/>
    </xf>
    <xf numFmtId="0" fontId="9" fillId="3" borderId="77" applyAlignment="1" pivotButton="0" quotePrefix="0" xfId="0">
      <alignment horizontal="left" indent="1"/>
    </xf>
    <xf numFmtId="0" fontId="10" fillId="3" borderId="75" applyAlignment="1" pivotButton="0" quotePrefix="0" xfId="0">
      <alignment horizontal="left" indent="1"/>
    </xf>
    <xf numFmtId="0" fontId="9" fillId="3" borderId="61" applyAlignment="1" pivotButton="0" quotePrefix="0" xfId="0">
      <alignment horizontal="left" vertical="center" indent="1"/>
    </xf>
    <xf numFmtId="0" fontId="9" fillId="3" borderId="76" applyAlignment="1" pivotButton="0" quotePrefix="0" xfId="0">
      <alignment horizontal="left" vertical="center" indent="1"/>
    </xf>
    <xf numFmtId="0" fontId="9" fillId="3" borderId="77" applyAlignment="1" pivotButton="0" quotePrefix="0" xfId="0">
      <alignment horizontal="center"/>
    </xf>
    <xf numFmtId="0" fontId="0" fillId="0" borderId="27" pivotButton="0" quotePrefix="0" xfId="0"/>
    <xf numFmtId="0" fontId="10" fillId="3" borderId="75" applyAlignment="1" pivotButton="0" quotePrefix="0" xfId="0">
      <alignment horizontal="center" vertical="center"/>
    </xf>
    <xf numFmtId="0" fontId="11" fillId="3" borderId="77" applyAlignment="1" pivotButton="0" quotePrefix="0" xfId="0">
      <alignment horizontal="center" vertical="center"/>
    </xf>
    <xf numFmtId="0" fontId="9" fillId="3" borderId="100" applyAlignment="1" pivotButton="0" quotePrefix="0" xfId="0">
      <alignment horizontal="left" indent="1"/>
    </xf>
    <xf numFmtId="0" fontId="9" fillId="3" borderId="77" applyAlignment="1" applyProtection="1" pivotButton="0" quotePrefix="0" xfId="0">
      <alignment horizontal="center" vertical="center"/>
      <protection locked="0" hidden="0"/>
    </xf>
    <xf numFmtId="0" fontId="0" fillId="0" borderId="45" applyProtection="1" pivotButton="0" quotePrefix="0" xfId="0">
      <protection locked="0" hidden="0"/>
    </xf>
    <xf numFmtId="0" fontId="10" fillId="0" borderId="61" applyAlignment="1" pivotButton="0" quotePrefix="0" xfId="0">
      <alignment horizontal="center"/>
    </xf>
    <xf numFmtId="0" fontId="14" fillId="3" borderId="61" applyAlignment="1" pivotButton="0" quotePrefix="0" xfId="1">
      <alignment horizontal="center" wrapText="1"/>
    </xf>
    <xf numFmtId="0" fontId="14" fillId="3" borderId="99" applyAlignment="1" pivotButton="0" quotePrefix="0" xfId="1">
      <alignment horizontal="center" wrapText="1"/>
    </xf>
    <xf numFmtId="0" fontId="0" fillId="0" borderId="17" pivotButton="0" quotePrefix="0" xfId="0"/>
    <xf numFmtId="0" fontId="0" fillId="0" borderId="9" pivotButton="0" quotePrefix="0" xfId="0"/>
    <xf numFmtId="0" fontId="9" fillId="0" borderId="77" applyAlignment="1" applyProtection="1" pivotButton="0" quotePrefix="0" xfId="0">
      <alignment horizontal="center" vertical="center"/>
      <protection locked="0" hidden="0"/>
    </xf>
    <xf numFmtId="0" fontId="0" fillId="0" borderId="13" pivotButton="0" quotePrefix="0" xfId="0"/>
    <xf numFmtId="0" fontId="10" fillId="0" borderId="75" applyAlignment="1" pivotButton="0" quotePrefix="0" xfId="0">
      <alignment horizontal="center" vertical="center"/>
    </xf>
    <xf numFmtId="0" fontId="9" fillId="0" borderId="82" applyAlignment="1" applyProtection="1" pivotButton="0" quotePrefix="0" xfId="0">
      <alignment horizontal="center" vertical="center"/>
      <protection locked="0" hidden="0"/>
    </xf>
    <xf numFmtId="0" fontId="0" fillId="0" borderId="58" applyProtection="1" pivotButton="0" quotePrefix="0" xfId="0">
      <protection locked="0" hidden="0"/>
    </xf>
    <xf numFmtId="0" fontId="0" fillId="0" borderId="4" pivotButton="0" quotePrefix="0" xfId="0"/>
    <xf numFmtId="0" fontId="9" fillId="0" borderId="76" applyAlignment="1" applyProtection="1" pivotButton="0" quotePrefix="0" xfId="0">
      <alignment horizontal="center" vertical="center"/>
      <protection locked="0" hidden="0"/>
    </xf>
    <xf numFmtId="0" fontId="9" fillId="0" borderId="76" applyAlignment="1" pivotButton="0" quotePrefix="0" xfId="0">
      <alignment horizontal="left" wrapText="1"/>
    </xf>
    <xf numFmtId="0" fontId="0" fillId="0" borderId="72" pivotButton="0" quotePrefix="0" xfId="0"/>
    <xf numFmtId="0" fontId="0" fillId="0" borderId="54" pivotButton="0" quotePrefix="0" xfId="0"/>
    <xf numFmtId="0" fontId="0" fillId="0" borderId="36" pivotButton="0" quotePrefix="0" xfId="0"/>
    <xf numFmtId="0" fontId="0" fillId="0" borderId="51" pivotButton="0" quotePrefix="0" xfId="0"/>
    <xf numFmtId="0" fontId="11" fillId="0" borderId="37" applyAlignment="1" pivotButton="0" quotePrefix="1" xfId="1">
      <alignment horizontal="left" vertical="center"/>
    </xf>
    <xf numFmtId="0" fontId="11" fillId="0" borderId="30" applyAlignment="1" applyProtection="1" pivotButton="0" quotePrefix="0" xfId="1">
      <alignment horizontal="center" vertical="center"/>
      <protection locked="0" hidden="0"/>
    </xf>
    <xf numFmtId="0" fontId="14" fillId="0" borderId="37" applyAlignment="1" pivotButton="0" quotePrefix="0" xfId="1">
      <alignment horizontal="center"/>
    </xf>
    <xf numFmtId="0" fontId="0" fillId="0" borderId="56" applyProtection="1" pivotButton="0" quotePrefix="0" xfId="0">
      <protection locked="0" hidden="0"/>
    </xf>
    <xf numFmtId="0" fontId="0" fillId="0" borderId="13" applyProtection="1" pivotButton="0" quotePrefix="0" xfId="0">
      <protection locked="0" hidden="0"/>
    </xf>
    <xf numFmtId="0" fontId="0" fillId="0" borderId="12" applyProtection="1" pivotButton="0" quotePrefix="0" xfId="0">
      <protection locked="0" hidden="0"/>
    </xf>
    <xf numFmtId="0" fontId="9" fillId="0" borderId="73" applyAlignment="1" applyProtection="1" pivotButton="0" quotePrefix="0" xfId="0">
      <alignment horizontal="center" vertical="center"/>
      <protection locked="0" hidden="0"/>
    </xf>
    <xf numFmtId="0" fontId="0" fillId="0" borderId="60" applyProtection="1" pivotButton="0" quotePrefix="0" xfId="0">
      <protection locked="0" hidden="0"/>
    </xf>
    <xf numFmtId="0" fontId="0" fillId="0" borderId="72" applyProtection="1" pivotButton="0" quotePrefix="0" xfId="0">
      <protection locked="0" hidden="0"/>
    </xf>
    <xf numFmtId="0" fontId="9" fillId="0" borderId="48" applyAlignment="1" applyProtection="1" pivotButton="0" quotePrefix="0" xfId="0">
      <alignment horizontal="center" vertical="center"/>
      <protection locked="0" hidden="0"/>
    </xf>
    <xf numFmtId="0" fontId="14" fillId="3" borderId="75" applyAlignment="1" pivotButton="0" quotePrefix="0" xfId="1">
      <alignment horizontal="center"/>
    </xf>
    <xf numFmtId="0" fontId="14" fillId="3" borderId="82" applyAlignment="1" pivotButton="0" quotePrefix="0" xfId="1">
      <alignment horizontal="center" vertical="center" wrapText="1"/>
    </xf>
    <xf numFmtId="0" fontId="0" fillId="0" borderId="58" pivotButton="0" quotePrefix="0" xfId="0"/>
    <xf numFmtId="0" fontId="11" fillId="3" borderId="61" applyAlignment="1" pivotButton="0" quotePrefix="0" xfId="1">
      <alignment horizontal="left" vertical="center" indent="1"/>
    </xf>
    <xf numFmtId="0" fontId="11" fillId="3" borderId="76" applyAlignment="1" pivotButton="0" quotePrefix="0" xfId="1">
      <alignment horizontal="left" vertical="center" wrapText="1" indent="1"/>
    </xf>
    <xf numFmtId="0" fontId="11" fillId="3" borderId="76" applyAlignment="1" pivotButton="0" quotePrefix="0" xfId="1">
      <alignment horizontal="left" vertical="center" indent="1"/>
    </xf>
    <xf numFmtId="0" fontId="9" fillId="3" borderId="77" applyAlignment="1" pivotButton="0" quotePrefix="0" xfId="0">
      <alignment horizontal="left" wrapText="1" indent="1"/>
    </xf>
    <xf numFmtId="0" fontId="14" fillId="3" borderId="75" applyAlignment="1" pivotButton="0" quotePrefix="0" xfId="1">
      <alignment horizontal="left" vertical="center" indent="1"/>
    </xf>
    <xf numFmtId="0" fontId="14" fillId="3" borderId="48" applyAlignment="1" pivotButton="0" quotePrefix="0" xfId="1">
      <alignment horizontal="center"/>
    </xf>
    <xf numFmtId="0" fontId="9" fillId="3" borderId="10" applyAlignment="1" applyProtection="1" pivotButton="0" quotePrefix="0" xfId="0">
      <alignment horizontal="center" vertical="center"/>
      <protection locked="0" hidden="0"/>
    </xf>
    <xf numFmtId="0" fontId="0" fillId="0" borderId="17" applyProtection="1" pivotButton="0" quotePrefix="0" xfId="0">
      <protection locked="0" hidden="0"/>
    </xf>
    <xf numFmtId="0" fontId="0" fillId="0" borderId="4" applyProtection="1" pivotButton="0" quotePrefix="0" xfId="0">
      <protection locked="0" hidden="0"/>
    </xf>
    <xf numFmtId="0" fontId="0" fillId="0" borderId="9" applyProtection="1" pivotButton="0" quotePrefix="0" xfId="0">
      <protection locked="0" hidden="0"/>
    </xf>
    <xf numFmtId="0" fontId="0" fillId="0" borderId="28" pivotButton="0" quotePrefix="0" xfId="0"/>
    <xf numFmtId="0" fontId="0" fillId="0" borderId="36" applyProtection="1" pivotButton="0" quotePrefix="0" xfId="0">
      <protection locked="0" hidden="0"/>
    </xf>
    <xf numFmtId="0" fontId="14" fillId="0" borderId="75" applyAlignment="1" pivotButton="0" quotePrefix="0" xfId="1">
      <alignment horizontal="center" wrapText="1"/>
    </xf>
    <xf numFmtId="0" fontId="11" fillId="0" borderId="61" applyAlignment="1" pivotButton="0" quotePrefix="0" xfId="1">
      <alignment horizontal="left" vertical="center" wrapText="1" indent="1"/>
    </xf>
    <xf numFmtId="0" fontId="11" fillId="3" borderId="22"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1"/>
    </xf>
    <xf numFmtId="0" fontId="9" fillId="0" borderId="77" applyAlignment="1" pivotButton="0" quotePrefix="0" xfId="0">
      <alignment horizontal="left" wrapText="1" indent="1"/>
    </xf>
    <xf numFmtId="0" fontId="14" fillId="0" borderId="75" applyAlignment="1" pivotButton="0" quotePrefix="0" xfId="1">
      <alignment horizontal="left" vertical="center" indent="1"/>
    </xf>
    <xf numFmtId="0" fontId="10" fillId="0" borderId="61" applyAlignment="1" pivotButton="0" quotePrefix="0" xfId="0">
      <alignment horizontal="left" wrapText="1" indent="1"/>
    </xf>
    <xf numFmtId="0" fontId="10" fillId="0" borderId="77" applyAlignment="1" pivotButton="0" quotePrefix="0" xfId="0">
      <alignment horizontal="left" wrapText="1" indent="1"/>
    </xf>
    <xf numFmtId="0" fontId="14" fillId="0" borderId="61" applyAlignment="1" pivotButton="0" quotePrefix="0" xfId="1">
      <alignment horizontal="center" wrapText="1"/>
    </xf>
    <xf numFmtId="0" fontId="14" fillId="0" borderId="34" applyAlignment="1" pivotButton="0" quotePrefix="0" xfId="1">
      <alignment horizontal="center" wrapText="1"/>
    </xf>
    <xf numFmtId="0" fontId="11" fillId="3" borderId="75" applyAlignment="1" pivotButton="0" quotePrefix="0" xfId="1">
      <alignment horizontal="center" vertical="center"/>
    </xf>
    <xf numFmtId="0" fontId="11" fillId="0" borderId="48" applyAlignment="1" applyProtection="1" pivotButton="0" quotePrefix="0" xfId="1">
      <alignment horizontal="center" vertical="center"/>
      <protection locked="0" hidden="0"/>
    </xf>
    <xf numFmtId="0" fontId="11" fillId="0" borderId="61" applyAlignment="1" pivotButton="0" quotePrefix="0" xfId="1">
      <alignment horizontal="left" vertical="center" indent="1"/>
    </xf>
    <xf numFmtId="0" fontId="11" fillId="0" borderId="76" applyAlignment="1" pivotButton="0" quotePrefix="0" xfId="1">
      <alignment horizontal="left" vertical="center" indent="1"/>
    </xf>
    <xf numFmtId="0" fontId="11" fillId="0" borderId="77" applyAlignment="1" pivotButton="0" quotePrefix="0" xfId="1">
      <alignment horizontal="left" vertical="center" indent="1"/>
    </xf>
    <xf numFmtId="0" fontId="14" fillId="0" borderId="18" applyAlignment="1" pivotButton="0" quotePrefix="0" xfId="1">
      <alignment horizontal="center"/>
    </xf>
    <xf numFmtId="0" fontId="0" fillId="0" borderId="25" pivotButton="0" quotePrefix="0" xfId="0"/>
    <xf numFmtId="0" fontId="11" fillId="0" borderId="21" applyAlignment="1" applyProtection="1" pivotButton="0" quotePrefix="0" xfId="1">
      <alignment horizontal="center" vertical="center"/>
      <protection locked="0" hidden="0"/>
    </xf>
    <xf numFmtId="0" fontId="11" fillId="0" borderId="77" applyAlignment="1" pivotButton="0" quotePrefix="0" xfId="1">
      <alignment horizontal="left" vertical="center" wrapText="1" indent="1"/>
    </xf>
    <xf numFmtId="0" fontId="11" fillId="0" borderId="61" applyAlignment="1" pivotButton="0" quotePrefix="0" xfId="1">
      <alignment horizontal="left" wrapText="1" indent="1"/>
    </xf>
    <xf numFmtId="0" fontId="11" fillId="0" borderId="30" applyAlignment="1" applyProtection="1" pivotButton="0" quotePrefix="0" xfId="1">
      <alignment horizontal="center" vertical="center" wrapText="1"/>
      <protection locked="0" hidden="0"/>
    </xf>
    <xf numFmtId="0" fontId="11" fillId="0" borderId="76" applyAlignment="1" pivotButton="0" quotePrefix="0" xfId="1">
      <alignment horizontal="left" wrapText="1" indent="1"/>
    </xf>
    <xf numFmtId="0" fontId="11" fillId="0" borderId="31" applyAlignment="1" applyProtection="1" pivotButton="0" quotePrefix="0" xfId="1">
      <alignment horizontal="center" vertical="center" wrapText="1"/>
      <protection locked="0" hidden="0"/>
    </xf>
    <xf numFmtId="0" fontId="0" fillId="0" borderId="103" pivotButton="0" quotePrefix="0" xfId="0"/>
    <xf numFmtId="165" fontId="11" fillId="0" borderId="30" applyAlignment="1" applyProtection="1" pivotButton="0" quotePrefix="0" xfId="1">
      <alignment horizontal="center" vertical="center"/>
      <protection locked="0" hidden="0"/>
    </xf>
    <xf numFmtId="165" fontId="11" fillId="0" borderId="34" applyAlignment="1" applyProtection="1" pivotButton="0" quotePrefix="0" xfId="1">
      <alignment horizontal="center" vertical="center"/>
      <protection locked="0" hidden="0"/>
    </xf>
    <xf numFmtId="165" fontId="14" fillId="0" borderId="48" applyAlignment="1" pivotButton="0" quotePrefix="0" xfId="1">
      <alignment horizontal="center" vertical="center"/>
    </xf>
    <xf numFmtId="0" fontId="0" fillId="0" borderId="28" applyProtection="1" pivotButton="0" quotePrefix="0" xfId="0">
      <protection locked="0" hidden="0"/>
    </xf>
    <xf numFmtId="0" fontId="14" fillId="0" borderId="75" applyAlignment="1" pivotButton="0" quotePrefix="0" xfId="1">
      <alignment horizontal="left" vertical="center" wrapText="1" indent="1"/>
    </xf>
    <xf numFmtId="0" fontId="14" fillId="0" borderId="48" applyAlignment="1" pivotButton="0" quotePrefix="0" xfId="1">
      <alignment horizontal="center" vertical="center"/>
    </xf>
    <xf numFmtId="0" fontId="14" fillId="0" borderId="75" applyAlignment="1" pivotButton="0" quotePrefix="0" xfId="1">
      <alignment horizontal="center"/>
    </xf>
    <xf numFmtId="0" fontId="14" fillId="0" borderId="61" applyAlignment="1" pivotButton="0" quotePrefix="0" xfId="1">
      <alignment horizontal="center" vertical="center" wrapText="1"/>
    </xf>
    <xf numFmtId="0" fontId="10" fillId="0" borderId="47" applyAlignment="1" pivotButton="0" quotePrefix="0" xfId="0">
      <alignment horizontal="center" wrapText="1"/>
    </xf>
    <xf numFmtId="0" fontId="10" fillId="0" borderId="10" applyAlignment="1" pivotButton="0" quotePrefix="0" xfId="0">
      <alignment horizontal="center" wrapText="1"/>
    </xf>
    <xf numFmtId="0" fontId="10" fillId="0" borderId="48" applyAlignment="1" pivotButton="0" quotePrefix="0" xfId="0">
      <alignment horizontal="center" wrapText="1"/>
    </xf>
    <xf numFmtId="0" fontId="9" fillId="0" borderId="78" applyAlignment="1" applyProtection="1" pivotButton="0" quotePrefix="0" xfId="0">
      <alignment horizontal="center" vertical="center"/>
      <protection locked="0" hidden="0"/>
    </xf>
    <xf numFmtId="0" fontId="0" fillId="0" borderId="27" applyProtection="1" pivotButton="0" quotePrefix="0" xfId="0">
      <protection locked="0" hidden="0"/>
    </xf>
    <xf numFmtId="0" fontId="10" fillId="3" borderId="61" applyAlignment="1" pivotButton="0" quotePrefix="0" xfId="0">
      <alignment horizontal="center"/>
    </xf>
    <xf numFmtId="0" fontId="0" fillId="0" borderId="26" applyProtection="1" pivotButton="0" quotePrefix="0" xfId="0">
      <protection locked="0" hidden="0"/>
    </xf>
    <xf numFmtId="0" fontId="9" fillId="3" borderId="78" applyAlignment="1" applyProtection="1" pivotButton="0" quotePrefix="0" xfId="0">
      <alignment horizontal="center" vertical="center"/>
      <protection locked="0" hidden="0"/>
    </xf>
    <xf numFmtId="0" fontId="10" fillId="0" borderId="80" applyAlignment="1" pivotButton="0" quotePrefix="0" xfId="0">
      <alignment horizontal="center"/>
    </xf>
    <xf numFmtId="0" fontId="10" fillId="0" borderId="78" applyAlignment="1" pivotButton="0" quotePrefix="0" xfId="0">
      <alignment horizontal="center"/>
    </xf>
    <xf numFmtId="0" fontId="9" fillId="0" borderId="59" applyAlignment="1" applyProtection="1" pivotButton="0" quotePrefix="0" xfId="0">
      <alignment horizontal="center" vertical="center"/>
      <protection locked="0" hidden="0"/>
    </xf>
    <xf numFmtId="0" fontId="0" fillId="0" borderId="51" applyProtection="1" pivotButton="0" quotePrefix="0" xfId="0">
      <protection locked="0" hidden="0"/>
    </xf>
    <xf numFmtId="0" fontId="14" fillId="3" borderId="75" applyAlignment="1" pivotButton="0" quotePrefix="0" xfId="1">
      <alignment horizontal="center" wrapText="1"/>
    </xf>
    <xf numFmtId="0" fontId="11" fillId="3" borderId="75" applyAlignment="1" applyProtection="1" pivotButton="0" quotePrefix="0" xfId="1">
      <alignment horizontal="center" vertical="center"/>
      <protection locked="0" hidden="0"/>
    </xf>
    <xf numFmtId="0" fontId="14" fillId="0" borderId="75" applyAlignment="1" pivotButton="0" quotePrefix="0" xfId="1">
      <alignment horizontal="center" vertical="center"/>
    </xf>
    <xf numFmtId="164" fontId="11" fillId="0" borderId="61" applyAlignment="1" applyProtection="1" pivotButton="0" quotePrefix="0" xfId="1">
      <alignment horizontal="center" vertical="center"/>
      <protection locked="0" hidden="0"/>
    </xf>
    <xf numFmtId="164" fontId="11" fillId="0" borderId="76"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2"/>
    </xf>
    <xf numFmtId="164" fontId="11" fillId="0" borderId="77" applyAlignment="1" pivotButton="0" quotePrefix="0" xfId="1">
      <alignment horizontal="center" vertical="center"/>
    </xf>
    <xf numFmtId="164" fontId="11" fillId="0" borderId="77" applyAlignment="1" applyProtection="1" pivotButton="0" quotePrefix="0" xfId="1">
      <alignment horizontal="center" vertical="center"/>
      <protection locked="0" hidden="0"/>
    </xf>
    <xf numFmtId="164" fontId="14" fillId="3" borderId="75" applyAlignment="1" pivotButton="0" quotePrefix="0" xfId="1">
      <alignment horizontal="center" vertical="center"/>
    </xf>
    <xf numFmtId="166" fontId="11" fillId="3" borderId="61" applyAlignment="1" applyProtection="1" pivotButton="0" quotePrefix="0" xfId="1">
      <alignment horizontal="center" vertical="center"/>
      <protection locked="0" hidden="0"/>
    </xf>
    <xf numFmtId="166" fontId="11" fillId="3" borderId="76" applyAlignment="1" applyProtection="1" pivotButton="0" quotePrefix="0" xfId="1">
      <alignment horizontal="center" vertical="center"/>
      <protection locked="0" hidden="0"/>
    </xf>
    <xf numFmtId="166" fontId="11" fillId="3" borderId="77" applyAlignment="1" applyProtection="1" pivotButton="0" quotePrefix="0" xfId="1">
      <alignment horizontal="center" vertical="center"/>
      <protection locked="0" hidden="0"/>
    </xf>
    <xf numFmtId="166" fontId="14" fillId="3" borderId="75" applyAlignment="1" pivotButton="0" quotePrefix="0" xfId="1">
      <alignment horizontal="center" vertical="center"/>
    </xf>
    <xf numFmtId="0" fontId="1" fillId="3" borderId="45" applyAlignment="1" pivotButton="0" quotePrefix="0" xfId="0">
      <alignment horizontal="center"/>
    </xf>
    <xf numFmtId="0" fontId="9" fillId="3" borderId="76" applyAlignment="1" pivotButton="0" quotePrefix="0" xfId="0">
      <alignment horizontal="center"/>
    </xf>
    <xf numFmtId="0" fontId="9" fillId="3" borderId="76" applyAlignment="1" applyProtection="1" pivotButton="0" quotePrefix="0" xfId="0">
      <alignment horizontal="center"/>
      <protection locked="0" hidden="0"/>
    </xf>
    <xf numFmtId="0" fontId="9" fillId="3" borderId="77" applyAlignment="1" applyProtection="1" pivotButton="0" quotePrefix="0" xfId="0">
      <alignment horizontal="center"/>
      <protection locked="0" hidden="0"/>
    </xf>
    <xf numFmtId="0" fontId="9" fillId="3" borderId="99" applyAlignment="1" pivotButton="0" quotePrefix="0" xfId="0">
      <alignment horizontal="left" vertical="center" indent="1"/>
    </xf>
    <xf numFmtId="0" fontId="9" fillId="3" borderId="61" applyAlignment="1" applyProtection="1" pivotButton="0" quotePrefix="0" xfId="0">
      <alignment horizontal="center"/>
      <protection locked="0" hidden="0"/>
    </xf>
    <xf numFmtId="0" fontId="9" fillId="3" borderId="48" applyAlignment="1" applyProtection="1" pivotButton="0" quotePrefix="0" xfId="0">
      <alignment horizontal="center"/>
      <protection locked="0" hidden="0"/>
    </xf>
    <xf numFmtId="0" fontId="11" fillId="3" borderId="77" applyAlignment="1" pivotButton="0" quotePrefix="0" xfId="1">
      <alignment horizontal="left" vertical="center" wrapText="1" indent="1"/>
    </xf>
    <xf numFmtId="0" fontId="14" fillId="3" borderId="75" applyAlignment="1" pivotButton="0" quotePrefix="0" xfId="1">
      <alignment horizontal="center" vertical="center" wrapText="1"/>
    </xf>
    <xf numFmtId="0" fontId="14" fillId="3" borderId="61" applyAlignment="1" pivotButton="0" quotePrefix="0" xfId="1">
      <alignment horizontal="center" vertical="center" wrapText="1"/>
    </xf>
    <xf numFmtId="0" fontId="14" fillId="3" borderId="37" applyAlignment="1" pivotButton="0" quotePrefix="0" xfId="1">
      <alignment horizontal="center" wrapText="1"/>
    </xf>
    <xf numFmtId="0" fontId="14" fillId="3" borderId="18" applyAlignment="1" pivotButton="0" quotePrefix="0" xfId="1">
      <alignment horizontal="center" wrapText="1"/>
    </xf>
    <xf numFmtId="0" fontId="14" fillId="3" borderId="34" applyAlignment="1" pivotButton="0" quotePrefix="0" xfId="1">
      <alignment horizontal="center" wrapText="1"/>
    </xf>
    <xf numFmtId="0" fontId="11" fillId="3" borderId="47" applyAlignment="1" applyProtection="1" pivotButton="0" quotePrefix="0" xfId="1">
      <alignment horizontal="center" vertical="center"/>
      <protection locked="0" hidden="0"/>
    </xf>
    <xf numFmtId="0" fontId="11" fillId="3" borderId="10" applyAlignment="1" applyProtection="1" pivotButton="0" quotePrefix="0" xfId="1">
      <alignment horizontal="center" vertical="center"/>
      <protection locked="0" hidden="0"/>
    </xf>
    <xf numFmtId="0" fontId="11" fillId="3" borderId="48" applyAlignment="1" applyProtection="1" pivotButton="0" quotePrefix="0" xfId="1">
      <alignment horizontal="center" vertical="center"/>
      <protection locked="0" hidden="0"/>
    </xf>
    <xf numFmtId="0" fontId="5" fillId="3" borderId="22" applyAlignment="1" pivotButton="0" quotePrefix="0" xfId="0">
      <alignment horizontal="center"/>
    </xf>
    <xf numFmtId="0" fontId="5" fillId="3" borderId="21" applyAlignment="1" pivotButton="0" quotePrefix="0" xfId="0">
      <alignment horizontal="center"/>
    </xf>
    <xf numFmtId="0" fontId="0" fillId="0" borderId="50" pivotButton="0" quotePrefix="0" xfId="0"/>
    <xf numFmtId="0" fontId="0" fillId="0" borderId="49" pivotButton="0" quotePrefix="0" xfId="0"/>
    <xf numFmtId="0" fontId="0" fillId="0" borderId="57" pivotButton="0" quotePrefix="0" xfId="0"/>
    <xf numFmtId="0" fontId="0" fillId="0" borderId="39" pivotButton="0" quotePrefix="0" xfId="0"/>
    <xf numFmtId="0" fontId="0" fillId="0" borderId="14" pivotButton="0" quotePrefix="0" xfId="0"/>
    <xf numFmtId="0" fontId="9" fillId="3" borderId="80" applyAlignment="1" applyProtection="1" pivotButton="0" quotePrefix="0" xfId="0">
      <alignment horizontal="center" vertical="center"/>
      <protection locked="0" hidden="0"/>
    </xf>
    <xf numFmtId="0" fontId="9" fillId="3" borderId="59" applyAlignment="1" applyProtection="1" pivotButton="0" quotePrefix="0" xfId="0">
      <alignment horizontal="center" vertical="center" wrapText="1"/>
      <protection locked="0" hidden="0"/>
    </xf>
    <xf numFmtId="0" fontId="5" fillId="3" borderId="104" applyAlignment="1" pivotButton="0" quotePrefix="0" xfId="0">
      <alignment horizontal="center"/>
    </xf>
    <xf numFmtId="0" fontId="0" fillId="0" borderId="83" pivotButton="0" quotePrefix="0" xfId="0"/>
    <xf numFmtId="0" fontId="0" fillId="0" borderId="88" pivotButton="0" quotePrefix="0" xfId="0"/>
    <xf numFmtId="0" fontId="0" fillId="0" borderId="106" pivotButton="0" quotePrefix="0" xfId="0"/>
    <xf numFmtId="0" fontId="11" fillId="3" borderId="82" applyAlignment="1" pivotButton="0" quotePrefix="0" xfId="1">
      <alignment horizontal="left" vertical="center" indent="1"/>
    </xf>
    <xf numFmtId="0" fontId="0" fillId="0" borderId="0" applyProtection="1" pivotButton="0" quotePrefix="0" xfId="0">
      <protection locked="0" hidden="0"/>
    </xf>
    <xf numFmtId="0" fontId="11" fillId="3" borderId="100" applyAlignment="1" pivotButton="0" quotePrefix="0" xfId="1">
      <alignment horizontal="left" vertical="center" indent="1"/>
    </xf>
    <xf numFmtId="0" fontId="11" fillId="3" borderId="77" applyAlignment="1" pivotButton="0" quotePrefix="0" xfId="1">
      <alignment horizontal="left" vertical="center" indent="1"/>
    </xf>
    <xf numFmtId="0" fontId="11" fillId="2" borderId="20" applyAlignment="1" pivotButton="0" quotePrefix="0" xfId="1">
      <alignment horizontal="center" vertical="center"/>
    </xf>
    <xf numFmtId="0" fontId="0" fillId="0" borderId="24" applyProtection="1" pivotButton="0" quotePrefix="0" xfId="0">
      <protection locked="0" hidden="0"/>
    </xf>
    <xf numFmtId="0" fontId="14" fillId="0" borderId="107" applyAlignment="1" pivotButton="0" quotePrefix="0" xfId="1">
      <alignment horizontal="center" vertical="center"/>
    </xf>
    <xf numFmtId="0" fontId="11" fillId="0" borderId="108" applyAlignment="1" applyProtection="1" pivotButton="0" quotePrefix="0" xfId="1">
      <alignment horizontal="center" vertical="center"/>
      <protection locked="0" hidden="0"/>
    </xf>
    <xf numFmtId="0" fontId="0" fillId="0" borderId="92" applyProtection="1" pivotButton="0" quotePrefix="0" xfId="0">
      <protection locked="0" hidden="0"/>
    </xf>
    <xf numFmtId="0" fontId="11" fillId="0" borderId="111" applyAlignment="1" applyProtection="1" pivotButton="0" quotePrefix="0" xfId="1">
      <alignment horizontal="center" vertical="center"/>
      <protection locked="0" hidden="0"/>
    </xf>
    <xf numFmtId="0" fontId="0" fillId="0" borderId="113" applyProtection="1" pivotButton="0" quotePrefix="0" xfId="0">
      <protection locked="0" hidden="0"/>
    </xf>
    <xf numFmtId="0" fontId="0" fillId="0" borderId="114" applyProtection="1" pivotButton="0" quotePrefix="0" xfId="0">
      <protection locked="0" hidden="0"/>
    </xf>
    <xf numFmtId="0" fontId="11" fillId="0" borderId="34" applyAlignment="1" applyProtection="1" pivotButton="0" quotePrefix="0" xfId="1">
      <alignment horizontal="center" vertical="center" wrapText="1"/>
      <protection locked="0" hidden="0"/>
    </xf>
    <xf numFmtId="0" fontId="9" fillId="3" borderId="115" applyAlignment="1" pivotButton="0" quotePrefix="0" xfId="0">
      <alignment horizontal="left" wrapText="1" indent="1"/>
    </xf>
    <xf numFmtId="0" fontId="0" fillId="0" borderId="66" pivotButton="0" quotePrefix="0" xfId="0"/>
    <xf numFmtId="0" fontId="14" fillId="3" borderId="47" applyAlignment="1" pivotButton="0" quotePrefix="0" xfId="1">
      <alignment horizontal="center" vertical="center" wrapText="1"/>
    </xf>
    <xf numFmtId="0" fontId="11" fillId="3" borderId="80" applyAlignment="1" applyProtection="1" pivotButton="0" quotePrefix="0" xfId="1">
      <alignment horizontal="center" vertical="center"/>
      <protection locked="0" hidden="0"/>
    </xf>
    <xf numFmtId="0" fontId="11" fillId="3" borderId="79" applyAlignment="1" pivotButton="0" quotePrefix="0" xfId="1">
      <alignment horizontal="center" vertical="center"/>
    </xf>
    <xf numFmtId="0" fontId="9" fillId="3" borderId="61" applyAlignment="1" pivotButton="0" quotePrefix="0" xfId="0">
      <alignment horizontal="left"/>
    </xf>
    <xf numFmtId="0" fontId="26" fillId="3" borderId="30" applyAlignment="1" applyProtection="1" pivotButton="0" quotePrefix="0" xfId="0">
      <alignment horizontal="center"/>
      <protection locked="0" hidden="0"/>
    </xf>
    <xf numFmtId="0" fontId="26" fillId="3" borderId="78" applyAlignment="1" applyProtection="1" pivotButton="0" quotePrefix="0" xfId="0">
      <alignment horizontal="center"/>
      <protection locked="0" hidden="0"/>
    </xf>
    <xf numFmtId="164" fontId="11" fillId="3" borderId="45" applyAlignment="1" pivotButton="0" quotePrefix="0" xfId="1">
      <alignment horizontal="center" vertical="center"/>
    </xf>
  </cellXfs>
  <cellStyles count="2">
    <cellStyle name="Normal" xfId="0" builtinId="0"/>
    <cellStyle name="Normal 2" xfId="1"/>
  </cellStyles>
  <dxfs count="274">
    <dxf>
      <font>
        <color theme="0"/>
      </font>
    </dxf>
    <dxf>
      <font>
        <color rgb="FFFF0000"/>
      </font>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from>
      <col>0</col>
      <colOff>0</colOff>
      <row>0</row>
      <rowOff>9525</rowOff>
    </from>
    <to>
      <col>4</col>
      <colOff>27000</colOff>
      <row>1</row>
      <rowOff>85725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9525"/>
          <a:ext cx="2293950" cy="25717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66675</colOff>
      <row>0</row>
      <rowOff>38100</rowOff>
    </from>
    <to>
      <col>4</col>
      <colOff>93675</colOff>
      <row>1</row>
      <rowOff>76725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66675" y="38100"/>
          <a:ext cx="2284425" cy="2196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T408"/>
  <sheetViews>
    <sheetView showGridLines="0" tabSelected="1" showWhiteSpace="0" topLeftCell="A180" zoomScale="90" zoomScaleNormal="90" zoomScaleSheetLayoutView="90" zoomScalePageLayoutView="120" workbookViewId="0">
      <selection activeCell="H14" sqref="H14:J14"/>
    </sheetView>
  </sheetViews>
  <sheetFormatPr baseColWidth="8" defaultColWidth="9" defaultRowHeight="14.25"/>
  <cols>
    <col width="9" customWidth="1" style="25" min="1" max="1"/>
    <col width="8.5703125" customWidth="1" style="25" min="2" max="2"/>
    <col width="9" customWidth="1" style="25" min="3" max="3"/>
    <col width="9.85546875" customWidth="1" style="25" min="4" max="4"/>
    <col width="9.5703125" customWidth="1" style="25" min="5" max="5"/>
    <col width="10.140625" customWidth="1" style="25" min="6" max="6"/>
    <col width="9.140625" customWidth="1" style="25" min="7" max="7"/>
    <col width="10.28515625" customWidth="1" style="25" min="8" max="8"/>
    <col width="9.42578125" customWidth="1" style="25" min="9" max="10"/>
    <col width="9" customWidth="1" style="25" min="11" max="11"/>
    <col width="10.140625" customWidth="1" style="25" min="12" max="12"/>
    <col width="9" customWidth="1" style="334" min="13" max="32"/>
    <col width="9" customWidth="1" style="25" min="33" max="16384"/>
  </cols>
  <sheetData>
    <row r="1" ht="14.25" customHeight="1">
      <c r="AA1" s="334" t="inlineStr">
        <is>
          <t>JDURAND - 2022-05-13 15:03</t>
        </is>
      </c>
    </row>
    <row r="2" ht="14.25" customHeight="1">
      <c r="H2" s="26" t="n"/>
    </row>
    <row r="3" ht="15" customHeight="1"/>
    <row r="4" ht="18.75" customHeight="1">
      <c r="A4" s="694" t="inlineStr">
        <is>
          <t>Statistical Report on the Access to Information Act</t>
        </is>
      </c>
    </row>
    <row r="5" ht="14.25" customHeight="1"/>
    <row r="6" ht="14.25" customHeight="1">
      <c r="A6" s="374" t="inlineStr">
        <is>
          <t>Name of institution:</t>
        </is>
      </c>
      <c r="D6" s="919" t="n"/>
      <c r="E6" s="1330" t="n"/>
      <c r="F6" s="1330" t="n"/>
      <c r="G6" s="1330" t="n"/>
      <c r="H6" s="1330" t="n"/>
      <c r="I6" s="1330" t="n"/>
      <c r="J6" s="30" t="n"/>
      <c r="M6" s="348" t="inlineStr">
        <is>
          <t>You must enter an Institution name</t>
        </is>
      </c>
    </row>
    <row r="7" ht="14.25" customHeight="1"/>
    <row r="8" ht="15" customHeight="1">
      <c r="A8" s="374" t="inlineStr">
        <is>
          <t>Reporting period:</t>
        </is>
      </c>
      <c r="D8" s="1328" t="n">
        <v>45383</v>
      </c>
      <c r="E8" s="1331" t="n"/>
      <c r="F8" s="1331" t="n"/>
      <c r="G8" s="826" t="inlineStr">
        <is>
          <t>to</t>
        </is>
      </c>
      <c r="H8" s="1328" t="n">
        <v>45747</v>
      </c>
      <c r="I8" s="1331" t="n"/>
      <c r="J8" s="1331" t="n"/>
    </row>
    <row r="9" ht="14.25" customHeight="1"/>
    <row r="10" ht="14.25" customHeight="1">
      <c r="A10" s="713" t="inlineStr">
        <is>
          <t>Section 1: Requests Under the Access to Information Act</t>
        </is>
      </c>
    </row>
    <row r="11" ht="14.25" customHeight="1"/>
    <row r="12" ht="14.25" customHeight="1" thickBot="1">
      <c r="A12" s="349" t="inlineStr">
        <is>
          <t>1.1  Number of requests</t>
        </is>
      </c>
      <c r="M12" s="350" t="n"/>
    </row>
    <row r="13" ht="14.25" customHeight="1" thickBot="1" thickTop="1">
      <c r="A13" s="28" t="n"/>
      <c r="B13" s="28" t="n"/>
      <c r="C13" s="28" t="n"/>
      <c r="D13" s="28" t="n"/>
      <c r="E13" s="28" t="n"/>
      <c r="F13" s="28" t="n"/>
      <c r="G13" s="202" t="n"/>
      <c r="H13" s="1332" t="inlineStr">
        <is>
          <t>Number of Requests</t>
        </is>
      </c>
      <c r="I13" s="1333" t="n"/>
      <c r="J13" s="1334" t="n"/>
      <c r="K13" s="29" t="n"/>
      <c r="N13" s="350" t="n"/>
      <c r="O13" s="350" t="n"/>
      <c r="P13" s="350" t="n"/>
      <c r="Q13" s="350" t="n"/>
      <c r="R13" s="350" t="n"/>
      <c r="S13" s="350" t="n"/>
      <c r="T13" s="350" t="n"/>
      <c r="U13" s="350" t="n"/>
      <c r="V13" s="350" t="n"/>
      <c r="W13" s="350" t="n"/>
      <c r="X13" s="350" t="n"/>
      <c r="Y13" s="350" t="n"/>
      <c r="Z13" s="350" t="n"/>
      <c r="AA13" s="350" t="n"/>
      <c r="AB13" s="350" t="n"/>
      <c r="AC13" s="350" t="n"/>
      <c r="AD13" s="350" t="n"/>
      <c r="AE13" s="350" t="n"/>
      <c r="AF13" s="350" t="n"/>
      <c r="AG13" s="30" t="n"/>
      <c r="AH13" s="30" t="n"/>
      <c r="AI13" s="30" t="n"/>
      <c r="AJ13" s="30" t="n"/>
      <c r="AK13" s="30" t="n"/>
    </row>
    <row r="14" ht="14.25" customHeight="1" thickTop="1">
      <c r="A14" s="1335" t="inlineStr">
        <is>
          <t>Received during reporting period</t>
        </is>
      </c>
      <c r="B14" s="1336" t="n"/>
      <c r="C14" s="1336" t="n"/>
      <c r="D14" s="1336" t="n"/>
      <c r="E14" s="1336" t="n"/>
      <c r="F14" s="1336" t="n"/>
      <c r="G14" s="1337" t="n"/>
      <c r="H14" s="1338" t="n">
        <v>0</v>
      </c>
      <c r="I14" s="1339" t="n"/>
      <c r="J14" s="1340" t="n"/>
      <c r="K14" s="30" t="n"/>
      <c r="M14" s="350">
        <f>IF(H14&lt;0,"Section 1.1 - Number of received requests cannot be negative","")</f>
        <v/>
      </c>
      <c r="AG14" s="30" t="n"/>
      <c r="AH14" s="30" t="n"/>
      <c r="AI14" s="30" t="n"/>
      <c r="AJ14" s="30" t="n"/>
      <c r="AK14" s="30" t="n"/>
    </row>
    <row r="15" ht="14.25" customHeight="1" thickBot="1">
      <c r="A15" s="1341" t="inlineStr">
        <is>
          <t>Outstanding from previous reporting periods</t>
        </is>
      </c>
      <c r="B15" s="1342" t="n"/>
      <c r="C15" s="1342" t="n"/>
      <c r="D15" s="1342" t="n"/>
      <c r="E15" s="1342" t="n"/>
      <c r="F15" s="1342" t="n"/>
      <c r="G15" s="1343" t="n"/>
      <c r="H15" s="1344">
        <f>SUM(G16:G17)</f>
        <v/>
      </c>
      <c r="I15" s="1342" t="n"/>
      <c r="J15" s="1343" t="n"/>
      <c r="K15" s="30" t="n"/>
      <c r="M15" s="350">
        <f>IF(H15&lt;0,"Section 1.1 - Number of outstanding requests from previous reporting periods cannot be negative","")</f>
        <v/>
      </c>
      <c r="AG15" s="30" t="n"/>
      <c r="AH15" s="30" t="n"/>
      <c r="AI15" s="30" t="n"/>
      <c r="AJ15" s="30" t="n"/>
      <c r="AK15" s="30" t="n"/>
    </row>
    <row r="16" ht="14.25" customHeight="1" thickTop="1">
      <c r="A16" s="1345" t="inlineStr">
        <is>
          <t>• Outstanding from previous reporting period</t>
        </is>
      </c>
      <c r="B16" s="1342" t="n"/>
      <c r="C16" s="1342" t="n"/>
      <c r="D16" s="1342" t="n"/>
      <c r="E16" s="1342" t="n"/>
      <c r="F16" s="1343" t="n"/>
      <c r="G16" s="313" t="n">
        <v>0</v>
      </c>
      <c r="H16" s="1346" t="n"/>
      <c r="I16" s="1347" t="n"/>
      <c r="J16" s="1347" t="n"/>
      <c r="K16" s="205" t="n"/>
      <c r="M16" s="350">
        <f>IF(H16&lt;0,"Section 1.1 - Number of ""Outstanding requests from previous reporting periods"" cannot be negative","")</f>
        <v/>
      </c>
      <c r="AG16" s="30" t="n"/>
      <c r="AH16" s="30" t="n"/>
      <c r="AI16" s="30" t="n"/>
      <c r="AJ16" s="30" t="n"/>
      <c r="AK16" s="30" t="n"/>
    </row>
    <row r="17" ht="14.25" customHeight="1" thickBot="1">
      <c r="A17" s="689" t="inlineStr">
        <is>
          <t>• Outstanding from more than one reporting period</t>
        </is>
      </c>
      <c r="B17" s="1348" t="n"/>
      <c r="C17" s="1348" t="n"/>
      <c r="D17" s="1348" t="n"/>
      <c r="E17" s="1348" t="n"/>
      <c r="F17" s="1348" t="n"/>
      <c r="G17" s="312" t="n">
        <v>0</v>
      </c>
      <c r="H17" s="1349" t="n"/>
      <c r="I17" s="1350" t="n"/>
      <c r="J17" s="1350" t="n"/>
      <c r="K17" s="205" t="n"/>
      <c r="M17" s="350">
        <f>IF(H17&lt;0,"Section 1.1 - Number of outstanding requests from the previous reporting period cannot be negative","")</f>
        <v/>
      </c>
      <c r="AG17" s="30" t="n"/>
      <c r="AH17" s="30" t="n"/>
      <c r="AI17" s="30" t="n"/>
      <c r="AJ17" s="30" t="n"/>
      <c r="AK17" s="30" t="n"/>
    </row>
    <row r="18" ht="14.25" customHeight="1" thickBot="1" thickTop="1">
      <c r="A18" s="1351" t="inlineStr">
        <is>
          <t>Total</t>
        </is>
      </c>
      <c r="B18" s="1333" t="n"/>
      <c r="C18" s="1333" t="n"/>
      <c r="D18" s="1333" t="n"/>
      <c r="E18" s="1333" t="n"/>
      <c r="F18" s="1333" t="n"/>
      <c r="G18" s="1334" t="n"/>
      <c r="H18" s="360">
        <f>SUM(H14:J15)</f>
        <v/>
      </c>
      <c r="I18" s="1333" t="n"/>
      <c r="J18" s="1333" t="n"/>
      <c r="K18" s="204" t="n"/>
      <c r="M18" s="350">
        <f>IF(H18&lt;0,"Section 1.1 - Number of requests cannot be negative","")</f>
        <v/>
      </c>
      <c r="AG18" s="30" t="n"/>
      <c r="AH18" s="30" t="n"/>
      <c r="AI18" s="30" t="n"/>
      <c r="AJ18" s="30" t="n"/>
      <c r="AK18" s="30" t="n"/>
    </row>
    <row r="19" ht="14.25" customHeight="1" thickTop="1">
      <c r="A19" s="1352" t="inlineStr">
        <is>
          <t>Closed during reporting period</t>
        </is>
      </c>
      <c r="B19" s="1353" t="n"/>
      <c r="C19" s="1353" t="n"/>
      <c r="D19" s="1353" t="n"/>
      <c r="E19" s="1353" t="n"/>
      <c r="F19" s="1353" t="n"/>
      <c r="G19" s="1354" t="n"/>
      <c r="H19" s="1338" t="n">
        <v>0</v>
      </c>
      <c r="I19" s="1339" t="n"/>
      <c r="J19" s="1340" t="n"/>
      <c r="K19" s="30" t="n"/>
      <c r="M19" s="350">
        <f>IF(H19&lt;0,"Section 1.1 - Number of requests closed during the reporting period cannot be negative","")</f>
        <v/>
      </c>
      <c r="AG19" s="30" t="n"/>
      <c r="AH19" s="30" t="n"/>
      <c r="AI19" s="30" t="n"/>
      <c r="AJ19" s="30" t="n"/>
      <c r="AK19" s="30" t="n"/>
    </row>
    <row r="20" ht="15" customHeight="1" thickBot="1">
      <c r="A20" s="1355" t="inlineStr">
        <is>
          <t>Carried over to next reporting period</t>
        </is>
      </c>
      <c r="B20" s="1348" t="n"/>
      <c r="C20" s="1348" t="n"/>
      <c r="D20" s="1348" t="n"/>
      <c r="E20" s="1348" t="n"/>
      <c r="F20" s="1348" t="n"/>
      <c r="G20" s="1356" t="n"/>
      <c r="H20" s="351">
        <f>G21+G22</f>
        <v/>
      </c>
      <c r="I20" s="1342" t="n"/>
      <c r="J20" s="1342" t="n"/>
      <c r="K20" s="204" t="n"/>
      <c r="M20" s="366">
        <f>IF(H20&lt;&gt;(H18-H19),"Section 1.1 - The ""Carried over to next reporting period"" must equal to the ""Total"" minus ""Closed during reporting period"" of Section 1.1","")</f>
        <v/>
      </c>
      <c r="AI20" s="30" t="n"/>
      <c r="AJ20" s="30" t="n"/>
      <c r="AK20" s="30" t="n"/>
    </row>
    <row r="21" ht="14.25" customHeight="1" thickTop="1">
      <c r="A21" s="1345" t="inlineStr">
        <is>
          <t>• Carried over within legislated timeline</t>
        </is>
      </c>
      <c r="B21" s="1342" t="n"/>
      <c r="C21" s="1342" t="n"/>
      <c r="D21" s="1342" t="n"/>
      <c r="E21" s="1342" t="n"/>
      <c r="F21" s="1343" t="n"/>
      <c r="G21" s="314" t="n">
        <v>0</v>
      </c>
      <c r="H21" s="1357" t="n"/>
      <c r="I21" s="1347" t="n"/>
      <c r="J21" s="1358" t="n"/>
      <c r="M21" s="350" t="n"/>
      <c r="N21" s="350" t="n"/>
      <c r="O21" s="350" t="n"/>
      <c r="P21" s="350" t="n"/>
      <c r="Q21" s="350" t="n"/>
      <c r="R21" s="350" t="n"/>
      <c r="S21" s="350" t="n"/>
      <c r="T21" s="350" t="n"/>
      <c r="U21" s="350" t="n"/>
      <c r="V21" s="350" t="n"/>
      <c r="W21" s="350" t="n"/>
      <c r="X21" s="350" t="n"/>
      <c r="Y21" s="350" t="n"/>
      <c r="Z21" s="350" t="n"/>
      <c r="AA21" s="350" t="n"/>
      <c r="AB21" s="350" t="n"/>
      <c r="AC21" s="350" t="n"/>
      <c r="AD21" s="350" t="n"/>
      <c r="AE21" s="350" t="n"/>
      <c r="AF21" s="350" t="n"/>
      <c r="AG21" s="30" t="n"/>
      <c r="AH21" s="30" t="n"/>
      <c r="AI21" s="30" t="n"/>
      <c r="AJ21" s="30" t="n"/>
      <c r="AK21" s="30" t="n"/>
    </row>
    <row r="22" ht="14.25" customHeight="1" thickBot="1">
      <c r="A22" s="689" t="inlineStr">
        <is>
          <t>• Carried over beyond legislated timeline</t>
        </is>
      </c>
      <c r="B22" s="1348" t="n"/>
      <c r="C22" s="1348" t="n"/>
      <c r="D22" s="1348" t="n"/>
      <c r="E22" s="1348" t="n"/>
      <c r="F22" s="1348" t="n"/>
      <c r="G22" s="312" t="n">
        <v>0</v>
      </c>
      <c r="H22" s="1359" t="n"/>
      <c r="J22" s="1360" t="n"/>
      <c r="M22" s="350" t="n"/>
      <c r="N22" s="350" t="n"/>
      <c r="O22" s="350" t="n"/>
      <c r="P22" s="350" t="n"/>
      <c r="Q22" s="350" t="n"/>
      <c r="R22" s="350" t="n"/>
      <c r="S22" s="350" t="n"/>
      <c r="T22" s="350" t="n"/>
      <c r="U22" s="350" t="n"/>
      <c r="V22" s="350" t="n"/>
      <c r="W22" s="350" t="n"/>
      <c r="X22" s="350" t="n"/>
      <c r="Y22" s="350" t="n"/>
      <c r="Z22" s="350" t="n"/>
      <c r="AA22" s="350" t="n"/>
      <c r="AB22" s="350" t="n"/>
      <c r="AC22" s="350" t="n"/>
      <c r="AD22" s="350" t="n"/>
      <c r="AE22" s="350" t="n"/>
      <c r="AF22" s="350" t="n"/>
      <c r="AG22" s="30" t="n"/>
      <c r="AH22" s="30" t="n"/>
      <c r="AI22" s="30" t="n"/>
      <c r="AJ22" s="30" t="n"/>
      <c r="AK22" s="30" t="n"/>
    </row>
    <row r="23" ht="14.25" customHeight="1" thickTop="1">
      <c r="A23" s="31" t="n"/>
      <c r="B23" s="31" t="n"/>
      <c r="C23" s="31" t="n"/>
      <c r="D23" s="31" t="n"/>
      <c r="E23" s="31" t="n"/>
      <c r="F23" s="31" t="n"/>
      <c r="G23" s="709" t="n"/>
      <c r="H23" s="206" t="n"/>
      <c r="I23" s="206" t="n"/>
      <c r="J23" s="206" t="n"/>
      <c r="M23" s="350" t="n"/>
      <c r="N23" s="350" t="n"/>
      <c r="O23" s="350" t="n"/>
      <c r="P23" s="350" t="n"/>
      <c r="Q23" s="350" t="n"/>
      <c r="R23" s="350" t="n"/>
      <c r="S23" s="350" t="n"/>
      <c r="T23" s="350" t="n"/>
      <c r="U23" s="350" t="n"/>
      <c r="V23" s="350" t="n"/>
      <c r="W23" s="350" t="n"/>
      <c r="X23" s="350" t="n"/>
      <c r="Y23" s="350" t="n"/>
      <c r="Z23" s="350" t="n"/>
      <c r="AA23" s="350" t="n"/>
      <c r="AB23" s="350" t="n"/>
      <c r="AC23" s="350" t="n"/>
      <c r="AD23" s="350" t="n"/>
      <c r="AE23" s="350" t="n"/>
      <c r="AF23" s="350" t="n"/>
      <c r="AG23" s="30" t="n"/>
      <c r="AH23" s="30" t="n"/>
      <c r="AI23" s="30" t="n"/>
      <c r="AJ23" s="30" t="n"/>
      <c r="AK23" s="30" t="n"/>
    </row>
    <row r="24" ht="14.25" customHeight="1">
      <c r="A24" s="374" t="inlineStr">
        <is>
          <t>1.2  Sources of requests</t>
        </is>
      </c>
      <c r="M24" s="350" t="n"/>
      <c r="N24" s="350" t="n"/>
      <c r="O24" s="350" t="n"/>
      <c r="P24" s="350" t="n"/>
      <c r="Q24" s="350" t="n"/>
      <c r="R24" s="350" t="n"/>
      <c r="S24" s="350" t="n"/>
      <c r="T24" s="350" t="n"/>
      <c r="U24" s="350" t="n"/>
      <c r="V24" s="350" t="n"/>
      <c r="W24" s="350" t="n"/>
      <c r="X24" s="350" t="n"/>
      <c r="Y24" s="350" t="n"/>
      <c r="Z24" s="350" t="n"/>
      <c r="AA24" s="350" t="n"/>
      <c r="AB24" s="350" t="n"/>
      <c r="AC24" s="350" t="n"/>
      <c r="AD24" s="350" t="n"/>
      <c r="AE24" s="350" t="n"/>
      <c r="AF24" s="350" t="n"/>
      <c r="AG24" s="30" t="n"/>
      <c r="AH24" s="30" t="n"/>
      <c r="AI24" s="30" t="n"/>
      <c r="AJ24" s="30" t="n"/>
      <c r="AK24" s="30" t="n"/>
    </row>
    <row r="25" ht="14.25" customHeight="1" thickBot="1">
      <c r="A25" s="31" t="n"/>
      <c r="B25" s="31" t="n"/>
      <c r="C25" s="31" t="n"/>
      <c r="D25" s="31" t="n"/>
      <c r="E25" s="31" t="n"/>
      <c r="F25" s="31" t="n"/>
      <c r="G25" s="826" t="n"/>
      <c r="H25" s="826" t="n"/>
      <c r="I25" s="826" t="n"/>
      <c r="J25" s="826" t="n"/>
      <c r="M25" s="350" t="n"/>
      <c r="N25" s="350" t="n"/>
      <c r="O25" s="350" t="n"/>
      <c r="P25" s="350" t="n"/>
      <c r="Q25" s="350" t="n"/>
      <c r="R25" s="350" t="n"/>
      <c r="S25" s="350" t="n"/>
      <c r="T25" s="350" t="n"/>
      <c r="U25" s="350" t="n"/>
      <c r="V25" s="350" t="n"/>
      <c r="W25" s="350" t="n"/>
      <c r="X25" s="350" t="n"/>
      <c r="Y25" s="350" t="n"/>
      <c r="Z25" s="350" t="n"/>
      <c r="AA25" s="350" t="n"/>
      <c r="AB25" s="350" t="n"/>
      <c r="AC25" s="350" t="n"/>
      <c r="AD25" s="350" t="n"/>
      <c r="AE25" s="350" t="n"/>
      <c r="AF25" s="350" t="n"/>
      <c r="AG25" s="30" t="n"/>
      <c r="AH25" s="30" t="n"/>
      <c r="AI25" s="30" t="n"/>
      <c r="AJ25" s="30" t="n"/>
      <c r="AK25" s="30" t="n"/>
    </row>
    <row r="26" ht="14.25" customHeight="1" thickBot="1" thickTop="1">
      <c r="A26" s="1332" t="inlineStr">
        <is>
          <t>Source</t>
        </is>
      </c>
      <c r="B26" s="1333" t="n"/>
      <c r="C26" s="1333" t="n"/>
      <c r="D26" s="1333" t="n"/>
      <c r="E26" s="1333" t="n"/>
      <c r="F26" s="1334" t="n"/>
      <c r="G26" s="1332" t="inlineStr">
        <is>
          <t>Number of Requests</t>
        </is>
      </c>
      <c r="H26" s="1333" t="n"/>
      <c r="I26" s="1333" t="n"/>
      <c r="J26" s="1334" t="n"/>
      <c r="M26" s="350" t="n"/>
      <c r="N26" s="350" t="n"/>
      <c r="O26" s="350" t="n"/>
      <c r="P26" s="350" t="n"/>
      <c r="Q26" s="350" t="n"/>
      <c r="R26" s="350" t="n"/>
      <c r="S26" s="350" t="n"/>
      <c r="T26" s="350" t="n"/>
      <c r="U26" s="350" t="n"/>
      <c r="V26" s="350" t="n"/>
      <c r="W26" s="350" t="n"/>
      <c r="X26" s="350" t="n"/>
      <c r="Y26" s="350" t="n"/>
      <c r="Z26" s="350" t="n"/>
      <c r="AA26" s="350" t="n"/>
      <c r="AB26" s="350" t="n"/>
      <c r="AC26" s="350" t="n"/>
      <c r="AD26" s="350" t="n"/>
      <c r="AE26" s="350" t="n"/>
      <c r="AF26" s="350" t="n"/>
      <c r="AG26" s="30" t="n"/>
      <c r="AH26" s="30" t="n"/>
      <c r="AI26" s="30" t="n"/>
      <c r="AJ26" s="30" t="n"/>
      <c r="AK26" s="30" t="n"/>
    </row>
    <row r="27" ht="14.25" customHeight="1" thickTop="1">
      <c r="A27" s="1352" t="inlineStr">
        <is>
          <t>Media</t>
        </is>
      </c>
      <c r="B27" s="1353" t="n"/>
      <c r="C27" s="1353" t="n"/>
      <c r="D27" s="1353" t="n"/>
      <c r="E27" s="1353" t="n"/>
      <c r="F27" s="1354" t="n"/>
      <c r="G27" s="1338" t="n">
        <v>0</v>
      </c>
      <c r="H27" s="1339" t="n"/>
      <c r="I27" s="1339" t="n"/>
      <c r="J27" s="1340" t="n"/>
      <c r="M27" s="350" t="n"/>
      <c r="N27" s="350" t="n"/>
      <c r="O27" s="350" t="n"/>
      <c r="P27" s="350" t="n"/>
      <c r="Q27" s="350" t="n"/>
      <c r="R27" s="350" t="n"/>
      <c r="S27" s="350" t="n"/>
      <c r="T27" s="350" t="n"/>
      <c r="U27" s="350" t="n"/>
      <c r="V27" s="350" t="n"/>
      <c r="W27" s="350" t="n"/>
      <c r="X27" s="350" t="n"/>
      <c r="Y27" s="350" t="n"/>
      <c r="Z27" s="350" t="n"/>
      <c r="AA27" s="350" t="n"/>
      <c r="AB27" s="350" t="n"/>
      <c r="AC27" s="350" t="n"/>
      <c r="AD27" s="350" t="n"/>
      <c r="AE27" s="350" t="n"/>
      <c r="AF27" s="350" t="n"/>
      <c r="AG27" s="30" t="n"/>
      <c r="AH27" s="30" t="n"/>
      <c r="AI27" s="30" t="n"/>
      <c r="AJ27" s="30" t="n"/>
      <c r="AK27" s="30" t="n"/>
    </row>
    <row r="28" ht="14.25" customHeight="1">
      <c r="A28" s="1361" t="inlineStr">
        <is>
          <t>Academia</t>
        </is>
      </c>
      <c r="B28" s="1342" t="n"/>
      <c r="C28" s="1342" t="n"/>
      <c r="D28" s="1342" t="n"/>
      <c r="E28" s="1342" t="n"/>
      <c r="F28" s="1343" t="n"/>
      <c r="G28" s="392" t="n">
        <v>0</v>
      </c>
      <c r="H28" s="1362" t="n"/>
      <c r="I28" s="1362" t="n"/>
      <c r="J28" s="1362" t="n"/>
      <c r="K28" s="205" t="n"/>
      <c r="M28" s="350" t="n"/>
      <c r="N28" s="350" t="n"/>
      <c r="O28" s="350" t="n"/>
      <c r="P28" s="350" t="n"/>
      <c r="Q28" s="350" t="n"/>
      <c r="R28" s="350" t="n"/>
      <c r="S28" s="350" t="n"/>
      <c r="T28" s="350" t="n"/>
      <c r="U28" s="350" t="n"/>
      <c r="V28" s="350" t="n"/>
      <c r="W28" s="350" t="n"/>
      <c r="X28" s="350" t="n"/>
      <c r="Y28" s="350" t="n"/>
      <c r="Z28" s="350" t="n"/>
      <c r="AA28" s="350" t="n"/>
      <c r="AB28" s="350" t="n"/>
      <c r="AC28" s="350" t="n"/>
      <c r="AD28" s="350" t="n"/>
      <c r="AE28" s="350" t="n"/>
      <c r="AF28" s="350" t="n"/>
      <c r="AG28" s="30" t="n"/>
      <c r="AH28" s="30" t="n"/>
      <c r="AI28" s="30" t="n"/>
      <c r="AJ28" s="30" t="n"/>
      <c r="AK28" s="30" t="n"/>
    </row>
    <row r="29" ht="14.25" customHeight="1">
      <c r="A29" s="1361" t="inlineStr">
        <is>
          <t>Business (private sector)</t>
        </is>
      </c>
      <c r="B29" s="1342" t="n"/>
      <c r="C29" s="1342" t="n"/>
      <c r="D29" s="1342" t="n"/>
      <c r="E29" s="1342" t="n"/>
      <c r="F29" s="1343" t="n"/>
      <c r="G29" s="392" t="n">
        <v>0</v>
      </c>
      <c r="H29" s="1362" t="n"/>
      <c r="I29" s="1362" t="n"/>
      <c r="J29" s="1362" t="n"/>
      <c r="K29" s="205" t="n"/>
      <c r="M29" s="350" t="n"/>
      <c r="N29" s="350" t="n"/>
      <c r="O29" s="350" t="n"/>
      <c r="P29" s="350" t="n"/>
      <c r="Q29" s="350" t="n"/>
      <c r="R29" s="350" t="n"/>
      <c r="S29" s="350" t="n"/>
      <c r="T29" s="350" t="n"/>
      <c r="U29" s="350" t="n"/>
      <c r="V29" s="350" t="n"/>
      <c r="W29" s="350" t="n"/>
      <c r="X29" s="350" t="n"/>
      <c r="Y29" s="350" t="n"/>
      <c r="Z29" s="350" t="n"/>
      <c r="AA29" s="350" t="n"/>
      <c r="AB29" s="350" t="n"/>
      <c r="AC29" s="350" t="n"/>
      <c r="AD29" s="350" t="n"/>
      <c r="AE29" s="350" t="n"/>
      <c r="AF29" s="350" t="n"/>
      <c r="AG29" s="30" t="n"/>
      <c r="AH29" s="30" t="n"/>
      <c r="AI29" s="30" t="n"/>
      <c r="AJ29" s="30" t="n"/>
      <c r="AK29" s="30" t="n"/>
    </row>
    <row r="30" ht="14.25" customHeight="1">
      <c r="A30" s="1361" t="inlineStr">
        <is>
          <t>Organization</t>
        </is>
      </c>
      <c r="B30" s="1342" t="n"/>
      <c r="C30" s="1342" t="n"/>
      <c r="D30" s="1342" t="n"/>
      <c r="E30" s="1342" t="n"/>
      <c r="F30" s="1343" t="n"/>
      <c r="G30" s="392" t="n">
        <v>0</v>
      </c>
      <c r="H30" s="1362" t="n"/>
      <c r="I30" s="1362" t="n"/>
      <c r="J30" s="1362" t="n"/>
      <c r="K30" s="205" t="n"/>
      <c r="M30" s="350" t="n"/>
      <c r="N30" s="350" t="n"/>
      <c r="O30" s="350" t="n"/>
      <c r="P30" s="350" t="n"/>
      <c r="Q30" s="350" t="n"/>
      <c r="R30" s="350" t="n"/>
      <c r="S30" s="350" t="n"/>
      <c r="T30" s="350" t="n"/>
      <c r="U30" s="350" t="n"/>
      <c r="V30" s="350" t="n"/>
      <c r="W30" s="350" t="n"/>
      <c r="X30" s="350" t="n"/>
      <c r="Y30" s="350" t="n"/>
      <c r="Z30" s="350" t="n"/>
      <c r="AA30" s="350" t="n"/>
      <c r="AB30" s="350" t="n"/>
      <c r="AC30" s="350" t="n"/>
      <c r="AD30" s="350" t="n"/>
      <c r="AE30" s="350" t="n"/>
      <c r="AF30" s="350" t="n"/>
      <c r="AG30" s="30" t="n"/>
      <c r="AH30" s="30" t="n"/>
      <c r="AI30" s="30" t="n"/>
      <c r="AJ30" s="30" t="n"/>
      <c r="AK30" s="30" t="n"/>
    </row>
    <row r="31" ht="14.25" customHeight="1">
      <c r="A31" s="1361" t="inlineStr">
        <is>
          <t>Public</t>
        </is>
      </c>
      <c r="B31" s="1342" t="n"/>
      <c r="C31" s="1342" t="n"/>
      <c r="D31" s="1342" t="n"/>
      <c r="E31" s="1342" t="n"/>
      <c r="F31" s="1343" t="n"/>
      <c r="G31" s="392" t="n">
        <v>0</v>
      </c>
      <c r="H31" s="1362" t="n"/>
      <c r="I31" s="1362" t="n"/>
      <c r="J31" s="1362" t="n"/>
      <c r="K31" s="205" t="n"/>
      <c r="M31" s="350" t="n"/>
      <c r="N31" s="350" t="n"/>
      <c r="O31" s="350" t="n"/>
      <c r="P31" s="350" t="n"/>
      <c r="Q31" s="350" t="n"/>
      <c r="R31" s="350" t="n"/>
      <c r="S31" s="350" t="n"/>
      <c r="T31" s="350" t="n"/>
      <c r="U31" s="350" t="n"/>
      <c r="V31" s="350" t="n"/>
      <c r="W31" s="350" t="n"/>
      <c r="X31" s="350" t="n"/>
      <c r="Y31" s="350" t="n"/>
      <c r="Z31" s="350" t="n"/>
      <c r="AA31" s="350" t="n"/>
      <c r="AB31" s="350" t="n"/>
      <c r="AC31" s="350" t="n"/>
      <c r="AD31" s="350" t="n"/>
      <c r="AE31" s="350" t="n"/>
      <c r="AF31" s="350" t="n"/>
      <c r="AG31" s="30" t="n"/>
      <c r="AH31" s="30" t="n"/>
      <c r="AI31" s="30" t="n"/>
      <c r="AJ31" s="30" t="n"/>
      <c r="AK31" s="30" t="n"/>
    </row>
    <row r="32" ht="14.25" customHeight="1" thickBot="1">
      <c r="A32" s="1355" t="inlineStr">
        <is>
          <t>Decline to Identify</t>
        </is>
      </c>
      <c r="B32" s="1348" t="n"/>
      <c r="C32" s="1348" t="n"/>
      <c r="D32" s="1348" t="n"/>
      <c r="E32" s="1348" t="n"/>
      <c r="F32" s="1356" t="n"/>
      <c r="G32" s="386" t="n">
        <v>0</v>
      </c>
      <c r="H32" s="1363" t="n"/>
      <c r="I32" s="1363" t="n"/>
      <c r="J32" s="1363" t="n"/>
      <c r="K32" s="205" t="n"/>
      <c r="M32" s="350" t="n"/>
      <c r="N32" s="350" t="n"/>
      <c r="O32" s="350" t="n"/>
      <c r="P32" s="350" t="n"/>
      <c r="Q32" s="350" t="n"/>
      <c r="R32" s="350" t="n"/>
      <c r="S32" s="350" t="n"/>
      <c r="T32" s="350" t="n"/>
      <c r="U32" s="350" t="n"/>
      <c r="V32" s="350" t="n"/>
      <c r="W32" s="350" t="n"/>
      <c r="X32" s="350" t="n"/>
      <c r="Y32" s="350" t="n"/>
      <c r="Z32" s="350" t="n"/>
      <c r="AA32" s="350" t="n"/>
      <c r="AB32" s="350" t="n"/>
      <c r="AC32" s="350" t="n"/>
      <c r="AD32" s="350" t="n"/>
      <c r="AE32" s="350" t="n"/>
      <c r="AF32" s="350" t="n"/>
      <c r="AG32" s="30" t="n"/>
      <c r="AH32" s="30" t="n"/>
      <c r="AI32" s="30" t="n"/>
      <c r="AJ32" s="30" t="n"/>
      <c r="AK32" s="30" t="n"/>
    </row>
    <row r="33" ht="14.25" customHeight="1" thickBot="1" thickTop="1">
      <c r="A33" s="1351" t="inlineStr">
        <is>
          <t>Total</t>
        </is>
      </c>
      <c r="B33" s="1333" t="n"/>
      <c r="C33" s="1333" t="n"/>
      <c r="D33" s="1333" t="n"/>
      <c r="E33" s="1333" t="n"/>
      <c r="F33" s="1334" t="n"/>
      <c r="G33" s="360">
        <f>SUM(G27:J32)</f>
        <v/>
      </c>
      <c r="H33" s="1333" t="n"/>
      <c r="I33" s="1333" t="n"/>
      <c r="J33" s="1333" t="n"/>
      <c r="K33" s="205" t="n"/>
      <c r="M33" s="900">
        <f>IF(H14&lt;&gt;G33,"Section 1.2 - The ""Total"" must be equal to ""Received during reporting period"" of Section 1.1","")</f>
        <v/>
      </c>
      <c r="V33" s="366" t="n"/>
      <c r="W33" s="366" t="n"/>
      <c r="X33" s="366" t="n"/>
      <c r="Y33" s="366" t="n"/>
      <c r="Z33" s="366" t="n"/>
      <c r="AA33" s="366" t="n"/>
      <c r="AB33" s="366" t="n"/>
      <c r="AC33" s="366" t="n"/>
      <c r="AD33" s="366" t="n"/>
      <c r="AE33" s="366" t="n"/>
      <c r="AF33" s="366" t="n"/>
      <c r="AG33" s="366" t="n"/>
      <c r="AH33" s="366" t="n"/>
      <c r="AI33" s="30" t="n"/>
      <c r="AJ33" s="30" t="n"/>
      <c r="AK33" s="30" t="n"/>
    </row>
    <row r="34" ht="14.25" customHeight="1" thickTop="1">
      <c r="A34" s="34" t="n"/>
      <c r="B34" s="35" t="n"/>
      <c r="C34" s="35" t="n"/>
      <c r="D34" s="35" t="n"/>
      <c r="E34" s="35" t="n"/>
      <c r="F34" s="35" t="n"/>
      <c r="G34" s="709" t="n"/>
      <c r="H34" s="709" t="n"/>
      <c r="I34" s="709" t="n"/>
      <c r="J34" s="709" t="n"/>
      <c r="M34" s="350" t="n"/>
      <c r="N34" s="350" t="n"/>
      <c r="O34" s="350" t="n"/>
      <c r="P34" s="350" t="n"/>
      <c r="Q34" s="350" t="n"/>
      <c r="R34" s="350" t="n"/>
      <c r="S34" s="350" t="n"/>
      <c r="T34" s="350" t="n"/>
      <c r="U34" s="350" t="n"/>
      <c r="V34" s="350" t="n"/>
      <c r="W34" s="350" t="n"/>
      <c r="X34" s="350" t="n"/>
      <c r="Y34" s="350" t="n"/>
      <c r="Z34" s="350" t="n"/>
      <c r="AA34" s="350" t="n"/>
      <c r="AB34" s="350" t="n"/>
      <c r="AC34" s="350" t="n"/>
      <c r="AD34" s="350" t="n"/>
      <c r="AE34" s="350" t="n"/>
      <c r="AF34" s="350" t="n"/>
      <c r="AG34" s="30" t="n"/>
      <c r="AH34" s="30" t="n"/>
      <c r="AI34" s="30" t="n"/>
      <c r="AJ34" s="30" t="n"/>
      <c r="AK34" s="30" t="n"/>
    </row>
    <row r="35" ht="14.25" customHeight="1">
      <c r="A35" s="543" t="inlineStr">
        <is>
          <t>1.3  Channels of requests</t>
        </is>
      </c>
      <c r="M35" s="350" t="n"/>
      <c r="N35" s="350" t="n"/>
      <c r="O35" s="350" t="n"/>
      <c r="P35" s="350" t="n"/>
      <c r="Q35" s="350" t="n"/>
      <c r="R35" s="350" t="n"/>
      <c r="S35" s="350" t="n"/>
      <c r="T35" s="350" t="n"/>
      <c r="U35" s="350" t="n"/>
      <c r="V35" s="350" t="n"/>
      <c r="W35" s="350" t="n"/>
      <c r="X35" s="350" t="n"/>
      <c r="Y35" s="350" t="n"/>
      <c r="Z35" s="350" t="n"/>
      <c r="AA35" s="350" t="n"/>
      <c r="AB35" s="350" t="n"/>
      <c r="AC35" s="350" t="n"/>
      <c r="AD35" s="350" t="n"/>
      <c r="AE35" s="350" t="n"/>
      <c r="AF35" s="350" t="n"/>
      <c r="AG35" s="30" t="n"/>
      <c r="AH35" s="30" t="n"/>
      <c r="AI35" s="30" t="n"/>
      <c r="AJ35" s="30" t="n"/>
      <c r="AK35" s="30" t="n"/>
    </row>
    <row r="36" ht="14.25" customHeight="1" thickBot="1">
      <c r="A36" s="35" t="n"/>
      <c r="B36" s="35" t="n"/>
      <c r="C36" s="35" t="n"/>
      <c r="D36" s="35" t="n"/>
      <c r="E36" s="35" t="n"/>
      <c r="F36" s="35" t="n"/>
      <c r="G36" s="709" t="n"/>
      <c r="H36" s="709" t="n"/>
      <c r="I36" s="709" t="n"/>
      <c r="J36" s="709" t="n"/>
      <c r="M36" s="350" t="n"/>
      <c r="N36" s="350" t="n"/>
      <c r="O36" s="350" t="n"/>
      <c r="P36" s="350" t="n"/>
      <c r="Q36" s="350" t="n"/>
      <c r="R36" s="350" t="n"/>
      <c r="S36" s="350" t="n"/>
      <c r="T36" s="350" t="n"/>
      <c r="U36" s="350" t="n"/>
      <c r="V36" s="350" t="n"/>
      <c r="W36" s="350" t="n"/>
      <c r="X36" s="350" t="n"/>
      <c r="Y36" s="350" t="n"/>
      <c r="Z36" s="350" t="n"/>
      <c r="AA36" s="350" t="n"/>
      <c r="AB36" s="350" t="n"/>
      <c r="AC36" s="350" t="n"/>
      <c r="AD36" s="350" t="n"/>
      <c r="AE36" s="350" t="n"/>
      <c r="AF36" s="350" t="n"/>
      <c r="AG36" s="30" t="n"/>
      <c r="AH36" s="30" t="n"/>
      <c r="AI36" s="30" t="n"/>
      <c r="AJ36" s="30" t="n"/>
      <c r="AK36" s="30" t="n"/>
    </row>
    <row r="37" ht="14.25" customHeight="1" thickBot="1" thickTop="1">
      <c r="A37" s="281" t="inlineStr">
        <is>
          <t>Source</t>
        </is>
      </c>
      <c r="B37" s="1333" t="n"/>
      <c r="C37" s="1333" t="n"/>
      <c r="D37" s="1333" t="n"/>
      <c r="E37" s="1333" t="n"/>
      <c r="F37" s="1334" t="n"/>
      <c r="G37" s="729" t="inlineStr">
        <is>
          <t>Number of Requests</t>
        </is>
      </c>
      <c r="H37" s="1333" t="n"/>
      <c r="I37" s="1333" t="n"/>
      <c r="J37" s="1333" t="n"/>
      <c r="K37" s="205" t="n"/>
      <c r="M37" s="350" t="n"/>
      <c r="N37" s="350" t="n"/>
      <c r="O37" s="350" t="n"/>
      <c r="P37" s="350" t="n"/>
      <c r="Q37" s="350" t="n"/>
      <c r="R37" s="350" t="n"/>
      <c r="S37" s="350" t="n"/>
      <c r="T37" s="350" t="n"/>
      <c r="U37" s="350" t="n"/>
      <c r="V37" s="350" t="n"/>
      <c r="W37" s="350" t="n"/>
      <c r="X37" s="350" t="n"/>
      <c r="Y37" s="350" t="n"/>
      <c r="Z37" s="350" t="n"/>
      <c r="AA37" s="350" t="n"/>
      <c r="AB37" s="350" t="n"/>
      <c r="AC37" s="350" t="n"/>
      <c r="AD37" s="350" t="n"/>
      <c r="AE37" s="350" t="n"/>
      <c r="AF37" s="350" t="n"/>
      <c r="AG37" s="30" t="n"/>
      <c r="AH37" s="30" t="n"/>
      <c r="AI37" s="30" t="n"/>
      <c r="AJ37" s="30" t="n"/>
      <c r="AK37" s="30" t="n"/>
    </row>
    <row r="38" ht="14.25" customHeight="1" thickTop="1">
      <c r="A38" s="1364" t="inlineStr">
        <is>
          <t>Online</t>
        </is>
      </c>
      <c r="B38" s="1336" t="n"/>
      <c r="C38" s="1336" t="n"/>
      <c r="D38" s="1336" t="n"/>
      <c r="E38" s="1336" t="n"/>
      <c r="F38" s="1337" t="n"/>
      <c r="G38" s="1365" t="n">
        <v>0</v>
      </c>
      <c r="H38" s="1339" t="n"/>
      <c r="I38" s="1339" t="n"/>
      <c r="J38" s="1340" t="n"/>
      <c r="M38" s="350" t="n"/>
      <c r="N38" s="350" t="n"/>
      <c r="O38" s="350" t="n"/>
      <c r="P38" s="350" t="n"/>
      <c r="Q38" s="350" t="n"/>
      <c r="R38" s="350" t="n"/>
      <c r="S38" s="350" t="n"/>
      <c r="T38" s="350" t="n"/>
      <c r="U38" s="350" t="n"/>
      <c r="V38" s="350" t="n"/>
      <c r="W38" s="350" t="n"/>
      <c r="X38" s="350" t="n"/>
      <c r="Y38" s="350" t="n"/>
      <c r="Z38" s="350" t="n"/>
      <c r="AA38" s="350" t="n"/>
      <c r="AB38" s="350" t="n"/>
      <c r="AC38" s="350" t="n"/>
      <c r="AD38" s="350" t="n"/>
      <c r="AE38" s="350" t="n"/>
      <c r="AF38" s="350" t="n"/>
      <c r="AG38" s="30" t="n"/>
      <c r="AH38" s="30" t="n"/>
      <c r="AI38" s="30" t="n"/>
      <c r="AJ38" s="30" t="n"/>
      <c r="AK38" s="30" t="n"/>
    </row>
    <row r="39" ht="14.25" customHeight="1">
      <c r="A39" s="1366" t="inlineStr">
        <is>
          <t>E-mail</t>
        </is>
      </c>
      <c r="B39" s="1342" t="n"/>
      <c r="C39" s="1342" t="n"/>
      <c r="D39" s="1342" t="n"/>
      <c r="E39" s="1342" t="n"/>
      <c r="F39" s="1343" t="n"/>
      <c r="G39" s="1367" t="n">
        <v>0</v>
      </c>
      <c r="H39" s="1362" t="n"/>
      <c r="I39" s="1362" t="n"/>
      <c r="J39" s="1368" t="n"/>
      <c r="M39" s="350" t="n"/>
      <c r="N39" s="350" t="n"/>
      <c r="O39" s="350" t="n"/>
      <c r="P39" s="350" t="n"/>
      <c r="Q39" s="350" t="n"/>
      <c r="R39" s="350" t="n"/>
      <c r="S39" s="350" t="n"/>
      <c r="T39" s="350" t="n"/>
      <c r="U39" s="350" t="n"/>
      <c r="V39" s="350" t="n"/>
      <c r="W39" s="350" t="n"/>
      <c r="X39" s="350" t="n"/>
      <c r="Y39" s="350" t="n"/>
      <c r="Z39" s="350" t="n"/>
      <c r="AA39" s="350" t="n"/>
      <c r="AB39" s="350" t="n"/>
      <c r="AC39" s="350" t="n"/>
      <c r="AD39" s="350" t="n"/>
      <c r="AE39" s="350" t="n"/>
      <c r="AF39" s="350" t="n"/>
      <c r="AG39" s="30" t="n"/>
      <c r="AH39" s="30" t="n"/>
      <c r="AI39" s="30" t="n"/>
      <c r="AJ39" s="30" t="n"/>
      <c r="AK39" s="30" t="n"/>
    </row>
    <row r="40" ht="14.25" customHeight="1">
      <c r="A40" s="1366" t="inlineStr">
        <is>
          <t>Mail</t>
        </is>
      </c>
      <c r="B40" s="1342" t="n"/>
      <c r="C40" s="1342" t="n"/>
      <c r="D40" s="1342" t="n"/>
      <c r="E40" s="1342" t="n"/>
      <c r="F40" s="1343" t="n"/>
      <c r="G40" s="676" t="n">
        <v>0</v>
      </c>
      <c r="H40" s="1362" t="n"/>
      <c r="I40" s="1362" t="n"/>
      <c r="J40" s="1362" t="n"/>
      <c r="K40" s="205" t="n"/>
      <c r="M40" s="350" t="n"/>
      <c r="N40" s="350" t="n"/>
      <c r="O40" s="350" t="n"/>
      <c r="P40" s="350" t="n"/>
      <c r="Q40" s="350" t="n"/>
      <c r="R40" s="350" t="n"/>
      <c r="S40" s="350" t="n"/>
      <c r="T40" s="350" t="n"/>
      <c r="U40" s="350" t="n"/>
      <c r="V40" s="350" t="n"/>
      <c r="W40" s="350" t="n"/>
      <c r="X40" s="350" t="n"/>
      <c r="Y40" s="350" t="n"/>
      <c r="Z40" s="350" t="n"/>
      <c r="AA40" s="350" t="n"/>
      <c r="AB40" s="350" t="n"/>
      <c r="AC40" s="350" t="n"/>
      <c r="AD40" s="350" t="n"/>
      <c r="AE40" s="350" t="n"/>
      <c r="AF40" s="350" t="n"/>
      <c r="AG40" s="30" t="n"/>
      <c r="AH40" s="30" t="n"/>
      <c r="AI40" s="30" t="n"/>
      <c r="AJ40" s="30" t="n"/>
      <c r="AK40" s="30" t="n"/>
    </row>
    <row r="41" ht="14.25" customHeight="1">
      <c r="A41" s="1366" t="inlineStr">
        <is>
          <t>In person</t>
        </is>
      </c>
      <c r="B41" s="1342" t="n"/>
      <c r="C41" s="1342" t="n"/>
      <c r="D41" s="1342" t="n"/>
      <c r="E41" s="1342" t="n"/>
      <c r="F41" s="1343" t="n"/>
      <c r="G41" s="1367" t="n">
        <v>0</v>
      </c>
      <c r="H41" s="1362" t="n"/>
      <c r="I41" s="1362" t="n"/>
      <c r="J41" s="1368" t="n"/>
      <c r="M41" s="350" t="n"/>
      <c r="N41" s="350" t="n"/>
      <c r="O41" s="350" t="n"/>
      <c r="P41" s="350" t="n"/>
      <c r="Q41" s="350" t="n"/>
      <c r="R41" s="350" t="n"/>
      <c r="S41" s="350" t="n"/>
      <c r="T41" s="350" t="n"/>
      <c r="U41" s="350" t="n"/>
      <c r="V41" s="350" t="n"/>
      <c r="W41" s="350" t="n"/>
      <c r="X41" s="350" t="n"/>
      <c r="Y41" s="350" t="n"/>
      <c r="Z41" s="350" t="n"/>
      <c r="AA41" s="350" t="n"/>
      <c r="AB41" s="350" t="n"/>
      <c r="AC41" s="350" t="n"/>
      <c r="AD41" s="350" t="n"/>
      <c r="AE41" s="350" t="n"/>
      <c r="AF41" s="350" t="n"/>
      <c r="AG41" s="30" t="n"/>
      <c r="AH41" s="30" t="n"/>
      <c r="AI41" s="30" t="n"/>
      <c r="AJ41" s="30" t="n"/>
      <c r="AK41" s="30" t="n"/>
    </row>
    <row r="42" ht="14.25" customHeight="1">
      <c r="A42" s="1366" t="inlineStr">
        <is>
          <t>Phone</t>
        </is>
      </c>
      <c r="B42" s="1342" t="n"/>
      <c r="C42" s="1342" t="n"/>
      <c r="D42" s="1342" t="n"/>
      <c r="E42" s="1342" t="n"/>
      <c r="F42" s="1343" t="n"/>
      <c r="G42" s="675" t="n">
        <v>0</v>
      </c>
      <c r="H42" s="1362" t="n"/>
      <c r="I42" s="1362" t="n"/>
      <c r="J42" s="1362" t="n"/>
      <c r="K42" s="205" t="n"/>
      <c r="M42" s="350" t="n"/>
      <c r="N42" s="350" t="n"/>
      <c r="O42" s="350" t="n"/>
      <c r="P42" s="350" t="n"/>
      <c r="Q42" s="350" t="n"/>
      <c r="R42" s="350" t="n"/>
      <c r="S42" s="350" t="n"/>
      <c r="T42" s="350" t="n"/>
      <c r="U42" s="350" t="n"/>
      <c r="V42" s="350" t="n"/>
      <c r="W42" s="350" t="n"/>
      <c r="X42" s="350" t="n"/>
      <c r="Y42" s="350" t="n"/>
      <c r="Z42" s="350" t="n"/>
      <c r="AA42" s="350" t="n"/>
      <c r="AB42" s="350" t="n"/>
      <c r="AC42" s="350" t="n"/>
      <c r="AD42" s="350" t="n"/>
      <c r="AE42" s="350" t="n"/>
      <c r="AF42" s="350" t="n"/>
      <c r="AG42" s="30" t="n"/>
      <c r="AH42" s="30" t="n"/>
      <c r="AI42" s="30" t="n"/>
      <c r="AJ42" s="30" t="n"/>
      <c r="AK42" s="30" t="n"/>
    </row>
    <row r="43" ht="14.25" customHeight="1" thickBot="1">
      <c r="A43" s="1369" t="inlineStr">
        <is>
          <t>Fax</t>
        </is>
      </c>
      <c r="B43" s="1348" t="n"/>
      <c r="C43" s="1348" t="n"/>
      <c r="D43" s="1348" t="n"/>
      <c r="E43" s="1348" t="n"/>
      <c r="F43" s="1356" t="n"/>
      <c r="G43" s="502" t="n">
        <v>0</v>
      </c>
      <c r="H43" s="1363" t="n"/>
      <c r="I43" s="1363" t="n"/>
      <c r="J43" s="1363" t="n"/>
      <c r="K43" s="205" t="n"/>
      <c r="M43" s="350" t="n"/>
      <c r="N43" s="350" t="n"/>
      <c r="O43" s="350" t="n"/>
      <c r="P43" s="350" t="n"/>
      <c r="Q43" s="350" t="n"/>
      <c r="R43" s="350" t="n"/>
      <c r="S43" s="350" t="n"/>
      <c r="T43" s="350" t="n"/>
      <c r="U43" s="350" t="n"/>
      <c r="V43" s="350" t="n"/>
      <c r="W43" s="350" t="n"/>
      <c r="X43" s="350" t="n"/>
      <c r="Y43" s="350" t="n"/>
      <c r="Z43" s="350" t="n"/>
      <c r="AA43" s="350" t="n"/>
      <c r="AB43" s="350" t="n"/>
      <c r="AC43" s="350" t="n"/>
      <c r="AD43" s="350" t="n"/>
      <c r="AE43" s="350" t="n"/>
      <c r="AF43" s="350" t="n"/>
      <c r="AG43" s="30" t="n"/>
      <c r="AH43" s="30" t="n"/>
      <c r="AI43" s="30" t="n"/>
      <c r="AJ43" s="30" t="n"/>
      <c r="AK43" s="30" t="n"/>
    </row>
    <row r="44" ht="14.25" customHeight="1" thickBot="1" thickTop="1">
      <c r="A44" s="1370" t="inlineStr">
        <is>
          <t>Total</t>
        </is>
      </c>
      <c r="B44" s="1333" t="n"/>
      <c r="C44" s="1333" t="n"/>
      <c r="D44" s="1333" t="n"/>
      <c r="E44" s="1333" t="n"/>
      <c r="F44" s="1334" t="n"/>
      <c r="G44" s="360">
        <f>SUM(G38:J43)</f>
        <v/>
      </c>
      <c r="H44" s="1333" t="n"/>
      <c r="I44" s="1333" t="n"/>
      <c r="J44" s="1333" t="n"/>
      <c r="K44" s="205" t="n"/>
      <c r="M44" s="900">
        <f>IF(H14&lt;&gt;G44,"Section 1.3 - The ""Total"" must be equal to ""Received during reporting period"" of Section 1.1","")</f>
        <v/>
      </c>
      <c r="V44" s="366" t="n"/>
      <c r="W44" s="366" t="n"/>
      <c r="X44" s="366" t="n"/>
      <c r="Y44" s="366" t="n"/>
      <c r="Z44" s="366" t="n"/>
      <c r="AA44" s="366" t="n"/>
      <c r="AB44" s="366" t="n"/>
      <c r="AC44" s="366" t="n"/>
      <c r="AD44" s="366" t="n"/>
      <c r="AE44" s="366" t="n"/>
      <c r="AF44" s="366" t="n"/>
      <c r="AG44" s="366" t="n"/>
      <c r="AH44" s="366" t="n"/>
      <c r="AI44" s="30" t="n"/>
      <c r="AJ44" s="30" t="n"/>
      <c r="AK44" s="30" t="n"/>
    </row>
    <row r="45" ht="14.25" customHeight="1" thickTop="1">
      <c r="A45" s="35" t="n"/>
      <c r="B45" s="35" t="n"/>
      <c r="C45" s="35" t="n"/>
      <c r="D45" s="35" t="n"/>
      <c r="E45" s="35" t="n"/>
      <c r="F45" s="35" t="n"/>
      <c r="G45" s="709" t="n"/>
      <c r="H45" s="709" t="n"/>
      <c r="I45" s="709" t="n"/>
      <c r="J45" s="709" t="n"/>
      <c r="M45" s="350" t="n"/>
      <c r="N45" s="350" t="n"/>
      <c r="O45" s="350" t="n"/>
      <c r="P45" s="350" t="n"/>
      <c r="Q45" s="350" t="n"/>
      <c r="R45" s="350" t="n"/>
      <c r="S45" s="350" t="n"/>
      <c r="T45" s="350" t="n"/>
      <c r="U45" s="350" t="n"/>
      <c r="V45" s="350" t="n"/>
      <c r="W45" s="350" t="n"/>
      <c r="X45" s="350" t="n"/>
      <c r="Y45" s="350" t="n"/>
      <c r="Z45" s="350" t="n"/>
      <c r="AA45" s="350" t="n"/>
      <c r="AB45" s="350" t="n"/>
      <c r="AC45" s="350" t="n"/>
      <c r="AD45" s="350" t="n"/>
      <c r="AE45" s="350" t="n"/>
      <c r="AF45" s="350" t="n"/>
      <c r="AG45" s="30" t="n"/>
      <c r="AH45" s="30" t="n"/>
      <c r="AI45" s="30" t="n"/>
      <c r="AJ45" s="30" t="n"/>
      <c r="AK45" s="30" t="n"/>
    </row>
    <row r="46" ht="14.25" customHeight="1">
      <c r="A46" s="713" t="inlineStr">
        <is>
          <t>Section 2: Informal Requests</t>
        </is>
      </c>
      <c r="M46" s="350" t="n"/>
      <c r="N46" s="350" t="n"/>
      <c r="O46" s="350" t="n"/>
      <c r="P46" s="350" t="n"/>
      <c r="Q46" s="350" t="n"/>
      <c r="R46" s="350" t="n"/>
      <c r="S46" s="350" t="n"/>
      <c r="T46" s="350" t="n"/>
      <c r="U46" s="350" t="n"/>
      <c r="V46" s="350" t="n"/>
      <c r="W46" s="350" t="n"/>
      <c r="X46" s="350" t="n"/>
      <c r="Y46" s="350" t="n"/>
      <c r="Z46" s="350" t="n"/>
      <c r="AA46" s="350" t="n"/>
      <c r="AB46" s="350" t="n"/>
      <c r="AC46" s="350" t="n"/>
      <c r="AD46" s="350" t="n"/>
      <c r="AE46" s="350" t="n"/>
      <c r="AF46" s="350" t="n"/>
      <c r="AG46" s="30" t="n"/>
      <c r="AH46" s="30" t="n"/>
      <c r="AI46" s="30" t="n"/>
      <c r="AJ46" s="30" t="n"/>
      <c r="AK46" s="30" t="n"/>
    </row>
    <row r="47" ht="14.25" customHeight="1">
      <c r="A47" s="847" t="n"/>
      <c r="M47" s="350" t="n"/>
      <c r="N47" s="350" t="n"/>
      <c r="O47" s="350" t="n"/>
      <c r="P47" s="350" t="n"/>
      <c r="Q47" s="350" t="n"/>
      <c r="R47" s="350" t="n"/>
      <c r="S47" s="350" t="n"/>
      <c r="T47" s="350" t="n"/>
      <c r="U47" s="350" t="n"/>
      <c r="V47" s="350" t="n"/>
      <c r="W47" s="350" t="n"/>
      <c r="X47" s="350" t="n"/>
      <c r="Y47" s="350" t="n"/>
      <c r="Z47" s="350" t="n"/>
      <c r="AA47" s="350" t="n"/>
      <c r="AB47" s="350" t="n"/>
      <c r="AC47" s="350" t="n"/>
      <c r="AD47" s="350" t="n"/>
      <c r="AE47" s="350" t="n"/>
      <c r="AF47" s="350" t="n"/>
      <c r="AG47" s="30" t="n"/>
      <c r="AH47" s="30" t="n"/>
      <c r="AI47" s="30" t="n"/>
      <c r="AJ47" s="30" t="n"/>
      <c r="AK47" s="30" t="n"/>
    </row>
    <row r="48" ht="14.25" customHeight="1" thickBot="1">
      <c r="A48" s="375" t="inlineStr">
        <is>
          <t>2.1 Number of informal requests</t>
        </is>
      </c>
      <c r="M48" s="350" t="n"/>
      <c r="N48" s="350" t="n"/>
      <c r="O48" s="350" t="n"/>
      <c r="P48" s="350" t="n"/>
      <c r="Q48" s="350" t="n"/>
      <c r="R48" s="350" t="n"/>
      <c r="S48" s="350" t="n"/>
      <c r="T48" s="350" t="n"/>
      <c r="U48" s="350" t="n"/>
      <c r="V48" s="350" t="n"/>
      <c r="W48" s="350" t="n"/>
      <c r="X48" s="350" t="n"/>
      <c r="Y48" s="350" t="n"/>
      <c r="Z48" s="350" t="n"/>
      <c r="AA48" s="350" t="n"/>
      <c r="AB48" s="350" t="n"/>
      <c r="AC48" s="350" t="n"/>
      <c r="AD48" s="350" t="n"/>
      <c r="AE48" s="350" t="n"/>
      <c r="AF48" s="350" t="n"/>
      <c r="AG48" s="30" t="n"/>
      <c r="AH48" s="30" t="n"/>
      <c r="AI48" s="30" t="n"/>
      <c r="AJ48" s="30" t="n"/>
      <c r="AK48" s="30" t="n"/>
    </row>
    <row r="49" ht="14.25" customHeight="1" thickBot="1" thickTop="1">
      <c r="A49" s="127" t="n"/>
      <c r="B49" s="127" t="n"/>
      <c r="C49" s="127" t="n"/>
      <c r="D49" s="127" t="n"/>
      <c r="E49" s="127" t="n"/>
      <c r="F49" s="127" t="n"/>
      <c r="G49" s="127" t="n"/>
      <c r="H49" s="360" t="inlineStr">
        <is>
          <t>Number of Requests</t>
        </is>
      </c>
      <c r="I49" s="1333" t="n"/>
      <c r="J49" s="1333" t="n"/>
      <c r="K49" s="207" t="n"/>
      <c r="M49" s="350" t="n"/>
      <c r="N49" s="350" t="n"/>
      <c r="O49" s="350" t="n"/>
      <c r="P49" s="350" t="n"/>
      <c r="Q49" s="350" t="n"/>
      <c r="R49" s="350" t="n"/>
      <c r="S49" s="350" t="n"/>
      <c r="T49" s="350" t="n"/>
      <c r="U49" s="350" t="n"/>
      <c r="V49" s="350" t="n"/>
      <c r="W49" s="350" t="n"/>
      <c r="X49" s="350" t="n"/>
      <c r="Y49" s="350" t="n"/>
      <c r="Z49" s="350" t="n"/>
      <c r="AA49" s="350" t="n"/>
      <c r="AB49" s="350" t="n"/>
      <c r="AC49" s="350" t="n"/>
      <c r="AD49" s="350" t="n"/>
      <c r="AE49" s="350" t="n"/>
      <c r="AF49" s="350" t="n"/>
      <c r="AG49" s="30" t="n"/>
      <c r="AH49" s="30" t="n"/>
      <c r="AI49" s="30" t="n"/>
      <c r="AJ49" s="30" t="n"/>
      <c r="AK49" s="30" t="n"/>
    </row>
    <row r="50" ht="14.25" customHeight="1" thickTop="1">
      <c r="A50" s="1371" t="inlineStr">
        <is>
          <t>Received during reporting period</t>
        </is>
      </c>
      <c r="B50" s="1336" t="n"/>
      <c r="C50" s="1336" t="n"/>
      <c r="D50" s="1336" t="n"/>
      <c r="E50" s="1336" t="n"/>
      <c r="F50" s="1336" t="n"/>
      <c r="G50" s="1337" t="n"/>
      <c r="H50" s="364" t="n">
        <v>0</v>
      </c>
      <c r="I50" s="1339" t="n"/>
      <c r="J50" s="1339" t="n"/>
      <c r="K50" s="204" t="n"/>
      <c r="M50" s="350" t="n"/>
      <c r="N50" s="350" t="n"/>
      <c r="O50" s="350" t="n"/>
      <c r="P50" s="350" t="n"/>
      <c r="Q50" s="350" t="n"/>
      <c r="R50" s="350" t="n"/>
      <c r="S50" s="350" t="n"/>
      <c r="T50" s="350" t="n"/>
      <c r="U50" s="350" t="n"/>
      <c r="V50" s="350" t="n"/>
      <c r="W50" s="350" t="n"/>
      <c r="X50" s="350" t="n"/>
      <c r="Y50" s="350" t="n"/>
      <c r="Z50" s="350" t="n"/>
      <c r="AA50" s="350" t="n"/>
      <c r="AB50" s="350" t="n"/>
      <c r="AC50" s="350" t="n"/>
      <c r="AD50" s="350" t="n"/>
      <c r="AE50" s="350" t="n"/>
      <c r="AF50" s="350" t="n"/>
      <c r="AG50" s="30" t="n"/>
      <c r="AH50" s="30" t="n"/>
      <c r="AI50" s="30" t="n"/>
      <c r="AJ50" s="30" t="n"/>
      <c r="AK50" s="30" t="n"/>
    </row>
    <row r="51" ht="14.25" customHeight="1" thickBot="1">
      <c r="A51" s="1372" t="inlineStr">
        <is>
          <t>Outstanding from previous reporting periods</t>
        </is>
      </c>
      <c r="B51" s="1342" t="n"/>
      <c r="C51" s="1342" t="n"/>
      <c r="D51" s="1342" t="n"/>
      <c r="E51" s="1342" t="n"/>
      <c r="F51" s="1342" t="n"/>
      <c r="G51" s="1343" t="n"/>
      <c r="H51" s="1344">
        <f>SUM(G52:G53)</f>
        <v/>
      </c>
      <c r="I51" s="1342" t="n"/>
      <c r="J51" s="1343" t="n"/>
      <c r="K51" s="30" t="n"/>
      <c r="M51" s="350" t="n"/>
      <c r="N51" s="350" t="n"/>
      <c r="O51" s="350" t="n"/>
      <c r="P51" s="350" t="n"/>
      <c r="Q51" s="350" t="n"/>
      <c r="R51" s="350" t="n"/>
      <c r="S51" s="350" t="n"/>
      <c r="T51" s="350" t="n"/>
      <c r="U51" s="350" t="n"/>
      <c r="V51" s="350" t="n"/>
      <c r="W51" s="350" t="n"/>
      <c r="X51" s="350" t="n"/>
      <c r="Y51" s="350" t="n"/>
      <c r="Z51" s="350" t="n"/>
      <c r="AA51" s="350" t="n"/>
      <c r="AB51" s="350" t="n"/>
      <c r="AC51" s="350" t="n"/>
      <c r="AD51" s="350" t="n"/>
      <c r="AE51" s="350" t="n"/>
      <c r="AF51" s="350" t="n"/>
      <c r="AG51" s="30" t="n"/>
      <c r="AH51" s="30" t="n"/>
      <c r="AI51" s="30" t="n"/>
      <c r="AJ51" s="30" t="n"/>
      <c r="AK51" s="30" t="n"/>
    </row>
    <row r="52" ht="14.25" customHeight="1" thickTop="1">
      <c r="A52" s="1345" t="inlineStr">
        <is>
          <t>• Outstanding from previous reporting period</t>
        </is>
      </c>
      <c r="B52" s="1342" t="n"/>
      <c r="C52" s="1342" t="n"/>
      <c r="D52" s="1342" t="n"/>
      <c r="E52" s="1342" t="n"/>
      <c r="F52" s="1343" t="n"/>
      <c r="G52" s="313" t="n">
        <v>0</v>
      </c>
      <c r="H52" s="1373" t="n"/>
      <c r="I52" s="1347" t="n"/>
      <c r="J52" s="1358" t="n"/>
      <c r="M52" s="350" t="n"/>
      <c r="N52" s="350" t="n"/>
      <c r="O52" s="350" t="n"/>
      <c r="P52" s="350" t="n"/>
      <c r="Q52" s="350" t="n"/>
      <c r="R52" s="350" t="n"/>
      <c r="S52" s="350" t="n"/>
      <c r="T52" s="350" t="n"/>
      <c r="U52" s="350" t="n"/>
      <c r="V52" s="350" t="n"/>
      <c r="W52" s="350" t="n"/>
      <c r="X52" s="350" t="n"/>
      <c r="Y52" s="350" t="n"/>
      <c r="Z52" s="350" t="n"/>
      <c r="AA52" s="350" t="n"/>
      <c r="AB52" s="350" t="n"/>
      <c r="AC52" s="350" t="n"/>
      <c r="AD52" s="350" t="n"/>
      <c r="AE52" s="350" t="n"/>
      <c r="AF52" s="350" t="n"/>
      <c r="AG52" s="30" t="n"/>
      <c r="AH52" s="30" t="n"/>
      <c r="AI52" s="30" t="n"/>
      <c r="AJ52" s="30" t="n"/>
      <c r="AK52" s="30" t="n"/>
    </row>
    <row r="53" ht="14.25" customHeight="1" thickBot="1">
      <c r="A53" s="689" t="inlineStr">
        <is>
          <t>• Outstanding from more than one reporting period</t>
        </is>
      </c>
      <c r="B53" s="1348" t="n"/>
      <c r="C53" s="1348" t="n"/>
      <c r="D53" s="1348" t="n"/>
      <c r="E53" s="1348" t="n"/>
      <c r="F53" s="1348" t="n"/>
      <c r="G53" s="312" t="n">
        <v>0</v>
      </c>
      <c r="H53" s="1349" t="n"/>
      <c r="I53" s="1350" t="n"/>
      <c r="J53" s="1374" t="n"/>
      <c r="M53" s="350" t="n"/>
      <c r="N53" s="350" t="n"/>
      <c r="O53" s="350" t="n"/>
      <c r="P53" s="350" t="n"/>
      <c r="Q53" s="350" t="n"/>
      <c r="R53" s="350" t="n"/>
      <c r="S53" s="350" t="n"/>
      <c r="T53" s="350" t="n"/>
      <c r="U53" s="350" t="n"/>
      <c r="V53" s="350" t="n"/>
      <c r="W53" s="350" t="n"/>
      <c r="X53" s="350" t="n"/>
      <c r="Y53" s="350" t="n"/>
      <c r="Z53" s="350" t="n"/>
      <c r="AA53" s="350" t="n"/>
      <c r="AB53" s="350" t="n"/>
      <c r="AC53" s="350" t="n"/>
      <c r="AD53" s="350" t="n"/>
      <c r="AE53" s="350" t="n"/>
      <c r="AF53" s="350" t="n"/>
      <c r="AG53" s="30" t="n"/>
      <c r="AH53" s="30" t="n"/>
      <c r="AI53" s="30" t="n"/>
      <c r="AJ53" s="30" t="n"/>
      <c r="AK53" s="30" t="n"/>
    </row>
    <row r="54" ht="14.25" customHeight="1" thickBot="1" thickTop="1">
      <c r="A54" s="1370" t="inlineStr">
        <is>
          <t>Total</t>
        </is>
      </c>
      <c r="B54" s="1333" t="n"/>
      <c r="C54" s="1333" t="n"/>
      <c r="D54" s="1333" t="n"/>
      <c r="E54" s="1333" t="n"/>
      <c r="F54" s="1333" t="n"/>
      <c r="G54" s="1334" t="n"/>
      <c r="H54" s="1375">
        <f>SUM(H50:J51)</f>
        <v/>
      </c>
      <c r="I54" s="1333" t="n"/>
      <c r="J54" s="1334" t="n"/>
      <c r="K54" s="30" t="n"/>
      <c r="M54" s="350" t="n"/>
      <c r="N54" s="350" t="n"/>
      <c r="O54" s="350" t="n"/>
      <c r="P54" s="350" t="n"/>
      <c r="Q54" s="350" t="n"/>
      <c r="R54" s="350" t="n"/>
      <c r="S54" s="350" t="n"/>
      <c r="T54" s="350" t="n"/>
      <c r="U54" s="350" t="n"/>
      <c r="V54" s="350" t="n"/>
      <c r="W54" s="350" t="n"/>
      <c r="X54" s="350" t="n"/>
      <c r="Y54" s="350" t="n"/>
      <c r="Z54" s="350" t="n"/>
      <c r="AA54" s="350" t="n"/>
      <c r="AB54" s="350" t="n"/>
      <c r="AC54" s="350" t="n"/>
      <c r="AD54" s="350" t="n"/>
      <c r="AE54" s="350" t="n"/>
      <c r="AF54" s="350" t="n"/>
      <c r="AG54" s="30" t="n"/>
      <c r="AH54" s="30" t="n"/>
      <c r="AI54" s="30" t="n"/>
      <c r="AJ54" s="30" t="n"/>
      <c r="AK54" s="30" t="n"/>
    </row>
    <row r="55" ht="14.25" customHeight="1" thickTop="1">
      <c r="A55" s="1364" t="inlineStr">
        <is>
          <t>Closed during reporting period</t>
        </is>
      </c>
      <c r="B55" s="1336" t="n"/>
      <c r="C55" s="1336" t="n"/>
      <c r="D55" s="1336" t="n"/>
      <c r="E55" s="1336" t="n"/>
      <c r="F55" s="1336" t="n"/>
      <c r="G55" s="1337" t="n"/>
      <c r="H55" s="1365" t="n">
        <v>0</v>
      </c>
      <c r="I55" s="1339" t="n"/>
      <c r="J55" s="1340" t="n"/>
      <c r="K55" s="30" t="n"/>
      <c r="M55" s="900">
        <f>IF(H55&lt;&gt;(SUM(A85,C85,E85,G85,I85)+SUM(A79,C79,E79,G79,I79)),"Section 2.1 - The total ""Number of Requests"" of Section 2.4 and Section 2.5 should be equal to ""Closed during reporting period"" of Section 2.1","")</f>
        <v/>
      </c>
      <c r="AA55" s="366" t="n"/>
      <c r="AB55" s="366" t="n"/>
      <c r="AC55" s="366" t="n"/>
      <c r="AD55" s="366" t="n"/>
      <c r="AE55" s="366" t="n"/>
      <c r="AF55" s="366" t="n"/>
      <c r="AG55" s="366" t="n"/>
      <c r="AH55" s="366" t="n"/>
      <c r="AI55" s="30" t="n"/>
      <c r="AJ55" s="30" t="n"/>
      <c r="AK55" s="30" t="n"/>
    </row>
    <row r="56" ht="14.25" customHeight="1" thickBot="1">
      <c r="A56" s="1369" t="inlineStr">
        <is>
          <t>Carried over to next reporting period</t>
        </is>
      </c>
      <c r="B56" s="1348" t="n"/>
      <c r="C56" s="1348" t="n"/>
      <c r="D56" s="1348" t="n"/>
      <c r="E56" s="1348" t="n"/>
      <c r="F56" s="1348" t="n"/>
      <c r="G56" s="1356" t="n"/>
      <c r="H56" s="1376">
        <f>H54-H55</f>
        <v/>
      </c>
      <c r="I56" s="1348" t="n"/>
      <c r="J56" s="1356" t="n"/>
      <c r="K56" s="30" t="n"/>
      <c r="M56" s="350" t="n"/>
      <c r="N56" s="350" t="n"/>
      <c r="O56" s="350" t="n"/>
      <c r="P56" s="350" t="n"/>
      <c r="Q56" s="350" t="n"/>
      <c r="R56" s="350" t="n"/>
      <c r="S56" s="350" t="n"/>
      <c r="T56" s="350" t="n"/>
      <c r="U56" s="350" t="n"/>
      <c r="V56" s="350" t="n"/>
      <c r="W56" s="350" t="n"/>
      <c r="X56" s="350" t="n"/>
      <c r="Y56" s="350" t="n"/>
      <c r="Z56" s="350" t="n"/>
      <c r="AA56" s="350" t="n"/>
      <c r="AB56" s="350" t="n"/>
      <c r="AC56" s="350" t="n"/>
      <c r="AD56" s="350" t="n"/>
      <c r="AE56" s="350" t="n"/>
      <c r="AF56" s="350" t="n"/>
      <c r="AG56" s="30" t="n"/>
      <c r="AH56" s="30" t="n"/>
      <c r="AI56" s="30" t="n"/>
      <c r="AJ56" s="30" t="n"/>
      <c r="AK56" s="30" t="n"/>
    </row>
    <row r="57" ht="14.25" customHeight="1" thickTop="1">
      <c r="A57" s="31" t="n"/>
      <c r="B57" s="31" t="n"/>
      <c r="C57" s="31" t="n"/>
      <c r="D57" s="31" t="n"/>
      <c r="E57" s="31" t="n"/>
      <c r="F57" s="31" t="n"/>
      <c r="G57" s="826" t="n"/>
      <c r="H57" s="826" t="n"/>
      <c r="I57" s="826" t="n"/>
      <c r="J57" s="826" t="n"/>
      <c r="M57" s="350" t="n"/>
      <c r="N57" s="350" t="n"/>
      <c r="O57" s="350" t="n"/>
      <c r="P57" s="350" t="n"/>
      <c r="Q57" s="350" t="n"/>
      <c r="R57" s="350" t="n"/>
      <c r="S57" s="350" t="n"/>
      <c r="T57" s="350" t="n"/>
      <c r="U57" s="350" t="n"/>
      <c r="V57" s="350" t="n"/>
      <c r="W57" s="350" t="n"/>
      <c r="X57" s="350" t="n"/>
      <c r="Y57" s="350" t="n"/>
      <c r="Z57" s="350" t="n"/>
      <c r="AA57" s="350" t="n"/>
      <c r="AB57" s="350" t="n"/>
      <c r="AC57" s="350" t="n"/>
      <c r="AD57" s="350" t="n"/>
      <c r="AE57" s="350" t="n"/>
      <c r="AF57" s="350" t="n"/>
      <c r="AG57" s="30" t="n"/>
      <c r="AH57" s="30" t="n"/>
      <c r="AI57" s="30" t="n"/>
      <c r="AJ57" s="30" t="n"/>
      <c r="AK57" s="30" t="n"/>
    </row>
    <row r="58" ht="14.25" customHeight="1">
      <c r="A58" s="543" t="inlineStr">
        <is>
          <t>2.2  Channels of informal requests</t>
        </is>
      </c>
      <c r="M58" s="350" t="n"/>
      <c r="N58" s="350" t="n"/>
      <c r="O58" s="350" t="n"/>
      <c r="P58" s="350" t="n"/>
      <c r="Q58" s="350" t="n"/>
      <c r="R58" s="350" t="n"/>
      <c r="S58" s="350" t="n"/>
      <c r="T58" s="350" t="n"/>
      <c r="U58" s="350" t="n"/>
      <c r="V58" s="350" t="n"/>
      <c r="W58" s="350" t="n"/>
      <c r="X58" s="350" t="n"/>
      <c r="Y58" s="350" t="n"/>
      <c r="Z58" s="350" t="n"/>
      <c r="AA58" s="350" t="n"/>
      <c r="AB58" s="350" t="n"/>
      <c r="AC58" s="350" t="n"/>
      <c r="AD58" s="350" t="n"/>
      <c r="AE58" s="350" t="n"/>
      <c r="AF58" s="350" t="n"/>
      <c r="AG58" s="30" t="n"/>
      <c r="AH58" s="30" t="n"/>
      <c r="AI58" s="30" t="n"/>
      <c r="AJ58" s="30" t="n"/>
      <c r="AK58" s="30" t="n"/>
    </row>
    <row r="59" ht="14.25" customHeight="1" thickBot="1">
      <c r="A59" s="49" t="n"/>
      <c r="B59" s="1318" t="n"/>
      <c r="C59" s="1318" t="n"/>
      <c r="D59" s="1318" t="n"/>
      <c r="E59" s="1318" t="n"/>
      <c r="F59" s="1318" t="n"/>
      <c r="G59" s="1043" t="n"/>
      <c r="H59" s="1043" t="n"/>
      <c r="I59" s="1043" t="n"/>
      <c r="J59" s="1043" t="n"/>
      <c r="M59" s="350" t="n"/>
      <c r="N59" s="350" t="n"/>
      <c r="O59" s="350" t="n"/>
      <c r="P59" s="350" t="n"/>
      <c r="Q59" s="350" t="n"/>
      <c r="R59" s="350" t="n"/>
      <c r="S59" s="350" t="n"/>
      <c r="T59" s="350" t="n"/>
      <c r="U59" s="350" t="n"/>
      <c r="V59" s="350" t="n"/>
      <c r="W59" s="350" t="n"/>
      <c r="X59" s="350" t="n"/>
      <c r="Y59" s="350" t="n"/>
      <c r="Z59" s="350" t="n"/>
      <c r="AA59" s="350" t="n"/>
      <c r="AB59" s="350" t="n"/>
      <c r="AC59" s="350" t="n"/>
      <c r="AD59" s="350" t="n"/>
      <c r="AE59" s="350" t="n"/>
      <c r="AF59" s="350" t="n"/>
      <c r="AG59" s="30" t="n"/>
      <c r="AH59" s="30" t="n"/>
      <c r="AI59" s="30" t="n"/>
      <c r="AJ59" s="30" t="n"/>
      <c r="AK59" s="30" t="n"/>
    </row>
    <row r="60" ht="14.25" customHeight="1" thickBot="1" thickTop="1">
      <c r="A60" s="281" t="inlineStr">
        <is>
          <t>Source</t>
        </is>
      </c>
      <c r="B60" s="1333" t="n"/>
      <c r="C60" s="1333" t="n"/>
      <c r="D60" s="1333" t="n"/>
      <c r="E60" s="1333" t="n"/>
      <c r="F60" s="1334" t="n"/>
      <c r="G60" s="729" t="inlineStr">
        <is>
          <t>Number of Requests</t>
        </is>
      </c>
      <c r="H60" s="1333" t="n"/>
      <c r="I60" s="1333" t="n"/>
      <c r="J60" s="1333" t="n"/>
      <c r="K60" s="205" t="n"/>
      <c r="M60" s="350" t="n"/>
      <c r="N60" s="350" t="n"/>
      <c r="O60" s="350" t="n"/>
      <c r="P60" s="350" t="n"/>
      <c r="Q60" s="350" t="n"/>
      <c r="R60" s="350" t="n"/>
      <c r="S60" s="350" t="n"/>
      <c r="T60" s="350" t="n"/>
      <c r="U60" s="350" t="n"/>
      <c r="V60" s="350" t="n"/>
      <c r="W60" s="350" t="n"/>
      <c r="X60" s="350" t="n"/>
      <c r="Y60" s="350" t="n"/>
      <c r="Z60" s="350" t="n"/>
      <c r="AA60" s="350" t="n"/>
      <c r="AB60" s="350" t="n"/>
      <c r="AC60" s="350" t="n"/>
      <c r="AD60" s="350" t="n"/>
      <c r="AE60" s="350" t="n"/>
      <c r="AF60" s="350" t="n"/>
      <c r="AG60" s="30" t="n"/>
      <c r="AH60" s="30" t="n"/>
      <c r="AI60" s="30" t="n"/>
      <c r="AJ60" s="30" t="n"/>
      <c r="AK60" s="30" t="n"/>
    </row>
    <row r="61" ht="14.25" customHeight="1" thickTop="1">
      <c r="A61" s="1364" t="inlineStr">
        <is>
          <t>Online</t>
        </is>
      </c>
      <c r="B61" s="1336" t="n"/>
      <c r="C61" s="1336" t="n"/>
      <c r="D61" s="1336" t="n"/>
      <c r="E61" s="1336" t="n"/>
      <c r="F61" s="1337" t="n"/>
      <c r="G61" s="1365" t="n">
        <v>0</v>
      </c>
      <c r="H61" s="1339" t="n"/>
      <c r="I61" s="1339" t="n"/>
      <c r="J61" s="1340" t="n"/>
      <c r="M61" s="350" t="n"/>
      <c r="N61" s="350" t="n"/>
      <c r="O61" s="350" t="n"/>
      <c r="P61" s="350" t="n"/>
      <c r="Q61" s="350" t="n"/>
      <c r="R61" s="350" t="n"/>
      <c r="S61" s="350" t="n"/>
      <c r="T61" s="350" t="n"/>
      <c r="U61" s="350" t="n"/>
      <c r="V61" s="350" t="n"/>
      <c r="W61" s="350" t="n"/>
      <c r="X61" s="350" t="n"/>
      <c r="Y61" s="350" t="n"/>
      <c r="Z61" s="350" t="n"/>
      <c r="AA61" s="350" t="n"/>
      <c r="AB61" s="350" t="n"/>
      <c r="AC61" s="350" t="n"/>
      <c r="AD61" s="350" t="n"/>
      <c r="AE61" s="350" t="n"/>
      <c r="AF61" s="350" t="n"/>
      <c r="AG61" s="30" t="n"/>
      <c r="AH61" s="30" t="n"/>
      <c r="AI61" s="30" t="n"/>
      <c r="AJ61" s="30" t="n"/>
      <c r="AK61" s="30" t="n"/>
    </row>
    <row r="62" ht="14.25" customHeight="1">
      <c r="A62" s="1366" t="inlineStr">
        <is>
          <t>E-mail</t>
        </is>
      </c>
      <c r="B62" s="1342" t="n"/>
      <c r="C62" s="1342" t="n"/>
      <c r="D62" s="1342" t="n"/>
      <c r="E62" s="1342" t="n"/>
      <c r="F62" s="1343" t="n"/>
      <c r="G62" s="1367" t="n">
        <v>0</v>
      </c>
      <c r="H62" s="1362" t="n"/>
      <c r="I62" s="1362" t="n"/>
      <c r="J62" s="1368" t="n"/>
      <c r="M62" s="350" t="n"/>
      <c r="N62" s="350" t="n"/>
      <c r="O62" s="350" t="n"/>
      <c r="P62" s="350" t="n"/>
      <c r="Q62" s="350" t="n"/>
      <c r="R62" s="350" t="n"/>
      <c r="S62" s="350" t="n"/>
      <c r="T62" s="350" t="n"/>
      <c r="U62" s="350" t="n"/>
      <c r="V62" s="350" t="n"/>
      <c r="W62" s="350" t="n"/>
      <c r="X62" s="350" t="n"/>
      <c r="Y62" s="350" t="n"/>
      <c r="Z62" s="350" t="n"/>
      <c r="AA62" s="350" t="n"/>
      <c r="AB62" s="350" t="n"/>
      <c r="AC62" s="350" t="n"/>
      <c r="AD62" s="350" t="n"/>
      <c r="AE62" s="350" t="n"/>
      <c r="AF62" s="350" t="n"/>
      <c r="AG62" s="30" t="n"/>
      <c r="AH62" s="30" t="n"/>
      <c r="AI62" s="30" t="n"/>
      <c r="AJ62" s="30" t="n"/>
      <c r="AK62" s="30" t="n"/>
    </row>
    <row r="63">
      <c r="A63" s="1366" t="inlineStr">
        <is>
          <t>Mail</t>
        </is>
      </c>
      <c r="B63" s="1342" t="n"/>
      <c r="C63" s="1342" t="n"/>
      <c r="D63" s="1342" t="n"/>
      <c r="E63" s="1342" t="n"/>
      <c r="F63" s="1343" t="n"/>
      <c r="G63" s="1367" t="n">
        <v>0</v>
      </c>
      <c r="H63" s="1362" t="n"/>
      <c r="I63" s="1362" t="n"/>
      <c r="J63" s="1368" t="n"/>
      <c r="M63" s="350" t="n"/>
      <c r="N63" s="350" t="n"/>
      <c r="O63" s="350" t="n"/>
      <c r="P63" s="350" t="n"/>
      <c r="Q63" s="350" t="n"/>
      <c r="R63" s="350" t="n"/>
      <c r="S63" s="350" t="n"/>
      <c r="T63" s="350" t="n"/>
      <c r="U63" s="350" t="n"/>
      <c r="V63" s="350" t="n"/>
      <c r="W63" s="350" t="n"/>
      <c r="X63" s="350" t="n"/>
      <c r="Y63" s="350" t="n"/>
      <c r="Z63" s="350" t="n"/>
      <c r="AA63" s="350" t="n"/>
      <c r="AB63" s="350" t="n"/>
      <c r="AC63" s="350" t="n"/>
      <c r="AD63" s="350" t="n"/>
      <c r="AE63" s="350" t="n"/>
      <c r="AF63" s="350" t="n"/>
      <c r="AG63" s="30" t="n"/>
      <c r="AH63" s="30" t="n"/>
      <c r="AI63" s="30" t="n"/>
      <c r="AJ63" s="30" t="n"/>
      <c r="AK63" s="30" t="n"/>
    </row>
    <row r="64">
      <c r="A64" s="1377" t="inlineStr">
        <is>
          <t>In person</t>
        </is>
      </c>
      <c r="B64" s="1347" t="n"/>
      <c r="C64" s="1347" t="n"/>
      <c r="D64" s="1347" t="n"/>
      <c r="E64" s="1347" t="n"/>
      <c r="F64" s="1358" t="n"/>
      <c r="G64" s="1367" t="n">
        <v>0</v>
      </c>
      <c r="H64" s="1362" t="n"/>
      <c r="I64" s="1362" t="n"/>
      <c r="J64" s="1368" t="n"/>
      <c r="M64" s="350" t="n"/>
      <c r="N64" s="350" t="n"/>
      <c r="O64" s="350" t="n"/>
      <c r="P64" s="350" t="n"/>
      <c r="Q64" s="350" t="n"/>
      <c r="R64" s="350" t="n"/>
      <c r="S64" s="350" t="n"/>
      <c r="T64" s="350" t="n"/>
      <c r="U64" s="350" t="n"/>
      <c r="V64" s="350" t="n"/>
      <c r="W64" s="350" t="n"/>
      <c r="X64" s="350" t="n"/>
      <c r="Y64" s="350" t="n"/>
      <c r="Z64" s="350" t="n"/>
      <c r="AA64" s="350" t="n"/>
      <c r="AB64" s="350" t="n"/>
      <c r="AC64" s="350" t="n"/>
      <c r="AD64" s="350" t="n"/>
      <c r="AE64" s="350" t="n"/>
      <c r="AF64" s="350" t="n"/>
      <c r="AG64" s="30" t="n"/>
      <c r="AH64" s="30" t="n"/>
      <c r="AI64" s="30" t="n"/>
      <c r="AJ64" s="30" t="n"/>
      <c r="AK64" s="30" t="n"/>
    </row>
    <row r="65">
      <c r="A65" s="1366" t="inlineStr">
        <is>
          <t>Phone</t>
        </is>
      </c>
      <c r="B65" s="1342" t="n"/>
      <c r="C65" s="1342" t="n"/>
      <c r="D65" s="1342" t="n"/>
      <c r="E65" s="1342" t="n"/>
      <c r="F65" s="1343" t="n"/>
      <c r="G65" s="1367" t="n">
        <v>0</v>
      </c>
      <c r="H65" s="1362" t="n"/>
      <c r="I65" s="1362" t="n"/>
      <c r="J65" s="1368" t="n"/>
      <c r="M65" s="350" t="n"/>
      <c r="N65" s="350" t="n"/>
      <c r="O65" s="350" t="n"/>
      <c r="P65" s="350" t="n"/>
      <c r="Q65" s="350" t="n"/>
      <c r="R65" s="350" t="n"/>
      <c r="S65" s="350" t="n"/>
      <c r="T65" s="350" t="n"/>
      <c r="U65" s="350" t="n"/>
      <c r="V65" s="350" t="n"/>
      <c r="W65" s="350" t="n"/>
      <c r="X65" s="350" t="n"/>
      <c r="Y65" s="350" t="n"/>
      <c r="Z65" s="350" t="n"/>
      <c r="AA65" s="350" t="n"/>
      <c r="AB65" s="350" t="n"/>
      <c r="AC65" s="350" t="n"/>
      <c r="AD65" s="350" t="n"/>
      <c r="AE65" s="350" t="n"/>
      <c r="AF65" s="350" t="n"/>
      <c r="AG65" s="30" t="n"/>
      <c r="AH65" s="30" t="n"/>
      <c r="AI65" s="30" t="n"/>
      <c r="AJ65" s="30" t="n"/>
      <c r="AK65" s="30" t="n"/>
    </row>
    <row r="66" ht="15" customHeight="1" thickBot="1">
      <c r="A66" s="1369" t="inlineStr">
        <is>
          <t>Fax</t>
        </is>
      </c>
      <c r="B66" s="1348" t="n"/>
      <c r="C66" s="1348" t="n"/>
      <c r="D66" s="1348" t="n"/>
      <c r="E66" s="1348" t="n"/>
      <c r="F66" s="1356" t="n"/>
      <c r="G66" s="1378" t="n">
        <v>0</v>
      </c>
      <c r="H66" s="1363" t="n"/>
      <c r="I66" s="1363" t="n"/>
      <c r="J66" s="1379" t="n"/>
      <c r="M66" s="350" t="n"/>
      <c r="N66" s="350" t="n"/>
      <c r="O66" s="350" t="n"/>
      <c r="P66" s="350" t="n"/>
      <c r="Q66" s="350" t="n"/>
      <c r="R66" s="350" t="n"/>
      <c r="S66" s="350" t="n"/>
      <c r="T66" s="350" t="n"/>
      <c r="U66" s="350" t="n"/>
      <c r="V66" s="350" t="n"/>
      <c r="W66" s="350" t="n"/>
      <c r="X66" s="350" t="n"/>
      <c r="Y66" s="350" t="n"/>
      <c r="Z66" s="350" t="n"/>
      <c r="AA66" s="350" t="n"/>
      <c r="AB66" s="350" t="n"/>
      <c r="AC66" s="350" t="n"/>
      <c r="AD66" s="350" t="n"/>
      <c r="AE66" s="350" t="n"/>
      <c r="AF66" s="350" t="n"/>
      <c r="AG66" s="30" t="n"/>
      <c r="AH66" s="30" t="n"/>
      <c r="AI66" s="30" t="n"/>
      <c r="AJ66" s="30" t="n"/>
      <c r="AK66" s="30" t="n"/>
    </row>
    <row r="67" ht="14.25" customHeight="1" thickBot="1" thickTop="1">
      <c r="A67" s="1370" t="inlineStr">
        <is>
          <t>Total</t>
        </is>
      </c>
      <c r="B67" s="1333" t="n"/>
      <c r="C67" s="1333" t="n"/>
      <c r="D67" s="1333" t="n"/>
      <c r="E67" s="1333" t="n"/>
      <c r="F67" s="1334" t="n"/>
      <c r="G67" s="281">
        <f>SUM(G61:J66)</f>
        <v/>
      </c>
      <c r="H67" s="1333" t="n"/>
      <c r="I67" s="1333" t="n"/>
      <c r="J67" s="1334" t="n"/>
      <c r="M67" s="900">
        <f>IF(H50&lt;&gt;G67,"Section 2.2 - The ""Total"" must be equal to ""Received during reporting period"" of Section 2.1","")</f>
        <v/>
      </c>
      <c r="V67" s="366" t="n"/>
      <c r="W67" s="366" t="n"/>
      <c r="X67" s="366" t="n"/>
      <c r="Y67" s="366" t="n"/>
      <c r="Z67" s="366" t="n"/>
      <c r="AA67" s="366" t="n"/>
      <c r="AB67" s="366" t="n"/>
      <c r="AC67" s="366" t="n"/>
      <c r="AD67" s="366" t="n"/>
      <c r="AE67" s="366" t="n"/>
      <c r="AF67" s="366" t="n"/>
      <c r="AG67" s="366" t="n"/>
      <c r="AH67" s="366" t="n"/>
      <c r="AI67" s="30" t="n"/>
      <c r="AJ67" s="30" t="n"/>
      <c r="AK67" s="30" t="n"/>
    </row>
    <row r="68" ht="14.25" customHeight="1" thickTop="1">
      <c r="A68" s="709" t="n"/>
      <c r="B68" s="709" t="n"/>
      <c r="C68" s="709" t="n"/>
      <c r="D68" s="709" t="n"/>
      <c r="E68" s="709" t="n"/>
      <c r="F68" s="709" t="n"/>
      <c r="G68" s="709" t="n"/>
      <c r="H68" s="709" t="n"/>
      <c r="I68" s="826" t="n"/>
      <c r="J68" s="826" t="n"/>
      <c r="M68" s="350" t="n"/>
      <c r="N68" s="350" t="n"/>
      <c r="O68" s="350" t="n"/>
      <c r="P68" s="350" t="n"/>
      <c r="Q68" s="350" t="n"/>
      <c r="R68" s="350" t="n"/>
      <c r="S68" s="350" t="n"/>
      <c r="T68" s="350" t="n"/>
      <c r="U68" s="350" t="n"/>
      <c r="V68" s="350" t="n"/>
      <c r="W68" s="350" t="n"/>
      <c r="X68" s="350" t="n"/>
      <c r="Y68" s="350" t="n"/>
      <c r="Z68" s="350" t="n"/>
      <c r="AA68" s="350" t="n"/>
      <c r="AB68" s="350" t="n"/>
      <c r="AC68" s="350" t="n"/>
      <c r="AD68" s="350" t="n"/>
      <c r="AE68" s="350" t="n"/>
      <c r="AF68" s="350" t="n"/>
      <c r="AG68" s="30" t="n"/>
      <c r="AH68" s="30" t="n"/>
      <c r="AI68" s="30" t="n"/>
      <c r="AJ68" s="30" t="n"/>
      <c r="AK68" s="30" t="n"/>
    </row>
    <row r="69" ht="14.25" customHeight="1">
      <c r="A69" s="374" t="inlineStr">
        <is>
          <t>2.3 Completion time of informal requests</t>
        </is>
      </c>
      <c r="M69" s="350" t="n"/>
      <c r="N69" s="350" t="n"/>
      <c r="O69" s="350" t="n"/>
      <c r="P69" s="350" t="n"/>
      <c r="Q69" s="350" t="n"/>
      <c r="R69" s="350" t="n"/>
      <c r="S69" s="350" t="n"/>
      <c r="T69" s="350" t="n"/>
      <c r="U69" s="350" t="n"/>
      <c r="V69" s="350" t="n"/>
      <c r="W69" s="350" t="n"/>
      <c r="X69" s="350" t="n"/>
      <c r="Y69" s="350" t="n"/>
      <c r="Z69" s="350" t="n"/>
      <c r="AA69" s="350" t="n"/>
      <c r="AB69" s="350" t="n"/>
      <c r="AC69" s="350" t="n"/>
      <c r="AD69" s="350" t="n"/>
      <c r="AE69" s="350" t="n"/>
      <c r="AF69" s="350" t="n"/>
      <c r="AG69" s="30" t="n"/>
      <c r="AH69" s="30" t="n"/>
      <c r="AI69" s="30" t="n"/>
      <c r="AJ69" s="30" t="n"/>
      <c r="AK69" s="30" t="n"/>
    </row>
    <row r="70" ht="14.25" customHeight="1" thickBot="1">
      <c r="A70" s="28" t="n"/>
      <c r="B70" s="28" t="n"/>
      <c r="C70" s="28" t="n"/>
      <c r="D70" s="28" t="n"/>
      <c r="E70" s="28" t="n"/>
      <c r="F70" s="28" t="n"/>
      <c r="G70" s="28" t="n"/>
      <c r="H70" s="28" t="n"/>
      <c r="M70" s="350" t="n"/>
      <c r="N70" s="350" t="n"/>
      <c r="O70" s="350" t="n"/>
      <c r="P70" s="350" t="n"/>
      <c r="Q70" s="350" t="n"/>
      <c r="R70" s="350" t="n"/>
      <c r="S70" s="350" t="n"/>
      <c r="T70" s="350" t="n"/>
      <c r="U70" s="350" t="n"/>
      <c r="V70" s="350" t="n"/>
      <c r="W70" s="350" t="n"/>
      <c r="X70" s="350" t="n"/>
      <c r="Y70" s="350" t="n"/>
      <c r="Z70" s="350" t="n"/>
      <c r="AA70" s="350" t="n"/>
      <c r="AB70" s="350" t="n"/>
      <c r="AC70" s="350" t="n"/>
      <c r="AD70" s="350" t="n"/>
      <c r="AE70" s="350" t="n"/>
      <c r="AF70" s="350" t="n"/>
      <c r="AG70" s="30" t="n"/>
      <c r="AH70" s="30" t="n"/>
      <c r="AI70" s="30" t="n"/>
      <c r="AJ70" s="30" t="n"/>
      <c r="AK70" s="30" t="n"/>
    </row>
    <row r="71" ht="14.25" customHeight="1" thickTop="1">
      <c r="A71" s="1380" t="inlineStr">
        <is>
          <t>Completion Time</t>
        </is>
      </c>
      <c r="B71" s="1336" t="n"/>
      <c r="C71" s="1336" t="n"/>
      <c r="D71" s="1336" t="n"/>
      <c r="E71" s="1336" t="n"/>
      <c r="F71" s="1336" t="n"/>
      <c r="G71" s="1336" t="n"/>
      <c r="H71" s="1337" t="n"/>
      <c r="I71" s="209" t="n"/>
      <c r="J71" s="36" t="n"/>
      <c r="M71" s="350" t="n"/>
      <c r="N71" s="350" t="n"/>
      <c r="O71" s="350" t="n"/>
      <c r="P71" s="350" t="n"/>
      <c r="Q71" s="350" t="n"/>
      <c r="R71" s="350" t="n"/>
      <c r="S71" s="350" t="n"/>
      <c r="T71" s="350" t="n"/>
      <c r="U71" s="350" t="n"/>
      <c r="V71" s="350" t="n"/>
      <c r="W71" s="350" t="n"/>
      <c r="X71" s="350" t="n"/>
      <c r="Y71" s="350" t="n"/>
      <c r="Z71" s="350" t="n"/>
      <c r="AA71" s="350" t="n"/>
      <c r="AB71" s="350" t="n"/>
      <c r="AC71" s="350" t="n"/>
      <c r="AD71" s="350" t="n"/>
      <c r="AE71" s="350" t="n"/>
      <c r="AF71" s="350" t="n"/>
      <c r="AG71" s="30" t="n"/>
      <c r="AH71" s="30" t="n"/>
      <c r="AI71" s="30" t="n"/>
      <c r="AJ71" s="30" t="n"/>
      <c r="AK71" s="30" t="n"/>
    </row>
    <row r="72" ht="41.25" customHeight="1" thickBot="1">
      <c r="A72" s="319" t="inlineStr">
        <is>
          <t>0 to 15 Days</t>
        </is>
      </c>
      <c r="B72" s="320" t="inlineStr">
        <is>
          <t>16 to 30 Days</t>
        </is>
      </c>
      <c r="C72" s="321" t="inlineStr">
        <is>
          <t>31 to 60 Days</t>
        </is>
      </c>
      <c r="D72" s="322" t="inlineStr">
        <is>
          <t>61 to 120 Days</t>
        </is>
      </c>
      <c r="E72" s="320" t="inlineStr">
        <is>
          <t>121 to 180 Days</t>
        </is>
      </c>
      <c r="F72" s="320" t="inlineStr">
        <is>
          <t>181 to 365 Days</t>
        </is>
      </c>
      <c r="G72" s="323" t="inlineStr">
        <is>
          <t>More Than 365 Days</t>
        </is>
      </c>
      <c r="H72" s="425" t="inlineStr">
        <is>
          <t>Total</t>
        </is>
      </c>
      <c r="I72" s="210" t="n"/>
      <c r="M72" s="350" t="n"/>
      <c r="N72" s="350" t="n"/>
      <c r="O72" s="350" t="n"/>
      <c r="P72" s="350" t="n"/>
      <c r="Q72" s="350" t="n"/>
      <c r="R72" s="350" t="n"/>
      <c r="S72" s="350" t="n"/>
      <c r="T72" s="350" t="n"/>
      <c r="U72" s="350" t="n"/>
      <c r="V72" s="350" t="n"/>
      <c r="W72" s="350" t="n"/>
      <c r="X72" s="350" t="n"/>
      <c r="Y72" s="350" t="n"/>
      <c r="Z72" s="350" t="n"/>
      <c r="AA72" s="350" t="n"/>
      <c r="AB72" s="350" t="n"/>
      <c r="AC72" s="350" t="n"/>
      <c r="AD72" s="350" t="n"/>
      <c r="AE72" s="350" t="n"/>
      <c r="AF72" s="350" t="n"/>
      <c r="AG72" s="30" t="n"/>
      <c r="AH72" s="30" t="n"/>
      <c r="AI72" s="30" t="n"/>
      <c r="AJ72" s="30" t="n"/>
      <c r="AK72" s="30" t="n"/>
    </row>
    <row r="73" ht="15.75" customHeight="1" thickBot="1" thickTop="1">
      <c r="A73" s="248" t="n">
        <v>0</v>
      </c>
      <c r="B73" s="211" t="n">
        <v>0</v>
      </c>
      <c r="C73" s="211" t="n">
        <v>0</v>
      </c>
      <c r="D73" s="211" t="n">
        <v>0</v>
      </c>
      <c r="E73" s="211" t="n">
        <v>0</v>
      </c>
      <c r="F73" s="211" t="n">
        <v>0</v>
      </c>
      <c r="G73" s="535" t="n">
        <v>0</v>
      </c>
      <c r="H73" s="223">
        <f>SUM(A73:G73)</f>
        <v/>
      </c>
      <c r="I73" s="204" t="n"/>
      <c r="J73" s="709" t="n"/>
      <c r="K73" s="38" t="n"/>
      <c r="L73" s="38" t="n"/>
      <c r="M73" s="900">
        <f>IF(H55&lt;&gt;H73,"Section 2.3 - The ""Total"" must be equal to ""Closed during reporting period"" of Section 2.1","")</f>
        <v/>
      </c>
      <c r="V73" s="366" t="n"/>
      <c r="W73" s="366" t="n"/>
      <c r="X73" s="366" t="n"/>
      <c r="Y73" s="366" t="n"/>
      <c r="Z73" s="366" t="n"/>
      <c r="AA73" s="366" t="n"/>
      <c r="AB73" s="366" t="n"/>
      <c r="AC73" s="366" t="n"/>
      <c r="AD73" s="366" t="n"/>
      <c r="AE73" s="366" t="n"/>
      <c r="AF73" s="366" t="n"/>
      <c r="AG73" s="366" t="n"/>
      <c r="AH73" s="366" t="n"/>
      <c r="AI73" s="30" t="n"/>
      <c r="AJ73" s="30" t="n"/>
      <c r="AK73" s="30" t="n"/>
    </row>
    <row r="74" ht="11.25" customHeight="1" thickTop="1">
      <c r="A74" s="709" t="n"/>
      <c r="B74" s="709" t="n"/>
      <c r="C74" s="709" t="n"/>
      <c r="D74" s="709" t="n"/>
      <c r="E74" s="709" t="n"/>
      <c r="F74" s="709" t="n"/>
      <c r="G74" s="709" t="n"/>
      <c r="H74" s="206" t="n"/>
      <c r="I74" s="709" t="n"/>
      <c r="J74" s="709" t="n"/>
      <c r="K74" s="38" t="n"/>
      <c r="L74" s="38" t="n"/>
      <c r="M74" s="350">
        <f>IF(H55&lt;SUM(A79,C79,E79,G79,I79),"Section 2.4 - The total ""Number of Requests"" should be equal or less than ""Closed during reporting period"" of Section 2.1","")</f>
        <v/>
      </c>
      <c r="N74" s="350" t="n"/>
      <c r="O74" s="350" t="n"/>
      <c r="P74" s="350" t="n"/>
      <c r="Q74" s="350" t="n"/>
      <c r="R74" s="350" t="n"/>
      <c r="S74" s="350" t="n"/>
      <c r="T74" s="350" t="n"/>
      <c r="U74" s="350" t="n"/>
      <c r="V74" s="350" t="n"/>
      <c r="W74" s="350" t="n"/>
      <c r="X74" s="350" t="n"/>
      <c r="Y74" s="350" t="n"/>
      <c r="Z74" s="350" t="n"/>
      <c r="AA74" s="350" t="n"/>
      <c r="AB74" s="350" t="n"/>
      <c r="AC74" s="350" t="n"/>
      <c r="AD74" s="350" t="n"/>
      <c r="AE74" s="350" t="n"/>
      <c r="AF74" s="350" t="n"/>
      <c r="AG74" s="30" t="n"/>
      <c r="AH74" s="30" t="n"/>
      <c r="AI74" s="30" t="n"/>
      <c r="AJ74" s="30" t="n"/>
      <c r="AK74" s="30" t="n"/>
    </row>
    <row r="75" ht="15" customHeight="1">
      <c r="A75" s="376" t="inlineStr">
        <is>
          <t>2.4 Pages released informally</t>
        </is>
      </c>
      <c r="M75" s="191">
        <f>IFERROR(IF(B79/A79&gt;99,"Section 2.4 - The total ""Pages Released"" divided by the total ""Number of Requests"" must be equal to or less than 99.",""),"")</f>
        <v/>
      </c>
      <c r="N75" s="191" t="n"/>
      <c r="O75" s="191" t="n"/>
      <c r="P75" s="191" t="n"/>
      <c r="Q75" s="191" t="n"/>
      <c r="R75" s="191" t="n"/>
      <c r="S75" s="191" t="n"/>
      <c r="T75" s="191" t="n"/>
      <c r="U75" s="191" t="n"/>
      <c r="V75" s="191" t="n"/>
      <c r="W75" s="191" t="n"/>
      <c r="X75" s="191" t="n"/>
      <c r="Y75" s="350" t="n"/>
      <c r="Z75" s="350" t="n"/>
      <c r="AA75" s="350" t="n"/>
      <c r="AB75" s="350" t="n"/>
      <c r="AC75" s="350" t="n"/>
      <c r="AD75" s="350" t="n"/>
      <c r="AE75" s="350" t="n"/>
      <c r="AF75" s="350" t="n"/>
      <c r="AG75" s="30" t="n"/>
      <c r="AH75" s="30" t="n"/>
      <c r="AI75" s="30" t="n"/>
      <c r="AJ75" s="30" t="n"/>
      <c r="AK75" s="30" t="n"/>
    </row>
    <row r="76" ht="15" customHeight="1" thickBot="1">
      <c r="A76" s="39" t="n"/>
      <c r="B76" s="39" t="n"/>
      <c r="C76" s="39" t="n"/>
      <c r="D76" s="39" t="n"/>
      <c r="E76" s="39" t="n"/>
      <c r="F76" s="39" t="n"/>
      <c r="G76" s="39" t="n"/>
      <c r="H76" s="39" t="n"/>
      <c r="I76" s="39" t="n"/>
      <c r="J76" s="39" t="n"/>
      <c r="K76" s="39" t="n"/>
      <c r="L76" s="39" t="n"/>
      <c r="M76" s="191">
        <f>IFERROR(IF(AND(D79/C79&gt;=100,D79/C79&lt;=500),"","Section 2.4 - The total ""Pages Released"" divided by the total ""Number of Requests"" must be between 100 to 500."),"")</f>
        <v/>
      </c>
      <c r="N76" s="191" t="n"/>
      <c r="O76" s="191" t="n"/>
      <c r="P76" s="191" t="n"/>
      <c r="Q76" s="191" t="n"/>
      <c r="R76" s="191" t="n"/>
      <c r="S76" s="191" t="n"/>
      <c r="T76" s="191" t="n"/>
      <c r="U76" s="191" t="n"/>
      <c r="V76" s="191" t="n"/>
      <c r="W76" s="191" t="n"/>
      <c r="X76" s="191" t="n"/>
      <c r="Y76" s="350" t="n"/>
      <c r="Z76" s="350" t="n"/>
      <c r="AA76" s="350" t="n"/>
      <c r="AB76" s="350" t="n"/>
      <c r="AC76" s="350" t="n"/>
      <c r="AD76" s="350" t="n"/>
      <c r="AE76" s="350" t="n"/>
      <c r="AF76" s="350" t="n"/>
      <c r="AG76" s="30" t="n"/>
      <c r="AH76" s="30" t="n"/>
      <c r="AI76" s="30" t="n"/>
      <c r="AJ76" s="30" t="n"/>
      <c r="AK76" s="30" t="n"/>
    </row>
    <row r="77" ht="32.25" customHeight="1" thickTop="1">
      <c r="A77" s="1381" t="inlineStr">
        <is>
          <t>Less Than 100
Pages Released</t>
        </is>
      </c>
      <c r="B77" s="1337" t="n"/>
      <c r="C77" s="1381" t="inlineStr">
        <is>
          <t>100-500
Pages Released</t>
        </is>
      </c>
      <c r="D77" s="1337" t="n"/>
      <c r="E77" s="1381" t="inlineStr">
        <is>
          <t>501-1000
Pages Released</t>
        </is>
      </c>
      <c r="F77" s="1337" t="n"/>
      <c r="G77" s="1382" t="inlineStr">
        <is>
          <t>1001-5000
Pages Released</t>
        </is>
      </c>
      <c r="H77" s="1354" t="n"/>
      <c r="I77" s="1382" t="inlineStr">
        <is>
          <t>More Than 5000
Pages Released</t>
        </is>
      </c>
      <c r="J77" s="1354" t="n"/>
      <c r="M77" s="191">
        <f>IFERROR(IF(AND(F79/E79&gt;500,F79/E79&lt;=1000),"","Section 2.4 - The total ""Pages Released"" divided by the total ""Number of Requests"" must be between 501 to 1000."),"")</f>
        <v/>
      </c>
      <c r="N77" s="191" t="n"/>
      <c r="O77" s="191" t="n"/>
      <c r="P77" s="191" t="n"/>
      <c r="Q77" s="191" t="n"/>
      <c r="R77" s="191" t="n"/>
      <c r="S77" s="191" t="n"/>
      <c r="T77" s="191" t="n"/>
      <c r="U77" s="191" t="n"/>
      <c r="V77" s="191" t="n"/>
      <c r="W77" s="191" t="n"/>
      <c r="X77" s="191" t="n"/>
      <c r="Y77" s="350" t="n"/>
      <c r="Z77" s="350" t="n"/>
      <c r="AA77" s="350" t="n"/>
      <c r="AB77" s="350" t="n"/>
      <c r="AC77" s="350" t="n"/>
      <c r="AD77" s="350" t="n"/>
      <c r="AE77" s="350" t="n"/>
      <c r="AF77" s="350" t="n"/>
      <c r="AG77" s="30" t="n"/>
      <c r="AH77" s="30" t="n"/>
      <c r="AI77" s="30" t="n"/>
      <c r="AJ77" s="30" t="n"/>
      <c r="AK77" s="30" t="n"/>
    </row>
    <row r="78" ht="37.15" customHeight="1" thickBot="1">
      <c r="A78" s="237" t="inlineStr">
        <is>
          <t>Number of Requests</t>
        </is>
      </c>
      <c r="B78" s="218" t="inlineStr">
        <is>
          <t>Pages Released</t>
        </is>
      </c>
      <c r="C78" s="237" t="inlineStr">
        <is>
          <t>Number of Requests</t>
        </is>
      </c>
      <c r="D78" s="238" t="inlineStr">
        <is>
          <t>Pages Released</t>
        </is>
      </c>
      <c r="E78" s="217" t="inlineStr">
        <is>
          <t>Number of Requests</t>
        </is>
      </c>
      <c r="F78" s="218" t="inlineStr">
        <is>
          <t>Pages Released</t>
        </is>
      </c>
      <c r="G78" s="128" t="inlineStr">
        <is>
          <t>Number of Requests</t>
        </is>
      </c>
      <c r="H78" s="1016" t="inlineStr">
        <is>
          <t>Pages Released</t>
        </is>
      </c>
      <c r="I78" s="1015" t="inlineStr">
        <is>
          <t>Number of Requests</t>
        </is>
      </c>
      <c r="J78" s="1016" t="inlineStr">
        <is>
          <t>Pages Released</t>
        </is>
      </c>
      <c r="M78" s="901">
        <f>IFERROR(IF(AND(H79/G79&gt;1000,H79/G79&lt;=5000),"","Section 2.4 - The total ""Pages Released"" divided by the total ""Number of Requests"" must be between 1001 to 5000."),"")</f>
        <v/>
      </c>
      <c r="Y78" s="350" t="n"/>
      <c r="Z78" s="350" t="n"/>
      <c r="AA78" s="350" t="n"/>
      <c r="AB78" s="350" t="n"/>
      <c r="AC78" s="350" t="n"/>
      <c r="AD78" s="350" t="n"/>
      <c r="AE78" s="350" t="n"/>
      <c r="AF78" s="350" t="n"/>
      <c r="AG78" s="30" t="n"/>
      <c r="AH78" s="30" t="n"/>
      <c r="AI78" s="30" t="n"/>
      <c r="AJ78" s="30" t="n"/>
      <c r="AK78" s="30" t="n"/>
    </row>
    <row r="79" ht="15" customHeight="1" thickBot="1" thickTop="1">
      <c r="A79" s="213" t="n">
        <v>0</v>
      </c>
      <c r="B79" s="214" t="n">
        <v>0</v>
      </c>
      <c r="C79" s="438" t="n">
        <v>0</v>
      </c>
      <c r="D79" s="439" t="n">
        <v>0</v>
      </c>
      <c r="E79" s="213" t="n">
        <v>0</v>
      </c>
      <c r="F79" s="214" t="n">
        <v>0</v>
      </c>
      <c r="G79" s="438" t="n">
        <v>0</v>
      </c>
      <c r="H79" s="214" t="n">
        <v>0</v>
      </c>
      <c r="I79" s="438" t="n">
        <v>0</v>
      </c>
      <c r="J79" s="214" t="n">
        <v>0</v>
      </c>
      <c r="M79" s="191">
        <f>IFERROR(IF(J79/I79&lt;=5000,"Section 2.4 - The total ""Pages Released"" divided by the total ""Number of Requests"" must be greater than 5000.",""),"")</f>
        <v/>
      </c>
      <c r="N79" s="190" t="n"/>
      <c r="O79" s="190" t="n"/>
      <c r="P79" s="190" t="n"/>
      <c r="Q79" s="190" t="n"/>
      <c r="R79" s="190" t="n"/>
      <c r="S79" s="190" t="n"/>
      <c r="T79" s="190" t="n"/>
      <c r="U79" s="190" t="n"/>
      <c r="V79" s="190" t="n"/>
      <c r="W79" s="190" t="n"/>
      <c r="X79" s="190" t="n"/>
      <c r="Y79" s="366" t="n"/>
      <c r="Z79" s="366" t="n"/>
      <c r="AA79" s="366" t="n"/>
      <c r="AB79" s="366" t="n"/>
      <c r="AC79" s="366" t="n"/>
      <c r="AD79" s="366" t="n"/>
      <c r="AE79" s="366" t="n"/>
      <c r="AF79" s="366" t="n"/>
      <c r="AG79" s="366" t="n"/>
      <c r="AH79" s="366" t="n"/>
      <c r="AI79" s="30" t="n"/>
      <c r="AJ79" s="30" t="n"/>
      <c r="AK79" s="30" t="n"/>
    </row>
    <row r="80" ht="15" customHeight="1" thickTop="1">
      <c r="A80" s="39" t="n"/>
      <c r="B80" s="39" t="n"/>
      <c r="C80" s="39" t="n"/>
      <c r="D80" s="39" t="n"/>
      <c r="E80" s="39" t="n"/>
      <c r="F80" s="39" t="n"/>
      <c r="G80" s="39" t="n"/>
      <c r="H80" s="39" t="n"/>
      <c r="I80" s="39" t="n"/>
      <c r="J80" s="39" t="n"/>
      <c r="K80" s="39" t="n"/>
      <c r="L80" s="39" t="n"/>
      <c r="M80" s="900">
        <f>IF(H54&lt;SUM(A85,C85,E85,G85,I85),"Section 2.5 - The total ""Number of Requests"" should be equal or less than ""Closed during reporting period"" of Section 2.1","")</f>
        <v/>
      </c>
      <c r="Y80" s="350" t="n"/>
      <c r="Z80" s="350" t="n"/>
      <c r="AA80" s="350" t="n"/>
      <c r="AB80" s="350" t="n"/>
      <c r="AC80" s="350" t="n"/>
      <c r="AD80" s="350" t="n"/>
      <c r="AE80" s="350" t="n"/>
      <c r="AF80" s="350" t="n"/>
      <c r="AG80" s="30" t="n"/>
      <c r="AH80" s="30" t="n"/>
      <c r="AI80" s="30" t="n"/>
      <c r="AJ80" s="30" t="n"/>
      <c r="AK80" s="30" t="n"/>
    </row>
    <row r="81" ht="13.5" customHeight="1">
      <c r="A81" s="376" t="inlineStr">
        <is>
          <t>2.5 Pages re-released informally</t>
        </is>
      </c>
      <c r="M81" s="900">
        <f>IF(H55&lt;&gt;(SUM(A85,C85,E85,G85,I85)+SUM(A79,C79,E79,G79,I79)),"Section 2.5 - The total ""Number of Requests"" of Section 2.4 and Section 2.5 should be equal to ""Closed during reporting period"" of Section 2.1","")</f>
        <v/>
      </c>
      <c r="AA81" s="350" t="n"/>
      <c r="AB81" s="350" t="n"/>
      <c r="AC81" s="350" t="n"/>
      <c r="AD81" s="350" t="n"/>
      <c r="AE81" s="350" t="n"/>
      <c r="AF81" s="350" t="n"/>
      <c r="AG81" s="30" t="n"/>
      <c r="AH81" s="30" t="n"/>
      <c r="AI81" s="30" t="n"/>
      <c r="AJ81" s="30" t="n"/>
      <c r="AK81" s="30" t="n"/>
    </row>
    <row r="82" ht="15" customHeight="1" thickBot="1">
      <c r="A82" s="39" t="n"/>
      <c r="B82" s="39" t="n"/>
      <c r="C82" s="39" t="n"/>
      <c r="D82" s="39" t="n"/>
      <c r="E82" s="39" t="n"/>
      <c r="F82" s="39" t="n"/>
      <c r="G82" s="39" t="n"/>
      <c r="H82" s="39" t="n"/>
      <c r="I82" s="39" t="n"/>
      <c r="J82" s="39" t="n"/>
      <c r="K82" s="39" t="n"/>
      <c r="L82" s="39" t="n"/>
      <c r="M82" s="191">
        <f>IFERROR(IF(B85/A85&gt;99,"Section 2.5 - The total ""Pages Released"" divided by the total ""Number of Requests"" must be equal to or less than 99.",""),"")</f>
        <v/>
      </c>
      <c r="N82" s="350" t="n"/>
      <c r="O82" s="350" t="n"/>
      <c r="P82" s="350" t="n"/>
      <c r="Q82" s="350" t="n"/>
      <c r="R82" s="350" t="n"/>
      <c r="S82" s="350" t="n"/>
      <c r="T82" s="350" t="n"/>
      <c r="U82" s="350" t="n"/>
      <c r="V82" s="350" t="n"/>
      <c r="W82" s="350" t="n"/>
      <c r="X82" s="350" t="n"/>
      <c r="Y82" s="350" t="n"/>
      <c r="Z82" s="350" t="n"/>
      <c r="AA82" s="350" t="n"/>
      <c r="AB82" s="350" t="n"/>
      <c r="AC82" s="350" t="n"/>
      <c r="AD82" s="350" t="n"/>
      <c r="AE82" s="350" t="n"/>
      <c r="AF82" s="350" t="n"/>
      <c r="AG82" s="30" t="n"/>
      <c r="AH82" s="30" t="n"/>
      <c r="AI82" s="30" t="n"/>
      <c r="AJ82" s="30" t="n"/>
      <c r="AK82" s="30" t="n"/>
    </row>
    <row r="83" ht="42" customHeight="1" thickTop="1">
      <c r="A83" s="1382" t="inlineStr">
        <is>
          <t>Less Than 100
Pages Re-released</t>
        </is>
      </c>
      <c r="B83" s="1354" t="n"/>
      <c r="C83" s="1382" t="inlineStr">
        <is>
          <t>100-500
Pages Re-released</t>
        </is>
      </c>
      <c r="D83" s="1354" t="n"/>
      <c r="E83" s="1382" t="inlineStr">
        <is>
          <t>501-1000
Pages Re-released</t>
        </is>
      </c>
      <c r="F83" s="1354" t="n"/>
      <c r="G83" s="1382" t="inlineStr">
        <is>
          <t>1001-5000
Pages Re-released</t>
        </is>
      </c>
      <c r="H83" s="1354" t="n"/>
      <c r="I83" s="1382" t="inlineStr">
        <is>
          <t>More Than 5000
Pages Re-released</t>
        </is>
      </c>
      <c r="J83" s="1354" t="n"/>
      <c r="K83" s="39" t="n"/>
      <c r="L83" s="39" t="n"/>
      <c r="M83" s="191">
        <f>IFERROR(IF(AND(D85/C85&gt;=100,D85/C85&lt;=500),"","Section 2.5 - The total ""Pages Released"" divided by the total ""Number of Requests"" must be between 100 to 500."),"")</f>
        <v/>
      </c>
      <c r="N83" s="350" t="n"/>
      <c r="O83" s="350" t="n"/>
      <c r="P83" s="350" t="n"/>
      <c r="Q83" s="350" t="n"/>
      <c r="R83" s="350" t="n"/>
      <c r="S83" s="350" t="n"/>
      <c r="T83" s="350" t="n"/>
      <c r="U83" s="350" t="n"/>
      <c r="V83" s="350" t="n"/>
      <c r="W83" s="350" t="n"/>
      <c r="X83" s="350" t="n"/>
      <c r="Y83" s="350" t="n"/>
      <c r="Z83" s="350" t="n"/>
      <c r="AA83" s="350" t="n"/>
      <c r="AB83" s="350" t="n"/>
      <c r="AC83" s="350" t="n"/>
      <c r="AD83" s="350" t="n"/>
      <c r="AE83" s="350" t="n"/>
      <c r="AF83" s="350" t="n"/>
      <c r="AG83" s="30" t="n"/>
      <c r="AH83" s="30" t="n"/>
      <c r="AI83" s="30" t="n"/>
      <c r="AJ83" s="30" t="n"/>
      <c r="AK83" s="30" t="n"/>
    </row>
    <row r="84" ht="39" customHeight="1" thickBot="1">
      <c r="A84" s="1015" t="inlineStr">
        <is>
          <t>Number of Requests</t>
        </is>
      </c>
      <c r="B84" s="1004" t="inlineStr">
        <is>
          <t>Pages Re-released</t>
        </is>
      </c>
      <c r="C84" s="1015" t="inlineStr">
        <is>
          <t>Number of Requests</t>
        </is>
      </c>
      <c r="D84" s="240" t="inlineStr">
        <is>
          <t>Pages Re-released</t>
        </is>
      </c>
      <c r="E84" s="128" t="inlineStr">
        <is>
          <t>Number of Requests</t>
        </is>
      </c>
      <c r="F84" s="1016" t="inlineStr">
        <is>
          <t>Pages Re-released</t>
        </is>
      </c>
      <c r="G84" s="128" t="inlineStr">
        <is>
          <t>Number of Requests</t>
        </is>
      </c>
      <c r="H84" s="1016" t="inlineStr">
        <is>
          <t>Pages Re-released</t>
        </is>
      </c>
      <c r="I84" s="1015" t="inlineStr">
        <is>
          <t>Number of Requests</t>
        </is>
      </c>
      <c r="J84" s="1016" t="inlineStr">
        <is>
          <t>Pages Re-released</t>
        </is>
      </c>
      <c r="K84" s="39" t="n"/>
      <c r="L84" s="39" t="n"/>
      <c r="M84" s="190">
        <f>IFERROR(IF(AND(F85/E85&gt;500,F85/E85&lt;=1000),"","Section 2.5 - The total ""Pages Released"" divided by the total ""Number of Requests"" must be between 501 to 1000."),"")</f>
        <v/>
      </c>
      <c r="Y84" s="366" t="n"/>
      <c r="Z84" s="366" t="n"/>
      <c r="AA84" s="366" t="n"/>
      <c r="AB84" s="366" t="n"/>
      <c r="AC84" s="366" t="n"/>
      <c r="AD84" s="366" t="n"/>
      <c r="AE84" s="366" t="n"/>
      <c r="AF84" s="366" t="n"/>
      <c r="AG84" s="366" t="n"/>
      <c r="AH84" s="366" t="n"/>
      <c r="AI84" s="30" t="n"/>
      <c r="AJ84" s="30" t="n"/>
      <c r="AK84" s="30" t="n"/>
    </row>
    <row r="85" ht="15.75" customHeight="1" thickBot="1" thickTop="1">
      <c r="A85" s="213" t="n">
        <v>0</v>
      </c>
      <c r="B85" s="439" t="n">
        <v>0</v>
      </c>
      <c r="C85" s="213" t="n">
        <v>0</v>
      </c>
      <c r="D85" s="439" t="n">
        <v>0</v>
      </c>
      <c r="E85" s="213" t="n">
        <v>0</v>
      </c>
      <c r="F85" s="214" t="n">
        <v>0</v>
      </c>
      <c r="G85" s="438" t="n">
        <v>0</v>
      </c>
      <c r="H85" s="439" t="n">
        <v>0</v>
      </c>
      <c r="I85" s="213" t="n">
        <v>0</v>
      </c>
      <c r="J85" s="214" t="n">
        <v>0</v>
      </c>
      <c r="K85" s="39" t="n"/>
      <c r="L85" s="39" t="n"/>
      <c r="M85" s="190">
        <f>IFERROR(IF(AND(H85/G85&gt;1000,H85/G85&lt;=5000),"","Section 2.5 - The total ""Pages Released"" divided by the total ""Number of Requests"" must be between 1001 to 5000."),"")</f>
        <v/>
      </c>
      <c r="AA85" s="366" t="n"/>
      <c r="AB85" s="366" t="n"/>
      <c r="AC85" s="366" t="n"/>
      <c r="AD85" s="366" t="n"/>
      <c r="AE85" s="366" t="n"/>
      <c r="AF85" s="366" t="n"/>
      <c r="AG85" s="366" t="n"/>
      <c r="AH85" s="366" t="n"/>
      <c r="AI85" s="30" t="n"/>
      <c r="AJ85" s="30" t="n"/>
      <c r="AK85" s="30" t="n"/>
    </row>
    <row r="86" ht="15" customHeight="1" thickTop="1">
      <c r="M86" s="191">
        <f>IFERROR(IF(J85/I85&lt;=5000,"Section 2.5 - The total ""Pages Released"" divided by the total ""Number of Requests"" must be greater than 5000.",""),"")</f>
        <v/>
      </c>
      <c r="N86" s="350" t="n"/>
      <c r="O86" s="350" t="n"/>
      <c r="P86" s="350" t="n"/>
      <c r="Q86" s="350" t="n"/>
      <c r="R86" s="350" t="n"/>
      <c r="S86" s="350" t="n"/>
      <c r="T86" s="350" t="n"/>
      <c r="U86" s="350" t="n"/>
      <c r="V86" s="350" t="n"/>
      <c r="W86" s="350" t="n"/>
      <c r="X86" s="350" t="n"/>
      <c r="Y86" s="350" t="n"/>
      <c r="Z86" s="350" t="n"/>
      <c r="AA86" s="350" t="n"/>
      <c r="AB86" s="350" t="n"/>
      <c r="AC86" s="350" t="n"/>
      <c r="AD86" s="350" t="n"/>
      <c r="AE86" s="350" t="n"/>
      <c r="AF86" s="350" t="n"/>
      <c r="AG86" s="30" t="n"/>
      <c r="AH86" s="30" t="n"/>
      <c r="AI86" s="30" t="n"/>
      <c r="AJ86" s="30" t="n"/>
      <c r="AK86" s="30" t="n"/>
    </row>
    <row r="87" ht="14.25" customHeight="1">
      <c r="A87" s="713" t="inlineStr">
        <is>
          <t>Section 3: Applications to the Information Commissioner on Declining to Act on Requests</t>
        </is>
      </c>
      <c r="M87" s="350" t="n"/>
      <c r="N87" s="350" t="n"/>
      <c r="O87" s="350" t="n"/>
      <c r="P87" s="350" t="n"/>
      <c r="Q87" s="350" t="n"/>
      <c r="R87" s="350" t="n"/>
      <c r="S87" s="350" t="n"/>
      <c r="T87" s="350" t="n"/>
      <c r="U87" s="350" t="n"/>
      <c r="V87" s="350" t="n"/>
      <c r="W87" s="350" t="n"/>
      <c r="X87" s="350" t="n"/>
      <c r="Y87" s="350" t="n"/>
      <c r="Z87" s="350" t="n"/>
      <c r="AA87" s="350" t="n"/>
      <c r="AB87" s="350" t="n"/>
      <c r="AC87" s="350" t="n"/>
      <c r="AD87" s="350" t="n"/>
      <c r="AE87" s="350" t="n"/>
      <c r="AF87" s="350" t="n"/>
      <c r="AG87" s="30" t="n"/>
      <c r="AH87" s="30" t="n"/>
      <c r="AI87" s="30" t="n"/>
      <c r="AJ87" s="30" t="n"/>
      <c r="AK87" s="30" t="n"/>
    </row>
    <row r="88" ht="12" customHeight="1" thickBot="1">
      <c r="M88" s="350" t="n"/>
      <c r="N88" s="350" t="n"/>
      <c r="O88" s="350" t="n"/>
      <c r="P88" s="350" t="n"/>
      <c r="Q88" s="350" t="n"/>
      <c r="R88" s="350" t="n"/>
      <c r="S88" s="350" t="n"/>
      <c r="T88" s="350" t="n"/>
      <c r="U88" s="350" t="n"/>
      <c r="V88" s="350" t="n"/>
      <c r="W88" s="350" t="n"/>
      <c r="X88" s="350" t="n"/>
      <c r="Y88" s="350" t="n"/>
      <c r="Z88" s="350" t="n"/>
      <c r="AA88" s="350" t="n"/>
      <c r="AB88" s="350" t="n"/>
      <c r="AC88" s="350" t="n"/>
      <c r="AD88" s="350" t="n"/>
      <c r="AE88" s="350" t="n"/>
      <c r="AF88" s="350" t="n"/>
      <c r="AG88" s="30" t="n"/>
      <c r="AH88" s="30" t="n"/>
      <c r="AI88" s="30" t="n"/>
      <c r="AJ88" s="30" t="n"/>
      <c r="AK88" s="30" t="n"/>
    </row>
    <row r="89" ht="14.25" customHeight="1" thickBot="1" thickTop="1">
      <c r="A89" s="30" t="n"/>
      <c r="B89" s="30" t="n"/>
      <c r="C89" s="30" t="n"/>
      <c r="D89" s="30" t="n"/>
      <c r="E89" s="30" t="n"/>
      <c r="F89" s="30" t="n"/>
      <c r="G89" s="30" t="n"/>
      <c r="H89" s="1332" t="inlineStr">
        <is>
          <t>Number of Requests</t>
        </is>
      </c>
      <c r="I89" s="1333" t="n"/>
      <c r="J89" s="1333" t="n"/>
      <c r="K89" s="1334" t="n"/>
      <c r="M89" s="350" t="n"/>
      <c r="N89" s="350" t="n"/>
      <c r="O89" s="350" t="n"/>
      <c r="P89" s="350" t="n"/>
      <c r="Q89" s="350" t="n"/>
      <c r="R89" s="350" t="n"/>
      <c r="S89" s="350" t="n"/>
      <c r="T89" s="350" t="n"/>
      <c r="U89" s="350" t="n"/>
      <c r="V89" s="350" t="n"/>
      <c r="W89" s="350" t="n"/>
      <c r="X89" s="350" t="n"/>
      <c r="Y89" s="350" t="n"/>
      <c r="Z89" s="350" t="n"/>
      <c r="AA89" s="350" t="n"/>
      <c r="AB89" s="350" t="n"/>
      <c r="AC89" s="350" t="n"/>
      <c r="AD89" s="350" t="n"/>
      <c r="AE89" s="350" t="n"/>
      <c r="AF89" s="350" t="n"/>
      <c r="AG89" s="30" t="n"/>
      <c r="AH89" s="30" t="n"/>
      <c r="AI89" s="30" t="n"/>
      <c r="AJ89" s="30" t="n"/>
      <c r="AK89" s="30" t="n"/>
    </row>
    <row r="90" ht="15" customHeight="1" thickTop="1">
      <c r="A90" s="906" t="inlineStr">
        <is>
          <t>Outstanding from previous reporting period</t>
        </is>
      </c>
      <c r="B90" s="1336" t="n"/>
      <c r="C90" s="1336" t="n"/>
      <c r="D90" s="1336" t="n"/>
      <c r="E90" s="1336" t="n"/>
      <c r="F90" s="1336" t="n"/>
      <c r="G90" s="1383" t="n"/>
      <c r="H90" s="1338" t="n">
        <v>0</v>
      </c>
      <c r="I90" s="1339" t="n"/>
      <c r="J90" s="1339" t="n"/>
      <c r="K90" s="1340" t="n"/>
      <c r="M90" s="350" t="n"/>
      <c r="N90" s="350" t="n"/>
      <c r="O90" s="350" t="n"/>
      <c r="P90" s="350" t="n"/>
      <c r="Q90" s="350" t="n"/>
      <c r="R90" s="350" t="n"/>
      <c r="S90" s="350" t="n"/>
      <c r="T90" s="350" t="n"/>
      <c r="U90" s="350" t="n"/>
      <c r="V90" s="350" t="n"/>
      <c r="W90" s="350" t="n"/>
      <c r="X90" s="350" t="n"/>
      <c r="Y90" s="350" t="n"/>
      <c r="Z90" s="350" t="n"/>
      <c r="AA90" s="350" t="n"/>
      <c r="AB90" s="350" t="n"/>
      <c r="AC90" s="350" t="n"/>
      <c r="AD90" s="350" t="n"/>
      <c r="AE90" s="350" t="n"/>
      <c r="AF90" s="350" t="n"/>
      <c r="AG90" s="30" t="n"/>
      <c r="AH90" s="30" t="n"/>
      <c r="AI90" s="30" t="n"/>
      <c r="AJ90" s="30" t="n"/>
      <c r="AK90" s="30" t="n"/>
    </row>
    <row r="91" ht="15" customHeight="1" thickBot="1">
      <c r="A91" s="395" t="inlineStr">
        <is>
          <t>Sent during reporting period</t>
        </is>
      </c>
      <c r="B91" s="1348" t="n"/>
      <c r="C91" s="1348" t="n"/>
      <c r="D91" s="1348" t="n"/>
      <c r="E91" s="1348" t="n"/>
      <c r="F91" s="1348" t="n"/>
      <c r="G91" s="1384" t="n"/>
      <c r="H91" s="1385" t="n">
        <v>0</v>
      </c>
      <c r="I91" s="1363" t="n"/>
      <c r="J91" s="1363" t="n"/>
      <c r="K91" s="1379" t="n"/>
      <c r="M91" s="350" t="n"/>
      <c r="N91" s="350" t="n"/>
      <c r="O91" s="350" t="n"/>
      <c r="P91" s="350" t="n"/>
      <c r="Q91" s="350" t="n"/>
      <c r="R91" s="350" t="n"/>
      <c r="S91" s="350" t="n"/>
      <c r="T91" s="350" t="n"/>
      <c r="U91" s="350" t="n"/>
      <c r="V91" s="350" t="n"/>
      <c r="W91" s="350" t="n"/>
      <c r="X91" s="350" t="n"/>
      <c r="Y91" s="350" t="n"/>
      <c r="Z91" s="350" t="n"/>
      <c r="AA91" s="350" t="n"/>
      <c r="AB91" s="350" t="n"/>
      <c r="AC91" s="350" t="n"/>
      <c r="AD91" s="350" t="n"/>
      <c r="AE91" s="350" t="n"/>
      <c r="AF91" s="350" t="n"/>
      <c r="AG91" s="30" t="n"/>
      <c r="AH91" s="30" t="n"/>
      <c r="AI91" s="30" t="n"/>
      <c r="AJ91" s="30" t="n"/>
      <c r="AK91" s="30" t="n"/>
    </row>
    <row r="92" ht="15.75" customHeight="1" thickBot="1" thickTop="1">
      <c r="A92" s="928" t="inlineStr">
        <is>
          <t>Total</t>
        </is>
      </c>
      <c r="B92" s="1333" t="n"/>
      <c r="C92" s="1333" t="n"/>
      <c r="D92" s="1333" t="n"/>
      <c r="E92" s="1333" t="n"/>
      <c r="F92" s="1333" t="n"/>
      <c r="G92" s="1386" t="n"/>
      <c r="H92" s="1387">
        <f>SUM(H90:K91)</f>
        <v/>
      </c>
      <c r="I92" s="1333" t="n"/>
      <c r="J92" s="1333" t="n"/>
      <c r="K92" s="1334" t="n"/>
      <c r="M92" s="350" t="n"/>
      <c r="N92" s="350" t="n"/>
      <c r="O92" s="350" t="n"/>
      <c r="P92" s="350" t="n"/>
      <c r="Q92" s="350" t="n"/>
      <c r="R92" s="350" t="n"/>
      <c r="S92" s="350" t="n"/>
      <c r="T92" s="350" t="n"/>
      <c r="U92" s="350" t="n"/>
      <c r="V92" s="350" t="n"/>
      <c r="W92" s="350" t="n"/>
      <c r="X92" s="350" t="n"/>
      <c r="Y92" s="350" t="n"/>
      <c r="Z92" s="350" t="n"/>
      <c r="AA92" s="350" t="n"/>
      <c r="AB92" s="350" t="n"/>
      <c r="AC92" s="350" t="n"/>
      <c r="AD92" s="350" t="n"/>
      <c r="AE92" s="350" t="n"/>
      <c r="AF92" s="350" t="n"/>
      <c r="AG92" s="30" t="n"/>
      <c r="AH92" s="30" t="n"/>
      <c r="AI92" s="30" t="n"/>
      <c r="AJ92" s="30" t="n"/>
      <c r="AK92" s="30" t="n"/>
    </row>
    <row r="93" ht="15" customHeight="1" thickTop="1">
      <c r="A93" s="909" t="inlineStr">
        <is>
          <t xml:space="preserve">Approved by the Information Commissioner during reporting period </t>
        </is>
      </c>
      <c r="B93" s="1336" t="n"/>
      <c r="C93" s="1336" t="n"/>
      <c r="D93" s="1336" t="n"/>
      <c r="E93" s="1336" t="n"/>
      <c r="F93" s="1336" t="n"/>
      <c r="G93" s="1383" t="n"/>
      <c r="H93" s="1388" t="n">
        <v>0</v>
      </c>
      <c r="I93" s="1330" t="n"/>
      <c r="J93" s="1330" t="n"/>
      <c r="K93" s="1389" t="n"/>
      <c r="M93" s="350" t="n"/>
      <c r="N93" s="350" t="n"/>
      <c r="O93" s="350" t="n"/>
      <c r="P93" s="350" t="n"/>
      <c r="Q93" s="350" t="n"/>
      <c r="R93" s="350" t="n"/>
      <c r="S93" s="350" t="n"/>
      <c r="T93" s="350" t="n"/>
      <c r="U93" s="350" t="n"/>
      <c r="V93" s="350" t="n"/>
      <c r="W93" s="350" t="n"/>
      <c r="X93" s="350" t="n"/>
      <c r="Y93" s="350" t="n"/>
      <c r="Z93" s="350" t="n"/>
      <c r="AA93" s="350" t="n"/>
      <c r="AB93" s="350" t="n"/>
      <c r="AC93" s="350" t="n"/>
      <c r="AD93" s="350" t="n"/>
      <c r="AE93" s="350" t="n"/>
      <c r="AF93" s="350" t="n"/>
      <c r="AG93" s="30" t="n"/>
      <c r="AH93" s="30" t="n"/>
      <c r="AI93" s="30" t="n"/>
      <c r="AJ93" s="30" t="n"/>
      <c r="AK93" s="30" t="n"/>
    </row>
    <row r="94">
      <c r="A94" s="714" t="inlineStr">
        <is>
          <t xml:space="preserve">Declined by the Information Commissioner during reporting period </t>
        </is>
      </c>
      <c r="B94" s="1342" t="n"/>
      <c r="C94" s="1342" t="n"/>
      <c r="D94" s="1342" t="n"/>
      <c r="E94" s="1342" t="n"/>
      <c r="F94" s="1342" t="n"/>
      <c r="G94" s="1390" t="n"/>
      <c r="H94" s="1391" t="n">
        <v>0</v>
      </c>
      <c r="I94" s="1362" t="n"/>
      <c r="J94" s="1362" t="n"/>
      <c r="K94" s="1368" t="n"/>
      <c r="M94" s="350" t="n"/>
      <c r="N94" s="350" t="n"/>
      <c r="O94" s="350" t="n"/>
      <c r="P94" s="350" t="n"/>
      <c r="Q94" s="350" t="n"/>
      <c r="R94" s="350" t="n"/>
      <c r="S94" s="350" t="n"/>
      <c r="T94" s="350" t="n"/>
      <c r="U94" s="350" t="n"/>
      <c r="V94" s="350" t="n"/>
      <c r="W94" s="350" t="n"/>
      <c r="X94" s="350" t="n"/>
      <c r="Y94" s="350" t="n"/>
      <c r="Z94" s="350" t="n"/>
      <c r="AA94" s="350" t="n"/>
      <c r="AB94" s="350" t="n"/>
      <c r="AC94" s="350" t="n"/>
      <c r="AD94" s="350" t="n"/>
      <c r="AE94" s="350" t="n"/>
      <c r="AF94" s="350" t="n"/>
      <c r="AG94" s="30" t="n"/>
      <c r="AH94" s="30" t="n"/>
      <c r="AI94" s="30" t="n"/>
      <c r="AJ94" s="30" t="n"/>
      <c r="AK94" s="30" t="n"/>
    </row>
    <row r="95" ht="15" customHeight="1">
      <c r="A95" s="1392" t="inlineStr">
        <is>
          <t>Withdrawn during reporting period</t>
        </is>
      </c>
      <c r="B95" s="1342" t="n"/>
      <c r="C95" s="1342" t="n"/>
      <c r="D95" s="1342" t="n"/>
      <c r="E95" s="1342" t="n"/>
      <c r="F95" s="1342" t="n"/>
      <c r="G95" s="1343" t="n"/>
      <c r="H95" s="1391" t="n">
        <v>0</v>
      </c>
      <c r="I95" s="1362" t="n"/>
      <c r="J95" s="1362" t="n"/>
      <c r="K95" s="1368" t="n"/>
      <c r="L95" s="916">
        <f>IF(SUM(H93:K96)-H92&lt;&gt;0,"Section 3 - The ""Carried over to next reporting period"" must be equal to the ""Total"" minus ""Approved by the Information Commissioner"" minus ""Declined by the Information Commissioner"" minus ""Withdrawn during reporting period"" of Section 3","")</f>
        <v/>
      </c>
      <c r="AA95" s="350" t="n"/>
      <c r="AB95" s="350" t="n"/>
      <c r="AC95" s="350" t="n"/>
      <c r="AD95" s="350" t="n"/>
      <c r="AE95" s="350" t="n"/>
      <c r="AF95" s="350" t="n"/>
      <c r="AG95" s="30" t="n"/>
      <c r="AH95" s="30" t="n"/>
      <c r="AI95" s="30" t="n"/>
      <c r="AJ95" s="30" t="n"/>
      <c r="AK95" s="30" t="n"/>
    </row>
    <row r="96" ht="15" customHeight="1" thickBot="1">
      <c r="A96" s="717" t="inlineStr">
        <is>
          <t>Carried over to next reporting period</t>
        </is>
      </c>
      <c r="B96" s="1348" t="n"/>
      <c r="C96" s="1348" t="n"/>
      <c r="D96" s="1348" t="n"/>
      <c r="E96" s="1348" t="n"/>
      <c r="F96" s="1348" t="n"/>
      <c r="G96" s="1384" t="n"/>
      <c r="H96" s="1385" t="n">
        <v>0</v>
      </c>
      <c r="I96" s="1363" t="n"/>
      <c r="J96" s="1363" t="n"/>
      <c r="K96" s="1379" t="n"/>
      <c r="AA96" s="350" t="n"/>
      <c r="AB96" s="350" t="n"/>
      <c r="AC96" s="350" t="n"/>
      <c r="AD96" s="350" t="n"/>
      <c r="AE96" s="350" t="n"/>
      <c r="AF96" s="350" t="n"/>
      <c r="AG96" s="30" t="n"/>
      <c r="AH96" s="30" t="n"/>
      <c r="AI96" s="30" t="n"/>
      <c r="AJ96" s="30" t="n"/>
      <c r="AK96" s="30" t="n"/>
    </row>
    <row r="97" ht="14.25" customHeight="1" thickTop="1">
      <c r="M97" s="350" t="n"/>
      <c r="N97" s="350" t="n"/>
      <c r="O97" s="350" t="n"/>
      <c r="P97" s="350" t="n"/>
      <c r="Q97" s="350" t="n"/>
      <c r="R97" s="350" t="n"/>
      <c r="S97" s="350" t="n"/>
      <c r="T97" s="350" t="n"/>
      <c r="U97" s="350" t="n"/>
      <c r="V97" s="350" t="n"/>
      <c r="W97" s="350" t="n"/>
      <c r="X97" s="350" t="n"/>
      <c r="Y97" s="350" t="n"/>
      <c r="Z97" s="350" t="n"/>
      <c r="AA97" s="350" t="n"/>
      <c r="AB97" s="350" t="n"/>
      <c r="AC97" s="350" t="n"/>
      <c r="AD97" s="350" t="n"/>
      <c r="AE97" s="350" t="n"/>
      <c r="AF97" s="350" t="n"/>
      <c r="AG97" s="30" t="n"/>
      <c r="AH97" s="30" t="n"/>
      <c r="AI97" s="30" t="n"/>
      <c r="AJ97" s="30" t="n"/>
      <c r="AK97" s="30" t="n"/>
    </row>
    <row r="98" ht="14.25" customHeight="1">
      <c r="A98" s="713" t="inlineStr">
        <is>
          <t xml:space="preserve">Section 4: Requests Closed During the Reporting Period </t>
        </is>
      </c>
      <c r="M98" s="350" t="n"/>
      <c r="N98" s="350" t="n"/>
      <c r="O98" s="350" t="n"/>
      <c r="P98" s="350" t="n"/>
      <c r="Q98" s="350" t="n"/>
      <c r="R98" s="350" t="n"/>
      <c r="S98" s="350" t="n"/>
      <c r="T98" s="350" t="n"/>
      <c r="U98" s="350" t="n"/>
      <c r="V98" s="350" t="n"/>
      <c r="W98" s="350" t="n"/>
      <c r="X98" s="350" t="n"/>
      <c r="Y98" s="350" t="n"/>
      <c r="Z98" s="350" t="n"/>
      <c r="AA98" s="350" t="n"/>
      <c r="AB98" s="350" t="n"/>
      <c r="AC98" s="350" t="n"/>
      <c r="AD98" s="350" t="n"/>
      <c r="AE98" s="350" t="n"/>
      <c r="AF98" s="350" t="n"/>
      <c r="AG98" s="30" t="n"/>
      <c r="AH98" s="30" t="n"/>
      <c r="AI98" s="30" t="n"/>
      <c r="AJ98" s="30" t="n"/>
      <c r="AK98" s="30" t="n"/>
    </row>
    <row r="99">
      <c r="M99" s="350" t="n"/>
      <c r="N99" s="350" t="n"/>
      <c r="O99" s="350" t="n"/>
      <c r="P99" s="350" t="n"/>
      <c r="Q99" s="350" t="n"/>
      <c r="R99" s="350" t="n"/>
      <c r="S99" s="350" t="n"/>
      <c r="T99" s="350" t="n"/>
      <c r="U99" s="350" t="n"/>
      <c r="V99" s="350" t="n"/>
      <c r="W99" s="350" t="n"/>
      <c r="X99" s="350" t="n"/>
      <c r="Y99" s="350" t="n"/>
      <c r="Z99" s="350" t="n"/>
      <c r="AA99" s="350" t="n"/>
      <c r="AB99" s="350" t="n"/>
      <c r="AC99" s="350" t="n"/>
      <c r="AD99" s="350" t="n"/>
      <c r="AE99" s="350" t="n"/>
      <c r="AF99" s="350" t="n"/>
      <c r="AG99" s="30" t="n"/>
      <c r="AH99" s="30" t="n"/>
      <c r="AI99" s="30" t="n"/>
      <c r="AJ99" s="30" t="n"/>
      <c r="AK99" s="30" t="n"/>
    </row>
    <row r="100" ht="14.25" customHeight="1">
      <c r="A100" s="374" t="inlineStr">
        <is>
          <t>4.1 Disposition and completion time</t>
        </is>
      </c>
      <c r="M100" s="191">
        <f>IF(L105&gt;SUM(C118:C135,F118:F133,I118:I131,L118:L130,C140:D145,G140:H146,K140:L146),"The total number of requests in ""Disclosed in part"" must be equal to or less than the total number of requests reported in table 4.2 and table 4.3","")</f>
        <v/>
      </c>
      <c r="N100" s="350" t="n"/>
      <c r="O100" s="350" t="n"/>
      <c r="P100" s="350" t="n"/>
      <c r="Q100" s="350" t="n"/>
      <c r="R100" s="350" t="n"/>
      <c r="S100" s="350" t="n"/>
      <c r="T100" s="350" t="n"/>
      <c r="U100" s="350" t="n"/>
      <c r="V100" s="350" t="n"/>
      <c r="W100" s="350" t="n"/>
      <c r="X100" s="350" t="n"/>
      <c r="Y100" s="350" t="n"/>
      <c r="Z100" s="350" t="n"/>
      <c r="AA100" s="350" t="n"/>
      <c r="AB100" s="350" t="n"/>
      <c r="AC100" s="350" t="n"/>
      <c r="AD100" s="350" t="n"/>
      <c r="AE100" s="350" t="n"/>
      <c r="AF100" s="350" t="n"/>
      <c r="AG100" s="30" t="n"/>
      <c r="AH100" s="30" t="n"/>
      <c r="AI100" s="30" t="n"/>
      <c r="AJ100" s="30" t="n"/>
      <c r="AK100" s="30" t="n"/>
    </row>
    <row r="101" ht="12.75" customHeight="1" thickBot="1">
      <c r="M101" s="191">
        <f>IF(L106&gt;SUM(C118:C135,F118:F133,I118:I131,L118:L130),"The total number of requests in ""All exempted"" must be equal to or less than the total number of requests reported in table 4.2","")</f>
        <v/>
      </c>
      <c r="N101" s="350" t="n"/>
      <c r="O101" s="350" t="n"/>
      <c r="P101" s="350" t="n"/>
      <c r="Q101" s="350" t="n"/>
      <c r="R101" s="350" t="n"/>
      <c r="S101" s="350" t="n"/>
      <c r="T101" s="350" t="n"/>
      <c r="U101" s="350" t="n"/>
      <c r="V101" s="350" t="n"/>
      <c r="W101" s="350" t="n"/>
      <c r="X101" s="350" t="n"/>
      <c r="Y101" s="350" t="n"/>
      <c r="Z101" s="350" t="n"/>
      <c r="AA101" s="350" t="n"/>
      <c r="AB101" s="350" t="n"/>
      <c r="AC101" s="350" t="n"/>
      <c r="AD101" s="350" t="n"/>
      <c r="AE101" s="350" t="n"/>
      <c r="AF101" s="350" t="n"/>
      <c r="AG101" s="30" t="n"/>
      <c r="AH101" s="30" t="n"/>
      <c r="AI101" s="30" t="n"/>
      <c r="AJ101" s="30" t="n"/>
      <c r="AK101" s="30" t="n"/>
    </row>
    <row r="102" ht="14.25" customHeight="1" thickTop="1">
      <c r="A102" s="852" t="inlineStr">
        <is>
          <t>Disposition of Requests</t>
        </is>
      </c>
      <c r="B102" s="1353" t="n"/>
      <c r="C102" s="1353" t="n"/>
      <c r="D102" s="1393" t="n"/>
      <c r="E102" s="848" t="inlineStr">
        <is>
          <t>Completion Time</t>
        </is>
      </c>
      <c r="F102" s="1336" t="n"/>
      <c r="G102" s="1336" t="n"/>
      <c r="H102" s="1336" t="n"/>
      <c r="I102" s="1336" t="n"/>
      <c r="J102" s="1336" t="n"/>
      <c r="K102" s="1336" t="n"/>
      <c r="L102" s="1383" t="n"/>
      <c r="M102" s="191">
        <f>IF(L107&gt;SUM(C140:D145,G140:H146,K140:L146),"The total number of requests in ""All excluded"" must be equal to or less than the total number of requests reported in table 4.3","")</f>
        <v/>
      </c>
      <c r="N102" s="350" t="n"/>
      <c r="O102" s="350" t="n"/>
      <c r="P102" s="350" t="n"/>
      <c r="Q102" s="350" t="n"/>
      <c r="R102" s="350" t="n"/>
      <c r="S102" s="350" t="n"/>
      <c r="T102" s="350" t="n"/>
      <c r="U102" s="350" t="n"/>
      <c r="V102" s="350" t="n"/>
      <c r="W102" s="350" t="n"/>
      <c r="X102" s="350" t="n"/>
      <c r="Y102" s="350" t="n"/>
      <c r="Z102" s="350" t="n"/>
      <c r="AA102" s="350" t="n"/>
      <c r="AB102" s="350" t="n"/>
      <c r="AC102" s="350" t="n"/>
      <c r="AD102" s="350" t="n"/>
      <c r="AE102" s="350" t="n"/>
      <c r="AF102" s="350" t="n"/>
      <c r="AG102" s="30" t="n"/>
      <c r="AH102" s="30" t="n"/>
      <c r="AI102" s="30" t="n"/>
      <c r="AJ102" s="30" t="n"/>
      <c r="AK102" s="30" t="n"/>
    </row>
    <row r="103" ht="34.5" customHeight="1" thickBot="1">
      <c r="A103" s="1394" t="n"/>
      <c r="B103" s="1331" t="n"/>
      <c r="C103" s="1331" t="n"/>
      <c r="D103" s="1395" t="n"/>
      <c r="E103" s="220" t="inlineStr">
        <is>
          <t>0 to 15 Days</t>
        </is>
      </c>
      <c r="F103" s="324" t="inlineStr">
        <is>
          <t>16 to 30 Days</t>
        </is>
      </c>
      <c r="G103" s="220" t="inlineStr">
        <is>
          <t>31 to 60 Days</t>
        </is>
      </c>
      <c r="H103" s="325" t="inlineStr">
        <is>
          <t>61 to 120 Days</t>
        </is>
      </c>
      <c r="I103" s="324" t="inlineStr">
        <is>
          <t>121 to 180 Days</t>
        </is>
      </c>
      <c r="J103" s="220" t="inlineStr">
        <is>
          <t>181 to 365 Days</t>
        </is>
      </c>
      <c r="K103" s="326" t="inlineStr">
        <is>
          <t>More Than 365 Days</t>
        </is>
      </c>
      <c r="L103" s="327" t="inlineStr">
        <is>
          <t>Total</t>
        </is>
      </c>
      <c r="AA103" s="350" t="n"/>
      <c r="AB103" s="350" t="n"/>
      <c r="AC103" s="350" t="n"/>
      <c r="AD103" s="350" t="n"/>
      <c r="AE103" s="350" t="n"/>
      <c r="AF103" s="350" t="n"/>
      <c r="AG103" s="30" t="n"/>
      <c r="AH103" s="30" t="n"/>
      <c r="AI103" s="30" t="n"/>
      <c r="AJ103" s="30" t="n"/>
      <c r="AK103" s="30" t="n"/>
    </row>
    <row r="104" ht="15" customHeight="1" thickTop="1">
      <c r="A104" s="858" t="inlineStr">
        <is>
          <t>All disclosed</t>
        </is>
      </c>
      <c r="B104" s="1336" t="n"/>
      <c r="C104" s="1336" t="n"/>
      <c r="D104" s="1383" t="n"/>
      <c r="E104" s="132" t="n">
        <v>0</v>
      </c>
      <c r="F104" s="132" t="n">
        <v>0</v>
      </c>
      <c r="G104" s="132" t="n">
        <v>0</v>
      </c>
      <c r="H104" s="132" t="n">
        <v>0</v>
      </c>
      <c r="I104" s="132" t="n">
        <v>0</v>
      </c>
      <c r="J104" s="132" t="n">
        <v>0</v>
      </c>
      <c r="K104" s="364" t="n">
        <v>0</v>
      </c>
      <c r="L104" s="228">
        <f>SUM(E104:K104)</f>
        <v/>
      </c>
      <c r="M104" s="342">
        <f>IF(AB166&lt;L104,"Section 4.1 - The total of ""All disclosed"" should equal to or greater than the number of ""All disclosed"" from ""Sections 4.5.2, 4.5.4 and 4.5.6""","")</f>
        <v/>
      </c>
      <c r="AA104" s="342" t="n"/>
      <c r="AH104" s="366" t="n"/>
      <c r="AI104" s="30" t="n"/>
      <c r="AJ104" s="30" t="n"/>
      <c r="AK104" s="30" t="n"/>
    </row>
    <row r="105">
      <c r="A105" s="409" t="inlineStr">
        <is>
          <t>Disclosed in part</t>
        </is>
      </c>
      <c r="B105" s="1342" t="n"/>
      <c r="C105" s="1342" t="n"/>
      <c r="D105" s="1390" t="n"/>
      <c r="E105" s="153" t="n">
        <v>0</v>
      </c>
      <c r="F105" s="153" t="n">
        <v>0</v>
      </c>
      <c r="G105" s="153" t="n">
        <v>0</v>
      </c>
      <c r="H105" s="153" t="n">
        <v>0</v>
      </c>
      <c r="I105" s="153" t="n">
        <v>0</v>
      </c>
      <c r="J105" s="153" t="n">
        <v>0</v>
      </c>
      <c r="K105" s="676" t="n">
        <v>0</v>
      </c>
      <c r="L105" s="229">
        <f>SUM(E105:K105)</f>
        <v/>
      </c>
      <c r="M105" s="342">
        <f>IF(AB167&lt;L105,"Section 4.1 - The total of ""Disclosed in part"" should equal to or greater than the number of ""Disclosed in part"" from ""Sections 4.5.2, 4.5.4 and 4.5.6""","")</f>
        <v/>
      </c>
      <c r="AH105" s="366" t="n"/>
      <c r="AI105" s="30" t="n"/>
      <c r="AJ105" s="30" t="n"/>
      <c r="AK105" s="30" t="n"/>
    </row>
    <row r="106">
      <c r="A106" s="409" t="inlineStr">
        <is>
          <t>All exempted</t>
        </is>
      </c>
      <c r="B106" s="1342" t="n"/>
      <c r="C106" s="1342" t="n"/>
      <c r="D106" s="1390" t="n"/>
      <c r="E106" s="153" t="n">
        <v>0</v>
      </c>
      <c r="F106" s="153" t="n">
        <v>0</v>
      </c>
      <c r="G106" s="153" t="n">
        <v>0</v>
      </c>
      <c r="H106" s="153" t="n">
        <v>0</v>
      </c>
      <c r="I106" s="153" t="n">
        <v>0</v>
      </c>
      <c r="J106" s="153" t="n">
        <v>0</v>
      </c>
      <c r="K106" s="153" t="n">
        <v>0</v>
      </c>
      <c r="L106" s="229">
        <f>SUM(E106:K106)</f>
        <v/>
      </c>
      <c r="M106" s="342">
        <f>IF(AB168&lt;L106,"Section 4.1 - The total of ""All exempted"" should equal to or greater than the number of ""All exempted"" from ""Sections 4.5.2, 4.5.4 and 4.5.6""","")</f>
        <v/>
      </c>
      <c r="AA106" s="366" t="n"/>
      <c r="AB106" s="366" t="n"/>
      <c r="AC106" s="366" t="n"/>
      <c r="AD106" s="366" t="n"/>
      <c r="AE106" s="366" t="n"/>
      <c r="AF106" s="366" t="n"/>
      <c r="AG106" s="366" t="n"/>
      <c r="AH106" s="366" t="n"/>
      <c r="AI106" s="30" t="n"/>
      <c r="AJ106" s="30" t="n"/>
      <c r="AK106" s="30" t="n"/>
    </row>
    <row r="107">
      <c r="A107" s="409" t="inlineStr">
        <is>
          <t>All excluded</t>
        </is>
      </c>
      <c r="B107" s="1342" t="n"/>
      <c r="C107" s="1342" t="n"/>
      <c r="D107" s="1390" t="n"/>
      <c r="E107" s="153" t="n">
        <v>0</v>
      </c>
      <c r="F107" s="153" t="n">
        <v>0</v>
      </c>
      <c r="G107" s="153" t="n">
        <v>0</v>
      </c>
      <c r="H107" s="153" t="n">
        <v>0</v>
      </c>
      <c r="I107" s="153" t="n">
        <v>0</v>
      </c>
      <c r="J107" s="153" t="n">
        <v>0</v>
      </c>
      <c r="K107" s="676" t="n">
        <v>0</v>
      </c>
      <c r="L107" s="229">
        <f>SUM(E107:K107)</f>
        <v/>
      </c>
      <c r="M107" s="342">
        <f>IF(AB169&lt;L107,"Section 4.1 - The total of ""All excluded"" should equal to or greater than the number of ""All excluded"" from ""Sections 4.5.2, 4.5.4 and 4.5.6""","")</f>
        <v/>
      </c>
      <c r="AA107" s="366" t="n"/>
      <c r="AB107" s="366" t="n"/>
      <c r="AC107" s="366" t="n"/>
      <c r="AD107" s="366" t="n"/>
      <c r="AE107" s="366" t="n"/>
      <c r="AF107" s="366" t="n"/>
      <c r="AG107" s="366" t="n"/>
      <c r="AH107" s="366" t="n"/>
      <c r="AI107" s="30" t="n"/>
      <c r="AJ107" s="30" t="n"/>
      <c r="AK107" s="30" t="n"/>
    </row>
    <row r="108">
      <c r="A108" s="409" t="inlineStr">
        <is>
          <t>No records exist</t>
        </is>
      </c>
      <c r="B108" s="1342" t="n"/>
      <c r="C108" s="1342" t="n"/>
      <c r="D108" s="1390" t="n"/>
      <c r="E108" s="153" t="n">
        <v>0</v>
      </c>
      <c r="F108" s="153" t="n">
        <v>0</v>
      </c>
      <c r="G108" s="153" t="n">
        <v>0</v>
      </c>
      <c r="H108" s="153" t="n">
        <v>0</v>
      </c>
      <c r="I108" s="153" t="n">
        <v>0</v>
      </c>
      <c r="J108" s="153" t="n">
        <v>0</v>
      </c>
      <c r="K108" s="579" t="n">
        <v>0</v>
      </c>
      <c r="L108" s="229">
        <f>SUM(E108:K108)</f>
        <v/>
      </c>
      <c r="M108" s="366" t="n"/>
      <c r="AI108" s="30" t="n"/>
      <c r="AJ108" s="30" t="n"/>
      <c r="AK108" s="30" t="n"/>
    </row>
    <row r="109">
      <c r="A109" s="409" t="inlineStr">
        <is>
          <t>Request transferred</t>
        </is>
      </c>
      <c r="B109" s="1342" t="n"/>
      <c r="C109" s="1342" t="n"/>
      <c r="D109" s="1390" t="n"/>
      <c r="E109" s="153" t="n">
        <v>0</v>
      </c>
      <c r="F109" s="153" t="n">
        <v>0</v>
      </c>
      <c r="G109" s="153" t="n">
        <v>0</v>
      </c>
      <c r="H109" s="153" t="n">
        <v>0</v>
      </c>
      <c r="I109" s="153" t="n">
        <v>0</v>
      </c>
      <c r="J109" s="153" t="n">
        <v>0</v>
      </c>
      <c r="K109" s="676" t="n">
        <v>0</v>
      </c>
      <c r="L109" s="229">
        <f>SUM(E109:K109)</f>
        <v/>
      </c>
      <c r="M109" s="366" t="n"/>
      <c r="AI109" s="30" t="n"/>
      <c r="AJ109" s="30" t="n"/>
      <c r="AK109" s="30" t="n"/>
    </row>
    <row r="110">
      <c r="A110" s="409" t="inlineStr">
        <is>
          <t>Request abandoned</t>
        </is>
      </c>
      <c r="B110" s="1342" t="n"/>
      <c r="C110" s="1342" t="n"/>
      <c r="D110" s="1390" t="n"/>
      <c r="E110" s="153" t="n">
        <v>0</v>
      </c>
      <c r="F110" s="153" t="n">
        <v>0</v>
      </c>
      <c r="G110" s="153" t="n">
        <v>0</v>
      </c>
      <c r="H110" s="153" t="n">
        <v>0</v>
      </c>
      <c r="I110" s="153" t="n">
        <v>0</v>
      </c>
      <c r="J110" s="153" t="n">
        <v>0</v>
      </c>
      <c r="K110" s="579" t="n">
        <v>0</v>
      </c>
      <c r="L110" s="229">
        <f>SUM(E110:K110)</f>
        <v/>
      </c>
      <c r="M110" s="342">
        <f>IF(AB170&lt;L110,"Section 4.1 - The total of ""Request abandoned"" should equal to or greater than the number of ""Request abandoned"" from ""Sections 4.5.2, 4.5.4 and 4.5.6""","")</f>
        <v/>
      </c>
      <c r="AB110" s="366" t="n"/>
      <c r="AC110" s="366" t="n"/>
      <c r="AD110" s="366" t="n"/>
      <c r="AE110" s="366" t="n"/>
      <c r="AF110" s="366" t="n"/>
      <c r="AG110" s="366" t="n"/>
      <c r="AH110" s="366" t="n"/>
      <c r="AI110" s="30" t="n"/>
      <c r="AJ110" s="30" t="n"/>
      <c r="AK110" s="30" t="n"/>
    </row>
    <row r="111" ht="16.5" customHeight="1">
      <c r="A111" s="920" t="inlineStr">
        <is>
          <t>Neither confirmed nor denied</t>
        </is>
      </c>
      <c r="B111" s="1342" t="n"/>
      <c r="C111" s="1342" t="n"/>
      <c r="D111" s="1390" t="n"/>
      <c r="E111" s="153" t="n">
        <v>0</v>
      </c>
      <c r="F111" s="153" t="n">
        <v>0</v>
      </c>
      <c r="G111" s="153" t="n">
        <v>0</v>
      </c>
      <c r="H111" s="153" t="n">
        <v>0</v>
      </c>
      <c r="I111" s="153" t="n">
        <v>0</v>
      </c>
      <c r="J111" s="153" t="n">
        <v>0</v>
      </c>
      <c r="K111" s="579" t="n">
        <v>0</v>
      </c>
      <c r="L111" s="229">
        <f>SUM(E111:K111)</f>
        <v/>
      </c>
      <c r="M111" s="342">
        <f>IF(AB171&lt;L111,"Section 4.1 - The total of ""Neither confirmed nor denied"" should equal to or greater than the number of ""Neither confirmed nor denied"" from ""Sections 4.5.2, 4.5.4 and 4.5.6""","")</f>
        <v/>
      </c>
      <c r="AC111" s="366" t="n"/>
      <c r="AD111" s="366" t="n"/>
      <c r="AE111" s="366" t="n"/>
      <c r="AF111" s="366" t="n"/>
      <c r="AG111" s="366" t="n"/>
      <c r="AH111" s="366" t="n"/>
      <c r="AI111" s="30" t="n"/>
      <c r="AJ111" s="30" t="n"/>
      <c r="AK111" s="30" t="n"/>
    </row>
    <row r="112" ht="27" customHeight="1" thickBot="1">
      <c r="A112" s="925" t="inlineStr">
        <is>
          <t>Declined to act with the approval of the Information Commissioner</t>
        </is>
      </c>
      <c r="B112" s="1348" t="n"/>
      <c r="C112" s="1348" t="n"/>
      <c r="D112" s="1384" t="n"/>
      <c r="E112" s="503" t="n">
        <v>0</v>
      </c>
      <c r="F112" s="503" t="n">
        <v>0</v>
      </c>
      <c r="G112" s="503" t="n">
        <v>0</v>
      </c>
      <c r="H112" s="503" t="n">
        <v>0</v>
      </c>
      <c r="I112" s="503" t="n">
        <v>0</v>
      </c>
      <c r="J112" s="503" t="n">
        <v>0</v>
      </c>
      <c r="K112" s="503" t="n">
        <v>0</v>
      </c>
      <c r="L112" s="230">
        <f>SUM(E112:K112)</f>
        <v/>
      </c>
      <c r="M112" s="342">
        <f>IF(AB172&lt;L112,"Section 4.1 - The total of ""Declined to act with the approval of the Information Commissioner"" should equal to or greater than the number of ""Declined to act with the approval of the Information Commissioner"" from ""Sections 4.5.2, 4.5.4 and 4.5.6""","")</f>
        <v/>
      </c>
      <c r="AA112" s="366" t="n"/>
      <c r="AB112" s="366" t="n"/>
      <c r="AC112" s="366" t="n"/>
      <c r="AD112" s="366" t="n"/>
      <c r="AE112" s="366" t="n"/>
      <c r="AF112" s="366" t="n"/>
      <c r="AG112" s="366" t="n"/>
      <c r="AH112" s="366" t="n"/>
      <c r="AI112" s="30" t="n"/>
      <c r="AJ112" s="30" t="n"/>
      <c r="AK112" s="30" t="n"/>
    </row>
    <row r="113" ht="15.75" customHeight="1" thickBot="1" thickTop="1">
      <c r="A113" s="720" t="inlineStr">
        <is>
          <t>Total</t>
        </is>
      </c>
      <c r="B113" s="1333" t="n"/>
      <c r="C113" s="1333" t="n"/>
      <c r="D113" s="1386" t="n"/>
      <c r="E113" s="224">
        <f>SUM(E104:E112)</f>
        <v/>
      </c>
      <c r="F113" s="225">
        <f>SUM(F104:F112)</f>
        <v/>
      </c>
      <c r="G113" s="225">
        <f>SUM(G104:G112)</f>
        <v/>
      </c>
      <c r="H113" s="225">
        <f>SUM(H104:H112)</f>
        <v/>
      </c>
      <c r="I113" s="225">
        <f>SUM(I104:I112)</f>
        <v/>
      </c>
      <c r="J113" s="225">
        <f>SUM(J104:J112)</f>
        <v/>
      </c>
      <c r="K113" s="226">
        <f>SUM(K104:K112)</f>
        <v/>
      </c>
      <c r="L113" s="227">
        <f>SUM(E113:K113)</f>
        <v/>
      </c>
      <c r="M113" s="342">
        <f>IF(H93&lt;&gt;L112,"Section 4.1 - The total number of ""Declined to act with the approval of the Information Commissioner"" should be equal to ""Approved by the Information Commissioner during reporting period  "" of Section 3","")</f>
        <v/>
      </c>
      <c r="AA113" s="366" t="n"/>
      <c r="AB113" s="366" t="n"/>
      <c r="AC113" s="366" t="n"/>
      <c r="AD113" s="366" t="n"/>
      <c r="AE113" s="366" t="n"/>
      <c r="AF113" s="366" t="n"/>
      <c r="AG113" s="366" t="n"/>
      <c r="AH113" s="366" t="n"/>
      <c r="AI113" s="30" t="n"/>
      <c r="AJ113" s="30" t="n"/>
      <c r="AK113" s="30" t="n"/>
    </row>
    <row r="114" ht="14.25" customHeight="1" thickTop="1">
      <c r="F114" s="826" t="n"/>
      <c r="L114" s="59">
        <f>SUM(L104:L107,L110:L112)</f>
        <v/>
      </c>
      <c r="M114" s="342">
        <f>IF(L113&lt;&gt;H19,"Section 4.1 - The Total of the ""Total"" should be equal to ""Closed during reporting period"" of Section 1.1","")</f>
        <v/>
      </c>
      <c r="AA114" s="366" t="n"/>
      <c r="AB114" s="366" t="n"/>
      <c r="AC114" s="366" t="n"/>
      <c r="AD114" s="366" t="n"/>
      <c r="AE114" s="366" t="n"/>
      <c r="AF114" s="366" t="n"/>
      <c r="AG114" s="366" t="n"/>
      <c r="AH114" s="366" t="n"/>
      <c r="AI114" s="30" t="n"/>
      <c r="AJ114" s="30" t="n"/>
      <c r="AK114" s="30" t="n"/>
    </row>
    <row r="115" ht="15" customHeight="1">
      <c r="A115" s="374" t="inlineStr">
        <is>
          <t xml:space="preserve">4.2 Exemptions </t>
        </is>
      </c>
      <c r="M115" s="350" t="n"/>
      <c r="N115" s="350" t="n"/>
      <c r="O115" s="350" t="n"/>
      <c r="P115" s="350" t="n"/>
      <c r="Q115" s="350" t="n"/>
      <c r="R115" s="350" t="n"/>
      <c r="S115" s="350" t="n"/>
      <c r="T115" s="350" t="n"/>
      <c r="U115" s="350" t="n"/>
      <c r="V115" s="350" t="n"/>
      <c r="W115" s="350" t="n"/>
      <c r="X115" s="350" t="n"/>
      <c r="Y115" s="350" t="n"/>
      <c r="Z115" s="350" t="n"/>
      <c r="AA115" s="350" t="n"/>
      <c r="AB115" s="350" t="n"/>
      <c r="AC115" s="350" t="n"/>
      <c r="AD115" s="350" t="n"/>
      <c r="AE115" s="350" t="n"/>
      <c r="AF115" s="350" t="n"/>
      <c r="AG115" s="30" t="n"/>
      <c r="AH115" s="30" t="n"/>
      <c r="AI115" s="30" t="n"/>
      <c r="AJ115" s="30" t="n"/>
      <c r="AK115" s="30" t="n"/>
    </row>
    <row r="116" ht="14.25" customHeight="1" thickBot="1">
      <c r="A116" s="28" t="n"/>
      <c r="B116" s="28" t="n"/>
      <c r="C116" s="28" t="n"/>
      <c r="D116" s="28" t="n"/>
      <c r="E116" s="28" t="n"/>
      <c r="F116" s="28" t="n"/>
      <c r="G116" s="28" t="n"/>
      <c r="H116" s="28" t="n"/>
      <c r="I116" s="28" t="n"/>
      <c r="J116" s="28" t="n"/>
      <c r="K116" s="28" t="n"/>
      <c r="L116" s="28" t="n"/>
      <c r="M116" s="350" t="n"/>
      <c r="N116" s="350" t="n"/>
      <c r="O116" s="350" t="n"/>
      <c r="P116" s="350" t="n"/>
      <c r="Q116" s="350" t="n"/>
      <c r="R116" s="350" t="n"/>
      <c r="S116" s="350" t="n"/>
      <c r="T116" s="350" t="n"/>
      <c r="U116" s="350" t="n"/>
      <c r="V116" s="350" t="n"/>
      <c r="W116" s="350" t="n"/>
      <c r="X116" s="350" t="n"/>
      <c r="Y116" s="350" t="n"/>
      <c r="Z116" s="350" t="n"/>
      <c r="AA116" s="350" t="n"/>
      <c r="AB116" s="350" t="n"/>
      <c r="AC116" s="350" t="n"/>
      <c r="AD116" s="350" t="n"/>
      <c r="AE116" s="350" t="n"/>
      <c r="AF116" s="350" t="n"/>
      <c r="AG116" s="30" t="n"/>
      <c r="AH116" s="30" t="n"/>
      <c r="AI116" s="30" t="n"/>
      <c r="AJ116" s="30" t="n"/>
      <c r="AK116" s="30" t="n"/>
    </row>
    <row r="117" ht="39.75" customHeight="1" thickBot="1" thickTop="1">
      <c r="A117" s="467" t="inlineStr">
        <is>
          <t>Section</t>
        </is>
      </c>
      <c r="B117" s="1386" t="n"/>
      <c r="C117" s="221" t="inlineStr">
        <is>
          <t>Number of Requests</t>
        </is>
      </c>
      <c r="D117" s="851" t="inlineStr">
        <is>
          <t>Section</t>
        </is>
      </c>
      <c r="E117" s="1396" t="n"/>
      <c r="F117" s="329" t="inlineStr">
        <is>
          <t>Number of Requests</t>
        </is>
      </c>
      <c r="G117" s="467" t="inlineStr">
        <is>
          <t>Section</t>
        </is>
      </c>
      <c r="H117" s="1386" t="n"/>
      <c r="I117" s="330" t="inlineStr">
        <is>
          <t>Number of Requests</t>
        </is>
      </c>
      <c r="J117" s="467" t="inlineStr">
        <is>
          <t>Section</t>
        </is>
      </c>
      <c r="K117" s="1386" t="n"/>
      <c r="L117" s="330" t="inlineStr">
        <is>
          <t>Number of Requests</t>
        </is>
      </c>
      <c r="M117" s="350" t="n"/>
      <c r="N117" s="350" t="n"/>
      <c r="O117" s="350" t="n"/>
      <c r="P117" s="350" t="n"/>
      <c r="Q117" s="350" t="n"/>
      <c r="R117" s="350" t="n"/>
      <c r="S117" s="350" t="n"/>
      <c r="T117" s="350" t="n"/>
      <c r="U117" s="350" t="n"/>
      <c r="V117" s="350" t="n"/>
      <c r="W117" s="350" t="n"/>
      <c r="X117" s="350" t="n"/>
      <c r="Y117" s="350" t="n"/>
      <c r="Z117" s="350" t="n"/>
      <c r="AA117" s="350" t="n"/>
      <c r="AB117" s="350" t="n"/>
      <c r="AC117" s="350" t="n"/>
      <c r="AD117" s="350" t="n"/>
      <c r="AE117" s="350" t="n"/>
      <c r="AF117" s="350" t="n"/>
      <c r="AG117" s="30" t="n"/>
      <c r="AH117" s="30" t="n"/>
      <c r="AI117" s="30" t="n"/>
      <c r="AJ117" s="30" t="n"/>
      <c r="AK117" s="30" t="n"/>
    </row>
    <row r="118" ht="14.25" customHeight="1" thickTop="1">
      <c r="A118" s="488" t="inlineStr">
        <is>
          <t>13(1)(a)</t>
        </is>
      </c>
      <c r="B118" s="1383" t="n"/>
      <c r="C118" s="435" t="n">
        <v>0</v>
      </c>
      <c r="D118" s="906" t="inlineStr">
        <is>
          <t>16(2)</t>
        </is>
      </c>
      <c r="E118" s="1383" t="n"/>
      <c r="F118" s="414" t="n">
        <v>0</v>
      </c>
      <c r="G118" s="488" t="inlineStr">
        <is>
          <t>18(a)</t>
        </is>
      </c>
      <c r="H118" s="1383" t="n"/>
      <c r="I118" s="170" t="n">
        <v>0</v>
      </c>
      <c r="J118" s="488" t="n">
        <v>20.1</v>
      </c>
      <c r="K118" s="1383" t="n"/>
      <c r="L118" s="231" t="n">
        <v>0</v>
      </c>
      <c r="N118" s="350" t="n"/>
      <c r="O118" s="350" t="n"/>
      <c r="P118" s="350" t="n"/>
      <c r="Q118" s="350" t="n"/>
      <c r="R118" s="350" t="n"/>
      <c r="S118" s="350" t="n"/>
      <c r="T118" s="350" t="n"/>
      <c r="U118" s="350" t="n"/>
      <c r="V118" s="350" t="n"/>
      <c r="W118" s="350" t="n"/>
      <c r="X118" s="350" t="n"/>
      <c r="Y118" s="350" t="n"/>
      <c r="Z118" s="350" t="n"/>
      <c r="AA118" s="350" t="n"/>
      <c r="AB118" s="350" t="n"/>
      <c r="AC118" s="350" t="n"/>
      <c r="AD118" s="350" t="n"/>
      <c r="AE118" s="350" t="n"/>
      <c r="AF118" s="350" t="n"/>
      <c r="AG118" s="30" t="n"/>
      <c r="AH118" s="30" t="n"/>
      <c r="AI118" s="30" t="n"/>
      <c r="AJ118" s="30" t="n"/>
      <c r="AK118" s="30" t="n"/>
    </row>
    <row r="119" ht="14.25" customHeight="1">
      <c r="A119" s="367" t="inlineStr">
        <is>
          <t>13(1)(b)</t>
        </is>
      </c>
      <c r="B119" s="1342" t="n"/>
      <c r="C119" s="578" t="n">
        <v>0</v>
      </c>
      <c r="D119" s="886" t="inlineStr">
        <is>
          <t>16(2)(a)</t>
        </is>
      </c>
      <c r="E119" s="1390" t="n"/>
      <c r="F119" s="231" t="n">
        <v>0</v>
      </c>
      <c r="G119" s="886" t="inlineStr">
        <is>
          <t>18(b)</t>
        </is>
      </c>
      <c r="H119" s="1390" t="n"/>
      <c r="I119" s="641" t="n">
        <v>0</v>
      </c>
      <c r="J119" s="886" t="n">
        <v>20.2</v>
      </c>
      <c r="K119" s="1390" t="n"/>
      <c r="L119" s="585" t="n">
        <v>0</v>
      </c>
      <c r="M119" s="350" t="n"/>
      <c r="N119" s="350" t="n"/>
      <c r="O119" s="350" t="n"/>
      <c r="P119" s="350" t="n"/>
      <c r="Q119" s="350" t="n"/>
      <c r="R119" s="350" t="n"/>
      <c r="S119" s="350" t="n"/>
      <c r="T119" s="350" t="n"/>
      <c r="U119" s="350" t="n"/>
      <c r="V119" s="350" t="n"/>
      <c r="W119" s="350" t="n"/>
      <c r="X119" s="350" t="n"/>
      <c r="Y119" s="350" t="n"/>
      <c r="Z119" s="350" t="n"/>
      <c r="AA119" s="350" t="n"/>
      <c r="AB119" s="350" t="n"/>
      <c r="AC119" s="350" t="n"/>
      <c r="AD119" s="350" t="n"/>
      <c r="AE119" s="350" t="n"/>
      <c r="AF119" s="350" t="n"/>
      <c r="AG119" s="30" t="n"/>
      <c r="AH119" s="30" t="n"/>
      <c r="AI119" s="30" t="n"/>
      <c r="AJ119" s="30" t="n"/>
      <c r="AK119" s="30" t="n"/>
    </row>
    <row r="120" ht="14.25" customHeight="1">
      <c r="A120" s="367" t="inlineStr">
        <is>
          <t>13(1)(c)</t>
        </is>
      </c>
      <c r="B120" s="1342" t="n"/>
      <c r="C120" s="578" t="n">
        <v>0</v>
      </c>
      <c r="D120" s="886" t="inlineStr">
        <is>
          <t>16(2)(b)</t>
        </is>
      </c>
      <c r="E120" s="1390" t="n"/>
      <c r="F120" s="585" t="n">
        <v>0</v>
      </c>
      <c r="G120" s="886" t="inlineStr">
        <is>
          <t>18(c)</t>
        </is>
      </c>
      <c r="H120" s="1390" t="n"/>
      <c r="I120" s="641" t="n">
        <v>0</v>
      </c>
      <c r="J120" s="886" t="n">
        <v>20.4</v>
      </c>
      <c r="K120" s="1390" t="n"/>
      <c r="L120" s="585" t="n">
        <v>0</v>
      </c>
      <c r="M120" s="350" t="n"/>
      <c r="N120" s="350" t="n"/>
      <c r="O120" s="350" t="n"/>
      <c r="P120" s="350" t="n"/>
      <c r="Q120" s="350" t="n"/>
      <c r="R120" s="350" t="n"/>
      <c r="S120" s="350" t="n"/>
      <c r="T120" s="350" t="n"/>
      <c r="U120" s="350" t="n"/>
      <c r="V120" s="350" t="n"/>
      <c r="W120" s="350" t="n"/>
      <c r="X120" s="350" t="n"/>
      <c r="Y120" s="350" t="n"/>
      <c r="Z120" s="350" t="n"/>
      <c r="AA120" s="350" t="n"/>
      <c r="AB120" s="350" t="n"/>
      <c r="AC120" s="350" t="n"/>
      <c r="AD120" s="350" t="n"/>
      <c r="AE120" s="350" t="n"/>
      <c r="AF120" s="350" t="n"/>
      <c r="AG120" s="30" t="n"/>
      <c r="AH120" s="30" t="n"/>
      <c r="AI120" s="30" t="n"/>
      <c r="AJ120" s="30" t="n"/>
      <c r="AK120" s="30" t="n"/>
    </row>
    <row r="121" ht="14.25" customHeight="1">
      <c r="A121" s="367" t="inlineStr">
        <is>
          <t>13(1)(d)</t>
        </is>
      </c>
      <c r="B121" s="1342" t="n"/>
      <c r="C121" s="578" t="n">
        <v>0</v>
      </c>
      <c r="D121" s="886" t="inlineStr">
        <is>
          <t>16(2)(c)</t>
        </is>
      </c>
      <c r="E121" s="1390" t="n"/>
      <c r="F121" s="585" t="n">
        <v>0</v>
      </c>
      <c r="G121" s="886" t="inlineStr">
        <is>
          <t>18(d)</t>
        </is>
      </c>
      <c r="H121" s="1390" t="n"/>
      <c r="I121" s="641" t="n">
        <v>0</v>
      </c>
      <c r="J121" s="886" t="inlineStr">
        <is>
          <t>21(1)(a)</t>
        </is>
      </c>
      <c r="K121" s="1390" t="n"/>
      <c r="L121" s="585" t="n">
        <v>0</v>
      </c>
      <c r="M121" s="350" t="n"/>
      <c r="N121" s="350" t="n"/>
      <c r="O121" s="350" t="n"/>
      <c r="P121" s="350" t="n"/>
      <c r="Q121" s="350" t="n"/>
      <c r="R121" s="350" t="n"/>
      <c r="S121" s="350" t="n"/>
      <c r="T121" s="350" t="n"/>
      <c r="U121" s="350" t="n"/>
      <c r="V121" s="350" t="n"/>
      <c r="W121" s="350" t="n"/>
      <c r="X121" s="350" t="n"/>
      <c r="Y121" s="350" t="n"/>
      <c r="Z121" s="350" t="n"/>
      <c r="AA121" s="350" t="n"/>
      <c r="AB121" s="350" t="n"/>
      <c r="AC121" s="350" t="n"/>
      <c r="AD121" s="350" t="n"/>
      <c r="AE121" s="350" t="n"/>
      <c r="AF121" s="350" t="n"/>
      <c r="AG121" s="30" t="n"/>
      <c r="AH121" s="30" t="n"/>
      <c r="AI121" s="30" t="n"/>
      <c r="AJ121" s="30" t="n"/>
      <c r="AK121" s="30" t="n"/>
    </row>
    <row r="122" ht="14.25" customHeight="1">
      <c r="A122" s="367" t="inlineStr">
        <is>
          <t>13(1)(e)</t>
        </is>
      </c>
      <c r="B122" s="1342" t="n"/>
      <c r="C122" s="578" t="n">
        <v>0</v>
      </c>
      <c r="D122" s="886" t="inlineStr">
        <is>
          <t>16(3)</t>
        </is>
      </c>
      <c r="E122" s="1390" t="n"/>
      <c r="F122" s="585" t="n">
        <v>0</v>
      </c>
      <c r="G122" s="886" t="inlineStr">
        <is>
          <t>18.1(1)(a)</t>
        </is>
      </c>
      <c r="H122" s="1390" t="n"/>
      <c r="I122" s="641" t="n">
        <v>0</v>
      </c>
      <c r="J122" s="886" t="inlineStr">
        <is>
          <t>21(1)(b)</t>
        </is>
      </c>
      <c r="K122" s="1390" t="n"/>
      <c r="L122" s="585" t="n">
        <v>0</v>
      </c>
      <c r="M122" s="350" t="n"/>
      <c r="N122" s="350" t="n"/>
      <c r="O122" s="350" t="n"/>
      <c r="P122" s="350" t="n"/>
      <c r="Q122" s="350" t="n"/>
      <c r="R122" s="350" t="n"/>
      <c r="S122" s="350" t="n"/>
      <c r="T122" s="350" t="n"/>
      <c r="U122" s="350" t="n"/>
      <c r="V122" s="350" t="n"/>
      <c r="W122" s="350" t="n"/>
      <c r="X122" s="350" t="n"/>
      <c r="Y122" s="350" t="n"/>
      <c r="Z122" s="350" t="n"/>
      <c r="AA122" s="350" t="n"/>
      <c r="AB122" s="350" t="n"/>
      <c r="AC122" s="350" t="n"/>
      <c r="AD122" s="350" t="n"/>
      <c r="AE122" s="350" t="n"/>
      <c r="AF122" s="350" t="n"/>
      <c r="AG122" s="30" t="n"/>
      <c r="AH122" s="30" t="n"/>
      <c r="AI122" s="30" t="n"/>
      <c r="AJ122" s="30" t="n"/>
      <c r="AK122" s="30" t="n"/>
    </row>
    <row r="123" ht="14.25" customHeight="1">
      <c r="A123" s="884" t="n">
        <v>14</v>
      </c>
      <c r="B123" s="1347" t="n"/>
      <c r="C123" s="328" t="n">
        <v>0</v>
      </c>
      <c r="D123" s="886" t="inlineStr">
        <is>
          <t>16.1(1)(a)</t>
        </is>
      </c>
      <c r="E123" s="1390" t="n"/>
      <c r="F123" s="585" t="n">
        <v>0</v>
      </c>
      <c r="G123" s="886" t="inlineStr">
        <is>
          <t>18.1(1)(b)</t>
        </is>
      </c>
      <c r="H123" s="1390" t="n"/>
      <c r="I123" s="641" t="n">
        <v>0</v>
      </c>
      <c r="J123" s="886" t="inlineStr">
        <is>
          <t>21(1)(c)</t>
        </is>
      </c>
      <c r="K123" s="1390" t="n"/>
      <c r="L123" s="585" t="n">
        <v>0</v>
      </c>
      <c r="M123" s="350" t="n"/>
      <c r="N123" s="350" t="n"/>
      <c r="O123" s="350" t="n"/>
      <c r="P123" s="350" t="n"/>
      <c r="Q123" s="350" t="n"/>
      <c r="R123" s="350" t="n"/>
      <c r="S123" s="350" t="n"/>
      <c r="T123" s="350" t="n"/>
      <c r="U123" s="350" t="n"/>
      <c r="V123" s="350" t="n"/>
      <c r="W123" s="350" t="n"/>
      <c r="X123" s="350" t="n"/>
      <c r="Y123" s="350" t="n"/>
      <c r="Z123" s="350" t="n"/>
      <c r="AA123" s="350" t="n"/>
      <c r="AB123" s="350" t="n"/>
      <c r="AC123" s="350" t="n"/>
      <c r="AD123" s="350" t="n"/>
      <c r="AE123" s="350" t="n"/>
      <c r="AF123" s="350" t="n"/>
      <c r="AG123" s="30" t="n"/>
      <c r="AH123" s="30" t="n"/>
      <c r="AI123" s="30" t="n"/>
      <c r="AJ123" s="30" t="n"/>
      <c r="AK123" s="30" t="n"/>
    </row>
    <row r="124" ht="14.25" customHeight="1">
      <c r="A124" s="886" t="inlineStr">
        <is>
          <t>14(a)</t>
        </is>
      </c>
      <c r="B124" s="1390" t="n"/>
      <c r="C124" s="585" t="n">
        <v>0</v>
      </c>
      <c r="D124" s="886" t="inlineStr">
        <is>
          <t>16.1(1)(b)</t>
        </is>
      </c>
      <c r="E124" s="1390" t="n"/>
      <c r="F124" s="585" t="n">
        <v>0</v>
      </c>
      <c r="G124" s="886" t="inlineStr">
        <is>
          <t>18.1(1)(c)</t>
        </is>
      </c>
      <c r="H124" s="1390" t="n"/>
      <c r="I124" s="641" t="n">
        <v>0</v>
      </c>
      <c r="J124" s="886" t="inlineStr">
        <is>
          <t>21(1)(d)</t>
        </is>
      </c>
      <c r="K124" s="1390" t="n"/>
      <c r="L124" s="585" t="n">
        <v>0</v>
      </c>
      <c r="M124" s="350" t="n"/>
      <c r="N124" s="350" t="n"/>
      <c r="O124" s="350" t="n"/>
      <c r="P124" s="350" t="n"/>
      <c r="Q124" s="350" t="n"/>
      <c r="R124" s="350" t="n"/>
      <c r="S124" s="350" t="n"/>
      <c r="T124" s="350" t="n"/>
      <c r="U124" s="350" t="n"/>
      <c r="V124" s="350" t="n"/>
      <c r="W124" s="350" t="n"/>
      <c r="X124" s="350" t="n"/>
      <c r="Y124" s="350" t="n"/>
      <c r="Z124" s="350" t="n"/>
      <c r="AA124" s="350" t="n"/>
      <c r="AB124" s="350" t="n"/>
      <c r="AC124" s="350" t="n"/>
      <c r="AD124" s="350" t="n"/>
      <c r="AE124" s="350" t="n"/>
      <c r="AF124" s="350" t="n"/>
      <c r="AG124" s="30" t="n"/>
      <c r="AH124" s="30" t="n"/>
      <c r="AI124" s="30" t="n"/>
      <c r="AJ124" s="30" t="n"/>
      <c r="AK124" s="30" t="n"/>
    </row>
    <row r="125" ht="14.25" customHeight="1">
      <c r="A125" s="367" t="inlineStr">
        <is>
          <t>14(b)</t>
        </is>
      </c>
      <c r="B125" s="1342" t="n"/>
      <c r="C125" s="578" t="n">
        <v>0</v>
      </c>
      <c r="D125" s="886" t="inlineStr">
        <is>
          <t>16.1(1)(c)</t>
        </is>
      </c>
      <c r="E125" s="1390" t="n"/>
      <c r="F125" s="585" t="n">
        <v>0</v>
      </c>
      <c r="G125" s="886" t="inlineStr">
        <is>
          <t>18.1(1)(d)</t>
        </is>
      </c>
      <c r="H125" s="1390" t="n"/>
      <c r="I125" s="641" t="n">
        <v>0</v>
      </c>
      <c r="J125" s="886" t="n">
        <v>22</v>
      </c>
      <c r="K125" s="1390" t="n"/>
      <c r="L125" s="585" t="n">
        <v>0</v>
      </c>
      <c r="M125" s="350" t="n"/>
      <c r="N125" s="350" t="n"/>
      <c r="O125" s="350" t="n"/>
      <c r="P125" s="350" t="n"/>
      <c r="Q125" s="350" t="n"/>
      <c r="R125" s="350" t="n"/>
      <c r="S125" s="350" t="n"/>
      <c r="T125" s="350" t="n"/>
      <c r="U125" s="350" t="n"/>
      <c r="V125" s="350" t="n"/>
      <c r="W125" s="350" t="n"/>
      <c r="X125" s="350" t="n"/>
      <c r="Y125" s="350" t="n"/>
      <c r="Z125" s="350" t="n"/>
      <c r="AA125" s="350" t="n"/>
      <c r="AB125" s="350" t="n"/>
      <c r="AC125" s="350" t="n"/>
      <c r="AD125" s="350" t="n"/>
      <c r="AE125" s="350" t="n"/>
      <c r="AF125" s="350" t="n"/>
      <c r="AG125" s="30" t="n"/>
      <c r="AH125" s="30" t="n"/>
      <c r="AI125" s="30" t="n"/>
      <c r="AJ125" s="30" t="n"/>
      <c r="AK125" s="30" t="n"/>
    </row>
    <row r="126" ht="14.25" customHeight="1">
      <c r="A126" s="407" t="inlineStr">
        <is>
          <t>15(1)</t>
        </is>
      </c>
      <c r="B126" s="1331" t="n"/>
      <c r="C126" s="328" t="n">
        <v>0</v>
      </c>
      <c r="D126" s="886" t="inlineStr">
        <is>
          <t>16.1(1)(d)</t>
        </is>
      </c>
      <c r="E126" s="1390" t="n"/>
      <c r="F126" s="585" t="n">
        <v>0</v>
      </c>
      <c r="G126" s="886" t="inlineStr">
        <is>
          <t>19(1)</t>
        </is>
      </c>
      <c r="H126" s="1390" t="n"/>
      <c r="I126" s="641" t="n">
        <v>0</v>
      </c>
      <c r="J126" s="886" t="inlineStr">
        <is>
          <t>22.1(1)</t>
        </is>
      </c>
      <c r="K126" s="1390" t="n"/>
      <c r="L126" s="585" t="n">
        <v>0</v>
      </c>
      <c r="M126" s="350" t="n"/>
      <c r="N126" s="350" t="n"/>
      <c r="O126" s="350" t="n"/>
      <c r="P126" s="350" t="n"/>
      <c r="Q126" s="350" t="n"/>
      <c r="R126" s="350" t="n"/>
      <c r="S126" s="350" t="n"/>
      <c r="T126" s="350" t="n"/>
      <c r="U126" s="350" t="n"/>
      <c r="V126" s="350" t="n"/>
      <c r="W126" s="350" t="n"/>
      <c r="X126" s="350" t="n"/>
      <c r="Y126" s="350" t="n"/>
      <c r="Z126" s="350" t="n"/>
      <c r="AA126" s="350" t="n"/>
      <c r="AB126" s="350" t="n"/>
      <c r="AC126" s="350" t="n"/>
      <c r="AD126" s="350" t="n"/>
      <c r="AE126" s="350" t="n"/>
      <c r="AF126" s="350" t="n"/>
      <c r="AG126" s="30" t="n"/>
      <c r="AH126" s="30" t="n"/>
      <c r="AI126" s="30" t="n"/>
      <c r="AJ126" s="30" t="n"/>
      <c r="AK126" s="30" t="n"/>
    </row>
    <row r="127" ht="14.25" customHeight="1">
      <c r="A127" s="367" t="inlineStr">
        <is>
          <t>15(1) - I.A.*</t>
        </is>
      </c>
      <c r="B127" s="1342" t="n"/>
      <c r="C127" s="578" t="n">
        <v>0</v>
      </c>
      <c r="D127" s="886" t="inlineStr">
        <is>
          <t>16.2(1)</t>
        </is>
      </c>
      <c r="E127" s="1390" t="n"/>
      <c r="F127" s="585" t="n">
        <v>0</v>
      </c>
      <c r="G127" s="886" t="inlineStr">
        <is>
          <t>20(1)(a)</t>
        </is>
      </c>
      <c r="H127" s="1390" t="n"/>
      <c r="I127" s="641" t="n">
        <v>0</v>
      </c>
      <c r="J127" s="886" t="n">
        <v>23</v>
      </c>
      <c r="K127" s="1390" t="n"/>
      <c r="L127" s="585" t="n">
        <v>0</v>
      </c>
      <c r="M127" s="350" t="n"/>
      <c r="N127" s="350" t="n"/>
      <c r="O127" s="350" t="n"/>
      <c r="P127" s="350" t="n"/>
      <c r="Q127" s="350" t="n"/>
      <c r="R127" s="350" t="n"/>
      <c r="S127" s="350" t="n"/>
      <c r="T127" s="350" t="n"/>
      <c r="U127" s="350" t="n"/>
      <c r="V127" s="350" t="n"/>
      <c r="W127" s="350" t="n"/>
      <c r="X127" s="350" t="n"/>
      <c r="Y127" s="350" t="n"/>
      <c r="Z127" s="350" t="n"/>
      <c r="AA127" s="350" t="n"/>
      <c r="AB127" s="350" t="n"/>
      <c r="AC127" s="350" t="n"/>
      <c r="AD127" s="350" t="n"/>
      <c r="AE127" s="350" t="n"/>
      <c r="AF127" s="350" t="n"/>
      <c r="AG127" s="30" t="n"/>
      <c r="AH127" s="30" t="n"/>
      <c r="AI127" s="30" t="n"/>
      <c r="AJ127" s="30" t="n"/>
      <c r="AK127" s="30" t="n"/>
    </row>
    <row r="128" ht="14.25" customHeight="1">
      <c r="A128" s="886" t="inlineStr">
        <is>
          <t>15(1) - Def.*</t>
        </is>
      </c>
      <c r="B128" s="1390" t="n"/>
      <c r="C128" s="585" t="n">
        <v>0</v>
      </c>
      <c r="D128" s="886" t="n">
        <v>16.3</v>
      </c>
      <c r="E128" s="1390" t="n"/>
      <c r="F128" s="585" t="n">
        <v>0</v>
      </c>
      <c r="G128" s="886" t="inlineStr">
        <is>
          <t>20(1)(b)</t>
        </is>
      </c>
      <c r="H128" s="1390" t="n"/>
      <c r="I128" s="641" t="n">
        <v>0</v>
      </c>
      <c r="J128" s="886" t="n">
        <v>23.1</v>
      </c>
      <c r="K128" s="1390" t="n"/>
      <c r="L128" s="585" t="n">
        <v>0</v>
      </c>
      <c r="M128" s="350" t="n"/>
      <c r="N128" s="350" t="n"/>
      <c r="O128" s="350" t="n"/>
      <c r="P128" s="350" t="n"/>
      <c r="Q128" s="350" t="n"/>
      <c r="R128" s="350" t="n"/>
      <c r="S128" s="350" t="n"/>
      <c r="T128" s="350" t="n"/>
      <c r="U128" s="350" t="n"/>
      <c r="V128" s="350" t="n"/>
      <c r="W128" s="350" t="n"/>
      <c r="X128" s="350" t="n"/>
      <c r="Y128" s="350" t="n"/>
      <c r="Z128" s="350" t="n"/>
      <c r="AA128" s="350" t="n"/>
      <c r="AB128" s="350" t="n"/>
      <c r="AC128" s="350" t="n"/>
      <c r="AD128" s="350" t="n"/>
      <c r="AE128" s="350" t="n"/>
      <c r="AF128" s="350" t="n"/>
      <c r="AG128" s="30" t="n"/>
      <c r="AH128" s="30" t="n"/>
      <c r="AI128" s="30" t="n"/>
      <c r="AJ128" s="30" t="n"/>
      <c r="AK128" s="30" t="n"/>
    </row>
    <row r="129" ht="14.25" customHeight="1">
      <c r="A129" s="367" t="inlineStr">
        <is>
          <t>15(1) - S.A.*</t>
        </is>
      </c>
      <c r="B129" s="1342" t="n"/>
      <c r="C129" s="578" t="n">
        <v>0</v>
      </c>
      <c r="D129" s="886" t="inlineStr">
        <is>
          <t>16.4(1)(a)</t>
        </is>
      </c>
      <c r="E129" s="1390" t="n"/>
      <c r="F129" s="585" t="n">
        <v>0</v>
      </c>
      <c r="G129" s="886" t="inlineStr">
        <is>
          <t>20(1)(b.1)</t>
        </is>
      </c>
      <c r="H129" s="1390" t="n"/>
      <c r="I129" s="641" t="n">
        <v>0</v>
      </c>
      <c r="J129" s="886" t="inlineStr">
        <is>
          <t>24(1)</t>
        </is>
      </c>
      <c r="K129" s="1390" t="n"/>
      <c r="L129" s="585" t="n">
        <v>0</v>
      </c>
      <c r="M129" s="350" t="n"/>
      <c r="N129" s="350" t="n"/>
      <c r="O129" s="350" t="n"/>
      <c r="P129" s="350" t="n"/>
      <c r="Q129" s="350" t="n"/>
      <c r="R129" s="350" t="n"/>
      <c r="S129" s="350" t="n"/>
      <c r="T129" s="350" t="n"/>
      <c r="U129" s="350" t="n"/>
      <c r="V129" s="350" t="n"/>
      <c r="W129" s="350" t="n"/>
      <c r="X129" s="350" t="n"/>
      <c r="Y129" s="350" t="n"/>
      <c r="Z129" s="350" t="n"/>
      <c r="AA129" s="350" t="n"/>
      <c r="AB129" s="350" t="n"/>
      <c r="AC129" s="350" t="n"/>
      <c r="AD129" s="350" t="n"/>
      <c r="AE129" s="350" t="n"/>
      <c r="AF129" s="350" t="n"/>
      <c r="AG129" s="30" t="n"/>
      <c r="AH129" s="30" t="n"/>
      <c r="AI129" s="30" t="n"/>
      <c r="AJ129" s="30" t="n"/>
      <c r="AK129" s="30" t="n"/>
    </row>
    <row r="130" ht="14.25" customHeight="1" thickBot="1">
      <c r="A130" s="367" t="inlineStr">
        <is>
          <t>16(1)(a)(i)</t>
        </is>
      </c>
      <c r="B130" s="1342" t="n"/>
      <c r="C130" s="578" t="n">
        <v>0</v>
      </c>
      <c r="D130" s="886" t="inlineStr">
        <is>
          <t>16.4(1)(b)</t>
        </is>
      </c>
      <c r="E130" s="1390" t="n"/>
      <c r="F130" s="585" t="n">
        <v>0</v>
      </c>
      <c r="G130" s="886" t="inlineStr">
        <is>
          <t>20(1)(c)</t>
        </is>
      </c>
      <c r="H130" s="1390" t="n"/>
      <c r="I130" s="641" t="n">
        <v>0</v>
      </c>
      <c r="J130" s="1397" t="n">
        <v>26</v>
      </c>
      <c r="K130" s="1384" t="n"/>
      <c r="L130" s="529" t="n">
        <v>0</v>
      </c>
      <c r="M130" s="350" t="n"/>
      <c r="N130" s="350" t="n"/>
      <c r="O130" s="350" t="n"/>
      <c r="P130" s="350" t="n"/>
      <c r="Q130" s="350" t="n"/>
      <c r="R130" s="350" t="n"/>
      <c r="S130" s="350" t="n"/>
      <c r="T130" s="350" t="n"/>
      <c r="U130" s="350" t="n"/>
      <c r="V130" s="350" t="n"/>
      <c r="W130" s="350" t="n"/>
      <c r="X130" s="350" t="n"/>
      <c r="Y130" s="350" t="n"/>
      <c r="Z130" s="350" t="n"/>
      <c r="AA130" s="350" t="n"/>
      <c r="AB130" s="350" t="n"/>
      <c r="AC130" s="350" t="n"/>
      <c r="AD130" s="350" t="n"/>
      <c r="AE130" s="350" t="n"/>
      <c r="AF130" s="350" t="n"/>
      <c r="AG130" s="30" t="n"/>
      <c r="AH130" s="30" t="n"/>
      <c r="AI130" s="30" t="n"/>
      <c r="AJ130" s="30" t="n"/>
      <c r="AK130" s="30" t="n"/>
    </row>
    <row r="131" ht="14.25" customHeight="1" thickBot="1" thickTop="1">
      <c r="A131" s="886" t="inlineStr">
        <is>
          <t>16(1)(a)(ii)</t>
        </is>
      </c>
      <c r="B131" s="1390" t="n"/>
      <c r="C131" s="585" t="n">
        <v>0</v>
      </c>
      <c r="D131" s="886" t="n">
        <v>16.5</v>
      </c>
      <c r="E131" s="1390" t="n"/>
      <c r="F131" s="585" t="n">
        <v>0</v>
      </c>
      <c r="G131" s="1397" t="inlineStr">
        <is>
          <t>20(1)(d)</t>
        </is>
      </c>
      <c r="H131" s="1384" t="n"/>
      <c r="I131" s="233" t="n">
        <v>0</v>
      </c>
      <c r="J131" s="117" t="n"/>
      <c r="K131" s="40" t="n"/>
      <c r="L131" s="471" t="n"/>
      <c r="M131" s="191">
        <f>IF(AND(SUM(C118:C135,F118:F133,I118:I131,L118:L130)&gt;0,SUM(L105,L106,L110)=0),"If total number of requests reported in table 4.2 is greater than zero, then the total number of requests reported in rows 2, 3 and 7 of column 8 of table 4.1 must be greater than zero.","")</f>
        <v/>
      </c>
      <c r="N131" s="350" t="n"/>
      <c r="O131" s="350" t="n"/>
      <c r="P131" s="350" t="n"/>
      <c r="Q131" s="350" t="n"/>
      <c r="R131" s="350" t="n"/>
      <c r="S131" s="350" t="n"/>
      <c r="T131" s="350" t="n"/>
      <c r="U131" s="350" t="n"/>
      <c r="V131" s="350" t="n"/>
      <c r="W131" s="350" t="n"/>
      <c r="X131" s="350" t="n"/>
      <c r="Y131" s="350" t="n"/>
      <c r="Z131" s="350" t="n"/>
      <c r="AA131" s="350" t="n"/>
      <c r="AB131" s="350" t="n"/>
      <c r="AC131" s="350" t="n"/>
      <c r="AD131" s="350" t="n"/>
      <c r="AE131" s="350" t="n"/>
      <c r="AF131" s="350" t="n"/>
      <c r="AG131" s="30" t="n"/>
      <c r="AH131" s="30" t="n"/>
      <c r="AI131" s="30" t="n"/>
      <c r="AJ131" s="30" t="n"/>
      <c r="AK131" s="30" t="n"/>
    </row>
    <row r="132" ht="14.25" customHeight="1" thickTop="1">
      <c r="A132" s="367" t="inlineStr">
        <is>
          <t>16(1)(a)(iii)</t>
        </is>
      </c>
      <c r="B132" s="1342" t="n"/>
      <c r="C132" s="578" t="n">
        <v>0</v>
      </c>
      <c r="D132" s="886" t="n">
        <v>16.6</v>
      </c>
      <c r="E132" s="1390" t="n"/>
      <c r="F132" s="585" t="n">
        <v>0</v>
      </c>
      <c r="G132" s="30" t="n"/>
      <c r="H132" s="30" t="n"/>
      <c r="I132" s="222" t="n"/>
      <c r="J132" s="30" t="n"/>
      <c r="K132" s="30" t="n"/>
      <c r="L132" s="30" t="n"/>
      <c r="M132" s="350" t="n"/>
      <c r="N132" s="350" t="n"/>
      <c r="O132" s="350" t="n"/>
      <c r="P132" s="350" t="n"/>
      <c r="Q132" s="350" t="n"/>
      <c r="R132" s="350" t="n"/>
      <c r="S132" s="350" t="n"/>
      <c r="T132" s="350" t="n"/>
      <c r="U132" s="350" t="n"/>
      <c r="V132" s="350" t="n"/>
      <c r="W132" s="350" t="n"/>
      <c r="X132" s="350" t="n"/>
      <c r="Y132" s="350" t="n"/>
      <c r="Z132" s="350" t="n"/>
      <c r="AA132" s="350" t="n"/>
      <c r="AB132" s="350" t="n"/>
      <c r="AC132" s="350" t="n"/>
      <c r="AD132" s="350" t="n"/>
      <c r="AE132" s="350" t="n"/>
      <c r="AF132" s="350" t="n"/>
      <c r="AG132" s="30" t="n"/>
      <c r="AH132" s="30" t="n"/>
      <c r="AI132" s="30" t="n"/>
      <c r="AJ132" s="30" t="n"/>
      <c r="AK132" s="30" t="n"/>
    </row>
    <row r="133" ht="14.25" customHeight="1" thickBot="1">
      <c r="A133" s="367" t="inlineStr">
        <is>
          <t>16(1)(b)</t>
        </is>
      </c>
      <c r="B133" s="1342" t="n"/>
      <c r="C133" s="578" t="n">
        <v>0</v>
      </c>
      <c r="D133" s="1397" t="n">
        <v>17</v>
      </c>
      <c r="E133" s="1384" t="n"/>
      <c r="F133" s="529" t="n">
        <v>0</v>
      </c>
      <c r="G133" s="30" t="n"/>
      <c r="H133" s="30" t="n"/>
      <c r="I133" s="30" t="n"/>
      <c r="J133" s="30" t="n"/>
      <c r="K133" s="30" t="n"/>
      <c r="L133" s="30" t="n"/>
      <c r="M133" s="350" t="n"/>
      <c r="N133" s="350" t="n"/>
      <c r="O133" s="350" t="n"/>
      <c r="P133" s="350" t="n"/>
      <c r="Q133" s="350" t="n"/>
      <c r="R133" s="350" t="n"/>
      <c r="S133" s="350" t="n"/>
      <c r="T133" s="350" t="n"/>
      <c r="U133" s="350" t="n"/>
      <c r="V133" s="350" t="n"/>
      <c r="W133" s="350" t="n"/>
      <c r="X133" s="350" t="n"/>
      <c r="Y133" s="350" t="n"/>
      <c r="Z133" s="350" t="n"/>
      <c r="AA133" s="350" t="n"/>
      <c r="AB133" s="350" t="n"/>
      <c r="AC133" s="350" t="n"/>
      <c r="AD133" s="350" t="n"/>
      <c r="AE133" s="350" t="n"/>
      <c r="AF133" s="350" t="n"/>
      <c r="AG133" s="30" t="n"/>
      <c r="AH133" s="30" t="n"/>
      <c r="AI133" s="30" t="n"/>
      <c r="AJ133" s="30" t="n"/>
      <c r="AK133" s="30" t="n"/>
    </row>
    <row r="134" ht="14.25" customHeight="1" thickTop="1">
      <c r="A134" s="631" t="inlineStr">
        <is>
          <t>16(1)(c)</t>
        </is>
      </c>
      <c r="B134" s="1347" t="n"/>
      <c r="C134" s="578" t="n">
        <v>0</v>
      </c>
      <c r="G134" s="40" t="n"/>
      <c r="H134" s="40" t="n"/>
      <c r="I134" s="471" t="n"/>
      <c r="J134" s="652" t="n"/>
      <c r="K134" s="652" t="n"/>
      <c r="L134" s="471" t="n"/>
      <c r="M134" s="350" t="n"/>
      <c r="N134" s="350" t="n"/>
      <c r="O134" s="350" t="n"/>
      <c r="P134" s="350" t="n"/>
      <c r="Q134" s="350" t="n"/>
      <c r="R134" s="350" t="n"/>
      <c r="S134" s="350" t="n"/>
      <c r="T134" s="350" t="n"/>
      <c r="U134" s="350" t="n"/>
      <c r="V134" s="350" t="n"/>
      <c r="W134" s="350" t="n"/>
      <c r="X134" s="350" t="n"/>
      <c r="Y134" s="350" t="n"/>
      <c r="Z134" s="350" t="n"/>
      <c r="AA134" s="350" t="n"/>
      <c r="AB134" s="350" t="n"/>
      <c r="AC134" s="350" t="n"/>
      <c r="AD134" s="350" t="n"/>
      <c r="AE134" s="350" t="n"/>
      <c r="AF134" s="350" t="n"/>
      <c r="AG134" s="30" t="n"/>
      <c r="AH134" s="30" t="n"/>
      <c r="AI134" s="30" t="n"/>
      <c r="AJ134" s="30" t="n"/>
      <c r="AK134" s="30" t="n"/>
    </row>
    <row r="135" ht="14.25" customHeight="1" thickBot="1">
      <c r="A135" s="625" t="inlineStr">
        <is>
          <t>16(1)(d)</t>
        </is>
      </c>
      <c r="B135" s="1348" t="n"/>
      <c r="C135" s="316" t="n">
        <v>0</v>
      </c>
      <c r="D135" s="43" t="n"/>
      <c r="E135" s="44" t="inlineStr">
        <is>
          <t>* I.A.:  International Affairs       Def.:  Defence of Canada       S.A.:  Subversive Activities</t>
        </is>
      </c>
      <c r="F135" s="45" t="n"/>
      <c r="G135" s="45" t="n"/>
      <c r="H135" s="45" t="n"/>
      <c r="I135" s="45" t="n"/>
      <c r="J135" s="45" t="n"/>
      <c r="K135" s="45" t="n"/>
      <c r="L135" s="45" t="n"/>
      <c r="M135" s="350" t="n"/>
      <c r="N135" s="350" t="n"/>
      <c r="O135" s="350" t="n"/>
      <c r="P135" s="350" t="n"/>
      <c r="Q135" s="350" t="n"/>
      <c r="R135" s="350" t="n"/>
      <c r="S135" s="350" t="n"/>
      <c r="T135" s="350" t="n"/>
      <c r="U135" s="350" t="n"/>
      <c r="V135" s="350" t="n"/>
      <c r="W135" s="350" t="n"/>
      <c r="X135" s="350" t="n"/>
      <c r="Y135" s="350" t="n"/>
      <c r="Z135" s="350" t="n"/>
      <c r="AA135" s="350" t="n"/>
      <c r="AB135" s="350" t="n"/>
      <c r="AC135" s="350" t="n"/>
      <c r="AD135" s="350" t="n"/>
      <c r="AE135" s="350" t="n"/>
      <c r="AF135" s="350" t="n"/>
      <c r="AG135" s="30" t="n"/>
      <c r="AH135" s="30" t="n"/>
      <c r="AI135" s="30" t="n"/>
      <c r="AJ135" s="30" t="n"/>
      <c r="AK135" s="30" t="n"/>
    </row>
    <row r="136" ht="14.25" customHeight="1" thickTop="1">
      <c r="M136" s="350" t="n"/>
      <c r="N136" s="350" t="n"/>
      <c r="O136" s="350" t="n"/>
      <c r="P136" s="350" t="n"/>
      <c r="Q136" s="350" t="n"/>
      <c r="R136" s="350" t="n"/>
      <c r="S136" s="350" t="n"/>
      <c r="T136" s="350" t="n"/>
      <c r="U136" s="350" t="n"/>
      <c r="V136" s="350" t="n"/>
      <c r="W136" s="350" t="n"/>
      <c r="X136" s="350" t="n"/>
      <c r="Y136" s="350" t="n"/>
      <c r="Z136" s="350" t="n"/>
      <c r="AA136" s="350" t="n"/>
      <c r="AB136" s="350" t="n"/>
      <c r="AC136" s="350" t="n"/>
      <c r="AD136" s="350" t="n"/>
      <c r="AE136" s="350" t="n"/>
      <c r="AF136" s="350" t="n"/>
      <c r="AG136" s="30" t="n"/>
      <c r="AH136" s="30" t="n"/>
      <c r="AI136" s="30" t="n"/>
      <c r="AJ136" s="30" t="n"/>
      <c r="AK136" s="30" t="n"/>
    </row>
    <row r="137" ht="15" customHeight="1">
      <c r="A137" s="347" t="inlineStr">
        <is>
          <t xml:space="preserve">4.3 Exclusions </t>
        </is>
      </c>
      <c r="M137" s="336" t="n"/>
      <c r="N137" s="336" t="n"/>
      <c r="O137" s="336" t="n"/>
      <c r="P137" s="336" t="n"/>
      <c r="Q137" s="336" t="n"/>
      <c r="R137" s="336" t="n"/>
      <c r="S137" s="336" t="n"/>
      <c r="T137" s="336" t="n"/>
      <c r="U137" s="336" t="n"/>
      <c r="V137" s="336" t="n"/>
      <c r="W137" s="336" t="n"/>
      <c r="X137" s="336" t="n"/>
      <c r="Y137" s="336" t="n"/>
      <c r="Z137" s="336" t="n"/>
      <c r="AA137" s="336" t="n"/>
      <c r="AB137" s="336" t="n"/>
      <c r="AC137" s="336" t="n"/>
      <c r="AD137" s="336" t="n"/>
      <c r="AE137" s="336" t="n"/>
      <c r="AF137" s="336" t="n"/>
      <c r="AG137" s="336" t="n"/>
      <c r="AH137" s="336" t="n"/>
      <c r="AI137" s="30" t="n"/>
      <c r="AJ137" s="30" t="n"/>
      <c r="AK137" s="30" t="n"/>
    </row>
    <row r="138" ht="14.25" customHeight="1" thickBot="1">
      <c r="C138" s="28" t="n"/>
      <c r="D138" s="28" t="n"/>
      <c r="E138" s="28" t="n"/>
      <c r="F138" s="28" t="n"/>
      <c r="G138" s="28" t="n"/>
      <c r="H138" s="28" t="n"/>
      <c r="I138" s="28" t="n"/>
      <c r="J138" s="28" t="n"/>
      <c r="M138" s="336" t="n"/>
      <c r="N138" s="336" t="n"/>
      <c r="O138" s="336" t="n"/>
      <c r="P138" s="336" t="n"/>
      <c r="Q138" s="336" t="n"/>
      <c r="R138" s="336" t="n"/>
      <c r="S138" s="336" t="n"/>
      <c r="T138" s="336" t="n"/>
      <c r="U138" s="336" t="n"/>
      <c r="V138" s="336" t="n"/>
      <c r="W138" s="336" t="n"/>
      <c r="X138" s="336" t="n"/>
      <c r="Y138" s="336" t="n"/>
      <c r="Z138" s="336" t="n"/>
      <c r="AA138" s="336" t="n"/>
      <c r="AB138" s="336" t="n"/>
      <c r="AC138" s="336" t="n"/>
      <c r="AD138" s="336" t="n"/>
      <c r="AE138" s="336" t="n"/>
      <c r="AF138" s="336" t="n"/>
      <c r="AG138" s="336" t="n"/>
      <c r="AH138" s="336" t="n"/>
      <c r="AI138" s="30" t="n"/>
      <c r="AJ138" s="30" t="n"/>
      <c r="AK138" s="30" t="n"/>
    </row>
    <row r="139" ht="27.95" customHeight="1" thickBot="1" thickTop="1">
      <c r="A139" s="845" t="inlineStr">
        <is>
          <t>Section</t>
        </is>
      </c>
      <c r="B139" s="1386" t="n"/>
      <c r="C139" s="427" t="inlineStr">
        <is>
          <t>Number of Requests</t>
        </is>
      </c>
      <c r="D139" s="1374" t="n"/>
      <c r="E139" s="845" t="inlineStr">
        <is>
          <t>Section</t>
        </is>
      </c>
      <c r="F139" s="1386" t="n"/>
      <c r="G139" s="429" t="inlineStr">
        <is>
          <t>Number of Requests</t>
        </is>
      </c>
      <c r="H139" s="1334" t="n"/>
      <c r="I139" s="845" t="inlineStr">
        <is>
          <t>Section</t>
        </is>
      </c>
      <c r="J139" s="1386" t="n"/>
      <c r="K139" s="429" t="inlineStr">
        <is>
          <t>Number of Requests</t>
        </is>
      </c>
      <c r="L139" s="1334" t="n"/>
      <c r="M139" s="336" t="n"/>
      <c r="N139" s="336" t="n"/>
      <c r="O139" s="336" t="n"/>
      <c r="P139" s="336" t="n"/>
      <c r="Q139" s="336" t="n"/>
      <c r="R139" s="336" t="n"/>
      <c r="S139" s="336" t="n"/>
      <c r="T139" s="336" t="n"/>
      <c r="U139" s="336" t="n"/>
      <c r="V139" s="336" t="n"/>
      <c r="W139" s="336" t="n"/>
      <c r="X139" s="336" t="n"/>
      <c r="Y139" s="336" t="n"/>
      <c r="Z139" s="336" t="n"/>
      <c r="AA139" s="336" t="n"/>
      <c r="AB139" s="336" t="n"/>
      <c r="AC139" s="336" t="n"/>
      <c r="AD139" s="336" t="n"/>
      <c r="AE139" s="336" t="n"/>
      <c r="AF139" s="336" t="n"/>
      <c r="AG139" s="336" t="n"/>
      <c r="AH139" s="336" t="n"/>
      <c r="AI139" s="30" t="n"/>
      <c r="AJ139" s="30" t="n"/>
      <c r="AK139" s="30" t="n"/>
    </row>
    <row r="140" ht="14.25" customHeight="1" thickTop="1">
      <c r="A140" s="404" t="inlineStr">
        <is>
          <t>68(a)</t>
        </is>
      </c>
      <c r="B140" s="1336" t="n"/>
      <c r="C140" s="1398" t="n">
        <v>0</v>
      </c>
      <c r="D140" s="1340" t="n"/>
      <c r="E140" s="488" t="inlineStr">
        <is>
          <t>69(1)</t>
        </is>
      </c>
      <c r="F140" s="1383" t="n"/>
      <c r="G140" s="435" t="n">
        <v>0</v>
      </c>
      <c r="H140" s="1340" t="n"/>
      <c r="I140" s="488" t="inlineStr">
        <is>
          <t>69(1)(g) re (a)</t>
        </is>
      </c>
      <c r="J140" s="1383" t="n"/>
      <c r="K140" s="435" t="n">
        <v>0</v>
      </c>
      <c r="L140" s="1340" t="n"/>
      <c r="M140" s="336" t="n"/>
      <c r="N140" s="336" t="n"/>
      <c r="O140" s="336" t="n"/>
      <c r="P140" s="336" t="n"/>
      <c r="Q140" s="336" t="n"/>
      <c r="R140" s="336" t="n"/>
      <c r="S140" s="336" t="n"/>
      <c r="T140" s="336" t="n"/>
      <c r="U140" s="336" t="n"/>
      <c r="V140" s="336" t="n"/>
      <c r="W140" s="336" t="n"/>
      <c r="X140" s="336" t="n"/>
      <c r="Y140" s="336" t="n"/>
      <c r="Z140" s="336" t="n"/>
      <c r="AA140" s="336" t="n"/>
      <c r="AB140" s="336" t="n"/>
      <c r="AC140" s="336" t="n"/>
      <c r="AD140" s="336" t="n"/>
      <c r="AE140" s="336" t="n"/>
      <c r="AF140" s="336" t="n"/>
      <c r="AG140" s="336" t="n"/>
      <c r="AH140" s="336" t="n"/>
      <c r="AI140" s="30" t="n"/>
      <c r="AJ140" s="30" t="n"/>
      <c r="AK140" s="30" t="n"/>
    </row>
    <row r="141" ht="14.25" customHeight="1">
      <c r="A141" s="367" t="inlineStr">
        <is>
          <t>68(b)</t>
        </is>
      </c>
      <c r="B141" s="1342" t="n"/>
      <c r="C141" s="578" t="n">
        <v>0</v>
      </c>
      <c r="D141" s="1368" t="n"/>
      <c r="E141" s="886" t="inlineStr">
        <is>
          <t>69(1)(a)</t>
        </is>
      </c>
      <c r="F141" s="1390" t="n"/>
      <c r="G141" s="585" t="n">
        <v>0</v>
      </c>
      <c r="H141" s="1368" t="n"/>
      <c r="I141" s="886" t="inlineStr">
        <is>
          <t>69(1)(g) re (b)</t>
        </is>
      </c>
      <c r="J141" s="1390" t="n"/>
      <c r="K141" s="585" t="n">
        <v>0</v>
      </c>
      <c r="L141" s="1368" t="n"/>
      <c r="M141" s="336" t="n"/>
      <c r="N141" s="336" t="n"/>
      <c r="O141" s="336" t="n"/>
      <c r="P141" s="336" t="n"/>
      <c r="Q141" s="336" t="n"/>
      <c r="R141" s="336" t="n"/>
      <c r="S141" s="336" t="n"/>
      <c r="T141" s="336" t="n"/>
      <c r="U141" s="336" t="n"/>
      <c r="V141" s="336" t="n"/>
      <c r="W141" s="336" t="n"/>
      <c r="X141" s="336" t="n"/>
      <c r="Y141" s="336" t="n"/>
      <c r="Z141" s="336" t="n"/>
      <c r="AA141" s="336" t="n"/>
      <c r="AB141" s="336" t="n"/>
      <c r="AC141" s="336" t="n"/>
      <c r="AD141" s="336" t="n"/>
      <c r="AE141" s="336" t="n"/>
      <c r="AF141" s="336" t="n"/>
      <c r="AG141" s="336" t="n"/>
      <c r="AH141" s="336" t="n"/>
      <c r="AI141" s="30" t="n"/>
      <c r="AJ141" s="30" t="n"/>
      <c r="AK141" s="30" t="n"/>
    </row>
    <row r="142" ht="14.25" customHeight="1">
      <c r="A142" s="367" t="inlineStr">
        <is>
          <t>68(c)</t>
        </is>
      </c>
      <c r="B142" s="1342" t="n"/>
      <c r="C142" s="578" t="n">
        <v>0</v>
      </c>
      <c r="D142" s="1368" t="n"/>
      <c r="E142" s="886" t="inlineStr">
        <is>
          <t>69(1)(b)</t>
        </is>
      </c>
      <c r="F142" s="1390" t="n"/>
      <c r="G142" s="585" t="n">
        <v>0</v>
      </c>
      <c r="H142" s="1368" t="n"/>
      <c r="I142" s="886" t="inlineStr">
        <is>
          <t>69(1)(g) re (c)</t>
        </is>
      </c>
      <c r="J142" s="1390" t="n"/>
      <c r="K142" s="585" t="n">
        <v>0</v>
      </c>
      <c r="L142" s="1368" t="n"/>
      <c r="M142" s="336" t="n"/>
      <c r="N142" s="336" t="n"/>
      <c r="O142" s="336" t="n"/>
      <c r="P142" s="336" t="n"/>
      <c r="Q142" s="336" t="n"/>
      <c r="R142" s="336" t="n"/>
      <c r="S142" s="336" t="n"/>
      <c r="T142" s="336" t="n"/>
      <c r="U142" s="336" t="n"/>
      <c r="V142" s="336" t="n"/>
      <c r="W142" s="336" t="n"/>
      <c r="X142" s="336" t="n"/>
      <c r="Y142" s="336" t="n"/>
      <c r="Z142" s="336" t="n"/>
      <c r="AA142" s="336" t="n"/>
      <c r="AB142" s="336" t="n"/>
      <c r="AC142" s="336" t="n"/>
      <c r="AD142" s="336" t="n"/>
      <c r="AE142" s="336" t="n"/>
      <c r="AF142" s="336" t="n"/>
      <c r="AG142" s="336" t="n"/>
      <c r="AH142" s="336" t="n"/>
      <c r="AI142" s="30" t="n"/>
      <c r="AJ142" s="30" t="n"/>
      <c r="AK142" s="30" t="n"/>
    </row>
    <row r="143">
      <c r="A143" s="367" t="inlineStr">
        <is>
          <t>68.1</t>
        </is>
      </c>
      <c r="B143" s="1342" t="n"/>
      <c r="C143" s="578" t="n">
        <v>0</v>
      </c>
      <c r="D143" s="1368" t="n"/>
      <c r="E143" s="886" t="inlineStr">
        <is>
          <t>69(1)(c)</t>
        </is>
      </c>
      <c r="F143" s="1390" t="n"/>
      <c r="G143" s="585" t="n">
        <v>0</v>
      </c>
      <c r="H143" s="1368" t="n"/>
      <c r="I143" s="886" t="inlineStr">
        <is>
          <t>69(1)(g) re (d)</t>
        </is>
      </c>
      <c r="J143" s="1390" t="n"/>
      <c r="K143" s="585" t="n">
        <v>0</v>
      </c>
      <c r="L143" s="1368" t="n"/>
      <c r="M143" s="336" t="n"/>
      <c r="N143" s="336" t="n"/>
      <c r="O143" s="336" t="n"/>
      <c r="P143" s="336" t="n"/>
      <c r="Q143" s="336" t="n"/>
      <c r="R143" s="336" t="n"/>
      <c r="S143" s="336" t="n"/>
      <c r="T143" s="336" t="n"/>
      <c r="U143" s="336" t="n"/>
      <c r="V143" s="336" t="n"/>
      <c r="W143" s="336" t="n"/>
      <c r="X143" s="336" t="n"/>
      <c r="Y143" s="336" t="n"/>
      <c r="Z143" s="336" t="n"/>
      <c r="AA143" s="336" t="n"/>
      <c r="AB143" s="336" t="n"/>
      <c r="AC143" s="336" t="n"/>
      <c r="AD143" s="336" t="n"/>
      <c r="AE143" s="336" t="n"/>
      <c r="AF143" s="336" t="n"/>
      <c r="AG143" s="336" t="n"/>
      <c r="AH143" s="336" t="n"/>
      <c r="AI143" s="30" t="n"/>
      <c r="AJ143" s="30" t="n"/>
      <c r="AK143" s="30" t="n"/>
    </row>
    <row r="144">
      <c r="A144" s="367" t="inlineStr">
        <is>
          <t>68.2(a)</t>
        </is>
      </c>
      <c r="B144" s="1342" t="n"/>
      <c r="C144" s="578" t="n">
        <v>0</v>
      </c>
      <c r="D144" s="1368" t="n"/>
      <c r="E144" s="886" t="inlineStr">
        <is>
          <t>69(1)(d)</t>
        </is>
      </c>
      <c r="F144" s="1390" t="n"/>
      <c r="G144" s="585" t="n">
        <v>0</v>
      </c>
      <c r="H144" s="1368" t="n"/>
      <c r="I144" s="886" t="inlineStr">
        <is>
          <t>69(1)(g) re (e)</t>
        </is>
      </c>
      <c r="J144" s="1390" t="n"/>
      <c r="K144" s="585" t="n">
        <v>0</v>
      </c>
      <c r="L144" s="1368" t="n"/>
      <c r="M144" s="336" t="n"/>
      <c r="N144" s="336" t="n"/>
      <c r="O144" s="336" t="n"/>
      <c r="P144" s="336" t="n"/>
      <c r="Q144" s="336" t="n"/>
      <c r="R144" s="336" t="n"/>
      <c r="S144" s="336" t="n"/>
      <c r="T144" s="336" t="n"/>
      <c r="U144" s="336" t="n"/>
      <c r="V144" s="336" t="n"/>
      <c r="W144" s="336" t="n"/>
      <c r="X144" s="336" t="n"/>
      <c r="Y144" s="336" t="n"/>
      <c r="Z144" s="336" t="n"/>
      <c r="AA144" s="336" t="n"/>
      <c r="AB144" s="336" t="n"/>
      <c r="AC144" s="336" t="n"/>
      <c r="AD144" s="336" t="n"/>
      <c r="AE144" s="336" t="n"/>
      <c r="AF144" s="336" t="n"/>
      <c r="AG144" s="336" t="n"/>
      <c r="AH144" s="336" t="n"/>
      <c r="AI144" s="30" t="n"/>
      <c r="AJ144" s="30" t="n"/>
      <c r="AK144" s="30" t="n"/>
    </row>
    <row r="145" ht="15" customHeight="1" thickBot="1">
      <c r="A145" s="625" t="inlineStr">
        <is>
          <t>68.2(b)</t>
        </is>
      </c>
      <c r="B145" s="1348" t="n"/>
      <c r="C145" s="316" t="n">
        <v>0</v>
      </c>
      <c r="D145" s="1379" t="n"/>
      <c r="E145" s="886" t="inlineStr">
        <is>
          <t>69(1)(e)</t>
        </is>
      </c>
      <c r="F145" s="1390" t="n"/>
      <c r="G145" s="585" t="n">
        <v>0</v>
      </c>
      <c r="H145" s="1368" t="n"/>
      <c r="I145" s="886" t="inlineStr">
        <is>
          <t>69(1)(g) re (f)</t>
        </is>
      </c>
      <c r="J145" s="1390" t="n"/>
      <c r="K145" s="585" t="n">
        <v>0</v>
      </c>
      <c r="L145" s="1368" t="n"/>
      <c r="M145" s="336" t="n"/>
      <c r="N145" s="336" t="n"/>
      <c r="O145" s="336" t="n"/>
      <c r="P145" s="336" t="n"/>
      <c r="Q145" s="336" t="n"/>
      <c r="R145" s="336" t="n"/>
      <c r="S145" s="336" t="n"/>
      <c r="T145" s="336" t="n"/>
      <c r="U145" s="336" t="n"/>
      <c r="V145" s="336" t="n"/>
      <c r="W145" s="336" t="n"/>
      <c r="X145" s="336" t="n"/>
      <c r="Y145" s="336" t="n"/>
      <c r="Z145" s="336" t="n"/>
      <c r="AA145" s="336" t="n"/>
      <c r="AB145" s="336" t="n"/>
      <c r="AC145" s="336" t="n"/>
      <c r="AD145" s="336" t="n"/>
      <c r="AE145" s="336" t="n"/>
      <c r="AF145" s="336" t="n"/>
      <c r="AG145" s="336" t="n"/>
      <c r="AH145" s="336" t="n"/>
      <c r="AI145" s="30" t="n"/>
      <c r="AJ145" s="30" t="n"/>
      <c r="AK145" s="30" t="n"/>
    </row>
    <row r="146" ht="14.25" customHeight="1" thickBot="1" thickTop="1">
      <c r="A146" s="634" t="n"/>
      <c r="B146" s="1353" t="n"/>
      <c r="C146" s="653" t="n"/>
      <c r="D146" s="1360" t="n"/>
      <c r="E146" s="1397" t="inlineStr">
        <is>
          <t>69(1)(f)</t>
        </is>
      </c>
      <c r="F146" s="1384" t="n"/>
      <c r="G146" s="529" t="n">
        <v>0</v>
      </c>
      <c r="H146" s="1379" t="n"/>
      <c r="I146" s="1397" t="inlineStr">
        <is>
          <t>69.1(1)</t>
        </is>
      </c>
      <c r="J146" s="1384" t="n"/>
      <c r="K146" s="529" t="n">
        <v>0</v>
      </c>
      <c r="L146" s="1379" t="n"/>
      <c r="M146" s="337">
        <f>IF(AND(SUM(C140:D145,G140:H146,K140:L146)&gt;0,SUM(L105,L107,L110)=0),"If total number of requests reported in table 4.3 is greater than zero, then the total number of requests reported in rows 2, 4 and 7 of column 8 of table 4.1 must be greater than zero.","")</f>
        <v/>
      </c>
      <c r="N146" s="336" t="n"/>
      <c r="O146" s="336" t="n"/>
      <c r="P146" s="336" t="n"/>
      <c r="Q146" s="336" t="n"/>
      <c r="R146" s="336" t="n"/>
      <c r="S146" s="336" t="n"/>
      <c r="T146" s="336" t="n"/>
      <c r="U146" s="336" t="n"/>
      <c r="V146" s="336" t="n"/>
      <c r="W146" s="336" t="n"/>
      <c r="X146" s="336" t="n"/>
      <c r="Y146" s="336" t="n"/>
      <c r="Z146" s="336" t="n"/>
      <c r="AA146" s="336" t="n"/>
      <c r="AB146" s="336" t="n"/>
      <c r="AC146" s="336" t="n"/>
      <c r="AD146" s="336" t="n"/>
      <c r="AE146" s="336" t="n"/>
      <c r="AF146" s="336" t="n"/>
      <c r="AG146" s="336" t="n"/>
      <c r="AH146" s="336" t="n"/>
      <c r="AI146" s="30" t="n"/>
      <c r="AJ146" s="30" t="n"/>
      <c r="AK146" s="30" t="n"/>
    </row>
    <row r="147" ht="14.25" customHeight="1" thickTop="1">
      <c r="A147" s="652" t="n"/>
      <c r="B147" s="652" t="n"/>
      <c r="C147" s="652" t="n"/>
      <c r="D147" s="652" t="n"/>
      <c r="E147" s="47" t="n"/>
      <c r="F147" s="47" t="n"/>
      <c r="G147" s="471" t="n"/>
      <c r="H147" s="471" t="n"/>
      <c r="I147" s="47" t="n"/>
      <c r="J147" s="47" t="n"/>
      <c r="K147" s="471" t="n"/>
      <c r="L147" s="471" t="n"/>
      <c r="M147" s="344">
        <f>IF(SUM(A152:I152)&lt;SUM(L104:L105),"Section 4.4 - The total number of ""Paper, Electronic and Other"" of ""Format of information released"" should be equal to or greater than the ""Total"" of ""All disclosed"" and ""Disclosed in part"" of Section 4.1","")</f>
        <v/>
      </c>
      <c r="X147" s="336" t="n"/>
      <c r="Y147" s="336" t="n"/>
      <c r="Z147" s="336" t="n"/>
      <c r="AA147" s="336" t="n"/>
      <c r="AB147" s="336" t="n"/>
      <c r="AC147" s="336" t="n"/>
      <c r="AD147" s="336" t="n"/>
      <c r="AE147" s="336" t="n"/>
      <c r="AF147" s="336" t="n"/>
      <c r="AG147" s="336" t="n"/>
      <c r="AH147" s="336" t="n"/>
      <c r="AI147" s="30" t="n"/>
      <c r="AJ147" s="30" t="n"/>
      <c r="AK147" s="30" t="n"/>
    </row>
    <row r="148" ht="14.25" customHeight="1">
      <c r="A148" s="375" t="inlineStr">
        <is>
          <t>4.4  Format of information released</t>
        </is>
      </c>
      <c r="X148" s="336" t="n"/>
      <c r="Y148" s="336" t="n"/>
      <c r="Z148" s="336" t="n"/>
      <c r="AA148" s="336" t="n"/>
      <c r="AB148" s="336" t="n"/>
      <c r="AC148" s="336" t="n"/>
      <c r="AD148" s="336" t="n"/>
      <c r="AE148" s="336" t="n"/>
      <c r="AF148" s="336" t="n"/>
      <c r="AG148" s="336" t="n"/>
      <c r="AH148" s="336" t="n"/>
      <c r="AI148" s="30" t="n"/>
      <c r="AJ148" s="30" t="n"/>
      <c r="AK148" s="30" t="n"/>
    </row>
    <row r="149" ht="14.25" customHeight="1" thickBot="1">
      <c r="M149" s="917">
        <f>IF(A152&gt;SUM(L104:L105),"Section 4.4 - The total number of ""Paper"" of ""Format of information released"" should be equal to or less than the ""Total"" of ""All disclosed"" and ""Disclosed in part"" of Section 4.1","")</f>
        <v/>
      </c>
      <c r="AD149" s="336" t="n"/>
      <c r="AE149" s="336" t="n"/>
      <c r="AF149" s="336" t="n"/>
      <c r="AG149" s="336" t="n"/>
      <c r="AH149" s="336" t="n"/>
      <c r="AI149" s="30" t="n"/>
      <c r="AJ149" s="30" t="n"/>
      <c r="AK149" s="30" t="n"/>
    </row>
    <row r="150" ht="14.25" customHeight="1" thickTop="1">
      <c r="A150" s="629" t="inlineStr">
        <is>
          <t>Paper</t>
        </is>
      </c>
      <c r="B150" s="1353" t="n"/>
      <c r="C150" s="1235" t="inlineStr">
        <is>
          <t>Electronic</t>
        </is>
      </c>
      <c r="D150" s="1336" t="n"/>
      <c r="E150" s="1336" t="n"/>
      <c r="F150" s="1336" t="n"/>
      <c r="G150" s="1337" t="n"/>
      <c r="H150" s="429" t="inlineStr">
        <is>
          <t>Other</t>
        </is>
      </c>
      <c r="I150" s="1354" t="n"/>
      <c r="J150" s="50" t="n"/>
      <c r="K150" s="50" t="n"/>
      <c r="M150" s="915">
        <f>IF(C152&gt;SUM(L104:L105),"Section 4.4 - The total number of ""E-record"" of ""Format of information released"" should be equal to or less than the ""Total"" of ""All disclosed"" and ""Disclosed in part"" of Section 4.1","")</f>
        <v/>
      </c>
      <c r="AD150" s="336" t="n"/>
      <c r="AE150" s="336" t="n"/>
      <c r="AF150" s="336" t="n"/>
      <c r="AG150" s="336" t="n"/>
      <c r="AH150" s="336" t="n"/>
      <c r="AI150" s="30" t="n"/>
      <c r="AJ150" s="30" t="n"/>
      <c r="AK150" s="30" t="n"/>
    </row>
    <row r="151" ht="14.25" customHeight="1" thickBot="1">
      <c r="A151" s="1349" t="n"/>
      <c r="B151" s="1350" t="n"/>
      <c r="C151" s="1399" t="inlineStr">
        <is>
          <t>E-record</t>
        </is>
      </c>
      <c r="D151" s="1384" t="n"/>
      <c r="E151" s="167" t="inlineStr">
        <is>
          <t>Data set</t>
        </is>
      </c>
      <c r="F151" s="168" t="inlineStr">
        <is>
          <t>Video</t>
        </is>
      </c>
      <c r="G151" s="611" t="inlineStr">
        <is>
          <t>Audio</t>
        </is>
      </c>
      <c r="H151" s="1350" t="n"/>
      <c r="I151" s="1374" t="n"/>
      <c r="J151" s="50" t="n"/>
      <c r="K151" s="50" t="n"/>
      <c r="M151" s="915">
        <f>IF(E152&gt;SUM(L104:L105),"Section 4.4 - The total number of ""Data set"" of ""Format of information released"" should be equal to or less than the ""Total"" of ""All disclosed"" and ""Disclosed in part"" of Section 4.1","")</f>
        <v/>
      </c>
      <c r="AD151" s="336" t="n"/>
      <c r="AE151" s="336" t="n"/>
      <c r="AF151" s="336" t="n"/>
      <c r="AG151" s="336" t="n"/>
      <c r="AH151" s="336" t="n"/>
      <c r="AI151" s="30" t="n"/>
      <c r="AJ151" s="30" t="n"/>
      <c r="AK151" s="30" t="n"/>
    </row>
    <row r="152" ht="14.25" customHeight="1" thickBot="1" thickTop="1">
      <c r="A152" s="654" t="n">
        <v>0</v>
      </c>
      <c r="B152" s="1400" t="n"/>
      <c r="C152" s="493" t="n">
        <v>0</v>
      </c>
      <c r="D152" s="1401" t="n"/>
      <c r="E152" s="494" t="n">
        <v>0</v>
      </c>
      <c r="F152" s="494" t="n">
        <v>0</v>
      </c>
      <c r="G152" s="235" t="n">
        <v>0</v>
      </c>
      <c r="H152" s="654" t="n">
        <v>0</v>
      </c>
      <c r="I152" s="1400" t="n"/>
      <c r="M152" s="918">
        <f>IF(F152&gt;SUM(L104:L105),"Section 4.4 - The total number of ""Video"" of ""Format of information released"" should be equal to or less than the ""Total"" of ""All disclosed"" and ""Disclosed in part"" of Section 4.1","")</f>
        <v/>
      </c>
      <c r="AD152" s="905" t="n"/>
      <c r="AE152" s="905" t="n"/>
      <c r="AF152" s="905" t="n"/>
      <c r="AG152" s="905" t="n"/>
      <c r="AH152" s="905" t="n"/>
      <c r="AI152" s="30" t="n"/>
      <c r="AJ152" s="30" t="n"/>
      <c r="AK152" s="30" t="n"/>
    </row>
    <row r="153" ht="14.25" customHeight="1" thickTop="1">
      <c r="M153" s="918">
        <f>IF(G152&gt;SUM(L104:L105),"Section 4.4 - The total number of ""Audio"" of ""Format of information released"" should be equal to or less than the ""Total"" of ""All disclosed"" and ""Disclosed in part"" of Section 4.1","")</f>
        <v/>
      </c>
      <c r="AD153" s="336" t="n"/>
      <c r="AE153" s="336" t="n"/>
      <c r="AF153" s="336" t="n"/>
      <c r="AG153" s="336" t="n"/>
      <c r="AH153" s="336" t="n"/>
      <c r="AI153" s="30" t="n"/>
      <c r="AJ153" s="30" t="n"/>
      <c r="AK153" s="30" t="n"/>
    </row>
    <row r="154" ht="14.25" customHeight="1">
      <c r="A154" s="374" t="inlineStr">
        <is>
          <t>4.5 Complexity</t>
        </is>
      </c>
      <c r="M154" s="915">
        <f>IF(H152&gt;SUM(L104:L105),"Section 4.4 - The total number of ""Other"" of ""Format of information released"" should be equal to or less than the ""Total"" of ""All disclosed"" and ""Disclosed in part"" of Section 4.1","")</f>
        <v/>
      </c>
      <c r="AD154" s="336" t="n"/>
      <c r="AE154" s="336" t="n"/>
      <c r="AF154" s="336" t="n"/>
      <c r="AG154" s="336" t="n"/>
      <c r="AH154" s="336" t="n"/>
      <c r="AI154" s="30" t="n"/>
      <c r="AJ154" s="30" t="n"/>
      <c r="AK154" s="30" t="n"/>
    </row>
    <row r="155" ht="14.25" customHeight="1">
      <c r="A155" s="374" t="n"/>
      <c r="M155" s="337">
        <f>IF(SUM(A152,C152,E152,H152)&lt;= G159,"","The total number of ""Paper"", ""E-record"", ""Data set"" and ""Other"" of Section 4.4 must be equal or less than the ""Number of Requests"" of Section 4.5.1  ")</f>
        <v/>
      </c>
      <c r="N155" s="336" t="n"/>
      <c r="O155" s="336" t="n"/>
      <c r="P155" s="336" t="n"/>
      <c r="Q155" s="336" t="n"/>
      <c r="R155" s="336" t="n"/>
      <c r="S155" s="336" t="n"/>
      <c r="T155" s="336" t="n"/>
      <c r="U155" s="336" t="n"/>
      <c r="V155" s="336" t="n"/>
      <c r="W155" s="336" t="n"/>
      <c r="X155" s="336" t="n"/>
      <c r="Y155" s="336" t="n"/>
      <c r="Z155" s="336" t="n"/>
      <c r="AA155" s="336" t="n"/>
      <c r="AB155" s="336" t="n"/>
      <c r="AC155" s="336" t="n"/>
      <c r="AD155" s="336" t="n"/>
      <c r="AE155" s="336" t="n"/>
      <c r="AF155" s="336" t="n"/>
      <c r="AG155" s="336" t="n"/>
      <c r="AH155" s="336" t="n"/>
      <c r="AI155" s="30" t="n"/>
      <c r="AJ155" s="30" t="n"/>
      <c r="AK155" s="30" t="n"/>
    </row>
    <row r="156" ht="15" customHeight="1">
      <c r="A156" s="373" t="inlineStr">
        <is>
          <t>4.5.1 Relevant pages processed and disclosed for paper, e-record and dataset formats</t>
        </is>
      </c>
      <c r="M156" s="337">
        <f>IF(F152&lt;=G196,"","The total number of ""Video"" reported in table 4.4 must be equal to or less than the total ""Number of Requests"" reported in column 3 of table 4.5.5")</f>
        <v/>
      </c>
      <c r="N156" s="336" t="n"/>
      <c r="O156" s="336" t="n"/>
      <c r="P156" s="336" t="n"/>
      <c r="Q156" s="336" t="n"/>
      <c r="R156" s="336" t="n"/>
      <c r="S156" s="336" t="n"/>
      <c r="T156" s="336" t="n"/>
      <c r="U156" s="336" t="n"/>
      <c r="V156" s="336" t="n"/>
      <c r="W156" s="336" t="n"/>
      <c r="X156" s="336" t="n"/>
      <c r="Y156" s="336" t="n"/>
      <c r="Z156" s="336" t="n"/>
      <c r="AA156" s="336" t="n"/>
      <c r="AB156" s="336" t="n"/>
      <c r="AC156" s="336" t="n"/>
      <c r="AD156" s="336" t="n"/>
      <c r="AE156" s="336" t="n"/>
      <c r="AF156" s="336" t="n"/>
      <c r="AG156" s="336" t="n"/>
      <c r="AH156" s="336" t="n"/>
      <c r="AI156" s="30" t="n"/>
      <c r="AJ156" s="30" t="n"/>
      <c r="AK156" s="30" t="n"/>
    </row>
    <row r="157" ht="14.25" customHeight="1" thickBot="1">
      <c r="M157" s="337">
        <f>IF(G152&lt;=G178,"","The total number of ""Audio"" reported in table 4.4 must be equal to or less than the total ""Number of Requests"" reported in column 3 of table 4.5.3")</f>
        <v/>
      </c>
      <c r="N157" s="336" t="n"/>
      <c r="O157" s="336" t="n"/>
      <c r="P157" s="336" t="n"/>
      <c r="Q157" s="336" t="n"/>
      <c r="R157" s="336" t="n"/>
      <c r="S157" s="336" t="n"/>
      <c r="T157" s="336" t="n"/>
      <c r="U157" s="336" t="n"/>
      <c r="V157" s="336" t="n"/>
      <c r="W157" s="336" t="n"/>
      <c r="X157" s="336" t="n"/>
      <c r="Y157" s="336" t="n"/>
      <c r="Z157" s="336" t="n"/>
      <c r="AA157" s="336" t="n"/>
      <c r="AB157" s="336" t="n"/>
      <c r="AC157" s="336" t="n"/>
      <c r="AD157" s="336" t="n"/>
      <c r="AE157" s="336" t="n"/>
      <c r="AF157" s="336" t="n"/>
      <c r="AG157" s="336" t="n"/>
      <c r="AH157" s="336" t="n"/>
      <c r="AI157" s="30" t="n"/>
      <c r="AJ157" s="30" t="n"/>
      <c r="AK157" s="30" t="n"/>
    </row>
    <row r="158" ht="30.75" customHeight="1" thickBot="1" thickTop="1">
      <c r="A158" s="467" t="inlineStr">
        <is>
          <t>Number of Pages Processed</t>
        </is>
      </c>
      <c r="B158" s="1333" t="n"/>
      <c r="C158" s="1386" t="n"/>
      <c r="D158" s="428" t="inlineStr">
        <is>
          <t>Number of Pages Disclosed</t>
        </is>
      </c>
      <c r="E158" s="1333" t="n"/>
      <c r="F158" s="1333" t="n"/>
      <c r="G158" s="846" t="inlineStr">
        <is>
          <t>Number of Requests</t>
        </is>
      </c>
      <c r="H158" s="1333" t="n"/>
      <c r="I158" s="1334" t="n"/>
      <c r="J158" s="205" t="n"/>
      <c r="M158" s="902">
        <f>IF(D159&gt;A159,"Section 4.5.1 - The number of ""Disclosed"" pages should be equal or lower to the number of ""Processed"".","")</f>
        <v/>
      </c>
      <c r="AA158" s="905" t="n"/>
      <c r="AB158" s="905" t="n"/>
      <c r="AC158" s="905" t="n"/>
      <c r="AD158" s="905" t="n"/>
      <c r="AE158" s="905" t="n"/>
      <c r="AF158" s="905" t="n"/>
      <c r="AG158" s="905" t="n"/>
      <c r="AH158" s="905" t="n"/>
      <c r="AI158" s="30" t="n"/>
      <c r="AJ158" s="30" t="n"/>
      <c r="AK158" s="30" t="n"/>
    </row>
    <row r="159" ht="14.25" customHeight="1" thickBot="1" thickTop="1">
      <c r="A159" s="248" t="n">
        <v>0</v>
      </c>
      <c r="B159" s="1402" t="n"/>
      <c r="C159" s="1401" t="n"/>
      <c r="D159" s="1403" t="n">
        <v>0</v>
      </c>
      <c r="E159" s="1404" t="n"/>
      <c r="F159" s="1405" t="n"/>
      <c r="G159" s="1406" t="n">
        <v>0</v>
      </c>
      <c r="H159" s="1402" t="n"/>
      <c r="I159" s="1400" t="n"/>
      <c r="J159" s="205" t="n"/>
      <c r="M159" s="902">
        <f>IF(G159&gt;L114,"Section 4.5.1 - The ""Number of Requests"" should be equal or less than the sum of Section 4.1 Totals of rows 1 to 4 and 7 to 9","")</f>
        <v/>
      </c>
      <c r="AA159" s="905" t="n"/>
      <c r="AB159" s="905" t="n"/>
      <c r="AC159" s="905" t="n"/>
      <c r="AD159" s="905" t="n"/>
      <c r="AE159" s="905" t="n"/>
      <c r="AF159" s="905" t="n"/>
      <c r="AG159" s="905" t="n"/>
      <c r="AH159" s="905" t="n"/>
      <c r="AI159" s="30" t="n"/>
      <c r="AJ159" s="30" t="n"/>
      <c r="AK159" s="30" t="n"/>
    </row>
    <row r="160" ht="14.25" customHeight="1" thickTop="1">
      <c r="A160" s="219" t="n"/>
      <c r="B160" s="219" t="n"/>
      <c r="C160" s="219" t="n"/>
      <c r="D160" s="219" t="n"/>
      <c r="E160" s="219" t="n"/>
      <c r="F160" s="219" t="n"/>
      <c r="M160" s="905" t="n"/>
      <c r="AI160" s="30" t="n"/>
      <c r="AJ160" s="30" t="n"/>
      <c r="AK160" s="30" t="n"/>
    </row>
    <row r="161" ht="13.5" customHeight="1">
      <c r="A161" s="642" t="inlineStr">
        <is>
          <t>4.5.2 Relevant pages processed per request disposition for paper, e-record and dataset formats by size of requests</t>
        </is>
      </c>
      <c r="M161" s="337">
        <f>IFERROR(IF(D173/C173&gt;99,"Section 4.5.2 - The total ""Pages Processed"" divided by the total ""Number of Requests""  in ""Less Than 100 Pages Processed"" must be equal to or less than 99.",""),"")</f>
        <v/>
      </c>
      <c r="N161" s="336" t="n"/>
      <c r="O161" s="336" t="n"/>
      <c r="P161" s="336" t="n"/>
      <c r="Q161" s="336" t="n"/>
      <c r="R161" s="336" t="n"/>
      <c r="S161" s="336" t="n"/>
      <c r="T161" s="336" t="n"/>
      <c r="U161" s="336" t="n"/>
      <c r="V161" s="336" t="n"/>
      <c r="W161" s="336" t="n"/>
      <c r="X161" s="336" t="n"/>
      <c r="Y161" s="336" t="n"/>
      <c r="Z161" s="336" t="n"/>
      <c r="AA161" s="336" t="n"/>
      <c r="AB161" s="336" t="n"/>
      <c r="AC161" s="336" t="n"/>
      <c r="AD161" s="336" t="n"/>
      <c r="AE161" s="336" t="n"/>
      <c r="AF161" s="336" t="n"/>
      <c r="AG161" s="336" t="n"/>
      <c r="AH161" s="336" t="n"/>
      <c r="AI161" s="30" t="n"/>
      <c r="AJ161" s="30" t="n"/>
      <c r="AK161" s="30" t="n"/>
    </row>
    <row r="162">
      <c r="M162" s="337">
        <f>IFERROR(IF(AND(F173/E173&gt;=100,F173/E173&lt;=500),"","Section 4.5.2 - The total ""Pages Processed"" divided by the total ""Number of Requests"" in ""100-500 Pages Processed"" must be between 100 to 500."),"")</f>
        <v/>
      </c>
      <c r="N162" s="336" t="n"/>
      <c r="O162" s="336" t="n"/>
      <c r="P162" s="336" t="n"/>
      <c r="Q162" s="336" t="n"/>
      <c r="R162" s="336" t="n"/>
      <c r="S162" s="336" t="n"/>
      <c r="T162" s="336" t="n"/>
      <c r="U162" s="336" t="n"/>
      <c r="V162" s="336" t="n"/>
      <c r="W162" s="336" t="n"/>
      <c r="X162" s="336" t="n"/>
      <c r="Y162" s="336" t="n"/>
      <c r="Z162" s="336" t="n"/>
      <c r="AA162" s="336" t="n"/>
      <c r="AB162" s="336" t="n"/>
      <c r="AC162" s="336" t="n"/>
      <c r="AD162" s="336" t="n"/>
      <c r="AE162" s="336" t="n"/>
      <c r="AF162" s="336" t="n"/>
      <c r="AG162" s="336" t="n"/>
      <c r="AH162" s="336" t="n"/>
      <c r="AI162" s="30" t="n"/>
      <c r="AJ162" s="30" t="n"/>
      <c r="AK162" s="30" t="n"/>
    </row>
    <row r="163" ht="15" customHeight="1" thickBot="1">
      <c r="C163" s="28" t="n"/>
      <c r="D163" s="28" t="n"/>
      <c r="E163" s="28" t="n"/>
      <c r="F163" s="28" t="n"/>
      <c r="G163" s="28" t="n"/>
      <c r="H163" s="28" t="n"/>
      <c r="I163" s="28" t="n"/>
      <c r="J163" s="28" t="n"/>
      <c r="K163" s="28" t="n"/>
      <c r="L163" s="28" t="n"/>
      <c r="M163" s="337">
        <f>IFERROR(IF(AND(H173/G173&gt;500,H173/G173&lt;=1000),"","Section 4.5.2 - The total ""Pages Processed"" divided by the total ""Number of Requests"" in ""501-1000 Pages Processed"" must be between 501 to 1000."),"")</f>
        <v/>
      </c>
      <c r="N163" s="336" t="n"/>
      <c r="O163" s="336" t="n"/>
      <c r="P163" s="336" t="n"/>
      <c r="Q163" s="336" t="n"/>
      <c r="R163" s="336" t="n"/>
      <c r="S163" s="336" t="n"/>
      <c r="T163" s="336" t="n"/>
      <c r="U163" s="336" t="n"/>
      <c r="V163" s="336" t="n"/>
      <c r="W163" s="336" t="n"/>
      <c r="X163" s="336" t="n"/>
      <c r="Y163" s="336" t="n"/>
      <c r="Z163" s="336" t="n"/>
      <c r="AA163" s="336" t="n"/>
      <c r="AB163" s="336" t="n"/>
      <c r="AC163" s="336" t="n"/>
      <c r="AD163" s="336" t="n"/>
      <c r="AE163" s="336" t="n"/>
      <c r="AF163" s="336" t="n"/>
      <c r="AG163" s="336" t="n"/>
      <c r="AH163" s="336" t="n"/>
      <c r="AI163" s="30" t="n"/>
      <c r="AJ163" s="30" t="n"/>
      <c r="AK163" s="30" t="n"/>
    </row>
    <row r="164" ht="30" customHeight="1" thickTop="1">
      <c r="A164" s="1407" t="inlineStr">
        <is>
          <t>Disposition</t>
        </is>
      </c>
      <c r="B164" s="1354" t="n"/>
      <c r="C164" s="1408" t="inlineStr">
        <is>
          <t>Less Than 100
Pages Processed</t>
        </is>
      </c>
      <c r="D164" s="1409" t="n"/>
      <c r="E164" s="661" t="inlineStr">
        <is>
          <t>100-500
Pages Processed</t>
        </is>
      </c>
      <c r="F164" s="1395" t="n"/>
      <c r="G164" s="1408" t="inlineStr">
        <is>
          <t>501-1000
Pages Processed</t>
        </is>
      </c>
      <c r="H164" s="1409" t="n"/>
      <c r="I164" s="1408" t="inlineStr">
        <is>
          <t>1001-5000
Pages Processed</t>
        </is>
      </c>
      <c r="J164" s="1409" t="n"/>
      <c r="K164" s="655" t="inlineStr">
        <is>
          <t>More Than 5000
Pages Processed</t>
        </is>
      </c>
      <c r="L164" s="1331" t="n"/>
      <c r="M164" s="339">
        <f>IFERROR(IF(AND(J173/I173&gt;1000,J173/I173&lt;=5000),"","Section 4.5.2 - The total ""Pages Processed"" divided by the total ""Number of Requests"" in ""1001-5000 Pages Processed"" must be between 1001 to 5000."),"")</f>
        <v/>
      </c>
      <c r="N164" s="336" t="n"/>
      <c r="O164" s="336" t="n"/>
      <c r="P164" s="336" t="n"/>
      <c r="Q164" s="336" t="n"/>
      <c r="R164" s="336" t="n"/>
      <c r="S164" s="336" t="n"/>
      <c r="T164" s="336" t="n"/>
      <c r="U164" s="336" t="n"/>
      <c r="V164" s="336" t="n"/>
      <c r="W164" s="336" t="n"/>
      <c r="X164" s="336" t="n"/>
      <c r="Y164" s="336" t="n"/>
      <c r="Z164" s="336" t="n"/>
      <c r="AA164" s="912" t="inlineStr">
        <is>
          <t>Totals of Pages processed for 4.5.2</t>
        </is>
      </c>
      <c r="AB164" s="912" t="inlineStr">
        <is>
          <t>Totals of 4.5.2, 4.5.4 and 4.5.6</t>
        </is>
      </c>
      <c r="AC164" s="336" t="n"/>
      <c r="AD164" s="336" t="n"/>
      <c r="AE164" s="336" t="n"/>
      <c r="AF164" s="336" t="n"/>
      <c r="AG164" s="336" t="n"/>
      <c r="AH164" s="336" t="n"/>
      <c r="AI164" s="30" t="n"/>
      <c r="AJ164" s="30" t="n"/>
      <c r="AK164" s="30" t="n"/>
    </row>
    <row r="165" ht="33" customHeight="1" thickBot="1">
      <c r="A165" s="1349" t="n"/>
      <c r="B165" s="1374" t="n"/>
      <c r="C165" s="135" t="inlineStr">
        <is>
          <t>Number of Requests</t>
        </is>
      </c>
      <c r="D165" s="136" t="inlineStr">
        <is>
          <t>Pages Processed</t>
        </is>
      </c>
      <c r="E165" s="135" t="inlineStr">
        <is>
          <t>Number of Requests</t>
        </is>
      </c>
      <c r="F165" s="136" t="inlineStr">
        <is>
          <t>Pages Processed</t>
        </is>
      </c>
      <c r="G165" s="135" t="inlineStr">
        <is>
          <t>Number of Requests</t>
        </is>
      </c>
      <c r="H165" s="136" t="inlineStr">
        <is>
          <t>Pages Processed</t>
        </is>
      </c>
      <c r="I165" s="135" t="inlineStr">
        <is>
          <t>Number of Requests</t>
        </is>
      </c>
      <c r="J165" s="136" t="inlineStr">
        <is>
          <t>Pages Processed</t>
        </is>
      </c>
      <c r="K165" s="135" t="inlineStr">
        <is>
          <t>Number of Requests</t>
        </is>
      </c>
      <c r="L165" s="136" t="inlineStr">
        <is>
          <t>Pages Processed</t>
        </is>
      </c>
      <c r="M165" s="337">
        <f>IFERROR(IF(L173/K173&lt;=5000,"Section 4.5.2 - The total ""Pages Processed"" divided by the total ""Number of Requests"" in ""More Than 5000 Pages Processed"" must be greater than 5000.",""),"")</f>
        <v/>
      </c>
      <c r="N165" s="336" t="n"/>
      <c r="O165" s="336" t="n"/>
      <c r="P165" s="336" t="n"/>
      <c r="Q165" s="336" t="n"/>
      <c r="R165" s="336" t="n"/>
      <c r="S165" s="336" t="n"/>
      <c r="T165" s="336" t="n"/>
      <c r="U165" s="336" t="n"/>
      <c r="V165" s="336" t="n"/>
      <c r="W165" s="336" t="n"/>
      <c r="X165" s="336" t="n"/>
      <c r="Y165" s="336" t="n"/>
      <c r="Z165" s="336" t="n"/>
      <c r="AC165" s="336" t="n"/>
      <c r="AD165" s="336" t="n"/>
      <c r="AE165" s="336" t="n"/>
      <c r="AF165" s="336" t="n"/>
      <c r="AG165" s="336" t="n"/>
      <c r="AH165" s="336" t="n"/>
      <c r="AI165" s="30" t="n"/>
      <c r="AJ165" s="30" t="n"/>
      <c r="AK165" s="30" t="n"/>
    </row>
    <row r="166" ht="14.25" customHeight="1" thickTop="1">
      <c r="A166" s="1410" t="inlineStr">
        <is>
          <t>All disclosed</t>
        </is>
      </c>
      <c r="B166" s="1337" t="n"/>
      <c r="C166" s="483" t="n">
        <v>0</v>
      </c>
      <c r="D166" s="1237" t="n">
        <v>0</v>
      </c>
      <c r="E166" s="990" t="n">
        <v>0</v>
      </c>
      <c r="F166" s="594" t="n">
        <v>0</v>
      </c>
      <c r="G166" s="483" t="n">
        <v>0</v>
      </c>
      <c r="H166" s="1237" t="n">
        <v>0</v>
      </c>
      <c r="I166" s="990" t="n">
        <v>0</v>
      </c>
      <c r="J166" s="594" t="n">
        <v>0</v>
      </c>
      <c r="K166" s="483" t="n">
        <v>0</v>
      </c>
      <c r="L166" s="1255" t="n">
        <v>0</v>
      </c>
      <c r="M166" s="902">
        <f>IF(L104&lt;AA166,"Section 4.5.2 - The total of the Columns ""Number of Request"" for ""All disclosed"" should be equal to or less than the total ""All disclosed"" of Section 4.1.","")</f>
        <v/>
      </c>
      <c r="AA166" s="336">
        <f>SUM(C166,E166,G166,I166,K166)</f>
        <v/>
      </c>
      <c r="AB166" s="336">
        <f>SUM(AA166,AA184,AE202)</f>
        <v/>
      </c>
      <c r="AC166" s="336" t="n"/>
      <c r="AD166" s="336" t="n"/>
      <c r="AE166" s="336" t="n"/>
      <c r="AF166" s="336" t="n"/>
      <c r="AG166" s="336" t="n"/>
      <c r="AH166" s="336" t="n"/>
      <c r="AI166" s="30" t="n"/>
      <c r="AJ166" s="30" t="n"/>
      <c r="AK166" s="30" t="n"/>
    </row>
    <row r="167" ht="16.5" customHeight="1">
      <c r="A167" s="1411" t="inlineStr">
        <is>
          <t>Disclosed in part</t>
        </is>
      </c>
      <c r="B167" s="1343" t="n"/>
      <c r="C167" s="476" t="n">
        <v>0</v>
      </c>
      <c r="D167" s="1246" t="n">
        <v>0</v>
      </c>
      <c r="E167" s="431" t="n">
        <v>0</v>
      </c>
      <c r="F167" s="430" t="n">
        <v>0</v>
      </c>
      <c r="G167" s="476" t="n">
        <v>0</v>
      </c>
      <c r="H167" s="1246" t="n">
        <v>0</v>
      </c>
      <c r="I167" s="990" t="n">
        <v>0</v>
      </c>
      <c r="J167" s="594" t="n">
        <v>0</v>
      </c>
      <c r="K167" s="483" t="n">
        <v>0</v>
      </c>
      <c r="L167" s="1237" t="n">
        <v>0</v>
      </c>
      <c r="M167" s="902">
        <f>IF(L105&lt;AA167,"Section 4.5.2 - The total of Columns of ""Number of Request"" for ""Disclosed in part"" should be equal to or less than the total ""Disclosed in part"" of Section 4.1.","")</f>
        <v/>
      </c>
      <c r="AA167" s="336">
        <f>SUM(C167,E167,G167,I167,K167)</f>
        <v/>
      </c>
      <c r="AB167" s="336">
        <f>SUM(AA167,AA185,AE203)</f>
        <v/>
      </c>
      <c r="AC167" s="336" t="n"/>
      <c r="AD167" s="336" t="n"/>
      <c r="AE167" s="336" t="n"/>
      <c r="AF167" s="336" t="n"/>
      <c r="AG167" s="336" t="n"/>
      <c r="AH167" s="336" t="n"/>
      <c r="AI167" s="30" t="n"/>
      <c r="AJ167" s="30" t="n"/>
      <c r="AK167" s="30" t="n"/>
    </row>
    <row r="168">
      <c r="A168" s="1412" t="inlineStr">
        <is>
          <t>All exempted</t>
        </is>
      </c>
      <c r="B168" s="1343" t="n"/>
      <c r="C168" s="476" t="n">
        <v>0</v>
      </c>
      <c r="D168" s="1246" t="n">
        <v>0</v>
      </c>
      <c r="E168" s="431" t="n">
        <v>0</v>
      </c>
      <c r="F168" s="430" t="n">
        <v>0</v>
      </c>
      <c r="G168" s="476" t="n">
        <v>0</v>
      </c>
      <c r="H168" s="1246" t="n">
        <v>0</v>
      </c>
      <c r="I168" s="990" t="n">
        <v>0</v>
      </c>
      <c r="J168" s="594" t="n">
        <v>0</v>
      </c>
      <c r="K168" s="483" t="n">
        <v>0</v>
      </c>
      <c r="L168" s="1237" t="n">
        <v>0</v>
      </c>
      <c r="M168" s="902">
        <f>IF(L106&lt;AA168,"Section 4.5.2 - The total of Columns of ""Number of Request"" for ""All exempted"" should be equal to or less than the total ""All exempted"" of Section 4.1.","")</f>
        <v/>
      </c>
      <c r="AA168" s="336">
        <f>SUM(C168,E168,G168,I168,K168)</f>
        <v/>
      </c>
      <c r="AB168" s="336">
        <f>SUM(AA168,AA186,AE204)</f>
        <v/>
      </c>
      <c r="AC168" s="336" t="n"/>
      <c r="AD168" s="336" t="n"/>
      <c r="AE168" s="336" t="n"/>
      <c r="AF168" s="336" t="n"/>
      <c r="AG168" s="336" t="n"/>
      <c r="AH168" s="336" t="n"/>
      <c r="AI168" s="30" t="n"/>
      <c r="AJ168" s="30" t="n"/>
      <c r="AK168" s="30" t="n"/>
    </row>
    <row r="169">
      <c r="A169" s="1412" t="inlineStr">
        <is>
          <t>All excluded</t>
        </is>
      </c>
      <c r="B169" s="1343" t="n"/>
      <c r="C169" s="476" t="n">
        <v>0</v>
      </c>
      <c r="D169" s="1246" t="n">
        <v>0</v>
      </c>
      <c r="E169" s="431" t="n">
        <v>0</v>
      </c>
      <c r="F169" s="430" t="n">
        <v>0</v>
      </c>
      <c r="G169" s="476" t="n">
        <v>0</v>
      </c>
      <c r="H169" s="1246" t="n">
        <v>0</v>
      </c>
      <c r="I169" s="990" t="n">
        <v>0</v>
      </c>
      <c r="J169" s="594" t="n">
        <v>0</v>
      </c>
      <c r="K169" s="483" t="n">
        <v>0</v>
      </c>
      <c r="L169" s="1237" t="n">
        <v>0</v>
      </c>
      <c r="M169" s="902">
        <f>IF(L107&lt;AA169,"Section 4.5.2 - The total of Columns of ""Number of Request"" for ""All excluded"" should be equal to or less than the total ""All excluded"" of Section 4.1.","")</f>
        <v/>
      </c>
      <c r="AA169" s="336">
        <f>SUM(C169,E169,G169,I169,K169)</f>
        <v/>
      </c>
      <c r="AB169" s="336">
        <f>SUM(AA169,AA187,AE205)</f>
        <v/>
      </c>
      <c r="AC169" s="336" t="n"/>
      <c r="AD169" s="336" t="n"/>
      <c r="AE169" s="336" t="n"/>
      <c r="AF169" s="336" t="n"/>
      <c r="AG169" s="336" t="n"/>
      <c r="AH169" s="336" t="n"/>
      <c r="AI169" s="30" t="n"/>
      <c r="AJ169" s="30" t="n"/>
      <c r="AK169" s="30" t="n"/>
    </row>
    <row r="170" ht="25.15" customHeight="1">
      <c r="A170" s="1411" t="inlineStr">
        <is>
          <t xml:space="preserve">Request abandoned </t>
        </is>
      </c>
      <c r="B170" s="1343" t="n"/>
      <c r="C170" s="476" t="n">
        <v>0</v>
      </c>
      <c r="D170" s="430" t="n">
        <v>0</v>
      </c>
      <c r="E170" s="476" t="n">
        <v>0</v>
      </c>
      <c r="F170" s="430" t="n">
        <v>0</v>
      </c>
      <c r="G170" s="476" t="n">
        <v>0</v>
      </c>
      <c r="H170" s="1246" t="n">
        <v>0</v>
      </c>
      <c r="I170" s="990" t="n">
        <v>0</v>
      </c>
      <c r="J170" s="594" t="n">
        <v>0</v>
      </c>
      <c r="K170" s="483" t="n">
        <v>0</v>
      </c>
      <c r="L170" s="1237" t="n">
        <v>0</v>
      </c>
      <c r="M170" s="902">
        <f>IF(L110&lt;AA170,"Section 4.5.2 - The total of Columns of ""Number of Request"" for ""Request abandoned"" should be equal to or less than the total ""Request abandoned"" of Section 4.1.","")</f>
        <v/>
      </c>
      <c r="AA170" s="336">
        <f>SUM(C170,E170,G170,I170,K170)</f>
        <v/>
      </c>
      <c r="AB170" s="336">
        <f>SUM(AA170,AA188,AE206)</f>
        <v/>
      </c>
      <c r="AC170" s="336" t="n"/>
      <c r="AD170" s="336" t="n"/>
      <c r="AE170" s="336" t="n"/>
      <c r="AF170" s="336" t="n"/>
      <c r="AG170" s="336" t="n"/>
      <c r="AH170" s="336" t="n"/>
      <c r="AI170" s="30" t="n"/>
      <c r="AJ170" s="30" t="n"/>
      <c r="AK170" s="30" t="n"/>
    </row>
    <row r="171" ht="27" customHeight="1">
      <c r="A171" s="1411" t="inlineStr">
        <is>
          <t>Neither confirmed nor denied</t>
        </is>
      </c>
      <c r="B171" s="1343" t="n"/>
      <c r="C171" s="476" t="n">
        <v>0</v>
      </c>
      <c r="D171" s="159" t="n">
        <v>0</v>
      </c>
      <c r="E171" s="144" t="n">
        <v>0</v>
      </c>
      <c r="F171" s="159" t="n">
        <v>0</v>
      </c>
      <c r="G171" s="144" t="n">
        <v>0</v>
      </c>
      <c r="H171" s="160" t="n">
        <v>0</v>
      </c>
      <c r="I171" s="140" t="n">
        <v>0</v>
      </c>
      <c r="J171" s="146" t="n">
        <v>0</v>
      </c>
      <c r="K171" s="138" t="n">
        <v>0</v>
      </c>
      <c r="L171" s="139" t="n">
        <v>0</v>
      </c>
      <c r="M171" s="902">
        <f>IF(L111&lt;AA171,"Section 4.5.2 - The total of Columns of ""Number of Request"" for ""Neither confirmed nor denied"" should be equal to or less than the total ""Neither confirmed nor denied"" of Section 4.1.","")</f>
        <v/>
      </c>
      <c r="AA171" s="336">
        <f>SUM(C171,E171,G171,I171,K171)</f>
        <v/>
      </c>
      <c r="AB171" s="336">
        <f>SUM(AA171,AA189,AE207)</f>
        <v/>
      </c>
      <c r="AC171" s="336" t="n"/>
      <c r="AD171" s="336" t="n"/>
      <c r="AE171" s="336" t="n"/>
      <c r="AF171" s="336" t="n"/>
      <c r="AG171" s="336" t="n"/>
      <c r="AH171" s="336" t="n"/>
      <c r="AI171" s="30" t="n"/>
      <c r="AJ171" s="30" t="n"/>
      <c r="AK171" s="30" t="n"/>
    </row>
    <row r="172" ht="54" customHeight="1" thickBot="1">
      <c r="A172" s="1413" t="inlineStr">
        <is>
          <t>Declined to act with the approval of the Information Commissioner</t>
        </is>
      </c>
      <c r="B172" s="1356" t="n"/>
      <c r="C172" s="137" t="n">
        <v>0</v>
      </c>
      <c r="D172" s="504" t="n">
        <v>0</v>
      </c>
      <c r="E172" s="137" t="n">
        <v>0</v>
      </c>
      <c r="F172" s="504" t="n">
        <v>0</v>
      </c>
      <c r="G172" s="137" t="n">
        <v>0</v>
      </c>
      <c r="H172" s="899" t="n">
        <v>0</v>
      </c>
      <c r="I172" s="547" t="n">
        <v>0</v>
      </c>
      <c r="J172" s="504" t="n">
        <v>0</v>
      </c>
      <c r="K172" s="547" t="n">
        <v>0</v>
      </c>
      <c r="L172" s="899" t="n">
        <v>0</v>
      </c>
      <c r="M172" s="902">
        <f>IF(L112&lt;AA172,"Section 4.5.2 - The total number of request for ""Declined to act with the approval of the Information Commissioner"" should be equal to or less than the total ""Declined to act with the approval of the Information Commissioner"" of Section 4.1.","")</f>
        <v/>
      </c>
      <c r="AA172" s="336">
        <f>SUM(C172,E172,G172,I172,K172)</f>
        <v/>
      </c>
      <c r="AB172" s="336">
        <f>SUM(AA172,AA190,AE208)</f>
        <v/>
      </c>
      <c r="AC172" s="336" t="n"/>
      <c r="AD172" s="336" t="n"/>
      <c r="AE172" s="336" t="n"/>
      <c r="AF172" s="336" t="n"/>
      <c r="AG172" s="336" t="n"/>
      <c r="AH172" s="336" t="n"/>
      <c r="AI172" s="30" t="n"/>
      <c r="AJ172" s="30" t="n"/>
      <c r="AK172" s="30" t="n"/>
    </row>
    <row r="173" ht="14.25" customHeight="1" thickBot="1" thickTop="1">
      <c r="A173" s="1414" t="inlineStr">
        <is>
          <t>Total</t>
        </is>
      </c>
      <c r="B173" s="1334" t="n"/>
      <c r="C173" s="1064">
        <f>SUM(C166:C172)</f>
        <v/>
      </c>
      <c r="D173" s="1066">
        <f>SUM(D166:D172)</f>
        <v/>
      </c>
      <c r="E173" s="1064">
        <f>SUM(E166:E172)</f>
        <v/>
      </c>
      <c r="F173" s="1066">
        <f>SUM(F166:F172)</f>
        <v/>
      </c>
      <c r="G173" s="1064">
        <f>SUM(G166:G172)</f>
        <v/>
      </c>
      <c r="H173" s="1066">
        <f>SUM(H166:H172)</f>
        <v/>
      </c>
      <c r="I173" s="454">
        <f>SUM(I166:I172)</f>
        <v/>
      </c>
      <c r="J173" s="1066">
        <f>SUM(J166:J172)</f>
        <v/>
      </c>
      <c r="K173" s="1064">
        <f>SUM(K166:K172)</f>
        <v/>
      </c>
      <c r="L173" s="1066">
        <f>SUM(L166:L172)</f>
        <v/>
      </c>
      <c r="M173" s="902">
        <f>IF(G159&lt;&gt;AA173,"Section 4.5.2 - The ""Total"" of ""Number of Requests"" should be equal to the ""Number of Requests"" of Section 4.5.1.","")</f>
        <v/>
      </c>
      <c r="AA173" s="336">
        <f>SUM(C173,E173,G173,I173,K173)</f>
        <v/>
      </c>
      <c r="AB173" s="336">
        <f>SUM(AA173,AA191,AE209)</f>
        <v/>
      </c>
      <c r="AC173" s="336" t="n"/>
      <c r="AD173" s="336" t="n"/>
      <c r="AE173" s="336" t="n"/>
      <c r="AF173" s="336" t="n"/>
      <c r="AG173" s="336" t="n"/>
      <c r="AH173" s="336" t="n"/>
      <c r="AI173" s="30" t="n"/>
      <c r="AJ173" s="30" t="n"/>
      <c r="AK173" s="30" t="n"/>
    </row>
    <row r="174" ht="15" customHeight="1" thickTop="1">
      <c r="A174" s="52" t="n"/>
      <c r="B174" s="52" t="n"/>
      <c r="C174" s="471" t="n"/>
      <c r="D174" s="471" t="n"/>
      <c r="E174" s="471" t="n"/>
      <c r="F174" s="471" t="n"/>
      <c r="H174" s="471" t="n"/>
      <c r="I174" s="471" t="n"/>
      <c r="J174" s="471" t="n"/>
      <c r="K174" s="471" t="n"/>
      <c r="L174" s="471" t="n"/>
      <c r="M174" s="902">
        <f>IF(A159&lt;&gt;(SUM(D173,F173,H173,J173,L173)),"Section 4.5.2 - The total of Columns of ""Pages Processed"" should be equal to the ""Number of Pages Processed"" of Section 4.5.1.","")</f>
        <v/>
      </c>
      <c r="AA174" s="336" t="n"/>
      <c r="AB174" s="336" t="n"/>
      <c r="AC174" s="336" t="n"/>
      <c r="AD174" s="336" t="n"/>
      <c r="AE174" s="336" t="n"/>
      <c r="AF174" s="336" t="n"/>
      <c r="AG174" s="336" t="n"/>
      <c r="AH174" s="336" t="n"/>
      <c r="AI174" s="30" t="n"/>
      <c r="AJ174" s="30" t="n"/>
      <c r="AK174" s="30" t="n"/>
    </row>
    <row r="175" ht="15" customHeight="1">
      <c r="A175" s="373" t="inlineStr">
        <is>
          <t>4.5.3 Relevant minutes processed and disclosed for audio formats</t>
        </is>
      </c>
      <c r="J175" s="471" t="n"/>
      <c r="K175" s="471" t="n"/>
      <c r="L175" s="471" t="n"/>
      <c r="M175" s="336" t="n"/>
      <c r="N175" s="336" t="n"/>
      <c r="O175" s="336" t="n"/>
      <c r="P175" s="336" t="n"/>
      <c r="Q175" s="336" t="n"/>
      <c r="R175" s="336" t="n"/>
      <c r="S175" s="336" t="n"/>
      <c r="T175" s="336" t="n"/>
      <c r="U175" s="336" t="n"/>
      <c r="V175" s="336" t="n"/>
      <c r="W175" s="336" t="n"/>
      <c r="X175" s="336" t="n"/>
      <c r="Y175" s="336" t="n"/>
      <c r="Z175" s="336" t="n"/>
      <c r="AA175" s="336" t="n"/>
      <c r="AB175" s="336" t="n"/>
      <c r="AC175" s="336" t="n"/>
      <c r="AD175" s="336" t="n"/>
      <c r="AE175" s="336" t="n"/>
      <c r="AF175" s="336" t="n"/>
      <c r="AG175" s="336" t="n"/>
      <c r="AH175" s="336" t="n"/>
      <c r="AI175" s="30" t="n"/>
      <c r="AJ175" s="30" t="n"/>
      <c r="AK175" s="30" t="n"/>
    </row>
    <row r="176" ht="14.25" customHeight="1" thickBot="1">
      <c r="M176" s="336" t="n"/>
      <c r="N176" s="336" t="n"/>
      <c r="O176" s="336" t="n"/>
      <c r="P176" s="336" t="n"/>
      <c r="Q176" s="336" t="n"/>
      <c r="R176" s="336" t="n"/>
      <c r="S176" s="336" t="n"/>
      <c r="T176" s="336" t="n"/>
      <c r="U176" s="336" t="n"/>
      <c r="V176" s="336" t="n"/>
      <c r="W176" s="336" t="n"/>
      <c r="X176" s="336" t="n"/>
      <c r="Y176" s="336" t="n"/>
      <c r="Z176" s="336" t="n"/>
      <c r="AA176" s="336" t="n"/>
      <c r="AB176" s="336" t="n"/>
      <c r="AC176" s="336" t="n"/>
      <c r="AD176" s="336" t="n"/>
      <c r="AE176" s="336" t="n"/>
      <c r="AF176" s="336" t="n"/>
      <c r="AG176" s="336" t="n"/>
      <c r="AH176" s="336" t="n"/>
      <c r="AI176" s="30" t="n"/>
      <c r="AJ176" s="30" t="n"/>
      <c r="AK176" s="30" t="n"/>
    </row>
    <row r="177" ht="27.75" customHeight="1" thickBot="1" thickTop="1">
      <c r="A177" s="1215" t="inlineStr">
        <is>
          <t>Number of Minutes Processed</t>
        </is>
      </c>
      <c r="B177" s="1333" t="n"/>
      <c r="C177" s="1386" t="n"/>
      <c r="D177" s="964" t="inlineStr">
        <is>
          <t>Number of Minutes Disclosed</t>
        </is>
      </c>
      <c r="E177" s="1333" t="n"/>
      <c r="F177" s="1386" t="n"/>
      <c r="G177" s="1415" t="inlineStr">
        <is>
          <t>Number of Requests</t>
        </is>
      </c>
      <c r="H177" s="1333" t="n"/>
      <c r="I177" s="1334" t="n"/>
      <c r="M177" s="902">
        <f>IF(D178&gt;A178, "Section 4.5.3 - The ""Number of Minutes Disclosed"" should be equal to or less than the ""Number of Minutes Processed"".","")</f>
        <v/>
      </c>
      <c r="AA177" s="336" t="n"/>
      <c r="AB177" s="336" t="n"/>
      <c r="AC177" s="336" t="n"/>
      <c r="AD177" s="336" t="n"/>
      <c r="AE177" s="336" t="n"/>
      <c r="AF177" s="336" t="n"/>
      <c r="AG177" s="336" t="n"/>
      <c r="AH177" s="336" t="n"/>
      <c r="AI177" s="30" t="n"/>
      <c r="AJ177" s="30" t="n"/>
      <c r="AK177" s="30" t="n"/>
    </row>
    <row r="178" ht="14.25" customHeight="1" thickBot="1" thickTop="1">
      <c r="A178" s="213" t="n">
        <v>0</v>
      </c>
      <c r="B178" s="1402" t="n"/>
      <c r="C178" s="1401" t="n"/>
      <c r="D178" s="1416" t="n">
        <v>0</v>
      </c>
      <c r="E178" s="1402" t="n"/>
      <c r="F178" s="1401" t="n"/>
      <c r="G178" s="214" t="n">
        <v>0</v>
      </c>
      <c r="H178" s="1402" t="n"/>
      <c r="I178" s="1400" t="n"/>
      <c r="M178" s="902">
        <f>IF(G178&gt;L114,"Section 4.5.3 - The ""Number of requests"" should be equal to or less than the sum of rows 1 to 4 and 7 to 9 of Section 4.1.","")</f>
        <v/>
      </c>
      <c r="AA178" s="336" t="n"/>
      <c r="AB178" s="336" t="n"/>
      <c r="AC178" s="336" t="n"/>
      <c r="AD178" s="336" t="n"/>
      <c r="AE178" s="336" t="n"/>
      <c r="AF178" s="336" t="n"/>
      <c r="AG178" s="336" t="n"/>
      <c r="AH178" s="336" t="n"/>
      <c r="AI178" s="30" t="n"/>
      <c r="AJ178" s="30" t="n"/>
      <c r="AK178" s="30" t="n"/>
    </row>
    <row r="179" ht="13.5" customHeight="1" thickTop="1">
      <c r="B179" s="121" t="n"/>
      <c r="C179" s="121" t="n"/>
      <c r="D179" s="121" t="n"/>
      <c r="E179" s="121" t="n"/>
      <c r="F179" s="121" t="n"/>
      <c r="G179" s="121" t="n"/>
      <c r="H179" s="121" t="n"/>
      <c r="I179" s="121" t="n"/>
      <c r="J179" s="121" t="n"/>
      <c r="K179" s="121" t="n"/>
      <c r="L179" s="121" t="n"/>
      <c r="M179" s="905" t="n"/>
      <c r="N179" s="336" t="n"/>
      <c r="O179" s="336" t="n"/>
      <c r="P179" s="336" t="n"/>
      <c r="Q179" s="336" t="n"/>
      <c r="R179" s="336" t="n"/>
      <c r="S179" s="336" t="n"/>
      <c r="T179" s="336" t="n"/>
      <c r="U179" s="336" t="n"/>
      <c r="V179" s="336" t="n"/>
      <c r="W179" s="336" t="n"/>
      <c r="X179" s="336" t="n"/>
      <c r="Y179" s="336" t="n"/>
      <c r="Z179" s="336" t="n"/>
      <c r="AA179" s="336" t="n"/>
      <c r="AB179" s="336" t="n"/>
      <c r="AC179" s="336" t="n"/>
      <c r="AD179" s="336" t="n"/>
      <c r="AE179" s="336" t="n"/>
      <c r="AF179" s="336" t="n"/>
      <c r="AG179" s="336" t="n"/>
      <c r="AH179" s="336" t="n"/>
      <c r="AI179" s="30" t="n"/>
      <c r="AJ179" s="30" t="n"/>
      <c r="AK179" s="30" t="n"/>
    </row>
    <row r="180" ht="13.5" customHeight="1">
      <c r="A180" s="372" t="inlineStr">
        <is>
          <t>4.5.4 Relevant minutes processed per request disposition for audio formats by size of requests</t>
        </is>
      </c>
      <c r="L180" s="121" t="n"/>
      <c r="M180" s="336" t="n"/>
      <c r="N180" s="336" t="n"/>
      <c r="O180" s="336" t="n"/>
      <c r="P180" s="336" t="n"/>
      <c r="Q180" s="336" t="n"/>
      <c r="R180" s="336" t="n"/>
      <c r="S180" s="336" t="n"/>
      <c r="T180" s="336" t="n"/>
      <c r="U180" s="336" t="n"/>
      <c r="V180" s="336" t="n"/>
      <c r="W180" s="336" t="n"/>
      <c r="X180" s="336" t="n"/>
      <c r="Y180" s="336" t="n"/>
      <c r="Z180" s="336" t="n"/>
      <c r="AA180" s="336" t="n"/>
      <c r="AB180" s="336" t="n"/>
      <c r="AC180" s="336" t="n"/>
      <c r="AD180" s="336" t="n"/>
      <c r="AE180" s="336" t="n"/>
      <c r="AF180" s="336" t="n"/>
      <c r="AG180" s="336" t="n"/>
      <c r="AH180" s="336" t="n"/>
      <c r="AI180" s="30" t="n"/>
      <c r="AJ180" s="30" t="n"/>
      <c r="AK180" s="30" t="n"/>
    </row>
    <row r="181" ht="15.75" customHeight="1" thickBot="1">
      <c r="L181" s="53" t="n"/>
      <c r="M181" s="337">
        <f>IFERROR(IF(D191/C191&gt;59,"Section 4.5.4 - The total ""Minutes Processed"" divided by the total ""Number of Requests"" in ""Less Than 60 Minutes Processed"" must be equal to or less than 59.",""),"")</f>
        <v/>
      </c>
      <c r="N181" s="336" t="n"/>
      <c r="O181" s="336" t="n"/>
      <c r="P181" s="336" t="n"/>
      <c r="Q181" s="336" t="n"/>
      <c r="R181" s="336" t="n"/>
      <c r="S181" s="336" t="n"/>
      <c r="T181" s="336" t="n"/>
      <c r="U181" s="336" t="n"/>
      <c r="V181" s="336" t="n"/>
      <c r="W181" s="336" t="n"/>
      <c r="X181" s="336" t="n"/>
      <c r="Y181" s="336" t="n"/>
      <c r="Z181" s="336" t="n"/>
      <c r="AA181" s="336" t="n"/>
      <c r="AB181" s="336" t="n"/>
      <c r="AC181" s="336" t="n"/>
      <c r="AD181" s="336" t="n"/>
      <c r="AE181" s="336" t="n"/>
      <c r="AF181" s="336" t="n"/>
      <c r="AG181" s="336" t="n"/>
      <c r="AH181" s="336" t="n"/>
      <c r="AI181" s="30" t="n"/>
      <c r="AJ181" s="30" t="n"/>
      <c r="AK181" s="30" t="n"/>
    </row>
    <row r="182" ht="24.75" customHeight="1" thickTop="1">
      <c r="A182" s="1407" t="inlineStr">
        <is>
          <t>Disposition</t>
        </is>
      </c>
      <c r="B182" s="1354" t="n"/>
      <c r="C182" s="890" t="inlineStr">
        <is>
          <t>Less Than 60 Minutes Processed</t>
        </is>
      </c>
      <c r="D182" s="1336" t="n"/>
      <c r="E182" s="1383" t="n"/>
      <c r="F182" s="890" t="inlineStr">
        <is>
          <t>60 - 120 Minutes Processed</t>
        </is>
      </c>
      <c r="G182" s="1336" t="n"/>
      <c r="H182" s="1383" t="n"/>
      <c r="I182" s="893" t="inlineStr">
        <is>
          <t>More than 120 Minutes Processed</t>
        </is>
      </c>
      <c r="J182" s="1336" t="n"/>
      <c r="K182" s="1383" t="n"/>
      <c r="M182" s="337">
        <f>IFERROR(IF(AND(G191/F191&gt;=60,G191/F191&lt;=120),"","Section 4.5.4 - The total ""Minutes Processed"" divided by the total ""Number of Requests"" in ""60 - 120 Minutes Processed"" must be between 60 to 120."),"")</f>
        <v/>
      </c>
      <c r="N182" s="336" t="n"/>
      <c r="O182" s="336" t="n"/>
      <c r="P182" s="336" t="n"/>
      <c r="Q182" s="336" t="n"/>
      <c r="R182" s="336" t="n"/>
      <c r="S182" s="336" t="n"/>
      <c r="T182" s="336" t="n"/>
      <c r="U182" s="336" t="n"/>
      <c r="V182" s="336" t="n"/>
      <c r="W182" s="336" t="n"/>
      <c r="X182" s="336" t="inlineStr">
        <is>
          <t xml:space="preserve"> </t>
        </is>
      </c>
      <c r="Y182" s="336" t="n"/>
      <c r="Z182" s="336" t="n"/>
      <c r="AA182" s="912" t="inlineStr">
        <is>
          <t>Totals for table 4.5.4</t>
        </is>
      </c>
      <c r="AB182" s="336" t="n"/>
      <c r="AC182" s="336" t="n"/>
      <c r="AD182" s="336" t="n"/>
      <c r="AE182" s="336" t="n"/>
      <c r="AF182" s="336" t="n"/>
      <c r="AG182" s="336" t="n"/>
      <c r="AH182" s="336" t="n"/>
      <c r="AI182" s="30" t="n"/>
      <c r="AJ182" s="30" t="n"/>
      <c r="AK182" s="30" t="n"/>
    </row>
    <row r="183" ht="36" customHeight="1" thickBot="1">
      <c r="A183" s="1349" t="n"/>
      <c r="B183" s="1374" t="n"/>
      <c r="C183" s="141" t="inlineStr">
        <is>
          <t>Number of Requests</t>
        </is>
      </c>
      <c r="D183" s="894" t="inlineStr">
        <is>
          <t>Minutes Processed</t>
        </is>
      </c>
      <c r="E183" s="1384" t="n"/>
      <c r="F183" s="141" t="inlineStr">
        <is>
          <t>Number of Requests</t>
        </is>
      </c>
      <c r="G183" s="894" t="inlineStr">
        <is>
          <t>Minutes Processed</t>
        </is>
      </c>
      <c r="H183" s="1384" t="n"/>
      <c r="I183" s="242" t="inlineStr">
        <is>
          <t>Number of Requests</t>
        </is>
      </c>
      <c r="J183" s="898" t="inlineStr">
        <is>
          <t>Minutes 
Processed</t>
        </is>
      </c>
      <c r="K183" s="1384" t="n"/>
      <c r="M183" s="337">
        <f>IFERROR(IF(J191/I191&lt;=120,"Section 4.5.4 - The total ""Minutes Processed"" divided by the total ""Number of Requests"" in ""More than 120 Minutes Processed"" must be greater than 120.",""),"")</f>
        <v/>
      </c>
      <c r="N183" s="336" t="n"/>
      <c r="O183" s="336" t="n"/>
      <c r="P183" s="336" t="n"/>
      <c r="Q183" s="336" t="n"/>
      <c r="R183" s="336" t="n"/>
      <c r="S183" s="336" t="n"/>
      <c r="T183" s="336" t="n"/>
      <c r="U183" s="336" t="n"/>
      <c r="V183" s="336" t="n"/>
      <c r="W183" s="336" t="n"/>
      <c r="X183" s="336" t="n"/>
      <c r="Y183" s="336" t="n"/>
      <c r="Z183" s="336" t="n"/>
      <c r="AB183" s="336" t="n"/>
      <c r="AC183" s="336" t="n"/>
      <c r="AD183" s="336" t="n"/>
      <c r="AE183" s="336" t="n"/>
      <c r="AF183" s="336" t="n"/>
      <c r="AG183" s="336" t="n"/>
      <c r="AH183" s="336" t="n"/>
      <c r="AI183" s="30" t="n"/>
      <c r="AJ183" s="30" t="n"/>
      <c r="AK183" s="30" t="n"/>
    </row>
    <row r="184" ht="14.25" customHeight="1" thickTop="1">
      <c r="A184" s="635" t="inlineStr">
        <is>
          <t>All disclosed</t>
        </is>
      </c>
      <c r="B184" s="1336" t="n"/>
      <c r="C184" s="142" t="n">
        <v>0</v>
      </c>
      <c r="D184" s="872" t="n">
        <v>0</v>
      </c>
      <c r="E184" s="1417" t="n"/>
      <c r="F184" s="131" t="n">
        <v>0</v>
      </c>
      <c r="G184" s="872" t="n">
        <v>0</v>
      </c>
      <c r="H184" s="1417" t="n"/>
      <c r="I184" s="131" t="n">
        <v>0</v>
      </c>
      <c r="J184" s="581" t="n">
        <v>0</v>
      </c>
      <c r="K184" s="1389" t="n"/>
      <c r="M184" s="902">
        <f>IF(L104&lt;AA184,"Section 4.5.4 - The total of Columns of ""Number of requests"" for ""All disclosed"" should be equal to or less than ""All disclosed"" of Section 4.1.","")</f>
        <v/>
      </c>
      <c r="AA184" s="336">
        <f>SUM(C184,F184,I184)</f>
        <v/>
      </c>
      <c r="AB184" s="336" t="n"/>
      <c r="AC184" s="336" t="n"/>
      <c r="AD184" s="336" t="n"/>
      <c r="AE184" s="336" t="n"/>
      <c r="AF184" s="336" t="n"/>
      <c r="AG184" s="336" t="n"/>
      <c r="AH184" s="336" t="n"/>
      <c r="AI184" s="30" t="n"/>
      <c r="AJ184" s="30" t="n"/>
      <c r="AK184" s="30" t="n"/>
    </row>
    <row r="185" ht="15" customHeight="1">
      <c r="A185" s="449" t="inlineStr">
        <is>
          <t>Disclosed in part</t>
        </is>
      </c>
      <c r="B185" s="1342" t="n"/>
      <c r="C185" s="143" t="n">
        <v>0</v>
      </c>
      <c r="D185" s="557" t="n">
        <v>0</v>
      </c>
      <c r="E185" s="1418" t="n"/>
      <c r="F185" s="143" t="n">
        <v>0</v>
      </c>
      <c r="G185" s="557" t="n">
        <v>0</v>
      </c>
      <c r="H185" s="1418" t="n"/>
      <c r="I185" s="153" t="n">
        <v>0</v>
      </c>
      <c r="J185" s="581" t="n">
        <v>0</v>
      </c>
      <c r="K185" s="1389" t="n"/>
      <c r="M185" s="902">
        <f>IF(L105&lt;AA185,"Section 4.5.4 - The total of Columns of ""Number of requests"" for ""Disclosed in part"" should be equal to or less than ""Disclosed in part"" of Section 4.1.","")</f>
        <v/>
      </c>
      <c r="AA185" s="336">
        <f>SUM(C185,F185,I185)</f>
        <v/>
      </c>
      <c r="AB185" s="336" t="n"/>
      <c r="AC185" s="336" t="n"/>
      <c r="AD185" s="336" t="n"/>
      <c r="AE185" s="336" t="n"/>
      <c r="AF185" s="336" t="n"/>
      <c r="AG185" s="336" t="n"/>
      <c r="AH185" s="336" t="n"/>
      <c r="AI185" s="30" t="n"/>
      <c r="AJ185" s="30" t="n"/>
      <c r="AK185" s="30" t="n"/>
    </row>
    <row r="186" ht="15" customHeight="1">
      <c r="A186" s="451" t="inlineStr">
        <is>
          <t>All exempted</t>
        </is>
      </c>
      <c r="B186" s="1342" t="n"/>
      <c r="C186" s="143" t="n">
        <v>0</v>
      </c>
      <c r="D186" s="557" t="n">
        <v>0</v>
      </c>
      <c r="E186" s="1418" t="n"/>
      <c r="F186" s="143" t="n">
        <v>0</v>
      </c>
      <c r="G186" s="557" t="n">
        <v>0</v>
      </c>
      <c r="H186" s="1418" t="n"/>
      <c r="I186" s="143" t="n">
        <v>0</v>
      </c>
      <c r="J186" s="581" t="n">
        <v>0</v>
      </c>
      <c r="K186" s="1389" t="n"/>
      <c r="M186" s="902">
        <f>IF(L106&lt;AA186,"Section 4.5.4 - The total of Columns of ""Number of requests"" for ""All exempted"" should be equal to or less than""All exempted"" of Section 4.1.","")</f>
        <v/>
      </c>
      <c r="AA186" s="336">
        <f>SUM(C186,F186,I186)</f>
        <v/>
      </c>
      <c r="AB186" s="336" t="n"/>
      <c r="AC186" s="336" t="n"/>
      <c r="AD186" s="336" t="n"/>
      <c r="AE186" s="336" t="n"/>
      <c r="AF186" s="336" t="n"/>
      <c r="AG186" s="336" t="n"/>
      <c r="AH186" s="336" t="n"/>
      <c r="AI186" s="30" t="n"/>
      <c r="AJ186" s="30" t="n"/>
      <c r="AK186" s="30" t="n"/>
    </row>
    <row r="187" ht="15" customHeight="1">
      <c r="A187" s="451" t="inlineStr">
        <is>
          <t>All excluded</t>
        </is>
      </c>
      <c r="B187" s="1342" t="n"/>
      <c r="C187" s="143" t="n">
        <v>0</v>
      </c>
      <c r="D187" s="557" t="n">
        <v>0</v>
      </c>
      <c r="E187" s="1418" t="n"/>
      <c r="F187" s="143" t="n">
        <v>0</v>
      </c>
      <c r="G187" s="557" t="n">
        <v>0</v>
      </c>
      <c r="H187" s="1418" t="n"/>
      <c r="I187" s="143" t="n">
        <v>0</v>
      </c>
      <c r="J187" s="581" t="n">
        <v>0</v>
      </c>
      <c r="K187" s="1389" t="n"/>
      <c r="M187" s="902">
        <f>IF(L107&lt;AA187,"Section 4.5.4 - The total of Columns of ""Number of requests"" for ""All excluded"" should be equal to or less than ""All excluded"" of Section 4.1.","")</f>
        <v/>
      </c>
      <c r="AA187" s="336">
        <f>SUM(C187,F187,I187)</f>
        <v/>
      </c>
      <c r="AB187" s="336" t="n"/>
      <c r="AC187" s="336" t="n"/>
      <c r="AD187" s="336" t="n"/>
      <c r="AE187" s="336" t="n"/>
      <c r="AF187" s="336" t="n"/>
      <c r="AG187" s="336" t="n"/>
      <c r="AH187" s="336" t="n"/>
      <c r="AI187" s="30" t="n"/>
      <c r="AJ187" s="30" t="n"/>
      <c r="AK187" s="30" t="n"/>
    </row>
    <row r="188" ht="27" customHeight="1">
      <c r="A188" s="449" t="inlineStr">
        <is>
          <t xml:space="preserve">Request abandoned </t>
        </is>
      </c>
      <c r="B188" s="1342" t="n"/>
      <c r="C188" s="143" t="n">
        <v>0</v>
      </c>
      <c r="D188" s="557" t="n">
        <v>0</v>
      </c>
      <c r="E188" s="1418" t="n"/>
      <c r="F188" s="143" t="n">
        <v>0</v>
      </c>
      <c r="G188" s="557" t="n">
        <v>0</v>
      </c>
      <c r="H188" s="1418" t="n"/>
      <c r="I188" s="143" t="n">
        <v>0</v>
      </c>
      <c r="J188" s="581" t="n">
        <v>0</v>
      </c>
      <c r="K188" s="1389" t="n"/>
      <c r="M188" s="902">
        <f>IF(L110&lt;AA188,"Section 4.5.4 - The total of Columns of ""Number of requests"" for ""Request abandoned"" should be equal to or less than ""Request abandoned"" of Section 4.1.","")</f>
        <v/>
      </c>
      <c r="AA188" s="336">
        <f>SUM(C188,F188,I188)</f>
        <v/>
      </c>
      <c r="AB188" s="336" t="n"/>
      <c r="AC188" s="336" t="n"/>
      <c r="AD188" s="336" t="n"/>
      <c r="AE188" s="336" t="n"/>
      <c r="AF188" s="336" t="n"/>
      <c r="AG188" s="336" t="n"/>
      <c r="AH188" s="336" t="n"/>
      <c r="AI188" s="30" t="n"/>
      <c r="AJ188" s="30" t="n"/>
      <c r="AK188" s="30" t="n"/>
    </row>
    <row r="189" ht="26.25" customHeight="1">
      <c r="A189" s="449" t="inlineStr">
        <is>
          <t>Neither confirmed nor denied</t>
        </is>
      </c>
      <c r="B189" s="1342" t="n"/>
      <c r="C189" s="143" t="n">
        <v>0</v>
      </c>
      <c r="D189" s="561" t="n">
        <v>0</v>
      </c>
      <c r="E189" s="1390" t="n"/>
      <c r="F189" s="317" t="n">
        <v>0</v>
      </c>
      <c r="G189" s="561" t="n">
        <v>0</v>
      </c>
      <c r="H189" s="1390" t="n"/>
      <c r="I189" s="317" t="n">
        <v>0</v>
      </c>
      <c r="J189" s="883" t="n">
        <v>0</v>
      </c>
      <c r="K189" s="1343" t="n"/>
      <c r="M189" s="902">
        <f>IF(L111&lt;AA189,"Section 4.5.4 - The total of Columns of ""Number of requests"" for ""Neither confirmed nor denied"" should be equal to or less than ""Neither confirmed nor denied"" of Section 4.1.","")</f>
        <v/>
      </c>
      <c r="AA189" s="336">
        <f>SUM(C189,F189,I189)</f>
        <v/>
      </c>
      <c r="AB189" s="336" t="n"/>
      <c r="AC189" s="336" t="n"/>
      <c r="AD189" s="336" t="n"/>
      <c r="AE189" s="336" t="n"/>
      <c r="AF189" s="336" t="n"/>
      <c r="AG189" s="336" t="n"/>
      <c r="AH189" s="336" t="n"/>
      <c r="AI189" s="30" t="n"/>
      <c r="AJ189" s="30" t="n"/>
      <c r="AK189" s="30" t="n"/>
    </row>
    <row r="190" ht="53.65" customHeight="1" thickBot="1">
      <c r="A190" s="1413" t="inlineStr">
        <is>
          <t>Declined to act with the approval of the Information Commissioner</t>
        </is>
      </c>
      <c r="B190" s="1356" t="n"/>
      <c r="C190" s="137" t="n">
        <v>0</v>
      </c>
      <c r="D190" s="876" t="n">
        <v>0</v>
      </c>
      <c r="E190" s="1419" t="n"/>
      <c r="F190" s="503" t="n">
        <v>0</v>
      </c>
      <c r="G190" s="876" t="n">
        <v>0</v>
      </c>
      <c r="H190" s="1419" t="n"/>
      <c r="I190" s="137" t="n">
        <v>0</v>
      </c>
      <c r="J190" s="899" t="n">
        <v>0</v>
      </c>
      <c r="K190" s="1379" t="n"/>
      <c r="M190" s="902">
        <f>IF(L112&lt;AA190,"Section 4.5.4 - The total of Columns of ""Number of requests"" for ""Declined to act with the approval of the Information Commissioner"" should be equal to or less than ""Declined to act with the approval of the Information Commissioner"" of Section 4.1.","")</f>
        <v/>
      </c>
      <c r="AA190" s="336">
        <f>SUM(C190,F190,I190)</f>
        <v/>
      </c>
      <c r="AB190" s="336" t="n"/>
      <c r="AC190" s="336" t="n"/>
      <c r="AD190" s="336" t="n"/>
      <c r="AE190" s="336" t="n"/>
      <c r="AF190" s="336" t="n"/>
      <c r="AG190" s="336" t="n"/>
      <c r="AH190" s="336" t="n"/>
      <c r="AI190" s="30" t="n"/>
      <c r="AJ190" s="30" t="n"/>
      <c r="AK190" s="30" t="n"/>
    </row>
    <row r="191" ht="14.25" customHeight="1" thickBot="1" thickTop="1">
      <c r="A191" s="866" t="inlineStr">
        <is>
          <t>Total</t>
        </is>
      </c>
      <c r="B191" s="1333" t="n"/>
      <c r="C191" s="256">
        <f>SUM(C184:C190)</f>
        <v/>
      </c>
      <c r="D191" s="420">
        <f>SUM(D184:E190)</f>
        <v/>
      </c>
      <c r="E191" s="1396" t="n"/>
      <c r="F191" s="420">
        <f>SUM(F184:F190)</f>
        <v/>
      </c>
      <c r="G191" s="420">
        <f>SUM(G184:H190)</f>
        <v/>
      </c>
      <c r="H191" s="1396" t="n"/>
      <c r="I191" s="420">
        <f>SUM(I184:I190)</f>
        <v/>
      </c>
      <c r="J191" s="421">
        <f>SUM(J184:K190)</f>
        <v/>
      </c>
      <c r="K191" s="1374" t="n"/>
      <c r="M191" s="902">
        <f>IF(G178&lt;AA191,"Section 4.5.4 - The total of Columns of ""Number of Requests"" should be equal to Section 4.5.3 ""Number of Requests"".","")</f>
        <v/>
      </c>
      <c r="AA191" s="336">
        <f>SUM(C191,F191,I191)</f>
        <v/>
      </c>
      <c r="AB191" s="336" t="n"/>
      <c r="AC191" s="336" t="n"/>
      <c r="AD191" s="336" t="n"/>
      <c r="AE191" s="336" t="n"/>
      <c r="AF191" s="336" t="n"/>
      <c r="AG191" s="336" t="n"/>
      <c r="AH191" s="336" t="n"/>
      <c r="AI191" s="30" t="n"/>
      <c r="AJ191" s="30" t="n"/>
      <c r="AK191" s="30" t="n"/>
    </row>
    <row r="192" ht="14.25" customHeight="1" thickTop="1">
      <c r="A192" s="52" t="n"/>
      <c r="B192" s="52" t="n"/>
      <c r="C192" s="471" t="n"/>
      <c r="D192" s="471" t="n"/>
      <c r="E192" s="471" t="n"/>
      <c r="F192" s="471" t="n"/>
      <c r="G192" s="471" t="n"/>
      <c r="H192" s="471" t="n"/>
      <c r="M192" s="902">
        <f>IF(A178&lt;&gt;(SUM(D191,G191,J191)),"Section 4.5.4 - The total of Columns of ""Minutes Processed"" should be equal to Section 4.5.3 ""Number of Minutes Processed"".","")</f>
        <v/>
      </c>
      <c r="AA192" s="336" t="n"/>
      <c r="AB192" s="336" t="n"/>
      <c r="AC192" s="336" t="n"/>
      <c r="AD192" s="336" t="n"/>
      <c r="AE192" s="336" t="n"/>
      <c r="AF192" s="336" t="n"/>
      <c r="AG192" s="336" t="n"/>
      <c r="AH192" s="336" t="n"/>
      <c r="AI192" s="30" t="n"/>
      <c r="AJ192" s="30" t="n"/>
      <c r="AK192" s="30" t="n"/>
    </row>
    <row r="193" ht="15" customHeight="1">
      <c r="A193" s="373" t="inlineStr">
        <is>
          <t>4.5.5 Relevant minutes processed and disclosed for video formats</t>
        </is>
      </c>
      <c r="J193" s="471" t="n"/>
      <c r="K193" s="471" t="n"/>
      <c r="L193" s="471" t="n"/>
      <c r="M193" s="336" t="n"/>
      <c r="N193" s="336" t="n"/>
      <c r="O193" s="336" t="n"/>
      <c r="P193" s="336" t="n"/>
      <c r="Q193" s="336" t="n"/>
      <c r="R193" s="336" t="n"/>
      <c r="S193" s="336" t="n"/>
      <c r="T193" s="336" t="n"/>
      <c r="U193" s="336" t="n"/>
      <c r="V193" s="336" t="n"/>
      <c r="W193" s="336" t="n"/>
      <c r="X193" s="336" t="n"/>
      <c r="Y193" s="336" t="n"/>
      <c r="Z193" s="336" t="n"/>
      <c r="AA193" s="336" t="n"/>
      <c r="AB193" s="336" t="n"/>
      <c r="AC193" s="336" t="n"/>
      <c r="AD193" s="336" t="n"/>
      <c r="AE193" s="336" t="n"/>
      <c r="AF193" s="336" t="n"/>
      <c r="AG193" s="336" t="n"/>
      <c r="AH193" s="336" t="n"/>
      <c r="AI193" s="30" t="n"/>
      <c r="AJ193" s="30" t="n"/>
      <c r="AK193" s="30" t="n"/>
    </row>
    <row r="194" ht="14.25" customHeight="1" thickBot="1">
      <c r="M194" s="336" t="n"/>
      <c r="N194" s="336" t="n"/>
      <c r="O194" s="336" t="n"/>
      <c r="P194" s="336" t="n"/>
      <c r="Q194" s="336" t="n"/>
      <c r="R194" s="336" t="n"/>
      <c r="S194" s="336" t="n"/>
      <c r="T194" s="336" t="n"/>
      <c r="U194" s="336" t="n"/>
      <c r="V194" s="336" t="n"/>
      <c r="W194" s="336" t="n"/>
      <c r="X194" s="336" t="n"/>
      <c r="Y194" s="336" t="n"/>
      <c r="Z194" s="336" t="n"/>
      <c r="AA194" s="336" t="n"/>
      <c r="AB194" s="336" t="n"/>
      <c r="AC194" s="336" t="n"/>
      <c r="AD194" s="336" t="n"/>
      <c r="AE194" s="336" t="n"/>
      <c r="AF194" s="336" t="n"/>
      <c r="AG194" s="336" t="n"/>
      <c r="AH194" s="336" t="n"/>
      <c r="AI194" s="30" t="n"/>
      <c r="AJ194" s="30" t="n"/>
      <c r="AK194" s="30" t="n"/>
    </row>
    <row r="195" ht="26.65" customHeight="1" thickBot="1" thickTop="1">
      <c r="A195" s="1215" t="inlineStr">
        <is>
          <t>Number of Minutes Processed</t>
        </is>
      </c>
      <c r="B195" s="1333" t="n"/>
      <c r="C195" s="1386" t="n"/>
      <c r="D195" s="964" t="inlineStr">
        <is>
          <t>Number of Minutes Disclosed</t>
        </is>
      </c>
      <c r="E195" s="1333" t="n"/>
      <c r="F195" s="1386" t="n"/>
      <c r="G195" s="1415" t="inlineStr">
        <is>
          <t>Number of Requests</t>
        </is>
      </c>
      <c r="H195" s="1333" t="n"/>
      <c r="I195" s="1334" t="n"/>
      <c r="M195" s="902">
        <f>IF(D196&gt;A196,"Section 4.5.5 - The ""Number of Minutes Disclosed"" should be equal or less than the ""Number of Minutes Processed"".","")</f>
        <v/>
      </c>
      <c r="AA195" s="336" t="n"/>
      <c r="AB195" s="336" t="n"/>
      <c r="AC195" s="336" t="n"/>
      <c r="AD195" s="336" t="n"/>
      <c r="AE195" s="336" t="n"/>
      <c r="AF195" s="336" t="n"/>
      <c r="AG195" s="336" t="n"/>
      <c r="AH195" s="336" t="n"/>
      <c r="AI195" s="30" t="n"/>
      <c r="AJ195" s="30" t="n"/>
      <c r="AK195" s="30" t="n"/>
    </row>
    <row r="196" ht="14.25" customHeight="1" thickBot="1" thickTop="1">
      <c r="A196" s="213" t="n">
        <v>0</v>
      </c>
      <c r="B196" s="1402" t="n"/>
      <c r="C196" s="1401" t="n"/>
      <c r="D196" s="1416" t="n">
        <v>0</v>
      </c>
      <c r="E196" s="1402" t="n"/>
      <c r="F196" s="1401" t="n"/>
      <c r="G196" s="214" t="n">
        <v>0</v>
      </c>
      <c r="H196" s="1402" t="n"/>
      <c r="I196" s="1400" t="n"/>
      <c r="M196" s="902">
        <f>IF(G196&gt;L114,"Section 4.5.5 - The total ""Number of Requests"" should be equal to or less than the Sum of rows 1 to 4 and 7 to 9 of Section 4.1.","")</f>
        <v/>
      </c>
      <c r="AA196" s="336" t="n"/>
      <c r="AB196" s="336" t="n"/>
      <c r="AC196" s="336" t="n"/>
      <c r="AD196" s="336" t="n"/>
      <c r="AE196" s="336" t="n"/>
      <c r="AF196" s="336" t="n"/>
      <c r="AG196" s="336" t="n"/>
      <c r="AH196" s="336" t="n"/>
      <c r="AI196" s="30" t="n"/>
      <c r="AJ196" s="30" t="n"/>
      <c r="AK196" s="30" t="n"/>
    </row>
    <row r="197" ht="21.75" customFormat="1" customHeight="1" s="49" thickTop="1">
      <c r="B197" s="121" t="n"/>
      <c r="C197" s="121" t="n"/>
      <c r="D197" s="121" t="n"/>
      <c r="E197" s="121" t="n"/>
      <c r="F197" s="121" t="n"/>
      <c r="G197" s="121" t="n"/>
      <c r="H197" s="121" t="n"/>
      <c r="I197" s="121" t="n"/>
      <c r="J197" s="121" t="n"/>
      <c r="K197" s="121" t="n"/>
      <c r="L197" s="121" t="n"/>
      <c r="M197" s="902">
        <f>IF(SUM(G196,G178,G159)&lt;L114,"The Total ""Number of Requests"" for sections 4.5.2, 4.5.4 and 4.5.6 should be equal to or greater than the sum of rows 1 to 4 and 7 to 9 of Section 4.1","")</f>
        <v/>
      </c>
      <c r="AA197" s="337" t="n"/>
      <c r="AB197" s="337" t="n"/>
      <c r="AC197" s="337" t="n"/>
      <c r="AD197" s="337" t="n"/>
      <c r="AE197" s="337" t="n"/>
      <c r="AF197" s="337" t="n"/>
      <c r="AG197" s="337" t="n"/>
      <c r="AH197" s="337" t="n"/>
      <c r="AI197" s="72" t="n"/>
      <c r="AJ197" s="72" t="n"/>
      <c r="AK197" s="72" t="n"/>
    </row>
    <row r="198" ht="13.5" customHeight="1">
      <c r="A198" s="372" t="inlineStr">
        <is>
          <t>4.5.6 Relevant minutes processed per request disposition for video formats by size of requests</t>
        </is>
      </c>
      <c r="L198" s="121" t="n"/>
      <c r="M198" s="337">
        <f>IFERROR(IF(D209/C209&gt;59,"Section 4.5.6 - The total ""Minutes Processed"" divided by the total ""Number of Requests"" in ""Less Than 60 Minutes Processed"" must be equal to or less than 59.",""),"")</f>
        <v/>
      </c>
      <c r="N198" s="336" t="n"/>
      <c r="O198" s="336" t="n"/>
      <c r="P198" s="336" t="n"/>
      <c r="Q198" s="336" t="n"/>
      <c r="R198" s="336" t="n"/>
      <c r="S198" s="336" t="n"/>
      <c r="T198" s="336" t="n"/>
      <c r="U198" s="336" t="n"/>
      <c r="V198" s="336" t="n"/>
      <c r="W198" s="336" t="n"/>
      <c r="X198" s="336" t="n"/>
      <c r="Y198" s="336" t="n"/>
      <c r="Z198" s="336" t="n"/>
      <c r="AA198" s="336" t="n"/>
      <c r="AB198" s="336" t="n"/>
      <c r="AC198" s="336" t="n"/>
      <c r="AD198" s="336" t="n"/>
      <c r="AE198" s="336" t="n"/>
      <c r="AF198" s="336" t="n"/>
      <c r="AG198" s="336" t="n"/>
      <c r="AH198" s="336" t="n"/>
      <c r="AI198" s="30" t="n"/>
      <c r="AJ198" s="30" t="n"/>
      <c r="AK198" s="30" t="n"/>
    </row>
    <row r="199" ht="15.75" customHeight="1" thickBot="1">
      <c r="A199" s="53" t="n"/>
      <c r="B199" s="53" t="n"/>
      <c r="C199" s="53" t="n"/>
      <c r="D199" s="53" t="n"/>
      <c r="E199" s="53" t="n"/>
      <c r="F199" s="53" t="n"/>
      <c r="G199" s="53" t="n"/>
      <c r="H199" s="53" t="n"/>
      <c r="I199" s="53" t="n"/>
      <c r="J199" s="53" t="n"/>
      <c r="K199" s="53" t="n"/>
      <c r="L199" s="53" t="n"/>
      <c r="M199" s="337">
        <f>IFERROR(IF(AND(G209/F209&gt;=60,G209/F209&lt;=120),"","Section 4.5.6 - The total ""Minutes Processed"" divided by the total ""Number of Requests"" in ""60 - 120 Minutes Processed"" must be between 60 to 120."),"")</f>
        <v/>
      </c>
      <c r="N199" s="336" t="n"/>
      <c r="O199" s="336" t="n"/>
      <c r="P199" s="336" t="n"/>
      <c r="Q199" s="336" t="n"/>
      <c r="R199" s="336" t="n"/>
      <c r="S199" s="336" t="n"/>
      <c r="T199" s="336" t="n"/>
      <c r="U199" s="336" t="n"/>
      <c r="V199" s="336" t="n"/>
      <c r="W199" s="336" t="n"/>
      <c r="X199" s="336" t="n"/>
      <c r="Y199" s="336" t="n"/>
      <c r="Z199" s="336" t="n"/>
      <c r="AA199" s="336" t="n"/>
      <c r="AB199" s="336" t="n"/>
      <c r="AC199" s="336" t="n"/>
      <c r="AD199" s="336" t="n"/>
      <c r="AE199" s="336" t="n"/>
      <c r="AF199" s="336" t="n"/>
      <c r="AG199" s="336" t="n"/>
      <c r="AH199" s="336" t="n"/>
      <c r="AI199" s="30" t="n"/>
      <c r="AJ199" s="30" t="n"/>
      <c r="AK199" s="30" t="n"/>
    </row>
    <row r="200" ht="28.5" customHeight="1" thickTop="1">
      <c r="A200" s="1250" t="inlineStr">
        <is>
          <t>Disposition</t>
        </is>
      </c>
      <c r="B200" s="1353" t="n"/>
      <c r="C200" s="890" t="inlineStr">
        <is>
          <t>Less Than 60 Minutes Processed</t>
        </is>
      </c>
      <c r="D200" s="1336" t="n"/>
      <c r="E200" s="1383" t="n"/>
      <c r="F200" s="890" t="inlineStr">
        <is>
          <t>60 - 120 Minutes Processed</t>
        </is>
      </c>
      <c r="G200" s="1336" t="n"/>
      <c r="H200" s="1383" t="n"/>
      <c r="I200" s="893" t="inlineStr">
        <is>
          <t>More than 120 Minutes Processed</t>
        </is>
      </c>
      <c r="J200" s="1336" t="n"/>
      <c r="K200" s="1383" t="n"/>
      <c r="M200" s="337">
        <f>IFERROR(IF(J209/I209&lt;=120,"Section 4.5.6 - The total ""Minutes Processed"" divided by the total ""Number of Requests"" in ""More than 120 Minutes Processed"" must be greater than 120.",""),"")</f>
        <v/>
      </c>
      <c r="N200" s="336" t="n"/>
      <c r="O200" s="336" t="n"/>
      <c r="P200" s="336" t="n"/>
      <c r="Q200" s="336" t="n"/>
      <c r="R200" s="336" t="n"/>
      <c r="S200" s="336" t="n"/>
      <c r="T200" s="336" t="n"/>
      <c r="U200" s="336" t="n"/>
      <c r="V200" s="336" t="n"/>
      <c r="W200" s="336" t="n"/>
      <c r="X200" s="336" t="n"/>
      <c r="Y200" s="336" t="n"/>
      <c r="Z200" s="336" t="n"/>
      <c r="AA200" s="336" t="n"/>
      <c r="AB200" s="336" t="n"/>
      <c r="AC200" s="336" t="n"/>
      <c r="AD200" s="336" t="n"/>
      <c r="AE200" s="912" t="inlineStr">
        <is>
          <t>Totals for table 4.5.6</t>
        </is>
      </c>
      <c r="AF200" s="336" t="n"/>
      <c r="AG200" s="336" t="n"/>
      <c r="AH200" s="336" t="n"/>
      <c r="AI200" s="30" t="n"/>
      <c r="AJ200" s="30" t="n"/>
      <c r="AK200" s="30" t="n"/>
    </row>
    <row r="201" ht="34.5" customHeight="1" thickBot="1">
      <c r="A201" s="1349" t="n"/>
      <c r="B201" s="1350" t="n"/>
      <c r="C201" s="141" t="inlineStr">
        <is>
          <t>Number of Requests</t>
        </is>
      </c>
      <c r="D201" s="894" t="inlineStr">
        <is>
          <t>Minutes Processed</t>
        </is>
      </c>
      <c r="E201" s="1384" t="n"/>
      <c r="F201" s="141" t="inlineStr">
        <is>
          <t>Number of Requests</t>
        </is>
      </c>
      <c r="G201" s="894" t="inlineStr">
        <is>
          <t>Minutes Processed</t>
        </is>
      </c>
      <c r="H201" s="1384" t="n"/>
      <c r="I201" s="243" t="inlineStr">
        <is>
          <t>Number of Requests</t>
        </is>
      </c>
      <c r="J201" s="896" t="inlineStr">
        <is>
          <t>Minutes 
Processed</t>
        </is>
      </c>
      <c r="K201" s="1420" t="n"/>
      <c r="M201" s="336" t="n"/>
      <c r="N201" s="336" t="n"/>
      <c r="O201" s="336" t="n"/>
      <c r="P201" s="336" t="n"/>
      <c r="Q201" s="336" t="n"/>
      <c r="R201" s="336" t="n"/>
      <c r="S201" s="336" t="n"/>
      <c r="T201" s="336" t="n"/>
      <c r="U201" s="336" t="n"/>
      <c r="V201" s="336" t="n"/>
      <c r="W201" s="336" t="n"/>
      <c r="X201" s="336" t="n"/>
      <c r="Y201" s="336" t="n"/>
      <c r="Z201" s="336" t="n"/>
      <c r="AA201" s="336" t="n"/>
      <c r="AB201" s="336" t="n"/>
      <c r="AC201" s="336" t="n"/>
      <c r="AD201" s="336" t="n"/>
      <c r="AF201" s="336" t="n"/>
      <c r="AG201" s="336" t="n"/>
      <c r="AH201" s="336" t="n"/>
      <c r="AI201" s="30" t="n"/>
      <c r="AJ201" s="30" t="n"/>
      <c r="AK201" s="30" t="n"/>
    </row>
    <row r="202" ht="15.75" customHeight="1" thickTop="1">
      <c r="A202" s="1410" t="inlineStr">
        <is>
          <t>All disclosed</t>
        </is>
      </c>
      <c r="B202" s="1337" t="n"/>
      <c r="C202" s="131" t="n">
        <v>0</v>
      </c>
      <c r="D202" s="872" t="n">
        <v>0</v>
      </c>
      <c r="E202" s="1417" t="n"/>
      <c r="F202" s="132" t="n">
        <v>0</v>
      </c>
      <c r="G202" s="872" t="n">
        <v>0</v>
      </c>
      <c r="H202" s="1417" t="n"/>
      <c r="I202" s="132" t="n">
        <v>0</v>
      </c>
      <c r="J202" s="875" t="n">
        <v>0</v>
      </c>
      <c r="K202" s="1340" t="n"/>
      <c r="M202" s="902">
        <f>IF(L104&lt;AE202,"Section 4.5.6 - The total of Columns of ""Number of requests"" for ""All disclosed"" should be equal to or less than ""All disclosed"" of Section 4.1.","")</f>
        <v/>
      </c>
      <c r="U202" s="902">
        <f>IF(L104&gt;AB166,"The total of ""All disclosed"" should equal to or greater than the number of ""All disclosed"" from ""Sections 4.5.2, 4.5.4 and 4.5.6""","")</f>
        <v/>
      </c>
      <c r="AE202" s="905">
        <f>SUM(C202,F202,I202)</f>
        <v/>
      </c>
      <c r="AF202" s="905" t="n"/>
      <c r="AG202" s="905" t="n"/>
      <c r="AH202" s="905" t="n"/>
      <c r="AI202" s="366" t="n"/>
      <c r="AJ202" s="366" t="n"/>
      <c r="AK202" s="366" t="n"/>
    </row>
    <row r="203" ht="15" customHeight="1">
      <c r="A203" s="1411" t="inlineStr">
        <is>
          <t>Disclosed in part</t>
        </is>
      </c>
      <c r="B203" s="1343" t="n"/>
      <c r="C203" s="143" t="n">
        <v>0</v>
      </c>
      <c r="D203" s="557" t="n">
        <v>0</v>
      </c>
      <c r="E203" s="1418" t="n"/>
      <c r="F203" s="153" t="n">
        <v>0</v>
      </c>
      <c r="G203" s="580" t="n">
        <v>0</v>
      </c>
      <c r="H203" s="1421" t="n"/>
      <c r="I203" s="153" t="n">
        <v>0</v>
      </c>
      <c r="J203" s="579" t="n">
        <v>0</v>
      </c>
      <c r="K203" s="1368" t="n"/>
      <c r="M203" s="902">
        <f>IF(AE203&gt;L105,"Section 4.5.6 - The total of Columns of ""Number of requests"" for ""Disclosed in part"" should be equal to or less than ""Disclosed in part"" of Section 4.1.","")</f>
        <v/>
      </c>
      <c r="U203" s="902">
        <f>IF(L105&gt;AB167,"The total of ""Disclosed in part"" should equal  to or greater than the number of ""Disclosed in part"" from ""Sections 4.5.2, 4.5.4 and 4.5.6""","")</f>
        <v/>
      </c>
      <c r="AE203" s="905">
        <f>SUM(C203,F203,I203)</f>
        <v/>
      </c>
      <c r="AF203" s="905" t="n"/>
      <c r="AG203" s="905" t="n"/>
      <c r="AH203" s="905" t="n"/>
      <c r="AI203" s="366" t="n"/>
      <c r="AJ203" s="366" t="n"/>
      <c r="AK203" s="366" t="n"/>
    </row>
    <row r="204" ht="15" customHeight="1">
      <c r="A204" s="1412" t="inlineStr">
        <is>
          <t>All exempted</t>
        </is>
      </c>
      <c r="B204" s="1343" t="n"/>
      <c r="C204" s="143" t="n">
        <v>0</v>
      </c>
      <c r="D204" s="557" t="n">
        <v>0</v>
      </c>
      <c r="E204" s="1418" t="n"/>
      <c r="F204" s="153" t="n">
        <v>0</v>
      </c>
      <c r="G204" s="580" t="n">
        <v>0</v>
      </c>
      <c r="H204" s="1421" t="n"/>
      <c r="I204" s="153" t="n">
        <v>0</v>
      </c>
      <c r="J204" s="579" t="n">
        <v>0</v>
      </c>
      <c r="K204" s="1368" t="n"/>
      <c r="M204" s="902">
        <f>IF(L106&lt;AE204,"Section 4.5.6 - The total of Columns of ""Number of requests"" for ""All exempted"" should be equal to or less than ""All exempted"" of Section 4.1.","")</f>
        <v/>
      </c>
      <c r="U204" s="902">
        <f>IF(L106&gt;AB168,"The total of ""All exempted"" should equal  to or greater than the number of ""All exempted"" from ""Sections 4.5.2, 4.5.4 and 4.5.6""","")</f>
        <v/>
      </c>
      <c r="AE204" s="905">
        <f>SUM(C204,F204,I204)</f>
        <v/>
      </c>
      <c r="AF204" s="905" t="n"/>
      <c r="AG204" s="905" t="n"/>
      <c r="AH204" s="905" t="n"/>
      <c r="AI204" s="366" t="n"/>
      <c r="AJ204" s="366" t="n"/>
      <c r="AK204" s="366" t="n"/>
    </row>
    <row r="205" ht="15" customHeight="1">
      <c r="A205" s="1412" t="inlineStr">
        <is>
          <t>All excluded</t>
        </is>
      </c>
      <c r="B205" s="1343" t="n"/>
      <c r="C205" s="143" t="n">
        <v>0</v>
      </c>
      <c r="D205" s="557" t="n">
        <v>0</v>
      </c>
      <c r="E205" s="1418" t="n"/>
      <c r="F205" s="153" t="n">
        <v>0</v>
      </c>
      <c r="G205" s="580" t="n">
        <v>0</v>
      </c>
      <c r="H205" s="1421" t="n"/>
      <c r="I205" s="153" t="n">
        <v>0</v>
      </c>
      <c r="J205" s="579" t="n">
        <v>0</v>
      </c>
      <c r="K205" s="1368" t="n"/>
      <c r="M205" s="902">
        <f>IF(L107&lt;AE205,"Section 4.5.6 - The total of Columns of ""Number of requests"" for ""All excluded"" should be equal to or less than ""All excluded"" of Section 4.1.","")</f>
        <v/>
      </c>
      <c r="U205" s="902">
        <f>IF(L107&gt;AB169,"The total of ""All excluded"" should equal  to or greater than the number of ""All excluded"" from ""Sections 4.5.2, 4.5.4 and 4.5.6""","")</f>
        <v/>
      </c>
      <c r="AE205" s="905">
        <f>SUM(C205,F205,I205)</f>
        <v/>
      </c>
      <c r="AF205" s="905" t="n"/>
      <c r="AG205" s="905" t="n"/>
      <c r="AH205" s="905" t="n"/>
      <c r="AI205" s="366" t="n"/>
      <c r="AJ205" s="366" t="n"/>
      <c r="AK205" s="366" t="n"/>
    </row>
    <row r="206" ht="27.75" customHeight="1">
      <c r="A206" s="1411" t="inlineStr">
        <is>
          <t xml:space="preserve">Request abandoned </t>
        </is>
      </c>
      <c r="B206" s="1343" t="n"/>
      <c r="C206" s="143" t="n">
        <v>0</v>
      </c>
      <c r="D206" s="557" t="n">
        <v>0</v>
      </c>
      <c r="E206" s="1418" t="n"/>
      <c r="F206" s="153" t="n">
        <v>0</v>
      </c>
      <c r="G206" s="580" t="n">
        <v>0</v>
      </c>
      <c r="H206" s="1421" t="n"/>
      <c r="I206" s="153" t="n">
        <v>0</v>
      </c>
      <c r="J206" s="579" t="n">
        <v>0</v>
      </c>
      <c r="K206" s="1368" t="n"/>
      <c r="M206" s="902">
        <f>IF(L110&lt;AE206,"Section 4.5.6 - The total of Columns of ""Number of requests"" for ""Request abandoned"" should be equal to or less than ""Request abandoned"" of Section 4.1.","")</f>
        <v/>
      </c>
      <c r="U206" s="902">
        <f>IF(L110&gt;AB170,"The total of ""Request abandoned "" should equal  to or greater than the number of ""Request abandoned "" from ""Sections 4.5.2, 4.5.4 and 4.5.6""","")</f>
        <v/>
      </c>
      <c r="AE206" s="905">
        <f>SUM(C206,F206,I206)</f>
        <v/>
      </c>
      <c r="AF206" s="905" t="n"/>
      <c r="AG206" s="905" t="n"/>
      <c r="AH206" s="905" t="n"/>
      <c r="AI206" s="366" t="n"/>
      <c r="AJ206" s="366" t="n"/>
      <c r="AK206" s="366" t="n"/>
    </row>
    <row r="207" ht="26.25" customHeight="1">
      <c r="A207" s="1411" t="inlineStr">
        <is>
          <t>Neither confirmed nor denied</t>
        </is>
      </c>
      <c r="B207" s="1343" t="n"/>
      <c r="C207" s="143" t="n">
        <v>0</v>
      </c>
      <c r="D207" s="561" t="n">
        <v>0</v>
      </c>
      <c r="E207" s="1390" t="n"/>
      <c r="F207" s="1208" t="n">
        <v>0</v>
      </c>
      <c r="G207" s="561" t="n">
        <v>0</v>
      </c>
      <c r="H207" s="1390" t="n"/>
      <c r="I207" s="1208" t="n">
        <v>0</v>
      </c>
      <c r="J207" s="883" t="n">
        <v>0</v>
      </c>
      <c r="K207" s="1343" t="n"/>
      <c r="M207" s="902">
        <f>IF(L111&lt;AE207,"Section 4.5.6 - The total of Columns of ""Number of requests"" for ""Neither confirmed nor denied"" should be equal to or less than ""Neither confirmed nor denied"" of Section 4.1.","")</f>
        <v/>
      </c>
      <c r="U207" s="902">
        <f>IF(L111&gt;AB171,"The total of ""Neither confirmed nor denied"" should equal  to or greater than the number of ""Neither confirmed nor denied"" from ""Sections 4.5.2, 4.5.4 and 4.5.6""","")</f>
        <v/>
      </c>
      <c r="AE207" s="905">
        <f>SUM(C207,F207,I207)</f>
        <v/>
      </c>
      <c r="AF207" s="905" t="n"/>
      <c r="AG207" s="905" t="n"/>
      <c r="AH207" s="905" t="n"/>
      <c r="AI207" s="366" t="n"/>
      <c r="AJ207" s="366" t="n"/>
      <c r="AK207" s="366" t="n"/>
    </row>
    <row r="208" ht="53.65" customHeight="1" thickBot="1">
      <c r="A208" s="1413" t="inlineStr">
        <is>
          <t>Declined to act with the approval of the Information Commissioner</t>
        </is>
      </c>
      <c r="B208" s="1356" t="n"/>
      <c r="C208" s="137" t="n">
        <v>0</v>
      </c>
      <c r="D208" s="876" t="n">
        <v>0</v>
      </c>
      <c r="E208" s="1419" t="n"/>
      <c r="F208" s="503" t="n">
        <v>0</v>
      </c>
      <c r="G208" s="876" t="n">
        <v>0</v>
      </c>
      <c r="H208" s="1419" t="n"/>
      <c r="I208" s="503" t="n">
        <v>0</v>
      </c>
      <c r="J208" s="899" t="n">
        <v>0</v>
      </c>
      <c r="K208" s="1379" t="n"/>
      <c r="M208" s="902">
        <f>IF(L112&lt;AE208,"Section 4.5.6 - The total of Columns of ""Number of requests"" for ""Declined to act with the approval of the Information Commissioner"" should be equal to or less than ""Declined to act with the approval of the Information Commissioner"" of Section 4.1.","")</f>
        <v/>
      </c>
      <c r="U208" s="902">
        <f>IF(L112&gt;AB172,"The total of ""Declined to act with the approval of the Information Commissioner"" should equal  to or greater than the number of ""Declined to act with the approval of the Information Commissioner"" from ""Sections 4.5.2, 4.5.4 and 4.5.6""","")</f>
        <v/>
      </c>
      <c r="AE208" s="905">
        <f>SUM(C208,F208,I208)</f>
        <v/>
      </c>
      <c r="AF208" s="905" t="n"/>
      <c r="AG208" s="905" t="n"/>
      <c r="AH208" s="905" t="n"/>
      <c r="AI208" s="366" t="n"/>
      <c r="AJ208" s="366" t="n"/>
      <c r="AK208" s="366" t="n"/>
    </row>
    <row r="209" ht="16.5" customHeight="1" thickBot="1" thickTop="1">
      <c r="A209" s="1414" t="inlineStr">
        <is>
          <t>Total</t>
        </is>
      </c>
      <c r="B209" s="1334" t="n"/>
      <c r="C209" s="420">
        <f>SUM(C202:C208)</f>
        <v/>
      </c>
      <c r="D209" s="420">
        <f>SUM(D202:E208)</f>
        <v/>
      </c>
      <c r="E209" s="1396" t="n"/>
      <c r="F209" s="318">
        <f>SUM(F202:F208)</f>
        <v/>
      </c>
      <c r="G209" s="420">
        <f>SUM(G202:H208)</f>
        <v/>
      </c>
      <c r="H209" s="1396" t="n"/>
      <c r="I209" s="318">
        <f>SUM(I202:I208)</f>
        <v/>
      </c>
      <c r="J209" s="421">
        <f>SUM(J202:K208)</f>
        <v/>
      </c>
      <c r="K209" s="1374" t="n"/>
      <c r="M209" s="902">
        <f>IF(AE209&lt;&gt;G196,"Section 4.5.6 - The total of Columns of ""Number of Requests"" must be equal to the ""Number of Requests"" of Section 4.5.5","")</f>
        <v/>
      </c>
      <c r="U209" s="344">
        <f>IF(AB173&lt;L114,"The Total ""Number of Requests"" for sections 4.5.1, 4.5.3 and 4.5.5 should be greater to or equal to the sum of rows 1 to 4 and 7 to 9 of Section 4.1","")</f>
        <v/>
      </c>
      <c r="AC209" s="340" t="n"/>
      <c r="AD209" s="340" t="n"/>
      <c r="AE209" s="905">
        <f>SUM(C209,F209,I209)</f>
        <v/>
      </c>
      <c r="AF209" s="336" t="n"/>
      <c r="AG209" s="336" t="n"/>
      <c r="AH209" s="336" t="n"/>
      <c r="AI209" s="30" t="n"/>
      <c r="AJ209" s="30" t="n"/>
      <c r="AK209" s="30" t="n"/>
    </row>
    <row r="210" ht="14.25" customHeight="1" thickTop="1">
      <c r="A210" s="52" t="n"/>
      <c r="B210" s="52" t="n"/>
      <c r="C210" s="471" t="n"/>
      <c r="D210" s="471" t="n"/>
      <c r="E210" s="471" t="n"/>
      <c r="F210" s="471" t="n"/>
      <c r="G210" s="471" t="n"/>
      <c r="H210" s="471" t="n"/>
      <c r="M210" s="902">
        <f>IF((SUM(D209,G209,J209))&lt;&gt;A196,"Section 4.5.6 - The total of Columns of ""Minutes Processed"" must be equal to the ""Number of Minutes Processed"" of Section 4.5.5","")</f>
        <v/>
      </c>
      <c r="U210" s="340" t="n"/>
      <c r="V210" s="340" t="n"/>
      <c r="W210" s="340" t="n"/>
      <c r="X210" s="340" t="n"/>
      <c r="Y210" s="340" t="n"/>
      <c r="Z210" s="340" t="n"/>
      <c r="AA210" s="340" t="n"/>
      <c r="AB210" s="340" t="n"/>
      <c r="AC210" s="340" t="n"/>
      <c r="AD210" s="340" t="n"/>
      <c r="AE210" s="341" t="n"/>
      <c r="AF210" s="341" t="n"/>
      <c r="AG210" s="341" t="n"/>
      <c r="AH210" s="341" t="n"/>
      <c r="AI210" s="115" t="n"/>
      <c r="AJ210" s="115" t="n"/>
      <c r="AK210" s="115" t="n"/>
    </row>
    <row r="211" ht="14.25" customHeight="1">
      <c r="F211" s="826" t="n"/>
      <c r="U211" s="336" t="n"/>
      <c r="V211" s="336" t="n"/>
      <c r="W211" s="336" t="n"/>
      <c r="X211" s="337" t="n"/>
      <c r="Y211" s="337" t="n"/>
      <c r="Z211" s="337" t="n"/>
      <c r="AA211" s="337" t="n"/>
      <c r="AB211" s="337" t="n"/>
      <c r="AC211" s="337" t="n"/>
      <c r="AD211" s="337" t="n"/>
      <c r="AE211" s="337" t="n"/>
      <c r="AF211" s="337" t="n"/>
      <c r="AG211" s="337" t="n"/>
      <c r="AH211" s="337" t="n"/>
      <c r="AI211" s="72" t="n"/>
      <c r="AJ211" s="72" t="n"/>
      <c r="AK211" s="72" t="n"/>
      <c r="AL211" s="49" t="n"/>
      <c r="AM211" s="49" t="n"/>
      <c r="AN211" s="49" t="n"/>
      <c r="AO211" s="49" t="n"/>
      <c r="AP211" s="49" t="n"/>
      <c r="AQ211" s="49" t="n"/>
      <c r="AR211" s="49" t="n"/>
      <c r="AS211" s="49" t="n"/>
      <c r="AT211" s="49" t="n"/>
    </row>
    <row r="212" ht="15" customHeight="1">
      <c r="A212" s="346" t="inlineStr">
        <is>
          <t>4.5.7 Other complexities</t>
        </is>
      </c>
      <c r="M212" s="336" t="n"/>
      <c r="N212" s="336" t="n"/>
      <c r="O212" s="336" t="n"/>
      <c r="P212" s="336" t="n"/>
      <c r="Q212" s="336" t="n"/>
      <c r="R212" s="336" t="n"/>
      <c r="S212" s="336" t="n"/>
      <c r="T212" s="336" t="n"/>
      <c r="U212" s="336" t="n"/>
      <c r="V212" s="336" t="n"/>
      <c r="W212" s="336" t="n"/>
      <c r="X212" s="336" t="n"/>
      <c r="Y212" s="336" t="n"/>
      <c r="Z212" s="336" t="n"/>
      <c r="AA212" s="336" t="n"/>
      <c r="AB212" s="336" t="n"/>
      <c r="AC212" s="336" t="n"/>
      <c r="AD212" s="336" t="n"/>
      <c r="AE212" s="336" t="n"/>
      <c r="AF212" s="336" t="n"/>
      <c r="AG212" s="336" t="n"/>
      <c r="AH212" s="336" t="n"/>
      <c r="AI212" s="30" t="n"/>
      <c r="AJ212" s="30" t="n"/>
      <c r="AK212" s="30" t="n"/>
    </row>
    <row r="213" ht="13.9" customHeight="1" thickBot="1">
      <c r="A213" s="347" t="n"/>
      <c r="M213" s="336" t="n"/>
      <c r="N213" s="336" t="n"/>
      <c r="O213" s="336" t="n"/>
      <c r="P213" s="336" t="n"/>
      <c r="Q213" s="336" t="n"/>
      <c r="R213" s="336" t="n"/>
      <c r="S213" s="336" t="n"/>
      <c r="T213" s="336" t="n"/>
      <c r="U213" s="336" t="n"/>
      <c r="V213" s="336" t="n"/>
      <c r="W213" s="336" t="n"/>
      <c r="X213" s="336" t="n"/>
      <c r="Y213" s="336" t="n"/>
      <c r="Z213" s="336" t="n"/>
      <c r="AA213" s="336" t="n"/>
      <c r="AB213" s="336" t="n"/>
      <c r="AC213" s="336" t="n"/>
      <c r="AD213" s="336" t="n"/>
      <c r="AE213" s="336" t="n"/>
      <c r="AF213" s="336" t="n"/>
      <c r="AG213" s="336" t="n"/>
      <c r="AH213" s="336" t="n"/>
      <c r="AI213" s="30" t="n"/>
      <c r="AJ213" s="30" t="n"/>
      <c r="AK213" s="30" t="n"/>
    </row>
    <row r="214" ht="28.5" customHeight="1" thickBot="1" thickTop="1">
      <c r="A214" s="1422" t="inlineStr">
        <is>
          <t>Disposition</t>
        </is>
      </c>
      <c r="B214" s="1334" t="n"/>
      <c r="C214" s="467" t="inlineStr">
        <is>
          <t>Consultation Required</t>
        </is>
      </c>
      <c r="D214" s="1386" t="n"/>
      <c r="E214" s="468" t="inlineStr">
        <is>
          <t>Legal Advice Sought</t>
        </is>
      </c>
      <c r="F214" s="1386" t="n"/>
      <c r="G214" s="468" t="inlineStr">
        <is>
          <t>Other</t>
        </is>
      </c>
      <c r="H214" s="1386" t="n"/>
      <c r="I214" s="1422" t="inlineStr">
        <is>
          <t>Total</t>
        </is>
      </c>
      <c r="J214" s="1334" t="n"/>
      <c r="M214" s="336" t="n"/>
      <c r="N214" s="336" t="n"/>
      <c r="O214" s="336" t="n"/>
      <c r="P214" s="336" t="n"/>
      <c r="Q214" s="336" t="n"/>
      <c r="R214" s="336" t="n"/>
      <c r="S214" s="336" t="n"/>
      <c r="T214" s="336" t="n"/>
      <c r="U214" s="336" t="n"/>
      <c r="V214" s="336" t="n"/>
      <c r="W214" s="336" t="n"/>
      <c r="X214" s="336" t="n"/>
      <c r="Y214" s="336" t="n"/>
      <c r="Z214" s="336" t="n"/>
      <c r="AA214" s="336" t="n"/>
      <c r="AB214" s="336" t="n"/>
      <c r="AC214" s="336" t="n"/>
      <c r="AD214" s="336" t="n"/>
      <c r="AE214" s="336" t="n"/>
      <c r="AF214" s="336" t="n"/>
      <c r="AG214" s="336" t="n"/>
      <c r="AH214" s="336" t="n"/>
      <c r="AI214" s="30" t="n"/>
      <c r="AJ214" s="30" t="n"/>
      <c r="AK214" s="30" t="n"/>
    </row>
    <row r="215" ht="14.25" customHeight="1" thickTop="1">
      <c r="A215" s="1423" t="inlineStr">
        <is>
          <t>All disclosed</t>
        </is>
      </c>
      <c r="B215" s="1337" t="n"/>
      <c r="C215" s="1424" t="n">
        <v>0</v>
      </c>
      <c r="D215" s="1417" t="n"/>
      <c r="E215" s="1254" t="n">
        <v>0</v>
      </c>
      <c r="F215" s="1417" t="n"/>
      <c r="G215" s="1254" t="n">
        <v>0</v>
      </c>
      <c r="H215" s="1417" t="n"/>
      <c r="I215" s="271">
        <f>SUM(C215:H215)</f>
        <v/>
      </c>
      <c r="J215" s="1337" t="n"/>
      <c r="M215" s="336" t="n"/>
      <c r="N215" s="336" t="n"/>
      <c r="O215" s="336" t="n"/>
      <c r="P215" s="336" t="n"/>
      <c r="Q215" s="336" t="n"/>
      <c r="R215" s="336" t="n"/>
      <c r="S215" s="336" t="n"/>
      <c r="T215" s="336" t="n"/>
      <c r="U215" s="336" t="n"/>
      <c r="V215" s="336" t="n"/>
      <c r="W215" s="336" t="n"/>
      <c r="X215" s="336" t="n"/>
      <c r="Y215" s="336" t="n"/>
      <c r="Z215" s="336" t="n"/>
      <c r="AA215" s="336" t="n"/>
      <c r="AB215" s="336" t="n"/>
      <c r="AC215" s="336" t="n"/>
      <c r="AD215" s="336" t="n"/>
      <c r="AE215" s="336" t="n"/>
      <c r="AF215" s="336" t="n"/>
      <c r="AG215" s="336" t="n"/>
      <c r="AH215" s="336" t="n"/>
      <c r="AI215" s="30" t="n"/>
      <c r="AJ215" s="30" t="n"/>
      <c r="AK215" s="30" t="n"/>
    </row>
    <row r="216" ht="13.5" customHeight="1">
      <c r="A216" s="1425" t="inlineStr">
        <is>
          <t>Disclosed in part</t>
        </is>
      </c>
      <c r="B216" s="1343" t="n"/>
      <c r="C216" s="476" t="n">
        <v>0</v>
      </c>
      <c r="D216" s="1418" t="n"/>
      <c r="E216" s="477" t="n">
        <v>0</v>
      </c>
      <c r="F216" s="1418" t="n"/>
      <c r="G216" s="477" t="n">
        <v>0</v>
      </c>
      <c r="H216" s="1418" t="n"/>
      <c r="I216" s="267">
        <f>SUM(C216:H216)</f>
        <v/>
      </c>
      <c r="J216" s="1343" t="n"/>
      <c r="M216" s="336" t="n"/>
      <c r="N216" s="336" t="n"/>
      <c r="O216" s="336" t="n"/>
      <c r="P216" s="336" t="n"/>
      <c r="Q216" s="336" t="n"/>
      <c r="R216" s="336" t="n"/>
      <c r="S216" s="336" t="n"/>
      <c r="T216" s="336" t="n"/>
      <c r="U216" s="336" t="n"/>
      <c r="V216" s="336" t="n"/>
      <c r="W216" s="336" t="n"/>
      <c r="X216" s="336" t="n"/>
      <c r="Y216" s="336" t="n"/>
      <c r="Z216" s="336" t="n"/>
      <c r="AA216" s="336" t="n"/>
      <c r="AB216" s="336" t="n"/>
      <c r="AC216" s="336" t="n"/>
      <c r="AD216" s="336" t="n"/>
      <c r="AE216" s="336" t="n"/>
      <c r="AF216" s="336" t="n"/>
      <c r="AG216" s="336" t="n"/>
      <c r="AH216" s="336" t="n"/>
      <c r="AI216" s="30" t="n"/>
      <c r="AJ216" s="30" t="n"/>
      <c r="AK216" s="30" t="n"/>
    </row>
    <row r="217">
      <c r="A217" s="1425" t="inlineStr">
        <is>
          <t>All exempted</t>
        </is>
      </c>
      <c r="B217" s="1343" t="n"/>
      <c r="C217" s="476" t="n">
        <v>0</v>
      </c>
      <c r="D217" s="1418" t="n"/>
      <c r="E217" s="477" t="n">
        <v>0</v>
      </c>
      <c r="F217" s="1418" t="n"/>
      <c r="G217" s="477" t="n">
        <v>0</v>
      </c>
      <c r="H217" s="1418" t="n"/>
      <c r="I217" s="267">
        <f>SUM(C217:H217)</f>
        <v/>
      </c>
      <c r="J217" s="1343" t="n"/>
      <c r="M217" s="336" t="n"/>
      <c r="N217" s="336" t="n"/>
      <c r="O217" s="336" t="n"/>
      <c r="P217" s="336" t="n"/>
      <c r="Q217" s="336" t="n"/>
      <c r="R217" s="336" t="n"/>
      <c r="S217" s="336" t="n"/>
      <c r="T217" s="336" t="n"/>
      <c r="U217" s="336" t="n"/>
      <c r="V217" s="336" t="n"/>
      <c r="W217" s="336" t="n"/>
      <c r="X217" s="336" t="n"/>
      <c r="Y217" s="336" t="n"/>
      <c r="Z217" s="336" t="n"/>
      <c r="AA217" s="336" t="n"/>
      <c r="AB217" s="336" t="n"/>
      <c r="AC217" s="336" t="n"/>
      <c r="AD217" s="336" t="n"/>
      <c r="AE217" s="336" t="n"/>
      <c r="AF217" s="336" t="n"/>
      <c r="AG217" s="336" t="n"/>
      <c r="AH217" s="336" t="n"/>
      <c r="AI217" s="30" t="n"/>
      <c r="AJ217" s="30" t="n"/>
      <c r="AK217" s="30" t="n"/>
    </row>
    <row r="218">
      <c r="A218" s="1425" t="inlineStr">
        <is>
          <t>All excluded</t>
        </is>
      </c>
      <c r="B218" s="1343" t="n"/>
      <c r="C218" s="476" t="n">
        <v>0</v>
      </c>
      <c r="D218" s="1418" t="n"/>
      <c r="E218" s="477" t="n">
        <v>0</v>
      </c>
      <c r="F218" s="1418" t="n"/>
      <c r="G218" s="477" t="n">
        <v>0</v>
      </c>
      <c r="H218" s="1418" t="n"/>
      <c r="I218" s="267">
        <f>SUM(C218:H218)</f>
        <v/>
      </c>
      <c r="J218" s="1343" t="n"/>
      <c r="M218" s="336" t="n"/>
      <c r="N218" s="336" t="n"/>
      <c r="O218" s="336" t="n"/>
      <c r="P218" s="336" t="n"/>
      <c r="Q218" s="336" t="n"/>
      <c r="R218" s="336" t="n"/>
      <c r="S218" s="336" t="n"/>
      <c r="T218" s="336" t="n"/>
      <c r="U218" s="336" t="n"/>
      <c r="V218" s="336" t="n"/>
      <c r="W218" s="336" t="n"/>
      <c r="X218" s="336" t="n"/>
      <c r="Y218" s="336" t="n"/>
      <c r="Z218" s="336" t="n"/>
      <c r="AA218" s="336" t="n"/>
      <c r="AB218" s="336" t="n"/>
      <c r="AC218" s="336" t="n"/>
      <c r="AD218" s="336" t="n"/>
      <c r="AE218" s="336" t="n"/>
      <c r="AF218" s="336" t="n"/>
      <c r="AG218" s="336" t="n"/>
      <c r="AH218" s="336" t="n"/>
      <c r="AI218" s="30" t="n"/>
      <c r="AJ218" s="30" t="n"/>
      <c r="AK218" s="30" t="n"/>
    </row>
    <row r="219" ht="25.15" customHeight="1">
      <c r="A219" s="1425" t="inlineStr">
        <is>
          <t>Request abandoned</t>
        </is>
      </c>
      <c r="B219" s="1343" t="n"/>
      <c r="C219" s="476" t="n">
        <v>0</v>
      </c>
      <c r="D219" s="1418" t="n"/>
      <c r="E219" s="477" t="n">
        <v>0</v>
      </c>
      <c r="F219" s="1418" t="n"/>
      <c r="G219" s="477" t="n">
        <v>0</v>
      </c>
      <c r="H219" s="1418" t="n"/>
      <c r="I219" s="267">
        <f>SUM(C219:H219)</f>
        <v/>
      </c>
      <c r="J219" s="1343" t="n"/>
      <c r="M219" s="336" t="n"/>
      <c r="N219" s="336" t="n"/>
      <c r="O219" s="336" t="n"/>
      <c r="P219" s="336" t="n"/>
      <c r="Q219" s="336" t="n"/>
      <c r="R219" s="336" t="n"/>
      <c r="S219" s="336" t="n"/>
      <c r="T219" s="336" t="n"/>
      <c r="U219" s="336" t="n"/>
      <c r="V219" s="336" t="n"/>
      <c r="W219" s="336" t="n"/>
      <c r="X219" s="336" t="n"/>
      <c r="Y219" s="336" t="n"/>
      <c r="Z219" s="336" t="n"/>
      <c r="AA219" s="336" t="n"/>
      <c r="AB219" s="336" t="n"/>
      <c r="AC219" s="336" t="n"/>
      <c r="AD219" s="336" t="n"/>
      <c r="AE219" s="336" t="n"/>
      <c r="AF219" s="336" t="n"/>
      <c r="AG219" s="336" t="n"/>
      <c r="AH219" s="336" t="n"/>
      <c r="AI219" s="30" t="n"/>
      <c r="AJ219" s="30" t="n"/>
      <c r="AK219" s="30" t="n"/>
    </row>
    <row r="220" ht="26.25" customHeight="1">
      <c r="A220" s="1425" t="inlineStr">
        <is>
          <t>Neither confirmed nor denied</t>
        </is>
      </c>
      <c r="B220" s="1343" t="n"/>
      <c r="C220" s="476" t="n">
        <v>0</v>
      </c>
      <c r="D220" s="1418" t="n"/>
      <c r="E220" s="477" t="n">
        <v>0</v>
      </c>
      <c r="F220" s="1418" t="n"/>
      <c r="G220" s="477" t="n">
        <v>0</v>
      </c>
      <c r="H220" s="1418" t="n"/>
      <c r="I220" s="267">
        <f>SUM(C220:H220)</f>
        <v/>
      </c>
      <c r="J220" s="1343" t="n"/>
      <c r="M220" s="336" t="n"/>
      <c r="N220" s="336" t="n"/>
      <c r="O220" s="336" t="n"/>
      <c r="P220" s="336" t="n"/>
      <c r="Q220" s="336" t="n"/>
      <c r="R220" s="336" t="n"/>
      <c r="S220" s="336" t="n"/>
      <c r="T220" s="336" t="n"/>
      <c r="U220" s="336" t="n"/>
      <c r="V220" s="336" t="n"/>
      <c r="W220" s="336" t="n"/>
      <c r="X220" s="336" t="n"/>
      <c r="Y220" s="336" t="n"/>
      <c r="Z220" s="336" t="n"/>
      <c r="AA220" s="336" t="n"/>
      <c r="AB220" s="336" t="n"/>
      <c r="AC220" s="336" t="n"/>
      <c r="AD220" s="336" t="n"/>
      <c r="AE220" s="336" t="n"/>
      <c r="AF220" s="336" t="n"/>
      <c r="AG220" s="336" t="n"/>
      <c r="AH220" s="336" t="n"/>
      <c r="AI220" s="30" t="n"/>
      <c r="AJ220" s="30" t="n"/>
      <c r="AK220" s="30" t="n"/>
    </row>
    <row r="221" ht="54" customHeight="1" thickBot="1">
      <c r="A221" s="1426" t="inlineStr">
        <is>
          <t>Declined to act with the approval of the Information Commissioner</t>
        </is>
      </c>
      <c r="B221" s="1356" t="n"/>
      <c r="C221" s="137" t="n">
        <v>0</v>
      </c>
      <c r="D221" s="1419" t="n"/>
      <c r="E221" s="876" t="n">
        <v>0</v>
      </c>
      <c r="F221" s="1419" t="n"/>
      <c r="G221" s="470" t="n">
        <v>0</v>
      </c>
      <c r="H221" s="1379" t="n"/>
      <c r="I221" s="267">
        <f>SUM(C221:H221)</f>
        <v/>
      </c>
      <c r="J221" s="1343" t="n"/>
      <c r="M221" s="350" t="n"/>
      <c r="N221" s="350" t="n"/>
      <c r="O221" s="350" t="n"/>
      <c r="P221" s="350" t="n"/>
      <c r="Q221" s="350" t="n"/>
      <c r="R221" s="350" t="n"/>
      <c r="S221" s="350" t="n"/>
      <c r="T221" s="350" t="n"/>
      <c r="U221" s="350" t="n"/>
      <c r="V221" s="350" t="n"/>
      <c r="W221" s="350" t="n"/>
      <c r="X221" s="350" t="n"/>
      <c r="Y221" s="350" t="n"/>
      <c r="Z221" s="350" t="n"/>
      <c r="AA221" s="350" t="n"/>
      <c r="AB221" s="350" t="n"/>
      <c r="AC221" s="350" t="n"/>
      <c r="AD221" s="350" t="n"/>
      <c r="AE221" s="350" t="n"/>
      <c r="AF221" s="350" t="n"/>
      <c r="AG221" s="30" t="n"/>
      <c r="AH221" s="30" t="n"/>
      <c r="AI221" s="30" t="n"/>
      <c r="AJ221" s="30" t="n"/>
      <c r="AK221" s="30" t="n"/>
    </row>
    <row r="222" ht="14.25" customHeight="1" thickBot="1" thickTop="1">
      <c r="A222" s="1427" t="inlineStr">
        <is>
          <t>Total</t>
        </is>
      </c>
      <c r="B222" s="1334" t="n"/>
      <c r="C222" s="1064">
        <f>SUM(C215:D221)</f>
        <v/>
      </c>
      <c r="D222" s="1386" t="n"/>
      <c r="E222" s="1065">
        <f>SUM(E215:F221)</f>
        <v/>
      </c>
      <c r="F222" s="1386" t="n"/>
      <c r="G222" s="1065">
        <f>SUM(G215:H221)</f>
        <v/>
      </c>
      <c r="H222" s="1386" t="n"/>
      <c r="I222" s="299">
        <f>SUM(I215:J221)</f>
        <v/>
      </c>
      <c r="J222" s="1334" t="n"/>
      <c r="M222" s="350" t="n"/>
      <c r="N222" s="350" t="n"/>
      <c r="O222" s="350" t="n"/>
      <c r="P222" s="350" t="n"/>
      <c r="Q222" s="350" t="n"/>
      <c r="R222" s="350" t="n"/>
      <c r="S222" s="350" t="n"/>
      <c r="T222" s="350" t="n"/>
      <c r="U222" s="350" t="n"/>
      <c r="V222" s="350" t="n"/>
      <c r="W222" s="350" t="n"/>
      <c r="X222" s="350" t="n"/>
      <c r="Y222" s="350" t="n"/>
      <c r="Z222" s="350" t="n"/>
      <c r="AA222" s="350" t="n"/>
      <c r="AB222" s="350" t="n"/>
      <c r="AC222" s="350" t="n"/>
      <c r="AD222" s="350" t="n"/>
      <c r="AE222" s="350" t="n"/>
      <c r="AF222" s="350" t="n"/>
      <c r="AG222" s="30" t="n"/>
      <c r="AH222" s="30" t="n"/>
      <c r="AI222" s="30" t="n"/>
      <c r="AJ222" s="30" t="n"/>
      <c r="AK222" s="30" t="n"/>
    </row>
    <row r="223" ht="14.25" customHeight="1" thickTop="1">
      <c r="C223" s="49" t="n"/>
      <c r="D223" s="49" t="n"/>
      <c r="E223" s="49" t="n"/>
      <c r="F223" s="49" t="n"/>
      <c r="G223" s="49" t="n"/>
      <c r="H223" s="49" t="n"/>
      <c r="M223" s="350" t="n"/>
      <c r="N223" s="350" t="n"/>
      <c r="O223" s="350" t="n"/>
      <c r="P223" s="350" t="n"/>
      <c r="Q223" s="350" t="n"/>
      <c r="R223" s="350" t="n"/>
      <c r="S223" s="350" t="n"/>
      <c r="T223" s="350" t="n"/>
      <c r="U223" s="350" t="n"/>
      <c r="V223" s="350" t="n"/>
      <c r="W223" s="350" t="n"/>
      <c r="X223" s="350" t="n"/>
      <c r="Y223" s="350" t="n"/>
      <c r="Z223" s="350" t="n"/>
      <c r="AA223" s="350" t="n"/>
      <c r="AB223" s="350" t="n"/>
      <c r="AC223" s="350" t="n"/>
      <c r="AD223" s="350" t="n"/>
      <c r="AE223" s="350" t="n"/>
      <c r="AF223" s="350" t="n"/>
      <c r="AG223" s="30" t="n"/>
      <c r="AH223" s="30" t="n"/>
      <c r="AI223" s="30" t="n"/>
      <c r="AJ223" s="30" t="n"/>
      <c r="AK223" s="30" t="n"/>
    </row>
    <row r="224" ht="14.25" customHeight="1">
      <c r="A224" s="347" t="inlineStr">
        <is>
          <t>4.6 Closed requests</t>
        </is>
      </c>
      <c r="M224" s="350" t="n"/>
      <c r="N224" s="350" t="n"/>
      <c r="O224" s="350" t="n"/>
      <c r="P224" s="350" t="n"/>
      <c r="Q224" s="350" t="n"/>
      <c r="R224" s="350" t="n"/>
      <c r="S224" s="350" t="n"/>
      <c r="T224" s="350" t="n"/>
      <c r="U224" s="350" t="n"/>
      <c r="V224" s="350" t="n"/>
      <c r="W224" s="350" t="n"/>
      <c r="X224" s="350" t="n"/>
      <c r="Y224" s="350" t="n"/>
      <c r="Z224" s="350" t="n"/>
      <c r="AA224" s="350" t="n"/>
      <c r="AB224" s="350" t="n"/>
      <c r="AC224" s="350" t="n"/>
      <c r="AD224" s="350" t="n"/>
      <c r="AE224" s="350" t="n"/>
      <c r="AF224" s="350" t="n"/>
      <c r="AG224" s="30" t="n"/>
      <c r="AH224" s="30" t="n"/>
      <c r="AI224" s="30" t="n"/>
      <c r="AJ224" s="30" t="n"/>
      <c r="AK224" s="30" t="n"/>
    </row>
    <row r="225" ht="14.25" customHeight="1">
      <c r="A225" s="347" t="n"/>
      <c r="M225" s="350" t="n"/>
      <c r="N225" s="350" t="n"/>
      <c r="O225" s="350" t="n"/>
      <c r="P225" s="350" t="n"/>
      <c r="Q225" s="350" t="n"/>
      <c r="R225" s="350" t="n"/>
      <c r="S225" s="350" t="n"/>
      <c r="T225" s="350" t="n"/>
      <c r="U225" s="350" t="n"/>
      <c r="V225" s="350" t="n"/>
      <c r="W225" s="350" t="n"/>
      <c r="X225" s="350" t="n"/>
      <c r="Y225" s="350" t="n"/>
      <c r="Z225" s="350" t="n"/>
      <c r="AA225" s="350" t="n"/>
      <c r="AB225" s="350" t="n"/>
      <c r="AC225" s="350" t="n"/>
      <c r="AD225" s="350" t="n"/>
      <c r="AE225" s="350" t="n"/>
      <c r="AF225" s="350" t="n"/>
      <c r="AG225" s="30" t="n"/>
      <c r="AH225" s="30" t="n"/>
      <c r="AI225" s="30" t="n"/>
      <c r="AJ225" s="30" t="n"/>
      <c r="AK225" s="30" t="n"/>
    </row>
    <row r="226" ht="14.25" customHeight="1">
      <c r="A226" s="520" t="inlineStr">
        <is>
          <t>4.6.1  Requests closed within legislated timelines</t>
        </is>
      </c>
      <c r="M226" s="350" t="n"/>
      <c r="N226" s="350" t="n"/>
      <c r="O226" s="350" t="n"/>
      <c r="P226" s="350" t="n"/>
      <c r="Q226" s="350" t="n"/>
      <c r="R226" s="350" t="n"/>
      <c r="S226" s="350" t="n"/>
      <c r="T226" s="350" t="n"/>
      <c r="U226" s="350" t="n"/>
      <c r="V226" s="350" t="n"/>
      <c r="W226" s="350" t="n"/>
      <c r="X226" s="350" t="n"/>
      <c r="Y226" s="350" t="n"/>
      <c r="Z226" s="350" t="n"/>
      <c r="AA226" s="350" t="n"/>
      <c r="AB226" s="350" t="n"/>
      <c r="AC226" s="350" t="n"/>
      <c r="AD226" s="350" t="n"/>
      <c r="AE226" s="350" t="n"/>
      <c r="AF226" s="350" t="n"/>
      <c r="AG226" s="30" t="n"/>
      <c r="AH226" s="30" t="n"/>
      <c r="AI226" s="30" t="n"/>
      <c r="AJ226" s="30" t="n"/>
      <c r="AK226" s="30" t="n"/>
    </row>
    <row r="227" ht="16.9" customHeight="1" thickBot="1">
      <c r="A227" s="347" t="n"/>
      <c r="M227" s="350" t="n"/>
      <c r="N227" s="350" t="n"/>
      <c r="O227" s="350" t="n"/>
      <c r="P227" s="350" t="n"/>
      <c r="Q227" s="350" t="n"/>
      <c r="R227" s="350" t="n"/>
      <c r="S227" s="350" t="n"/>
      <c r="T227" s="350" t="n"/>
      <c r="U227" s="350" t="n"/>
      <c r="V227" s="350" t="n"/>
      <c r="W227" s="350" t="n"/>
      <c r="X227" s="350" t="n"/>
      <c r="Y227" s="350" t="n"/>
      <c r="Z227" s="350" t="n"/>
      <c r="AA227" s="350" t="n"/>
      <c r="AB227" s="350" t="n"/>
      <c r="AC227" s="350" t="n"/>
      <c r="AD227" s="350" t="n"/>
      <c r="AE227" s="350" t="n"/>
      <c r="AF227" s="350" t="n"/>
      <c r="AG227" s="30" t="n"/>
      <c r="AH227" s="30" t="n"/>
      <c r="AI227" s="30" t="n"/>
      <c r="AJ227" s="30" t="n"/>
      <c r="AK227" s="30" t="n"/>
    </row>
    <row r="228" ht="16.15" customHeight="1" thickTop="1">
      <c r="A228" s="1428" t="inlineStr">
        <is>
          <t>Number of requests closed within legislated timelines</t>
        </is>
      </c>
      <c r="B228" s="1353" t="n"/>
      <c r="C228" s="1353" t="n"/>
      <c r="D228" s="1354" t="n"/>
      <c r="E228" s="511">
        <f>H19-A238</f>
        <v/>
      </c>
      <c r="F228" s="1393" t="n"/>
      <c r="M228" s="350" t="n"/>
      <c r="N228" s="350" t="n"/>
      <c r="O228" s="350" t="n"/>
      <c r="P228" s="350" t="n"/>
      <c r="Q228" s="350" t="n"/>
      <c r="R228" s="350" t="n"/>
      <c r="S228" s="350" t="n"/>
      <c r="T228" s="350" t="n"/>
      <c r="U228" s="350" t="n"/>
      <c r="V228" s="350" t="n"/>
      <c r="W228" s="350" t="n"/>
      <c r="X228" s="350" t="n"/>
      <c r="Y228" s="350" t="n"/>
      <c r="Z228" s="350" t="n"/>
      <c r="AA228" s="350" t="n"/>
      <c r="AB228" s="350" t="n"/>
      <c r="AC228" s="350" t="n"/>
      <c r="AD228" s="350" t="n"/>
      <c r="AE228" s="350" t="n"/>
      <c r="AF228" s="350" t="n"/>
      <c r="AG228" s="30" t="n"/>
      <c r="AH228" s="30" t="n"/>
      <c r="AI228" s="30" t="n"/>
      <c r="AJ228" s="30" t="n"/>
      <c r="AK228" s="30" t="n"/>
    </row>
    <row r="229" ht="13.5" customHeight="1">
      <c r="A229" s="1394" t="n"/>
      <c r="B229" s="1331" t="n"/>
      <c r="C229" s="1331" t="n"/>
      <c r="D229" s="1409" t="n"/>
      <c r="E229" s="1331" t="n"/>
      <c r="F229" s="1395" t="n"/>
      <c r="M229" s="350" t="n"/>
      <c r="N229" s="350" t="n"/>
      <c r="O229" s="350" t="n"/>
      <c r="P229" s="350" t="n"/>
      <c r="Q229" s="350" t="n"/>
      <c r="R229" s="350" t="n"/>
      <c r="S229" s="350" t="n"/>
      <c r="T229" s="350" t="n"/>
      <c r="U229" s="350" t="n"/>
      <c r="V229" s="350" t="n"/>
      <c r="W229" s="350" t="n"/>
      <c r="X229" s="350" t="n"/>
      <c r="Y229" s="350" t="n"/>
      <c r="Z229" s="350" t="n"/>
      <c r="AA229" s="350" t="n"/>
      <c r="AB229" s="350" t="n"/>
      <c r="AC229" s="350" t="n"/>
      <c r="AD229" s="350" t="n"/>
      <c r="AE229" s="350" t="n"/>
      <c r="AF229" s="350" t="n"/>
      <c r="AG229" s="30" t="n"/>
      <c r="AH229" s="30" t="n"/>
      <c r="AI229" s="30" t="n"/>
      <c r="AJ229" s="30" t="n"/>
      <c r="AK229" s="30" t="n"/>
    </row>
    <row r="230" ht="29.25" customFormat="1" customHeight="1" s="49" thickBot="1">
      <c r="A230" s="1429" t="inlineStr">
        <is>
          <t>Percentage of requests closed within legislated timelines (%)</t>
        </is>
      </c>
      <c r="B230" s="1348" t="n"/>
      <c r="C230" s="1348" t="n"/>
      <c r="D230" s="1356" t="n"/>
      <c r="E230" s="515">
        <f>IF(H19=0,"0",(E228/H19)*100)</f>
        <v/>
      </c>
      <c r="F230" s="1384" t="n"/>
      <c r="G230" s="25" t="n"/>
      <c r="H230" s="25" t="n"/>
      <c r="I230" s="25" t="n"/>
      <c r="J230" s="25" t="n"/>
      <c r="K230" s="25" t="n"/>
      <c r="L230" s="25" t="n"/>
      <c r="M230" s="191" t="n"/>
      <c r="N230" s="191" t="n"/>
      <c r="O230" s="191" t="n"/>
      <c r="P230" s="191" t="n"/>
      <c r="Q230" s="191" t="n"/>
      <c r="R230" s="191" t="n"/>
      <c r="S230" s="191" t="n"/>
      <c r="T230" s="191" t="n"/>
      <c r="U230" s="191" t="n"/>
      <c r="V230" s="191" t="n"/>
      <c r="W230" s="191" t="n"/>
      <c r="X230" s="350" t="n"/>
      <c r="Y230" s="350" t="n"/>
      <c r="Z230" s="350" t="n"/>
      <c r="AA230" s="350" t="n"/>
      <c r="AB230" s="350" t="n"/>
      <c r="AC230" s="350" t="n"/>
      <c r="AD230" s="350" t="n"/>
      <c r="AE230" s="350" t="n"/>
      <c r="AF230" s="350" t="n"/>
      <c r="AG230" s="30" t="n"/>
      <c r="AH230" s="30" t="n"/>
      <c r="AI230" s="30" t="n"/>
      <c r="AJ230" s="30" t="n"/>
      <c r="AK230" s="30" t="n"/>
      <c r="AL230" s="25" t="n"/>
      <c r="AM230" s="25" t="n"/>
      <c r="AN230" s="25" t="n"/>
      <c r="AO230" s="25" t="n"/>
      <c r="AP230" s="25" t="n"/>
      <c r="AQ230" s="25" t="n"/>
      <c r="AR230" s="25" t="n"/>
      <c r="AS230" s="25" t="n"/>
      <c r="AT230" s="25" t="n"/>
    </row>
    <row r="231" ht="14.25" customHeight="1" thickTop="1">
      <c r="A231" s="54" t="n"/>
      <c r="B231" s="350" t="n"/>
      <c r="C231" s="350" t="n"/>
      <c r="D231" s="350" t="n"/>
      <c r="E231" s="343" t="n"/>
      <c r="M231" s="350" t="n"/>
      <c r="N231" s="350" t="n"/>
      <c r="O231" s="350" t="n"/>
      <c r="P231" s="350" t="n"/>
      <c r="Q231" s="350" t="n"/>
      <c r="R231" s="350" t="n"/>
      <c r="S231" s="350" t="n"/>
      <c r="T231" s="350" t="n"/>
      <c r="U231" s="350" t="n"/>
      <c r="V231" s="350" t="n"/>
      <c r="W231" s="350" t="n"/>
      <c r="X231" s="350" t="n"/>
      <c r="Y231" s="350" t="n"/>
      <c r="Z231" s="350" t="n"/>
      <c r="AA231" s="350" t="n"/>
      <c r="AB231" s="350" t="n"/>
      <c r="AC231" s="350" t="n"/>
      <c r="AD231" s="350" t="n"/>
      <c r="AE231" s="350" t="n"/>
      <c r="AF231" s="350" t="n"/>
      <c r="AG231" s="30" t="n"/>
      <c r="AH231" s="30" t="n"/>
      <c r="AI231" s="30" t="n"/>
      <c r="AJ231" s="30" t="n"/>
      <c r="AK231" s="30" t="n"/>
    </row>
    <row r="232" ht="13.15" customHeight="1">
      <c r="A232" s="345" t="inlineStr">
        <is>
          <t>4.7 Deemed refusals</t>
        </is>
      </c>
      <c r="N232" s="350" t="n"/>
      <c r="O232" s="350" t="n"/>
      <c r="P232" s="350" t="n"/>
      <c r="Q232" s="350" t="n"/>
      <c r="R232" s="350" t="n"/>
      <c r="S232" s="350" t="n"/>
      <c r="T232" s="350" t="n"/>
      <c r="U232" s="350" t="n"/>
      <c r="V232" s="350" t="n"/>
      <c r="W232" s="350" t="n"/>
      <c r="X232" s="350" t="n"/>
      <c r="Y232" s="350" t="n"/>
      <c r="Z232" s="350" t="n"/>
      <c r="AA232" s="350" t="n"/>
      <c r="AB232" s="350" t="n"/>
      <c r="AC232" s="350" t="n"/>
      <c r="AD232" s="350" t="n"/>
      <c r="AE232" s="350" t="n"/>
      <c r="AF232" s="350" t="n"/>
      <c r="AG232" s="30" t="n"/>
      <c r="AH232" s="30" t="n"/>
      <c r="AI232" s="30" t="n"/>
      <c r="AJ232" s="30" t="n"/>
      <c r="AK232" s="30" t="n"/>
    </row>
    <row r="233" ht="14.25" customHeight="1">
      <c r="A233" s="52" t="n"/>
      <c r="B233" s="52" t="n"/>
      <c r="C233" s="52" t="n"/>
      <c r="D233" s="471" t="n"/>
      <c r="E233" s="471" t="n"/>
      <c r="F233" s="471" t="n"/>
      <c r="G233" s="471" t="n"/>
      <c r="H233" s="471" t="n"/>
      <c r="I233" s="471" t="n"/>
      <c r="J233" s="471" t="n"/>
      <c r="K233" s="471" t="n"/>
      <c r="L233" s="471" t="n"/>
      <c r="M233" s="350" t="n"/>
      <c r="N233" s="350" t="n"/>
      <c r="O233" s="350" t="n"/>
      <c r="P233" s="350" t="n"/>
      <c r="Q233" s="350" t="n"/>
      <c r="R233" s="350" t="n"/>
      <c r="S233" s="350" t="n"/>
      <c r="T233" s="350" t="n"/>
      <c r="U233" s="350" t="n"/>
      <c r="V233" s="350" t="n"/>
      <c r="W233" s="350" t="n"/>
      <c r="X233" s="350" t="n"/>
      <c r="Y233" s="350" t="n"/>
      <c r="Z233" s="350" t="n"/>
      <c r="AA233" s="350" t="n"/>
      <c r="AB233" s="350" t="n"/>
      <c r="AC233" s="350" t="n"/>
      <c r="AD233" s="350" t="n"/>
      <c r="AE233" s="350" t="n"/>
      <c r="AF233" s="350" t="n"/>
      <c r="AG233" s="30" t="n"/>
      <c r="AH233" s="30" t="n"/>
      <c r="AI233" s="30" t="n"/>
      <c r="AJ233" s="30" t="n"/>
      <c r="AK233" s="30" t="n"/>
    </row>
    <row r="234" ht="16.5" customHeight="1">
      <c r="A234" s="346" t="inlineStr">
        <is>
          <t>4.7.1 Reasons for not meeting legislated timelines</t>
        </is>
      </c>
      <c r="M234" s="350" t="n"/>
      <c r="N234" s="350" t="n"/>
      <c r="O234" s="350" t="n"/>
      <c r="P234" s="350" t="n"/>
      <c r="Q234" s="350" t="n"/>
      <c r="R234" s="350" t="n"/>
      <c r="S234" s="350" t="n"/>
      <c r="T234" s="350" t="n"/>
      <c r="U234" s="350" t="n"/>
      <c r="V234" s="350" t="n"/>
      <c r="W234" s="350" t="n"/>
      <c r="X234" s="350" t="n"/>
      <c r="Y234" s="350" t="n"/>
      <c r="Z234" s="350" t="n"/>
      <c r="AA234" s="350" t="n"/>
      <c r="AB234" s="350" t="n"/>
      <c r="AC234" s="350" t="n"/>
      <c r="AD234" s="350" t="n"/>
      <c r="AE234" s="350" t="n"/>
      <c r="AF234" s="350" t="n"/>
      <c r="AG234" s="30" t="n"/>
      <c r="AH234" s="30" t="n"/>
      <c r="AI234" s="30" t="n"/>
      <c r="AJ234" s="30" t="n"/>
      <c r="AK234" s="30" t="n"/>
    </row>
    <row r="235" ht="15" customHeight="1" thickBot="1">
      <c r="M235" s="350" t="n"/>
      <c r="N235" s="350" t="n"/>
      <c r="O235" s="350" t="n"/>
      <c r="P235" s="350" t="n"/>
      <c r="Q235" s="350" t="n"/>
      <c r="R235" s="350" t="n"/>
      <c r="S235" s="350" t="n"/>
      <c r="T235" s="350" t="n"/>
      <c r="U235" s="350" t="n"/>
      <c r="V235" s="350" t="n"/>
      <c r="W235" s="350" t="n"/>
      <c r="X235" s="350" t="n"/>
      <c r="Y235" s="350" t="n"/>
      <c r="Z235" s="350" t="n"/>
      <c r="AA235" s="350" t="n"/>
      <c r="AB235" s="350" t="n"/>
      <c r="AC235" s="350" t="n"/>
      <c r="AD235" s="350" t="n"/>
      <c r="AE235" s="350" t="n"/>
      <c r="AF235" s="350" t="n"/>
      <c r="AG235" s="30" t="n"/>
      <c r="AH235" s="30" t="n"/>
      <c r="AI235" s="30" t="n"/>
      <c r="AJ235" s="30" t="n"/>
      <c r="AK235" s="30" t="n"/>
    </row>
    <row r="236" ht="14.25" customHeight="1" thickTop="1">
      <c r="A236" s="1422" t="inlineStr">
        <is>
          <t>Number of requests closed past the legislated timelines</t>
        </is>
      </c>
      <c r="B236" s="1353" t="n"/>
      <c r="C236" s="1353" t="n"/>
      <c r="D236" s="1354" t="n"/>
      <c r="E236" s="1430" t="inlineStr">
        <is>
          <t>Principal Reason</t>
        </is>
      </c>
      <c r="F236" s="1336" t="n"/>
      <c r="G236" s="1336" t="n"/>
      <c r="H236" s="1336" t="n"/>
      <c r="I236" s="1336" t="n"/>
      <c r="J236" s="1336" t="n"/>
      <c r="K236" s="1336" t="n"/>
      <c r="L236" s="1337" t="n"/>
      <c r="M236" s="350" t="n"/>
      <c r="N236" s="350" t="n"/>
      <c r="O236" s="350" t="n"/>
      <c r="P236" s="350" t="n"/>
      <c r="Q236" s="350" t="n"/>
      <c r="R236" s="350" t="n"/>
      <c r="S236" s="350" t="n"/>
      <c r="T236" s="350" t="n"/>
      <c r="U236" s="350" t="n"/>
      <c r="V236" s="350" t="n"/>
      <c r="W236" s="350" t="n"/>
      <c r="X236" s="350" t="n"/>
      <c r="Y236" s="350" t="n"/>
      <c r="Z236" s="350" t="n"/>
      <c r="AA236" s="350" t="n"/>
      <c r="AB236" s="350" t="n"/>
      <c r="AC236" s="350" t="n"/>
      <c r="AD236" s="350" t="n"/>
      <c r="AE236" s="350" t="n"/>
      <c r="AF236" s="350" t="n"/>
      <c r="AG236" s="30" t="n"/>
      <c r="AH236" s="30" t="n"/>
      <c r="AI236" s="30" t="n"/>
      <c r="AJ236" s="30" t="n"/>
      <c r="AK236" s="30" t="n"/>
    </row>
    <row r="237" ht="27.75" customHeight="1" thickBot="1">
      <c r="A237" s="1349" t="n"/>
      <c r="B237" s="1350" t="n"/>
      <c r="C237" s="1350" t="n"/>
      <c r="D237" s="1374" t="n"/>
      <c r="E237" s="456" t="inlineStr">
        <is>
          <t>Interference with operations/ Workload</t>
        </is>
      </c>
      <c r="F237" s="1384" t="n"/>
      <c r="G237" s="457" t="inlineStr">
        <is>
          <t>External Consultation</t>
        </is>
      </c>
      <c r="H237" s="1384" t="n"/>
      <c r="I237" s="457" t="inlineStr">
        <is>
          <t>Internal Consultation</t>
        </is>
      </c>
      <c r="J237" s="1384" t="n"/>
      <c r="K237" s="1431" t="inlineStr">
        <is>
          <t>Other</t>
        </is>
      </c>
      <c r="L237" s="1356" t="n"/>
      <c r="M237" s="350" t="n"/>
      <c r="N237" s="350" t="n"/>
      <c r="O237" s="350" t="n"/>
      <c r="P237" s="350" t="n"/>
      <c r="Q237" s="350" t="n"/>
      <c r="R237" s="350" t="n"/>
      <c r="S237" s="350" t="n"/>
      <c r="T237" s="350" t="n"/>
      <c r="U237" s="350" t="n"/>
      <c r="V237" s="350" t="n"/>
      <c r="W237" s="350" t="n"/>
      <c r="X237" s="350" t="n"/>
      <c r="Y237" s="350" t="n"/>
      <c r="Z237" s="350" t="n"/>
      <c r="AA237" s="350" t="n"/>
      <c r="AB237" s="350" t="n"/>
      <c r="AC237" s="350" t="n"/>
      <c r="AD237" s="350" t="n"/>
      <c r="AE237" s="350" t="n"/>
      <c r="AF237" s="350" t="n"/>
      <c r="AG237" s="30" t="n"/>
      <c r="AH237" s="30" t="n"/>
      <c r="AI237" s="30" t="n"/>
      <c r="AJ237" s="30" t="n"/>
      <c r="AK237" s="30" t="n"/>
    </row>
    <row r="238" ht="14.25" customHeight="1" thickBot="1" thickTop="1">
      <c r="A238" s="1432">
        <f>SUM(E238:L238)</f>
        <v/>
      </c>
      <c r="B238" s="1333" t="n"/>
      <c r="C238" s="1333" t="n"/>
      <c r="D238" s="1334" t="n"/>
      <c r="E238" s="493" t="n">
        <v>0</v>
      </c>
      <c r="F238" s="1401" t="n"/>
      <c r="G238" s="494" t="n">
        <v>0</v>
      </c>
      <c r="H238" s="1401" t="n"/>
      <c r="I238" s="494" t="n">
        <v>0</v>
      </c>
      <c r="J238" s="1401" t="n"/>
      <c r="K238" s="1433" t="n">
        <v>0</v>
      </c>
      <c r="L238" s="1400" t="n"/>
      <c r="M238" s="350" t="n"/>
      <c r="N238" s="350" t="n"/>
      <c r="O238" s="350" t="n"/>
      <c r="P238" s="350" t="n"/>
      <c r="Q238" s="350" t="n"/>
      <c r="R238" s="350" t="n"/>
      <c r="S238" s="350" t="n"/>
      <c r="T238" s="350" t="n"/>
      <c r="U238" s="350" t="n"/>
      <c r="V238" s="350" t="n"/>
      <c r="W238" s="350" t="n"/>
      <c r="X238" s="350" t="n"/>
      <c r="Y238" s="350" t="n"/>
      <c r="Z238" s="350" t="n"/>
      <c r="AA238" s="350" t="n"/>
      <c r="AB238" s="350" t="n"/>
      <c r="AC238" s="350" t="n"/>
      <c r="AD238" s="350" t="n"/>
      <c r="AE238" s="350" t="n"/>
      <c r="AF238" s="350" t="n"/>
      <c r="AG238" s="30" t="n"/>
      <c r="AH238" s="30" t="n"/>
      <c r="AI238" s="30" t="n"/>
      <c r="AJ238" s="30" t="n"/>
      <c r="AK238" s="30" t="n"/>
    </row>
    <row r="239" ht="15" customHeight="1" thickTop="1">
      <c r="A239" s="471" t="n"/>
      <c r="B239" s="471" t="n"/>
      <c r="C239" s="471" t="n"/>
      <c r="D239" s="471" t="n"/>
      <c r="E239" s="471" t="n"/>
      <c r="F239" s="471" t="n"/>
      <c r="H239" s="471" t="n"/>
      <c r="I239" s="471" t="n"/>
      <c r="J239" s="471" t="n"/>
      <c r="K239" s="471" t="n"/>
      <c r="L239" s="471" t="n"/>
      <c r="M239" s="350" t="n"/>
      <c r="N239" s="350" t="n"/>
      <c r="O239" s="350" t="n"/>
      <c r="P239" s="350" t="n"/>
      <c r="Q239" s="350" t="n"/>
      <c r="R239" s="350" t="n"/>
      <c r="S239" s="350" t="n"/>
      <c r="T239" s="350" t="n"/>
      <c r="U239" s="350" t="n"/>
      <c r="V239" s="350" t="n"/>
      <c r="W239" s="350" t="n"/>
      <c r="X239" s="350" t="n"/>
      <c r="Y239" s="350" t="n"/>
      <c r="Z239" s="350" t="n"/>
      <c r="AA239" s="350" t="n"/>
      <c r="AB239" s="350" t="n"/>
      <c r="AC239" s="350" t="n"/>
      <c r="AD239" s="350" t="n"/>
      <c r="AE239" s="350" t="n"/>
      <c r="AF239" s="350" t="n"/>
      <c r="AG239" s="30" t="n"/>
      <c r="AH239" s="30" t="n"/>
      <c r="AI239" s="30" t="n"/>
      <c r="AJ239" s="30" t="n"/>
      <c r="AK239" s="30" t="n"/>
    </row>
    <row r="240" ht="15" customHeight="1">
      <c r="A240" s="346" t="inlineStr">
        <is>
          <t>4.7.2 Requests closed beyond legislated timelines (including any extension taken)</t>
        </is>
      </c>
      <c r="M240" s="350" t="n"/>
      <c r="N240" s="350" t="n"/>
      <c r="O240" s="350" t="n"/>
      <c r="P240" s="350" t="n"/>
      <c r="Q240" s="350" t="n"/>
      <c r="R240" s="350" t="n"/>
      <c r="S240" s="350" t="n"/>
      <c r="T240" s="350" t="n"/>
      <c r="U240" s="350" t="n"/>
      <c r="V240" s="350" t="n"/>
      <c r="W240" s="350" t="n"/>
      <c r="X240" s="350" t="n"/>
      <c r="Y240" s="350" t="n"/>
      <c r="Z240" s="350" t="n"/>
      <c r="AA240" s="350" t="n"/>
      <c r="AB240" s="350" t="n"/>
      <c r="AC240" s="350" t="n"/>
      <c r="AD240" s="350" t="n"/>
      <c r="AE240" s="350" t="n"/>
      <c r="AF240" s="350" t="n"/>
      <c r="AG240" s="30" t="n"/>
      <c r="AH240" s="30" t="n"/>
      <c r="AI240" s="30" t="n"/>
      <c r="AJ240" s="30" t="n"/>
      <c r="AK240" s="30" t="n"/>
    </row>
    <row r="241" ht="14.25" customHeight="1" thickBot="1">
      <c r="M241" s="350" t="n"/>
      <c r="N241" s="350" t="n"/>
      <c r="O241" s="350" t="n"/>
      <c r="P241" s="350" t="n"/>
      <c r="Q241" s="350" t="n"/>
      <c r="R241" s="350" t="n"/>
      <c r="S241" s="350" t="n"/>
      <c r="T241" s="350" t="n"/>
      <c r="U241" s="350" t="n"/>
      <c r="V241" s="350" t="n"/>
      <c r="W241" s="350" t="n"/>
      <c r="X241" s="350" t="n"/>
      <c r="Y241" s="350" t="n"/>
      <c r="Z241" s="350" t="n"/>
      <c r="AA241" s="350" t="n"/>
      <c r="AB241" s="350" t="n"/>
      <c r="AC241" s="350" t="n"/>
      <c r="AD241" s="350" t="n"/>
      <c r="AE241" s="350" t="n"/>
      <c r="AF241" s="350" t="n"/>
      <c r="AG241" s="30" t="n"/>
      <c r="AH241" s="30" t="n"/>
      <c r="AI241" s="30" t="n"/>
      <c r="AJ241" s="30" t="n"/>
      <c r="AK241" s="30" t="n"/>
    </row>
    <row r="242" ht="41.25" customHeight="1" thickBot="1" thickTop="1">
      <c r="A242" s="1422" t="inlineStr">
        <is>
          <t>Number of days past legislated timelines</t>
        </is>
      </c>
      <c r="B242" s="1333" t="n"/>
      <c r="C242" s="1334" t="n"/>
      <c r="D242" s="467" t="inlineStr">
        <is>
          <t>Number of requests past legislated timeline where no extension was taken</t>
        </is>
      </c>
      <c r="E242" s="1333" t="n"/>
      <c r="F242" s="1386" t="n"/>
      <c r="G242" s="1141" t="inlineStr">
        <is>
          <t>Number of requests past legislated timeline where an extension was taken</t>
        </is>
      </c>
      <c r="H242" s="1333" t="n"/>
      <c r="I242" s="1334" t="n"/>
      <c r="J242" s="1422" t="inlineStr">
        <is>
          <t>Total</t>
        </is>
      </c>
      <c r="K242" s="1333" t="n"/>
      <c r="L242" s="1334" t="n"/>
      <c r="M242" s="350" t="n"/>
      <c r="N242" s="350" t="n"/>
      <c r="O242" s="350" t="n"/>
      <c r="P242" s="350" t="n"/>
      <c r="Q242" s="350" t="n"/>
      <c r="R242" s="350" t="n"/>
      <c r="S242" s="350" t="n"/>
      <c r="T242" s="350" t="n"/>
      <c r="U242" s="350" t="n"/>
      <c r="V242" s="350" t="n"/>
      <c r="W242" s="350" t="n"/>
      <c r="X242" s="350" t="n"/>
      <c r="Y242" s="350" t="n"/>
      <c r="Z242" s="350" t="n"/>
      <c r="AA242" s="350" t="n"/>
      <c r="AB242" s="350" t="n"/>
      <c r="AC242" s="350" t="n"/>
      <c r="AD242" s="350" t="n"/>
      <c r="AE242" s="350" t="n"/>
      <c r="AF242" s="350" t="n"/>
      <c r="AG242" s="30" t="n"/>
      <c r="AH242" s="30" t="n"/>
      <c r="AI242" s="30" t="n"/>
      <c r="AJ242" s="30" t="n"/>
      <c r="AK242" s="30" t="n"/>
    </row>
    <row r="243" ht="14.25" customHeight="1" thickTop="1">
      <c r="A243" s="1434" t="inlineStr">
        <is>
          <t>1 to 15 days</t>
        </is>
      </c>
      <c r="B243" s="1336" t="n"/>
      <c r="C243" s="1337" t="n"/>
      <c r="D243" s="483" t="n">
        <v>0</v>
      </c>
      <c r="E243" s="1330" t="n"/>
      <c r="F243" s="1421" t="n"/>
      <c r="G243" s="1255" t="n">
        <v>0</v>
      </c>
      <c r="H243" s="1339" t="n"/>
      <c r="I243" s="1340" t="n"/>
      <c r="J243" s="271">
        <f>SUM(D243:I243)</f>
        <v/>
      </c>
      <c r="K243" s="1336" t="n"/>
      <c r="L243" s="1337" t="n"/>
      <c r="M243" s="350" t="n"/>
      <c r="N243" s="350" t="n"/>
      <c r="O243" s="350" t="n"/>
      <c r="P243" s="350" t="n"/>
      <c r="Q243" s="350" t="n"/>
      <c r="R243" s="350" t="n"/>
      <c r="S243" s="350" t="n"/>
      <c r="T243" s="350" t="n"/>
      <c r="U243" s="350" t="n"/>
      <c r="V243" s="350" t="n"/>
      <c r="W243" s="350" t="n"/>
      <c r="X243" s="350" t="n"/>
      <c r="Y243" s="350" t="n"/>
      <c r="Z243" s="350" t="n"/>
      <c r="AA243" s="350" t="n"/>
      <c r="AB243" s="350" t="n"/>
      <c r="AC243" s="350" t="n"/>
      <c r="AD243" s="350" t="n"/>
      <c r="AE243" s="350" t="n"/>
      <c r="AF243" s="350" t="n"/>
      <c r="AG243" s="30" t="n"/>
      <c r="AH243" s="30" t="n"/>
      <c r="AI243" s="30" t="n"/>
      <c r="AJ243" s="30" t="n"/>
      <c r="AK243" s="30" t="n"/>
    </row>
    <row r="244" ht="15" customFormat="1" customHeight="1" s="49">
      <c r="A244" s="1435" t="inlineStr">
        <is>
          <t>16 to 30 days</t>
        </is>
      </c>
      <c r="B244" s="1342" t="n"/>
      <c r="C244" s="1343" t="n"/>
      <c r="D244" s="476" t="n">
        <v>0</v>
      </c>
      <c r="E244" s="1362" t="n"/>
      <c r="F244" s="1418" t="n"/>
      <c r="G244" s="1246" t="n">
        <v>0</v>
      </c>
      <c r="H244" s="1362" t="n"/>
      <c r="I244" s="1368" t="n"/>
      <c r="J244" s="267">
        <f>SUM(D244:I244)</f>
        <v/>
      </c>
      <c r="K244" s="1342" t="n"/>
      <c r="L244" s="1343" t="n"/>
      <c r="M244" s="191" t="n"/>
      <c r="N244" s="191" t="n"/>
      <c r="O244" s="191" t="n"/>
      <c r="P244" s="191" t="n"/>
      <c r="Q244" s="191" t="n"/>
      <c r="R244" s="191" t="n"/>
      <c r="S244" s="191" t="n"/>
      <c r="T244" s="191" t="n"/>
      <c r="U244" s="191" t="n"/>
      <c r="V244" s="191" t="n"/>
      <c r="W244" s="191" t="n"/>
      <c r="X244" s="350" t="n"/>
      <c r="Y244" s="350" t="n"/>
      <c r="Z244" s="350" t="n"/>
      <c r="AA244" s="350" t="n"/>
      <c r="AB244" s="350" t="n"/>
      <c r="AC244" s="350" t="n"/>
      <c r="AD244" s="350" t="n"/>
      <c r="AE244" s="350" t="n"/>
      <c r="AF244" s="350" t="n"/>
      <c r="AG244" s="30" t="n"/>
      <c r="AH244" s="30" t="n"/>
      <c r="AI244" s="30" t="n"/>
      <c r="AJ244" s="30" t="n"/>
      <c r="AK244" s="30" t="n"/>
      <c r="AL244" s="25" t="n"/>
      <c r="AM244" s="25" t="n"/>
      <c r="AN244" s="25" t="n"/>
      <c r="AO244" s="25" t="n"/>
      <c r="AP244" s="25" t="n"/>
      <c r="AQ244" s="25" t="n"/>
      <c r="AR244" s="25" t="n"/>
      <c r="AS244" s="25" t="n"/>
      <c r="AT244" s="25" t="n"/>
    </row>
    <row r="245" ht="12.75" customHeight="1">
      <c r="A245" s="1435" t="inlineStr">
        <is>
          <t>31 to 60 days</t>
        </is>
      </c>
      <c r="B245" s="1342" t="n"/>
      <c r="C245" s="1343" t="n"/>
      <c r="D245" s="476" t="n">
        <v>0</v>
      </c>
      <c r="E245" s="1362" t="n"/>
      <c r="F245" s="1418" t="n"/>
      <c r="G245" s="1246" t="n">
        <v>0</v>
      </c>
      <c r="H245" s="1362" t="n"/>
      <c r="I245" s="1368" t="n"/>
      <c r="J245" s="267">
        <f>SUM(D245:I245)</f>
        <v/>
      </c>
      <c r="K245" s="1342" t="n"/>
      <c r="L245" s="1343" t="n"/>
      <c r="M245" s="350" t="n"/>
      <c r="N245" s="350" t="n"/>
      <c r="O245" s="350" t="n"/>
      <c r="P245" s="350" t="n"/>
      <c r="Q245" s="350" t="n"/>
      <c r="R245" s="350" t="n"/>
      <c r="S245" s="350" t="n"/>
      <c r="T245" s="350" t="n"/>
      <c r="U245" s="350" t="n"/>
      <c r="V245" s="350" t="n"/>
      <c r="W245" s="350" t="n"/>
      <c r="X245" s="350" t="n"/>
      <c r="Y245" s="350" t="n"/>
      <c r="Z245" s="350" t="n"/>
      <c r="AA245" s="350" t="n"/>
      <c r="AB245" s="350" t="n"/>
      <c r="AC245" s="350" t="n"/>
      <c r="AD245" s="350" t="n"/>
      <c r="AE245" s="350" t="n"/>
      <c r="AF245" s="350" t="n"/>
      <c r="AG245" s="30" t="n"/>
      <c r="AH245" s="30" t="n"/>
      <c r="AI245" s="30" t="n"/>
      <c r="AJ245" s="30" t="n"/>
      <c r="AK245" s="30" t="n"/>
    </row>
    <row r="246" ht="14.25" customHeight="1">
      <c r="A246" s="1435" t="inlineStr">
        <is>
          <t>61 to 120 days</t>
        </is>
      </c>
      <c r="B246" s="1342" t="n"/>
      <c r="C246" s="1343" t="n"/>
      <c r="D246" s="476" t="n">
        <v>0</v>
      </c>
      <c r="E246" s="1362" t="n"/>
      <c r="F246" s="1418" t="n"/>
      <c r="G246" s="1246" t="n">
        <v>0</v>
      </c>
      <c r="H246" s="1362" t="n"/>
      <c r="I246" s="1368" t="n"/>
      <c r="J246" s="267">
        <f>SUM(D246:I246)</f>
        <v/>
      </c>
      <c r="K246" s="1342" t="n"/>
      <c r="L246" s="1343" t="n"/>
      <c r="M246" s="350" t="n"/>
      <c r="N246" s="350" t="n"/>
      <c r="O246" s="350" t="n"/>
      <c r="P246" s="350" t="n"/>
      <c r="Q246" s="350" t="n"/>
      <c r="R246" s="350" t="n"/>
      <c r="S246" s="350" t="n"/>
      <c r="T246" s="350" t="n"/>
      <c r="U246" s="350" t="n"/>
      <c r="V246" s="350" t="n"/>
      <c r="W246" s="350" t="n"/>
      <c r="X246" s="350" t="n"/>
      <c r="Y246" s="350" t="n"/>
      <c r="Z246" s="350" t="n"/>
      <c r="AA246" s="350" t="n"/>
      <c r="AB246" s="350" t="n"/>
      <c r="AC246" s="350" t="n"/>
      <c r="AD246" s="350" t="n"/>
      <c r="AE246" s="350" t="n"/>
      <c r="AF246" s="350" t="n"/>
      <c r="AG246" s="30" t="n"/>
      <c r="AH246" s="30" t="n"/>
      <c r="AI246" s="30" t="n"/>
      <c r="AJ246" s="30" t="n"/>
      <c r="AK246" s="30" t="n"/>
    </row>
    <row r="247" ht="14.25" customHeight="1">
      <c r="A247" s="1435" t="inlineStr">
        <is>
          <t>121  to 180 days</t>
        </is>
      </c>
      <c r="B247" s="1342" t="n"/>
      <c r="C247" s="1343" t="n"/>
      <c r="D247" s="476" t="n">
        <v>0</v>
      </c>
      <c r="E247" s="1362" t="n"/>
      <c r="F247" s="1418" t="n"/>
      <c r="G247" s="1246" t="n">
        <v>0</v>
      </c>
      <c r="H247" s="1362" t="n"/>
      <c r="I247" s="1368" t="n"/>
      <c r="J247" s="267">
        <f>SUM(D247:I247)</f>
        <v/>
      </c>
      <c r="K247" s="1342" t="n"/>
      <c r="L247" s="1343" t="n"/>
      <c r="M247" s="350" t="n"/>
      <c r="N247" s="350" t="n"/>
      <c r="O247" s="350" t="n"/>
      <c r="P247" s="350" t="n"/>
      <c r="Q247" s="350" t="n"/>
      <c r="R247" s="350" t="n"/>
      <c r="S247" s="350" t="n"/>
      <c r="T247" s="350" t="n"/>
      <c r="U247" s="350" t="n"/>
      <c r="V247" s="350" t="n"/>
      <c r="W247" s="350" t="n"/>
      <c r="X247" s="350" t="n"/>
      <c r="Y247" s="350" t="n"/>
      <c r="Z247" s="350" t="n"/>
      <c r="AA247" s="350" t="n"/>
      <c r="AB247" s="350" t="n"/>
      <c r="AC247" s="350" t="n"/>
      <c r="AD247" s="350" t="n"/>
      <c r="AE247" s="350" t="n"/>
      <c r="AF247" s="350" t="n"/>
      <c r="AG247" s="30" t="n"/>
      <c r="AH247" s="30" t="n"/>
      <c r="AI247" s="30" t="n"/>
      <c r="AJ247" s="30" t="n"/>
      <c r="AK247" s="30" t="n"/>
    </row>
    <row r="248">
      <c r="A248" s="1435" t="inlineStr">
        <is>
          <t>181 to 365 days</t>
        </is>
      </c>
      <c r="B248" s="1342" t="n"/>
      <c r="C248" s="1343" t="n"/>
      <c r="D248" s="476" t="n">
        <v>0</v>
      </c>
      <c r="E248" s="1362" t="n"/>
      <c r="F248" s="1418" t="n"/>
      <c r="G248" s="1246" t="n">
        <v>0</v>
      </c>
      <c r="H248" s="1362" t="n"/>
      <c r="I248" s="1368" t="n"/>
      <c r="J248" s="267">
        <f>SUM(D248:I248)</f>
        <v/>
      </c>
      <c r="K248" s="1342" t="n"/>
      <c r="L248" s="1343" t="n"/>
      <c r="M248" s="350" t="n"/>
      <c r="N248" s="350" t="n"/>
      <c r="O248" s="350" t="n"/>
      <c r="P248" s="350" t="n"/>
      <c r="Q248" s="350" t="n"/>
      <c r="R248" s="350" t="n"/>
      <c r="S248" s="350" t="n"/>
      <c r="T248" s="350" t="n"/>
      <c r="U248" s="350" t="n"/>
      <c r="V248" s="350" t="n"/>
      <c r="W248" s="350" t="n"/>
      <c r="X248" s="350" t="n"/>
      <c r="Y248" s="350" t="n"/>
      <c r="Z248" s="350" t="n"/>
      <c r="AA248" s="350" t="n"/>
      <c r="AB248" s="350" t="n"/>
      <c r="AC248" s="350" t="n"/>
      <c r="AD248" s="350" t="n"/>
      <c r="AE248" s="350" t="n"/>
      <c r="AF248" s="350" t="n"/>
      <c r="AG248" s="30" t="n"/>
      <c r="AH248" s="30" t="n"/>
      <c r="AI248" s="30" t="n"/>
      <c r="AJ248" s="30" t="n"/>
      <c r="AK248" s="30" t="n"/>
    </row>
    <row r="249" ht="15" customHeight="1" thickBot="1">
      <c r="A249" s="1436" t="inlineStr">
        <is>
          <t>More than 365 days</t>
        </is>
      </c>
      <c r="B249" s="1348" t="n"/>
      <c r="C249" s="1356" t="n"/>
      <c r="D249" s="547" t="n">
        <v>0</v>
      </c>
      <c r="E249" s="1363" t="n"/>
      <c r="F249" s="1419" t="n"/>
      <c r="G249" s="1242" t="n">
        <v>0</v>
      </c>
      <c r="H249" s="1363" t="n"/>
      <c r="I249" s="1379" t="n"/>
      <c r="J249" s="268">
        <f>SUM(D249:I249)</f>
        <v/>
      </c>
      <c r="K249" s="1348" t="n"/>
      <c r="L249" s="1356" t="n"/>
      <c r="M249" s="350" t="n"/>
      <c r="N249" s="350" t="n"/>
      <c r="O249" s="350" t="n"/>
      <c r="P249" s="350" t="n"/>
      <c r="Q249" s="350" t="n"/>
      <c r="R249" s="350" t="n"/>
      <c r="S249" s="350" t="n"/>
      <c r="T249" s="350" t="n"/>
      <c r="U249" s="350" t="n"/>
      <c r="V249" s="350" t="n"/>
      <c r="W249" s="350" t="n"/>
      <c r="X249" s="350" t="n"/>
      <c r="Y249" s="350" t="n"/>
      <c r="Z249" s="350" t="n"/>
      <c r="AA249" s="350" t="n"/>
      <c r="AB249" s="350" t="n"/>
      <c r="AC249" s="350" t="n"/>
      <c r="AD249" s="350" t="n"/>
      <c r="AE249" s="350" t="n"/>
      <c r="AF249" s="350" t="n"/>
      <c r="AG249" s="30" t="n"/>
      <c r="AH249" s="30" t="n"/>
      <c r="AI249" s="30" t="n"/>
      <c r="AJ249" s="30" t="n"/>
      <c r="AK249" s="30" t="n"/>
    </row>
    <row r="250" ht="15.75" customHeight="1" thickBot="1" thickTop="1">
      <c r="A250" s="1427" t="inlineStr">
        <is>
          <t>Total</t>
        </is>
      </c>
      <c r="B250" s="1333" t="n"/>
      <c r="C250" s="1334" t="n"/>
      <c r="D250" s="545">
        <f>SUM(D243:F249)</f>
        <v/>
      </c>
      <c r="E250" s="1350" t="n"/>
      <c r="F250" s="1396" t="n"/>
      <c r="G250" s="1066">
        <f>SUM(G243:I249)</f>
        <v/>
      </c>
      <c r="H250" s="1333" t="n"/>
      <c r="I250" s="1334" t="n"/>
      <c r="J250" s="299">
        <f>SUM(D250:I250)</f>
        <v/>
      </c>
      <c r="K250" s="1333" t="n"/>
      <c r="L250" s="1334" t="n"/>
      <c r="M250" s="342">
        <f>IF(J250&lt;&gt;A238,"Section 4.7.2 - Total should equal ""Number of requests closed past the legislatived timelines"" of Section 4.7.1","")</f>
        <v/>
      </c>
      <c r="AA250" s="350" t="n"/>
      <c r="AB250" s="350" t="n"/>
      <c r="AC250" s="350" t="n"/>
      <c r="AD250" s="350" t="n"/>
      <c r="AE250" s="350" t="n"/>
      <c r="AF250" s="350" t="n"/>
      <c r="AG250" s="30" t="n"/>
      <c r="AH250" s="30" t="n"/>
      <c r="AI250" s="30" t="n"/>
      <c r="AJ250" s="30" t="n"/>
      <c r="AK250" s="30" t="n"/>
    </row>
    <row r="251" ht="14.25" customHeight="1" thickTop="1">
      <c r="A251" s="56" t="n"/>
      <c r="B251" s="52" t="n"/>
      <c r="C251" s="52" t="n"/>
      <c r="D251" s="75" t="n"/>
      <c r="E251" s="75" t="n"/>
      <c r="F251" s="75" t="n"/>
      <c r="G251" s="75" t="n"/>
      <c r="H251" s="75" t="n"/>
      <c r="I251" s="75" t="n"/>
      <c r="J251" s="75" t="n"/>
      <c r="K251" s="75" t="n"/>
      <c r="L251" s="75" t="n"/>
      <c r="M251" s="350" t="n"/>
      <c r="N251" s="350" t="n"/>
      <c r="O251" s="350" t="n"/>
      <c r="P251" s="350" t="n"/>
      <c r="Q251" s="350" t="n"/>
      <c r="R251" s="350" t="n"/>
      <c r="S251" s="350" t="n"/>
      <c r="T251" s="350" t="n"/>
      <c r="U251" s="350" t="n"/>
      <c r="V251" s="350" t="n"/>
      <c r="W251" s="350" t="n"/>
      <c r="X251" s="350" t="n"/>
      <c r="Y251" s="350" t="n"/>
      <c r="Z251" s="350" t="n"/>
      <c r="AA251" s="350" t="n"/>
      <c r="AB251" s="350" t="n"/>
      <c r="AC251" s="350" t="n"/>
      <c r="AD251" s="350" t="n"/>
      <c r="AE251" s="350" t="n"/>
      <c r="AF251" s="350" t="n"/>
      <c r="AG251" s="30" t="n"/>
      <c r="AH251" s="30" t="n"/>
      <c r="AI251" s="30" t="n"/>
      <c r="AJ251" s="30" t="n"/>
      <c r="AK251" s="30" t="n"/>
    </row>
    <row r="252" ht="14.25" customHeight="1">
      <c r="A252" s="347" t="inlineStr">
        <is>
          <t>4.8  Requests for translation</t>
        </is>
      </c>
      <c r="M252" s="350" t="n"/>
      <c r="N252" s="350" t="n"/>
      <c r="O252" s="350" t="n"/>
      <c r="P252" s="350" t="n"/>
      <c r="Q252" s="350" t="n"/>
      <c r="R252" s="350" t="n"/>
      <c r="S252" s="350" t="n"/>
      <c r="T252" s="350" t="n"/>
      <c r="U252" s="350" t="n"/>
      <c r="V252" s="350" t="n"/>
      <c r="W252" s="350" t="n"/>
      <c r="X252" s="350" t="n"/>
      <c r="Y252" s="350" t="n"/>
      <c r="Z252" s="350" t="n"/>
      <c r="AA252" s="350" t="n"/>
      <c r="AB252" s="350" t="n"/>
      <c r="AC252" s="350" t="n"/>
      <c r="AD252" s="350" t="n"/>
      <c r="AE252" s="350" t="n"/>
      <c r="AF252" s="350" t="n"/>
      <c r="AG252" s="30" t="n"/>
      <c r="AH252" s="30" t="n"/>
      <c r="AI252" s="30" t="n"/>
      <c r="AJ252" s="30" t="n"/>
      <c r="AK252" s="30" t="n"/>
    </row>
    <row r="253" ht="14.25" customHeight="1" thickBot="1">
      <c r="M253" s="350" t="n"/>
      <c r="N253" s="350" t="n"/>
      <c r="O253" s="350" t="n"/>
      <c r="P253" s="350" t="n"/>
      <c r="Q253" s="350" t="n"/>
      <c r="R253" s="350" t="n"/>
      <c r="S253" s="350" t="n"/>
      <c r="T253" s="350" t="n"/>
      <c r="U253" s="350" t="n"/>
      <c r="V253" s="350" t="n"/>
      <c r="W253" s="350" t="n"/>
      <c r="X253" s="350" t="n"/>
      <c r="Y253" s="350" t="n"/>
      <c r="Z253" s="350" t="n"/>
      <c r="AA253" s="350" t="n"/>
      <c r="AB253" s="350" t="n"/>
      <c r="AC253" s="350" t="n"/>
      <c r="AD253" s="350" t="n"/>
      <c r="AE253" s="350" t="n"/>
      <c r="AF253" s="350" t="n"/>
      <c r="AG253" s="30" t="n"/>
      <c r="AH253" s="30" t="n"/>
      <c r="AI253" s="30" t="n"/>
      <c r="AJ253" s="30" t="n"/>
      <c r="AK253" s="30" t="n"/>
    </row>
    <row r="254" ht="14.25" customHeight="1" thickBot="1" thickTop="1">
      <c r="A254" s="845" t="inlineStr">
        <is>
          <t>Translation Requests</t>
        </is>
      </c>
      <c r="B254" s="1333" t="n"/>
      <c r="C254" s="1386" t="n"/>
      <c r="D254" s="845" t="inlineStr">
        <is>
          <t>Accepted</t>
        </is>
      </c>
      <c r="E254" s="1333" t="n"/>
      <c r="F254" s="1386" t="n"/>
      <c r="G254" s="418" t="inlineStr">
        <is>
          <t>Refused</t>
        </is>
      </c>
      <c r="H254" s="1333" t="n"/>
      <c r="I254" s="1386" t="n"/>
      <c r="J254" s="845" t="inlineStr">
        <is>
          <t>Total</t>
        </is>
      </c>
      <c r="K254" s="1333" t="n"/>
      <c r="L254" s="1386" t="n"/>
      <c r="M254" s="350" t="n"/>
      <c r="N254" s="350" t="n"/>
      <c r="O254" s="350" t="n"/>
      <c r="P254" s="350" t="n"/>
      <c r="Q254" s="350" t="n"/>
      <c r="R254" s="350" t="n"/>
      <c r="S254" s="350" t="n"/>
      <c r="T254" s="350" t="n"/>
      <c r="U254" s="350" t="n"/>
      <c r="V254" s="350" t="n"/>
      <c r="W254" s="350" t="n"/>
      <c r="X254" s="350" t="n"/>
      <c r="Y254" s="350" t="n"/>
      <c r="Z254" s="350" t="n"/>
      <c r="AA254" s="350" t="n"/>
      <c r="AB254" s="350" t="n"/>
      <c r="AC254" s="350" t="n"/>
      <c r="AD254" s="350" t="n"/>
      <c r="AE254" s="350" t="n"/>
      <c r="AF254" s="350" t="n"/>
      <c r="AG254" s="30" t="n"/>
      <c r="AH254" s="30" t="n"/>
      <c r="AI254" s="30" t="n"/>
      <c r="AJ254" s="30" t="n"/>
      <c r="AK254" s="30" t="n"/>
    </row>
    <row r="255" ht="15" customHeight="1" thickTop="1">
      <c r="A255" s="829" t="inlineStr">
        <is>
          <t xml:space="preserve">English to French </t>
        </is>
      </c>
      <c r="B255" s="1331" t="n"/>
      <c r="C255" s="1395" t="n"/>
      <c r="D255" s="483" t="n">
        <v>0</v>
      </c>
      <c r="E255" s="1330" t="n"/>
      <c r="F255" s="1421" t="n"/>
      <c r="G255" s="484" t="n">
        <v>0</v>
      </c>
      <c r="H255" s="1330" t="n"/>
      <c r="I255" s="1421" t="n"/>
      <c r="J255" s="842">
        <f>SUM(D255:I255)</f>
        <v/>
      </c>
      <c r="K255" s="1331" t="n"/>
      <c r="L255" s="1395" t="n"/>
      <c r="M255" s="350" t="n"/>
      <c r="N255" s="350" t="n"/>
      <c r="O255" s="350" t="n"/>
      <c r="P255" s="350" t="n"/>
      <c r="Q255" s="350" t="n"/>
      <c r="R255" s="350" t="n"/>
      <c r="S255" s="350" t="n"/>
      <c r="T255" s="350" t="n"/>
      <c r="U255" s="350" t="n"/>
      <c r="V255" s="350" t="n"/>
      <c r="W255" s="350" t="n"/>
      <c r="X255" s="350" t="n"/>
      <c r="Y255" s="350" t="n"/>
      <c r="Z255" s="350" t="n"/>
      <c r="AA255" s="350" t="n"/>
      <c r="AB255" s="350" t="n"/>
      <c r="AC255" s="350" t="n"/>
      <c r="AD255" s="350" t="n"/>
      <c r="AE255" s="350" t="n"/>
      <c r="AF255" s="350" t="n"/>
      <c r="AG255" s="30" t="n"/>
      <c r="AH255" s="30" t="n"/>
      <c r="AI255" s="30" t="n"/>
      <c r="AJ255" s="30" t="n"/>
      <c r="AK255" s="30" t="n"/>
    </row>
    <row r="256" ht="15" customHeight="1" thickBot="1">
      <c r="A256" s="832" t="inlineStr">
        <is>
          <t xml:space="preserve">French to English </t>
        </is>
      </c>
      <c r="B256" s="1348" t="n"/>
      <c r="C256" s="1384" t="n"/>
      <c r="D256" s="547" t="n">
        <v>0</v>
      </c>
      <c r="E256" s="1363" t="n"/>
      <c r="F256" s="1419" t="n"/>
      <c r="G256" s="548" t="n">
        <v>0</v>
      </c>
      <c r="H256" s="1363" t="n"/>
      <c r="I256" s="1419" t="n"/>
      <c r="J256" s="836">
        <f>SUM(D256:I256)</f>
        <v/>
      </c>
      <c r="K256" s="1348" t="n"/>
      <c r="L256" s="1384" t="n"/>
      <c r="M256" s="350" t="n"/>
      <c r="N256" s="350" t="n"/>
      <c r="O256" s="350" t="n"/>
      <c r="P256" s="350" t="n"/>
      <c r="Q256" s="350" t="n"/>
      <c r="R256" s="350" t="n"/>
      <c r="S256" s="350" t="n"/>
      <c r="T256" s="350" t="n"/>
      <c r="U256" s="350" t="n"/>
      <c r="V256" s="350" t="n"/>
      <c r="W256" s="350" t="n"/>
      <c r="X256" s="350" t="n"/>
      <c r="Y256" s="350" t="n"/>
      <c r="Z256" s="350" t="n"/>
      <c r="AA256" s="350" t="n"/>
      <c r="AB256" s="350" t="n"/>
      <c r="AC256" s="350" t="n"/>
      <c r="AD256" s="350" t="n"/>
      <c r="AE256" s="350" t="n"/>
      <c r="AF256" s="350" t="n"/>
      <c r="AG256" s="30" t="n"/>
      <c r="AH256" s="30" t="n"/>
      <c r="AI256" s="30" t="n"/>
      <c r="AJ256" s="30" t="n"/>
      <c r="AK256" s="30" t="n"/>
    </row>
    <row r="257" ht="15.75" customHeight="1" thickBot="1" thickTop="1">
      <c r="A257" s="839" t="inlineStr">
        <is>
          <t>Total</t>
        </is>
      </c>
      <c r="B257" s="1350" t="n"/>
      <c r="C257" s="1396" t="n"/>
      <c r="D257" s="545">
        <f>SUM(D255:F256)</f>
        <v/>
      </c>
      <c r="E257" s="1350" t="n"/>
      <c r="F257" s="1396" t="n"/>
      <c r="G257" s="546">
        <f>SUM(G255:I256)</f>
        <v/>
      </c>
      <c r="H257" s="1350" t="n"/>
      <c r="I257" s="1396" t="n"/>
      <c r="J257" s="545">
        <f>SUM(D257:I257)</f>
        <v/>
      </c>
      <c r="K257" s="1350" t="n"/>
      <c r="L257" s="1396" t="n"/>
      <c r="M257" s="350" t="n"/>
      <c r="N257" s="350" t="n"/>
      <c r="O257" s="350" t="n"/>
      <c r="P257" s="350" t="n"/>
      <c r="Q257" s="350" t="n"/>
      <c r="R257" s="350" t="n"/>
      <c r="S257" s="350" t="n"/>
      <c r="T257" s="350" t="n"/>
      <c r="U257" s="350" t="n"/>
      <c r="V257" s="350" t="n"/>
      <c r="W257" s="350" t="n"/>
      <c r="X257" s="191" t="n"/>
      <c r="Y257" s="191" t="n"/>
      <c r="Z257" s="191" t="n"/>
      <c r="AA257" s="191" t="n"/>
      <c r="AB257" s="191" t="n"/>
      <c r="AC257" s="191" t="n"/>
      <c r="AD257" s="191" t="n"/>
      <c r="AE257" s="191" t="n"/>
      <c r="AF257" s="191" t="n"/>
      <c r="AG257" s="72" t="n"/>
      <c r="AH257" s="72" t="n"/>
      <c r="AI257" s="72" t="n"/>
      <c r="AJ257" s="72" t="n"/>
      <c r="AK257" s="72" t="n"/>
      <c r="AL257" s="49" t="n"/>
      <c r="AM257" s="49" t="n"/>
      <c r="AN257" s="49" t="n"/>
      <c r="AO257" s="49" t="n"/>
      <c r="AP257" s="49" t="n"/>
      <c r="AQ257" s="49" t="n"/>
      <c r="AR257" s="49" t="n"/>
      <c r="AS257" s="49" t="n"/>
      <c r="AT257" s="49" t="n"/>
    </row>
    <row r="258" ht="14.25" customHeight="1" thickTop="1">
      <c r="M258" s="350" t="n"/>
      <c r="N258" s="350" t="n"/>
      <c r="O258" s="350" t="n"/>
      <c r="P258" s="350" t="n"/>
      <c r="Q258" s="350" t="n"/>
      <c r="R258" s="350" t="n"/>
      <c r="S258" s="350" t="n"/>
      <c r="T258" s="350" t="n"/>
      <c r="U258" s="350" t="n"/>
      <c r="V258" s="350" t="n"/>
      <c r="W258" s="350" t="n"/>
      <c r="X258" s="350" t="n"/>
      <c r="Y258" s="350" t="n"/>
      <c r="Z258" s="350" t="n"/>
      <c r="AA258" s="350" t="n"/>
      <c r="AB258" s="350" t="n"/>
      <c r="AC258" s="350" t="n"/>
      <c r="AD258" s="350" t="n"/>
      <c r="AE258" s="350" t="n"/>
      <c r="AF258" s="350" t="n"/>
      <c r="AG258" s="30" t="n"/>
      <c r="AH258" s="30" t="n"/>
      <c r="AI258" s="30" t="n"/>
      <c r="AJ258" s="30" t="n"/>
      <c r="AK258" s="30" t="n"/>
    </row>
    <row r="259" ht="14.25" customHeight="1">
      <c r="A259" s="835" t="inlineStr">
        <is>
          <t>Section 5: Extensions</t>
        </is>
      </c>
      <c r="M259" s="350" t="n"/>
      <c r="N259" s="350" t="n"/>
      <c r="O259" s="350" t="n"/>
      <c r="P259" s="350" t="n"/>
      <c r="Q259" s="350" t="n"/>
      <c r="R259" s="350" t="n"/>
      <c r="S259" s="350" t="n"/>
      <c r="T259" s="350" t="n"/>
      <c r="U259" s="350" t="n"/>
      <c r="V259" s="350" t="n"/>
      <c r="W259" s="350" t="n"/>
      <c r="X259" s="350" t="n"/>
      <c r="Y259" s="350" t="n"/>
      <c r="Z259" s="350" t="n"/>
      <c r="AA259" s="350" t="n"/>
      <c r="AB259" s="350" t="n"/>
      <c r="AC259" s="350" t="n"/>
      <c r="AD259" s="350" t="n"/>
      <c r="AE259" s="350" t="n"/>
      <c r="AF259" s="350" t="n"/>
      <c r="AG259" s="30" t="n"/>
      <c r="AH259" s="30" t="n"/>
      <c r="AI259" s="30" t="n"/>
      <c r="AJ259" s="30" t="n"/>
      <c r="AK259" s="30" t="n"/>
    </row>
    <row r="260">
      <c r="M260" s="350" t="n"/>
      <c r="N260" s="350" t="n"/>
      <c r="O260" s="350" t="n"/>
      <c r="P260" s="350" t="n"/>
      <c r="Q260" s="350" t="n"/>
      <c r="R260" s="350" t="n"/>
      <c r="S260" s="350" t="n"/>
      <c r="T260" s="350" t="n"/>
      <c r="U260" s="350" t="n"/>
      <c r="V260" s="350" t="n"/>
      <c r="W260" s="350" t="n"/>
      <c r="X260" s="350" t="n"/>
      <c r="Y260" s="350" t="n"/>
      <c r="Z260" s="350" t="n"/>
      <c r="AA260" s="350" t="n"/>
      <c r="AB260" s="350" t="n"/>
      <c r="AC260" s="350" t="n"/>
      <c r="AD260" s="350" t="n"/>
      <c r="AE260" s="350" t="n"/>
      <c r="AF260" s="350" t="n"/>
      <c r="AG260" s="30" t="n"/>
      <c r="AH260" s="30" t="n"/>
      <c r="AI260" s="30" t="n"/>
      <c r="AJ260" s="30" t="n"/>
      <c r="AK260" s="30" t="n"/>
    </row>
    <row r="261" ht="15" customHeight="1">
      <c r="A261" s="349" t="inlineStr">
        <is>
          <t>5.1  Reasons for extensions and disposition of requests</t>
        </is>
      </c>
      <c r="M261" s="350" t="n"/>
      <c r="N261" s="350" t="n"/>
      <c r="O261" s="350" t="n"/>
      <c r="P261" s="350" t="n"/>
      <c r="Q261" s="350" t="n"/>
      <c r="R261" s="350" t="n"/>
      <c r="S261" s="350" t="n"/>
      <c r="T261" s="350" t="n"/>
      <c r="U261" s="350" t="n"/>
      <c r="V261" s="350" t="n"/>
      <c r="W261" s="350" t="n"/>
      <c r="X261" s="350" t="n"/>
      <c r="Y261" s="350" t="n"/>
      <c r="Z261" s="350" t="n"/>
      <c r="AA261" s="350" t="n"/>
      <c r="AB261" s="350" t="n"/>
      <c r="AC261" s="350" t="n"/>
      <c r="AD261" s="350" t="n"/>
      <c r="AE261" s="350" t="n"/>
      <c r="AF261" s="350" t="n"/>
      <c r="AG261" s="30" t="n"/>
      <c r="AH261" s="30" t="n"/>
      <c r="AI261" s="30" t="n"/>
      <c r="AJ261" s="30" t="n"/>
      <c r="AK261" s="30" t="n"/>
    </row>
    <row r="262" ht="15" customHeight="1" thickBot="1">
      <c r="M262" s="350" t="n"/>
      <c r="N262" s="350" t="n"/>
      <c r="O262" s="350" t="n"/>
      <c r="P262" s="350" t="n"/>
      <c r="Q262" s="350" t="n"/>
      <c r="R262" s="350" t="n"/>
      <c r="S262" s="350" t="n"/>
      <c r="T262" s="350" t="n"/>
      <c r="U262" s="350" t="n"/>
      <c r="V262" s="350" t="n"/>
      <c r="W262" s="350" t="n"/>
      <c r="X262" s="350" t="n"/>
      <c r="Y262" s="350" t="n"/>
      <c r="Z262" s="350" t="n"/>
      <c r="AA262" s="350" t="n"/>
      <c r="AB262" s="350" t="n"/>
      <c r="AC262" s="350" t="n"/>
      <c r="AD262" s="350" t="n"/>
      <c r="AE262" s="350" t="n"/>
      <c r="AF262" s="350" t="n"/>
      <c r="AG262" s="30" t="n"/>
      <c r="AH262" s="30" t="n"/>
      <c r="AI262" s="30" t="n"/>
      <c r="AJ262" s="30" t="n"/>
      <c r="AK262" s="30" t="n"/>
    </row>
    <row r="263" ht="26.85" customHeight="1" thickTop="1">
      <c r="A263" s="1422" t="inlineStr">
        <is>
          <t>Disposition of Requests Where an Extension Was Taken</t>
        </is>
      </c>
      <c r="B263" s="1353" t="n"/>
      <c r="C263" s="1353" t="n"/>
      <c r="D263" s="1354" t="n"/>
      <c r="E263" s="808" t="inlineStr">
        <is>
          <t>9(1)(a)
Interference With Operations/ Workload</t>
        </is>
      </c>
      <c r="F263" s="1393" t="n"/>
      <c r="G263" s="809" t="inlineStr">
        <is>
          <t>9(1)(b)
Consultation</t>
        </is>
      </c>
      <c r="H263" s="1336" t="n"/>
      <c r="I263" s="1336" t="n"/>
      <c r="J263" s="1383" t="n"/>
      <c r="K263" s="1141" t="inlineStr">
        <is>
          <t>9(1)(c)
Third-Party Notice</t>
        </is>
      </c>
      <c r="L263" s="1354" t="n"/>
      <c r="M263" s="350" t="n"/>
      <c r="N263" s="350" t="n"/>
      <c r="O263" s="350" t="n"/>
      <c r="P263" s="350" t="n"/>
      <c r="Q263" s="350" t="n"/>
      <c r="R263" s="350" t="n"/>
      <c r="S263" s="350" t="n"/>
      <c r="T263" s="350" t="n"/>
      <c r="U263" s="350" t="n"/>
      <c r="V263" s="350" t="n"/>
      <c r="W263" s="350" t="n"/>
      <c r="X263" s="350" t="n"/>
      <c r="Y263" s="350" t="n"/>
      <c r="Z263" s="350" t="n"/>
      <c r="AA263" s="350" t="n"/>
      <c r="AB263" s="350" t="n"/>
      <c r="AC263" s="350" t="n"/>
      <c r="AD263" s="350" t="n"/>
      <c r="AE263" s="350" t="n"/>
      <c r="AF263" s="350" t="n"/>
      <c r="AG263" s="30" t="n"/>
      <c r="AH263" s="30" t="n"/>
      <c r="AI263" s="30" t="n"/>
      <c r="AJ263" s="30" t="n"/>
      <c r="AK263" s="30" t="n"/>
    </row>
    <row r="264" ht="15" customHeight="1" thickBot="1">
      <c r="A264" s="1349" t="n"/>
      <c r="B264" s="1350" t="n"/>
      <c r="C264" s="1350" t="n"/>
      <c r="D264" s="1374" t="n"/>
      <c r="E264" s="1394" t="n"/>
      <c r="F264" s="1395" t="n"/>
      <c r="G264" s="1437" t="inlineStr">
        <is>
          <t>Section 69</t>
        </is>
      </c>
      <c r="H264" s="1384" t="n"/>
      <c r="I264" s="1437" t="inlineStr">
        <is>
          <t>Other</t>
        </is>
      </c>
      <c r="J264" s="1384" t="n"/>
      <c r="K264" s="1438" t="n"/>
      <c r="L264" s="1374" t="n"/>
      <c r="M264" s="350" t="n"/>
      <c r="N264" s="350" t="n"/>
      <c r="O264" s="350" t="n"/>
      <c r="P264" s="350" t="n"/>
      <c r="Q264" s="350" t="n"/>
      <c r="R264" s="350" t="n"/>
      <c r="S264" s="350" t="n"/>
      <c r="T264" s="350" t="n"/>
      <c r="U264" s="350" t="n"/>
      <c r="V264" s="350" t="n"/>
      <c r="W264" s="350" t="n"/>
      <c r="X264" s="350" t="n"/>
      <c r="Y264" s="350" t="n"/>
      <c r="Z264" s="350" t="n"/>
      <c r="AA264" s="350" t="n"/>
      <c r="AB264" s="350" t="n"/>
      <c r="AC264" s="350" t="n"/>
      <c r="AD264" s="350" t="n"/>
      <c r="AE264" s="350" t="n"/>
      <c r="AF264" s="350" t="n"/>
      <c r="AG264" s="30" t="n"/>
      <c r="AH264" s="30" t="n"/>
      <c r="AI264" s="30" t="n"/>
      <c r="AJ264" s="30" t="n"/>
      <c r="AK264" s="30" t="n"/>
    </row>
    <row r="265" ht="14.25" customHeight="1" thickTop="1">
      <c r="A265" s="1434" t="inlineStr">
        <is>
          <t>All disclosed</t>
        </is>
      </c>
      <c r="B265" s="1336" t="n"/>
      <c r="C265" s="1336" t="n"/>
      <c r="D265" s="1337" t="n"/>
      <c r="E265" s="549" t="n">
        <v>0</v>
      </c>
      <c r="F265" s="1421" t="n"/>
      <c r="G265" s="1439" t="n">
        <v>0</v>
      </c>
      <c r="H265" s="1417" t="n"/>
      <c r="I265" s="1439" t="n">
        <v>0</v>
      </c>
      <c r="J265" s="1417" t="n"/>
      <c r="K265" s="1398" t="n">
        <v>0</v>
      </c>
      <c r="L265" s="1340" t="n"/>
      <c r="M265" s="191" t="n"/>
      <c r="N265" s="350" t="n"/>
      <c r="O265" s="350" t="n"/>
      <c r="P265" s="350" t="n"/>
      <c r="Q265" s="350" t="n"/>
      <c r="R265" s="350" t="n"/>
      <c r="S265" s="350" t="n"/>
      <c r="T265" s="350" t="n"/>
      <c r="U265" s="350" t="n"/>
      <c r="V265" s="350" t="n"/>
      <c r="W265" s="350" t="n"/>
      <c r="X265" s="350" t="n"/>
      <c r="Y265" s="350" t="n"/>
      <c r="Z265" s="350" t="n"/>
      <c r="AA265" s="350" t="n"/>
      <c r="AB265" s="350" t="n"/>
      <c r="AC265" s="350" t="n"/>
      <c r="AD265" s="350" t="n"/>
      <c r="AE265" s="350" t="n"/>
      <c r="AF265" s="350" t="n"/>
      <c r="AG265" s="30" t="n"/>
      <c r="AH265" s="30" t="n"/>
      <c r="AI265" s="30" t="n"/>
      <c r="AJ265" s="30" t="n"/>
      <c r="AK265" s="30" t="n"/>
    </row>
    <row r="266" ht="14.25" customHeight="1">
      <c r="A266" s="1435" t="inlineStr">
        <is>
          <t>Disclosed in part</t>
        </is>
      </c>
      <c r="B266" s="1342" t="n"/>
      <c r="C266" s="1342" t="n"/>
      <c r="D266" s="1343" t="n"/>
      <c r="E266" s="737" t="n">
        <v>0</v>
      </c>
      <c r="F266" s="1418" t="n"/>
      <c r="G266" s="577" t="n">
        <v>0</v>
      </c>
      <c r="H266" s="1418" t="n"/>
      <c r="I266" s="577" t="n">
        <v>0</v>
      </c>
      <c r="J266" s="1418" t="n"/>
      <c r="K266" s="578" t="n">
        <v>0</v>
      </c>
      <c r="L266" s="1368" t="n"/>
      <c r="M266" s="191" t="n"/>
      <c r="N266" s="350" t="n"/>
      <c r="O266" s="350" t="n"/>
      <c r="P266" s="350" t="n"/>
      <c r="Q266" s="350" t="n"/>
      <c r="R266" s="350" t="n"/>
      <c r="S266" s="350" t="n"/>
      <c r="T266" s="350" t="n"/>
      <c r="U266" s="350" t="n"/>
      <c r="V266" s="350" t="n"/>
      <c r="W266" s="350" t="n"/>
      <c r="X266" s="350" t="n"/>
      <c r="Y266" s="350" t="n"/>
      <c r="Z266" s="350" t="n"/>
      <c r="AA266" s="350" t="n"/>
      <c r="AB266" s="350" t="n"/>
      <c r="AC266" s="350" t="n"/>
      <c r="AD266" s="350" t="n"/>
      <c r="AE266" s="350" t="n"/>
      <c r="AF266" s="350" t="n"/>
      <c r="AG266" s="30" t="n"/>
      <c r="AH266" s="30" t="n"/>
      <c r="AI266" s="30" t="n"/>
      <c r="AJ266" s="30" t="n"/>
      <c r="AK266" s="30" t="n"/>
    </row>
    <row r="267" ht="14.25" customHeight="1">
      <c r="A267" s="1435" t="inlineStr">
        <is>
          <t>All exempted</t>
        </is>
      </c>
      <c r="B267" s="1342" t="n"/>
      <c r="C267" s="1342" t="n"/>
      <c r="D267" s="1343" t="n"/>
      <c r="E267" s="737" t="n">
        <v>0</v>
      </c>
      <c r="F267" s="1418" t="n"/>
      <c r="G267" s="577" t="n">
        <v>0</v>
      </c>
      <c r="H267" s="1418" t="n"/>
      <c r="I267" s="577" t="n">
        <v>0</v>
      </c>
      <c r="J267" s="1418" t="n"/>
      <c r="K267" s="578" t="n">
        <v>0</v>
      </c>
      <c r="L267" s="1368" t="n"/>
      <c r="M267" s="191" t="n"/>
      <c r="N267" s="350" t="n"/>
      <c r="O267" s="350" t="n"/>
      <c r="P267" s="350" t="n"/>
      <c r="Q267" s="350" t="n"/>
      <c r="R267" s="350" t="n"/>
      <c r="S267" s="350" t="n"/>
      <c r="T267" s="350" t="n"/>
      <c r="U267" s="350" t="n"/>
      <c r="V267" s="350" t="n"/>
      <c r="W267" s="350" t="n"/>
      <c r="X267" s="350" t="n"/>
      <c r="Y267" s="350" t="n"/>
      <c r="Z267" s="350" t="n"/>
      <c r="AA267" s="350" t="n"/>
      <c r="AB267" s="350" t="n"/>
      <c r="AC267" s="350" t="n"/>
      <c r="AD267" s="350" t="n"/>
      <c r="AE267" s="350" t="n"/>
      <c r="AF267" s="350" t="n"/>
      <c r="AG267" s="30" t="n"/>
      <c r="AH267" s="30" t="n"/>
      <c r="AI267" s="30" t="n"/>
      <c r="AJ267" s="30" t="n"/>
      <c r="AK267" s="30" t="n"/>
    </row>
    <row r="268">
      <c r="A268" s="1435" t="inlineStr">
        <is>
          <t>All excluded</t>
        </is>
      </c>
      <c r="B268" s="1342" t="n"/>
      <c r="C268" s="1342" t="n"/>
      <c r="D268" s="1343" t="n"/>
      <c r="E268" s="737" t="n">
        <v>0</v>
      </c>
      <c r="F268" s="1418" t="n"/>
      <c r="G268" s="577" t="n">
        <v>0</v>
      </c>
      <c r="H268" s="1418" t="n"/>
      <c r="I268" s="577" t="n">
        <v>0</v>
      </c>
      <c r="J268" s="1418" t="n"/>
      <c r="K268" s="577" t="n">
        <v>0</v>
      </c>
      <c r="L268" s="1418" t="n"/>
      <c r="M268" s="191" t="n"/>
      <c r="N268" s="350" t="n"/>
      <c r="O268" s="350" t="n"/>
      <c r="P268" s="350" t="n"/>
      <c r="Q268" s="350" t="n"/>
      <c r="R268" s="350" t="n"/>
      <c r="S268" s="350" t="n"/>
      <c r="T268" s="350" t="n"/>
      <c r="U268" s="350" t="n"/>
      <c r="V268" s="350" t="n"/>
      <c r="W268" s="350" t="n"/>
      <c r="X268" s="350" t="n"/>
      <c r="Y268" s="350" t="n"/>
      <c r="Z268" s="350" t="n"/>
      <c r="AA268" s="350" t="n"/>
      <c r="AB268" s="350" t="n"/>
      <c r="AC268" s="350" t="n"/>
      <c r="AD268" s="350" t="n"/>
      <c r="AE268" s="350" t="n"/>
      <c r="AF268" s="350" t="n"/>
      <c r="AG268" s="30" t="n"/>
      <c r="AH268" s="30" t="n"/>
      <c r="AI268" s="30" t="n"/>
      <c r="AJ268" s="30" t="n"/>
      <c r="AK268" s="30" t="n"/>
    </row>
    <row r="269">
      <c r="A269" s="1435" t="inlineStr">
        <is>
          <t>Request abandoned</t>
        </is>
      </c>
      <c r="B269" s="1342" t="n"/>
      <c r="C269" s="1342" t="n"/>
      <c r="D269" s="1343" t="n"/>
      <c r="E269" s="737" t="n">
        <v>0</v>
      </c>
      <c r="F269" s="1418" t="n"/>
      <c r="G269" s="577" t="n">
        <v>0</v>
      </c>
      <c r="H269" s="1418" t="n"/>
      <c r="I269" s="577" t="n">
        <v>0</v>
      </c>
      <c r="J269" s="1418" t="n"/>
      <c r="K269" s="577" t="n">
        <v>0</v>
      </c>
      <c r="L269" s="1418" t="n"/>
      <c r="M269" s="191" t="n"/>
      <c r="N269" s="350" t="n"/>
      <c r="O269" s="350" t="n"/>
      <c r="P269" s="350" t="n"/>
      <c r="Q269" s="350" t="n"/>
      <c r="R269" s="350" t="n"/>
      <c r="S269" s="350" t="n"/>
      <c r="T269" s="350" t="n"/>
      <c r="U269" s="350" t="n"/>
      <c r="V269" s="350" t="n"/>
      <c r="W269" s="350" t="n"/>
      <c r="X269" s="350" t="n"/>
      <c r="Y269" s="350" t="n"/>
      <c r="Z269" s="350" t="n"/>
      <c r="AA269" s="350" t="n"/>
      <c r="AB269" s="350" t="n"/>
      <c r="AC269" s="350" t="n"/>
      <c r="AD269" s="350" t="n"/>
      <c r="AE269" s="350" t="n"/>
      <c r="AF269" s="350" t="n"/>
      <c r="AG269" s="30" t="n"/>
      <c r="AH269" s="30" t="n"/>
      <c r="AI269" s="30" t="n"/>
      <c r="AJ269" s="30" t="n"/>
      <c r="AK269" s="30" t="n"/>
    </row>
    <row r="270" ht="14.25" customHeight="1">
      <c r="A270" s="1435" t="inlineStr">
        <is>
          <t>No records exist</t>
        </is>
      </c>
      <c r="B270" s="1342" t="n"/>
      <c r="C270" s="1342" t="n"/>
      <c r="D270" s="1343" t="n"/>
      <c r="E270" s="737" t="n">
        <v>0</v>
      </c>
      <c r="F270" s="1418" t="n"/>
      <c r="G270" s="577" t="n">
        <v>0</v>
      </c>
      <c r="H270" s="1418" t="n"/>
      <c r="I270" s="577" t="n">
        <v>0</v>
      </c>
      <c r="J270" s="1418" t="n"/>
      <c r="K270" s="578" t="n">
        <v>0</v>
      </c>
      <c r="L270" s="1368" t="n"/>
      <c r="M270" s="191" t="n"/>
      <c r="N270" s="350" t="n"/>
      <c r="O270" s="350" t="n"/>
      <c r="P270" s="350" t="n"/>
      <c r="Q270" s="350" t="n"/>
      <c r="R270" s="350" t="n"/>
      <c r="S270" s="350" t="n"/>
      <c r="T270" s="350" t="n"/>
      <c r="U270" s="350" t="n"/>
      <c r="V270" s="350" t="n"/>
      <c r="W270" s="350" t="n"/>
      <c r="X270" s="350" t="n"/>
      <c r="Y270" s="350" t="n"/>
      <c r="Z270" s="350" t="n"/>
      <c r="AA270" s="350" t="n"/>
      <c r="AB270" s="350" t="n"/>
      <c r="AC270" s="350" t="n"/>
      <c r="AD270" s="350" t="n"/>
      <c r="AE270" s="350" t="n"/>
      <c r="AF270" s="350" t="n"/>
      <c r="AG270" s="30" t="n"/>
      <c r="AH270" s="30" t="n"/>
      <c r="AI270" s="30" t="n"/>
      <c r="AJ270" s="30" t="n"/>
      <c r="AK270" s="30" t="n"/>
    </row>
    <row r="271" ht="31.15" customHeight="1" thickBot="1">
      <c r="A271" s="1440" t="inlineStr">
        <is>
          <t>Declined to act with the approval of the Information Commissioner</t>
        </is>
      </c>
      <c r="B271" s="1348" t="n"/>
      <c r="C271" s="1348" t="n"/>
      <c r="D271" s="1356" t="n"/>
      <c r="E271" s="589" t="n">
        <v>0</v>
      </c>
      <c r="F271" s="1419" t="n"/>
      <c r="G271" s="590" t="n">
        <v>0</v>
      </c>
      <c r="H271" s="1419" t="n"/>
      <c r="I271" s="590" t="n">
        <v>0</v>
      </c>
      <c r="J271" s="1419" t="n"/>
      <c r="K271" s="316" t="n">
        <v>0</v>
      </c>
      <c r="L271" s="1379" t="n"/>
      <c r="M271" s="191" t="n"/>
      <c r="N271" s="350" t="n"/>
      <c r="O271" s="350" t="n"/>
      <c r="P271" s="350" t="n"/>
      <c r="Q271" s="350" t="n"/>
      <c r="R271" s="350" t="n"/>
      <c r="S271" s="350" t="n"/>
      <c r="T271" s="350" t="n"/>
      <c r="U271" s="350" t="n"/>
      <c r="V271" s="350" t="n"/>
      <c r="W271" s="350" t="n"/>
      <c r="X271" s="350" t="n"/>
      <c r="Y271" s="350" t="n"/>
      <c r="Z271" s="350" t="n"/>
      <c r="AA271" s="350" t="n"/>
      <c r="AB271" s="350" t="n"/>
      <c r="AC271" s="350" t="n"/>
      <c r="AD271" s="350" t="n"/>
      <c r="AE271" s="350" t="n"/>
      <c r="AF271" s="350" t="n"/>
      <c r="AG271" s="30" t="n"/>
      <c r="AH271" s="30" t="n"/>
      <c r="AI271" s="30" t="n"/>
      <c r="AJ271" s="30" t="n"/>
      <c r="AK271" s="30" t="n"/>
    </row>
    <row r="272" ht="14.25" customHeight="1" thickBot="1" thickTop="1">
      <c r="A272" s="1427" t="inlineStr">
        <is>
          <t>Total</t>
        </is>
      </c>
      <c r="B272" s="1333" t="n"/>
      <c r="C272" s="1333" t="n"/>
      <c r="D272" s="1334" t="n"/>
      <c r="E272" s="545">
        <f>SUM(E265:F271)</f>
        <v/>
      </c>
      <c r="F272" s="1396" t="n"/>
      <c r="G272" s="1065">
        <f>SUM(G265:H271)</f>
        <v/>
      </c>
      <c r="H272" s="1386" t="n"/>
      <c r="I272" s="1065">
        <f>SUM(I265:J271)</f>
        <v/>
      </c>
      <c r="J272" s="1386" t="n"/>
      <c r="K272" s="1066">
        <f>SUM(K265:L271)</f>
        <v/>
      </c>
      <c r="L272" s="1334" t="n"/>
      <c r="M272" s="350" t="n"/>
      <c r="N272" s="350" t="n"/>
      <c r="O272" s="350" t="n"/>
      <c r="P272" s="350" t="n"/>
      <c r="Q272" s="350" t="n"/>
      <c r="R272" s="350" t="n"/>
      <c r="S272" s="350" t="n"/>
      <c r="T272" s="350" t="n"/>
      <c r="U272" s="350" t="n"/>
      <c r="V272" s="350" t="n"/>
      <c r="W272" s="350" t="n"/>
      <c r="X272" s="350" t="n"/>
      <c r="Y272" s="350" t="n"/>
      <c r="Z272" s="350" t="n"/>
      <c r="AA272" s="350" t="n"/>
      <c r="AB272" s="350" t="n"/>
      <c r="AC272" s="350" t="n"/>
      <c r="AD272" s="350" t="n"/>
      <c r="AE272" s="350" t="n"/>
      <c r="AF272" s="350" t="n"/>
      <c r="AG272" s="30" t="n"/>
      <c r="AH272" s="30" t="n"/>
      <c r="AI272" s="30" t="n"/>
      <c r="AJ272" s="30" t="n"/>
      <c r="AK272" s="30" t="n"/>
    </row>
    <row r="273" ht="14.25" customHeight="1" thickTop="1">
      <c r="A273" s="52" t="n"/>
      <c r="B273" s="52" t="n"/>
      <c r="C273" s="52" t="n"/>
      <c r="D273" s="52" t="n"/>
      <c r="E273" s="471" t="n"/>
      <c r="F273" s="471" t="n"/>
      <c r="G273" s="471" t="n"/>
      <c r="H273" s="471" t="n"/>
      <c r="I273" s="471" t="n"/>
      <c r="J273" s="471" t="n"/>
      <c r="K273" s="471" t="n"/>
      <c r="L273" s="471" t="n"/>
      <c r="M273" s="350" t="n"/>
      <c r="N273" s="350" t="n"/>
      <c r="O273" s="350" t="n"/>
      <c r="P273" s="350" t="n"/>
      <c r="Q273" s="350" t="n"/>
      <c r="R273" s="350" t="n"/>
      <c r="S273" s="350" t="n"/>
      <c r="T273" s="350" t="n"/>
      <c r="U273" s="350" t="n"/>
      <c r="V273" s="350" t="n"/>
      <c r="W273" s="350" t="n"/>
      <c r="X273" s="350" t="n"/>
      <c r="Y273" s="350" t="n"/>
      <c r="Z273" s="350" t="n"/>
      <c r="AA273" s="350" t="n"/>
      <c r="AB273" s="350" t="n"/>
      <c r="AC273" s="350" t="n"/>
      <c r="AD273" s="350" t="n"/>
      <c r="AE273" s="350" t="n"/>
      <c r="AF273" s="350" t="n"/>
      <c r="AG273" s="30" t="n"/>
      <c r="AH273" s="30" t="n"/>
      <c r="AI273" s="30" t="n"/>
      <c r="AJ273" s="30" t="n"/>
      <c r="AK273" s="30" t="n"/>
    </row>
    <row r="274" ht="15" customHeight="1">
      <c r="A274" s="349" t="inlineStr">
        <is>
          <t>5.2 Length of extensions</t>
        </is>
      </c>
      <c r="M274" s="350" t="n"/>
      <c r="N274" s="350" t="n"/>
      <c r="O274" s="350" t="n"/>
      <c r="P274" s="350" t="n"/>
      <c r="Q274" s="350" t="n"/>
      <c r="R274" s="350" t="n"/>
      <c r="S274" s="350" t="n"/>
      <c r="T274" s="350" t="n"/>
      <c r="U274" s="350" t="n"/>
      <c r="V274" s="350" t="n"/>
      <c r="W274" s="350" t="n"/>
      <c r="X274" s="350" t="n"/>
      <c r="Y274" s="350" t="n"/>
      <c r="Z274" s="350" t="n"/>
      <c r="AA274" s="350" t="n"/>
      <c r="AB274" s="350" t="n"/>
      <c r="AC274" s="350" t="n"/>
      <c r="AD274" s="350" t="n"/>
      <c r="AE274" s="350" t="n"/>
      <c r="AF274" s="350" t="n"/>
      <c r="AG274" s="30" t="n"/>
      <c r="AH274" s="30" t="n"/>
      <c r="AI274" s="30" t="n"/>
      <c r="AJ274" s="30" t="n"/>
      <c r="AK274" s="30" t="n"/>
    </row>
    <row r="275" ht="15" customHeight="1" thickBot="1">
      <c r="M275" s="350" t="n"/>
      <c r="N275" s="350" t="n"/>
      <c r="O275" s="350" t="n"/>
      <c r="P275" s="350" t="n"/>
      <c r="Q275" s="350" t="n"/>
      <c r="R275" s="350" t="n"/>
      <c r="S275" s="350" t="n"/>
      <c r="T275" s="350" t="n"/>
      <c r="U275" s="350" t="n"/>
      <c r="V275" s="350" t="n"/>
      <c r="W275" s="350" t="n"/>
      <c r="X275" s="350" t="n"/>
      <c r="Y275" s="350" t="n"/>
      <c r="Z275" s="350" t="n"/>
      <c r="AA275" s="350" t="n"/>
      <c r="AB275" s="350" t="n"/>
      <c r="AC275" s="350" t="n"/>
      <c r="AD275" s="350" t="n"/>
      <c r="AE275" s="350" t="n"/>
      <c r="AF275" s="350" t="n"/>
      <c r="AG275" s="30" t="n"/>
      <c r="AH275" s="30" t="n"/>
      <c r="AI275" s="30" t="n"/>
      <c r="AJ275" s="30" t="n"/>
      <c r="AK275" s="30" t="n"/>
    </row>
    <row r="276" ht="27.75" customHeight="1" thickTop="1">
      <c r="A276" s="1422" t="inlineStr">
        <is>
          <t>Length of Extensions</t>
        </is>
      </c>
      <c r="B276" s="1353" t="n"/>
      <c r="C276" s="1353" t="n"/>
      <c r="D276" s="1354" t="n"/>
      <c r="E276" s="808" t="inlineStr">
        <is>
          <t>9(1)(a)
Interference With Operations/ Workload</t>
        </is>
      </c>
      <c r="F276" s="1393" t="n"/>
      <c r="G276" s="809" t="inlineStr">
        <is>
          <t>9(1)(b)
Consultation</t>
        </is>
      </c>
      <c r="H276" s="1336" t="n"/>
      <c r="I276" s="1336" t="n"/>
      <c r="J276" s="1383" t="n"/>
      <c r="K276" s="1141" t="inlineStr">
        <is>
          <t>9(1)(c)
Third-Party Notice</t>
        </is>
      </c>
      <c r="L276" s="1354" t="n"/>
      <c r="M276" s="350" t="n"/>
      <c r="N276" s="350" t="n"/>
      <c r="O276" s="350" t="n"/>
      <c r="P276" s="350" t="n"/>
      <c r="Q276" s="350" t="n"/>
      <c r="R276" s="350" t="n"/>
      <c r="S276" s="350" t="n"/>
      <c r="T276" s="350" t="n"/>
      <c r="U276" s="350" t="n"/>
      <c r="V276" s="350" t="n"/>
      <c r="W276" s="350" t="n"/>
      <c r="X276" s="350" t="n"/>
      <c r="Y276" s="350" t="n"/>
      <c r="Z276" s="350" t="n"/>
      <c r="AA276" s="350" t="n"/>
      <c r="AB276" s="350" t="n"/>
      <c r="AC276" s="350" t="n"/>
      <c r="AD276" s="350" t="n"/>
      <c r="AE276" s="350" t="n"/>
      <c r="AF276" s="350" t="n"/>
      <c r="AG276" s="30" t="n"/>
      <c r="AH276" s="30" t="n"/>
      <c r="AI276" s="30" t="n"/>
      <c r="AJ276" s="30" t="n"/>
      <c r="AK276" s="30" t="n"/>
    </row>
    <row r="277" ht="24" customHeight="1" thickBot="1">
      <c r="A277" s="1349" t="n"/>
      <c r="B277" s="1350" t="n"/>
      <c r="C277" s="1350" t="n"/>
      <c r="D277" s="1374" t="n"/>
      <c r="E277" s="1394" t="n"/>
      <c r="F277" s="1395" t="n"/>
      <c r="G277" s="1437" t="inlineStr">
        <is>
          <t>Section 69</t>
        </is>
      </c>
      <c r="H277" s="1384" t="n"/>
      <c r="I277" s="1437" t="inlineStr">
        <is>
          <t>Other</t>
        </is>
      </c>
      <c r="J277" s="1384" t="n"/>
      <c r="K277" s="1438" t="n"/>
      <c r="L277" s="1374" t="n"/>
      <c r="M277" s="350" t="n"/>
      <c r="N277" s="350" t="n"/>
      <c r="O277" s="350" t="n"/>
      <c r="P277" s="350" t="n"/>
      <c r="Q277" s="350" t="n"/>
      <c r="R277" s="350" t="n"/>
      <c r="S277" s="350" t="n"/>
      <c r="T277" s="350" t="n"/>
      <c r="U277" s="350" t="n"/>
      <c r="V277" s="350" t="n"/>
      <c r="W277" s="350" t="n"/>
      <c r="X277" s="350" t="n"/>
      <c r="Y277" s="350" t="n"/>
      <c r="Z277" s="350" t="n"/>
      <c r="AA277" s="350" t="n"/>
      <c r="AB277" s="350" t="n"/>
      <c r="AC277" s="350" t="n"/>
      <c r="AD277" s="350" t="n"/>
      <c r="AE277" s="350" t="n"/>
      <c r="AF277" s="350" t="n"/>
      <c r="AG277" s="30" t="n"/>
      <c r="AH277" s="30" t="n"/>
      <c r="AI277" s="30" t="n"/>
      <c r="AJ277" s="30" t="n"/>
      <c r="AK277" s="30" t="n"/>
    </row>
    <row r="278" ht="14.25" customHeight="1" thickTop="1">
      <c r="A278" s="1441" t="inlineStr">
        <is>
          <t>30 days or less</t>
        </is>
      </c>
      <c r="B278" s="1336" t="n"/>
      <c r="C278" s="1336" t="n"/>
      <c r="D278" s="1337" t="n"/>
      <c r="E278" s="602" t="n">
        <v>0</v>
      </c>
      <c r="F278" s="1417" t="n"/>
      <c r="G278" s="1439" t="n">
        <v>0</v>
      </c>
      <c r="H278" s="1417" t="n"/>
      <c r="I278" s="1439" t="n">
        <v>0</v>
      </c>
      <c r="J278" s="1417" t="n"/>
      <c r="K278" s="1442" t="n">
        <v>0</v>
      </c>
      <c r="L278" s="1340" t="n"/>
      <c r="M278" s="350" t="n"/>
      <c r="N278" s="350" t="n"/>
      <c r="O278" s="350" t="n"/>
      <c r="P278" s="350" t="n"/>
      <c r="Q278" s="350" t="n"/>
      <c r="R278" s="350" t="n"/>
      <c r="S278" s="350" t="n"/>
      <c r="T278" s="350" t="n"/>
      <c r="U278" s="350" t="n"/>
      <c r="V278" s="350" t="n"/>
      <c r="W278" s="350" t="n"/>
      <c r="X278" s="350" t="n"/>
      <c r="Y278" s="350" t="n"/>
      <c r="Z278" s="350" t="n"/>
      <c r="AA278" s="350" t="n"/>
      <c r="AB278" s="350" t="n"/>
      <c r="AC278" s="350" t="n"/>
      <c r="AD278" s="350" t="n"/>
      <c r="AE278" s="350" t="n"/>
      <c r="AF278" s="350" t="n"/>
      <c r="AG278" s="30" t="n"/>
      <c r="AH278" s="30" t="n"/>
      <c r="AI278" s="30" t="n"/>
      <c r="AJ278" s="30" t="n"/>
      <c r="AK278" s="30" t="n"/>
    </row>
    <row r="279" ht="14.25" customHeight="1">
      <c r="A279" s="1443" t="inlineStr">
        <is>
          <t>31 to 60 days</t>
        </is>
      </c>
      <c r="B279" s="1342" t="n"/>
      <c r="C279" s="1342" t="n"/>
      <c r="D279" s="1343" t="n"/>
      <c r="E279" s="600" t="n">
        <v>0</v>
      </c>
      <c r="F279" s="1418" t="n"/>
      <c r="G279" s="577" t="n">
        <v>0</v>
      </c>
      <c r="H279" s="1418" t="n"/>
      <c r="I279" s="577" t="n">
        <v>0</v>
      </c>
      <c r="J279" s="1418" t="n"/>
      <c r="K279" s="1444" t="n">
        <v>0</v>
      </c>
      <c r="L279" s="1368" t="n"/>
      <c r="M279" s="350" t="n"/>
      <c r="N279" s="350" t="n"/>
      <c r="O279" s="350" t="n"/>
      <c r="P279" s="350" t="n"/>
      <c r="Q279" s="350" t="n"/>
      <c r="R279" s="350" t="n"/>
      <c r="S279" s="350" t="n"/>
      <c r="T279" s="350" t="n"/>
      <c r="U279" s="350" t="n"/>
      <c r="V279" s="350" t="n"/>
      <c r="W279" s="350" t="n"/>
      <c r="X279" s="350" t="n"/>
      <c r="Y279" s="350" t="n"/>
      <c r="Z279" s="350" t="n"/>
      <c r="AA279" s="350" t="n"/>
      <c r="AB279" s="350" t="n"/>
      <c r="AC279" s="350" t="n"/>
      <c r="AD279" s="350" t="n"/>
      <c r="AE279" s="350" t="n"/>
      <c r="AF279" s="350" t="n"/>
      <c r="AG279" s="30" t="n"/>
      <c r="AH279" s="30" t="n"/>
      <c r="AI279" s="30" t="n"/>
      <c r="AJ279" s="30" t="n"/>
      <c r="AK279" s="30" t="n"/>
    </row>
    <row r="280" ht="14.25" customHeight="1">
      <c r="A280" s="1443" t="inlineStr">
        <is>
          <t>61 to 120 days</t>
        </is>
      </c>
      <c r="B280" s="1342" t="n"/>
      <c r="C280" s="1342" t="n"/>
      <c r="D280" s="1343" t="n"/>
      <c r="E280" s="600" t="n">
        <v>0</v>
      </c>
      <c r="F280" s="1418" t="n"/>
      <c r="G280" s="577" t="n">
        <v>0</v>
      </c>
      <c r="H280" s="1418" t="n"/>
      <c r="I280" s="577" t="n">
        <v>0</v>
      </c>
      <c r="J280" s="1418" t="n"/>
      <c r="K280" s="1444" t="n">
        <v>0</v>
      </c>
      <c r="L280" s="1368" t="n"/>
      <c r="M280" s="350" t="n"/>
      <c r="N280" s="350" t="n"/>
      <c r="O280" s="350" t="n"/>
      <c r="P280" s="350" t="n"/>
      <c r="Q280" s="350" t="n"/>
      <c r="R280" s="350" t="n"/>
      <c r="S280" s="350" t="n"/>
      <c r="T280" s="350" t="n"/>
      <c r="U280" s="350" t="n"/>
      <c r="V280" s="350" t="n"/>
      <c r="W280" s="350" t="n"/>
      <c r="X280" s="350" t="n"/>
      <c r="Y280" s="350" t="n"/>
      <c r="Z280" s="350" t="n"/>
      <c r="AA280" s="350" t="n"/>
      <c r="AB280" s="350" t="n"/>
      <c r="AC280" s="350" t="n"/>
      <c r="AD280" s="350" t="n"/>
      <c r="AE280" s="350" t="n"/>
      <c r="AF280" s="350" t="n"/>
      <c r="AG280" s="30" t="n"/>
      <c r="AH280" s="30" t="n"/>
      <c r="AI280" s="30" t="n"/>
      <c r="AJ280" s="30" t="n"/>
      <c r="AK280" s="30" t="n"/>
    </row>
    <row r="281" ht="14.25" customHeight="1">
      <c r="A281" s="1443" t="inlineStr">
        <is>
          <t>121 to 180 days</t>
        </is>
      </c>
      <c r="B281" s="1342" t="n"/>
      <c r="C281" s="1342" t="n"/>
      <c r="D281" s="1343" t="n"/>
      <c r="E281" s="600" t="n">
        <v>0</v>
      </c>
      <c r="F281" s="1418" t="n"/>
      <c r="G281" s="577" t="n">
        <v>0</v>
      </c>
      <c r="H281" s="1418" t="n"/>
      <c r="I281" s="577" t="n">
        <v>0</v>
      </c>
      <c r="J281" s="1418" t="n"/>
      <c r="K281" s="1444" t="n">
        <v>0</v>
      </c>
      <c r="L281" s="1368" t="n"/>
      <c r="M281" s="366">
        <f>IF(E284&lt;&gt;E272,"Section 5.2 - Totals for ""Interference With Operations/ Workload"" should be equal to ""Interference With Operations/ Workload"" of Section 5.1","")</f>
        <v/>
      </c>
      <c r="N281" s="350" t="n"/>
      <c r="O281" s="350" t="n"/>
      <c r="P281" s="350" t="n"/>
      <c r="Q281" s="350" t="n"/>
      <c r="R281" s="350" t="n"/>
      <c r="S281" s="350" t="n"/>
      <c r="T281" s="350" t="n"/>
      <c r="U281" s="350" t="n"/>
      <c r="V281" s="350" t="n"/>
      <c r="W281" s="350" t="n"/>
      <c r="X281" s="350" t="n"/>
      <c r="Y281" s="350" t="n"/>
      <c r="Z281" s="350" t="n"/>
      <c r="AA281" s="350" t="n"/>
      <c r="AB281" s="350" t="n"/>
      <c r="AC281" s="350" t="n"/>
      <c r="AD281" s="350" t="n"/>
      <c r="AE281" s="350" t="n"/>
      <c r="AF281" s="350" t="n"/>
      <c r="AG281" s="30" t="n"/>
      <c r="AH281" s="30" t="n"/>
      <c r="AI281" s="30" t="n"/>
      <c r="AJ281" s="30" t="n"/>
      <c r="AK281" s="30" t="n"/>
    </row>
    <row r="282">
      <c r="A282" s="1435" t="inlineStr">
        <is>
          <t>181 to 365 days</t>
        </is>
      </c>
      <c r="B282" s="1342" t="n"/>
      <c r="C282" s="1342" t="n"/>
      <c r="D282" s="1343" t="n"/>
      <c r="E282" s="737" t="n">
        <v>0</v>
      </c>
      <c r="F282" s="1418" t="n"/>
      <c r="G282" s="577" t="n">
        <v>0</v>
      </c>
      <c r="H282" s="1418" t="n"/>
      <c r="I282" s="577" t="n">
        <v>0</v>
      </c>
      <c r="J282" s="1418" t="n"/>
      <c r="K282" s="578" t="n">
        <v>0</v>
      </c>
      <c r="L282" s="1368" t="n"/>
      <c r="M282" s="366">
        <f>IF(G284&lt;&gt;G272,"Section 5.2 - Totals for ""Section 69"" should be equal to ""Section 69"" of Section 5.1","")</f>
        <v/>
      </c>
      <c r="N282" s="350" t="n"/>
      <c r="O282" s="350" t="n"/>
      <c r="P282" s="350" t="n"/>
      <c r="Q282" s="350" t="n"/>
      <c r="R282" s="350" t="n"/>
      <c r="S282" s="350" t="n"/>
      <c r="T282" s="350" t="n"/>
      <c r="U282" s="350" t="n"/>
      <c r="V282" s="350" t="n"/>
      <c r="W282" s="350" t="n"/>
      <c r="X282" s="350" t="n"/>
      <c r="Y282" s="350" t="n"/>
      <c r="Z282" s="350" t="n"/>
      <c r="AA282" s="350" t="n"/>
      <c r="AB282" s="350" t="n"/>
      <c r="AC282" s="350" t="n"/>
      <c r="AD282" s="350" t="n"/>
      <c r="AE282" s="350" t="n"/>
      <c r="AF282" s="350" t="n"/>
      <c r="AG282" s="30" t="n"/>
      <c r="AH282" s="30" t="n"/>
      <c r="AI282" s="30" t="n"/>
      <c r="AJ282" s="30" t="n"/>
      <c r="AK282" s="30" t="n"/>
    </row>
    <row r="283">
      <c r="A283" s="1436" t="inlineStr">
        <is>
          <t>365 days or more</t>
        </is>
      </c>
      <c r="B283" s="1348" t="n"/>
      <c r="C283" s="1348" t="n"/>
      <c r="D283" s="1356" t="n"/>
      <c r="E283" s="589" t="n">
        <v>0</v>
      </c>
      <c r="F283" s="1419" t="n"/>
      <c r="G283" s="590" t="n">
        <v>0</v>
      </c>
      <c r="H283" s="1419" t="n"/>
      <c r="I283" s="590" t="n">
        <v>0</v>
      </c>
      <c r="J283" s="1419" t="n"/>
      <c r="K283" s="316" t="n">
        <v>0</v>
      </c>
      <c r="L283" s="1379" t="n"/>
      <c r="M283" s="366">
        <f>IF(I284&lt;&gt;I272,"Section 5.2 - Totals for ""Other"" should be equal to ""Other"" of Section 5.1","")</f>
        <v/>
      </c>
      <c r="N283" s="350" t="n"/>
      <c r="O283" s="350" t="n"/>
      <c r="P283" s="350" t="n"/>
      <c r="Q283" s="350" t="n"/>
      <c r="R283" s="350" t="n"/>
      <c r="S283" s="350" t="n"/>
      <c r="T283" s="350" t="n"/>
      <c r="U283" s="350" t="n"/>
      <c r="V283" s="350" t="n"/>
      <c r="W283" s="350" t="n"/>
      <c r="X283" s="350" t="n"/>
      <c r="Y283" s="350" t="n"/>
      <c r="Z283" s="350" t="n"/>
      <c r="AA283" s="350" t="n"/>
      <c r="AB283" s="350" t="n"/>
      <c r="AC283" s="350" t="n"/>
      <c r="AD283" s="350" t="n"/>
      <c r="AE283" s="350" t="n"/>
      <c r="AF283" s="350" t="n"/>
      <c r="AG283" s="30" t="n"/>
      <c r="AH283" s="30" t="n"/>
      <c r="AI283" s="30" t="n"/>
      <c r="AJ283" s="30" t="n"/>
      <c r="AK283" s="30" t="n"/>
    </row>
    <row r="284" ht="15.75" customHeight="1">
      <c r="A284" s="1427" t="inlineStr">
        <is>
          <t>Total</t>
        </is>
      </c>
      <c r="B284" s="1333" t="n"/>
      <c r="C284" s="1333" t="n"/>
      <c r="D284" s="1334" t="n"/>
      <c r="E284" s="1065">
        <f>SUM(E278:F283)</f>
        <v/>
      </c>
      <c r="F284" s="1386" t="n"/>
      <c r="G284" s="1065">
        <f>SUM(G278:H283)</f>
        <v/>
      </c>
      <c r="H284" s="1386" t="n"/>
      <c r="I284" s="1065">
        <f>SUM(I278:J283)</f>
        <v/>
      </c>
      <c r="J284" s="1386" t="n"/>
      <c r="K284" s="1066">
        <f>SUM(K278:L283)</f>
        <v/>
      </c>
      <c r="L284" s="1334" t="n"/>
      <c r="M284" s="342">
        <f>IF(K284&lt;&gt;K272,"Section 5.2 - Totals for ""Third-Party Notice"" should be equal to ""Third-Party Notice"" of Section 5.1","")</f>
        <v/>
      </c>
      <c r="AA284" s="350" t="n"/>
      <c r="AB284" s="350" t="n"/>
      <c r="AC284" s="350" t="n"/>
      <c r="AD284" s="350" t="n"/>
      <c r="AE284" s="350" t="n"/>
      <c r="AF284" s="350" t="n"/>
      <c r="AG284" s="30" t="n"/>
      <c r="AH284" s="30" t="n"/>
      <c r="AI284" s="30" t="n"/>
      <c r="AJ284" s="30" t="n"/>
      <c r="AK284" s="30" t="n"/>
    </row>
    <row r="285" ht="14.25" customHeight="1">
      <c r="F285" s="826" t="n"/>
      <c r="M285" s="350" t="n"/>
      <c r="N285" s="350" t="n"/>
      <c r="O285" s="350" t="n"/>
      <c r="P285" s="350" t="n"/>
      <c r="Q285" s="350" t="n"/>
      <c r="R285" s="350" t="n"/>
      <c r="S285" s="350" t="n"/>
      <c r="T285" s="350" t="n"/>
      <c r="U285" s="350" t="n"/>
      <c r="V285" s="350" t="n"/>
      <c r="W285" s="350" t="n"/>
      <c r="X285" s="350" t="n"/>
      <c r="Y285" s="350" t="n"/>
      <c r="Z285" s="350" t="n"/>
      <c r="AA285" s="350" t="n"/>
      <c r="AB285" s="350" t="n"/>
      <c r="AC285" s="350" t="n"/>
      <c r="AD285" s="350" t="n"/>
      <c r="AE285" s="350" t="n"/>
      <c r="AF285" s="350" t="n"/>
      <c r="AG285" s="30" t="n"/>
      <c r="AH285" s="30" t="n"/>
      <c r="AI285" s="30" t="n"/>
      <c r="AJ285" s="30" t="n"/>
      <c r="AK285" s="30" t="n"/>
    </row>
    <row r="286" ht="14.25" customHeight="1">
      <c r="A286" s="713" t="inlineStr">
        <is>
          <t>Section 6: Fees</t>
        </is>
      </c>
      <c r="M286" s="350" t="n"/>
      <c r="N286" s="350" t="n"/>
      <c r="O286" s="350" t="n"/>
      <c r="P286" s="350" t="n"/>
      <c r="Q286" s="350" t="n"/>
      <c r="R286" s="350" t="n"/>
      <c r="S286" s="350" t="n"/>
      <c r="T286" s="350" t="n"/>
      <c r="U286" s="350" t="n"/>
      <c r="V286" s="350" t="n"/>
      <c r="W286" s="350" t="n"/>
      <c r="X286" s="350" t="n"/>
      <c r="Y286" s="350" t="n"/>
      <c r="Z286" s="350" t="n"/>
      <c r="AA286" s="350" t="n"/>
      <c r="AB286" s="350" t="n"/>
      <c r="AC286" s="350" t="n"/>
      <c r="AD286" s="350" t="n"/>
      <c r="AE286" s="350" t="n"/>
      <c r="AF286" s="350" t="n"/>
      <c r="AG286" s="30" t="n"/>
      <c r="AH286" s="30" t="n"/>
      <c r="AI286" s="30" t="n"/>
      <c r="AJ286" s="30" t="n"/>
      <c r="AK286" s="30" t="n"/>
    </row>
    <row r="287" ht="15" customHeight="1" thickBot="1">
      <c r="M287" s="350" t="n"/>
      <c r="N287" s="350" t="n"/>
      <c r="O287" s="350" t="n"/>
      <c r="P287" s="350" t="n"/>
      <c r="Q287" s="350" t="n"/>
      <c r="R287" s="350" t="n"/>
      <c r="S287" s="350" t="n"/>
      <c r="T287" s="350" t="n"/>
      <c r="U287" s="350" t="n"/>
      <c r="V287" s="350" t="n"/>
      <c r="W287" s="350" t="n"/>
      <c r="X287" s="350" t="n"/>
      <c r="Y287" s="350" t="n"/>
      <c r="Z287" s="350" t="n"/>
      <c r="AA287" s="350" t="n"/>
      <c r="AB287" s="350" t="n"/>
      <c r="AC287" s="350" t="n"/>
      <c r="AD287" s="350" t="n"/>
      <c r="AE287" s="350" t="n"/>
      <c r="AF287" s="350" t="n"/>
      <c r="AG287" s="30" t="n"/>
      <c r="AH287" s="30" t="n"/>
      <c r="AI287" s="30" t="n"/>
      <c r="AJ287" s="30" t="n"/>
      <c r="AK287" s="30" t="n"/>
    </row>
    <row r="288" ht="15" customHeight="1" thickTop="1">
      <c r="A288" s="815" t="inlineStr">
        <is>
          <t>Fee Type</t>
        </is>
      </c>
      <c r="B288" s="1393" t="n"/>
      <c r="C288" s="638" t="inlineStr">
        <is>
          <t>Fee Collected</t>
        </is>
      </c>
      <c r="D288" s="1336" t="n"/>
      <c r="E288" s="1336" t="n"/>
      <c r="F288" s="1235" t="inlineStr">
        <is>
          <t xml:space="preserve">Fee Waived </t>
        </is>
      </c>
      <c r="G288" s="1336" t="n"/>
      <c r="H288" s="1337" t="n"/>
      <c r="I288" s="640" t="inlineStr">
        <is>
          <t>Fee Refunded</t>
        </is>
      </c>
      <c r="J288" s="1336" t="n"/>
      <c r="K288" s="1337" t="n"/>
      <c r="M288" s="191">
        <f>IF(MOD(D292,5)&gt;0,"Total fees reported in ""Total Amount Fee Collected"" must be divisible by $5.","")</f>
        <v/>
      </c>
      <c r="N288" s="335" t="n"/>
      <c r="O288" s="191" t="n"/>
      <c r="P288" s="191" t="n"/>
      <c r="Q288" s="191" t="n"/>
      <c r="R288" s="191" t="n"/>
      <c r="S288" s="191" t="n"/>
      <c r="T288" s="191" t="n"/>
      <c r="U288" s="191" t="n"/>
      <c r="V288" s="191" t="n"/>
      <c r="W288" s="191" t="n"/>
      <c r="X288" s="191" t="n"/>
      <c r="Y288" s="191" t="n"/>
      <c r="Z288" s="191" t="n"/>
      <c r="AA288" s="350" t="n"/>
      <c r="AB288" s="350" t="n"/>
      <c r="AC288" s="350" t="n"/>
      <c r="AD288" s="350" t="n"/>
      <c r="AE288" s="350" t="n"/>
      <c r="AF288" s="350" t="n"/>
      <c r="AG288" s="30" t="n"/>
      <c r="AH288" s="30" t="n"/>
      <c r="AI288" s="30" t="n"/>
      <c r="AJ288" s="30" t="n"/>
      <c r="AK288" s="30" t="n"/>
    </row>
    <row r="289" ht="57" customHeight="1" thickBot="1">
      <c r="A289" s="1394" t="n"/>
      <c r="B289" s="1395" t="n"/>
      <c r="C289" s="166" t="inlineStr">
        <is>
          <t>Number of 
Requests</t>
        </is>
      </c>
      <c r="D289" s="377" t="inlineStr">
        <is>
          <t>Amount</t>
        </is>
      </c>
      <c r="E289" s="1348" t="n"/>
      <c r="F289" s="166" t="inlineStr">
        <is>
          <t>Number of 
Requests</t>
        </is>
      </c>
      <c r="G289" s="377" t="inlineStr">
        <is>
          <t>Amount</t>
        </is>
      </c>
      <c r="H289" s="1348" t="n"/>
      <c r="I289" s="166" t="inlineStr">
        <is>
          <t>Number of 
Requests</t>
        </is>
      </c>
      <c r="J289" s="378" t="inlineStr">
        <is>
          <t>Amount</t>
        </is>
      </c>
      <c r="K289" s="1356" t="n"/>
      <c r="M289" s="190">
        <f>IF(MOD(G292,5)&gt;0,"Total fees reported in ""Total Amount Fee Waived"" must be divisible by $5.","")</f>
        <v/>
      </c>
      <c r="N289" s="192" t="n"/>
      <c r="O289" s="192" t="n"/>
      <c r="P289" s="192" t="n"/>
      <c r="Q289" s="192" t="n"/>
      <c r="R289" s="192" t="n"/>
      <c r="S289" s="192" t="n"/>
      <c r="T289" s="192" t="n"/>
      <c r="U289" s="192" t="n"/>
      <c r="V289" s="192" t="n"/>
      <c r="W289" s="192" t="n"/>
      <c r="X289" s="192" t="n"/>
      <c r="Y289" s="192" t="n"/>
      <c r="Z289" s="192" t="n"/>
      <c r="AA289" s="350" t="n"/>
      <c r="AB289" s="350" t="n"/>
      <c r="AC289" s="350" t="n"/>
      <c r="AD289" s="350" t="n"/>
      <c r="AE289" s="350" t="n"/>
      <c r="AF289" s="350" t="n"/>
      <c r="AG289" s="30" t="n"/>
      <c r="AH289" s="30" t="n"/>
      <c r="AI289" s="30" t="n"/>
      <c r="AJ289" s="30" t="n"/>
      <c r="AK289" s="30" t="n"/>
    </row>
    <row r="290" ht="14.25" customFormat="1" customHeight="1" s="49" thickTop="1">
      <c r="A290" s="813" t="inlineStr">
        <is>
          <t>Application</t>
        </is>
      </c>
      <c r="B290" s="1445" t="n"/>
      <c r="C290" s="184" t="n">
        <v>0</v>
      </c>
      <c r="D290" s="379" t="n">
        <v>0</v>
      </c>
      <c r="E290" s="1339" t="n"/>
      <c r="F290" s="184" t="n">
        <v>0</v>
      </c>
      <c r="G290" s="379" t="n">
        <v>0</v>
      </c>
      <c r="H290" s="1339" t="n"/>
      <c r="I290" s="184" t="n">
        <v>0</v>
      </c>
      <c r="J290" s="1446" t="n">
        <v>0</v>
      </c>
      <c r="K290" s="1340" t="n"/>
      <c r="L290" s="25" t="n"/>
      <c r="M290" s="914">
        <f>IF(MOD(J292,5)&gt;0,"Total fees reported in ""Total Amount Fee Refunded"" must be divisible by $5.","")</f>
        <v/>
      </c>
      <c r="AA290" s="350" t="n"/>
      <c r="AB290" s="350" t="n"/>
      <c r="AC290" s="350" t="n"/>
      <c r="AD290" s="350" t="n"/>
      <c r="AE290" s="350" t="n"/>
      <c r="AF290" s="350" t="n"/>
      <c r="AG290" s="30" t="n"/>
      <c r="AH290" s="30" t="n"/>
      <c r="AI290" s="30" t="n"/>
      <c r="AJ290" s="30" t="n"/>
      <c r="AK290" s="30" t="n"/>
      <c r="AL290" s="25" t="n"/>
      <c r="AM290" s="25" t="n"/>
      <c r="AN290" s="25" t="n"/>
      <c r="AO290" s="25" t="n"/>
      <c r="AP290" s="25" t="n"/>
      <c r="AQ290" s="25" t="n"/>
      <c r="AR290" s="25" t="n"/>
      <c r="AS290" s="25" t="n"/>
      <c r="AT290" s="25" t="n"/>
    </row>
    <row r="291" ht="14.25" customHeight="1" thickBot="1">
      <c r="A291" s="822" t="inlineStr">
        <is>
          <t xml:space="preserve">Other fees </t>
        </is>
      </c>
      <c r="B291" s="1420" t="n"/>
      <c r="C291" s="616" t="n">
        <v>0</v>
      </c>
      <c r="D291" s="381" t="n">
        <v>0</v>
      </c>
      <c r="E291" s="1363" t="n"/>
      <c r="F291" s="589" t="n">
        <v>0</v>
      </c>
      <c r="G291" s="381" t="n">
        <v>0</v>
      </c>
      <c r="H291" s="1363" t="n"/>
      <c r="I291" s="589" t="n">
        <v>0</v>
      </c>
      <c r="J291" s="1447" t="n">
        <v>0</v>
      </c>
      <c r="K291" s="1379" t="n"/>
      <c r="AA291" s="350" t="n"/>
      <c r="AB291" s="350" t="n"/>
      <c r="AC291" s="350" t="n"/>
      <c r="AD291" s="350" t="n"/>
      <c r="AE291" s="350" t="n"/>
      <c r="AF291" s="350" t="n"/>
      <c r="AG291" s="30" t="n"/>
      <c r="AH291" s="30" t="n"/>
      <c r="AI291" s="30" t="n"/>
      <c r="AJ291" s="30" t="n"/>
      <c r="AK291" s="30" t="n"/>
    </row>
    <row r="292" ht="14.25" customHeight="1" thickBot="1" thickTop="1">
      <c r="A292" s="824" t="inlineStr">
        <is>
          <t>Total</t>
        </is>
      </c>
      <c r="B292" s="1386" t="n"/>
      <c r="C292" s="819">
        <f>SUM(C290:C291)</f>
        <v/>
      </c>
      <c r="D292" s="383">
        <f>SUM(D290:E291)</f>
        <v/>
      </c>
      <c r="E292" s="1333" t="n"/>
      <c r="F292" s="819">
        <f>SUM(F290:F291)</f>
        <v/>
      </c>
      <c r="G292" s="383">
        <f>SUM(G290:H291)</f>
        <v/>
      </c>
      <c r="H292" s="1333" t="n"/>
      <c r="I292" s="819">
        <f>SUM(I290:I291)</f>
        <v/>
      </c>
      <c r="J292" s="1448">
        <f>SUM(J290:K291)</f>
        <v/>
      </c>
      <c r="K292" s="1334" t="n"/>
      <c r="M292" s="342">
        <f>IF(SUM(C290,F290,I290)&gt;H14,"Section 6 - The total number of requests related to application fees for ""Fee Collected"", ""Fee Waived"" and ""Fee Refunded"" should be equal to or less than ""Received during reporting period"" of Section 1.1","")</f>
        <v/>
      </c>
      <c r="AA292" s="350" t="n"/>
      <c r="AB292" s="350" t="n"/>
      <c r="AC292" s="350" t="n"/>
      <c r="AD292" s="350" t="n"/>
      <c r="AE292" s="350" t="n"/>
      <c r="AF292" s="350" t="n"/>
      <c r="AG292" s="30" t="n"/>
      <c r="AH292" s="30" t="n"/>
      <c r="AI292" s="30" t="n"/>
      <c r="AJ292" s="30" t="n"/>
      <c r="AK292" s="30" t="n"/>
    </row>
    <row r="293" ht="15" customHeight="1" thickTop="1">
      <c r="M293" s="350" t="n"/>
      <c r="N293" s="350" t="n"/>
      <c r="O293" s="350" t="n"/>
      <c r="P293" s="350" t="n"/>
      <c r="Q293" s="350" t="n"/>
      <c r="R293" s="350" t="n"/>
      <c r="S293" s="350" t="n"/>
      <c r="T293" s="350" t="n"/>
      <c r="U293" s="350" t="n"/>
      <c r="V293" s="350" t="n"/>
      <c r="W293" s="350" t="n"/>
      <c r="X293" s="350" t="n"/>
      <c r="Y293" s="350" t="n"/>
      <c r="Z293" s="350" t="n"/>
      <c r="AA293" s="350" t="n"/>
      <c r="AB293" s="350" t="n"/>
      <c r="AC293" s="350" t="n"/>
      <c r="AD293" s="350" t="n"/>
      <c r="AE293" s="350" t="n"/>
      <c r="AF293" s="350" t="n"/>
      <c r="AG293" s="30" t="n"/>
      <c r="AH293" s="30" t="n"/>
      <c r="AI293" s="30" t="n"/>
      <c r="AJ293" s="30" t="n"/>
      <c r="AK293" s="30" t="n"/>
    </row>
    <row r="294" ht="15" customHeight="1">
      <c r="A294" s="713" t="inlineStr">
        <is>
          <t>Section 7: Consultations Received From Other Institutions and Organizations</t>
        </is>
      </c>
      <c r="M294" s="350" t="n"/>
      <c r="N294" s="350" t="n"/>
      <c r="O294" s="350" t="n"/>
      <c r="P294" s="350" t="n"/>
      <c r="Q294" s="350" t="n"/>
      <c r="R294" s="350" t="n"/>
      <c r="S294" s="350" t="n"/>
      <c r="T294" s="350" t="n"/>
      <c r="U294" s="350" t="n"/>
      <c r="V294" s="350" t="n"/>
      <c r="W294" s="350" t="n"/>
      <c r="X294" s="350" t="n"/>
      <c r="Y294" s="350" t="n"/>
      <c r="Z294" s="350" t="n"/>
      <c r="AA294" s="350" t="n"/>
      <c r="AB294" s="350" t="n"/>
      <c r="AC294" s="350" t="n"/>
      <c r="AD294" s="350" t="n"/>
      <c r="AE294" s="350" t="n"/>
      <c r="AF294" s="350" t="n"/>
      <c r="AG294" s="30" t="n"/>
      <c r="AH294" s="30" t="n"/>
      <c r="AI294" s="30" t="n"/>
      <c r="AJ294" s="30" t="n"/>
      <c r="AK294" s="30" t="n"/>
    </row>
    <row r="295" ht="14.25" customHeight="1">
      <c r="M295" s="350" t="n"/>
      <c r="N295" s="350" t="n"/>
      <c r="O295" s="350" t="n"/>
      <c r="P295" s="350" t="n"/>
      <c r="Q295" s="350" t="n"/>
      <c r="R295" s="350" t="n"/>
      <c r="S295" s="350" t="n"/>
      <c r="T295" s="350" t="n"/>
      <c r="U295" s="350" t="n"/>
      <c r="V295" s="350" t="n"/>
      <c r="W295" s="350" t="n"/>
      <c r="X295" s="350" t="n"/>
      <c r="Y295" s="350" t="n"/>
      <c r="Z295" s="350" t="n"/>
      <c r="AA295" s="350" t="n"/>
      <c r="AB295" s="350" t="n"/>
      <c r="AC295" s="350" t="n"/>
      <c r="AD295" s="350" t="n"/>
      <c r="AE295" s="350" t="n"/>
      <c r="AF295" s="350" t="n"/>
      <c r="AG295" s="30" t="n"/>
      <c r="AH295" s="30" t="n"/>
      <c r="AI295" s="30" t="n"/>
      <c r="AJ295" s="30" t="n"/>
      <c r="AK295" s="30" t="n"/>
    </row>
    <row r="296" ht="13.9" customHeight="1">
      <c r="A296" s="821" t="inlineStr">
        <is>
          <t>7.1  Consultations received from other Government of Canada institutions and other organizations</t>
        </is>
      </c>
      <c r="M296" s="350" t="n"/>
      <c r="N296" s="350" t="n"/>
      <c r="O296" s="350" t="n"/>
      <c r="P296" s="350" t="n"/>
      <c r="Q296" s="350" t="n"/>
      <c r="R296" s="350" t="n"/>
      <c r="S296" s="350" t="n"/>
      <c r="T296" s="350" t="n"/>
      <c r="U296" s="350" t="n"/>
      <c r="V296" s="350" t="n"/>
      <c r="W296" s="350" t="n"/>
      <c r="X296" s="350" t="n"/>
      <c r="Y296" s="350" t="n"/>
      <c r="Z296" s="350" t="n"/>
      <c r="AA296" s="350" t="n"/>
      <c r="AB296" s="350" t="n"/>
      <c r="AC296" s="350" t="n"/>
      <c r="AD296" s="350" t="n"/>
      <c r="AE296" s="350" t="n"/>
      <c r="AF296" s="350" t="n"/>
      <c r="AG296" s="30" t="n"/>
      <c r="AH296" s="30" t="n"/>
      <c r="AI296" s="30" t="n"/>
      <c r="AJ296" s="30" t="n"/>
      <c r="AK296" s="30" t="n"/>
    </row>
    <row r="297" ht="15" customHeight="1" thickBot="1">
      <c r="M297" s="350" t="n"/>
      <c r="N297" s="350" t="n"/>
      <c r="O297" s="350" t="n"/>
      <c r="P297" s="350" t="n"/>
      <c r="Q297" s="350" t="n"/>
      <c r="R297" s="350" t="n"/>
      <c r="S297" s="350" t="n"/>
      <c r="T297" s="350" t="n"/>
      <c r="U297" s="350" t="n"/>
      <c r="V297" s="350" t="n"/>
      <c r="W297" s="350" t="n"/>
      <c r="X297" s="350" t="n"/>
      <c r="Y297" s="350" t="n"/>
      <c r="Z297" s="350" t="n"/>
      <c r="AA297" s="350" t="n"/>
      <c r="AB297" s="350" t="n"/>
      <c r="AC297" s="350" t="n"/>
      <c r="AD297" s="350" t="n"/>
      <c r="AE297" s="350" t="n"/>
      <c r="AF297" s="350" t="n"/>
      <c r="AG297" s="30" t="n"/>
      <c r="AH297" s="30" t="n"/>
      <c r="AI297" s="30" t="n"/>
      <c r="AJ297" s="30" t="n"/>
      <c r="AK297" s="30" t="n"/>
    </row>
    <row r="298" ht="56.25" customHeight="1" thickBot="1" thickTop="1">
      <c r="A298" s="1422" t="inlineStr">
        <is>
          <t>Consultations</t>
        </is>
      </c>
      <c r="B298" s="1333" t="n"/>
      <c r="C298" s="1333" t="n"/>
      <c r="D298" s="1334" t="n"/>
      <c r="E298" s="467" t="inlineStr">
        <is>
          <t>Other Government of Canada Institutions</t>
        </is>
      </c>
      <c r="F298" s="1386" t="n"/>
      <c r="G298" s="1141" t="inlineStr">
        <is>
          <t>Number of Pages to Review</t>
        </is>
      </c>
      <c r="H298" s="1334" t="n"/>
      <c r="I298" s="467" t="inlineStr">
        <is>
          <t>Other Organizations</t>
        </is>
      </c>
      <c r="J298" s="1386" t="n"/>
      <c r="K298" s="1141" t="inlineStr">
        <is>
          <t>Number of Pages to Review</t>
        </is>
      </c>
      <c r="L298" s="1334" t="n"/>
      <c r="M298" s="350" t="n"/>
      <c r="N298" s="350" t="n"/>
      <c r="O298" s="350" t="n"/>
      <c r="P298" s="350" t="n"/>
      <c r="Q298" s="350" t="n"/>
      <c r="R298" s="350" t="n"/>
      <c r="S298" s="350" t="n"/>
      <c r="T298" s="350" t="n"/>
      <c r="U298" s="350" t="n"/>
      <c r="V298" s="350" t="n"/>
      <c r="W298" s="350" t="n"/>
      <c r="X298" s="350" t="n"/>
      <c r="Y298" s="350" t="n"/>
      <c r="Z298" s="350" t="n"/>
      <c r="AA298" s="350" t="n"/>
      <c r="AB298" s="350" t="n"/>
      <c r="AC298" s="350" t="n"/>
      <c r="AD298" s="350" t="n"/>
      <c r="AE298" s="350" t="n"/>
      <c r="AF298" s="350" t="n"/>
      <c r="AG298" s="30" t="n"/>
      <c r="AH298" s="30" t="n"/>
      <c r="AI298" s="30" t="n"/>
      <c r="AJ298" s="30" t="n"/>
      <c r="AK298" s="30" t="n"/>
    </row>
    <row r="299" ht="15" customHeight="1" thickTop="1">
      <c r="A299" s="1423" t="inlineStr">
        <is>
          <t>Received during the reporting period</t>
        </is>
      </c>
      <c r="B299" s="1336" t="n"/>
      <c r="C299" s="1336" t="n"/>
      <c r="D299" s="1337" t="n"/>
      <c r="E299" s="549" t="n">
        <v>0</v>
      </c>
      <c r="F299" s="1421" t="n"/>
      <c r="G299" s="1398" t="n">
        <v>0</v>
      </c>
      <c r="H299" s="1340" t="n"/>
      <c r="I299" s="184" t="n">
        <v>0</v>
      </c>
      <c r="J299" s="1417" t="n"/>
      <c r="K299" s="1398" t="n">
        <v>0</v>
      </c>
      <c r="L299" s="1340" t="n"/>
      <c r="M299" s="350" t="n"/>
      <c r="N299" s="350" t="n"/>
      <c r="O299" s="350" t="n"/>
      <c r="P299" s="350" t="n"/>
      <c r="Q299" s="350" t="n"/>
      <c r="R299" s="350" t="n"/>
      <c r="S299" s="350" t="n"/>
      <c r="T299" s="350" t="n"/>
      <c r="U299" s="350" t="n"/>
      <c r="V299" s="350" t="n"/>
      <c r="W299" s="350" t="n"/>
      <c r="X299" s="350" t="n"/>
      <c r="Y299" s="350" t="n"/>
      <c r="Z299" s="350" t="n"/>
      <c r="AA299" s="350" t="n"/>
      <c r="AB299" s="350" t="n"/>
      <c r="AC299" s="350" t="n"/>
      <c r="AD299" s="350" t="n"/>
      <c r="AE299" s="350" t="n"/>
      <c r="AF299" s="350" t="n"/>
      <c r="AG299" s="30" t="n"/>
      <c r="AH299" s="30" t="n"/>
      <c r="AI299" s="30" t="n"/>
      <c r="AJ299" s="30" t="n"/>
      <c r="AK299" s="30" t="n"/>
    </row>
    <row r="300" ht="27.4" customHeight="1" thickBot="1">
      <c r="A300" s="1440" t="inlineStr">
        <is>
          <t>Outstanding from the previous reporting period</t>
        </is>
      </c>
      <c r="B300" s="1348" t="n"/>
      <c r="C300" s="1348" t="n"/>
      <c r="D300" s="1356" t="n"/>
      <c r="E300" s="616" t="n">
        <v>0</v>
      </c>
      <c r="F300" s="1449" t="n"/>
      <c r="G300" s="316" t="n">
        <v>0</v>
      </c>
      <c r="H300" s="1379" t="n"/>
      <c r="I300" s="589" t="n">
        <v>0</v>
      </c>
      <c r="J300" s="1419" t="n"/>
      <c r="K300" s="316" t="n">
        <v>0</v>
      </c>
      <c r="L300" s="1379" t="n"/>
      <c r="M300" s="350" t="n"/>
      <c r="N300" s="350" t="n"/>
      <c r="O300" s="350" t="n"/>
      <c r="P300" s="350" t="n"/>
      <c r="Q300" s="350" t="n"/>
      <c r="R300" s="350" t="n"/>
      <c r="S300" s="350" t="n"/>
      <c r="T300" s="350" t="n"/>
      <c r="U300" s="350" t="n"/>
      <c r="V300" s="350" t="n"/>
      <c r="W300" s="350" t="n"/>
      <c r="X300" s="350" t="n"/>
      <c r="Y300" s="350" t="n"/>
      <c r="Z300" s="350" t="n"/>
      <c r="AA300" s="350" t="n"/>
      <c r="AB300" s="350" t="n"/>
      <c r="AC300" s="350" t="n"/>
      <c r="AD300" s="350" t="n"/>
      <c r="AE300" s="350" t="n"/>
      <c r="AF300" s="350" t="n"/>
      <c r="AG300" s="30" t="n"/>
      <c r="AH300" s="30" t="n"/>
      <c r="AI300" s="30" t="n"/>
      <c r="AJ300" s="30" t="n"/>
      <c r="AK300" s="30" t="n"/>
    </row>
    <row r="301" ht="15.75" customHeight="1" thickBot="1" thickTop="1">
      <c r="A301" s="1450" t="inlineStr">
        <is>
          <t>Total</t>
        </is>
      </c>
      <c r="B301" s="1333" t="n"/>
      <c r="C301" s="1333" t="n"/>
      <c r="D301" s="1334" t="n"/>
      <c r="E301" s="819">
        <f>SUM(E299:F300)</f>
        <v/>
      </c>
      <c r="F301" s="1386" t="n"/>
      <c r="G301" s="1451">
        <f>SUM(G299:H300)</f>
        <v/>
      </c>
      <c r="H301" s="1334" t="n"/>
      <c r="I301" s="819">
        <f>SUM(I299:J300)</f>
        <v/>
      </c>
      <c r="J301" s="1386" t="n"/>
      <c r="K301" s="1451">
        <f>SUM(K299:L300)</f>
        <v/>
      </c>
      <c r="L301" s="1334" t="n"/>
      <c r="M301" s="342">
        <f>IF(SUM(E303:F304)&lt;&gt;(E301-E302),"Section 7.1 - The sum of rows 5 and 6 (""Carried over"") in column  of ""Other Government of Canada Institutions"" should be equal to ""Total"" minus ""Closed during the reporting period"" of that same column.","")</f>
        <v/>
      </c>
      <c r="AA301" s="350" t="n"/>
      <c r="AB301" s="350" t="n"/>
      <c r="AC301" s="350" t="n"/>
      <c r="AD301" s="350" t="n"/>
      <c r="AE301" s="350" t="n"/>
      <c r="AF301" s="350" t="n"/>
      <c r="AG301" s="30" t="n"/>
      <c r="AH301" s="30" t="n"/>
      <c r="AI301" s="30" t="n"/>
      <c r="AJ301" s="30" t="n"/>
      <c r="AK301" s="30" t="n"/>
    </row>
    <row r="302" ht="15" customHeight="1" thickTop="1">
      <c r="A302" s="1423" t="inlineStr">
        <is>
          <t>Closed during the reporting period</t>
        </is>
      </c>
      <c r="B302" s="1336" t="n"/>
      <c r="C302" s="1336" t="n"/>
      <c r="D302" s="1337" t="n"/>
      <c r="E302" s="549" t="n">
        <v>0</v>
      </c>
      <c r="F302" s="1421" t="n"/>
      <c r="G302" s="1398" t="n">
        <v>0</v>
      </c>
      <c r="H302" s="1340" t="n"/>
      <c r="I302" s="184" t="n">
        <v>0</v>
      </c>
      <c r="J302" s="1417" t="n"/>
      <c r="K302" s="1398" t="n">
        <v>0</v>
      </c>
      <c r="L302" s="1340" t="n"/>
      <c r="M302" s="342">
        <f>IF(SUM(G303:H304)&lt;&gt;(G301-G302),"Section 7.1 - The sum of rows 5 and 6 (""Carried over"") in column  of ""Number of Pages to Review"" should be equal to ""Total"" minus ""Closed during the reporting period"" of that same column.","")</f>
        <v/>
      </c>
      <c r="AA302" s="350" t="n"/>
      <c r="AB302" s="350" t="n"/>
      <c r="AC302" s="350" t="n"/>
      <c r="AD302" s="350" t="n"/>
      <c r="AE302" s="350" t="n"/>
      <c r="AF302" s="350" t="n"/>
      <c r="AG302" s="30" t="n"/>
      <c r="AH302" s="30" t="n"/>
      <c r="AI302" s="30" t="n"/>
      <c r="AJ302" s="30" t="n"/>
      <c r="AK302" s="30" t="n"/>
    </row>
    <row r="303">
      <c r="A303" s="1425" t="inlineStr">
        <is>
          <t>Carried over within negotiated timelines</t>
        </is>
      </c>
      <c r="B303" s="1342" t="n"/>
      <c r="C303" s="1342" t="n"/>
      <c r="D303" s="1343" t="n"/>
      <c r="E303" s="737" t="n">
        <v>0</v>
      </c>
      <c r="F303" s="1418" t="n"/>
      <c r="G303" s="578" t="n">
        <v>0</v>
      </c>
      <c r="H303" s="1368" t="n"/>
      <c r="I303" s="737" t="n">
        <v>0</v>
      </c>
      <c r="J303" s="1418" t="n"/>
      <c r="K303" s="578" t="n">
        <v>0</v>
      </c>
      <c r="L303" s="1368" t="n"/>
      <c r="M303" s="342">
        <f>IF(SUM(I303:J304)&lt;&gt;(I301-I302),"Section 7.1 - The sum of rows 5 and 6 (""Carried over"") in column  of ""Other Organizations"" should be equal to ""Total"" minus ""Closed during the reporting period"" of that same column.","")</f>
        <v/>
      </c>
      <c r="AA303" s="350" t="n"/>
      <c r="AB303" s="350" t="n"/>
      <c r="AC303" s="350" t="n"/>
      <c r="AD303" s="350" t="n"/>
      <c r="AE303" s="350" t="n"/>
      <c r="AF303" s="350" t="n"/>
      <c r="AG303" s="30" t="n"/>
      <c r="AH303" s="30" t="n"/>
      <c r="AI303" s="30" t="n"/>
      <c r="AJ303" s="30" t="n"/>
      <c r="AK303" s="30" t="n"/>
    </row>
    <row r="304" ht="24.75" customHeight="1" thickBot="1">
      <c r="A304" s="1440" t="inlineStr">
        <is>
          <t>Carried over beyond negotiated timelines</t>
        </is>
      </c>
      <c r="B304" s="1348" t="n"/>
      <c r="C304" s="1348" t="n"/>
      <c r="D304" s="1356" t="n"/>
      <c r="E304" s="589" t="n">
        <v>0</v>
      </c>
      <c r="F304" s="1419" t="n"/>
      <c r="G304" s="316" t="n">
        <v>0</v>
      </c>
      <c r="H304" s="1379" t="n"/>
      <c r="I304" s="589" t="n">
        <v>0</v>
      </c>
      <c r="J304" s="1419" t="n"/>
      <c r="K304" s="316" t="n">
        <v>0</v>
      </c>
      <c r="L304" s="1379" t="n"/>
      <c r="M304" s="342">
        <f>IF(SUM(K303:L304)&lt;&gt;(K301-K302),"Section 7.1 - The sum of rows 5 and 6 (""Carried over"") in column  of ""Number of Pages to Review"" should be equal to ""Total"" minus ""Closed during the reporting period"" of that same column.","")</f>
        <v/>
      </c>
      <c r="AA304" s="350" t="n"/>
      <c r="AB304" s="350" t="n"/>
      <c r="AC304" s="350" t="n"/>
      <c r="AD304" s="350" t="n"/>
      <c r="AE304" s="350" t="n"/>
      <c r="AF304" s="350" t="n"/>
      <c r="AG304" s="30" t="n"/>
      <c r="AH304" s="30" t="n"/>
      <c r="AI304" s="30" t="n"/>
      <c r="AJ304" s="30" t="n"/>
      <c r="AK304" s="30" t="n"/>
    </row>
    <row r="305" ht="14.25" customHeight="1" thickTop="1">
      <c r="A305" s="57" t="n"/>
      <c r="B305" s="57" t="n"/>
      <c r="C305" s="57" t="n"/>
      <c r="D305" s="57" t="n"/>
      <c r="E305" s="471" t="n"/>
      <c r="F305" s="471" t="n"/>
      <c r="H305" s="471" t="n"/>
      <c r="I305" s="471" t="n"/>
      <c r="J305" s="471" t="n"/>
      <c r="K305" s="471" t="n"/>
      <c r="L305" s="471" t="n"/>
      <c r="M305" s="350" t="n"/>
      <c r="N305" s="350" t="n"/>
      <c r="O305" s="350" t="n"/>
      <c r="P305" s="350" t="n"/>
      <c r="Q305" s="350" t="n"/>
      <c r="R305" s="350" t="n"/>
      <c r="S305" s="350" t="n"/>
      <c r="T305" s="350" t="n"/>
      <c r="U305" s="350" t="n"/>
      <c r="V305" s="350" t="n"/>
      <c r="W305" s="350" t="n"/>
      <c r="X305" s="350" t="n"/>
      <c r="Y305" s="350" t="n"/>
      <c r="Z305" s="350" t="n"/>
      <c r="AA305" s="350" t="n"/>
      <c r="AB305" s="350" t="n"/>
      <c r="AC305" s="350" t="n"/>
      <c r="AD305" s="350" t="n"/>
      <c r="AE305" s="350" t="n"/>
      <c r="AF305" s="350" t="n"/>
      <c r="AG305" s="30" t="n"/>
      <c r="AH305" s="30" t="n"/>
      <c r="AI305" s="30" t="n"/>
      <c r="AJ305" s="30" t="n"/>
      <c r="AK305" s="30" t="n"/>
    </row>
    <row r="306" ht="29.25" customHeight="1">
      <c r="A306" s="606" t="inlineStr">
        <is>
          <t>7.2 Recommendations and completion time for consultations received from other Government of Canada institutions</t>
        </is>
      </c>
      <c r="M306" s="350" t="n"/>
      <c r="N306" s="350" t="n"/>
      <c r="O306" s="350" t="n"/>
      <c r="P306" s="350" t="n"/>
      <c r="Q306" s="350" t="n"/>
      <c r="R306" s="350" t="n"/>
      <c r="S306" s="350" t="n"/>
      <c r="T306" s="350" t="n"/>
      <c r="U306" s="350" t="n"/>
      <c r="V306" s="350" t="n"/>
      <c r="W306" s="350" t="n"/>
      <c r="X306" s="350" t="n"/>
      <c r="Y306" s="350" t="n"/>
      <c r="Z306" s="350" t="n"/>
      <c r="AA306" s="350" t="n"/>
      <c r="AB306" s="350" t="n"/>
      <c r="AC306" s="350" t="n"/>
      <c r="AD306" s="350" t="n"/>
      <c r="AE306" s="350" t="n"/>
      <c r="AF306" s="350" t="n"/>
      <c r="AG306" s="30" t="n"/>
      <c r="AH306" s="30" t="n"/>
      <c r="AI306" s="30" t="n"/>
      <c r="AJ306" s="30" t="n"/>
      <c r="AK306" s="30" t="n"/>
    </row>
    <row r="307" ht="15" customHeight="1" thickBot="1">
      <c r="M307" s="350" t="n"/>
      <c r="N307" s="350" t="n"/>
      <c r="O307" s="350" t="n"/>
      <c r="P307" s="350" t="n"/>
      <c r="Q307" s="350" t="n"/>
      <c r="R307" s="350" t="n"/>
      <c r="S307" s="350" t="n"/>
      <c r="T307" s="350" t="n"/>
      <c r="U307" s="350" t="n"/>
      <c r="V307" s="350" t="n"/>
      <c r="W307" s="350" t="n"/>
      <c r="X307" s="350" t="n"/>
      <c r="Y307" s="350" t="n"/>
      <c r="Z307" s="350" t="n"/>
      <c r="AA307" s="350" t="n"/>
      <c r="AB307" s="350" t="n"/>
      <c r="AC307" s="350" t="n"/>
      <c r="AD307" s="350" t="n"/>
      <c r="AE307" s="350" t="n"/>
      <c r="AF307" s="350" t="n"/>
      <c r="AG307" s="30" t="n"/>
      <c r="AH307" s="30" t="n"/>
      <c r="AI307" s="30" t="n"/>
      <c r="AJ307" s="30" t="n"/>
      <c r="AK307" s="30" t="n"/>
    </row>
    <row r="308" ht="13.9" customHeight="1" thickTop="1">
      <c r="A308" s="1452" t="inlineStr">
        <is>
          <t>Recommendation</t>
        </is>
      </c>
      <c r="B308" s="1353" t="n"/>
      <c r="C308" s="1353" t="n"/>
      <c r="D308" s="1354" t="n"/>
      <c r="E308" s="1430" t="inlineStr">
        <is>
          <t>Number of Days Required to Complete Consultation Requests</t>
        </is>
      </c>
      <c r="F308" s="1336" t="n"/>
      <c r="G308" s="1336" t="n"/>
      <c r="H308" s="1336" t="n"/>
      <c r="I308" s="1336" t="n"/>
      <c r="J308" s="1336" t="n"/>
      <c r="K308" s="1336" t="n"/>
      <c r="L308" s="1337" t="n"/>
      <c r="M308" s="350" t="n"/>
      <c r="N308" s="350" t="n"/>
      <c r="O308" s="350" t="n"/>
      <c r="P308" s="350" t="n"/>
      <c r="Q308" s="350" t="n"/>
      <c r="R308" s="350" t="n"/>
      <c r="S308" s="350" t="n"/>
      <c r="T308" s="350" t="n"/>
      <c r="U308" s="350" t="n"/>
      <c r="V308" s="350" t="n"/>
      <c r="W308" s="350" t="n"/>
      <c r="X308" s="350" t="n"/>
      <c r="Y308" s="350" t="n"/>
      <c r="Z308" s="350" t="n"/>
      <c r="AA308" s="350" t="n"/>
      <c r="AB308" s="350" t="n"/>
      <c r="AC308" s="350" t="n"/>
      <c r="AD308" s="350" t="n"/>
      <c r="AE308" s="350" t="n"/>
      <c r="AF308" s="350" t="n"/>
      <c r="AG308" s="30" t="n"/>
      <c r="AH308" s="30" t="n"/>
      <c r="AI308" s="30" t="n"/>
      <c r="AJ308" s="30" t="n"/>
      <c r="AK308" s="30" t="n"/>
    </row>
    <row r="309" ht="36.75" customHeight="1" thickBot="1">
      <c r="A309" s="1349" t="n"/>
      <c r="B309" s="1350" t="n"/>
      <c r="C309" s="1350" t="n"/>
      <c r="D309" s="1374" t="n"/>
      <c r="E309" s="249" t="inlineStr">
        <is>
          <t>0 to 15 Days</t>
        </is>
      </c>
      <c r="F309" s="250" t="inlineStr">
        <is>
          <t>16 to 30 Days</t>
        </is>
      </c>
      <c r="G309" s="250" t="inlineStr">
        <is>
          <t>31 to 60 Days</t>
        </is>
      </c>
      <c r="H309" s="250" t="inlineStr">
        <is>
          <t>61 to 120 Days</t>
        </is>
      </c>
      <c r="I309" s="250" t="inlineStr">
        <is>
          <t>121  to 180 Days</t>
        </is>
      </c>
      <c r="J309" s="250" t="inlineStr">
        <is>
          <t>181 to 365 Days</t>
        </is>
      </c>
      <c r="K309" s="251" t="inlineStr">
        <is>
          <t>More Than 365 Days</t>
        </is>
      </c>
      <c r="L309" s="252" t="inlineStr">
        <is>
          <t>Total</t>
        </is>
      </c>
      <c r="M309" s="350" t="n"/>
      <c r="N309" s="350" t="n"/>
      <c r="O309" s="350" t="n"/>
      <c r="P309" s="350" t="n"/>
      <c r="Q309" s="350" t="n"/>
      <c r="R309" s="350" t="n"/>
      <c r="S309" s="350" t="n"/>
      <c r="T309" s="350" t="n"/>
      <c r="U309" s="350" t="n"/>
      <c r="V309" s="350" t="n"/>
      <c r="W309" s="350" t="n"/>
      <c r="X309" s="350" t="n"/>
      <c r="Y309" s="350" t="n"/>
      <c r="Z309" s="350" t="n"/>
      <c r="AA309" s="350" t="n"/>
      <c r="AB309" s="350" t="n"/>
      <c r="AC309" s="350" t="n"/>
      <c r="AD309" s="350" t="n"/>
      <c r="AE309" s="350" t="n"/>
      <c r="AF309" s="350" t="n"/>
      <c r="AG309" s="30" t="n"/>
      <c r="AH309" s="30" t="n"/>
      <c r="AI309" s="30" t="n"/>
      <c r="AJ309" s="30" t="n"/>
      <c r="AK309" s="30" t="n"/>
    </row>
    <row r="310" ht="15" customHeight="1" thickTop="1">
      <c r="A310" s="1434" t="inlineStr">
        <is>
          <t>Disclose entirely</t>
        </is>
      </c>
      <c r="B310" s="1336" t="n"/>
      <c r="C310" s="1336" t="n"/>
      <c r="D310" s="1337" t="n"/>
      <c r="E310" s="483" t="n">
        <v>0</v>
      </c>
      <c r="F310" s="484" t="n">
        <v>0</v>
      </c>
      <c r="G310" s="484" t="n">
        <v>0</v>
      </c>
      <c r="H310" s="484" t="n">
        <v>0</v>
      </c>
      <c r="I310" s="484" t="n">
        <v>0</v>
      </c>
      <c r="J310" s="484" t="n">
        <v>0</v>
      </c>
      <c r="K310" s="594" t="n">
        <v>0</v>
      </c>
      <c r="L310" s="266">
        <f>SUM(E310:K310)</f>
        <v/>
      </c>
      <c r="M310" s="350" t="n"/>
      <c r="N310" s="350" t="n"/>
      <c r="O310" s="350" t="n"/>
      <c r="P310" s="350" t="n"/>
      <c r="Q310" s="350" t="n"/>
      <c r="R310" s="350" t="n"/>
      <c r="S310" s="350" t="n"/>
      <c r="T310" s="350" t="n"/>
      <c r="U310" s="350" t="n"/>
      <c r="V310" s="350" t="n"/>
      <c r="W310" s="350" t="n"/>
      <c r="X310" s="350" t="n"/>
      <c r="Y310" s="350" t="n"/>
      <c r="Z310" s="350" t="n"/>
      <c r="AA310" s="350" t="n"/>
      <c r="AB310" s="350" t="n"/>
      <c r="AC310" s="350" t="n"/>
      <c r="AD310" s="350" t="n"/>
      <c r="AE310" s="350" t="n"/>
      <c r="AF310" s="350" t="n"/>
      <c r="AG310" s="30" t="n"/>
      <c r="AH310" s="30" t="n"/>
      <c r="AI310" s="30" t="n"/>
      <c r="AJ310" s="30" t="n"/>
      <c r="AK310" s="30" t="n"/>
    </row>
    <row r="311">
      <c r="A311" s="1435" t="inlineStr">
        <is>
          <t>Disclose in part</t>
        </is>
      </c>
      <c r="B311" s="1342" t="n"/>
      <c r="C311" s="1342" t="n"/>
      <c r="D311" s="1343" t="n"/>
      <c r="E311" s="476" t="n">
        <v>0</v>
      </c>
      <c r="F311" s="477" t="n">
        <v>0</v>
      </c>
      <c r="G311" s="477" t="n">
        <v>0</v>
      </c>
      <c r="H311" s="477" t="n">
        <v>0</v>
      </c>
      <c r="I311" s="477" t="n">
        <v>0</v>
      </c>
      <c r="J311" s="477" t="n">
        <v>0</v>
      </c>
      <c r="K311" s="430" t="n">
        <v>0</v>
      </c>
      <c r="L311" s="267">
        <f>SUM(E311:K311)</f>
        <v/>
      </c>
      <c r="M311" s="350" t="n"/>
      <c r="N311" s="350" t="n"/>
      <c r="O311" s="350" t="n"/>
      <c r="P311" s="350" t="n"/>
      <c r="Q311" s="350" t="n"/>
      <c r="R311" s="350" t="n"/>
      <c r="S311" s="350" t="n"/>
      <c r="T311" s="350" t="n"/>
      <c r="U311" s="350" t="n"/>
      <c r="V311" s="350" t="n"/>
      <c r="W311" s="350" t="n"/>
      <c r="X311" s="350" t="n"/>
      <c r="Y311" s="350" t="n"/>
      <c r="Z311" s="350" t="n"/>
      <c r="AA311" s="350" t="n"/>
      <c r="AB311" s="350" t="n"/>
      <c r="AC311" s="350" t="n"/>
      <c r="AD311" s="350" t="n"/>
      <c r="AE311" s="350" t="n"/>
      <c r="AF311" s="350" t="n"/>
      <c r="AG311" s="30" t="n"/>
      <c r="AH311" s="30" t="n"/>
      <c r="AI311" s="30" t="n"/>
      <c r="AJ311" s="30" t="n"/>
      <c r="AK311" s="30" t="n"/>
    </row>
    <row r="312">
      <c r="A312" s="1435" t="inlineStr">
        <is>
          <t>Exempt entirely</t>
        </is>
      </c>
      <c r="B312" s="1342" t="n"/>
      <c r="C312" s="1342" t="n"/>
      <c r="D312" s="1343" t="n"/>
      <c r="E312" s="476" t="n">
        <v>0</v>
      </c>
      <c r="F312" s="477" t="n">
        <v>0</v>
      </c>
      <c r="G312" s="477" t="n">
        <v>0</v>
      </c>
      <c r="H312" s="477" t="n">
        <v>0</v>
      </c>
      <c r="I312" s="477" t="n">
        <v>0</v>
      </c>
      <c r="J312" s="477" t="n">
        <v>0</v>
      </c>
      <c r="K312" s="430" t="n">
        <v>0</v>
      </c>
      <c r="L312" s="267">
        <f>SUM(E312:K312)</f>
        <v/>
      </c>
      <c r="M312" s="350" t="n"/>
      <c r="N312" s="350" t="n"/>
      <c r="O312" s="350" t="n"/>
      <c r="P312" s="350" t="n"/>
      <c r="Q312" s="350" t="n"/>
      <c r="R312" s="350" t="n"/>
      <c r="S312" s="350" t="n"/>
      <c r="T312" s="350" t="n"/>
      <c r="U312" s="350" t="n"/>
      <c r="V312" s="350" t="n"/>
      <c r="W312" s="350" t="n"/>
      <c r="X312" s="350" t="n"/>
      <c r="Y312" s="350" t="n"/>
      <c r="Z312" s="350" t="n"/>
      <c r="AA312" s="350" t="n"/>
      <c r="AB312" s="350" t="n"/>
      <c r="AC312" s="350" t="n"/>
      <c r="AD312" s="350" t="n"/>
      <c r="AE312" s="350" t="n"/>
      <c r="AF312" s="350" t="n"/>
      <c r="AG312" s="30" t="n"/>
      <c r="AH312" s="30" t="n"/>
      <c r="AI312" s="30" t="n"/>
      <c r="AJ312" s="30" t="n"/>
      <c r="AK312" s="30" t="n"/>
    </row>
    <row r="313">
      <c r="A313" s="1435" t="inlineStr">
        <is>
          <t>Exclude entirely</t>
        </is>
      </c>
      <c r="B313" s="1342" t="n"/>
      <c r="C313" s="1342" t="n"/>
      <c r="D313" s="1343" t="n"/>
      <c r="E313" s="476" t="n">
        <v>0</v>
      </c>
      <c r="F313" s="477" t="n">
        <v>0</v>
      </c>
      <c r="G313" s="477" t="n">
        <v>0</v>
      </c>
      <c r="H313" s="477" t="n">
        <v>0</v>
      </c>
      <c r="I313" s="477" t="n">
        <v>0</v>
      </c>
      <c r="J313" s="477" t="n">
        <v>0</v>
      </c>
      <c r="K313" s="430" t="n">
        <v>0</v>
      </c>
      <c r="L313" s="267">
        <f>SUM(E313:K313)</f>
        <v/>
      </c>
      <c r="M313" s="350" t="n"/>
      <c r="N313" s="350" t="n"/>
      <c r="O313" s="350" t="n"/>
      <c r="P313" s="350" t="n"/>
      <c r="Q313" s="350" t="n"/>
      <c r="R313" s="350" t="n"/>
      <c r="S313" s="350" t="n"/>
      <c r="T313" s="350" t="n"/>
      <c r="U313" s="350" t="n"/>
      <c r="V313" s="350" t="n"/>
      <c r="W313" s="350" t="n"/>
      <c r="X313" s="350" t="n"/>
      <c r="Y313" s="350" t="n"/>
      <c r="Z313" s="350" t="n"/>
      <c r="AA313" s="350" t="n"/>
      <c r="AB313" s="350" t="n"/>
      <c r="AC313" s="350" t="n"/>
      <c r="AD313" s="350" t="n"/>
      <c r="AE313" s="350" t="n"/>
      <c r="AF313" s="350" t="n"/>
      <c r="AG313" s="30" t="n"/>
      <c r="AH313" s="30" t="n"/>
      <c r="AI313" s="30" t="n"/>
      <c r="AJ313" s="30" t="n"/>
      <c r="AK313" s="30" t="n"/>
    </row>
    <row r="314">
      <c r="A314" s="1435" t="inlineStr">
        <is>
          <t>Consult other institution</t>
        </is>
      </c>
      <c r="B314" s="1342" t="n"/>
      <c r="C314" s="1342" t="n"/>
      <c r="D314" s="1343" t="n"/>
      <c r="E314" s="476" t="n">
        <v>0</v>
      </c>
      <c r="F314" s="477" t="n">
        <v>0</v>
      </c>
      <c r="G314" s="477" t="n">
        <v>0</v>
      </c>
      <c r="H314" s="477" t="n">
        <v>0</v>
      </c>
      <c r="I314" s="477" t="n">
        <v>0</v>
      </c>
      <c r="J314" s="477" t="n">
        <v>0</v>
      </c>
      <c r="K314" s="430" t="n">
        <v>0</v>
      </c>
      <c r="L314" s="267">
        <f>SUM(E314:K314)</f>
        <v/>
      </c>
      <c r="M314" s="350" t="n"/>
      <c r="N314" s="350" t="n"/>
      <c r="O314" s="350" t="n"/>
      <c r="P314" s="350" t="n"/>
      <c r="Q314" s="350" t="n"/>
      <c r="R314" s="350" t="n"/>
      <c r="S314" s="350" t="n"/>
      <c r="T314" s="350" t="n"/>
      <c r="U314" s="350" t="n"/>
      <c r="V314" s="350" t="n"/>
      <c r="W314" s="350" t="n"/>
      <c r="X314" s="350" t="n"/>
      <c r="Y314" s="350" t="n"/>
      <c r="Z314" s="350" t="n"/>
      <c r="AA314" s="350" t="n"/>
      <c r="AB314" s="350" t="n"/>
      <c r="AC314" s="350" t="n"/>
      <c r="AD314" s="350" t="n"/>
      <c r="AE314" s="350" t="n"/>
      <c r="AF314" s="350" t="n"/>
      <c r="AG314" s="30" t="n"/>
      <c r="AH314" s="30" t="n"/>
      <c r="AI314" s="30" t="n"/>
      <c r="AJ314" s="30" t="n"/>
      <c r="AK314" s="30" t="n"/>
    </row>
    <row r="315" ht="15" customHeight="1" thickBot="1">
      <c r="A315" s="1436" t="inlineStr">
        <is>
          <t>Other</t>
        </is>
      </c>
      <c r="B315" s="1348" t="n"/>
      <c r="C315" s="1348" t="n"/>
      <c r="D315" s="1356" t="n"/>
      <c r="E315" s="547" t="n">
        <v>0</v>
      </c>
      <c r="F315" s="548" t="n">
        <v>0</v>
      </c>
      <c r="G315" s="548" t="n">
        <v>0</v>
      </c>
      <c r="H315" s="548" t="n">
        <v>0</v>
      </c>
      <c r="I315" s="548" t="n">
        <v>0</v>
      </c>
      <c r="J315" s="548" t="n">
        <v>0</v>
      </c>
      <c r="K315" s="571" t="n">
        <v>0</v>
      </c>
      <c r="L315" s="268">
        <f>SUM(E315:K315)</f>
        <v/>
      </c>
      <c r="M315" s="350" t="n"/>
      <c r="N315" s="350" t="n"/>
      <c r="O315" s="350" t="n"/>
      <c r="P315" s="350" t="n"/>
      <c r="Q315" s="350" t="n"/>
      <c r="R315" s="350" t="n"/>
      <c r="S315" s="350" t="n"/>
      <c r="T315" s="350" t="n"/>
      <c r="U315" s="350" t="n"/>
      <c r="V315" s="350" t="n"/>
      <c r="W315" s="350" t="n"/>
      <c r="X315" s="350" t="n"/>
      <c r="Y315" s="350" t="n"/>
      <c r="Z315" s="350" t="n"/>
      <c r="AA315" s="350" t="n"/>
      <c r="AB315" s="350" t="n"/>
      <c r="AC315" s="350" t="n"/>
      <c r="AD315" s="350" t="n"/>
      <c r="AE315" s="350" t="n"/>
      <c r="AF315" s="350" t="n"/>
      <c r="AG315" s="30" t="n"/>
      <c r="AH315" s="30" t="n"/>
      <c r="AI315" s="30" t="n"/>
      <c r="AJ315" s="30" t="n"/>
      <c r="AK315" s="30" t="n"/>
    </row>
    <row r="316" ht="15.75" customHeight="1" thickBot="1" thickTop="1">
      <c r="A316" s="1427" t="inlineStr">
        <is>
          <t>Total</t>
        </is>
      </c>
      <c r="B316" s="1333" t="n"/>
      <c r="C316" s="1333" t="n"/>
      <c r="D316" s="1334" t="n"/>
      <c r="E316" s="545">
        <f>SUM(E310:E315)</f>
        <v/>
      </c>
      <c r="F316" s="546">
        <f>SUM(F310:F315)</f>
        <v/>
      </c>
      <c r="G316" s="546">
        <f>SUM(G310:G315)</f>
        <v/>
      </c>
      <c r="H316" s="546">
        <f>SUM(H310:H315)</f>
        <v/>
      </c>
      <c r="I316" s="546">
        <f>SUM(I310:I315)</f>
        <v/>
      </c>
      <c r="J316" s="546">
        <f>SUM(J310:J315)</f>
        <v/>
      </c>
      <c r="K316" s="597">
        <f>SUM(K310:K315)</f>
        <v/>
      </c>
      <c r="L316" s="265">
        <f>SUM(L310:L315)</f>
        <v/>
      </c>
      <c r="M316" s="913">
        <f>IF(L316&lt;&gt;E302,"Section 7.2 - The ""Total"" of all totals should be equal to the number of ""Closed during the reporting period"" of ""Other Government of Canada Institutions"" of Section 7.1","")</f>
        <v/>
      </c>
      <c r="AB316" s="350" t="n"/>
      <c r="AC316" s="350" t="n"/>
      <c r="AD316" s="350" t="n"/>
      <c r="AE316" s="350" t="n"/>
      <c r="AF316" s="350" t="n"/>
      <c r="AG316" s="30" t="n"/>
      <c r="AH316" s="30" t="n"/>
      <c r="AI316" s="30" t="n"/>
      <c r="AJ316" s="30" t="n"/>
      <c r="AK316" s="30" t="n"/>
    </row>
    <row r="317" ht="14.25" customHeight="1" thickTop="1">
      <c r="A317" s="52" t="n"/>
      <c r="B317" s="52" t="n"/>
      <c r="C317" s="52" t="n"/>
      <c r="D317" s="52" t="n"/>
      <c r="E317" s="471" t="n"/>
      <c r="F317" s="471" t="n"/>
      <c r="G317" s="471" t="n"/>
      <c r="H317" s="471" t="n"/>
      <c r="I317" s="471" t="n"/>
      <c r="J317" s="471" t="n"/>
      <c r="K317" s="471" t="n"/>
      <c r="L317" s="471" t="n"/>
      <c r="AB317" s="350" t="n"/>
      <c r="AC317" s="350" t="n"/>
      <c r="AD317" s="350" t="n"/>
      <c r="AE317" s="350" t="n"/>
      <c r="AF317" s="350" t="n"/>
      <c r="AG317" s="30" t="n"/>
      <c r="AH317" s="30" t="n"/>
      <c r="AI317" s="30" t="n"/>
      <c r="AJ317" s="30" t="n"/>
      <c r="AK317" s="30" t="n"/>
    </row>
    <row r="318" ht="31.5" customHeight="1">
      <c r="A318" s="606" t="inlineStr">
        <is>
          <t>7.3 Recommendations and completion time for consultations received from other organizations outside the Government of Canada</t>
        </is>
      </c>
      <c r="M318" s="350" t="n"/>
      <c r="N318" s="350" t="n"/>
      <c r="O318" s="350" t="n"/>
      <c r="P318" s="350" t="n"/>
      <c r="Q318" s="350" t="n"/>
      <c r="R318" s="350" t="n"/>
      <c r="S318" s="350" t="n"/>
      <c r="T318" s="350" t="n"/>
      <c r="U318" s="350" t="n"/>
      <c r="V318" s="350" t="n"/>
      <c r="W318" s="350" t="n"/>
      <c r="X318" s="350" t="n"/>
      <c r="Y318" s="350" t="n"/>
      <c r="Z318" s="350" t="n"/>
      <c r="AA318" s="350" t="n"/>
      <c r="AB318" s="350" t="n"/>
      <c r="AC318" s="350" t="n"/>
      <c r="AD318" s="350" t="n"/>
      <c r="AE318" s="350" t="n"/>
      <c r="AF318" s="350" t="n"/>
      <c r="AG318" s="30" t="n"/>
      <c r="AH318" s="30" t="n"/>
      <c r="AI318" s="30" t="n"/>
      <c r="AJ318" s="30" t="n"/>
      <c r="AK318" s="30" t="n"/>
    </row>
    <row r="319" ht="15" customHeight="1" thickBot="1">
      <c r="M319" s="350" t="n"/>
      <c r="N319" s="350" t="n"/>
      <c r="O319" s="350" t="n"/>
      <c r="P319" s="350" t="n"/>
      <c r="Q319" s="350" t="n"/>
      <c r="R319" s="350" t="n"/>
      <c r="S319" s="350" t="n"/>
      <c r="T319" s="350" t="n"/>
      <c r="U319" s="350" t="n"/>
      <c r="V319" s="350" t="n"/>
      <c r="W319" s="350" t="n"/>
      <c r="X319" s="350" t="n"/>
      <c r="Y319" s="350" t="n"/>
      <c r="Z319" s="350" t="n"/>
      <c r="AA319" s="350" t="n"/>
      <c r="AB319" s="350" t="n"/>
      <c r="AC319" s="350" t="n"/>
      <c r="AD319" s="350" t="n"/>
      <c r="AE319" s="350" t="n"/>
      <c r="AF319" s="350" t="n"/>
      <c r="AG319" s="30" t="n"/>
      <c r="AH319" s="30" t="n"/>
      <c r="AI319" s="30" t="n"/>
      <c r="AJ319" s="30" t="n"/>
      <c r="AK319" s="30" t="n"/>
    </row>
    <row r="320" ht="14.25" customHeight="1" thickTop="1">
      <c r="A320" s="1452" t="inlineStr">
        <is>
          <t>Recommendation</t>
        </is>
      </c>
      <c r="B320" s="1353" t="n"/>
      <c r="C320" s="1353" t="n"/>
      <c r="D320" s="1354" t="n"/>
      <c r="E320" s="1430" t="inlineStr">
        <is>
          <t>Number of Days Required to Complete Consultation Requests</t>
        </is>
      </c>
      <c r="F320" s="1336" t="n"/>
      <c r="G320" s="1336" t="n"/>
      <c r="H320" s="1336" t="n"/>
      <c r="I320" s="1336" t="n"/>
      <c r="J320" s="1336" t="n"/>
      <c r="K320" s="1336" t="n"/>
      <c r="L320" s="1337" t="n"/>
      <c r="M320" s="350" t="n"/>
      <c r="N320" s="350" t="n"/>
      <c r="O320" s="350" t="n"/>
      <c r="P320" s="350" t="n"/>
      <c r="Q320" s="350" t="n"/>
      <c r="R320" s="350" t="n"/>
      <c r="S320" s="350" t="n"/>
      <c r="T320" s="350" t="n"/>
      <c r="U320" s="350" t="n"/>
      <c r="V320" s="350" t="n"/>
      <c r="W320" s="350" t="n"/>
      <c r="X320" s="350" t="n"/>
      <c r="Y320" s="350" t="n"/>
      <c r="Z320" s="350" t="n"/>
      <c r="AA320" s="350" t="n"/>
      <c r="AB320" s="350" t="n"/>
      <c r="AC320" s="350" t="n"/>
      <c r="AD320" s="350" t="n"/>
      <c r="AE320" s="350" t="n"/>
      <c r="AF320" s="350" t="n"/>
      <c r="AG320" s="30" t="n"/>
      <c r="AH320" s="30" t="n"/>
      <c r="AI320" s="30" t="n"/>
      <c r="AJ320" s="30" t="n"/>
      <c r="AK320" s="30" t="n"/>
    </row>
    <row r="321" ht="36.75" customHeight="1" thickBot="1">
      <c r="A321" s="1349" t="n"/>
      <c r="B321" s="1350" t="n"/>
      <c r="C321" s="1350" t="n"/>
      <c r="D321" s="1374" t="n"/>
      <c r="E321" s="249" t="inlineStr">
        <is>
          <t>0 to 15 Days</t>
        </is>
      </c>
      <c r="F321" s="250" t="inlineStr">
        <is>
          <t>16 to 30 Days</t>
        </is>
      </c>
      <c r="G321" s="250" t="inlineStr">
        <is>
          <t>31 to 60 Days</t>
        </is>
      </c>
      <c r="H321" s="250" t="inlineStr">
        <is>
          <t>61 to 120 Days</t>
        </is>
      </c>
      <c r="I321" s="250" t="inlineStr">
        <is>
          <t>121 to 180 Days</t>
        </is>
      </c>
      <c r="J321" s="250" t="inlineStr">
        <is>
          <t>181 to 365 Days</t>
        </is>
      </c>
      <c r="K321" s="251" t="inlineStr">
        <is>
          <t>More Than 365 Days</t>
        </is>
      </c>
      <c r="L321" s="252" t="inlineStr">
        <is>
          <t>Total</t>
        </is>
      </c>
      <c r="M321" s="350" t="n"/>
      <c r="N321" s="350" t="n"/>
      <c r="O321" s="350" t="n"/>
      <c r="P321" s="350" t="n"/>
      <c r="Q321" s="350" t="n"/>
      <c r="R321" s="350" t="n"/>
      <c r="S321" s="350" t="n"/>
      <c r="T321" s="350" t="n"/>
      <c r="U321" s="350" t="n"/>
      <c r="V321" s="350" t="n"/>
      <c r="W321" s="350" t="n"/>
      <c r="X321" s="350" t="n"/>
      <c r="Y321" s="350" t="n"/>
      <c r="Z321" s="350" t="n"/>
      <c r="AA321" s="350" t="n"/>
      <c r="AB321" s="350" t="n"/>
      <c r="AC321" s="350" t="n"/>
      <c r="AD321" s="350" t="n"/>
      <c r="AE321" s="350" t="n"/>
      <c r="AF321" s="350" t="n"/>
      <c r="AG321" s="30" t="n"/>
      <c r="AH321" s="30" t="n"/>
      <c r="AI321" s="30" t="n"/>
      <c r="AJ321" s="30" t="n"/>
      <c r="AK321" s="30" t="n"/>
    </row>
    <row r="322" ht="14.25" customHeight="1" thickTop="1">
      <c r="A322" s="1434" t="inlineStr">
        <is>
          <t>Disclose entirely</t>
        </is>
      </c>
      <c r="B322" s="1336" t="n"/>
      <c r="C322" s="1336" t="n"/>
      <c r="D322" s="1337" t="n"/>
      <c r="E322" s="483" t="n">
        <v>0</v>
      </c>
      <c r="F322" s="484" t="n">
        <v>0</v>
      </c>
      <c r="G322" s="484" t="n">
        <v>0</v>
      </c>
      <c r="H322" s="484" t="n">
        <v>0</v>
      </c>
      <c r="I322" s="484" t="n">
        <v>0</v>
      </c>
      <c r="J322" s="484" t="n">
        <v>0</v>
      </c>
      <c r="K322" s="594" t="n">
        <v>0</v>
      </c>
      <c r="L322" s="271">
        <f>SUM(E322:K322)</f>
        <v/>
      </c>
      <c r="M322" s="350" t="n"/>
      <c r="N322" s="350" t="n"/>
      <c r="O322" s="350" t="n"/>
      <c r="P322" s="350" t="n"/>
      <c r="Q322" s="350" t="n"/>
      <c r="R322" s="350" t="n"/>
      <c r="S322" s="350" t="n"/>
      <c r="T322" s="350" t="n"/>
      <c r="U322" s="350" t="n"/>
      <c r="V322" s="350" t="n"/>
      <c r="W322" s="350" t="n"/>
      <c r="X322" s="350" t="n"/>
      <c r="Y322" s="350" t="n"/>
      <c r="Z322" s="350" t="n"/>
      <c r="AA322" s="350" t="n"/>
      <c r="AB322" s="350" t="n"/>
      <c r="AC322" s="350" t="n"/>
      <c r="AD322" s="350" t="n"/>
      <c r="AE322" s="350" t="n"/>
      <c r="AF322" s="350" t="n"/>
      <c r="AG322" s="30" t="n"/>
      <c r="AH322" s="30" t="n"/>
      <c r="AI322" s="30" t="n"/>
      <c r="AJ322" s="30" t="n"/>
      <c r="AK322" s="30" t="n"/>
    </row>
    <row r="323" ht="14.25" customHeight="1">
      <c r="A323" s="1435" t="inlineStr">
        <is>
          <t>Disclose in part</t>
        </is>
      </c>
      <c r="B323" s="1342" t="n"/>
      <c r="C323" s="1342" t="n"/>
      <c r="D323" s="1343" t="n"/>
      <c r="E323" s="476" t="n">
        <v>0</v>
      </c>
      <c r="F323" s="477" t="n">
        <v>0</v>
      </c>
      <c r="G323" s="477" t="n">
        <v>0</v>
      </c>
      <c r="H323" s="477" t="n">
        <v>0</v>
      </c>
      <c r="I323" s="477" t="n">
        <v>0</v>
      </c>
      <c r="J323" s="477" t="n">
        <v>0</v>
      </c>
      <c r="K323" s="430" t="n">
        <v>0</v>
      </c>
      <c r="L323" s="267">
        <f>SUM(E323:K323)</f>
        <v/>
      </c>
      <c r="M323" s="350" t="n"/>
      <c r="N323" s="350" t="n"/>
      <c r="O323" s="350" t="n"/>
      <c r="P323" s="350" t="n"/>
      <c r="Q323" s="350" t="n"/>
      <c r="R323" s="350" t="n"/>
      <c r="S323" s="350" t="n"/>
      <c r="T323" s="350" t="n"/>
      <c r="U323" s="350" t="n"/>
      <c r="V323" s="350" t="n"/>
      <c r="W323" s="350" t="n"/>
      <c r="X323" s="350" t="n"/>
      <c r="Y323" s="350" t="n"/>
      <c r="Z323" s="350" t="n"/>
      <c r="AA323" s="350" t="n"/>
      <c r="AB323" s="350" t="n"/>
      <c r="AC323" s="350" t="n"/>
      <c r="AD323" s="350" t="n"/>
      <c r="AE323" s="350" t="n"/>
      <c r="AF323" s="350" t="n"/>
      <c r="AG323" s="30" t="n"/>
      <c r="AH323" s="30" t="n"/>
      <c r="AI323" s="30" t="n"/>
      <c r="AJ323" s="30" t="n"/>
      <c r="AK323" s="30" t="n"/>
    </row>
    <row r="324" ht="14.25" customHeight="1">
      <c r="A324" s="1435" t="inlineStr">
        <is>
          <t>Exempt entirely</t>
        </is>
      </c>
      <c r="B324" s="1342" t="n"/>
      <c r="C324" s="1342" t="n"/>
      <c r="D324" s="1343" t="n"/>
      <c r="E324" s="476" t="n">
        <v>0</v>
      </c>
      <c r="F324" s="477" t="n">
        <v>0</v>
      </c>
      <c r="G324" s="477" t="n">
        <v>0</v>
      </c>
      <c r="H324" s="477" t="n">
        <v>0</v>
      </c>
      <c r="I324" s="477" t="n">
        <v>0</v>
      </c>
      <c r="J324" s="477" t="n">
        <v>0</v>
      </c>
      <c r="K324" s="430" t="n">
        <v>0</v>
      </c>
      <c r="L324" s="267">
        <f>SUM(E324:K324)</f>
        <v/>
      </c>
      <c r="M324" s="350" t="n"/>
      <c r="N324" s="350" t="n"/>
      <c r="O324" s="350" t="n"/>
      <c r="P324" s="350" t="n"/>
      <c r="Q324" s="350" t="n"/>
      <c r="R324" s="350" t="n"/>
      <c r="S324" s="350" t="n"/>
      <c r="T324" s="350" t="n"/>
      <c r="U324" s="350" t="n"/>
      <c r="V324" s="350" t="n"/>
      <c r="W324" s="350" t="n"/>
      <c r="X324" s="350" t="n"/>
      <c r="Y324" s="350" t="n"/>
      <c r="Z324" s="350" t="n"/>
      <c r="AA324" s="350" t="n"/>
      <c r="AB324" s="350" t="n"/>
      <c r="AC324" s="350" t="n"/>
      <c r="AD324" s="350" t="n"/>
      <c r="AE324" s="350" t="n"/>
      <c r="AF324" s="350" t="n"/>
      <c r="AG324" s="30" t="n"/>
      <c r="AH324" s="30" t="n"/>
      <c r="AI324" s="30" t="n"/>
      <c r="AJ324" s="30" t="n"/>
      <c r="AK324" s="30" t="n"/>
    </row>
    <row r="325" ht="14.25" customHeight="1">
      <c r="A325" s="1435" t="inlineStr">
        <is>
          <t>Exclude entirely</t>
        </is>
      </c>
      <c r="B325" s="1342" t="n"/>
      <c r="C325" s="1342" t="n"/>
      <c r="D325" s="1343" t="n"/>
      <c r="E325" s="476" t="n">
        <v>0</v>
      </c>
      <c r="F325" s="477" t="n">
        <v>0</v>
      </c>
      <c r="G325" s="477" t="n">
        <v>0</v>
      </c>
      <c r="H325" s="477" t="n">
        <v>0</v>
      </c>
      <c r="I325" s="477" t="n">
        <v>0</v>
      </c>
      <c r="J325" s="477" t="n">
        <v>0</v>
      </c>
      <c r="K325" s="430" t="n">
        <v>0</v>
      </c>
      <c r="L325" s="267">
        <f>SUM(E325:K325)</f>
        <v/>
      </c>
      <c r="M325" s="350" t="n"/>
      <c r="N325" s="350" t="n"/>
      <c r="O325" s="350" t="n"/>
      <c r="P325" s="350" t="n"/>
      <c r="Q325" s="350" t="n"/>
      <c r="R325" s="350" t="n"/>
      <c r="S325" s="350" t="n"/>
      <c r="T325" s="350" t="n"/>
      <c r="U325" s="350" t="n"/>
      <c r="V325" s="350" t="n"/>
      <c r="W325" s="350" t="n"/>
      <c r="X325" s="350" t="n"/>
      <c r="Y325" s="350" t="n"/>
      <c r="Z325" s="350" t="n"/>
      <c r="AA325" s="350" t="n"/>
      <c r="AB325" s="350" t="n"/>
      <c r="AC325" s="350" t="n"/>
      <c r="AD325" s="350" t="n"/>
      <c r="AE325" s="350" t="n"/>
      <c r="AF325" s="350" t="n"/>
      <c r="AG325" s="30" t="n"/>
      <c r="AH325" s="30" t="n"/>
      <c r="AI325" s="30" t="n"/>
      <c r="AJ325" s="30" t="n"/>
      <c r="AK325" s="30" t="n"/>
    </row>
    <row r="326" ht="14.25" customHeight="1">
      <c r="A326" s="1435" t="inlineStr">
        <is>
          <t>Consult other institution</t>
        </is>
      </c>
      <c r="B326" s="1342" t="n"/>
      <c r="C326" s="1342" t="n"/>
      <c r="D326" s="1343" t="n"/>
      <c r="E326" s="476" t="n">
        <v>0</v>
      </c>
      <c r="F326" s="477" t="n">
        <v>0</v>
      </c>
      <c r="G326" s="477" t="n">
        <v>0</v>
      </c>
      <c r="H326" s="477" t="n">
        <v>0</v>
      </c>
      <c r="I326" s="477" t="n">
        <v>0</v>
      </c>
      <c r="J326" s="477" t="n">
        <v>0</v>
      </c>
      <c r="K326" s="430" t="n">
        <v>0</v>
      </c>
      <c r="L326" s="267">
        <f>SUM(E326:K326)</f>
        <v/>
      </c>
      <c r="M326" s="350" t="n"/>
      <c r="N326" s="350" t="n"/>
      <c r="O326" s="350" t="n"/>
      <c r="P326" s="350" t="n"/>
      <c r="Q326" s="350" t="n"/>
      <c r="R326" s="350" t="n"/>
      <c r="S326" s="350" t="n"/>
      <c r="T326" s="350" t="n"/>
      <c r="U326" s="350" t="n"/>
      <c r="V326" s="350" t="n"/>
      <c r="W326" s="350" t="n"/>
      <c r="X326" s="350" t="n"/>
      <c r="Y326" s="350" t="n"/>
      <c r="Z326" s="350" t="n"/>
      <c r="AA326" s="350" t="n"/>
      <c r="AB326" s="350" t="n"/>
      <c r="AC326" s="350" t="n"/>
      <c r="AD326" s="350" t="n"/>
      <c r="AE326" s="350" t="n"/>
      <c r="AF326" s="350" t="n"/>
      <c r="AG326" s="30" t="n"/>
      <c r="AH326" s="30" t="n"/>
      <c r="AI326" s="30" t="n"/>
      <c r="AJ326" s="30" t="n"/>
      <c r="AK326" s="30" t="n"/>
    </row>
    <row r="327" ht="15" customHeight="1" thickBot="1">
      <c r="A327" s="1436" t="inlineStr">
        <is>
          <t>Other</t>
        </is>
      </c>
      <c r="B327" s="1348" t="n"/>
      <c r="C327" s="1348" t="n"/>
      <c r="D327" s="1356" t="n"/>
      <c r="E327" s="1036" t="n">
        <v>0</v>
      </c>
      <c r="F327" s="548" t="n">
        <v>0</v>
      </c>
      <c r="G327" s="548" t="n">
        <v>0</v>
      </c>
      <c r="H327" s="548" t="n">
        <v>0</v>
      </c>
      <c r="I327" s="548" t="n">
        <v>0</v>
      </c>
      <c r="J327" s="548" t="n">
        <v>0</v>
      </c>
      <c r="K327" s="571" t="n">
        <v>0</v>
      </c>
      <c r="L327" s="268">
        <f>SUM(E327:K327)</f>
        <v/>
      </c>
      <c r="M327" s="350" t="n"/>
      <c r="N327" s="350" t="n"/>
      <c r="O327" s="350" t="n"/>
      <c r="P327" s="350" t="n"/>
      <c r="Q327" s="350" t="n"/>
      <c r="R327" s="350" t="n"/>
      <c r="S327" s="350" t="n"/>
      <c r="T327" s="350" t="n"/>
      <c r="U327" s="350" t="n"/>
      <c r="V327" s="350" t="n"/>
      <c r="W327" s="350" t="n"/>
      <c r="X327" s="350" t="n"/>
      <c r="Y327" s="350" t="n"/>
      <c r="Z327" s="350" t="n"/>
      <c r="AA327" s="350" t="n"/>
      <c r="AB327" s="350" t="n"/>
      <c r="AC327" s="350" t="n"/>
      <c r="AD327" s="350" t="n"/>
      <c r="AE327" s="350" t="n"/>
      <c r="AF327" s="350" t="n"/>
      <c r="AG327" s="30" t="n"/>
      <c r="AH327" s="30" t="n"/>
      <c r="AI327" s="30" t="n"/>
      <c r="AJ327" s="30" t="n"/>
      <c r="AK327" s="30" t="n"/>
    </row>
    <row r="328" ht="15.75" customHeight="1" thickBot="1" thickTop="1">
      <c r="A328" s="1427" t="inlineStr">
        <is>
          <t>Total</t>
        </is>
      </c>
      <c r="B328" s="1333" t="n"/>
      <c r="C328" s="1333" t="n"/>
      <c r="D328" s="1334" t="n"/>
      <c r="E328" s="1039">
        <f>SUM(E322:E327)</f>
        <v/>
      </c>
      <c r="F328" s="1065">
        <f>SUM(F322:F327)</f>
        <v/>
      </c>
      <c r="G328" s="1065">
        <f>SUM(G322:G327)</f>
        <v/>
      </c>
      <c r="H328" s="1065">
        <f>SUM(H322:H327)</f>
        <v/>
      </c>
      <c r="I328" s="1065">
        <f>SUM(I322:I327)</f>
        <v/>
      </c>
      <c r="J328" s="1065">
        <f>SUM(J322:J327)</f>
        <v/>
      </c>
      <c r="K328" s="597">
        <f>SUM(K322:K327)</f>
        <v/>
      </c>
      <c r="L328" s="265">
        <f>SUM(L322:L327)</f>
        <v/>
      </c>
      <c r="M328" s="342">
        <f>IF(L328&lt;&gt;I302,"Section 7.2 - The ""Total"" of all totals should be equal to the number of ""Closed during the reporting period"" of ""Other Organizations"" of Section 7.1","")</f>
        <v/>
      </c>
      <c r="AA328" s="350" t="n"/>
      <c r="AB328" s="350" t="n"/>
      <c r="AC328" s="350" t="n"/>
      <c r="AD328" s="350" t="n"/>
      <c r="AE328" s="350" t="n"/>
      <c r="AF328" s="350" t="n"/>
      <c r="AG328" s="30" t="n"/>
      <c r="AH328" s="30" t="n"/>
      <c r="AI328" s="30" t="n"/>
      <c r="AJ328" s="30" t="n"/>
      <c r="AK328" s="30" t="n"/>
    </row>
    <row r="329" ht="15" customHeight="1" thickTop="1">
      <c r="M329" s="350" t="n"/>
      <c r="N329" s="350" t="n"/>
      <c r="O329" s="350" t="n"/>
      <c r="P329" s="350" t="n"/>
      <c r="Q329" s="350" t="n"/>
      <c r="R329" s="350" t="n"/>
      <c r="S329" s="350" t="n"/>
      <c r="T329" s="350" t="n"/>
      <c r="U329" s="350" t="n"/>
      <c r="V329" s="350" t="n"/>
      <c r="W329" s="350" t="n"/>
      <c r="X329" s="350" t="n"/>
      <c r="Y329" s="350" t="n"/>
      <c r="Z329" s="350" t="n"/>
      <c r="AA329" s="350" t="n"/>
      <c r="AB329" s="350" t="n"/>
      <c r="AC329" s="350" t="n"/>
      <c r="AD329" s="350" t="n"/>
      <c r="AE329" s="350" t="n"/>
      <c r="AF329" s="350" t="n"/>
      <c r="AG329" s="30" t="n"/>
      <c r="AH329" s="30" t="n"/>
      <c r="AI329" s="30" t="n"/>
      <c r="AJ329" s="30" t="n"/>
      <c r="AK329" s="30" t="n"/>
    </row>
    <row r="330" ht="15" customHeight="1">
      <c r="A330" s="542" t="inlineStr">
        <is>
          <t>Section 8: Completion Time of Consultations on Cabinet Confidences</t>
        </is>
      </c>
      <c r="M330" s="350" t="n"/>
      <c r="N330" s="350" t="n"/>
      <c r="O330" s="350" t="n"/>
      <c r="P330" s="350" t="n"/>
      <c r="Q330" s="350" t="n"/>
      <c r="R330" s="350" t="n"/>
      <c r="S330" s="350" t="n"/>
      <c r="T330" s="350" t="n"/>
      <c r="U330" s="350" t="n"/>
      <c r="V330" s="350" t="n"/>
      <c r="W330" s="350" t="n"/>
      <c r="X330" s="350" t="n"/>
      <c r="Y330" s="350" t="n"/>
      <c r="Z330" s="350" t="n"/>
      <c r="AA330" s="350" t="n"/>
      <c r="AB330" s="350" t="n"/>
      <c r="AC330" s="350" t="n"/>
      <c r="AD330" s="350" t="n"/>
      <c r="AE330" s="350" t="n"/>
      <c r="AF330" s="350" t="n"/>
      <c r="AG330" s="30" t="n"/>
      <c r="AH330" s="30" t="n"/>
      <c r="AI330" s="30" t="n"/>
      <c r="AJ330" s="30" t="n"/>
      <c r="AK330" s="30" t="n"/>
    </row>
    <row r="331" ht="14.25" customHeight="1">
      <c r="A331" s="58" t="n"/>
      <c r="B331" s="59" t="n"/>
      <c r="C331" s="59" t="n"/>
      <c r="D331" s="59" t="n"/>
      <c r="E331" s="59" t="n"/>
      <c r="F331" s="59" t="n"/>
      <c r="G331" s="59" t="n"/>
      <c r="H331" s="59" t="n"/>
      <c r="I331" s="59" t="n"/>
      <c r="J331" s="59" t="n"/>
      <c r="K331" s="59" t="n"/>
      <c r="L331" s="59" t="n"/>
      <c r="M331" s="350" t="n"/>
      <c r="N331" s="350" t="n"/>
      <c r="O331" s="350" t="n"/>
      <c r="P331" s="350" t="n"/>
      <c r="Q331" s="350" t="n"/>
      <c r="R331" s="350" t="n"/>
      <c r="S331" s="350" t="n"/>
      <c r="T331" s="350" t="n"/>
      <c r="U331" s="350" t="n"/>
      <c r="V331" s="350" t="n"/>
      <c r="W331" s="350" t="n"/>
      <c r="X331" s="350" t="n"/>
      <c r="Y331" s="350" t="n"/>
      <c r="Z331" s="350" t="n"/>
      <c r="AA331" s="350" t="n"/>
      <c r="AB331" s="350" t="n"/>
      <c r="AC331" s="350" t="n"/>
      <c r="AD331" s="350" t="n"/>
      <c r="AE331" s="350" t="n"/>
      <c r="AF331" s="350" t="n"/>
      <c r="AG331" s="30" t="n"/>
      <c r="AH331" s="30" t="n"/>
      <c r="AI331" s="30" t="n"/>
      <c r="AJ331" s="30" t="n"/>
      <c r="AK331" s="30" t="n"/>
    </row>
    <row r="332" ht="15" customHeight="1">
      <c r="A332" s="347" t="inlineStr">
        <is>
          <t>8.1 Requests with Legal Services</t>
        </is>
      </c>
      <c r="M332" s="191">
        <f>IFERROR(IF(D343/C343&gt;99,"Section 8.1 - The total ""Pages Disclosed"" divided by the total ""Number of Requests"" in ""Fewer Than 100 Pages Processed"" must be equal to or less than 99.",""),"")</f>
        <v/>
      </c>
      <c r="N332" s="350" t="n"/>
      <c r="O332" s="350" t="n"/>
      <c r="P332" s="350" t="n"/>
      <c r="Q332" s="350" t="n"/>
      <c r="R332" s="350" t="n"/>
      <c r="S332" s="350" t="n"/>
      <c r="T332" s="350" t="n"/>
      <c r="U332" s="350" t="n"/>
      <c r="V332" s="350" t="n"/>
      <c r="W332" s="350" t="n"/>
      <c r="X332" s="350" t="n"/>
      <c r="Y332" s="350" t="n"/>
      <c r="Z332" s="350" t="n"/>
      <c r="AA332" s="350" t="n"/>
      <c r="AB332" s="350" t="n"/>
      <c r="AC332" s="350" t="n"/>
      <c r="AD332" s="350" t="n"/>
      <c r="AE332" s="350" t="n"/>
      <c r="AF332" s="350" t="n"/>
      <c r="AG332" s="30" t="n"/>
      <c r="AH332" s="30" t="n"/>
      <c r="AI332" s="30" t="n"/>
      <c r="AJ332" s="30" t="n"/>
      <c r="AK332" s="30" t="n"/>
    </row>
    <row r="333" ht="15" customHeight="1" thickBot="1">
      <c r="M333" s="191">
        <f>IFERROR(IF(F343/E343&gt;500,"Section 8.1 - The total ""Pages Disclosed"" divided by the total ""Number of Requests"" in ""100-500 Pages Processed"" must be equal to or less than 500.",""),"")</f>
        <v/>
      </c>
      <c r="N333" s="350" t="n"/>
      <c r="O333" s="350" t="n"/>
      <c r="P333" s="350" t="n"/>
      <c r="Q333" s="350" t="n"/>
      <c r="R333" s="350" t="n"/>
      <c r="S333" s="350" t="n"/>
      <c r="T333" s="350" t="n"/>
      <c r="U333" s="350" t="n"/>
      <c r="V333" s="350" t="n"/>
      <c r="W333" s="350" t="n"/>
      <c r="X333" s="350" t="n"/>
      <c r="Y333" s="350" t="n"/>
      <c r="Z333" s="350" t="n"/>
      <c r="AA333" s="350" t="n"/>
      <c r="AB333" s="350" t="n"/>
      <c r="AC333" s="350" t="n"/>
      <c r="AD333" s="350" t="n"/>
      <c r="AE333" s="350" t="n"/>
      <c r="AF333" s="350" t="n"/>
      <c r="AG333" s="30" t="n"/>
      <c r="AH333" s="30" t="n"/>
      <c r="AI333" s="30" t="n"/>
      <c r="AJ333" s="30" t="n"/>
      <c r="AK333" s="30" t="n"/>
    </row>
    <row r="334" ht="30.75" customHeight="1" thickTop="1">
      <c r="A334" s="422" t="inlineStr">
        <is>
          <t>Number of Days</t>
        </is>
      </c>
      <c r="B334" s="1353" t="n"/>
      <c r="C334" s="1453" t="inlineStr">
        <is>
          <t>Fewer Than 100 Pages Processed</t>
        </is>
      </c>
      <c r="D334" s="1337" t="n"/>
      <c r="E334" s="1453" t="inlineStr">
        <is>
          <t>100-500 Pages Processed</t>
        </is>
      </c>
      <c r="F334" s="1337" t="n"/>
      <c r="G334" s="1453" t="inlineStr">
        <is>
          <t>501-1000
Pages Processed</t>
        </is>
      </c>
      <c r="H334" s="1337" t="n"/>
      <c r="I334" s="1453" t="inlineStr">
        <is>
          <t>1001-5000
Pages Processed</t>
        </is>
      </c>
      <c r="J334" s="1337" t="n"/>
      <c r="K334" s="1453" t="inlineStr">
        <is>
          <t>More Than 5000
Pages Processed</t>
        </is>
      </c>
      <c r="L334" s="1337" t="n"/>
      <c r="M334" s="191">
        <f>IFERROR(IF(H343/G343&gt;1000,"Section 8.1 - The total ""Pages Disclosed"" divided by the total ""Number of Requests"" in ""501-1000 Pages Processed"" must be equal to or less than 1000.",""),"")</f>
        <v/>
      </c>
      <c r="N334" s="350" t="n"/>
      <c r="O334" s="350" t="n"/>
      <c r="P334" s="350" t="n"/>
      <c r="Q334" s="350" t="n"/>
      <c r="R334" s="350" t="n"/>
      <c r="S334" s="350" t="n"/>
      <c r="T334" s="350" t="n"/>
      <c r="U334" s="350" t="n"/>
      <c r="V334" s="350" t="n"/>
      <c r="W334" s="350" t="n"/>
      <c r="X334" s="350" t="n"/>
      <c r="Y334" s="350" t="n"/>
      <c r="Z334" s="350" t="n"/>
      <c r="AA334" s="350" t="n"/>
      <c r="AB334" s="350" t="n"/>
      <c r="AC334" s="350" t="n"/>
      <c r="AD334" s="350" t="n"/>
      <c r="AE334" s="350" t="n"/>
      <c r="AF334" s="350" t="n"/>
      <c r="AG334" s="30" t="n"/>
      <c r="AH334" s="30" t="n"/>
      <c r="AI334" s="30" t="n"/>
      <c r="AJ334" s="30" t="n"/>
      <c r="AK334" s="30" t="n"/>
    </row>
    <row r="335" ht="27.75" customHeight="1" thickBot="1">
      <c r="A335" s="1359" t="n"/>
      <c r="C335" s="119" t="inlineStr">
        <is>
          <t>Number of
Requests</t>
        </is>
      </c>
      <c r="D335" s="118" t="inlineStr">
        <is>
          <t>Pages Disclosed</t>
        </is>
      </c>
      <c r="E335" s="119" t="inlineStr">
        <is>
          <t>Number of
Requests</t>
        </is>
      </c>
      <c r="F335" s="120" t="inlineStr">
        <is>
          <t>Pages Disclosed</t>
        </is>
      </c>
      <c r="G335" s="119" t="inlineStr">
        <is>
          <t>Number of
Requests</t>
        </is>
      </c>
      <c r="H335" s="118" t="inlineStr">
        <is>
          <t>Pages Disclosed</t>
        </is>
      </c>
      <c r="I335" s="119" t="inlineStr">
        <is>
          <t>Number of
Requests</t>
        </is>
      </c>
      <c r="J335" s="120" t="inlineStr">
        <is>
          <t>Pages Disclosed</t>
        </is>
      </c>
      <c r="K335" s="119" t="inlineStr">
        <is>
          <t>Number of
Requests</t>
        </is>
      </c>
      <c r="L335" s="118" t="inlineStr">
        <is>
          <t>Pages Disclosed</t>
        </is>
      </c>
      <c r="M335" s="191">
        <f>IFERROR(IF(J343/I343&gt;5000,"Section 8.1 - The total ""Pages Disclosed"" divided by the total ""Number of Requests"" in ""1001-5000 Pages Processed"" must be equal to or less than 5000.",""),"")</f>
        <v/>
      </c>
      <c r="N335" s="350" t="n"/>
      <c r="O335" s="350" t="n"/>
      <c r="P335" s="350" t="n"/>
      <c r="Q335" s="350" t="n"/>
      <c r="R335" s="350" t="n"/>
      <c r="S335" s="350" t="n"/>
      <c r="T335" s="350" t="n"/>
      <c r="U335" s="350" t="n"/>
      <c r="V335" s="350" t="n"/>
      <c r="W335" s="350" t="n"/>
      <c r="X335" s="350" t="n"/>
      <c r="Y335" s="350" t="n"/>
      <c r="Z335" s="350" t="n"/>
      <c r="AA335" s="350" t="n"/>
      <c r="AB335" s="350" t="n"/>
      <c r="AC335" s="350" t="n"/>
      <c r="AD335" s="350" t="n"/>
      <c r="AE335" s="350" t="n"/>
      <c r="AF335" s="350" t="n"/>
      <c r="AG335" s="30" t="n"/>
      <c r="AH335" s="30" t="n"/>
      <c r="AI335" s="30" t="n"/>
      <c r="AJ335" s="30" t="n"/>
      <c r="AK335" s="30" t="n"/>
    </row>
    <row r="336" ht="14.25" customHeight="1" thickTop="1">
      <c r="A336" s="1434" t="inlineStr">
        <is>
          <t>1 to 15</t>
        </is>
      </c>
      <c r="B336" s="1337" t="n"/>
      <c r="C336" s="483" t="n">
        <v>0</v>
      </c>
      <c r="D336" s="1237" t="n">
        <v>0</v>
      </c>
      <c r="E336" s="990" t="n">
        <v>0</v>
      </c>
      <c r="F336" s="594" t="n">
        <v>0</v>
      </c>
      <c r="G336" s="483" t="n">
        <v>0</v>
      </c>
      <c r="H336" s="1237" t="n">
        <v>0</v>
      </c>
      <c r="I336" s="990" t="n">
        <v>0</v>
      </c>
      <c r="J336" s="594" t="n">
        <v>0</v>
      </c>
      <c r="K336" s="483" t="n">
        <v>0</v>
      </c>
      <c r="L336" s="1237" t="n">
        <v>0</v>
      </c>
      <c r="M336" s="350" t="n"/>
      <c r="N336" s="350" t="n"/>
      <c r="O336" s="350" t="n"/>
      <c r="P336" s="350" t="n"/>
      <c r="Q336" s="350" t="n"/>
      <c r="R336" s="350" t="n"/>
      <c r="S336" s="350" t="n"/>
      <c r="T336" s="350" t="n"/>
      <c r="U336" s="350" t="n"/>
      <c r="V336" s="350" t="n"/>
      <c r="W336" s="350" t="n"/>
      <c r="X336" s="350" t="n"/>
      <c r="Y336" s="350" t="n"/>
      <c r="Z336" s="350" t="n"/>
      <c r="AA336" s="350" t="n"/>
      <c r="AB336" s="350" t="n"/>
      <c r="AC336" s="350" t="n"/>
      <c r="AD336" s="350" t="n"/>
      <c r="AE336" s="350" t="n"/>
      <c r="AF336" s="350" t="n"/>
      <c r="AG336" s="30" t="n"/>
      <c r="AH336" s="30" t="n"/>
      <c r="AI336" s="30" t="n"/>
      <c r="AJ336" s="30" t="n"/>
      <c r="AK336" s="30" t="n"/>
    </row>
    <row r="337" ht="14.25" customHeight="1">
      <c r="A337" s="498" t="inlineStr">
        <is>
          <t>16 to 30</t>
        </is>
      </c>
      <c r="B337" s="1342" t="n"/>
      <c r="C337" s="476" t="n">
        <v>0</v>
      </c>
      <c r="D337" s="1246" t="n">
        <v>0</v>
      </c>
      <c r="E337" s="431" t="n">
        <v>0</v>
      </c>
      <c r="F337" s="594" t="n">
        <v>0</v>
      </c>
      <c r="G337" s="483" t="n">
        <v>0</v>
      </c>
      <c r="H337" s="1237" t="n">
        <v>0</v>
      </c>
      <c r="I337" s="990" t="n">
        <v>0</v>
      </c>
      <c r="J337" s="594" t="n">
        <v>0</v>
      </c>
      <c r="K337" s="476" t="n">
        <v>0</v>
      </c>
      <c r="L337" s="1246" t="n">
        <v>0</v>
      </c>
      <c r="M337" s="350" t="n"/>
      <c r="N337" s="350" t="n"/>
      <c r="O337" s="350" t="n"/>
      <c r="P337" s="350" t="n"/>
      <c r="Q337" s="350" t="n"/>
      <c r="R337" s="350" t="n"/>
      <c r="S337" s="350" t="n"/>
      <c r="T337" s="350" t="n"/>
      <c r="U337" s="350" t="n"/>
      <c r="V337" s="350" t="n"/>
      <c r="W337" s="350" t="n"/>
      <c r="X337" s="350" t="n"/>
      <c r="Y337" s="350" t="n"/>
      <c r="Z337" s="350" t="n"/>
      <c r="AA337" s="350" t="n"/>
      <c r="AB337" s="350" t="n"/>
      <c r="AC337" s="350" t="n"/>
      <c r="AD337" s="350" t="n"/>
      <c r="AE337" s="350" t="n"/>
      <c r="AF337" s="350" t="n"/>
      <c r="AG337" s="30" t="n"/>
      <c r="AH337" s="30" t="n"/>
      <c r="AI337" s="30" t="n"/>
      <c r="AJ337" s="30" t="n"/>
      <c r="AK337" s="30" t="n"/>
    </row>
    <row r="338" ht="14.25" customHeight="1">
      <c r="A338" s="473" t="inlineStr">
        <is>
          <t>31 to 60</t>
        </is>
      </c>
      <c r="B338" s="1342" t="n"/>
      <c r="C338" s="476" t="n">
        <v>0</v>
      </c>
      <c r="D338" s="1246" t="n">
        <v>0</v>
      </c>
      <c r="E338" s="431" t="n">
        <v>0</v>
      </c>
      <c r="F338" s="594" t="n">
        <v>0</v>
      </c>
      <c r="G338" s="483" t="n">
        <v>0</v>
      </c>
      <c r="H338" s="1237" t="n">
        <v>0</v>
      </c>
      <c r="I338" s="990" t="n">
        <v>0</v>
      </c>
      <c r="J338" s="594" t="n">
        <v>0</v>
      </c>
      <c r="K338" s="476" t="n">
        <v>0</v>
      </c>
      <c r="L338" s="1246" t="n">
        <v>0</v>
      </c>
      <c r="M338" s="350" t="n"/>
      <c r="N338" s="350" t="n"/>
      <c r="O338" s="350" t="n"/>
      <c r="P338" s="350" t="n"/>
      <c r="Q338" s="350" t="n"/>
      <c r="R338" s="350" t="n"/>
      <c r="S338" s="350" t="n"/>
      <c r="T338" s="350" t="n"/>
      <c r="U338" s="350" t="n"/>
      <c r="V338" s="350" t="n"/>
      <c r="W338" s="350" t="n"/>
      <c r="X338" s="350" t="n"/>
      <c r="Y338" s="350" t="n"/>
      <c r="Z338" s="350" t="n"/>
      <c r="AA338" s="350" t="n"/>
      <c r="AB338" s="350" t="n"/>
      <c r="AC338" s="350" t="n"/>
      <c r="AD338" s="350" t="n"/>
      <c r="AE338" s="350" t="n"/>
      <c r="AF338" s="350" t="n"/>
      <c r="AG338" s="30" t="n"/>
      <c r="AH338" s="30" t="n"/>
      <c r="AI338" s="30" t="n"/>
      <c r="AJ338" s="30" t="n"/>
      <c r="AK338" s="30" t="n"/>
    </row>
    <row r="339" ht="14.25" customHeight="1">
      <c r="A339" s="473" t="inlineStr">
        <is>
          <t>61 to 120</t>
        </is>
      </c>
      <c r="B339" s="1342" t="n"/>
      <c r="C339" s="476" t="n">
        <v>0</v>
      </c>
      <c r="D339" s="1246" t="n">
        <v>0</v>
      </c>
      <c r="E339" s="431" t="n">
        <v>0</v>
      </c>
      <c r="F339" s="594" t="n">
        <v>0</v>
      </c>
      <c r="G339" s="483" t="n">
        <v>0</v>
      </c>
      <c r="H339" s="1237" t="n">
        <v>0</v>
      </c>
      <c r="I339" s="990" t="n">
        <v>0</v>
      </c>
      <c r="J339" s="594" t="n">
        <v>0</v>
      </c>
      <c r="K339" s="476" t="n">
        <v>0</v>
      </c>
      <c r="L339" s="1246" t="n">
        <v>0</v>
      </c>
      <c r="M339" s="350" t="n"/>
      <c r="N339" s="350" t="n"/>
      <c r="O339" s="350" t="n"/>
      <c r="P339" s="350" t="n"/>
      <c r="Q339" s="350" t="n"/>
      <c r="R339" s="350" t="n"/>
      <c r="S339" s="350" t="n"/>
      <c r="T339" s="350" t="n"/>
      <c r="U339" s="350" t="n"/>
      <c r="V339" s="350" t="n"/>
      <c r="W339" s="350" t="n"/>
      <c r="X339" s="350" t="n"/>
      <c r="Y339" s="350" t="n"/>
      <c r="Z339" s="350" t="n"/>
      <c r="AA339" s="350" t="n"/>
      <c r="AB339" s="350" t="n"/>
      <c r="AC339" s="350" t="n"/>
      <c r="AD339" s="350" t="n"/>
      <c r="AE339" s="350" t="n"/>
      <c r="AF339" s="350" t="n"/>
      <c r="AG339" s="30" t="n"/>
      <c r="AH339" s="30" t="n"/>
      <c r="AI339" s="30" t="n"/>
      <c r="AJ339" s="30" t="n"/>
      <c r="AK339" s="30" t="n"/>
    </row>
    <row r="340" ht="14.25" customHeight="1">
      <c r="A340" s="473" t="inlineStr">
        <is>
          <t>121 to 180</t>
        </is>
      </c>
      <c r="B340" s="1342" t="n"/>
      <c r="C340" s="476" t="n">
        <v>0</v>
      </c>
      <c r="D340" s="430" t="n">
        <v>0</v>
      </c>
      <c r="E340" s="476" t="n">
        <v>0</v>
      </c>
      <c r="F340" s="594" t="n">
        <v>0</v>
      </c>
      <c r="G340" s="483" t="n">
        <v>0</v>
      </c>
      <c r="H340" s="1237" t="n">
        <v>0</v>
      </c>
      <c r="I340" s="476" t="n">
        <v>0</v>
      </c>
      <c r="J340" s="594" t="n">
        <v>0</v>
      </c>
      <c r="K340" s="476" t="n">
        <v>0</v>
      </c>
      <c r="L340" s="1246" t="n">
        <v>0</v>
      </c>
      <c r="M340" s="350" t="n"/>
      <c r="N340" s="350" t="n"/>
      <c r="O340" s="350" t="n"/>
      <c r="P340" s="350" t="n"/>
      <c r="Q340" s="350" t="n"/>
      <c r="R340" s="350" t="n"/>
      <c r="S340" s="350" t="n"/>
      <c r="T340" s="350" t="n"/>
      <c r="U340" s="350" t="n"/>
      <c r="V340" s="350" t="n"/>
      <c r="W340" s="350" t="n"/>
      <c r="X340" s="350" t="n"/>
      <c r="Y340" s="350" t="n"/>
      <c r="Z340" s="350" t="n"/>
      <c r="AA340" s="350" t="n"/>
      <c r="AB340" s="350" t="n"/>
      <c r="AC340" s="350" t="n"/>
      <c r="AD340" s="350" t="n"/>
      <c r="AE340" s="350" t="n"/>
      <c r="AF340" s="350" t="n"/>
      <c r="AG340" s="30" t="n"/>
      <c r="AH340" s="30" t="n"/>
      <c r="AI340" s="30" t="n"/>
      <c r="AJ340" s="30" t="n"/>
      <c r="AK340" s="30" t="n"/>
    </row>
    <row r="341" ht="12" customHeight="1">
      <c r="A341" s="473" t="inlineStr">
        <is>
          <t>181 to 365</t>
        </is>
      </c>
      <c r="B341" s="1342" t="n"/>
      <c r="C341" s="476" t="n">
        <v>0</v>
      </c>
      <c r="D341" s="430" t="n">
        <v>0</v>
      </c>
      <c r="E341" s="476" t="n">
        <v>0</v>
      </c>
      <c r="F341" s="594" t="n">
        <v>0</v>
      </c>
      <c r="G341" s="483" t="n">
        <v>0</v>
      </c>
      <c r="H341" s="1237" t="n">
        <v>0</v>
      </c>
      <c r="I341" s="476" t="n">
        <v>0</v>
      </c>
      <c r="J341" s="594" t="n">
        <v>0</v>
      </c>
      <c r="K341" s="476" t="n">
        <v>0</v>
      </c>
      <c r="L341" s="1246" t="n">
        <v>0</v>
      </c>
      <c r="M341" s="350" t="n"/>
      <c r="N341" s="350" t="n"/>
      <c r="O341" s="350" t="n"/>
      <c r="P341" s="350" t="n"/>
      <c r="Q341" s="350" t="n"/>
      <c r="R341" s="350" t="n"/>
      <c r="S341" s="350" t="n"/>
      <c r="T341" s="350" t="n"/>
      <c r="U341" s="350" t="n"/>
      <c r="V341" s="350" t="n"/>
      <c r="W341" s="350" t="n"/>
      <c r="X341" s="350" t="n"/>
      <c r="Y341" s="350" t="n"/>
      <c r="Z341" s="350" t="n"/>
      <c r="AA341" s="350" t="n"/>
      <c r="AB341" s="350" t="n"/>
      <c r="AC341" s="350" t="n"/>
      <c r="AD341" s="350" t="n"/>
      <c r="AE341" s="350" t="n"/>
      <c r="AF341" s="350" t="n"/>
      <c r="AG341" s="30" t="n"/>
      <c r="AH341" s="30" t="n"/>
      <c r="AI341" s="30" t="n"/>
      <c r="AJ341" s="30" t="n"/>
      <c r="AK341" s="30" t="n"/>
    </row>
    <row r="342" ht="15" customHeight="1" thickBot="1">
      <c r="A342" s="523" t="inlineStr">
        <is>
          <t>More than 365</t>
        </is>
      </c>
      <c r="B342" s="1348" t="n"/>
      <c r="C342" s="2" t="n">
        <v>0</v>
      </c>
      <c r="D342" s="23" t="n">
        <v>0</v>
      </c>
      <c r="E342" s="2" t="n">
        <v>0</v>
      </c>
      <c r="F342" s="23" t="n">
        <v>0</v>
      </c>
      <c r="G342" s="2" t="n">
        <v>0</v>
      </c>
      <c r="H342" s="23" t="n">
        <v>0</v>
      </c>
      <c r="I342" s="2" t="n">
        <v>0</v>
      </c>
      <c r="J342" s="23" t="n">
        <v>0</v>
      </c>
      <c r="K342" s="2" t="n">
        <v>0</v>
      </c>
      <c r="L342" s="179" t="n">
        <v>0</v>
      </c>
      <c r="M342" s="350" t="n"/>
      <c r="N342" s="350" t="n"/>
      <c r="O342" s="350" t="n"/>
      <c r="P342" s="350" t="n"/>
      <c r="Q342" s="350" t="n"/>
      <c r="R342" s="350" t="n"/>
      <c r="S342" s="350" t="n"/>
      <c r="T342" s="350" t="n"/>
      <c r="U342" s="350" t="n"/>
      <c r="V342" s="350" t="n"/>
      <c r="W342" s="350" t="n"/>
      <c r="X342" s="350" t="n"/>
      <c r="Y342" s="350" t="n"/>
      <c r="Z342" s="350" t="n"/>
      <c r="AA342" s="350" t="n"/>
      <c r="AB342" s="350" t="n"/>
      <c r="AC342" s="350" t="n"/>
      <c r="AD342" s="350" t="n"/>
      <c r="AE342" s="350" t="n"/>
      <c r="AF342" s="350" t="n"/>
      <c r="AG342" s="30" t="n"/>
      <c r="AH342" s="30" t="n"/>
      <c r="AI342" s="30" t="n"/>
      <c r="AJ342" s="30" t="n"/>
      <c r="AK342" s="30" t="n"/>
    </row>
    <row r="343" ht="13.5" customHeight="1" thickBot="1" thickTop="1">
      <c r="A343" s="496" t="inlineStr">
        <is>
          <t>Total</t>
        </is>
      </c>
      <c r="B343" s="1333" t="n"/>
      <c r="C343" s="1064">
        <f>SUM(C336:C342)</f>
        <v/>
      </c>
      <c r="D343" s="1066">
        <f>SUM(D336:D342)</f>
        <v/>
      </c>
      <c r="E343" s="545">
        <f>SUM(E336:E342)</f>
        <v/>
      </c>
      <c r="F343" s="598">
        <f>SUM(F336:F342)</f>
        <v/>
      </c>
      <c r="G343" s="545">
        <f>SUM(G336:G342)</f>
        <v/>
      </c>
      <c r="H343" s="598">
        <f>SUM(H336:H342)</f>
        <v/>
      </c>
      <c r="I343" s="545">
        <f>SUM(I336:I342)</f>
        <v/>
      </c>
      <c r="J343" s="598">
        <f>SUM(J336:J342)</f>
        <v/>
      </c>
      <c r="K343" s="545">
        <f>SUM(K336:K342)</f>
        <v/>
      </c>
      <c r="L343" s="598">
        <f>SUM(L336:L342)</f>
        <v/>
      </c>
      <c r="M343" s="350" t="n"/>
      <c r="N343" s="350" t="n"/>
      <c r="O343" s="350" t="n"/>
      <c r="P343" s="350" t="n"/>
      <c r="Q343" s="350" t="n"/>
      <c r="R343" s="350" t="n"/>
      <c r="S343" s="350" t="n"/>
      <c r="T343" s="350" t="n"/>
      <c r="U343" s="350" t="n"/>
      <c r="V343" s="350" t="n"/>
      <c r="W343" s="350" t="n"/>
      <c r="X343" s="350" t="n"/>
      <c r="Y343" s="350" t="n"/>
      <c r="Z343" s="350" t="n"/>
      <c r="AA343" s="350" t="n"/>
      <c r="AB343" s="350" t="n"/>
      <c r="AC343" s="350" t="n"/>
      <c r="AD343" s="350" t="n"/>
      <c r="AE343" s="350" t="n"/>
      <c r="AF343" s="350" t="n"/>
      <c r="AG343" s="30" t="n"/>
      <c r="AH343" s="30" t="n"/>
      <c r="AI343" s="30" t="n"/>
      <c r="AJ343" s="30" t="n"/>
      <c r="AK343" s="30" t="n"/>
    </row>
    <row r="344" ht="15" customHeight="1" thickTop="1">
      <c r="A344" s="52" t="n"/>
      <c r="B344" s="52" t="n"/>
      <c r="C344" s="471" t="n"/>
      <c r="D344" s="471" t="n"/>
      <c r="E344" s="471" t="n"/>
      <c r="F344" s="471" t="n"/>
      <c r="G344" s="471" t="n"/>
      <c r="H344" s="471" t="n"/>
      <c r="I344" s="471" t="n"/>
      <c r="J344" s="471" t="n"/>
      <c r="K344" s="471" t="n"/>
      <c r="L344" s="471" t="n"/>
      <c r="M344" s="350" t="n"/>
      <c r="N344" s="350" t="n"/>
      <c r="O344" s="350" t="n"/>
      <c r="P344" s="350" t="n"/>
      <c r="Q344" s="350" t="n"/>
      <c r="R344" s="350" t="n"/>
      <c r="S344" s="350" t="n"/>
      <c r="T344" s="350" t="n"/>
      <c r="U344" s="350" t="n"/>
      <c r="V344" s="350" t="n"/>
      <c r="W344" s="350" t="n"/>
      <c r="X344" s="350" t="n"/>
      <c r="Y344" s="350" t="n"/>
      <c r="Z344" s="350" t="n"/>
      <c r="AA344" s="350" t="n"/>
      <c r="AB344" s="350" t="n"/>
      <c r="AC344" s="350" t="n"/>
      <c r="AD344" s="350" t="n"/>
      <c r="AE344" s="350" t="n"/>
      <c r="AF344" s="350" t="n"/>
      <c r="AG344" s="30" t="n"/>
      <c r="AH344" s="30" t="n"/>
      <c r="AI344" s="30" t="n"/>
      <c r="AJ344" s="30" t="n"/>
      <c r="AK344" s="30" t="n"/>
    </row>
    <row r="345" ht="15" customHeight="1">
      <c r="A345" s="347" t="inlineStr">
        <is>
          <t>8.2 Requests with Privy Council Office</t>
        </is>
      </c>
      <c r="M345" s="191">
        <f>IFERROR(IF(D356/C356&gt;99,"Section 8.2 - The total ""Pages Disclosed"" divided by the total ""Number of Requests""  in ""Fewer Than 100 Pages Processed"" must be equal to or less than 99.",""),"")</f>
        <v/>
      </c>
      <c r="N345" s="350" t="n"/>
      <c r="O345" s="350" t="n"/>
      <c r="P345" s="350" t="n"/>
      <c r="Q345" s="350" t="n"/>
      <c r="R345" s="350" t="n"/>
      <c r="S345" s="350" t="n"/>
      <c r="T345" s="350" t="n"/>
      <c r="U345" s="350" t="n"/>
      <c r="V345" s="350" t="n"/>
      <c r="W345" s="350" t="n"/>
      <c r="X345" s="350" t="n"/>
      <c r="Y345" s="350" t="n"/>
      <c r="Z345" s="350" t="n"/>
      <c r="AA345" s="350" t="n"/>
      <c r="AB345" s="350" t="n"/>
      <c r="AC345" s="350" t="n"/>
      <c r="AD345" s="350" t="n"/>
      <c r="AE345" s="350" t="n"/>
      <c r="AF345" s="350" t="n"/>
      <c r="AG345" s="30" t="n"/>
      <c r="AH345" s="30" t="n"/>
      <c r="AI345" s="30" t="n"/>
      <c r="AJ345" s="30" t="n"/>
      <c r="AK345" s="30" t="n"/>
    </row>
    <row r="346" ht="15" customHeight="1" thickBot="1">
      <c r="M346" s="191">
        <f>IFERROR(IF(F356/E356&gt;500,"Section 8.2 - The total ""Pages Disclosed"" divided by the total ""Number of Requests"" in ""100-500 Pages Processed"" must be equal to or less than 500.",""),"")</f>
        <v/>
      </c>
      <c r="N346" s="350" t="n"/>
      <c r="O346" s="350" t="n"/>
      <c r="P346" s="350" t="n"/>
      <c r="Q346" s="350" t="n"/>
      <c r="R346" s="350" t="n"/>
      <c r="S346" s="350" t="n"/>
      <c r="T346" s="350" t="n"/>
      <c r="U346" s="350" t="n"/>
      <c r="V346" s="350" t="n"/>
      <c r="W346" s="350" t="n"/>
      <c r="X346" s="350" t="n"/>
      <c r="Y346" s="350" t="n"/>
      <c r="Z346" s="350" t="n"/>
      <c r="AA346" s="350" t="n"/>
      <c r="AB346" s="350" t="n"/>
      <c r="AC346" s="350" t="n"/>
      <c r="AD346" s="350" t="n"/>
      <c r="AE346" s="350" t="n"/>
      <c r="AF346" s="350" t="n"/>
      <c r="AG346" s="30" t="n"/>
      <c r="AH346" s="30" t="n"/>
      <c r="AI346" s="30" t="n"/>
      <c r="AJ346" s="30" t="n"/>
      <c r="AK346" s="30" t="n"/>
    </row>
    <row r="347" ht="32.25" customHeight="1" thickTop="1">
      <c r="A347" s="422" t="inlineStr">
        <is>
          <t>Number of Days</t>
        </is>
      </c>
      <c r="B347" s="1353" t="n"/>
      <c r="C347" s="1453" t="inlineStr">
        <is>
          <t>Fewer Than 100 Pages Processed</t>
        </is>
      </c>
      <c r="D347" s="1337" t="n"/>
      <c r="E347" s="743" t="inlineStr">
        <is>
          <t>100‒500 Pages Processed</t>
        </is>
      </c>
      <c r="F347" s="1383" t="n"/>
      <c r="G347" s="1453" t="inlineStr">
        <is>
          <t>501-1000
Pages Processed</t>
        </is>
      </c>
      <c r="H347" s="1337" t="n"/>
      <c r="I347" s="1453" t="inlineStr">
        <is>
          <t>1001-5000
Pages Processed</t>
        </is>
      </c>
      <c r="J347" s="1337" t="n"/>
      <c r="K347" s="1453" t="inlineStr">
        <is>
          <t>More Than 5000
Pages Processed</t>
        </is>
      </c>
      <c r="L347" s="1337" t="n"/>
      <c r="M347" s="191">
        <f>IFERROR(IF(H356/G356&gt;1000,"Section 8.2 - The total ""Pages Disclosed"" divided by the total ""Number of Requests"" in ""501-1000 Pages Processed"" must be equal to or less than 1000.",""),"")</f>
        <v/>
      </c>
      <c r="N347" s="350" t="n"/>
      <c r="O347" s="350" t="n"/>
      <c r="P347" s="350" t="n"/>
      <c r="Q347" s="350" t="n"/>
      <c r="R347" s="350" t="n"/>
      <c r="S347" s="350" t="n"/>
      <c r="T347" s="350" t="n"/>
      <c r="U347" s="350" t="n"/>
      <c r="V347" s="350" t="n"/>
      <c r="W347" s="350" t="n"/>
      <c r="X347" s="350" t="n"/>
      <c r="Y347" s="350" t="n"/>
      <c r="Z347" s="350" t="n"/>
      <c r="AA347" s="350" t="n"/>
      <c r="AB347" s="350" t="n"/>
      <c r="AC347" s="350" t="n"/>
      <c r="AD347" s="350" t="n"/>
      <c r="AE347" s="350" t="n"/>
      <c r="AF347" s="350" t="n"/>
      <c r="AG347" s="30" t="n"/>
      <c r="AH347" s="30" t="n"/>
      <c r="AI347" s="30" t="n"/>
      <c r="AJ347" s="30" t="n"/>
      <c r="AK347" s="30" t="n"/>
    </row>
    <row r="348" ht="27" customHeight="1" thickBot="1">
      <c r="A348" s="1359" t="n"/>
      <c r="C348" s="119" t="inlineStr">
        <is>
          <t>Number of
Requests</t>
        </is>
      </c>
      <c r="D348" s="118" t="inlineStr">
        <is>
          <t>Pages Disclosed</t>
        </is>
      </c>
      <c r="E348" s="119" t="inlineStr">
        <is>
          <t>Number of
Requests</t>
        </is>
      </c>
      <c r="F348" s="120" t="inlineStr">
        <is>
          <t>Pages Disclosed</t>
        </is>
      </c>
      <c r="G348" s="119" t="inlineStr">
        <is>
          <t>Number of
Requests</t>
        </is>
      </c>
      <c r="H348" s="118" t="inlineStr">
        <is>
          <t>Pages Disclosed</t>
        </is>
      </c>
      <c r="I348" s="119" t="inlineStr">
        <is>
          <t>Number of
Requests</t>
        </is>
      </c>
      <c r="J348" s="120" t="inlineStr">
        <is>
          <t>Pages Disclosed</t>
        </is>
      </c>
      <c r="K348" s="119" t="inlineStr">
        <is>
          <t>Number of
Requests</t>
        </is>
      </c>
      <c r="L348" s="118" t="inlineStr">
        <is>
          <t>Pages Disclosed</t>
        </is>
      </c>
      <c r="M348" s="191">
        <f>IFERROR(IF(J356/I356&gt;5000,"Section 8.2 - The total ""Pages Disclosed"" divided by the total ""Number of Requests"" in ""1001-5000 Pages Processed"" must be equal to or less than 5000.",""),"")</f>
        <v/>
      </c>
      <c r="N348" s="350" t="n"/>
      <c r="O348" s="350" t="n"/>
      <c r="P348" s="350" t="n"/>
      <c r="Q348" s="350" t="n"/>
      <c r="R348" s="350" t="n"/>
      <c r="S348" s="350" t="n"/>
      <c r="T348" s="350" t="n"/>
      <c r="U348" s="350" t="n"/>
      <c r="V348" s="350" t="n"/>
      <c r="W348" s="350" t="n"/>
      <c r="X348" s="350" t="n"/>
      <c r="Y348" s="350" t="n"/>
      <c r="Z348" s="350" t="n"/>
      <c r="AA348" s="350" t="n"/>
      <c r="AB348" s="350" t="n"/>
      <c r="AC348" s="350" t="n"/>
      <c r="AD348" s="350" t="n"/>
      <c r="AE348" s="350" t="n"/>
      <c r="AF348" s="350" t="n"/>
      <c r="AG348" s="30" t="n"/>
      <c r="AH348" s="30" t="n"/>
      <c r="AI348" s="30" t="n"/>
      <c r="AJ348" s="30" t="n"/>
      <c r="AK348" s="30" t="n"/>
    </row>
    <row r="349" ht="14.25" customHeight="1" thickTop="1">
      <c r="A349" s="1434" t="inlineStr">
        <is>
          <t>1 to 15</t>
        </is>
      </c>
      <c r="B349" s="1337" t="n"/>
      <c r="C349" s="483" t="n">
        <v>0</v>
      </c>
      <c r="D349" s="1237" t="n">
        <v>0</v>
      </c>
      <c r="E349" s="990" t="n">
        <v>0</v>
      </c>
      <c r="F349" s="594" t="n">
        <v>0</v>
      </c>
      <c r="G349" s="483" t="n">
        <v>0</v>
      </c>
      <c r="H349" s="1237" t="n">
        <v>0</v>
      </c>
      <c r="I349" s="990" t="n">
        <v>0</v>
      </c>
      <c r="J349" s="594" t="n">
        <v>0</v>
      </c>
      <c r="K349" s="483" t="n">
        <v>0</v>
      </c>
      <c r="L349" s="1237" t="n">
        <v>0</v>
      </c>
      <c r="M349" s="350" t="n"/>
      <c r="N349" s="350" t="n"/>
      <c r="O349" s="350" t="n"/>
      <c r="P349" s="350" t="n"/>
      <c r="Q349" s="350" t="n"/>
      <c r="R349" s="350" t="n"/>
      <c r="S349" s="350" t="n"/>
      <c r="T349" s="350" t="n"/>
      <c r="U349" s="350" t="n"/>
      <c r="V349" s="350" t="n"/>
      <c r="W349" s="350" t="n"/>
      <c r="X349" s="350" t="n"/>
      <c r="Y349" s="350" t="n"/>
      <c r="Z349" s="350" t="n"/>
      <c r="AA349" s="350" t="n"/>
      <c r="AB349" s="350" t="n"/>
      <c r="AC349" s="350" t="n"/>
      <c r="AD349" s="350" t="n"/>
      <c r="AE349" s="350" t="n"/>
      <c r="AF349" s="350" t="n"/>
      <c r="AG349" s="30" t="n"/>
      <c r="AH349" s="30" t="n"/>
      <c r="AI349" s="30" t="n"/>
      <c r="AJ349" s="30" t="n"/>
      <c r="AK349" s="30" t="n"/>
    </row>
    <row r="350" ht="14.25" customHeight="1">
      <c r="A350" s="498" t="inlineStr">
        <is>
          <t>16 to 30</t>
        </is>
      </c>
      <c r="B350" s="1342" t="n"/>
      <c r="C350" s="476" t="n">
        <v>0</v>
      </c>
      <c r="D350" s="1246" t="n">
        <v>0</v>
      </c>
      <c r="E350" s="431" t="n">
        <v>0</v>
      </c>
      <c r="F350" s="594" t="n">
        <v>0</v>
      </c>
      <c r="G350" s="483" t="n">
        <v>0</v>
      </c>
      <c r="H350" s="1237" t="n">
        <v>0</v>
      </c>
      <c r="I350" s="990" t="n">
        <v>0</v>
      </c>
      <c r="J350" s="594" t="n">
        <v>0</v>
      </c>
      <c r="K350" s="476" t="n">
        <v>0</v>
      </c>
      <c r="L350" s="1246" t="n">
        <v>0</v>
      </c>
      <c r="M350" s="350" t="n"/>
      <c r="N350" s="350" t="n"/>
      <c r="O350" s="350" t="n"/>
      <c r="P350" s="350" t="n"/>
      <c r="Q350" s="350" t="n"/>
      <c r="R350" s="350" t="n"/>
      <c r="S350" s="350" t="n"/>
      <c r="T350" s="350" t="n"/>
      <c r="U350" s="350" t="n"/>
      <c r="V350" s="350" t="n"/>
      <c r="W350" s="350" t="n"/>
      <c r="X350" s="350" t="n"/>
      <c r="Y350" s="350" t="n"/>
      <c r="Z350" s="350" t="n"/>
      <c r="AA350" s="350" t="n"/>
      <c r="AB350" s="350" t="n"/>
      <c r="AC350" s="350" t="n"/>
      <c r="AD350" s="350" t="n"/>
      <c r="AE350" s="350" t="n"/>
      <c r="AF350" s="350" t="n"/>
      <c r="AG350" s="30" t="n"/>
      <c r="AH350" s="30" t="n"/>
      <c r="AI350" s="30" t="n"/>
      <c r="AJ350" s="30" t="n"/>
      <c r="AK350" s="30" t="n"/>
    </row>
    <row r="351" ht="14.25" customHeight="1">
      <c r="A351" s="473" t="inlineStr">
        <is>
          <t>31 to 60</t>
        </is>
      </c>
      <c r="B351" s="1342" t="n"/>
      <c r="C351" s="476" t="n">
        <v>0</v>
      </c>
      <c r="D351" s="1246" t="n">
        <v>0</v>
      </c>
      <c r="E351" s="431" t="n">
        <v>0</v>
      </c>
      <c r="F351" s="594" t="n">
        <v>0</v>
      </c>
      <c r="G351" s="483" t="n">
        <v>0</v>
      </c>
      <c r="H351" s="1237" t="n">
        <v>0</v>
      </c>
      <c r="I351" s="990" t="n">
        <v>0</v>
      </c>
      <c r="J351" s="594" t="n">
        <v>0</v>
      </c>
      <c r="K351" s="476" t="n">
        <v>0</v>
      </c>
      <c r="L351" s="1246" t="n">
        <v>0</v>
      </c>
      <c r="M351" s="350" t="n"/>
      <c r="N351" s="350" t="n"/>
      <c r="O351" s="350" t="n"/>
      <c r="P351" s="350" t="n"/>
      <c r="Q351" s="350" t="n"/>
      <c r="R351" s="350" t="n"/>
      <c r="S351" s="350" t="n"/>
      <c r="T351" s="350" t="n"/>
      <c r="U351" s="350" t="n"/>
      <c r="V351" s="350" t="n"/>
      <c r="W351" s="350" t="n"/>
      <c r="X351" s="350" t="n"/>
      <c r="Y351" s="350" t="n"/>
      <c r="Z351" s="350" t="n"/>
      <c r="AA351" s="350" t="n"/>
      <c r="AB351" s="350" t="n"/>
      <c r="AC351" s="350" t="n"/>
      <c r="AD351" s="350" t="n"/>
      <c r="AE351" s="350" t="n"/>
      <c r="AF351" s="350" t="n"/>
      <c r="AG351" s="30" t="n"/>
      <c r="AH351" s="30" t="n"/>
      <c r="AI351" s="30" t="n"/>
      <c r="AJ351" s="30" t="n"/>
      <c r="AK351" s="30" t="n"/>
    </row>
    <row r="352" ht="14.25" customHeight="1">
      <c r="A352" s="1435" t="inlineStr">
        <is>
          <t>61 to 120</t>
        </is>
      </c>
      <c r="B352" s="1343" t="n"/>
      <c r="C352" s="476" t="n">
        <v>0</v>
      </c>
      <c r="D352" s="1246" t="n">
        <v>0</v>
      </c>
      <c r="E352" s="431" t="n">
        <v>0</v>
      </c>
      <c r="F352" s="594" t="n">
        <v>0</v>
      </c>
      <c r="G352" s="483" t="n">
        <v>0</v>
      </c>
      <c r="H352" s="1237" t="n">
        <v>0</v>
      </c>
      <c r="I352" s="990" t="n">
        <v>0</v>
      </c>
      <c r="J352" s="594" t="n">
        <v>0</v>
      </c>
      <c r="K352" s="476" t="n">
        <v>0</v>
      </c>
      <c r="L352" s="1246" t="n">
        <v>0</v>
      </c>
      <c r="M352" s="350" t="n"/>
      <c r="N352" s="350" t="n"/>
      <c r="O352" s="350" t="n"/>
      <c r="P352" s="350" t="n"/>
      <c r="Q352" s="350" t="n"/>
      <c r="R352" s="350" t="n"/>
      <c r="S352" s="350" t="n"/>
      <c r="T352" s="350" t="n"/>
      <c r="U352" s="350" t="n"/>
      <c r="V352" s="350" t="n"/>
      <c r="W352" s="350" t="n"/>
      <c r="X352" s="350" t="n"/>
      <c r="Y352" s="350" t="n"/>
      <c r="Z352" s="350" t="n"/>
      <c r="AA352" s="350" t="n"/>
      <c r="AB352" s="350" t="n"/>
      <c r="AC352" s="350" t="n"/>
      <c r="AD352" s="350" t="n"/>
      <c r="AE352" s="350" t="n"/>
      <c r="AF352" s="350" t="n"/>
      <c r="AG352" s="30" t="n"/>
      <c r="AH352" s="30" t="n"/>
      <c r="AI352" s="30" t="n"/>
      <c r="AJ352" s="30" t="n"/>
      <c r="AK352" s="30" t="n"/>
    </row>
    <row r="353" ht="14.25" customHeight="1">
      <c r="A353" s="473" t="inlineStr">
        <is>
          <t>121 to 180</t>
        </is>
      </c>
      <c r="B353" s="1342" t="n"/>
      <c r="C353" s="476" t="n">
        <v>0</v>
      </c>
      <c r="D353" s="430" t="n">
        <v>0</v>
      </c>
      <c r="E353" s="476" t="n">
        <v>0</v>
      </c>
      <c r="F353" s="594" t="n">
        <v>0</v>
      </c>
      <c r="G353" s="483" t="n">
        <v>0</v>
      </c>
      <c r="H353" s="1237" t="n">
        <v>0</v>
      </c>
      <c r="I353" s="476" t="n">
        <v>0</v>
      </c>
      <c r="J353" s="594" t="n">
        <v>0</v>
      </c>
      <c r="K353" s="476" t="n">
        <v>0</v>
      </c>
      <c r="L353" s="1246" t="n">
        <v>0</v>
      </c>
      <c r="M353" s="350" t="n"/>
      <c r="N353" s="350" t="n"/>
      <c r="O353" s="350" t="n"/>
      <c r="P353" s="350" t="n"/>
      <c r="Q353" s="350" t="n"/>
      <c r="R353" s="350" t="n"/>
      <c r="S353" s="350" t="n"/>
      <c r="T353" s="350" t="n"/>
      <c r="U353" s="350" t="n"/>
      <c r="V353" s="350" t="n"/>
      <c r="W353" s="350" t="n"/>
      <c r="X353" s="350" t="n"/>
      <c r="Y353" s="350" t="n"/>
      <c r="Z353" s="350" t="n"/>
      <c r="AA353" s="350" t="n"/>
      <c r="AB353" s="350" t="n"/>
      <c r="AC353" s="350" t="n"/>
      <c r="AD353" s="350" t="n"/>
      <c r="AE353" s="350" t="n"/>
      <c r="AF353" s="350" t="n"/>
      <c r="AG353" s="30" t="n"/>
      <c r="AH353" s="30" t="n"/>
      <c r="AI353" s="30" t="n"/>
      <c r="AJ353" s="30" t="n"/>
      <c r="AK353" s="30" t="n"/>
    </row>
    <row r="354" ht="14.25" customHeight="1">
      <c r="A354" s="473" t="inlineStr">
        <is>
          <t>181 to 365</t>
        </is>
      </c>
      <c r="B354" s="1342" t="n"/>
      <c r="C354" s="476" t="n">
        <v>0</v>
      </c>
      <c r="D354" s="430" t="n">
        <v>0</v>
      </c>
      <c r="E354" s="476" t="n">
        <v>0</v>
      </c>
      <c r="F354" s="594" t="n">
        <v>0</v>
      </c>
      <c r="G354" s="483" t="n">
        <v>0</v>
      </c>
      <c r="H354" s="1237" t="n">
        <v>0</v>
      </c>
      <c r="I354" s="476" t="n">
        <v>0</v>
      </c>
      <c r="J354" s="594" t="n">
        <v>0</v>
      </c>
      <c r="K354" s="476" t="n">
        <v>0</v>
      </c>
      <c r="L354" s="1246" t="n">
        <v>0</v>
      </c>
      <c r="M354" s="350" t="n"/>
      <c r="N354" s="350" t="n"/>
      <c r="O354" s="350" t="n"/>
      <c r="P354" s="350" t="n"/>
      <c r="Q354" s="350" t="n"/>
      <c r="R354" s="350" t="n"/>
      <c r="S354" s="350" t="n"/>
      <c r="T354" s="350" t="n"/>
      <c r="U354" s="350" t="n"/>
      <c r="V354" s="350" t="n"/>
      <c r="W354" s="350" t="n"/>
      <c r="X354" s="350" t="n"/>
      <c r="Y354" s="350" t="n"/>
      <c r="Z354" s="350" t="n"/>
      <c r="AA354" s="350" t="n"/>
      <c r="AB354" s="350" t="n"/>
      <c r="AC354" s="350" t="n"/>
      <c r="AD354" s="350" t="n"/>
      <c r="AE354" s="350" t="n"/>
      <c r="AF354" s="350" t="n"/>
      <c r="AG354" s="30" t="n"/>
      <c r="AH354" s="30" t="n"/>
      <c r="AI354" s="30" t="n"/>
      <c r="AJ354" s="30" t="n"/>
      <c r="AK354" s="30" t="n"/>
    </row>
    <row r="355" ht="14.25" customHeight="1" thickBot="1">
      <c r="A355" s="523" t="inlineStr">
        <is>
          <t>More than 365</t>
        </is>
      </c>
      <c r="B355" s="1348" t="n"/>
      <c r="C355" s="2" t="n">
        <v>0</v>
      </c>
      <c r="D355" s="23" t="n">
        <v>0</v>
      </c>
      <c r="E355" s="2" t="n">
        <v>0</v>
      </c>
      <c r="F355" s="23" t="n">
        <v>0</v>
      </c>
      <c r="G355" s="2" t="n">
        <v>0</v>
      </c>
      <c r="H355" s="23" t="n">
        <v>0</v>
      </c>
      <c r="I355" s="2" t="n">
        <v>0</v>
      </c>
      <c r="J355" s="23" t="n">
        <v>0</v>
      </c>
      <c r="K355" s="2" t="n">
        <v>0</v>
      </c>
      <c r="L355" s="179" t="n">
        <v>0</v>
      </c>
      <c r="M355" s="350" t="n"/>
      <c r="N355" s="350" t="n"/>
      <c r="O355" s="350" t="n"/>
      <c r="P355" s="350" t="n"/>
      <c r="Q355" s="350" t="n"/>
      <c r="R355" s="350" t="n"/>
      <c r="S355" s="350" t="n"/>
      <c r="T355" s="350" t="n"/>
      <c r="U355" s="350" t="n"/>
      <c r="V355" s="350" t="n"/>
      <c r="W355" s="350" t="n"/>
      <c r="X355" s="350" t="n"/>
      <c r="Y355" s="350" t="n"/>
      <c r="Z355" s="350" t="n"/>
      <c r="AA355" s="350" t="n"/>
      <c r="AB355" s="350" t="n"/>
      <c r="AC355" s="350" t="n"/>
      <c r="AD355" s="350" t="n"/>
      <c r="AE355" s="350" t="n"/>
      <c r="AF355" s="350" t="n"/>
      <c r="AG355" s="30" t="n"/>
      <c r="AH355" s="30" t="n"/>
      <c r="AI355" s="30" t="n"/>
      <c r="AJ355" s="30" t="n"/>
      <c r="AK355" s="30" t="n"/>
    </row>
    <row r="356" ht="15.75" customHeight="1" thickBot="1" thickTop="1">
      <c r="A356" s="496" t="inlineStr">
        <is>
          <t>Total</t>
        </is>
      </c>
      <c r="B356" s="1333" t="n"/>
      <c r="C356" s="1064">
        <f>SUM(C349:C355)</f>
        <v/>
      </c>
      <c r="D356" s="598">
        <f>SUM(D349:D355)</f>
        <v/>
      </c>
      <c r="E356" s="545">
        <f>SUM(E349:E355)</f>
        <v/>
      </c>
      <c r="F356" s="598">
        <f>SUM(F349:F355)</f>
        <v/>
      </c>
      <c r="G356" s="545">
        <f>SUM(G349:G355)</f>
        <v/>
      </c>
      <c r="H356" s="598">
        <f>SUM(H349:H355)</f>
        <v/>
      </c>
      <c r="I356" s="545">
        <f>SUM(I349:I355)</f>
        <v/>
      </c>
      <c r="J356" s="598">
        <f>SUM(J349:J355)</f>
        <v/>
      </c>
      <c r="K356" s="545">
        <f>SUM(K349:K355)</f>
        <v/>
      </c>
      <c r="L356" s="598">
        <f>SUM(L349:L355)</f>
        <v/>
      </c>
      <c r="M356" s="350" t="n"/>
      <c r="N356" s="350" t="n"/>
      <c r="O356" s="350" t="n"/>
      <c r="P356" s="350" t="n"/>
      <c r="Q356" s="350" t="n"/>
      <c r="R356" s="350" t="n"/>
      <c r="S356" s="350" t="n"/>
      <c r="T356" s="350" t="n"/>
      <c r="U356" s="350" t="n"/>
      <c r="V356" s="350" t="n"/>
      <c r="W356" s="350" t="n"/>
      <c r="X356" s="350" t="n"/>
      <c r="Y356" s="350" t="n"/>
      <c r="Z356" s="350" t="n"/>
      <c r="AA356" s="350" t="n"/>
      <c r="AB356" s="350" t="n"/>
      <c r="AC356" s="350" t="n"/>
      <c r="AD356" s="350" t="n"/>
      <c r="AE356" s="350" t="n"/>
      <c r="AF356" s="350" t="n"/>
      <c r="AG356" s="30" t="n"/>
      <c r="AH356" s="30" t="n"/>
      <c r="AI356" s="30" t="n"/>
      <c r="AJ356" s="30" t="n"/>
      <c r="AK356" s="30" t="n"/>
    </row>
    <row r="357" ht="15" customHeight="1" thickTop="1">
      <c r="A357" s="59" t="n"/>
      <c r="B357" s="59" t="n"/>
      <c r="C357" s="59" t="n"/>
      <c r="D357" s="59" t="n"/>
      <c r="E357" s="59" t="n"/>
      <c r="F357" s="60" t="n"/>
      <c r="G357" s="60" t="n"/>
      <c r="H357" s="59" t="n"/>
      <c r="I357" s="59" t="n"/>
      <c r="J357" s="59" t="n"/>
      <c r="K357" s="59" t="n"/>
      <c r="L357" s="59" t="n"/>
      <c r="M357" s="350" t="n"/>
      <c r="N357" s="350" t="n"/>
      <c r="O357" s="350" t="n"/>
      <c r="P357" s="350" t="n"/>
      <c r="Q357" s="350" t="n"/>
      <c r="R357" s="350" t="n"/>
      <c r="S357" s="350" t="n"/>
      <c r="T357" s="350" t="n"/>
      <c r="U357" s="350" t="n"/>
      <c r="V357" s="350" t="n"/>
      <c r="W357" s="350" t="n"/>
      <c r="X357" s="191" t="n"/>
      <c r="Y357" s="191" t="n"/>
      <c r="Z357" s="191" t="n"/>
      <c r="AA357" s="191" t="n"/>
      <c r="AB357" s="191" t="n"/>
      <c r="AC357" s="191" t="n"/>
      <c r="AD357" s="191" t="n"/>
      <c r="AE357" s="191" t="n"/>
      <c r="AF357" s="191" t="n"/>
      <c r="AG357" s="72" t="n"/>
      <c r="AH357" s="72" t="n"/>
      <c r="AI357" s="72" t="n"/>
      <c r="AJ357" s="72" t="n"/>
      <c r="AK357" s="72" t="n"/>
      <c r="AL357" s="49" t="n"/>
      <c r="AM357" s="49" t="n"/>
      <c r="AN357" s="49" t="n"/>
      <c r="AO357" s="49" t="n"/>
      <c r="AP357" s="49" t="n"/>
      <c r="AQ357" s="49" t="n"/>
      <c r="AR357" s="49" t="n"/>
      <c r="AS357" s="49" t="n"/>
      <c r="AT357" s="49" t="n"/>
    </row>
    <row r="358" ht="15" customHeight="1">
      <c r="A358" s="713" t="inlineStr">
        <is>
          <t>Section 9: Investigations and Reports of finding</t>
        </is>
      </c>
      <c r="M358" s="350" t="n"/>
      <c r="N358" s="350" t="n"/>
      <c r="O358" s="350" t="n"/>
      <c r="P358" s="350" t="n"/>
      <c r="Q358" s="350" t="n"/>
      <c r="R358" s="350" t="n"/>
      <c r="S358" s="350" t="n"/>
      <c r="T358" s="350" t="n"/>
      <c r="U358" s="350" t="n"/>
      <c r="V358" s="350" t="n"/>
      <c r="W358" s="350" t="n"/>
      <c r="X358" s="350" t="n"/>
      <c r="Y358" s="350" t="n"/>
      <c r="Z358" s="350" t="n"/>
      <c r="AA358" s="350" t="n"/>
      <c r="AB358" s="350" t="n"/>
      <c r="AC358" s="350" t="n"/>
      <c r="AD358" s="350" t="n"/>
      <c r="AE358" s="350" t="n"/>
      <c r="AF358" s="350" t="n"/>
      <c r="AG358" s="30" t="n"/>
      <c r="AH358" s="30" t="n"/>
      <c r="AI358" s="30" t="n"/>
      <c r="AJ358" s="30" t="n"/>
      <c r="AK358" s="30" t="n"/>
    </row>
    <row r="359" ht="14.25" customHeight="1">
      <c r="A359" s="58" t="n"/>
      <c r="B359" s="58" t="n"/>
      <c r="C359" s="58" t="n"/>
      <c r="D359" s="58" t="n"/>
      <c r="E359" s="58" t="n"/>
      <c r="F359" s="58" t="n"/>
      <c r="G359" s="58" t="n"/>
      <c r="H359" s="58" t="n"/>
      <c r="I359" s="58" t="n"/>
      <c r="J359" s="58" t="n"/>
      <c r="K359" s="58" t="n"/>
      <c r="L359" s="58" t="n"/>
      <c r="M359" s="350" t="n"/>
      <c r="N359" s="350" t="n"/>
      <c r="O359" s="350" t="n"/>
      <c r="P359" s="350" t="n"/>
      <c r="Q359" s="350" t="n"/>
      <c r="R359" s="350" t="n"/>
      <c r="S359" s="350" t="n"/>
      <c r="T359" s="350" t="n"/>
      <c r="U359" s="350" t="n"/>
      <c r="V359" s="350" t="n"/>
      <c r="W359" s="350" t="n"/>
      <c r="X359" s="350" t="n"/>
      <c r="Y359" s="350" t="n"/>
      <c r="Z359" s="350" t="n"/>
      <c r="AA359" s="350" t="n"/>
      <c r="AB359" s="350" t="n"/>
      <c r="AC359" s="350" t="n"/>
      <c r="AD359" s="350" t="n"/>
      <c r="AE359" s="350" t="n"/>
      <c r="AF359" s="350" t="n"/>
      <c r="AG359" s="30" t="n"/>
      <c r="AH359" s="30" t="n"/>
      <c r="AI359" s="30" t="n"/>
      <c r="AJ359" s="30" t="n"/>
      <c r="AK359" s="30" t="n"/>
    </row>
    <row r="360" ht="15.75" customHeight="1">
      <c r="A360" s="374" t="inlineStr">
        <is>
          <t>9.1 Investigations</t>
        </is>
      </c>
      <c r="M360" s="350" t="n"/>
      <c r="N360" s="350" t="n"/>
      <c r="O360" s="350" t="n"/>
      <c r="P360" s="350" t="n"/>
      <c r="Q360" s="350" t="n"/>
      <c r="R360" s="350" t="n"/>
      <c r="S360" s="350" t="n"/>
      <c r="T360" s="350" t="n"/>
      <c r="U360" s="350" t="n"/>
      <c r="V360" s="350" t="n"/>
      <c r="W360" s="350" t="n"/>
      <c r="X360" s="350" t="n"/>
      <c r="Y360" s="350" t="n"/>
      <c r="Z360" s="350" t="n"/>
      <c r="AA360" s="350" t="n"/>
      <c r="AB360" s="350" t="n"/>
      <c r="AC360" s="350" t="n"/>
      <c r="AD360" s="350" t="n"/>
      <c r="AE360" s="350" t="n"/>
      <c r="AF360" s="350" t="n"/>
      <c r="AG360" s="30" t="n"/>
      <c r="AH360" s="30" t="n"/>
      <c r="AI360" s="30" t="n"/>
      <c r="AJ360" s="30" t="n"/>
      <c r="AK360" s="30" t="n"/>
    </row>
    <row r="361" ht="12.75" customHeight="1" thickBot="1">
      <c r="M361" s="350" t="n"/>
      <c r="N361" s="350" t="n"/>
      <c r="O361" s="350" t="n"/>
      <c r="P361" s="350" t="n"/>
      <c r="Q361" s="350" t="n"/>
      <c r="R361" s="350" t="n"/>
      <c r="S361" s="350" t="n"/>
      <c r="T361" s="350" t="n"/>
      <c r="U361" s="350" t="n"/>
      <c r="V361" s="350" t="n"/>
      <c r="W361" s="350" t="n"/>
      <c r="X361" s="350" t="n"/>
      <c r="Y361" s="350" t="n"/>
      <c r="Z361" s="350" t="n"/>
      <c r="AA361" s="350" t="n"/>
      <c r="AB361" s="350" t="n"/>
      <c r="AC361" s="350" t="n"/>
      <c r="AD361" s="350" t="n"/>
      <c r="AE361" s="350" t="n"/>
      <c r="AF361" s="350" t="n"/>
      <c r="AG361" s="30" t="n"/>
      <c r="AH361" s="30" t="n"/>
      <c r="AI361" s="30" t="n"/>
      <c r="AJ361" s="30" t="n"/>
      <c r="AK361" s="30" t="n"/>
    </row>
    <row r="362" ht="41.25" customHeight="1" thickBot="1" thickTop="1">
      <c r="A362" s="1454" t="inlineStr">
        <is>
          <t>Section 32 Notice of intention to investigate</t>
        </is>
      </c>
      <c r="B362" s="1386" t="n"/>
      <c r="C362" s="1455" t="inlineStr">
        <is>
          <t>Subsection 30(5) Ceased to investigate</t>
        </is>
      </c>
      <c r="D362" s="1386" t="n"/>
      <c r="E362" s="1456" t="inlineStr">
        <is>
          <t>Section 35  Formal Representations</t>
        </is>
      </c>
      <c r="F362" s="1334" t="n"/>
      <c r="G362" s="749" t="n"/>
      <c r="I362" s="749" t="n"/>
      <c r="K362" s="749" t="n"/>
      <c r="M362" s="350" t="n"/>
      <c r="N362" s="350" t="n"/>
      <c r="O362" s="350" t="n"/>
      <c r="P362" s="350" t="n"/>
      <c r="Q362" s="350" t="n"/>
      <c r="R362" s="350" t="n"/>
      <c r="S362" s="350" t="n"/>
      <c r="T362" s="350" t="n"/>
      <c r="U362" s="350" t="n"/>
      <c r="V362" s="350" t="n"/>
      <c r="W362" s="350" t="n"/>
      <c r="X362" s="350" t="n"/>
      <c r="Y362" s="350" t="n"/>
      <c r="Z362" s="350" t="n"/>
      <c r="AA362" s="350" t="n"/>
      <c r="AB362" s="350" t="n"/>
      <c r="AC362" s="350" t="n"/>
      <c r="AD362" s="350" t="n"/>
      <c r="AE362" s="350" t="n"/>
      <c r="AF362" s="350" t="n"/>
      <c r="AG362" s="30" t="n"/>
      <c r="AH362" s="30" t="n"/>
      <c r="AI362" s="30" t="n"/>
      <c r="AJ362" s="30" t="n"/>
      <c r="AK362" s="30" t="n"/>
    </row>
    <row r="363" ht="15.75" customHeight="1" thickBot="1" thickTop="1">
      <c r="A363" s="248" t="n">
        <v>0</v>
      </c>
      <c r="B363" s="1401" t="n"/>
      <c r="C363" s="211" t="n">
        <v>0</v>
      </c>
      <c r="D363" s="1401" t="n"/>
      <c r="E363" s="1457" t="n">
        <v>0</v>
      </c>
      <c r="F363" s="1458" t="n"/>
      <c r="G363" s="752" t="n"/>
      <c r="I363" s="753" t="n"/>
      <c r="K363" s="753" t="n"/>
      <c r="M363" s="350" t="n"/>
      <c r="N363" s="350" t="n"/>
      <c r="O363" s="350" t="n"/>
      <c r="P363" s="350" t="n"/>
      <c r="Q363" s="350" t="n"/>
      <c r="R363" s="350" t="n"/>
      <c r="S363" s="350" t="n"/>
      <c r="T363" s="350" t="n"/>
      <c r="U363" s="350" t="n"/>
      <c r="V363" s="350" t="n"/>
      <c r="W363" s="350" t="n"/>
      <c r="X363" s="350" t="n"/>
      <c r="Y363" s="350" t="n"/>
      <c r="Z363" s="350" t="n"/>
      <c r="AA363" s="350" t="n"/>
      <c r="AB363" s="350" t="n"/>
      <c r="AC363" s="350" t="n"/>
      <c r="AD363" s="350" t="n"/>
      <c r="AE363" s="350" t="n"/>
      <c r="AF363" s="350" t="n"/>
      <c r="AG363" s="30" t="n"/>
      <c r="AH363" s="30" t="n"/>
      <c r="AI363" s="30" t="n"/>
      <c r="AJ363" s="30" t="n"/>
      <c r="AK363" s="30" t="n"/>
    </row>
    <row r="364" ht="15" customHeight="1" thickTop="1">
      <c r="M364" s="350" t="n"/>
      <c r="N364" s="350" t="n"/>
      <c r="O364" s="350" t="n"/>
      <c r="P364" s="350" t="n"/>
      <c r="Q364" s="350" t="n"/>
      <c r="R364" s="350" t="n"/>
      <c r="S364" s="350" t="n"/>
      <c r="T364" s="350" t="n"/>
      <c r="U364" s="350" t="n"/>
      <c r="V364" s="350" t="n"/>
      <c r="W364" s="350" t="n"/>
      <c r="X364" s="350" t="n"/>
      <c r="Y364" s="350" t="n"/>
      <c r="Z364" s="350" t="n"/>
      <c r="AA364" s="350" t="n"/>
      <c r="AB364" s="350" t="n"/>
      <c r="AC364" s="350" t="n"/>
      <c r="AD364" s="350" t="n"/>
      <c r="AE364" s="350" t="n"/>
      <c r="AF364" s="350" t="n"/>
      <c r="AG364" s="30" t="n"/>
      <c r="AH364" s="30" t="n"/>
      <c r="AI364" s="30" t="n"/>
      <c r="AJ364" s="30" t="n"/>
      <c r="AK364" s="30" t="n"/>
    </row>
    <row r="365" ht="14.25" customHeight="1">
      <c r="A365" s="543" t="inlineStr">
        <is>
          <t>9.2 Investigations and Reports of finding</t>
        </is>
      </c>
      <c r="M365" s="350" t="n"/>
      <c r="N365" s="350" t="n"/>
      <c r="O365" s="350" t="n"/>
      <c r="P365" s="350" t="n"/>
      <c r="Q365" s="350" t="n"/>
      <c r="R365" s="350" t="n"/>
      <c r="S365" s="350" t="n"/>
      <c r="T365" s="350" t="n"/>
      <c r="U365" s="350" t="n"/>
      <c r="V365" s="350" t="n"/>
      <c r="W365" s="350" t="n"/>
      <c r="X365" s="350" t="n"/>
      <c r="Y365" s="350" t="n"/>
      <c r="Z365" s="350" t="n"/>
      <c r="AA365" s="350" t="n"/>
      <c r="AB365" s="350" t="n"/>
      <c r="AC365" s="350" t="n"/>
      <c r="AD365" s="350" t="n"/>
      <c r="AE365" s="350" t="n"/>
      <c r="AF365" s="350" t="n"/>
      <c r="AG365" s="30" t="n"/>
      <c r="AH365" s="30" t="n"/>
      <c r="AI365" s="30" t="n"/>
      <c r="AJ365" s="30" t="n"/>
      <c r="AK365" s="30" t="n"/>
    </row>
    <row r="366" ht="15.75" customHeight="1" thickBot="1">
      <c r="A366" s="374" t="n"/>
      <c r="B366" s="29" t="n"/>
      <c r="C366" s="29" t="n"/>
      <c r="M366" s="350" t="n"/>
      <c r="N366" s="350" t="n"/>
      <c r="O366" s="350" t="n"/>
      <c r="P366" s="350" t="n"/>
      <c r="Q366" s="350" t="n"/>
      <c r="R366" s="350" t="n"/>
      <c r="S366" s="350" t="n"/>
      <c r="T366" s="350" t="n"/>
      <c r="U366" s="350" t="n"/>
      <c r="V366" s="350" t="n"/>
      <c r="W366" s="350" t="n"/>
      <c r="X366" s="350" t="n"/>
      <c r="Y366" s="350" t="n"/>
      <c r="Z366" s="350" t="n"/>
      <c r="AA366" s="350" t="n"/>
      <c r="AB366" s="350" t="n"/>
      <c r="AC366" s="350" t="n"/>
      <c r="AD366" s="350" t="n"/>
      <c r="AE366" s="350" t="n"/>
      <c r="AF366" s="350" t="n"/>
      <c r="AG366" s="30" t="n"/>
      <c r="AH366" s="30" t="n"/>
      <c r="AI366" s="30" t="n"/>
      <c r="AJ366" s="30" t="n"/>
      <c r="AK366" s="30" t="n"/>
    </row>
    <row r="367" ht="15" customHeight="1" thickTop="1">
      <c r="A367" s="1459" t="inlineStr">
        <is>
          <t>Section 37(1) Initial Reports</t>
        </is>
      </c>
      <c r="B367" s="1336" t="n"/>
      <c r="C367" s="1336" t="n"/>
      <c r="D367" s="1336" t="n"/>
      <c r="E367" s="1336" t="n"/>
      <c r="F367" s="1337" t="n"/>
      <c r="G367" s="1459" t="inlineStr">
        <is>
          <t>Section 37(2) Final Reports</t>
        </is>
      </c>
      <c r="H367" s="1336" t="n"/>
      <c r="I367" s="1336" t="n"/>
      <c r="J367" s="1336" t="n"/>
      <c r="K367" s="1336" t="n"/>
      <c r="L367" s="1337" t="n"/>
      <c r="M367" s="350" t="n"/>
      <c r="N367" s="350" t="n"/>
      <c r="O367" s="350" t="n"/>
      <c r="P367" s="350" t="n"/>
      <c r="Q367" s="350" t="n"/>
      <c r="R367" s="350" t="n"/>
      <c r="S367" s="350" t="n"/>
      <c r="T367" s="350" t="n"/>
      <c r="U367" s="350" t="n"/>
      <c r="V367" s="350" t="n"/>
      <c r="W367" s="350" t="n"/>
      <c r="X367" s="350" t="n"/>
      <c r="Y367" s="350" t="n"/>
      <c r="Z367" s="350" t="n"/>
      <c r="AA367" s="350" t="n"/>
      <c r="AB367" s="350" t="n"/>
      <c r="AC367" s="350" t="n"/>
      <c r="AD367" s="350" t="n"/>
      <c r="AE367" s="350" t="n"/>
      <c r="AF367" s="350" t="n"/>
      <c r="AG367" s="30" t="n"/>
      <c r="AH367" s="30" t="n"/>
      <c r="AI367" s="30" t="n"/>
      <c r="AJ367" s="30" t="n"/>
      <c r="AK367" s="30" t="n"/>
    </row>
    <row r="368" ht="67.5" customHeight="1" thickBot="1">
      <c r="A368" s="951" t="inlineStr">
        <is>
          <t xml:space="preserve"> Received</t>
        </is>
      </c>
      <c r="B368" s="1396" t="n"/>
      <c r="C368" s="949" t="inlineStr">
        <is>
          <t>Containing recommendations issued by the Information Commissioner</t>
        </is>
      </c>
      <c r="D368" s="1396" t="n"/>
      <c r="E368" s="950" t="inlineStr">
        <is>
          <t>Containing an intent to issue an order by the Information Commissioner</t>
        </is>
      </c>
      <c r="F368" s="1374" t="n"/>
      <c r="G368" s="951" t="inlineStr">
        <is>
          <t xml:space="preserve"> Received</t>
        </is>
      </c>
      <c r="H368" s="1396" t="n"/>
      <c r="I368" s="949" t="inlineStr">
        <is>
          <t>Containing recommendations issued by the Information Commissioner</t>
        </is>
      </c>
      <c r="J368" s="1396" t="n"/>
      <c r="K368" s="950" t="inlineStr">
        <is>
          <t>Containing orders issued by the Information Commissioner</t>
        </is>
      </c>
      <c r="L368" s="1374" t="n"/>
      <c r="M368" s="350" t="n"/>
      <c r="N368" s="350" t="n"/>
      <c r="O368" s="350" t="n"/>
      <c r="P368" s="350" t="n"/>
      <c r="Q368" s="350" t="n"/>
      <c r="R368" s="350" t="n"/>
      <c r="S368" s="350" t="n"/>
      <c r="T368" s="350" t="n"/>
      <c r="U368" s="350" t="n"/>
      <c r="V368" s="350" t="n"/>
      <c r="W368" s="350" t="n"/>
      <c r="X368" s="350" t="n"/>
      <c r="Y368" s="350" t="n"/>
      <c r="Z368" s="350" t="n"/>
      <c r="AA368" s="350" t="n"/>
      <c r="AB368" s="350" t="n"/>
      <c r="AC368" s="350" t="n"/>
      <c r="AD368" s="350" t="n"/>
      <c r="AE368" s="350" t="n"/>
      <c r="AF368" s="350" t="n"/>
      <c r="AG368" s="30" t="n"/>
      <c r="AH368" s="30" t="n"/>
      <c r="AI368" s="30" t="n"/>
      <c r="AJ368" s="30" t="n"/>
      <c r="AK368" s="30" t="n"/>
    </row>
    <row r="369" ht="14.25" customHeight="1" thickBot="1" thickTop="1">
      <c r="A369" s="213" t="n">
        <v>0</v>
      </c>
      <c r="B369" s="1401" t="n"/>
      <c r="C369" s="1416" t="n">
        <v>0</v>
      </c>
      <c r="D369" s="1401" t="n"/>
      <c r="E369" s="786" t="n">
        <v>0</v>
      </c>
      <c r="F369" s="1460" t="n"/>
      <c r="G369" s="213" t="n">
        <v>0</v>
      </c>
      <c r="H369" s="1401" t="n"/>
      <c r="I369" s="1416" t="n">
        <v>0</v>
      </c>
      <c r="J369" s="1401" t="n"/>
      <c r="K369" s="1461" t="n">
        <v>0</v>
      </c>
      <c r="L369" s="1458" t="n"/>
      <c r="M369" s="350" t="n"/>
      <c r="N369" s="350" t="n"/>
      <c r="O369" s="350" t="n"/>
      <c r="P369" s="350" t="n"/>
      <c r="Q369" s="350" t="n"/>
      <c r="R369" s="350" t="n"/>
      <c r="S369" s="350" t="n"/>
      <c r="T369" s="350" t="n"/>
      <c r="U369" s="350" t="n"/>
      <c r="V369" s="350" t="n"/>
      <c r="W369" s="350" t="n"/>
      <c r="X369" s="350" t="n"/>
      <c r="Y369" s="350" t="n"/>
      <c r="Z369" s="350" t="n"/>
      <c r="AA369" s="350" t="n"/>
      <c r="AB369" s="350" t="n"/>
      <c r="AC369" s="350" t="n"/>
      <c r="AD369" s="350" t="n"/>
      <c r="AE369" s="350" t="n"/>
      <c r="AF369" s="350" t="n"/>
      <c r="AG369" s="30" t="n"/>
      <c r="AH369" s="30" t="n"/>
      <c r="AI369" s="30" t="n"/>
      <c r="AJ369" s="30" t="n"/>
      <c r="AK369" s="30" t="n"/>
    </row>
    <row r="370" ht="15" customHeight="1" thickTop="1">
      <c r="M370" s="350" t="n"/>
      <c r="N370" s="350" t="n"/>
      <c r="O370" s="350" t="n"/>
      <c r="P370" s="350" t="n"/>
      <c r="Q370" s="350" t="n"/>
      <c r="R370" s="350" t="n"/>
      <c r="S370" s="350" t="n"/>
      <c r="T370" s="350" t="n"/>
      <c r="U370" s="350" t="n"/>
      <c r="V370" s="350" t="n"/>
      <c r="W370" s="350" t="n"/>
      <c r="X370" s="350" t="n"/>
      <c r="Y370" s="350" t="n"/>
      <c r="Z370" s="350" t="n"/>
      <c r="AA370" s="350" t="n"/>
      <c r="AB370" s="350" t="n"/>
      <c r="AC370" s="350" t="n"/>
      <c r="AD370" s="350" t="n"/>
      <c r="AE370" s="350" t="n"/>
      <c r="AF370" s="350" t="n"/>
      <c r="AG370" s="30" t="n"/>
      <c r="AH370" s="30" t="n"/>
      <c r="AI370" s="30" t="n"/>
      <c r="AJ370" s="30" t="n"/>
      <c r="AK370" s="30" t="n"/>
    </row>
    <row r="371" ht="14.25" customHeight="1">
      <c r="A371" s="788" t="inlineStr">
        <is>
          <t>Section 10: Court Action</t>
        </is>
      </c>
      <c r="M371" s="350" t="n"/>
      <c r="N371" s="350" t="n"/>
      <c r="O371" s="350" t="n"/>
      <c r="P371" s="350" t="n"/>
      <c r="Q371" s="350" t="n"/>
      <c r="R371" s="350" t="n"/>
      <c r="S371" s="350" t="n"/>
      <c r="T371" s="350" t="n"/>
      <c r="U371" s="350" t="n"/>
      <c r="V371" s="350" t="n"/>
      <c r="W371" s="350" t="n"/>
      <c r="X371" s="350" t="n"/>
      <c r="Y371" s="350" t="n"/>
      <c r="Z371" s="350" t="n"/>
      <c r="AA371" s="350" t="n"/>
      <c r="AB371" s="350" t="n"/>
      <c r="AC371" s="350" t="n"/>
      <c r="AD371" s="350" t="n"/>
      <c r="AE371" s="350" t="n"/>
      <c r="AF371" s="350" t="n"/>
      <c r="AG371" s="30" t="n"/>
      <c r="AH371" s="30" t="n"/>
      <c r="AI371" s="30" t="n"/>
      <c r="AJ371" s="30" t="n"/>
      <c r="AK371" s="30" t="n"/>
    </row>
    <row r="372" ht="14.25" customHeight="1">
      <c r="M372" s="350" t="n"/>
      <c r="N372" s="350" t="n"/>
      <c r="O372" s="350" t="n"/>
      <c r="P372" s="350" t="n"/>
      <c r="Q372" s="350" t="n"/>
      <c r="R372" s="350" t="n"/>
      <c r="S372" s="350" t="n"/>
      <c r="T372" s="350" t="n"/>
      <c r="U372" s="350" t="n"/>
      <c r="V372" s="350" t="n"/>
      <c r="W372" s="350" t="n"/>
      <c r="X372" s="350" t="n"/>
      <c r="Y372" s="350" t="n"/>
      <c r="Z372" s="350" t="n"/>
      <c r="AA372" s="350" t="n"/>
      <c r="AB372" s="350" t="n"/>
      <c r="AC372" s="350" t="n"/>
      <c r="AD372" s="350" t="n"/>
      <c r="AE372" s="350" t="n"/>
      <c r="AF372" s="350" t="n"/>
      <c r="AG372" s="30" t="n"/>
      <c r="AH372" s="30" t="n"/>
      <c r="AI372" s="30" t="n"/>
      <c r="AJ372" s="30" t="n"/>
      <c r="AK372" s="30" t="n"/>
    </row>
    <row r="373" ht="15" customHeight="1">
      <c r="A373" s="374" t="inlineStr">
        <is>
          <t>10.1 Court actions on complaints</t>
        </is>
      </c>
      <c r="M373" s="350" t="n"/>
      <c r="N373" s="350" t="n"/>
      <c r="O373" s="350" t="n"/>
      <c r="P373" s="350" t="n"/>
      <c r="Q373" s="350" t="n"/>
      <c r="R373" s="350" t="n"/>
      <c r="S373" s="350" t="n"/>
      <c r="T373" s="350" t="n"/>
      <c r="U373" s="350" t="n"/>
      <c r="V373" s="350" t="n"/>
      <c r="W373" s="350" t="n"/>
      <c r="X373" s="350" t="n"/>
      <c r="Y373" s="350" t="n"/>
      <c r="Z373" s="350" t="n"/>
      <c r="AA373" s="350" t="n"/>
      <c r="AB373" s="350" t="n"/>
      <c r="AC373" s="350" t="n"/>
      <c r="AD373" s="350" t="n"/>
      <c r="AE373" s="350" t="n"/>
      <c r="AF373" s="350" t="n"/>
      <c r="AG373" s="30" t="n"/>
      <c r="AH373" s="30" t="n"/>
      <c r="AI373" s="30" t="n"/>
      <c r="AJ373" s="30" t="n"/>
      <c r="AK373" s="30" t="n"/>
    </row>
    <row r="374" ht="14.25" customHeight="1" thickBot="1">
      <c r="M374" s="350" t="n"/>
      <c r="N374" s="350" t="n"/>
      <c r="O374" s="350" t="n"/>
      <c r="P374" s="350" t="n"/>
      <c r="Q374" s="350" t="n"/>
      <c r="R374" s="350" t="n"/>
      <c r="S374" s="350" t="n"/>
      <c r="T374" s="350" t="n"/>
      <c r="U374" s="350" t="n"/>
      <c r="V374" s="350" t="n"/>
      <c r="W374" s="350" t="n"/>
      <c r="X374" s="350" t="n"/>
      <c r="Y374" s="350" t="n"/>
      <c r="Z374" s="350" t="n"/>
      <c r="AA374" s="350" t="n"/>
      <c r="AB374" s="350" t="n"/>
      <c r="AC374" s="350" t="n"/>
      <c r="AD374" s="350" t="n"/>
      <c r="AE374" s="350" t="n"/>
      <c r="AF374" s="350" t="n"/>
      <c r="AG374" s="30" t="n"/>
      <c r="AH374" s="30" t="n"/>
      <c r="AI374" s="30" t="n"/>
      <c r="AJ374" s="30" t="n"/>
      <c r="AK374" s="30" t="n"/>
    </row>
    <row r="375" ht="13.5" customHeight="1" thickTop="1">
      <c r="A375" s="1380" t="inlineStr">
        <is>
          <t xml:space="preserve">Section 41 </t>
        </is>
      </c>
      <c r="B375" s="1336" t="n"/>
      <c r="C375" s="1336" t="n"/>
      <c r="D375" s="1336" t="n"/>
      <c r="E375" s="1336" t="n"/>
      <c r="F375" s="1336" t="n"/>
      <c r="G375" s="1336" t="n"/>
      <c r="H375" s="1336" t="n"/>
      <c r="I375" s="1336" t="n"/>
      <c r="J375" s="1336" t="n"/>
      <c r="K375" s="1336" t="n"/>
      <c r="L375" s="1337" t="n"/>
      <c r="M375" s="350" t="n"/>
      <c r="N375" s="350" t="n"/>
      <c r="O375" s="350" t="n"/>
      <c r="P375" s="350" t="n"/>
      <c r="Q375" s="350" t="n"/>
      <c r="R375" s="350" t="n"/>
      <c r="S375" s="350" t="n"/>
      <c r="T375" s="350" t="n"/>
      <c r="U375" s="350" t="n"/>
      <c r="V375" s="350" t="n"/>
      <c r="W375" s="350" t="n"/>
      <c r="X375" s="350" t="n"/>
      <c r="Y375" s="350" t="n"/>
      <c r="Z375" s="350" t="n"/>
      <c r="AA375" s="350" t="n"/>
      <c r="AB375" s="350" t="n"/>
      <c r="AC375" s="350" t="n"/>
      <c r="AD375" s="350" t="n"/>
      <c r="AE375" s="350" t="n"/>
      <c r="AF375" s="350" t="n"/>
      <c r="AG375" s="30" t="n"/>
      <c r="AH375" s="30" t="n"/>
      <c r="AI375" s="30" t="n"/>
      <c r="AJ375" s="30" t="n"/>
      <c r="AK375" s="30" t="n"/>
    </row>
    <row r="376" ht="16.9" customHeight="1" thickBot="1">
      <c r="A376" s="1462" t="inlineStr">
        <is>
          <t>Complainant (1)</t>
        </is>
      </c>
      <c r="B376" s="1396" t="n"/>
      <c r="C376" s="168" t="inlineStr">
        <is>
          <t>Institution (2)</t>
        </is>
      </c>
      <c r="D376" s="1396" t="n"/>
      <c r="E376" s="168" t="inlineStr">
        <is>
          <t>Third Party (3)</t>
        </is>
      </c>
      <c r="F376" s="1396" t="n"/>
      <c r="G376" s="1463" t="inlineStr">
        <is>
          <t>Privacy Commissioner (4)</t>
        </is>
      </c>
      <c r="H376" s="1350" t="n"/>
      <c r="I376" s="1350" t="n"/>
      <c r="J376" s="1374" t="n"/>
      <c r="K376" s="803" t="inlineStr">
        <is>
          <t>Total</t>
        </is>
      </c>
      <c r="L376" s="1374" t="n"/>
      <c r="M376" s="350" t="n"/>
      <c r="N376" s="350" t="n"/>
      <c r="O376" s="350" t="n"/>
      <c r="P376" s="350" t="n"/>
      <c r="Q376" s="350" t="n"/>
      <c r="R376" s="350" t="n"/>
      <c r="S376" s="350" t="n"/>
      <c r="T376" s="350" t="n"/>
      <c r="U376" s="350" t="n"/>
      <c r="V376" s="350" t="n"/>
      <c r="W376" s="350" t="n"/>
      <c r="X376" s="350" t="n"/>
      <c r="Y376" s="350" t="n"/>
      <c r="Z376" s="350" t="n"/>
      <c r="AA376" s="350" t="n"/>
      <c r="AB376" s="350" t="n"/>
      <c r="AC376" s="350" t="n"/>
      <c r="AD376" s="350" t="n"/>
      <c r="AE376" s="350" t="n"/>
      <c r="AF376" s="350" t="n"/>
      <c r="AG376" s="30" t="n"/>
      <c r="AH376" s="30" t="n"/>
      <c r="AI376" s="30" t="n"/>
      <c r="AJ376" s="30" t="n"/>
      <c r="AK376" s="30" t="n"/>
    </row>
    <row r="377" ht="14.25" customHeight="1" thickBot="1" thickTop="1">
      <c r="A377" s="248" t="n">
        <v>0</v>
      </c>
      <c r="B377" s="1401" t="n"/>
      <c r="C377" s="211" t="n">
        <v>0</v>
      </c>
      <c r="D377" s="1401" t="n"/>
      <c r="E377" s="1464" t="n">
        <v>0</v>
      </c>
      <c r="F377" s="1465" t="n"/>
      <c r="G377" s="533" t="n">
        <v>0</v>
      </c>
      <c r="H377" s="1402" t="n"/>
      <c r="I377" s="1402" t="n"/>
      <c r="J377" s="1402" t="n"/>
      <c r="K377" s="1375">
        <f>SUM(A377:J377)</f>
        <v/>
      </c>
      <c r="L377" s="1334" t="n"/>
      <c r="M377" s="350" t="n"/>
      <c r="N377" s="350" t="n"/>
      <c r="O377" s="350" t="n"/>
      <c r="P377" s="350" t="n"/>
      <c r="Q377" s="350" t="n"/>
      <c r="R377" s="350" t="n"/>
      <c r="S377" s="350" t="n"/>
      <c r="T377" s="350" t="n"/>
      <c r="U377" s="350" t="n"/>
      <c r="V377" s="350" t="n"/>
      <c r="W377" s="350" t="n"/>
      <c r="X377" s="350" t="n"/>
      <c r="Y377" s="350" t="n"/>
      <c r="Z377" s="350" t="n"/>
      <c r="AA377" s="350" t="n"/>
      <c r="AB377" s="350" t="n"/>
      <c r="AC377" s="350" t="n"/>
      <c r="AD377" s="350" t="n"/>
      <c r="AE377" s="350" t="n"/>
      <c r="AF377" s="350" t="n"/>
      <c r="AG377" s="30" t="n"/>
      <c r="AH377" s="30" t="n"/>
      <c r="AI377" s="30" t="n"/>
      <c r="AJ377" s="30" t="n"/>
      <c r="AK377" s="30" t="n"/>
    </row>
    <row r="378" ht="14.25" customHeight="1" thickTop="1">
      <c r="A378" s="709" t="n"/>
      <c r="B378" s="709" t="n"/>
      <c r="C378" s="709" t="n"/>
      <c r="D378" s="709" t="n"/>
      <c r="E378" s="709" t="n"/>
      <c r="F378" s="63" t="n"/>
      <c r="G378" s="709" t="n"/>
      <c r="H378" s="709" t="n"/>
      <c r="I378" s="709" t="n"/>
      <c r="J378" s="709" t="n"/>
      <c r="K378" s="709" t="n"/>
      <c r="L378" s="709" t="n"/>
      <c r="M378" s="350" t="n"/>
      <c r="N378" s="350" t="n"/>
      <c r="O378" s="350" t="n"/>
      <c r="P378" s="350" t="n"/>
      <c r="Q378" s="350" t="n"/>
      <c r="R378" s="350" t="n"/>
      <c r="S378" s="350" t="n"/>
      <c r="T378" s="350" t="n"/>
      <c r="U378" s="350" t="n"/>
      <c r="V378" s="350" t="n"/>
      <c r="W378" s="350" t="n"/>
      <c r="X378" s="350" t="n"/>
      <c r="Y378" s="350" t="n"/>
      <c r="Z378" s="350" t="n"/>
      <c r="AA378" s="350" t="n"/>
      <c r="AB378" s="350" t="n"/>
      <c r="AC378" s="350" t="n"/>
      <c r="AD378" s="350" t="n"/>
      <c r="AE378" s="350" t="n"/>
      <c r="AF378" s="350" t="n"/>
      <c r="AG378" s="30" t="n"/>
      <c r="AH378" s="30" t="n"/>
      <c r="AI378" s="30" t="n"/>
      <c r="AJ378" s="30" t="n"/>
      <c r="AK378" s="30" t="n"/>
    </row>
    <row r="379" ht="14.25" customHeight="1">
      <c r="A379" s="543" t="inlineStr">
        <is>
          <t>10.2 Court actions on third party notifications under paragraph 28(1)(b)</t>
        </is>
      </c>
      <c r="M379" s="350" t="n"/>
      <c r="N379" s="350" t="n"/>
      <c r="O379" s="350" t="n"/>
      <c r="P379" s="350" t="n"/>
      <c r="Q379" s="350" t="n"/>
      <c r="R379" s="350" t="n"/>
      <c r="S379" s="350" t="n"/>
      <c r="T379" s="350" t="n"/>
      <c r="U379" s="350" t="n"/>
      <c r="V379" s="350" t="n"/>
      <c r="W379" s="350" t="n"/>
      <c r="X379" s="350" t="n"/>
      <c r="Y379" s="350" t="n"/>
      <c r="Z379" s="350" t="n"/>
      <c r="AA379" s="350" t="n"/>
      <c r="AB379" s="350" t="n"/>
      <c r="AC379" s="350" t="n"/>
      <c r="AD379" s="350" t="n"/>
      <c r="AE379" s="350" t="n"/>
      <c r="AF379" s="350" t="n"/>
      <c r="AG379" s="30" t="n"/>
      <c r="AH379" s="30" t="n"/>
      <c r="AI379" s="30" t="n"/>
      <c r="AJ379" s="30" t="n"/>
      <c r="AK379" s="30" t="n"/>
    </row>
    <row r="380" ht="14.25" customHeight="1" thickBot="1">
      <c r="A380" s="543" t="n"/>
      <c r="B380" s="73" t="n"/>
      <c r="C380" s="73" t="n"/>
      <c r="D380" s="709" t="n"/>
      <c r="E380" s="709" t="n"/>
      <c r="F380" s="63" t="n"/>
      <c r="G380" s="709" t="n"/>
      <c r="H380" s="709" t="n"/>
      <c r="I380" s="709" t="n"/>
      <c r="J380" s="709" t="n"/>
      <c r="K380" s="709" t="n"/>
      <c r="L380" s="709" t="n"/>
      <c r="M380" s="350" t="n"/>
      <c r="N380" s="350" t="n"/>
      <c r="O380" s="350" t="n"/>
      <c r="P380" s="350" t="n"/>
      <c r="Q380" s="350" t="n"/>
      <c r="R380" s="350" t="n"/>
      <c r="S380" s="350" t="n"/>
      <c r="T380" s="350" t="n"/>
      <c r="U380" s="350" t="n"/>
      <c r="V380" s="350" t="n"/>
      <c r="W380" s="350" t="n"/>
      <c r="X380" s="350" t="n"/>
      <c r="Y380" s="350" t="n"/>
      <c r="Z380" s="350" t="n"/>
      <c r="AA380" s="350" t="n"/>
      <c r="AB380" s="350" t="n"/>
      <c r="AC380" s="350" t="n"/>
      <c r="AD380" s="350" t="n"/>
      <c r="AE380" s="350" t="n"/>
      <c r="AF380" s="350" t="n"/>
      <c r="AG380" s="30" t="n"/>
      <c r="AH380" s="30" t="n"/>
      <c r="AI380" s="30" t="n"/>
      <c r="AJ380" s="30" t="n"/>
      <c r="AK380" s="30" t="n"/>
    </row>
    <row r="381" ht="30" customHeight="1" thickBot="1" thickTop="1">
      <c r="A381" s="1466" t="inlineStr">
        <is>
          <t>Section 44 - under paragraph 28(1)(b)</t>
        </is>
      </c>
      <c r="B381" s="1333" t="n"/>
      <c r="C381" s="1334" t="n"/>
      <c r="D381" s="709" t="n"/>
      <c r="E381" s="709" t="n"/>
      <c r="F381" s="63" t="n"/>
      <c r="G381" s="709" t="n"/>
      <c r="H381" s="709" t="n"/>
      <c r="I381" s="709" t="n"/>
      <c r="J381" s="709" t="n"/>
      <c r="K381" s="709" t="n"/>
      <c r="L381" s="709" t="n"/>
      <c r="M381" s="350" t="n"/>
      <c r="N381" s="350" t="n"/>
      <c r="O381" s="350" t="n"/>
      <c r="P381" s="350" t="n"/>
      <c r="Q381" s="350" t="n"/>
      <c r="R381" s="350" t="n"/>
      <c r="S381" s="350" t="n"/>
      <c r="T381" s="350" t="n"/>
      <c r="U381" s="350" t="n"/>
      <c r="V381" s="350" t="n"/>
      <c r="W381" s="350" t="n"/>
      <c r="X381" s="350" t="n"/>
      <c r="Y381" s="350" t="n"/>
      <c r="Z381" s="350" t="n"/>
      <c r="AA381" s="350" t="n"/>
      <c r="AB381" s="350" t="n"/>
      <c r="AC381" s="350" t="n"/>
      <c r="AD381" s="350" t="n"/>
      <c r="AE381" s="350" t="n"/>
      <c r="AF381" s="350" t="n"/>
      <c r="AG381" s="30" t="n"/>
      <c r="AH381" s="30" t="n"/>
      <c r="AI381" s="30" t="n"/>
      <c r="AJ381" s="30" t="n"/>
      <c r="AK381" s="30" t="n"/>
    </row>
    <row r="382" ht="14.25" customHeight="1" thickBot="1" thickTop="1">
      <c r="A382" s="1467" t="n">
        <v>0</v>
      </c>
      <c r="B382" s="1402" t="n"/>
      <c r="C382" s="1400" t="n"/>
      <c r="D382" s="63" t="n"/>
      <c r="E382" s="709" t="n"/>
      <c r="F382" s="63" t="n"/>
      <c r="G382" s="709" t="n"/>
      <c r="H382" s="709" t="n"/>
      <c r="I382" s="709" t="n"/>
      <c r="J382" s="709" t="n"/>
      <c r="K382" s="709" t="n"/>
      <c r="L382" s="709" t="n"/>
      <c r="M382" s="350" t="n"/>
      <c r="N382" s="350" t="n"/>
      <c r="O382" s="350" t="n"/>
      <c r="P382" s="350" t="n"/>
      <c r="Q382" s="350" t="n"/>
      <c r="R382" s="350" t="n"/>
      <c r="S382" s="350" t="n"/>
      <c r="T382" s="350" t="n"/>
      <c r="U382" s="350" t="n"/>
      <c r="V382" s="350" t="n"/>
      <c r="W382" s="350" t="n"/>
      <c r="X382" s="350" t="n"/>
      <c r="Y382" s="350" t="n"/>
      <c r="Z382" s="350" t="n"/>
      <c r="AA382" s="350" t="n"/>
      <c r="AB382" s="350" t="n"/>
      <c r="AC382" s="350" t="n"/>
      <c r="AD382" s="350" t="n"/>
      <c r="AE382" s="350" t="n"/>
      <c r="AF382" s="350" t="n"/>
      <c r="AG382" s="30" t="n"/>
      <c r="AH382" s="30" t="n"/>
      <c r="AI382" s="30" t="n"/>
      <c r="AJ382" s="30" t="n"/>
      <c r="AK382" s="30" t="n"/>
    </row>
    <row r="383" ht="14.25" customHeight="1" thickTop="1">
      <c r="F383" s="826" t="n"/>
      <c r="G383" s="826" t="n"/>
      <c r="M383" s="350" t="n"/>
      <c r="N383" s="350" t="n"/>
      <c r="O383" s="350" t="n"/>
      <c r="P383" s="350" t="n"/>
      <c r="Q383" s="350" t="n"/>
      <c r="R383" s="350" t="n"/>
      <c r="S383" s="350" t="n"/>
      <c r="T383" s="350" t="n"/>
      <c r="U383" s="350" t="n"/>
      <c r="V383" s="350" t="n"/>
      <c r="W383" s="350" t="n"/>
      <c r="X383" s="350" t="n"/>
      <c r="Y383" s="350" t="n"/>
      <c r="Z383" s="350" t="n"/>
      <c r="AA383" s="350" t="n"/>
      <c r="AB383" s="350" t="n"/>
      <c r="AC383" s="350" t="n"/>
      <c r="AD383" s="350" t="n"/>
      <c r="AE383" s="350" t="n"/>
      <c r="AF383" s="350" t="n"/>
      <c r="AG383" s="30" t="n"/>
      <c r="AH383" s="30" t="n"/>
      <c r="AI383" s="30" t="n"/>
      <c r="AJ383" s="30" t="n"/>
      <c r="AK383" s="30" t="n"/>
    </row>
    <row r="384" ht="14.25" customHeight="1">
      <c r="A384" s="788" t="inlineStr">
        <is>
          <t>Section 11: Resources Related to the Access to Information Act</t>
        </is>
      </c>
      <c r="M384" s="350" t="n"/>
      <c r="N384" s="350" t="n"/>
      <c r="O384" s="350" t="n"/>
      <c r="P384" s="350" t="n"/>
      <c r="Q384" s="350" t="n"/>
      <c r="R384" s="350" t="n"/>
      <c r="S384" s="350" t="n"/>
      <c r="T384" s="350" t="n"/>
      <c r="U384" s="350" t="n"/>
      <c r="V384" s="350" t="n"/>
      <c r="W384" s="350" t="n"/>
      <c r="X384" s="350" t="n"/>
      <c r="Y384" s="350" t="n"/>
      <c r="Z384" s="350" t="n"/>
      <c r="AA384" s="350" t="n"/>
      <c r="AB384" s="350" t="n"/>
      <c r="AC384" s="350" t="n"/>
      <c r="AD384" s="350" t="n"/>
      <c r="AE384" s="350" t="n"/>
      <c r="AF384" s="350" t="n"/>
      <c r="AG384" s="30" t="n"/>
      <c r="AH384" s="30" t="n"/>
      <c r="AI384" s="30" t="n"/>
      <c r="AJ384" s="30" t="n"/>
      <c r="AK384" s="30" t="n"/>
    </row>
    <row r="385" ht="14.25" customHeight="1">
      <c r="M385" s="350" t="n"/>
      <c r="N385" s="350" t="n"/>
      <c r="O385" s="350" t="n"/>
      <c r="P385" s="350" t="n"/>
      <c r="Q385" s="350" t="n"/>
      <c r="R385" s="350" t="n"/>
      <c r="S385" s="350" t="n"/>
      <c r="T385" s="350" t="n"/>
      <c r="U385" s="350" t="n"/>
      <c r="V385" s="350" t="n"/>
      <c r="W385" s="350" t="n"/>
      <c r="X385" s="350" t="n"/>
      <c r="Y385" s="350" t="n"/>
      <c r="Z385" s="350" t="n"/>
      <c r="AA385" s="350" t="n"/>
      <c r="AB385" s="350" t="n"/>
      <c r="AC385" s="350" t="n"/>
      <c r="AD385" s="350" t="n"/>
      <c r="AE385" s="350" t="n"/>
      <c r="AF385" s="350" t="n"/>
      <c r="AG385" s="30" t="n"/>
      <c r="AH385" s="30" t="n"/>
      <c r="AI385" s="30" t="n"/>
      <c r="AJ385" s="30" t="n"/>
      <c r="AK385" s="30" t="n"/>
    </row>
    <row r="386" ht="14.25" customHeight="1">
      <c r="A386" s="349" t="inlineStr">
        <is>
          <t>11.1 Allocated Costs</t>
        </is>
      </c>
      <c r="M386" s="350" t="n"/>
      <c r="N386" s="350" t="n"/>
      <c r="O386" s="350" t="n"/>
      <c r="P386" s="350" t="n"/>
      <c r="Q386" s="350" t="n"/>
      <c r="R386" s="350" t="n"/>
      <c r="S386" s="350" t="n"/>
      <c r="T386" s="350" t="n"/>
      <c r="U386" s="350" t="n"/>
      <c r="V386" s="350" t="n"/>
      <c r="W386" s="350" t="n"/>
      <c r="X386" s="350" t="n"/>
      <c r="Y386" s="350" t="n"/>
      <c r="Z386" s="350" t="n"/>
      <c r="AA386" s="350" t="n"/>
      <c r="AB386" s="350" t="n"/>
      <c r="AC386" s="350" t="n"/>
      <c r="AD386" s="350" t="n"/>
      <c r="AE386" s="350" t="n"/>
      <c r="AF386" s="350" t="n"/>
      <c r="AG386" s="30" t="n"/>
      <c r="AH386" s="30" t="n"/>
      <c r="AI386" s="30" t="n"/>
      <c r="AJ386" s="30" t="n"/>
      <c r="AK386" s="30" t="n"/>
    </row>
    <row r="387" ht="14.25" customHeight="1" thickBot="1">
      <c r="A387" s="49" t="n"/>
      <c r="B387" s="49" t="n"/>
      <c r="C387" s="49" t="n"/>
      <c r="D387" s="49" t="n"/>
      <c r="E387" s="49" t="n"/>
      <c r="F387" s="49" t="n"/>
      <c r="G387" s="49" t="n"/>
      <c r="H387" s="49" t="n"/>
      <c r="I387" s="49" t="n"/>
      <c r="J387" s="49" t="n"/>
      <c r="K387" s="49" t="n"/>
      <c r="M387" s="350" t="n"/>
      <c r="N387" s="350" t="n"/>
      <c r="O387" s="350" t="n"/>
      <c r="P387" s="350" t="n"/>
      <c r="Q387" s="350" t="n"/>
      <c r="R387" s="350" t="n"/>
      <c r="S387" s="350" t="n"/>
      <c r="T387" s="350" t="n"/>
      <c r="U387" s="350" t="n"/>
      <c r="V387" s="350" t="n"/>
      <c r="W387" s="350" t="n"/>
      <c r="X387" s="350" t="n"/>
      <c r="Y387" s="350" t="n"/>
      <c r="Z387" s="350" t="n"/>
      <c r="AA387" s="350" t="n"/>
      <c r="AB387" s="350" t="n"/>
      <c r="AC387" s="350" t="n"/>
      <c r="AD387" s="350" t="n"/>
      <c r="AE387" s="350" t="n"/>
      <c r="AF387" s="350" t="n"/>
      <c r="AG387" s="30" t="n"/>
      <c r="AH387" s="30" t="n"/>
      <c r="AI387" s="30" t="n"/>
      <c r="AJ387" s="30" t="n"/>
      <c r="AK387" s="30" t="n"/>
    </row>
    <row r="388" ht="14.25" customHeight="1" thickBot="1" thickTop="1">
      <c r="A388" s="614" t="inlineStr">
        <is>
          <t>Expenditures</t>
        </is>
      </c>
      <c r="B388" s="1333" t="n"/>
      <c r="C388" s="1333" t="n"/>
      <c r="D388" s="1333" t="n"/>
      <c r="E388" s="1333" t="n"/>
      <c r="F388" s="1333" t="n"/>
      <c r="G388" s="1333" t="n"/>
      <c r="H388" s="1468" t="inlineStr">
        <is>
          <t>Amount</t>
        </is>
      </c>
      <c r="I388" s="1333" t="n"/>
      <c r="J388" s="1333" t="n"/>
      <c r="K388" s="1334" t="n"/>
      <c r="M388" s="350" t="n"/>
      <c r="N388" s="350" t="n"/>
      <c r="O388" s="350" t="n"/>
      <c r="P388" s="350" t="n"/>
      <c r="Q388" s="350" t="n"/>
      <c r="R388" s="350" t="n"/>
      <c r="S388" s="350" t="n"/>
      <c r="T388" s="350" t="n"/>
      <c r="U388" s="350" t="n"/>
      <c r="V388" s="350" t="n"/>
      <c r="W388" s="350" t="n"/>
      <c r="X388" s="350" t="n"/>
      <c r="Y388" s="350" t="n"/>
      <c r="Z388" s="350" t="n"/>
      <c r="AA388" s="350" t="n"/>
      <c r="AB388" s="350" t="n"/>
      <c r="AC388" s="350" t="n"/>
      <c r="AD388" s="350" t="n"/>
      <c r="AE388" s="350" t="n"/>
      <c r="AF388" s="350" t="n"/>
      <c r="AG388" s="30" t="n"/>
      <c r="AH388" s="30" t="n"/>
      <c r="AI388" s="30" t="n"/>
      <c r="AJ388" s="30" t="n"/>
      <c r="AK388" s="30" t="n"/>
    </row>
    <row r="389" ht="14.25" customFormat="1" customHeight="1" s="49" thickTop="1">
      <c r="A389" s="480" t="inlineStr">
        <is>
          <t xml:space="preserve">Salaries </t>
        </is>
      </c>
      <c r="B389" s="1336" t="n"/>
      <c r="C389" s="1336" t="n"/>
      <c r="D389" s="1336" t="n"/>
      <c r="E389" s="1336" t="n"/>
      <c r="F389" s="1336" t="n"/>
      <c r="G389" s="1336" t="n"/>
      <c r="H389" s="1469" t="n">
        <v>0</v>
      </c>
      <c r="I389" s="1339" t="n"/>
      <c r="J389" s="1339" t="n"/>
      <c r="K389" s="1340" t="n"/>
      <c r="L389" s="190">
        <f>IFERROR(IF(AND(H389/SUM(F399,F400,F401,F403)&gt;=40000,H389/SUM(F399,F400,F401,F403)&lt;=200000),"","Section 11.1 - Total salaries reported in table 11.1 divided by total person years reported in rows 1, 2, 3 and 5 of table 11.2 must be between $40,000 and $200,000."),"")</f>
        <v/>
      </c>
      <c r="M389" s="191" t="n"/>
      <c r="N389" s="191" t="n"/>
      <c r="O389" s="191" t="n"/>
      <c r="P389" s="191" t="n"/>
      <c r="Q389" s="191" t="n"/>
      <c r="R389" s="191" t="n"/>
      <c r="S389" s="191" t="n"/>
      <c r="T389" s="191" t="n"/>
      <c r="U389" s="191" t="n"/>
      <c r="V389" s="191" t="n"/>
      <c r="W389" s="191" t="n"/>
      <c r="X389" s="350" t="n"/>
      <c r="Y389" s="350" t="n"/>
      <c r="Z389" s="350" t="n"/>
      <c r="AA389" s="350" t="n"/>
      <c r="AB389" s="350" t="n"/>
      <c r="AC389" s="350" t="n"/>
      <c r="AD389" s="350" t="n"/>
      <c r="AE389" s="350" t="n"/>
      <c r="AF389" s="350" t="n"/>
      <c r="AG389" s="30" t="n"/>
      <c r="AH389" s="30" t="n"/>
      <c r="AI389" s="30" t="n"/>
      <c r="AJ389" s="30" t="n"/>
      <c r="AK389" s="30" t="n"/>
      <c r="AL389" s="25" t="n"/>
      <c r="AM389" s="25" t="n"/>
      <c r="AN389" s="25" t="n"/>
      <c r="AO389" s="25" t="n"/>
      <c r="AP389" s="25" t="n"/>
      <c r="AQ389" s="25" t="n"/>
      <c r="AR389" s="25" t="n"/>
      <c r="AS389" s="25" t="n"/>
      <c r="AT389" s="25" t="n"/>
    </row>
    <row r="390" ht="14.25" customHeight="1">
      <c r="A390" s="473" t="inlineStr">
        <is>
          <t>Overtime</t>
        </is>
      </c>
      <c r="B390" s="1342" t="n"/>
      <c r="C390" s="1342" t="n"/>
      <c r="D390" s="1342" t="n"/>
      <c r="E390" s="1342" t="n"/>
      <c r="F390" s="1342" t="n"/>
      <c r="G390" s="1342" t="n"/>
      <c r="H390" s="1470" t="n">
        <v>0</v>
      </c>
      <c r="I390" s="1362" t="n"/>
      <c r="J390" s="1362" t="n"/>
      <c r="K390" s="1368" t="n"/>
      <c r="M390" s="350" t="n"/>
      <c r="N390" s="350" t="n"/>
      <c r="O390" s="350" t="n"/>
      <c r="P390" s="350" t="n"/>
      <c r="Q390" s="350" t="n"/>
      <c r="R390" s="350" t="n"/>
      <c r="S390" s="350" t="n"/>
      <c r="T390" s="350" t="n"/>
      <c r="U390" s="350" t="n"/>
      <c r="V390" s="350" t="n"/>
      <c r="W390" s="350" t="n"/>
      <c r="X390" s="350" t="n"/>
      <c r="Y390" s="350" t="n"/>
      <c r="Z390" s="350" t="n"/>
      <c r="AA390" s="350" t="n"/>
      <c r="AB390" s="350" t="n"/>
      <c r="AC390" s="350" t="n"/>
      <c r="AD390" s="350" t="n"/>
      <c r="AE390" s="350" t="n"/>
      <c r="AF390" s="350" t="n"/>
      <c r="AG390" s="30" t="n"/>
      <c r="AH390" s="30" t="n"/>
      <c r="AI390" s="30" t="n"/>
      <c r="AJ390" s="30" t="n"/>
      <c r="AK390" s="30" t="n"/>
    </row>
    <row r="391" ht="14.25" customHeight="1" thickBot="1">
      <c r="A391" s="1435" t="inlineStr">
        <is>
          <t>Goods and Services</t>
        </is>
      </c>
      <c r="B391" s="1342" t="n"/>
      <c r="C391" s="1342" t="n"/>
      <c r="D391" s="1342" t="n"/>
      <c r="E391" s="1342" t="n"/>
      <c r="F391" s="1342" t="n"/>
      <c r="G391" s="1343" t="n"/>
      <c r="H391" s="773">
        <f>SUM(F392:G393)</f>
        <v/>
      </c>
      <c r="I391" s="1342" t="n"/>
      <c r="J391" s="1342" t="n"/>
      <c r="K391" s="1343" t="n"/>
      <c r="M391" s="350" t="n"/>
      <c r="N391" s="350" t="n"/>
      <c r="O391" s="350" t="n"/>
      <c r="P391" s="350" t="n"/>
      <c r="Q391" s="350" t="n"/>
      <c r="R391" s="350" t="n"/>
      <c r="S391" s="350" t="n"/>
      <c r="T391" s="350" t="n"/>
      <c r="U391" s="350" t="n"/>
      <c r="V391" s="350" t="n"/>
      <c r="W391" s="350" t="n"/>
      <c r="X391" s="350" t="n"/>
      <c r="Y391" s="350" t="n"/>
      <c r="Z391" s="350" t="n"/>
      <c r="AA391" s="350" t="n"/>
      <c r="AB391" s="350" t="n"/>
      <c r="AC391" s="350" t="n"/>
      <c r="AD391" s="350" t="n"/>
      <c r="AE391" s="350" t="n"/>
      <c r="AF391" s="350" t="n"/>
      <c r="AG391" s="30" t="n"/>
      <c r="AH391" s="30" t="n"/>
      <c r="AI391" s="30" t="n"/>
      <c r="AJ391" s="30" t="n"/>
      <c r="AK391" s="30" t="n"/>
    </row>
    <row r="392" ht="14.25" customHeight="1" thickTop="1">
      <c r="A392" s="1471" t="inlineStr">
        <is>
          <t>• Professional services contracts</t>
        </is>
      </c>
      <c r="B392" s="1342" t="n"/>
      <c r="C392" s="1342" t="n"/>
      <c r="D392" s="1342" t="n"/>
      <c r="E392" s="1343" t="n"/>
      <c r="F392" s="1469" t="n">
        <v>0</v>
      </c>
      <c r="G392" s="1340" t="n"/>
      <c r="H392" s="1472" t="n"/>
      <c r="I392" s="1347" t="n"/>
      <c r="J392" s="1347" t="n"/>
      <c r="K392" s="1358" t="n"/>
      <c r="M392" s="350" t="n"/>
      <c r="N392" s="350" t="n"/>
      <c r="O392" s="350" t="n"/>
      <c r="P392" s="350" t="n"/>
      <c r="Q392" s="350" t="n"/>
      <c r="R392" s="350" t="n"/>
      <c r="S392" s="350" t="n"/>
      <c r="T392" s="350" t="n"/>
      <c r="U392" s="350" t="n"/>
      <c r="V392" s="350" t="n"/>
      <c r="W392" s="350" t="n"/>
      <c r="X392" s="350" t="n"/>
      <c r="Y392" s="350" t="n"/>
      <c r="Z392" s="350" t="n"/>
      <c r="AA392" s="350" t="n"/>
      <c r="AB392" s="350" t="n"/>
      <c r="AC392" s="350" t="n"/>
      <c r="AD392" s="350" t="n"/>
      <c r="AE392" s="350" t="n"/>
      <c r="AF392" s="350" t="n"/>
      <c r="AG392" s="30" t="n"/>
      <c r="AH392" s="30" t="n"/>
      <c r="AI392" s="30" t="n"/>
      <c r="AJ392" s="30" t="n"/>
      <c r="AK392" s="30" t="n"/>
    </row>
    <row r="393" ht="15" customHeight="1" thickBot="1">
      <c r="A393" s="780" t="inlineStr">
        <is>
          <t>• Other</t>
        </is>
      </c>
      <c r="B393" s="1348" t="n"/>
      <c r="C393" s="1348" t="n"/>
      <c r="D393" s="1348" t="n"/>
      <c r="E393" s="1348" t="n"/>
      <c r="F393" s="1473" t="n">
        <v>0</v>
      </c>
      <c r="G393" s="1379" t="n"/>
      <c r="H393" s="1349" t="n"/>
      <c r="I393" s="1350" t="n"/>
      <c r="J393" s="1350" t="n"/>
      <c r="K393" s="1374" t="n"/>
      <c r="M393" s="350" t="n"/>
      <c r="N393" s="350" t="n"/>
      <c r="O393" s="350" t="n"/>
      <c r="P393" s="350" t="n"/>
      <c r="Q393" s="350" t="n"/>
      <c r="R393" s="350" t="n"/>
      <c r="S393" s="350" t="n"/>
      <c r="T393" s="350" t="n"/>
      <c r="U393" s="350" t="n"/>
      <c r="V393" s="350" t="n"/>
      <c r="W393" s="350" t="n"/>
      <c r="X393" s="350" t="n"/>
      <c r="Y393" s="350" t="n"/>
      <c r="Z393" s="350" t="n"/>
      <c r="AA393" s="350" t="n"/>
      <c r="AB393" s="350" t="n"/>
      <c r="AC393" s="350" t="n"/>
      <c r="AD393" s="350" t="n"/>
      <c r="AE393" s="350" t="n"/>
      <c r="AF393" s="350" t="n"/>
      <c r="AG393" s="30" t="n"/>
      <c r="AH393" s="30" t="n"/>
      <c r="AI393" s="30" t="n"/>
      <c r="AJ393" s="30" t="n"/>
      <c r="AK393" s="30" t="n"/>
    </row>
    <row r="394" ht="14.25" customHeight="1" thickBot="1" thickTop="1">
      <c r="A394" s="496" t="inlineStr">
        <is>
          <t>Total</t>
        </is>
      </c>
      <c r="B394" s="1333" t="n"/>
      <c r="C394" s="1333" t="n"/>
      <c r="D394" s="1333" t="n"/>
      <c r="E394" s="1333" t="n"/>
      <c r="F394" s="1333" t="n"/>
      <c r="G394" s="1333" t="n"/>
      <c r="H394" s="1474">
        <f>SUM(H389:K391)</f>
        <v/>
      </c>
      <c r="I394" s="1333" t="n"/>
      <c r="J394" s="1333" t="n"/>
      <c r="K394" s="1334" t="n"/>
      <c r="M394" s="350" t="n"/>
      <c r="N394" s="350" t="n"/>
      <c r="O394" s="350" t="n"/>
      <c r="P394" s="350" t="n"/>
      <c r="Q394" s="350" t="n"/>
      <c r="R394" s="350" t="n"/>
      <c r="S394" s="350" t="n"/>
      <c r="T394" s="350" t="n"/>
      <c r="U394" s="350" t="n"/>
      <c r="V394" s="350" t="n"/>
      <c r="W394" s="350" t="n"/>
      <c r="X394" s="350" t="n"/>
      <c r="Y394" s="350" t="n"/>
      <c r="Z394" s="350" t="n"/>
      <c r="AA394" s="350" t="n"/>
      <c r="AB394" s="350" t="n"/>
      <c r="AC394" s="350" t="n"/>
      <c r="AD394" s="350" t="n"/>
      <c r="AE394" s="350" t="n"/>
      <c r="AF394" s="350" t="n"/>
      <c r="AG394" s="30" t="n"/>
      <c r="AH394" s="30" t="n"/>
      <c r="AI394" s="30" t="n"/>
      <c r="AJ394" s="30" t="n"/>
      <c r="AK394" s="30" t="n"/>
    </row>
    <row r="395" ht="14.25" customHeight="1" thickTop="1">
      <c r="A395" s="52" t="n"/>
      <c r="B395" s="52" t="n"/>
      <c r="C395" s="52" t="n"/>
      <c r="D395" s="52" t="n"/>
      <c r="E395" s="52" t="n"/>
      <c r="F395" s="52" t="n"/>
      <c r="G395" s="52" t="n"/>
      <c r="H395" s="64" t="n"/>
      <c r="I395" s="64" t="n"/>
      <c r="J395" s="64" t="n"/>
      <c r="K395" s="64" t="n"/>
      <c r="M395" s="350" t="n"/>
      <c r="N395" s="350" t="n"/>
      <c r="O395" s="350" t="n"/>
      <c r="P395" s="350" t="n"/>
      <c r="Q395" s="350" t="n"/>
      <c r="R395" s="350" t="n"/>
      <c r="S395" s="350" t="n"/>
      <c r="T395" s="350" t="n"/>
      <c r="U395" s="350" t="n"/>
      <c r="V395" s="350" t="n"/>
      <c r="W395" s="350" t="n"/>
      <c r="X395" s="350" t="n"/>
      <c r="Y395" s="350" t="n"/>
      <c r="Z395" s="350" t="n"/>
      <c r="AA395" s="350" t="n"/>
      <c r="AB395" s="350" t="n"/>
      <c r="AC395" s="350" t="n"/>
      <c r="AD395" s="350" t="n"/>
      <c r="AE395" s="350" t="n"/>
      <c r="AF395" s="350" t="n"/>
      <c r="AG395" s="30" t="n"/>
      <c r="AH395" s="30" t="n"/>
      <c r="AI395" s="30" t="n"/>
      <c r="AJ395" s="30" t="n"/>
      <c r="AK395" s="30" t="n"/>
    </row>
    <row r="396" ht="15" customHeight="1">
      <c r="A396" s="347" t="inlineStr">
        <is>
          <t>11.2  Human Resources</t>
        </is>
      </c>
      <c r="M396" s="350" t="n"/>
      <c r="N396" s="350" t="n"/>
      <c r="O396" s="350" t="n"/>
      <c r="P396" s="350" t="n"/>
      <c r="Q396" s="350" t="n"/>
      <c r="R396" s="350" t="n"/>
      <c r="S396" s="350" t="n"/>
      <c r="T396" s="350" t="n"/>
      <c r="U396" s="350" t="n"/>
      <c r="V396" s="350" t="n"/>
      <c r="W396" s="350" t="n"/>
      <c r="X396" s="350" t="n"/>
      <c r="Y396" s="350" t="n"/>
      <c r="Z396" s="350" t="n"/>
      <c r="AA396" s="350" t="n"/>
      <c r="AB396" s="350" t="n"/>
      <c r="AC396" s="350" t="n"/>
      <c r="AD396" s="350" t="n"/>
      <c r="AE396" s="350" t="n"/>
      <c r="AF396" s="350" t="n"/>
      <c r="AG396" s="30" t="n"/>
      <c r="AH396" s="30" t="n"/>
      <c r="AI396" s="30" t="n"/>
      <c r="AJ396" s="30" t="n"/>
      <c r="AK396" s="30" t="n"/>
    </row>
    <row r="397" ht="15" customHeight="1" thickBot="1">
      <c r="M397" s="350" t="n"/>
      <c r="N397" s="350" t="n"/>
      <c r="O397" s="350" t="n"/>
      <c r="P397" s="350" t="n"/>
      <c r="Q397" s="350" t="n"/>
      <c r="R397" s="350" t="n"/>
      <c r="S397" s="350" t="n"/>
      <c r="T397" s="350" t="n"/>
      <c r="U397" s="350" t="n"/>
      <c r="V397" s="350" t="n"/>
      <c r="W397" s="350" t="n"/>
      <c r="X397" s="350" t="n"/>
      <c r="Y397" s="350" t="n"/>
      <c r="Z397" s="350" t="n"/>
      <c r="AA397" s="350" t="n"/>
      <c r="AB397" s="350" t="n"/>
      <c r="AC397" s="350" t="n"/>
      <c r="AD397" s="350" t="n"/>
      <c r="AE397" s="350" t="n"/>
      <c r="AF397" s="350" t="n"/>
      <c r="AG397" s="30" t="n"/>
      <c r="AH397" s="30" t="n"/>
      <c r="AI397" s="30" t="n"/>
      <c r="AJ397" s="30" t="n"/>
      <c r="AK397" s="30" t="n"/>
    </row>
    <row r="398" ht="41.25" customHeight="1" thickBot="1" thickTop="1">
      <c r="A398" s="1422" t="inlineStr">
        <is>
          <t>Resources</t>
        </is>
      </c>
      <c r="B398" s="1333" t="n"/>
      <c r="C398" s="1333" t="n"/>
      <c r="D398" s="1333" t="n"/>
      <c r="E398" s="1334" t="n"/>
      <c r="F398" s="1422" t="inlineStr">
        <is>
          <t xml:space="preserve">Person Years Dedicated to Access to Information Activities </t>
        </is>
      </c>
      <c r="G398" s="1333" t="n"/>
      <c r="H398" s="1334" t="n"/>
      <c r="M398" s="350" t="n"/>
      <c r="N398" s="350" t="n"/>
      <c r="O398" s="350" t="n"/>
      <c r="P398" s="350" t="n"/>
      <c r="Q398" s="350" t="n"/>
      <c r="R398" s="350" t="n"/>
      <c r="S398" s="350" t="n"/>
      <c r="T398" s="350" t="n"/>
      <c r="U398" s="350" t="n"/>
      <c r="V398" s="350" t="n"/>
      <c r="W398" s="350" t="n"/>
      <c r="X398" s="350" t="n"/>
      <c r="Y398" s="350" t="n"/>
      <c r="Z398" s="350" t="n"/>
      <c r="AA398" s="350" t="n"/>
      <c r="AB398" s="350" t="n"/>
      <c r="AC398" s="350" t="n"/>
      <c r="AD398" s="350" t="n"/>
      <c r="AE398" s="350" t="n"/>
      <c r="AF398" s="350" t="n"/>
      <c r="AG398" s="30" t="n"/>
      <c r="AH398" s="30" t="n"/>
      <c r="AI398" s="30" t="n"/>
      <c r="AJ398" s="30" t="n"/>
      <c r="AK398" s="30" t="n"/>
    </row>
    <row r="399" ht="15" customHeight="1" thickTop="1">
      <c r="A399" s="1434" t="inlineStr">
        <is>
          <t>Full-time employees</t>
        </is>
      </c>
      <c r="B399" s="1336" t="n"/>
      <c r="C399" s="1336" t="n"/>
      <c r="D399" s="1336" t="n"/>
      <c r="E399" s="1337" t="n"/>
      <c r="F399" s="1475" t="n">
        <v>0</v>
      </c>
      <c r="G399" s="1339" t="n"/>
      <c r="H399" s="1340" t="n"/>
      <c r="M399" s="350" t="n"/>
      <c r="N399" s="350" t="n"/>
      <c r="O399" s="350" t="n"/>
      <c r="P399" s="350" t="n"/>
      <c r="Q399" s="350" t="n"/>
      <c r="R399" s="350" t="n"/>
      <c r="S399" s="350" t="n"/>
      <c r="T399" s="350" t="n"/>
      <c r="U399" s="350" t="n"/>
      <c r="V399" s="350" t="n"/>
      <c r="W399" s="350" t="n"/>
      <c r="X399" s="350" t="n"/>
      <c r="Y399" s="350" t="n"/>
      <c r="Z399" s="350" t="n"/>
      <c r="AA399" s="350" t="n"/>
      <c r="AB399" s="350" t="n"/>
      <c r="AC399" s="350" t="n"/>
      <c r="AD399" s="350" t="n"/>
      <c r="AE399" s="350" t="n"/>
      <c r="AF399" s="350" t="n"/>
      <c r="AG399" s="30" t="n"/>
      <c r="AH399" s="30" t="n"/>
      <c r="AI399" s="30" t="n"/>
      <c r="AJ399" s="30" t="n"/>
      <c r="AK399" s="30" t="n"/>
    </row>
    <row r="400">
      <c r="A400" s="1435" t="inlineStr">
        <is>
          <t>Part-time and casual employees</t>
        </is>
      </c>
      <c r="B400" s="1342" t="n"/>
      <c r="C400" s="1342" t="n"/>
      <c r="D400" s="1342" t="n"/>
      <c r="E400" s="1343" t="n"/>
      <c r="F400" s="1476" t="n">
        <v>0</v>
      </c>
      <c r="G400" s="1362" t="n"/>
      <c r="H400" s="1368" t="n"/>
      <c r="M400" s="350" t="n"/>
      <c r="N400" s="350" t="n"/>
      <c r="O400" s="350" t="n"/>
      <c r="P400" s="350" t="n"/>
      <c r="Q400" s="350" t="n"/>
      <c r="R400" s="350" t="n"/>
      <c r="S400" s="350" t="n"/>
      <c r="T400" s="350" t="n"/>
      <c r="U400" s="350" t="n"/>
      <c r="V400" s="350" t="n"/>
      <c r="W400" s="350" t="n"/>
      <c r="X400" s="350" t="n"/>
      <c r="Y400" s="350" t="n"/>
      <c r="Z400" s="350" t="n"/>
      <c r="AA400" s="350" t="n"/>
      <c r="AB400" s="350" t="n"/>
      <c r="AC400" s="350" t="n"/>
      <c r="AD400" s="350" t="n"/>
      <c r="AE400" s="350" t="n"/>
      <c r="AF400" s="350" t="n"/>
      <c r="AG400" s="30" t="n"/>
      <c r="AH400" s="30" t="n"/>
      <c r="AI400" s="30" t="n"/>
      <c r="AJ400" s="30" t="n"/>
      <c r="AK400" s="30" t="n"/>
    </row>
    <row r="401">
      <c r="A401" s="1435" t="inlineStr">
        <is>
          <t>Regional staff</t>
        </is>
      </c>
      <c r="B401" s="1342" t="n"/>
      <c r="C401" s="1342" t="n"/>
      <c r="D401" s="1342" t="n"/>
      <c r="E401" s="1343" t="n"/>
      <c r="F401" s="1476" t="n">
        <v>0</v>
      </c>
      <c r="G401" s="1362" t="n"/>
      <c r="H401" s="1368" t="n"/>
      <c r="M401" s="350" t="n"/>
      <c r="N401" s="350" t="n"/>
      <c r="O401" s="350" t="n"/>
      <c r="P401" s="350" t="n"/>
      <c r="Q401" s="350" t="n"/>
      <c r="R401" s="350" t="n"/>
      <c r="S401" s="350" t="n"/>
      <c r="T401" s="350" t="n"/>
      <c r="U401" s="350" t="n"/>
      <c r="V401" s="350" t="n"/>
      <c r="W401" s="350" t="n"/>
      <c r="X401" s="350" t="n"/>
      <c r="Y401" s="350" t="n"/>
      <c r="Z401" s="350" t="n"/>
      <c r="AA401" s="350" t="n"/>
      <c r="AB401" s="350" t="n"/>
      <c r="AC401" s="350" t="n"/>
      <c r="AD401" s="350" t="n"/>
      <c r="AE401" s="350" t="n"/>
      <c r="AF401" s="350" t="n"/>
      <c r="AG401" s="30" t="n"/>
      <c r="AH401" s="30" t="n"/>
      <c r="AI401" s="30" t="n"/>
      <c r="AJ401" s="30" t="n"/>
      <c r="AK401" s="30" t="n"/>
    </row>
    <row r="402">
      <c r="A402" s="1435" t="inlineStr">
        <is>
          <t>Consultants and agency personnel</t>
        </is>
      </c>
      <c r="B402" s="1342" t="n"/>
      <c r="C402" s="1342" t="n"/>
      <c r="D402" s="1342" t="n"/>
      <c r="E402" s="1343" t="n"/>
      <c r="F402" s="1476" t="n">
        <v>0</v>
      </c>
      <c r="G402" s="1362" t="n"/>
      <c r="H402" s="1368" t="n"/>
      <c r="M402" s="350" t="n"/>
      <c r="N402" s="350" t="n"/>
      <c r="O402" s="350" t="n"/>
      <c r="P402" s="350" t="n"/>
      <c r="Q402" s="350" t="n"/>
      <c r="R402" s="350" t="n"/>
      <c r="S402" s="350" t="n"/>
      <c r="T402" s="350" t="n"/>
      <c r="U402" s="350" t="n"/>
      <c r="V402" s="350" t="n"/>
      <c r="W402" s="350" t="n"/>
      <c r="X402" s="350" t="n"/>
      <c r="Y402" s="350" t="n"/>
      <c r="Z402" s="350" t="n"/>
      <c r="AA402" s="350" t="n"/>
      <c r="AB402" s="350" t="n"/>
      <c r="AC402" s="350" t="n"/>
      <c r="AD402" s="350" t="n"/>
      <c r="AE402" s="350" t="n"/>
      <c r="AF402" s="350" t="n"/>
      <c r="AG402" s="30" t="n"/>
      <c r="AH402" s="30" t="n"/>
      <c r="AI402" s="30" t="n"/>
      <c r="AJ402" s="30" t="n"/>
      <c r="AK402" s="30" t="n"/>
    </row>
    <row r="403" ht="15" customHeight="1" thickBot="1">
      <c r="A403" s="1436" t="inlineStr">
        <is>
          <t>Students</t>
        </is>
      </c>
      <c r="B403" s="1348" t="n"/>
      <c r="C403" s="1348" t="n"/>
      <c r="D403" s="1348" t="n"/>
      <c r="E403" s="1356" t="n"/>
      <c r="F403" s="1477" t="n">
        <v>0</v>
      </c>
      <c r="G403" s="1363" t="n"/>
      <c r="H403" s="1379" t="n"/>
      <c r="M403" s="350" t="n"/>
      <c r="N403" s="350" t="n"/>
      <c r="O403" s="350" t="n"/>
      <c r="P403" s="350" t="n"/>
      <c r="Q403" s="350" t="n"/>
      <c r="R403" s="350" t="n"/>
      <c r="S403" s="350" t="n"/>
      <c r="T403" s="350" t="n"/>
      <c r="U403" s="350" t="n"/>
      <c r="V403" s="350" t="n"/>
      <c r="W403" s="350" t="n"/>
      <c r="X403" s="350" t="n"/>
      <c r="Y403" s="350" t="n"/>
      <c r="Z403" s="350" t="n"/>
      <c r="AA403" s="350" t="n"/>
      <c r="AB403" s="350" t="n"/>
      <c r="AC403" s="350" t="n"/>
      <c r="AD403" s="350" t="n"/>
      <c r="AE403" s="350" t="n"/>
      <c r="AF403" s="350" t="n"/>
      <c r="AG403" s="30" t="n"/>
      <c r="AH403" s="30" t="n"/>
      <c r="AI403" s="30" t="n"/>
      <c r="AJ403" s="30" t="n"/>
      <c r="AK403" s="30" t="n"/>
    </row>
    <row r="404" ht="15.75" customHeight="1" thickBot="1" thickTop="1">
      <c r="A404" s="1427" t="inlineStr">
        <is>
          <t>Total</t>
        </is>
      </c>
      <c r="B404" s="1333" t="n"/>
      <c r="C404" s="1333" t="n"/>
      <c r="D404" s="1333" t="n"/>
      <c r="E404" s="1334" t="n"/>
      <c r="F404" s="1478">
        <f>SUM(F399:H403)</f>
        <v/>
      </c>
      <c r="G404" s="1333" t="n"/>
      <c r="H404" s="1334" t="n"/>
      <c r="M404" s="350" t="n"/>
      <c r="N404" s="350" t="n"/>
      <c r="O404" s="350" t="n"/>
      <c r="P404" s="350" t="n"/>
      <c r="Q404" s="350" t="n"/>
      <c r="R404" s="350" t="n"/>
      <c r="S404" s="350" t="n"/>
      <c r="T404" s="350" t="n"/>
      <c r="U404" s="350" t="n"/>
      <c r="V404" s="350" t="n"/>
      <c r="W404" s="350" t="n"/>
      <c r="X404" s="350" t="n"/>
      <c r="Y404" s="350" t="n"/>
      <c r="Z404" s="350" t="n"/>
      <c r="AA404" s="350" t="n"/>
      <c r="AB404" s="350" t="n"/>
      <c r="AC404" s="350" t="n"/>
      <c r="AD404" s="350" t="n"/>
      <c r="AE404" s="350" t="n"/>
      <c r="AF404" s="350" t="n"/>
      <c r="AG404" s="30" t="n"/>
      <c r="AH404" s="30" t="n"/>
      <c r="AI404" s="30" t="n"/>
      <c r="AJ404" s="30" t="n"/>
      <c r="AK404" s="30" t="n"/>
    </row>
    <row r="405" ht="15" customHeight="1" thickTop="1">
      <c r="A405" s="371" t="inlineStr">
        <is>
          <t>Note: Enter values to three decimal places.</t>
        </is>
      </c>
      <c r="M405" s="350" t="n"/>
      <c r="N405" s="350" t="n"/>
      <c r="O405" s="350" t="n"/>
      <c r="P405" s="350" t="n"/>
      <c r="Q405" s="350" t="n"/>
      <c r="R405" s="350" t="n"/>
      <c r="S405" s="350" t="n"/>
      <c r="T405" s="350" t="n"/>
      <c r="U405" s="350" t="n"/>
      <c r="V405" s="350" t="n"/>
      <c r="W405" s="350" t="n"/>
      <c r="X405" s="350" t="n"/>
      <c r="Y405" s="350" t="n"/>
      <c r="Z405" s="350" t="n"/>
      <c r="AA405" s="350" t="n"/>
      <c r="AB405" s="350" t="n"/>
      <c r="AC405" s="350" t="n"/>
      <c r="AD405" s="350" t="n"/>
      <c r="AE405" s="350" t="n"/>
      <c r="AF405" s="350" t="n"/>
      <c r="AG405" s="30" t="n"/>
      <c r="AH405" s="30" t="n"/>
      <c r="AI405" s="30" t="n"/>
      <c r="AJ405" s="30" t="n"/>
      <c r="AK405" s="30" t="n"/>
    </row>
    <row r="406" ht="14.25" customHeight="1">
      <c r="M406" s="350" t="n"/>
      <c r="N406" s="350" t="n"/>
      <c r="O406" s="350" t="n"/>
      <c r="P406" s="350" t="n"/>
      <c r="Q406" s="350" t="n"/>
      <c r="R406" s="350" t="n"/>
      <c r="S406" s="350" t="n"/>
      <c r="T406" s="350" t="n"/>
      <c r="U406" s="350" t="n"/>
      <c r="V406" s="350" t="n"/>
      <c r="W406" s="350" t="n"/>
      <c r="X406" s="350" t="n"/>
      <c r="Y406" s="350" t="n"/>
      <c r="Z406" s="350" t="n"/>
      <c r="AA406" s="350" t="n"/>
      <c r="AB406" s="350" t="n"/>
      <c r="AC406" s="350" t="n"/>
      <c r="AD406" s="350" t="n"/>
      <c r="AE406" s="350" t="n"/>
      <c r="AF406" s="350" t="n"/>
      <c r="AG406" s="30" t="n"/>
      <c r="AH406" s="30" t="n"/>
      <c r="AI406" s="30" t="n"/>
      <c r="AJ406" s="30" t="n"/>
      <c r="AK406" s="30" t="n"/>
    </row>
    <row r="407">
      <c r="M407" s="350" t="n"/>
      <c r="N407" s="350" t="n"/>
      <c r="O407" s="350" t="n"/>
      <c r="P407" s="350" t="n"/>
      <c r="Q407" s="350" t="n"/>
      <c r="R407" s="350" t="n"/>
      <c r="S407" s="350" t="n"/>
      <c r="T407" s="350" t="n"/>
      <c r="U407" s="350" t="n"/>
      <c r="V407" s="350" t="n"/>
      <c r="W407" s="350" t="n"/>
      <c r="X407" s="350" t="n"/>
      <c r="Y407" s="350" t="n"/>
      <c r="Z407" s="350" t="n"/>
      <c r="AA407" s="350" t="n"/>
      <c r="AB407" s="350" t="n"/>
      <c r="AC407" s="350" t="n"/>
      <c r="AD407" s="350" t="n"/>
      <c r="AE407" s="350" t="n"/>
      <c r="AF407" s="350" t="n"/>
      <c r="AG407" s="30" t="n"/>
      <c r="AH407" s="30" t="n"/>
      <c r="AI407" s="30" t="n"/>
      <c r="AJ407" s="30" t="n"/>
      <c r="AK407" s="30" t="n"/>
    </row>
    <row r="408">
      <c r="M408" s="350" t="n"/>
      <c r="N408" s="350" t="n"/>
      <c r="O408" s="350" t="n"/>
      <c r="P408" s="350" t="n"/>
      <c r="Q408" s="350" t="n"/>
      <c r="R408" s="350" t="n"/>
      <c r="S408" s="350" t="n"/>
      <c r="T408" s="350" t="n"/>
      <c r="U408" s="350" t="n"/>
      <c r="V408" s="350" t="n"/>
      <c r="W408" s="350" t="n"/>
      <c r="X408" s="350" t="n"/>
      <c r="Y408" s="350" t="n"/>
      <c r="Z408" s="350" t="n"/>
      <c r="AA408" s="350" t="n"/>
      <c r="AB408" s="350" t="n"/>
      <c r="AC408" s="350" t="n"/>
      <c r="AD408" s="350" t="n"/>
      <c r="AE408" s="350" t="n"/>
      <c r="AF408" s="350" t="n"/>
      <c r="AG408" s="30" t="n"/>
      <c r="AH408" s="30" t="n"/>
      <c r="AI408" s="30" t="n"/>
      <c r="AJ408" s="30" t="n"/>
      <c r="AK408" s="30" t="n"/>
    </row>
  </sheetData>
  <sheetProtection selectLockedCells="1" selectUnlockedCells="0" algorithmName="SHA-512" sheet="1" objects="0" insertRows="1" insertHyperlinks="1" autoFilter="1" scenarios="0" formatColumns="1" deleteColumns="1" insertColumns="1" pivotTables="1" deleteRows="1" formatCells="1" saltValue="BW7WS25qHY7khO6nWyVbkQ==" formatRows="1" sort="1" spinCount="100000" hashValue="vTU8gL5W8dwF255+zpq7Luy1RuMxivE9ic2sa/Yq2PY3UG+ra4V3sI5U8FqBWGk4zYNsBK3K4brnQYDrbN3aVw=="/>
  <mergeCells count="872">
    <mergeCell ref="E376:F376"/>
    <mergeCell ref="D195:F195"/>
    <mergeCell ref="C363:D363"/>
    <mergeCell ref="A186:B186"/>
    <mergeCell ref="A255:C255"/>
    <mergeCell ref="D187:E187"/>
    <mergeCell ref="A191:B191"/>
    <mergeCell ref="M160:AH160"/>
    <mergeCell ref="F174:G174"/>
    <mergeCell ref="A349:B349"/>
    <mergeCell ref="E142:F142"/>
    <mergeCell ref="A265:D265"/>
    <mergeCell ref="I302:J302"/>
    <mergeCell ref="I277:J277"/>
    <mergeCell ref="K302:L302"/>
    <mergeCell ref="H19:J19"/>
    <mergeCell ref="A304:D304"/>
    <mergeCell ref="J207:K207"/>
    <mergeCell ref="G250:I250"/>
    <mergeCell ref="A266:D266"/>
    <mergeCell ref="A38:F38"/>
    <mergeCell ref="G139:H139"/>
    <mergeCell ref="A204:B204"/>
    <mergeCell ref="D205:E205"/>
    <mergeCell ref="H394:K394"/>
    <mergeCell ref="A40:F40"/>
    <mergeCell ref="U204:AD204"/>
    <mergeCell ref="G206:H206"/>
    <mergeCell ref="A64:F64"/>
    <mergeCell ref="A206:B206"/>
    <mergeCell ref="G143:H143"/>
    <mergeCell ref="G270:H270"/>
    <mergeCell ref="A276:D277"/>
    <mergeCell ref="I270:J270"/>
    <mergeCell ref="M108:AH108"/>
    <mergeCell ref="A362:B362"/>
    <mergeCell ref="A337:B337"/>
    <mergeCell ref="J291:K291"/>
    <mergeCell ref="J120:K120"/>
    <mergeCell ref="G117:H117"/>
    <mergeCell ref="F399:H399"/>
    <mergeCell ref="G196:I196"/>
    <mergeCell ref="A339:B339"/>
    <mergeCell ref="E303:F303"/>
    <mergeCell ref="D131:E131"/>
    <mergeCell ref="E219:F219"/>
    <mergeCell ref="G219:H219"/>
    <mergeCell ref="A111:D111"/>
    <mergeCell ref="C182:E182"/>
    <mergeCell ref="A33:F33"/>
    <mergeCell ref="D124:E124"/>
    <mergeCell ref="G125:H125"/>
    <mergeCell ref="A128:B128"/>
    <mergeCell ref="D189:E189"/>
    <mergeCell ref="G283:H283"/>
    <mergeCell ref="I283:J283"/>
    <mergeCell ref="A217:B217"/>
    <mergeCell ref="M169:Z169"/>
    <mergeCell ref="A62:F62"/>
    <mergeCell ref="G298:H298"/>
    <mergeCell ref="D126:E126"/>
    <mergeCell ref="G127:H127"/>
    <mergeCell ref="A4:L4"/>
    <mergeCell ref="I347:J347"/>
    <mergeCell ref="D289:E289"/>
    <mergeCell ref="A28:F28"/>
    <mergeCell ref="A288:B289"/>
    <mergeCell ref="A129:B129"/>
    <mergeCell ref="A58:L58"/>
    <mergeCell ref="M104:Z104"/>
    <mergeCell ref="A30:F30"/>
    <mergeCell ref="G201:H201"/>
    <mergeCell ref="A268:D268"/>
    <mergeCell ref="E237:F237"/>
    <mergeCell ref="H20:J20"/>
    <mergeCell ref="A131:B131"/>
    <mergeCell ref="A24:L24"/>
    <mergeCell ref="A358:L358"/>
    <mergeCell ref="M302:Z302"/>
    <mergeCell ref="M106:Z106"/>
    <mergeCell ref="A55:G55"/>
    <mergeCell ref="A272:D272"/>
    <mergeCell ref="E301:F301"/>
    <mergeCell ref="G203:H203"/>
    <mergeCell ref="A61:F61"/>
    <mergeCell ref="D129:E129"/>
    <mergeCell ref="G301:H301"/>
    <mergeCell ref="A352:B352"/>
    <mergeCell ref="A83:B83"/>
    <mergeCell ref="G65:J65"/>
    <mergeCell ref="A143:B143"/>
    <mergeCell ref="I140:J140"/>
    <mergeCell ref="A360:L360"/>
    <mergeCell ref="I267:J267"/>
    <mergeCell ref="E238:F238"/>
    <mergeCell ref="G238:H238"/>
    <mergeCell ref="G303:H303"/>
    <mergeCell ref="A368:B368"/>
    <mergeCell ref="A193:I193"/>
    <mergeCell ref="M177:Z177"/>
    <mergeCell ref="D208:E208"/>
    <mergeCell ref="A207:B207"/>
    <mergeCell ref="C334:D334"/>
    <mergeCell ref="A228:D229"/>
    <mergeCell ref="M170:Z170"/>
    <mergeCell ref="G60:J60"/>
    <mergeCell ref="I271:J271"/>
    <mergeCell ref="D245:F245"/>
    <mergeCell ref="A205:B205"/>
    <mergeCell ref="A384:L384"/>
    <mergeCell ref="M328:Z328"/>
    <mergeCell ref="K271:L271"/>
    <mergeCell ref="A363:B363"/>
    <mergeCell ref="H13:J13"/>
    <mergeCell ref="I298:J298"/>
    <mergeCell ref="E265:F265"/>
    <mergeCell ref="F114:G114"/>
    <mergeCell ref="A279:D279"/>
    <mergeCell ref="K237:L237"/>
    <mergeCell ref="M172:Z172"/>
    <mergeCell ref="C142:D142"/>
    <mergeCell ref="A386:L386"/>
    <mergeCell ref="A300:D300"/>
    <mergeCell ref="H15:J15"/>
    <mergeCell ref="A373:L373"/>
    <mergeCell ref="E263:F264"/>
    <mergeCell ref="E77:F77"/>
    <mergeCell ref="A281:D281"/>
    <mergeCell ref="E304:F304"/>
    <mergeCell ref="U209:AB209"/>
    <mergeCell ref="E369:F369"/>
    <mergeCell ref="G369:H369"/>
    <mergeCell ref="J292:K292"/>
    <mergeCell ref="H8:J8"/>
    <mergeCell ref="K347:L347"/>
    <mergeCell ref="J244:L244"/>
    <mergeCell ref="G368:H368"/>
    <mergeCell ref="K268:L268"/>
    <mergeCell ref="I362:J362"/>
    <mergeCell ref="D117:E117"/>
    <mergeCell ref="G376:J376"/>
    <mergeCell ref="A50:G50"/>
    <mergeCell ref="E164:F164"/>
    <mergeCell ref="A202:B202"/>
    <mergeCell ref="G164:H164"/>
    <mergeCell ref="M185:Z185"/>
    <mergeCell ref="G217:H217"/>
    <mergeCell ref="D290:E290"/>
    <mergeCell ref="M112:Z112"/>
    <mergeCell ref="M290:Z291"/>
    <mergeCell ref="A220:B220"/>
    <mergeCell ref="A65:F65"/>
    <mergeCell ref="I200:K200"/>
    <mergeCell ref="K276:L277"/>
    <mergeCell ref="G243:I243"/>
    <mergeCell ref="I363:J363"/>
    <mergeCell ref="E276:F277"/>
    <mergeCell ref="A330:L330"/>
    <mergeCell ref="A164:B165"/>
    <mergeCell ref="M205:T205"/>
    <mergeCell ref="I222:J222"/>
    <mergeCell ref="M114:Z114"/>
    <mergeCell ref="A280:D280"/>
    <mergeCell ref="E282:F282"/>
    <mergeCell ref="A381:C381"/>
    <mergeCell ref="A124:B124"/>
    <mergeCell ref="F285:G285"/>
    <mergeCell ref="M107:Z107"/>
    <mergeCell ref="J127:K127"/>
    <mergeCell ref="H92:K92"/>
    <mergeCell ref="A236:D237"/>
    <mergeCell ref="J255:L255"/>
    <mergeCell ref="G190:H190"/>
    <mergeCell ref="G146:H146"/>
    <mergeCell ref="J242:L242"/>
    <mergeCell ref="I146:J146"/>
    <mergeCell ref="G246:I246"/>
    <mergeCell ref="G304:H304"/>
    <mergeCell ref="E320:L320"/>
    <mergeCell ref="M111:AB111"/>
    <mergeCell ref="A180:K181"/>
    <mergeCell ref="G83:H83"/>
    <mergeCell ref="D209:E209"/>
    <mergeCell ref="K270:L270"/>
    <mergeCell ref="I368:J368"/>
    <mergeCell ref="A182:B183"/>
    <mergeCell ref="D122:E122"/>
    <mergeCell ref="K362:L362"/>
    <mergeCell ref="G247:I247"/>
    <mergeCell ref="A144:B144"/>
    <mergeCell ref="F211:G211"/>
    <mergeCell ref="A215:B215"/>
    <mergeCell ref="C144:D144"/>
    <mergeCell ref="G28:J28"/>
    <mergeCell ref="I299:J299"/>
    <mergeCell ref="K299:L299"/>
    <mergeCell ref="H54:J54"/>
    <mergeCell ref="G178:I178"/>
    <mergeCell ref="A152:B152"/>
    <mergeCell ref="A301:D301"/>
    <mergeCell ref="J204:K204"/>
    <mergeCell ref="G30:J30"/>
    <mergeCell ref="A102:D103"/>
    <mergeCell ref="H56:J56"/>
    <mergeCell ref="M110:AA110"/>
    <mergeCell ref="A87:L87"/>
    <mergeCell ref="C145:D145"/>
    <mergeCell ref="E145:F145"/>
    <mergeCell ref="E139:F139"/>
    <mergeCell ref="E272:F272"/>
    <mergeCell ref="A303:D303"/>
    <mergeCell ref="A345:L345"/>
    <mergeCell ref="J245:L245"/>
    <mergeCell ref="I217:J217"/>
    <mergeCell ref="A46:L46"/>
    <mergeCell ref="A291:B291"/>
    <mergeCell ref="G249:I249"/>
    <mergeCell ref="J289:K289"/>
    <mergeCell ref="A355:B355"/>
    <mergeCell ref="U206:AD206"/>
    <mergeCell ref="A172:B172"/>
    <mergeCell ref="G267:H267"/>
    <mergeCell ref="M191:Z191"/>
    <mergeCell ref="M33:U33"/>
    <mergeCell ref="G292:H292"/>
    <mergeCell ref="A292:B292"/>
    <mergeCell ref="A234:L234"/>
    <mergeCell ref="M178:Z178"/>
    <mergeCell ref="E228:F229"/>
    <mergeCell ref="A100:L100"/>
    <mergeCell ref="A371:L371"/>
    <mergeCell ref="F288:H288"/>
    <mergeCell ref="J191:K191"/>
    <mergeCell ref="D256:F256"/>
    <mergeCell ref="A382:C382"/>
    <mergeCell ref="U207:AD207"/>
    <mergeCell ref="A115:L115"/>
    <mergeCell ref="M192:Z192"/>
    <mergeCell ref="J128:K128"/>
    <mergeCell ref="M208:T208"/>
    <mergeCell ref="I83:J83"/>
    <mergeCell ref="A283:D283"/>
    <mergeCell ref="A140:B140"/>
    <mergeCell ref="A108:D108"/>
    <mergeCell ref="A148:L148"/>
    <mergeCell ref="A308:D309"/>
    <mergeCell ref="A226:F226"/>
    <mergeCell ref="D159:F159"/>
    <mergeCell ref="M17:AF17"/>
    <mergeCell ref="G183:H183"/>
    <mergeCell ref="A6:C6"/>
    <mergeCell ref="J129:K129"/>
    <mergeCell ref="D6:I6"/>
    <mergeCell ref="A278:D278"/>
    <mergeCell ref="M19:AF19"/>
    <mergeCell ref="G185:H185"/>
    <mergeCell ref="K376:L376"/>
    <mergeCell ref="K363:L363"/>
    <mergeCell ref="A216:B216"/>
    <mergeCell ref="K142:L142"/>
    <mergeCell ref="C216:D216"/>
    <mergeCell ref="G29:J29"/>
    <mergeCell ref="K263:L264"/>
    <mergeCell ref="G272:H272"/>
    <mergeCell ref="A230:D230"/>
    <mergeCell ref="G44:J44"/>
    <mergeCell ref="I144:J144"/>
    <mergeCell ref="A218:B218"/>
    <mergeCell ref="K144:L144"/>
    <mergeCell ref="C218:D218"/>
    <mergeCell ref="G31:J31"/>
    <mergeCell ref="E280:F280"/>
    <mergeCell ref="G209:H209"/>
    <mergeCell ref="U202:AD202"/>
    <mergeCell ref="A159:C159"/>
    <mergeCell ref="A263:D264"/>
    <mergeCell ref="M203:T203"/>
    <mergeCell ref="M174:Z174"/>
    <mergeCell ref="A232:M232"/>
    <mergeCell ref="A376:B376"/>
    <mergeCell ref="A332:L332"/>
    <mergeCell ref="G204:H204"/>
    <mergeCell ref="J205:K205"/>
    <mergeCell ref="G269:H269"/>
    <mergeCell ref="I269:J269"/>
    <mergeCell ref="M204:T204"/>
    <mergeCell ref="D118:E118"/>
    <mergeCell ref="F182:H182"/>
    <mergeCell ref="A184:B184"/>
    <mergeCell ref="A404:E404"/>
    <mergeCell ref="G302:H302"/>
    <mergeCell ref="A171:B171"/>
    <mergeCell ref="A342:B342"/>
    <mergeCell ref="H94:K94"/>
    <mergeCell ref="A336:B336"/>
    <mergeCell ref="J125:K125"/>
    <mergeCell ref="K284:L284"/>
    <mergeCell ref="D246:F246"/>
    <mergeCell ref="A250:C250"/>
    <mergeCell ref="A95:G95"/>
    <mergeCell ref="A302:D302"/>
    <mergeCell ref="A173:B173"/>
    <mergeCell ref="D257:F257"/>
    <mergeCell ref="E102:L102"/>
    <mergeCell ref="A322:D322"/>
    <mergeCell ref="A77:B77"/>
    <mergeCell ref="D248:F248"/>
    <mergeCell ref="C77:D77"/>
    <mergeCell ref="G245:I245"/>
    <mergeCell ref="G26:J26"/>
    <mergeCell ref="A166:B166"/>
    <mergeCell ref="G130:H130"/>
    <mergeCell ref="A327:D327"/>
    <mergeCell ref="A324:D324"/>
    <mergeCell ref="A109:D109"/>
    <mergeCell ref="A96:G96"/>
    <mergeCell ref="C141:D141"/>
    <mergeCell ref="E141:F141"/>
    <mergeCell ref="C377:D377"/>
    <mergeCell ref="A26:F26"/>
    <mergeCell ref="A299:D299"/>
    <mergeCell ref="J202:K202"/>
    <mergeCell ref="F404:H404"/>
    <mergeCell ref="A399:E399"/>
    <mergeCell ref="A168:B168"/>
    <mergeCell ref="G122:H122"/>
    <mergeCell ref="A175:I175"/>
    <mergeCell ref="C143:D143"/>
    <mergeCell ref="E143:F143"/>
    <mergeCell ref="A47:L47"/>
    <mergeCell ref="A328:D328"/>
    <mergeCell ref="M153:AC153"/>
    <mergeCell ref="I221:J221"/>
    <mergeCell ref="G186:H186"/>
    <mergeCell ref="I215:J215"/>
    <mergeCell ref="A120:B120"/>
    <mergeCell ref="D177:F177"/>
    <mergeCell ref="A347:B348"/>
    <mergeCell ref="G39:J39"/>
    <mergeCell ref="K279:L279"/>
    <mergeCell ref="G158:I158"/>
    <mergeCell ref="A219:B219"/>
    <mergeCell ref="K145:L145"/>
    <mergeCell ref="A290:B290"/>
    <mergeCell ref="C219:D219"/>
    <mergeCell ref="A39:F39"/>
    <mergeCell ref="I216:J216"/>
    <mergeCell ref="G37:J37"/>
    <mergeCell ref="D178:F178"/>
    <mergeCell ref="D243:F243"/>
    <mergeCell ref="A98:L98"/>
    <mergeCell ref="A18:G18"/>
    <mergeCell ref="H50:J50"/>
    <mergeCell ref="J121:K121"/>
    <mergeCell ref="A396:L396"/>
    <mergeCell ref="E283:F283"/>
    <mergeCell ref="A104:D104"/>
    <mergeCell ref="G277:H277"/>
    <mergeCell ref="M190:Z190"/>
    <mergeCell ref="M206:T206"/>
    <mergeCell ref="H392:K393"/>
    <mergeCell ref="E214:F214"/>
    <mergeCell ref="A312:D312"/>
    <mergeCell ref="A177:C177"/>
    <mergeCell ref="G214:H214"/>
    <mergeCell ref="A106:D106"/>
    <mergeCell ref="J254:L254"/>
    <mergeCell ref="D254:F254"/>
    <mergeCell ref="G120:H120"/>
    <mergeCell ref="D119:E119"/>
    <mergeCell ref="D190:E190"/>
    <mergeCell ref="A123:B123"/>
    <mergeCell ref="E278:F278"/>
    <mergeCell ref="G278:H278"/>
    <mergeCell ref="G63:J63"/>
    <mergeCell ref="I334:J334"/>
    <mergeCell ref="A21:F21"/>
    <mergeCell ref="I278:J278"/>
    <mergeCell ref="M207:T207"/>
    <mergeCell ref="J256:L256"/>
    <mergeCell ref="K334:L334"/>
    <mergeCell ref="H95:K95"/>
    <mergeCell ref="A195:C195"/>
    <mergeCell ref="D183:E183"/>
    <mergeCell ref="A187:B187"/>
    <mergeCell ref="K300:L300"/>
    <mergeCell ref="E230:F230"/>
    <mergeCell ref="D185:E185"/>
    <mergeCell ref="A118:B118"/>
    <mergeCell ref="A259:L259"/>
    <mergeCell ref="A189:B189"/>
    <mergeCell ref="K140:L140"/>
    <mergeCell ref="G27:J27"/>
    <mergeCell ref="A240:L240"/>
    <mergeCell ref="A325:D325"/>
    <mergeCell ref="A52:F52"/>
    <mergeCell ref="G207:H207"/>
    <mergeCell ref="J124:K124"/>
    <mergeCell ref="M20:AH20"/>
    <mergeCell ref="A48:L48"/>
    <mergeCell ref="E271:F271"/>
    <mergeCell ref="G271:H271"/>
    <mergeCell ref="M154:AC154"/>
    <mergeCell ref="D130:E130"/>
    <mergeCell ref="D201:E201"/>
    <mergeCell ref="M109:AH109"/>
    <mergeCell ref="A134:B134"/>
    <mergeCell ref="A334:B335"/>
    <mergeCell ref="I265:J265"/>
    <mergeCell ref="G265:H265"/>
    <mergeCell ref="D188:E188"/>
    <mergeCell ref="A121:B121"/>
    <mergeCell ref="M284:Z284"/>
    <mergeCell ref="D249:F249"/>
    <mergeCell ref="G202:H202"/>
    <mergeCell ref="D132:E132"/>
    <mergeCell ref="H90:K90"/>
    <mergeCell ref="H388:K388"/>
    <mergeCell ref="K280:L280"/>
    <mergeCell ref="G291:H291"/>
    <mergeCell ref="D242:F242"/>
    <mergeCell ref="M78:X78"/>
    <mergeCell ref="A402:E402"/>
    <mergeCell ref="I266:J266"/>
    <mergeCell ref="F392:G392"/>
    <mergeCell ref="A137:L137"/>
    <mergeCell ref="K266:L266"/>
    <mergeCell ref="A379:L379"/>
    <mergeCell ref="H390:K390"/>
    <mergeCell ref="E347:F347"/>
    <mergeCell ref="D244:F244"/>
    <mergeCell ref="A112:D112"/>
    <mergeCell ref="G347:H347"/>
    <mergeCell ref="G367:L367"/>
    <mergeCell ref="C368:D368"/>
    <mergeCell ref="A19:G19"/>
    <mergeCell ref="G268:H268"/>
    <mergeCell ref="E362:F362"/>
    <mergeCell ref="H152:I152"/>
    <mergeCell ref="G40:J40"/>
    <mergeCell ref="A247:C247"/>
    <mergeCell ref="A314:D314"/>
    <mergeCell ref="F400:H400"/>
    <mergeCell ref="D196:F196"/>
    <mergeCell ref="G184:H184"/>
    <mergeCell ref="C164:D164"/>
    <mergeCell ref="G128:H128"/>
    <mergeCell ref="E220:F220"/>
    <mergeCell ref="A107:D107"/>
    <mergeCell ref="G220:H220"/>
    <mergeCell ref="A29:F29"/>
    <mergeCell ref="E363:F363"/>
    <mergeCell ref="G121:H121"/>
    <mergeCell ref="F402:H402"/>
    <mergeCell ref="D125:E125"/>
    <mergeCell ref="C222:D222"/>
    <mergeCell ref="E284:F284"/>
    <mergeCell ref="A315:D315"/>
    <mergeCell ref="A44:F44"/>
    <mergeCell ref="G284:H284"/>
    <mergeCell ref="E222:F222"/>
    <mergeCell ref="G222:H222"/>
    <mergeCell ref="I284:J284"/>
    <mergeCell ref="M105:Z105"/>
    <mergeCell ref="A31:F31"/>
    <mergeCell ref="M292:Z292"/>
    <mergeCell ref="G123:H123"/>
    <mergeCell ref="A188:B188"/>
    <mergeCell ref="A126:B126"/>
    <mergeCell ref="D127:E127"/>
    <mergeCell ref="G215:H215"/>
    <mergeCell ref="A261:L261"/>
    <mergeCell ref="G66:J66"/>
    <mergeCell ref="A60:F60"/>
    <mergeCell ref="A267:D267"/>
    <mergeCell ref="K141:L141"/>
    <mergeCell ref="A190:B190"/>
    <mergeCell ref="A117:B117"/>
    <mergeCell ref="K377:L377"/>
    <mergeCell ref="I279:J279"/>
    <mergeCell ref="A353:B353"/>
    <mergeCell ref="E146:F146"/>
    <mergeCell ref="E377:F377"/>
    <mergeCell ref="A196:C196"/>
    <mergeCell ref="A269:D269"/>
    <mergeCell ref="A256:C256"/>
    <mergeCell ref="E298:F298"/>
    <mergeCell ref="A69:L69"/>
    <mergeCell ref="K143:L143"/>
    <mergeCell ref="C83:D83"/>
    <mergeCell ref="H96:K96"/>
    <mergeCell ref="A142:B142"/>
    <mergeCell ref="D203:E203"/>
    <mergeCell ref="E368:F368"/>
    <mergeCell ref="G362:H362"/>
    <mergeCell ref="J250:L250"/>
    <mergeCell ref="E299:F299"/>
    <mergeCell ref="G299:H299"/>
    <mergeCell ref="A200:B201"/>
    <mergeCell ref="A42:F42"/>
    <mergeCell ref="E231:L231"/>
    <mergeCell ref="H91:K91"/>
    <mergeCell ref="D204:E204"/>
    <mergeCell ref="I268:J268"/>
    <mergeCell ref="A208:B208"/>
    <mergeCell ref="A92:G92"/>
    <mergeCell ref="E308:L308"/>
    <mergeCell ref="I182:K182"/>
    <mergeCell ref="J206:K206"/>
    <mergeCell ref="G67:J67"/>
    <mergeCell ref="U208:AD208"/>
    <mergeCell ref="A145:B145"/>
    <mergeCell ref="G61:J61"/>
    <mergeCell ref="D206:E206"/>
    <mergeCell ref="A139:B139"/>
    <mergeCell ref="H93:K93"/>
    <mergeCell ref="A94:G94"/>
    <mergeCell ref="A274:L274"/>
    <mergeCell ref="C139:D139"/>
    <mergeCell ref="A249:C249"/>
    <mergeCell ref="M168:Z168"/>
    <mergeCell ref="M16:AF16"/>
    <mergeCell ref="A203:B203"/>
    <mergeCell ref="A257:C257"/>
    <mergeCell ref="G62:J62"/>
    <mergeCell ref="F239:G239"/>
    <mergeCell ref="M18:AF18"/>
    <mergeCell ref="G129:H129"/>
    <mergeCell ref="G221:H221"/>
    <mergeCell ref="F403:H403"/>
    <mergeCell ref="E302:F302"/>
    <mergeCell ref="G131:H131"/>
    <mergeCell ref="J290:K290"/>
    <mergeCell ref="M184:Z184"/>
    <mergeCell ref="A252:L252"/>
    <mergeCell ref="M171:Z171"/>
    <mergeCell ref="A350:B350"/>
    <mergeCell ref="G300:H300"/>
    <mergeCell ref="D128:E128"/>
    <mergeCell ref="A158:C158"/>
    <mergeCell ref="D186:E186"/>
    <mergeCell ref="E83:F83"/>
    <mergeCell ref="A119:B119"/>
    <mergeCell ref="J184:K184"/>
    <mergeCell ref="I281:J281"/>
    <mergeCell ref="M113:Z113"/>
    <mergeCell ref="A343:B343"/>
    <mergeCell ref="M173:Z173"/>
    <mergeCell ref="K281:L281"/>
    <mergeCell ref="F200:H200"/>
    <mergeCell ref="A150:B151"/>
    <mergeCell ref="K238:L238"/>
    <mergeCell ref="G126:H126"/>
    <mergeCell ref="G289:H289"/>
    <mergeCell ref="M250:Z250"/>
    <mergeCell ref="A354:B354"/>
    <mergeCell ref="I218:J218"/>
    <mergeCell ref="A270:D270"/>
    <mergeCell ref="A133:B133"/>
    <mergeCell ref="A369:B369"/>
    <mergeCell ref="I282:J282"/>
    <mergeCell ref="D8:F8"/>
    <mergeCell ref="M210:T211"/>
    <mergeCell ref="K282:L282"/>
    <mergeCell ref="A356:B356"/>
    <mergeCell ref="A224:L224"/>
    <mergeCell ref="G205:H205"/>
    <mergeCell ref="A63:F63"/>
    <mergeCell ref="G363:H363"/>
    <mergeCell ref="H18:J18"/>
    <mergeCell ref="I288:K288"/>
    <mergeCell ref="J187:K187"/>
    <mergeCell ref="G255:I255"/>
    <mergeCell ref="G142:H142"/>
    <mergeCell ref="A271:D271"/>
    <mergeCell ref="I142:J142"/>
    <mergeCell ref="G242:I242"/>
    <mergeCell ref="J118:K118"/>
    <mergeCell ref="C150:G150"/>
    <mergeCell ref="E144:F144"/>
    <mergeCell ref="M301:Z301"/>
    <mergeCell ref="A209:B209"/>
    <mergeCell ref="G144:H144"/>
    <mergeCell ref="G244:I244"/>
    <mergeCell ref="H55:J55"/>
    <mergeCell ref="D207:E207"/>
    <mergeCell ref="M303:Z303"/>
    <mergeCell ref="M159:Z159"/>
    <mergeCell ref="C140:D140"/>
    <mergeCell ref="A338:B338"/>
    <mergeCell ref="A298:D298"/>
    <mergeCell ref="I300:J300"/>
    <mergeCell ref="E267:F267"/>
    <mergeCell ref="G64:J64"/>
    <mergeCell ref="I164:J164"/>
    <mergeCell ref="M167:Z167"/>
    <mergeCell ref="I139:J139"/>
    <mergeCell ref="K164:L164"/>
    <mergeCell ref="K139:L139"/>
    <mergeCell ref="A340:B340"/>
    <mergeCell ref="A375:L375"/>
    <mergeCell ref="E269:F269"/>
    <mergeCell ref="M304:Z304"/>
    <mergeCell ref="A146:B146"/>
    <mergeCell ref="A161:L162"/>
    <mergeCell ref="A154:L154"/>
    <mergeCell ref="A306:L306"/>
    <mergeCell ref="J123:K123"/>
    <mergeCell ref="J246:L246"/>
    <mergeCell ref="A284:D284"/>
    <mergeCell ref="A351:B351"/>
    <mergeCell ref="J248:L248"/>
    <mergeCell ref="G42:J42"/>
    <mergeCell ref="M187:Z187"/>
    <mergeCell ref="H14:J14"/>
    <mergeCell ref="D292:E292"/>
    <mergeCell ref="A67:F67"/>
    <mergeCell ref="A54:G54"/>
    <mergeCell ref="A141:B141"/>
    <mergeCell ref="D202:E202"/>
    <mergeCell ref="A135:B135"/>
    <mergeCell ref="I303:J303"/>
    <mergeCell ref="A377:B377"/>
    <mergeCell ref="M195:Z195"/>
    <mergeCell ref="A90:G90"/>
    <mergeCell ref="I219:J219"/>
    <mergeCell ref="M189:Z189"/>
    <mergeCell ref="A122:B122"/>
    <mergeCell ref="A388:G388"/>
    <mergeCell ref="G290:H290"/>
    <mergeCell ref="C288:E288"/>
    <mergeCell ref="G377:J377"/>
    <mergeCell ref="J243:L243"/>
    <mergeCell ref="AA104:AG105"/>
    <mergeCell ref="A56:G56"/>
    <mergeCell ref="A392:E392"/>
    <mergeCell ref="A390:G390"/>
    <mergeCell ref="K283:L283"/>
    <mergeCell ref="J189:K189"/>
    <mergeCell ref="A296:L296"/>
    <mergeCell ref="C217:D217"/>
    <mergeCell ref="E217:F217"/>
    <mergeCell ref="C200:E200"/>
    <mergeCell ref="M14:AF14"/>
    <mergeCell ref="AB164:AB165"/>
    <mergeCell ref="K298:L298"/>
    <mergeCell ref="J188:K188"/>
    <mergeCell ref="J126:K126"/>
    <mergeCell ref="G208:H208"/>
    <mergeCell ref="A66:F66"/>
    <mergeCell ref="J190:K190"/>
    <mergeCell ref="G145:H145"/>
    <mergeCell ref="A323:D323"/>
    <mergeCell ref="A365:L365"/>
    <mergeCell ref="I145:J145"/>
    <mergeCell ref="I272:J272"/>
    <mergeCell ref="G237:H237"/>
    <mergeCell ref="G32:J32"/>
    <mergeCell ref="K272:L272"/>
    <mergeCell ref="I237:J237"/>
    <mergeCell ref="L95:Z96"/>
    <mergeCell ref="G195:I195"/>
    <mergeCell ref="A32:F32"/>
    <mergeCell ref="C146:D146"/>
    <mergeCell ref="I301:J301"/>
    <mergeCell ref="K301:L301"/>
    <mergeCell ref="G189:H189"/>
    <mergeCell ref="I214:J214"/>
    <mergeCell ref="A214:B214"/>
    <mergeCell ref="I238:J238"/>
    <mergeCell ref="C214:D214"/>
    <mergeCell ref="A341:B341"/>
    <mergeCell ref="K267:L267"/>
    <mergeCell ref="A156:L156"/>
    <mergeCell ref="E270:F270"/>
    <mergeCell ref="K303:L303"/>
    <mergeCell ref="K278:L278"/>
    <mergeCell ref="H52:J53"/>
    <mergeCell ref="K269:L269"/>
    <mergeCell ref="J208:K208"/>
    <mergeCell ref="E334:F334"/>
    <mergeCell ref="A405:E405"/>
    <mergeCell ref="G334:H334"/>
    <mergeCell ref="J247:L247"/>
    <mergeCell ref="H89:K89"/>
    <mergeCell ref="D247:F247"/>
    <mergeCell ref="J201:K201"/>
    <mergeCell ref="M44:U44"/>
    <mergeCell ref="J249:L249"/>
    <mergeCell ref="J185:K185"/>
    <mergeCell ref="J203:K203"/>
    <mergeCell ref="A400:E400"/>
    <mergeCell ref="U205:AD205"/>
    <mergeCell ref="M197:Z197"/>
    <mergeCell ref="M73:U73"/>
    <mergeCell ref="A16:F16"/>
    <mergeCell ref="A41:F41"/>
    <mergeCell ref="A167:B167"/>
    <mergeCell ref="M202:T202"/>
    <mergeCell ref="G77:H77"/>
    <mergeCell ref="H51:J51"/>
    <mergeCell ref="A311:D311"/>
    <mergeCell ref="I77:J77"/>
    <mergeCell ref="I304:J304"/>
    <mergeCell ref="A246:C246"/>
    <mergeCell ref="A91:G91"/>
    <mergeCell ref="I369:J369"/>
    <mergeCell ref="A389:G389"/>
    <mergeCell ref="A27:F27"/>
    <mergeCell ref="K369:L369"/>
    <mergeCell ref="A169:B169"/>
    <mergeCell ref="A75:L75"/>
    <mergeCell ref="C369:D369"/>
    <mergeCell ref="M188:Z188"/>
    <mergeCell ref="M55:Z55"/>
    <mergeCell ref="G248:I248"/>
    <mergeCell ref="G254:I254"/>
    <mergeCell ref="A248:C248"/>
    <mergeCell ref="A12:L12"/>
    <mergeCell ref="AE200:AE201"/>
    <mergeCell ref="A93:G93"/>
    <mergeCell ref="A391:G391"/>
    <mergeCell ref="J117:K117"/>
    <mergeCell ref="G191:H191"/>
    <mergeCell ref="A22:F22"/>
    <mergeCell ref="M147:W148"/>
    <mergeCell ref="G140:H140"/>
    <mergeCell ref="J119:K119"/>
    <mergeCell ref="H150:I151"/>
    <mergeCell ref="A81:L81"/>
    <mergeCell ref="E266:F266"/>
    <mergeCell ref="G159:I159"/>
    <mergeCell ref="A393:E393"/>
    <mergeCell ref="G266:H266"/>
    <mergeCell ref="M149:AC149"/>
    <mergeCell ref="J183:K183"/>
    <mergeCell ref="M81:Z81"/>
    <mergeCell ref="A316:D316"/>
    <mergeCell ref="C347:D347"/>
    <mergeCell ref="G38:J38"/>
    <mergeCell ref="A212:J212"/>
    <mergeCell ref="AA164:AA165"/>
    <mergeCell ref="M151:AC151"/>
    <mergeCell ref="A282:D282"/>
    <mergeCell ref="C362:D362"/>
    <mergeCell ref="A105:D105"/>
    <mergeCell ref="M67:U67"/>
    <mergeCell ref="D158:F158"/>
    <mergeCell ref="K146:L146"/>
    <mergeCell ref="G33:J33"/>
    <mergeCell ref="M316:AA317"/>
    <mergeCell ref="A313:D313"/>
    <mergeCell ref="C220:D220"/>
    <mergeCell ref="K304:L304"/>
    <mergeCell ref="A243:C243"/>
    <mergeCell ref="A14:G14"/>
    <mergeCell ref="A222:B222"/>
    <mergeCell ref="C151:D151"/>
    <mergeCell ref="A286:L286"/>
    <mergeCell ref="J209:K209"/>
    <mergeCell ref="K368:L368"/>
    <mergeCell ref="M186:Z186"/>
    <mergeCell ref="J257:L257"/>
    <mergeCell ref="C215:D215"/>
    <mergeCell ref="A294:L294"/>
    <mergeCell ref="AA182:AA183"/>
    <mergeCell ref="E215:F215"/>
    <mergeCell ref="F305:G305"/>
    <mergeCell ref="J186:K186"/>
    <mergeCell ref="G141:H141"/>
    <mergeCell ref="C152:D152"/>
    <mergeCell ref="I141:J141"/>
    <mergeCell ref="A254:C254"/>
    <mergeCell ref="D255:F255"/>
    <mergeCell ref="M80:X80"/>
    <mergeCell ref="A310:D310"/>
    <mergeCell ref="E279:F279"/>
    <mergeCell ref="E236:L236"/>
    <mergeCell ref="D120:E120"/>
    <mergeCell ref="A17:F17"/>
    <mergeCell ref="G256:I256"/>
    <mergeCell ref="A53:F53"/>
    <mergeCell ref="G118:H118"/>
    <mergeCell ref="I143:J143"/>
    <mergeCell ref="A318:L318"/>
    <mergeCell ref="M196:Z196"/>
    <mergeCell ref="M158:Z158"/>
    <mergeCell ref="A71:H71"/>
    <mergeCell ref="D250:F250"/>
    <mergeCell ref="A185:B185"/>
    <mergeCell ref="G257:I257"/>
    <mergeCell ref="A326:D326"/>
    <mergeCell ref="A320:D321"/>
    <mergeCell ref="A178:C178"/>
    <mergeCell ref="G263:J263"/>
    <mergeCell ref="A394:G394"/>
    <mergeCell ref="A170:B170"/>
    <mergeCell ref="E268:F268"/>
    <mergeCell ref="J130:K130"/>
    <mergeCell ref="D133:E133"/>
    <mergeCell ref="K265:L265"/>
    <mergeCell ref="A401:E401"/>
    <mergeCell ref="H389:K389"/>
    <mergeCell ref="A113:D113"/>
    <mergeCell ref="H16:J17"/>
    <mergeCell ref="M150:AC150"/>
    <mergeCell ref="A403:E403"/>
    <mergeCell ref="H49:J49"/>
    <mergeCell ref="J122:K122"/>
    <mergeCell ref="D191:E191"/>
    <mergeCell ref="A130:B130"/>
    <mergeCell ref="H391:K391"/>
    <mergeCell ref="A37:F37"/>
    <mergeCell ref="A20:G20"/>
    <mergeCell ref="M152:AC152"/>
    <mergeCell ref="A132:B132"/>
    <mergeCell ref="G41:J41"/>
    <mergeCell ref="G177:I177"/>
    <mergeCell ref="A242:C242"/>
    <mergeCell ref="E140:F140"/>
    <mergeCell ref="D291:E291"/>
    <mergeCell ref="A398:E398"/>
    <mergeCell ref="U203:AD203"/>
    <mergeCell ref="A221:B221"/>
    <mergeCell ref="F401:H401"/>
    <mergeCell ref="F393:G393"/>
    <mergeCell ref="C221:D221"/>
    <mergeCell ref="G276:J276"/>
    <mergeCell ref="A8:C8"/>
    <mergeCell ref="G43:J43"/>
    <mergeCell ref="E221:F221"/>
    <mergeCell ref="A244:C244"/>
    <mergeCell ref="G264:H264"/>
    <mergeCell ref="A15:G15"/>
    <mergeCell ref="I264:J264"/>
    <mergeCell ref="A51:G51"/>
    <mergeCell ref="I220:J220"/>
    <mergeCell ref="A35:L35"/>
    <mergeCell ref="G187:H187"/>
    <mergeCell ref="A43:F43"/>
    <mergeCell ref="H21:J22"/>
    <mergeCell ref="A198:K198"/>
    <mergeCell ref="A110:D110"/>
    <mergeCell ref="G279:H279"/>
    <mergeCell ref="A10:L10"/>
    <mergeCell ref="G124:H124"/>
    <mergeCell ref="E300:F300"/>
    <mergeCell ref="D184:E184"/>
    <mergeCell ref="A245:C245"/>
    <mergeCell ref="E216:F216"/>
    <mergeCell ref="G216:H216"/>
    <mergeCell ref="E281:F281"/>
    <mergeCell ref="M15:AF15"/>
    <mergeCell ref="G281:H281"/>
    <mergeCell ref="F398:H398"/>
    <mergeCell ref="G188:H188"/>
    <mergeCell ref="D121:E121"/>
    <mergeCell ref="A125:B125"/>
    <mergeCell ref="E218:F218"/>
    <mergeCell ref="G280:H280"/>
    <mergeCell ref="A238:D238"/>
    <mergeCell ref="G218:H218"/>
    <mergeCell ref="I280:J280"/>
    <mergeCell ref="M209:T209"/>
    <mergeCell ref="M166:Z166"/>
    <mergeCell ref="G119:H119"/>
    <mergeCell ref="M6:P6"/>
    <mergeCell ref="D123:E123"/>
    <mergeCell ref="A127:B127"/>
    <mergeCell ref="G282:H282"/>
    <mergeCell ref="C376:D376"/>
    <mergeCell ref="A367:F367"/>
  </mergeCells>
  <conditionalFormatting sqref="A79 C79 E79 G79 I79">
    <cfRule type="expression" priority="152" dxfId="4">
      <formula>SUM($A$79,$C$79,$E$79,$G$79,$I$79)&gt;$H$55</formula>
    </cfRule>
    <cfRule type="expression" priority="151" dxfId="4">
      <formula>SUM($A$85,$C$85,$E$85,$G$85,$I$85,$A$79,$C$79,$E$79,$G$79,$I$79)&lt;&gt;$H$55</formula>
    </cfRule>
  </conditionalFormatting>
  <conditionalFormatting sqref="A85 C85 E85 G85 I85">
    <cfRule type="expression" priority="150" dxfId="4">
      <formula>SUM($A$85,$C$85,$E$85,$G$85,$I$85)&gt;$H$55</formula>
    </cfRule>
    <cfRule type="expression" priority="149" dxfId="4">
      <formula>SUM($A$85,$C$85,$E$85,$G$85,$I$85,$A$79,$C$79,$E$79,$G$79,$I$79)&lt;&gt;$H$55</formula>
    </cfRule>
  </conditionalFormatting>
  <conditionalFormatting sqref="A159 D159">
    <cfRule type="expression" priority="211" dxfId="4">
      <formula>$D$159&gt;$A$159</formula>
    </cfRule>
  </conditionalFormatting>
  <conditionalFormatting sqref="A159 D173 F173 H173 J173 L173">
    <cfRule type="expression" priority="201" dxfId="4">
      <formula>SUM($D$173,$F$173,$H$173,$J$173,$L$173)&lt;&gt;$A$159</formula>
    </cfRule>
  </conditionalFormatting>
  <conditionalFormatting sqref="A178 D178">
    <cfRule type="expression" priority="200" dxfId="4">
      <formula>$D$178&gt;$A$178</formula>
    </cfRule>
  </conditionalFormatting>
  <conditionalFormatting sqref="A178">
    <cfRule type="expression" priority="190" dxfId="4">
      <formula>SUM($D$191,$G$191,$J$191)&lt;&gt;$A$178</formula>
    </cfRule>
  </conditionalFormatting>
  <conditionalFormatting sqref="A196 D196">
    <cfRule type="expression" priority="189" dxfId="4">
      <formula>$D$196&gt;$A$196</formula>
    </cfRule>
  </conditionalFormatting>
  <conditionalFormatting sqref="A196">
    <cfRule type="expression" priority="170" dxfId="4">
      <formula>SUM($D$209,$G$209,$J$209)&lt;&gt;$A$196</formula>
    </cfRule>
  </conditionalFormatting>
  <conditionalFormatting sqref="A238 J250">
    <cfRule type="expression" priority="169" dxfId="4">
      <formula>$J$250&lt;&gt;$A$238</formula>
    </cfRule>
  </conditionalFormatting>
  <conditionalFormatting sqref="A79:B79">
    <cfRule type="expression" priority="58" dxfId="4">
      <formula>$B$79/$A$79&gt;99</formula>
    </cfRule>
  </conditionalFormatting>
  <conditionalFormatting sqref="A85:B85">
    <cfRule type="expression" priority="50" dxfId="4">
      <formula>$B$85/$A$85&gt;99</formula>
    </cfRule>
  </conditionalFormatting>
  <conditionalFormatting sqref="A152:B152">
    <cfRule type="expression" priority="72" dxfId="4">
      <formula>A152&gt;SUM(L104:L105)</formula>
    </cfRule>
  </conditionalFormatting>
  <conditionalFormatting sqref="A152:C152 E152 G159 H152">
    <cfRule type="expression" priority="26" dxfId="4">
      <formula>SUM($A$152,$C$152,$E$152,$H$152)&gt;$G$159</formula>
    </cfRule>
  </conditionalFormatting>
  <conditionalFormatting sqref="C152">
    <cfRule type="expression" priority="63" dxfId="4">
      <formula>C152&gt;SUM(L104:L105)</formula>
    </cfRule>
  </conditionalFormatting>
  <conditionalFormatting sqref="C184 F184 I184">
    <cfRule type="expression" priority="134" dxfId="4">
      <formula>$AA$184&gt;$L$104</formula>
    </cfRule>
  </conditionalFormatting>
  <conditionalFormatting sqref="C79:D79">
    <cfRule type="expression" priority="57" dxfId="4">
      <formula>$D$79/$C$79&lt;100</formula>
    </cfRule>
    <cfRule type="expression" priority="56" dxfId="4">
      <formula>$D$79/$C$79&gt;500</formula>
    </cfRule>
  </conditionalFormatting>
  <conditionalFormatting sqref="C85:D85">
    <cfRule type="expression" priority="49" dxfId="4">
      <formula>$D$85/$C$85&lt;100</formula>
    </cfRule>
    <cfRule type="expression" priority="48" dxfId="4">
      <formula>$D$85/$C$85&gt;500</formula>
    </cfRule>
  </conditionalFormatting>
  <conditionalFormatting sqref="C173:D173">
    <cfRule type="expression" priority="42" dxfId="4">
      <formula>$D$173/$C$173&gt;99</formula>
    </cfRule>
  </conditionalFormatting>
  <conditionalFormatting sqref="C191:D191">
    <cfRule type="expression" priority="34" dxfId="4">
      <formula>$D$191/$C$191&gt;59</formula>
    </cfRule>
  </conditionalFormatting>
  <conditionalFormatting sqref="C209:D209">
    <cfRule type="expression" priority="30" dxfId="4">
      <formula>$D$209/$C$209&gt;59</formula>
    </cfRule>
  </conditionalFormatting>
  <conditionalFormatting sqref="C343:D343">
    <cfRule type="expression" priority="13" dxfId="4">
      <formula>$D$343/$C$343&gt;99</formula>
    </cfRule>
  </conditionalFormatting>
  <conditionalFormatting sqref="C356:D356">
    <cfRule type="expression" priority="7" dxfId="4">
      <formula>$D$356/$C$356&gt;99</formula>
    </cfRule>
  </conditionalFormatting>
  <conditionalFormatting sqref="D6">
    <cfRule type="expression" priority="157" dxfId="4">
      <formula>$D$6=""</formula>
    </cfRule>
  </conditionalFormatting>
  <conditionalFormatting sqref="D152">
    <cfRule type="expression" priority="237" dxfId="4">
      <formula>D152&gt;SUM(M104:M105)</formula>
    </cfRule>
  </conditionalFormatting>
  <conditionalFormatting sqref="D191">
    <cfRule type="expression" priority="120" dxfId="4">
      <formula>SUM($D$191,$G$191,$J$191)&lt;&gt;$A$178</formula>
    </cfRule>
  </conditionalFormatting>
  <conditionalFormatting sqref="D209">
    <cfRule type="expression" priority="79" dxfId="4">
      <formula>SUM($D$209,$G$209,$J$209)&lt;&gt;$A$196</formula>
    </cfRule>
  </conditionalFormatting>
  <conditionalFormatting sqref="D292:E292">
    <cfRule type="expression" priority="16" dxfId="4">
      <formula>MOD($D$292,5)&gt;0</formula>
    </cfRule>
  </conditionalFormatting>
  <conditionalFormatting sqref="E152">
    <cfRule type="expression" priority="70" dxfId="4">
      <formula>E152&gt;SUM(L104:L105)</formula>
    </cfRule>
  </conditionalFormatting>
  <conditionalFormatting sqref="E272">
    <cfRule type="expression" priority="168" dxfId="4">
      <formula>$E$284&lt;&gt;$E$272</formula>
    </cfRule>
  </conditionalFormatting>
  <conditionalFormatting sqref="E284">
    <cfRule type="expression" priority="1" dxfId="4">
      <formula>$I$284&lt;&gt;$I$272</formula>
    </cfRule>
  </conditionalFormatting>
  <conditionalFormatting sqref="E301:E304">
    <cfRule type="expression" priority="163" dxfId="4">
      <formula>SUM($E$303,$E$304)&lt;&gt;($E$301-$E$302)</formula>
    </cfRule>
  </conditionalFormatting>
  <conditionalFormatting sqref="E302 L316">
    <cfRule type="expression" priority="159" dxfId="4">
      <formula>$L$316&lt;&gt;$E$302</formula>
    </cfRule>
  </conditionalFormatting>
  <conditionalFormatting sqref="E79:F79">
    <cfRule type="expression" priority="54" dxfId="4">
      <formula>$F$79/$E$79&gt;1000</formula>
    </cfRule>
    <cfRule type="expression" priority="55" dxfId="4">
      <formula>$F$79/$E$79&lt;=500</formula>
    </cfRule>
  </conditionalFormatting>
  <conditionalFormatting sqref="E85:F85">
    <cfRule type="expression" priority="46" dxfId="4">
      <formula>$F$85/$E$85&gt;1000</formula>
    </cfRule>
    <cfRule type="expression" priority="47" dxfId="4">
      <formula>$F$85/$E$85&lt;501</formula>
    </cfRule>
  </conditionalFormatting>
  <conditionalFormatting sqref="E173:F173">
    <cfRule type="expression" priority="40" dxfId="4">
      <formula>$F$173/$E$173&gt;500</formula>
    </cfRule>
    <cfRule type="expression" priority="41" dxfId="4">
      <formula>$F$173/$E$173&lt;100</formula>
    </cfRule>
  </conditionalFormatting>
  <conditionalFormatting sqref="E343:F343">
    <cfRule type="expression" priority="11" dxfId="4">
      <formula>$F$343/$E$343&gt;500</formula>
    </cfRule>
  </conditionalFormatting>
  <conditionalFormatting sqref="E356:F356">
    <cfRule type="expression" priority="6" dxfId="4">
      <formula>$F$356/$E$356&gt;500</formula>
    </cfRule>
  </conditionalFormatting>
  <conditionalFormatting sqref="F152">
    <cfRule type="expression" priority="68" dxfId="4">
      <formula>F152&gt;SUM(L104:L105)</formula>
    </cfRule>
    <cfRule type="expression" priority="25" dxfId="4">
      <formula>$F$152&gt;$G$196</formula>
    </cfRule>
  </conditionalFormatting>
  <conditionalFormatting sqref="F191:G191">
    <cfRule type="expression" priority="33" dxfId="4">
      <formula>$G$191/$F$191&lt;60</formula>
    </cfRule>
    <cfRule type="expression" priority="32" dxfId="4">
      <formula>$G$191/$F$191&gt;120</formula>
    </cfRule>
  </conditionalFormatting>
  <conditionalFormatting sqref="F209:G209">
    <cfRule type="expression" priority="29" dxfId="4">
      <formula>$G$209/$F$209&lt;60</formula>
    </cfRule>
    <cfRule type="expression" priority="28" dxfId="4">
      <formula>$G$209/$F$209&gt;120</formula>
    </cfRule>
  </conditionalFormatting>
  <conditionalFormatting sqref="G152">
    <cfRule type="expression" priority="66" dxfId="4">
      <formula>G152&gt;SUM(L104:L105)</formula>
    </cfRule>
    <cfRule type="expression" priority="24" dxfId="4">
      <formula>$G$152&gt;$G$178</formula>
    </cfRule>
  </conditionalFormatting>
  <conditionalFormatting sqref="C173 E173 G159 G173 I173 K173">
    <cfRule type="expression" priority="202" dxfId="4">
      <formula>$AA$173&lt;&gt;$G$159</formula>
    </cfRule>
  </conditionalFormatting>
  <conditionalFormatting sqref="C191 F191 G178 I191">
    <cfRule type="expression" priority="191" dxfId="4">
      <formula>SUM($C$191,$F$191,$I$191)&lt;&gt;$G$178</formula>
    </cfRule>
  </conditionalFormatting>
  <conditionalFormatting sqref="G191">
    <cfRule type="expression" priority="119" dxfId="4">
      <formula>SUM($D$191,$G$191,$J$191)&lt;&gt;$A$178</formula>
    </cfRule>
  </conditionalFormatting>
  <conditionalFormatting sqref="C209 F209 G196 I209">
    <cfRule type="expression" priority="171" dxfId="4">
      <formula>SUM($C$209,$F$209,$I$209)&lt;&gt;$G$196</formula>
    </cfRule>
  </conditionalFormatting>
  <conditionalFormatting sqref="G209">
    <cfRule type="expression" priority="78" dxfId="4">
      <formula>SUM($D$209,$G$209,$J$209)&lt;&gt;$A$196</formula>
    </cfRule>
  </conditionalFormatting>
  <conditionalFormatting sqref="G272 G284">
    <cfRule type="expression" priority="167" dxfId="4">
      <formula>$G$284&lt;&gt;$G$272</formula>
    </cfRule>
  </conditionalFormatting>
  <conditionalFormatting sqref="G79:H79">
    <cfRule type="expression" priority="52" dxfId="4">
      <formula>$H$79/$G$79&gt;5000</formula>
    </cfRule>
    <cfRule type="expression" priority="53" dxfId="4">
      <formula>$H$79/$G$79&lt;=1000</formula>
    </cfRule>
  </conditionalFormatting>
  <conditionalFormatting sqref="G85:H85">
    <cfRule type="expression" priority="44" dxfId="4">
      <formula>$H$85/$G$85&gt;5000</formula>
    </cfRule>
    <cfRule type="expression" priority="45" dxfId="4">
      <formula>$H$85/$G$85&lt;1001</formula>
    </cfRule>
  </conditionalFormatting>
  <conditionalFormatting sqref="G173:H173">
    <cfRule type="expression" priority="38" dxfId="4">
      <formula>$H$173/$G$173&gt;1000</formula>
    </cfRule>
    <cfRule type="expression" priority="39" dxfId="4">
      <formula>$H$173/$G$173&lt;501</formula>
    </cfRule>
  </conditionalFormatting>
  <conditionalFormatting sqref="G292:H292">
    <cfRule type="expression" priority="15" dxfId="4">
      <formula>MOD($G$292,5)&gt;0</formula>
    </cfRule>
  </conditionalFormatting>
  <conditionalFormatting sqref="G301:H304">
    <cfRule type="expression" priority="162" dxfId="4">
      <formula>SUM($G$303,$G$304)&lt;&gt;($G$301-$G$302)</formula>
    </cfRule>
  </conditionalFormatting>
  <conditionalFormatting sqref="G343:H343">
    <cfRule type="expression" priority="9" dxfId="4">
      <formula>$H$343/$G$343&gt;1000</formula>
    </cfRule>
  </conditionalFormatting>
  <conditionalFormatting sqref="G356:H356">
    <cfRule type="expression" priority="5" dxfId="4">
      <formula>$H$356/$G$356&gt;1000</formula>
    </cfRule>
  </conditionalFormatting>
  <conditionalFormatting sqref="C292 F292 H14 I292">
    <cfRule type="expression" priority="164" dxfId="4">
      <formula>SUM($C$292,$F$292,$I$292)&gt;$H$14</formula>
    </cfRule>
  </conditionalFormatting>
  <conditionalFormatting sqref="G33 H14">
    <cfRule type="expression" priority="223" dxfId="4">
      <formula>$G$33&lt;&gt;$H$14</formula>
    </cfRule>
  </conditionalFormatting>
  <conditionalFormatting sqref="G44 H14">
    <cfRule type="expression" priority="222" dxfId="4">
      <formula>$G$44&lt;&gt;$H$14</formula>
    </cfRule>
  </conditionalFormatting>
  <conditionalFormatting sqref="H19 L113">
    <cfRule type="expression" priority="213" dxfId="4">
      <formula>$L$113&lt;&gt;$H$19</formula>
    </cfRule>
  </conditionalFormatting>
  <conditionalFormatting sqref="G67 H50">
    <cfRule type="expression" priority="221" dxfId="4">
      <formula>$G$67&lt;&gt;$H$50</formula>
    </cfRule>
  </conditionalFormatting>
  <conditionalFormatting sqref="H55 H73">
    <cfRule type="expression" priority="220" dxfId="4">
      <formula>$H$73&lt;&gt;$H$55</formula>
    </cfRule>
  </conditionalFormatting>
  <conditionalFormatting sqref="H55">
    <cfRule type="expression" priority="219" dxfId="4">
      <formula>SUM($A$79,$C$79,$E$79,$G$79,$I$79)&gt;$H$55</formula>
    </cfRule>
    <cfRule type="expression" priority="218" dxfId="4">
      <formula>SUM($A$85,$C$85,$E$85,$G$85,$I$85)&gt;$H$55</formula>
    </cfRule>
    <cfRule type="expression" priority="217" dxfId="4">
      <formula>SUM($A$85,$C$85,$E$85,$G$85,$I$85,$A$79,$C$79,$E$79,$G$79,$I$79)&lt;&gt;$H$55</formula>
    </cfRule>
  </conditionalFormatting>
  <conditionalFormatting sqref="H93 L112">
    <cfRule type="expression" priority="214" dxfId="4">
      <formula>$L$112&lt;&gt;$H$93</formula>
    </cfRule>
  </conditionalFormatting>
  <conditionalFormatting sqref="H152:I152">
    <cfRule type="expression" priority="64" dxfId="4">
      <formula>H152&gt;SUM(L104:L105)</formula>
    </cfRule>
  </conditionalFormatting>
  <conditionalFormatting sqref="H18:J20">
    <cfRule type="expression" priority="76" dxfId="4">
      <formula>$H$20&lt;&gt;($H$18-$H$19)</formula>
    </cfRule>
  </conditionalFormatting>
  <conditionalFormatting sqref="H96:K96">
    <cfRule type="expression" priority="74" dxfId="4">
      <formula>SUM(H93:K96)-H92&lt;&gt;0</formula>
    </cfRule>
  </conditionalFormatting>
  <conditionalFormatting sqref="F399:F401 F403 H389:K389">
    <cfRule type="expression" priority="3" dxfId="4">
      <formula>$H$389/SUM($F$399,$F$400,$F$401,$F$403)&lt;40000</formula>
    </cfRule>
    <cfRule type="expression" priority="2" dxfId="4">
      <formula>$H$389/SUM($F$399,$F$400,$F$401,$F$403)&gt;200000</formula>
    </cfRule>
  </conditionalFormatting>
  <conditionalFormatting sqref="I272 I284">
    <cfRule type="expression" priority="166" dxfId="4">
      <formula>$I$284&lt;&gt;$I$272</formula>
    </cfRule>
  </conditionalFormatting>
  <conditionalFormatting sqref="I302 L328">
    <cfRule type="expression" priority="158" dxfId="4">
      <formula>$L$328&lt;&gt;$I$302</formula>
    </cfRule>
  </conditionalFormatting>
  <conditionalFormatting sqref="I79:J79">
    <cfRule type="expression" priority="51" dxfId="4">
      <formula>$J$79/$I$79&lt;=5000</formula>
    </cfRule>
  </conditionalFormatting>
  <conditionalFormatting sqref="I85:J85">
    <cfRule type="expression" priority="43" dxfId="4">
      <formula>$J$85/$I$85&lt;=5000</formula>
    </cfRule>
  </conditionalFormatting>
  <conditionalFormatting sqref="I173:J173">
    <cfRule type="expression" priority="36" dxfId="4">
      <formula>$J$173/$I$173&gt;5000</formula>
    </cfRule>
    <cfRule type="expression" priority="37" dxfId="4">
      <formula>$J$173/$I$173&lt;1001</formula>
    </cfRule>
  </conditionalFormatting>
  <conditionalFormatting sqref="I191:J191">
    <cfRule type="expression" priority="31" dxfId="4">
      <formula>$J$191/$I$191&lt;=120</formula>
    </cfRule>
  </conditionalFormatting>
  <conditionalFormatting sqref="I209:J209">
    <cfRule type="expression" priority="27" dxfId="4">
      <formula>$J$209/$I$209&lt;=120</formula>
    </cfRule>
  </conditionalFormatting>
  <conditionalFormatting sqref="I301:J304">
    <cfRule type="expression" priority="161" dxfId="4">
      <formula>SUM($I$303:$J$304)&lt;&gt;($I$301-$I$302)</formula>
    </cfRule>
  </conditionalFormatting>
  <conditionalFormatting sqref="I343:J343">
    <cfRule type="expression" priority="8" dxfId="4">
      <formula>$J$343/$I$343&gt;5000</formula>
    </cfRule>
  </conditionalFormatting>
  <conditionalFormatting sqref="I356:J356">
    <cfRule type="expression" priority="4" dxfId="4">
      <formula>$J$356/$I$356&gt;5000</formula>
    </cfRule>
  </conditionalFormatting>
  <conditionalFormatting sqref="J191">
    <cfRule type="expression" priority="118" dxfId="4">
      <formula>SUM($D$191,$G$191,$J$191)&lt;&gt;$A$178</formula>
    </cfRule>
  </conditionalFormatting>
  <conditionalFormatting sqref="J209">
    <cfRule type="expression" priority="77" dxfId="4">
      <formula>SUM($D$209,$G$209,$J$209)&lt;&gt;$A$196</formula>
    </cfRule>
  </conditionalFormatting>
  <conditionalFormatting sqref="J292:K292">
    <cfRule type="expression" priority="14" dxfId="4">
      <formula>MOD($J$292,5)&gt;0</formula>
    </cfRule>
  </conditionalFormatting>
  <conditionalFormatting sqref="K272 K284">
    <cfRule type="expression" priority="165" dxfId="4">
      <formula>$K$284&lt;&gt;$K$272</formula>
    </cfRule>
  </conditionalFormatting>
  <conditionalFormatting sqref="K173:L173">
    <cfRule type="expression" priority="35" dxfId="4">
      <formula>$L$173/$K$173&lt;=5000</formula>
    </cfRule>
  </conditionalFormatting>
  <conditionalFormatting sqref="K301:L304">
    <cfRule type="expression" priority="160" dxfId="4">
      <formula>SUM($K$303:$L$304)&lt;&gt;($K$301-$K$302)</formula>
    </cfRule>
  </conditionalFormatting>
  <conditionalFormatting sqref="C166 C184 C202 E166 F184 F202 G166 I166 I184 I202 K166 L104">
    <cfRule type="expression" priority="141" dxfId="4">
      <formula>$AB$166&lt;$L$104</formula>
    </cfRule>
  </conditionalFormatting>
  <conditionalFormatting sqref="C166 E166 G166 I166 K166 L104">
    <cfRule type="expression" priority="209" dxfId="4">
      <formula>SUM($C$166,$E$166,$G$166,$I$166,$K$166)&gt;$L$104</formula>
    </cfRule>
  </conditionalFormatting>
  <conditionalFormatting sqref="C202 F202 I202 L104">
    <cfRule type="expression" priority="117" dxfId="4">
      <formula>$AE$202&gt;$L$104</formula>
    </cfRule>
  </conditionalFormatting>
  <conditionalFormatting sqref="F202 I202 L104">
    <cfRule type="expression" priority="178" dxfId="4">
      <formula>SUM($C$202,$F$202,$I$202,$C$184,$F$184,$I$184,$C$166,$E$166,$G$166,$I$166,$K$166)&lt;$L$104</formula>
    </cfRule>
    <cfRule type="expression" priority="198" dxfId="4">
      <formula>SUM($C$184,$F$184,$I$184)&gt;$L$104</formula>
    </cfRule>
  </conditionalFormatting>
  <conditionalFormatting sqref="L104">
    <cfRule type="expression" priority="185" dxfId="4">
      <formula>SUM($C$202,$F$202,$I$202)&gt;$L$104</formula>
    </cfRule>
  </conditionalFormatting>
  <conditionalFormatting sqref="A152:I152 L104:L105">
    <cfRule type="expression" priority="212" dxfId="4">
      <formula>SUM($A$152:$I$152)&lt;SUM($L$104,$L$105)</formula>
    </cfRule>
  </conditionalFormatting>
  <conditionalFormatting sqref="G159 G178 G196 L104:L107 L110:L112">
    <cfRule type="expression" priority="186" dxfId="4">
      <formula>SUM($G$196,$G$178,$G$159)&lt;$L$114</formula>
    </cfRule>
  </conditionalFormatting>
  <conditionalFormatting sqref="G159 L104:L107 L110:L112">
    <cfRule type="expression" priority="210" dxfId="4">
      <formula>$G$159&gt;$L$114</formula>
    </cfRule>
  </conditionalFormatting>
  <conditionalFormatting sqref="G178 L104:L107 L110:L112">
    <cfRule type="expression" priority="199" dxfId="4">
      <formula>$G$178&gt;SUM($L$104:$L$107,$L$110:$L$112)</formula>
    </cfRule>
  </conditionalFormatting>
  <conditionalFormatting sqref="G196 L104:L107 L110:L112">
    <cfRule type="expression" priority="188" dxfId="4">
      <formula>$G$196&gt;SUM($L$104,$L$105,$L$106,$L$107,$L$110,$L$111,$L$112)</formula>
    </cfRule>
  </conditionalFormatting>
  <conditionalFormatting sqref="C167 C185 C203 E167 F185 F203 G167 I167 I185 I203 K167 L105">
    <cfRule type="expression" priority="105" dxfId="4">
      <formula>$AB$167&lt;$L$105</formula>
    </cfRule>
  </conditionalFormatting>
  <conditionalFormatting sqref="C167 C185 E167 F185 F203 G167 I167 I185 I203 K167 L105">
    <cfRule type="expression" priority="177" dxfId="4">
      <formula>SUM($C$203,$F$203,$I$203,$C$185,$F$185,$I$185,$C$167,$E$167,$G$167,$I$167,$K$167)&lt;$L$105</formula>
    </cfRule>
  </conditionalFormatting>
  <conditionalFormatting sqref="C167 E167 G167 I167 K167 L105">
    <cfRule type="expression" priority="208" dxfId="4">
      <formula>SUM($C$167,$E$167,$G$167,$I$167,$K$167)&gt;$L$105</formula>
    </cfRule>
  </conditionalFormatting>
  <conditionalFormatting sqref="C185 F185 F203 I185 I203 L105">
    <cfRule type="expression" priority="197" dxfId="4">
      <formula>SUM($C$185,$F$185,$I$185)&gt;$L$105</formula>
    </cfRule>
  </conditionalFormatting>
  <conditionalFormatting sqref="C203 F203 I203 L105">
    <cfRule type="expression" priority="111" dxfId="4">
      <formula>$AE$203&gt;$L$105</formula>
    </cfRule>
  </conditionalFormatting>
  <conditionalFormatting sqref="L105">
    <cfRule type="expression" priority="184" dxfId="4">
      <formula>SUM($C$203,$F$203,$I$203)&gt;$L$105</formula>
    </cfRule>
  </conditionalFormatting>
  <conditionalFormatting sqref="C168 C186 C204 E168 F186 F204 G168 I168 I186 I204 K168 L106">
    <cfRule type="expression" priority="104" dxfId="4">
      <formula>$AB$168&lt;$L$106</formula>
    </cfRule>
  </conditionalFormatting>
  <conditionalFormatting sqref="C168 C186 E168 F186 F204 G168 I168 I186 I204 K168 L106">
    <cfRule type="expression" priority="176" dxfId="4">
      <formula>SUM($C$204,$F$204,$I$204,$C$186,$F$186,$I$186,$C$168,$E$168,$G$168,$I$168,$K$168)&lt;$L$106</formula>
    </cfRule>
  </conditionalFormatting>
  <conditionalFormatting sqref="C168 E168 G168 I168 K168 L106">
    <cfRule type="expression" priority="207" dxfId="4">
      <formula>SUM($C$168,$E$168,$G$168,$I$168,$K$168)&gt;$L$106</formula>
    </cfRule>
  </conditionalFormatting>
  <conditionalFormatting sqref="C186 F186 F204 I186 I204 L106">
    <cfRule type="expression" priority="196" dxfId="4">
      <formula>SUM($C$186,$F$186,$I$186)&gt;$L$106</formula>
    </cfRule>
  </conditionalFormatting>
  <conditionalFormatting sqref="C204 F204 I204 L106">
    <cfRule type="expression" priority="110" dxfId="4">
      <formula>$AE$204&gt;$L$106</formula>
    </cfRule>
  </conditionalFormatting>
  <conditionalFormatting sqref="L106">
    <cfRule type="expression" priority="183" dxfId="4">
      <formula>SUM($C$204,$F$204,$I$204)&gt;$L$106</formula>
    </cfRule>
  </conditionalFormatting>
  <conditionalFormatting sqref="C169 C187 C205 E169 F187 F205 G169 I169 I187 I205 K169 L107">
    <cfRule type="expression" priority="109" dxfId="4">
      <formula>$AE$205&gt;$L$107</formula>
    </cfRule>
  </conditionalFormatting>
  <conditionalFormatting sqref="C169 C187 E169 F187 F205 G169 I169 I187 I205 K169 L107">
    <cfRule type="expression" priority="175" dxfId="4">
      <formula>SUM($C$169,$E$169,$G$169,$I$169,$K$169,$C$187,$F$187,$I$187,$C$205,$F$205,$I$205)&lt;$L$107</formula>
    </cfRule>
  </conditionalFormatting>
  <conditionalFormatting sqref="C169 E169 G169 I169 K169 L107">
    <cfRule type="expression" priority="206" dxfId="4">
      <formula>SUM($C$169,$E$169,$G$169,$I$169,$K$169)&gt;$L$107</formula>
    </cfRule>
  </conditionalFormatting>
  <conditionalFormatting sqref="C187 F187 F205 I187 I205 L107">
    <cfRule type="expression" priority="195" dxfId="4">
      <formula>SUM($C$187,$F$187,$I$187)&gt;$L$107</formula>
    </cfRule>
  </conditionalFormatting>
  <conditionalFormatting sqref="C205 F205 I205 L107">
    <cfRule type="expression" priority="103" dxfId="4">
      <formula>$AB$169&lt;$L$107</formula>
    </cfRule>
  </conditionalFormatting>
  <conditionalFormatting sqref="L107">
    <cfRule type="expression" priority="182" dxfId="4">
      <formula>SUM($C$205,$F$205,$I$205)&gt;$L$107</formula>
    </cfRule>
  </conditionalFormatting>
  <conditionalFormatting sqref="C170 C188 C206 E170 F188 F206 G170 I170 I188 I206 K170 L110">
    <cfRule type="expression" priority="102" dxfId="4">
      <formula>$AB$170&lt;$L$110</formula>
    </cfRule>
  </conditionalFormatting>
  <conditionalFormatting sqref="C170 C188 E170 F188 F206 G170 I170 I188 I206 K170 L110">
    <cfRule type="expression" priority="174" dxfId="4">
      <formula>SUM($C$206,$F$206,$I$206,$C$188,$F$188,$I$188,$C$170,$E$170,$G$170,$I$170,$K$170)&lt;$L$110</formula>
    </cfRule>
  </conditionalFormatting>
  <conditionalFormatting sqref="C170 E170 G170 I170 K170 L110">
    <cfRule type="expression" priority="205" dxfId="4">
      <formula>SUM($C$170,$E$170,$G$170,$I$170,$K$170)&gt;$L$110</formula>
    </cfRule>
  </conditionalFormatting>
  <conditionalFormatting sqref="C188 F188 F206 I188 I206 L110">
    <cfRule type="expression" priority="194" dxfId="4">
      <formula>SUM($C$188,$F$188,$I$188)&gt;$L$110</formula>
    </cfRule>
  </conditionalFormatting>
  <conditionalFormatting sqref="C206 F206 I206 L110">
    <cfRule type="expression" priority="108" dxfId="4">
      <formula>$AE$206&gt;$L$110</formula>
    </cfRule>
  </conditionalFormatting>
  <conditionalFormatting sqref="L110">
    <cfRule type="expression" priority="181" dxfId="4">
      <formula>SUM($C$206,$F$206,$I$206)&gt;$L$110</formula>
    </cfRule>
  </conditionalFormatting>
  <conditionalFormatting sqref="C171 C189 C207 E171 F189 F207 G171 I171 I189 I207 K171 L111">
    <cfRule type="expression" priority="101" dxfId="4">
      <formula>$AB$171&lt;$L$111</formula>
    </cfRule>
  </conditionalFormatting>
  <conditionalFormatting sqref="C171 C189 E171 F189 F207 G171 I171 I189 I207 K171 L111">
    <cfRule type="expression" priority="173" dxfId="4">
      <formula>SUM($C$207,$F$207,$I$207,$C$189,$F$189,$I$189,$C$171,$E$171,$G$171,$I$171,$K$171)&lt;$L$111</formula>
    </cfRule>
  </conditionalFormatting>
  <conditionalFormatting sqref="C171 E171 G171 I171 K171 L111">
    <cfRule type="expression" priority="204" dxfId="4">
      <formula>SUM($C$171,$E$171,$G$171,$I$171,$K$171)&gt;$L$111</formula>
    </cfRule>
  </conditionalFormatting>
  <conditionalFormatting sqref="C189 F189 I189 L111">
    <cfRule type="expression" priority="193" dxfId="4">
      <formula>SUM($C$189,$F$189,$I$189)&gt;$L$111</formula>
    </cfRule>
  </conditionalFormatting>
  <conditionalFormatting sqref="C207 F207 I207 L111">
    <cfRule type="expression" priority="107" dxfId="4">
      <formula>$AE$207&gt;$L$111</formula>
    </cfRule>
  </conditionalFormatting>
  <conditionalFormatting sqref="F207 I207 L111">
    <cfRule type="expression" priority="180" dxfId="4">
      <formula>SUM($C$207,$F$207,$I$207)&gt;$L$111</formula>
    </cfRule>
  </conditionalFormatting>
  <conditionalFormatting sqref="C172 C190 C208 E172 F190 F208 G172 I172 I190 I208 K172 L112">
    <cfRule type="expression" priority="100" dxfId="4">
      <formula>$AB$172&lt;$L$112</formula>
    </cfRule>
  </conditionalFormatting>
  <conditionalFormatting sqref="C172 C190 E172 F190 F208 G172 I172 I190 I208 K172 L112">
    <cfRule type="expression" priority="172" dxfId="4">
      <formula>SUM($C$208,$F$208,$I$208,$C$190,$F$190,$I$190,$C$172,$E$172,$G$172,$I$172,$K$172)&lt;$L$112</formula>
    </cfRule>
  </conditionalFormatting>
  <conditionalFormatting sqref="C172 E172 G172 I172 K172 L112">
    <cfRule type="expression" priority="203" dxfId="4">
      <formula>SUM($C$172,$E$172,$G$172,$I$172,$K$172)&gt;$L$112</formula>
    </cfRule>
  </conditionalFormatting>
  <conditionalFormatting sqref="C190 F190 I190 L112">
    <cfRule type="expression" priority="192" dxfId="4">
      <formula>SUM($C$190,$F$190,$I$190)&gt;$L$112</formula>
    </cfRule>
  </conditionalFormatting>
  <conditionalFormatting sqref="C208 F208 I208 L112">
    <cfRule type="expression" priority="106" dxfId="4">
      <formula>$AE$208&gt;$L$112</formula>
    </cfRule>
  </conditionalFormatting>
  <conditionalFormatting sqref="F208 I208 L112">
    <cfRule type="expression" priority="179" dxfId="4">
      <formula>SUM($C$208,$F$208,$I$208)&gt;$L$112</formula>
    </cfRule>
  </conditionalFormatting>
  <conditionalFormatting sqref="L95:Z96">
    <cfRule type="expression" priority="75" dxfId="4">
      <formula>SUM(H93:K96)-H92&lt;&gt;0</formula>
    </cfRule>
  </conditionalFormatting>
  <conditionalFormatting sqref="M6">
    <cfRule type="expression" priority="156" dxfId="1">
      <formula>$D$6=""</formula>
    </cfRule>
    <cfRule type="expression" priority="155" dxfId="0">
      <formula>$D$6&lt;&gt;""</formula>
    </cfRule>
  </conditionalFormatting>
  <conditionalFormatting sqref="M147:W148">
    <cfRule type="expression" priority="61" dxfId="4">
      <formula>SUM(A152:I152)&lt;SUM(L104:L105)</formula>
    </cfRule>
  </conditionalFormatting>
  <conditionalFormatting sqref="M290:Z291">
    <cfRule type="expression" priority="60" dxfId="4">
      <formula>SUM(C290,F290,I290)&gt;H14</formula>
    </cfRule>
  </conditionalFormatting>
  <conditionalFormatting sqref="M149:AC149">
    <cfRule type="expression" priority="73" dxfId="4">
      <formula>A152&gt;SUM(L104:L105)</formula>
    </cfRule>
  </conditionalFormatting>
  <conditionalFormatting sqref="M150:AC150">
    <cfRule type="expression" priority="71" dxfId="4">
      <formula>C152&gt;SUM(L104:L105)</formula>
    </cfRule>
  </conditionalFormatting>
  <conditionalFormatting sqref="M151:AC151">
    <cfRule type="expression" priority="62" dxfId="4">
      <formula>E152&gt;SUM(L104:L105)</formula>
    </cfRule>
  </conditionalFormatting>
  <conditionalFormatting sqref="M152:AC152">
    <cfRule type="expression" priority="69" dxfId="4">
      <formula>F152&gt;SUM(L104:L105)</formula>
    </cfRule>
  </conditionalFormatting>
  <conditionalFormatting sqref="M153:AC153">
    <cfRule type="expression" priority="67" dxfId="4">
      <formula>G152&gt;SUM(L104:L105)</formula>
    </cfRule>
  </conditionalFormatting>
  <conditionalFormatting sqref="M154:AC154">
    <cfRule type="expression" priority="65" dxfId="4">
      <formula>H152&gt;SUM(L104:L105)</formula>
    </cfRule>
  </conditionalFormatting>
  <conditionalFormatting sqref="U209:AB209">
    <cfRule type="expression" priority="153" dxfId="0">
      <formula>$AC$209&gt;=$L$114</formula>
    </cfRule>
    <cfRule type="expression" priority="154" dxfId="1">
      <formula>$AC$209&lt;$L$114</formula>
    </cfRule>
  </conditionalFormatting>
  <dataValidations count="4">
    <dataValidation sqref="A73:H73 A79:J79 A85:J85 A152:I152 A159:I159 A178:I178 A196:I196 A238:L238 A363:F363 A369:L369 A377:L377 A382:C382 C118 C119 C120:C135 C140:D145 C166:L173 C184:K191 C202:K209 C215:J222 C290:C292 C336:L343 C349:L356 D243:L250 D255:L257 E104:L113 E228:F229 E265:L272 E278:L284 E299:L304 E310:L316 E322:L328 F118:F133 F290:F292 G16:G17 G21 G22 G23:J23 G27:J33 G34:J34 G36:J36 G38:J44 G45:J45 G52:G53 G61:J67 G140:H141 G142:H146 H14:J15 H18:J18 H19:J20 H50:J56 H90:K96 I118:I131 I290:I292 K140:L146 L118:L130" showDropDown="0" showInputMessage="1" showErrorMessage="1" allowBlank="0" type="whole" operator="greaterThan">
      <formula1>-1</formula1>
    </dataValidation>
    <dataValidation sqref="A68:H68 A74:F74 A239:F239 C174:F174 C192:H192 C210:H210 C344:L344 D233:L233 D251:L251 D290:D292 E273:L273 E317:L317 F392:G393 G147:H147 G290 G292 H74 H174:L174 H239:L239 H389:K391 H394:K395 J73:J74 J290 J292 K147:L147" showDropDown="0" showInputMessage="1" showErrorMessage="1" allowBlank="0" type="whole" operator="greaterThanOrEqual">
      <formula1>0</formula1>
    </dataValidation>
    <dataValidation sqref="F399:H404" showDropDown="0" showInputMessage="1" showErrorMessage="1" allowBlank="0" type="decimal" operator="greaterThanOrEqual">
      <formula1>0</formula1>
    </dataValidation>
    <dataValidation sqref="E305:F305 H305:L305" showDropDown="0" showInputMessage="1" showErrorMessage="1" allowBlank="0" operator="greaterThanOrEqual"/>
  </dataValidations>
  <pageMargins left="0.25" right="0.25" top="0.75" bottom="0.75" header="0.3" footer="0.3"/>
  <pageSetup orientation="portrait" scale="90"/>
  <headerFooter differentOddEven="1" differentFirst="1">
    <oddHeader/>
    <oddFooter>&amp;C_x000a_</oddFooter>
    <evenHeader/>
    <evenFooter/>
    <firstHeader/>
    <firstFooter/>
  </headerFooter>
  <rowBreaks count="8" manualBreakCount="8">
    <brk id="80" min="0" max="16383" man="1"/>
    <brk id="114" min="0" max="16383" man="1"/>
    <brk id="160" min="0" max="16383" man="1"/>
    <brk id="192" min="0" max="16383" man="1"/>
    <brk id="223" min="0" max="16383" man="1"/>
    <brk id="258" min="0" max="16383" man="1"/>
    <brk id="293" min="0" max="16383" man="1"/>
    <brk id="329"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2:AQ367"/>
  <sheetViews>
    <sheetView showGridLines="0" topLeftCell="A15" zoomScaleNormal="100" zoomScalePageLayoutView="90" workbookViewId="0">
      <selection activeCell="H15" sqref="H15:J15"/>
    </sheetView>
  </sheetViews>
  <sheetFormatPr baseColWidth="8" defaultColWidth="9.140625" defaultRowHeight="14.25"/>
  <cols>
    <col width="8.5703125" customWidth="1" style="49" min="1" max="1"/>
    <col width="8.28515625" customWidth="1" style="49" min="2" max="2"/>
    <col width="9" customWidth="1" style="49" min="3" max="3"/>
    <col width="8" customWidth="1" style="49" min="4" max="4"/>
    <col width="8.85546875" customWidth="1" style="49" min="5" max="5"/>
    <col width="8" customWidth="1" style="49" min="6" max="6"/>
    <col width="9.28515625" customWidth="1" style="49" min="7" max="7"/>
    <col width="7.42578125" customWidth="1" style="49" min="8" max="8"/>
    <col width="9" customWidth="1" style="49" min="9" max="9"/>
    <col width="8" customWidth="1" style="49" min="10" max="10"/>
    <col width="7.28515625" customWidth="1" style="49" min="11" max="11"/>
    <col width="8.42578125" customWidth="1" style="49" min="12" max="12"/>
    <col width="7.7109375" customWidth="1" style="49" min="13" max="13"/>
    <col width="9" customWidth="1" style="66" min="14" max="14"/>
    <col width="8.85546875" customWidth="1" style="49" min="15" max="15"/>
    <col width="8.28515625" customWidth="1" style="49" min="16" max="16"/>
    <col width="9.140625" customWidth="1" style="49" min="17" max="17"/>
    <col width="9.28515625" customWidth="1" style="49" min="18" max="18"/>
    <col width="9.140625" customWidth="1" style="49" min="19" max="16384"/>
  </cols>
  <sheetData>
    <row r="2" ht="15" customHeight="1">
      <c r="I2" s="65" t="n"/>
    </row>
    <row r="4" ht="18.75" customHeight="1">
      <c r="A4" s="1274" t="inlineStr">
        <is>
          <t>Statistical Report on the Privacy Act</t>
        </is>
      </c>
    </row>
    <row r="6" ht="15" customHeight="1">
      <c r="E6" s="543" t="inlineStr">
        <is>
          <t>Name of institution:</t>
        </is>
      </c>
      <c r="H6" s="1326" t="inlineStr">
        <is>
          <t>Treasury Board of Canada Secretariat</t>
        </is>
      </c>
      <c r="I6" s="1330" t="n"/>
      <c r="J6" s="1330" t="n"/>
      <c r="K6" s="1330" t="n"/>
      <c r="L6" s="1330" t="n"/>
      <c r="M6" s="1330" t="n"/>
      <c r="N6" s="49" t="n"/>
      <c r="O6" s="49" t="inlineStr">
        <is>
          <t>You must enter an institution's name</t>
        </is>
      </c>
    </row>
    <row r="8" ht="15" customHeight="1">
      <c r="E8" s="543" t="inlineStr">
        <is>
          <t>Reporting period:</t>
        </is>
      </c>
      <c r="F8" s="543" t="n"/>
      <c r="G8" s="543" t="n"/>
      <c r="H8" s="1329" t="n">
        <v>44287</v>
      </c>
      <c r="I8" s="1331" t="n"/>
      <c r="J8" s="1331" t="n"/>
      <c r="K8" s="1043" t="inlineStr">
        <is>
          <t>to</t>
        </is>
      </c>
      <c r="L8" s="1329" t="n">
        <v>44651</v>
      </c>
      <c r="M8" s="1331" t="n"/>
      <c r="N8" s="1331" t="n"/>
    </row>
    <row r="10" ht="15.75" customHeight="1">
      <c r="A10" s="965" t="inlineStr">
        <is>
          <t>Section 1: Requests Under the Privacy Act</t>
        </is>
      </c>
    </row>
    <row r="11" ht="15.75" customHeight="1">
      <c r="A11" s="68" t="n"/>
      <c r="B11" s="68" t="n"/>
      <c r="C11" s="68" t="n"/>
      <c r="D11" s="68" t="n"/>
      <c r="E11" s="68" t="n"/>
      <c r="F11" s="68" t="n"/>
      <c r="G11" s="68" t="n"/>
      <c r="H11" s="68" t="n"/>
      <c r="I11" s="68" t="n"/>
      <c r="J11" s="68" t="n"/>
      <c r="K11" s="68" t="n"/>
      <c r="L11" s="68" t="n"/>
      <c r="M11" s="69" t="n"/>
      <c r="Q11" s="70" t="n"/>
    </row>
    <row r="12" ht="15" customHeight="1">
      <c r="A12" s="1082" t="inlineStr">
        <is>
          <t>1.1  Number of requests received</t>
        </is>
      </c>
    </row>
    <row r="13" ht="15" customHeight="1" thickBot="1"/>
    <row r="14" ht="16.5" customHeight="1" thickBot="1" thickTop="1">
      <c r="H14" s="1284" t="inlineStr">
        <is>
          <t>Number of Requests</t>
        </is>
      </c>
      <c r="I14" s="1333" t="n"/>
      <c r="J14" s="1386" t="n"/>
      <c r="K14" s="62" t="n"/>
    </row>
    <row r="15" ht="15" customHeight="1" thickTop="1">
      <c r="A15" s="1364" t="inlineStr">
        <is>
          <t>Received during reporting period</t>
        </is>
      </c>
      <c r="B15" s="1336" t="n"/>
      <c r="C15" s="1336" t="n"/>
      <c r="D15" s="1336" t="n"/>
      <c r="E15" s="1336" t="n"/>
      <c r="F15" s="1336" t="n"/>
      <c r="G15" s="1337" t="n"/>
      <c r="H15" s="1287" t="n">
        <v>84</v>
      </c>
      <c r="I15" s="1339" t="n"/>
      <c r="J15" s="1417" t="n"/>
      <c r="K15" s="72" t="n"/>
    </row>
    <row r="16" ht="15" customHeight="1" thickBot="1">
      <c r="A16" s="1366" t="inlineStr">
        <is>
          <t>Outstanding from previous reporting periods</t>
        </is>
      </c>
      <c r="B16" s="1342" t="n"/>
      <c r="C16" s="1342" t="n"/>
      <c r="D16" s="1342" t="n"/>
      <c r="E16" s="1342" t="n"/>
      <c r="F16" s="1342" t="n"/>
      <c r="G16" s="1343" t="n"/>
      <c r="H16" s="1282">
        <f>SUM(G17:G18)</f>
        <v/>
      </c>
      <c r="I16" s="1342" t="n"/>
      <c r="J16" s="1343" t="n"/>
      <c r="K16" s="73" t="n"/>
    </row>
    <row r="17" ht="14.25" customHeight="1" thickTop="1">
      <c r="A17" s="1345" t="inlineStr">
        <is>
          <t>• Outstanding from previous reporting period</t>
        </is>
      </c>
      <c r="B17" s="1342" t="n"/>
      <c r="C17" s="1342" t="n"/>
      <c r="D17" s="1342" t="n"/>
      <c r="E17" s="1342" t="n"/>
      <c r="F17" s="1343" t="n"/>
      <c r="G17" s="313" t="n">
        <v>4</v>
      </c>
      <c r="H17" s="1479" t="n"/>
      <c r="I17" s="1347" t="n"/>
      <c r="J17" s="1358" t="n"/>
      <c r="K17" s="73" t="n"/>
    </row>
    <row r="18" ht="15" customHeight="1" thickBot="1">
      <c r="A18" s="1302" t="inlineStr">
        <is>
          <t>• Outstanding from more than one reporting period</t>
        </is>
      </c>
      <c r="B18" s="1350" t="n"/>
      <c r="C18" s="1350" t="n"/>
      <c r="D18" s="1350" t="n"/>
      <c r="E18" s="1350" t="n"/>
      <c r="F18" s="1350" t="n"/>
      <c r="G18" s="312" t="n">
        <v>2</v>
      </c>
      <c r="H18" s="1350" t="n"/>
      <c r="I18" s="1350" t="n"/>
      <c r="J18" s="1374" t="n"/>
      <c r="K18" s="73" t="n"/>
    </row>
    <row r="19" ht="15.75" customHeight="1" thickBot="1" thickTop="1">
      <c r="A19" s="726" t="inlineStr">
        <is>
          <t>Total</t>
        </is>
      </c>
      <c r="B19" s="1333" t="n"/>
      <c r="C19" s="1333" t="n"/>
      <c r="D19" s="1333" t="n"/>
      <c r="E19" s="1333" t="n"/>
      <c r="F19" s="1333" t="n"/>
      <c r="G19" s="1333" t="n"/>
      <c r="H19" s="281">
        <f>SUM(H15:J16)</f>
        <v/>
      </c>
      <c r="I19" s="1333" t="n"/>
      <c r="J19" s="1334" t="n"/>
      <c r="K19" s="73" t="n"/>
    </row>
    <row r="20" ht="15" customHeight="1" thickTop="1">
      <c r="A20" s="1364" t="inlineStr">
        <is>
          <t>Closed during reporting period</t>
        </is>
      </c>
      <c r="B20" s="1336" t="n"/>
      <c r="C20" s="1336" t="n"/>
      <c r="D20" s="1336" t="n"/>
      <c r="E20" s="1336" t="n"/>
      <c r="F20" s="1336" t="n"/>
      <c r="G20" s="1337" t="n"/>
      <c r="H20" s="976" t="n">
        <v>78</v>
      </c>
      <c r="I20" s="1339" t="n"/>
      <c r="J20" s="1340" t="n"/>
      <c r="K20" s="73" t="n"/>
    </row>
    <row r="21" ht="15" customHeight="1" thickBot="1">
      <c r="A21" s="677" t="inlineStr">
        <is>
          <t>Carried over to next reporting period</t>
        </is>
      </c>
      <c r="B21" s="1342" t="n"/>
      <c r="C21" s="1342" t="n"/>
      <c r="D21" s="1342" t="n"/>
      <c r="E21" s="1342" t="n"/>
      <c r="F21" s="1342" t="n"/>
      <c r="G21" s="1342" t="n"/>
      <c r="H21" s="1480">
        <f>SUM(G22:G23)</f>
        <v/>
      </c>
      <c r="I21" s="1342" t="n"/>
      <c r="J21" s="1343" t="n"/>
      <c r="K21" s="342">
        <f>IF(H21&lt;&gt;(H19-H20),"Section 1.1 - ""Carried over to the next period"" should be equal to the sum of ""Carried over within legislated timeline"" and ""Carried over beyond legislated timeline""","")</f>
        <v/>
      </c>
      <c r="AA21" s="51" t="n"/>
      <c r="AB21" s="51" t="n"/>
      <c r="AC21" s="51" t="n"/>
      <c r="AD21" s="51" t="n"/>
      <c r="AE21" s="51" t="n"/>
      <c r="AF21" s="51" t="n"/>
      <c r="AG21" s="51" t="n"/>
      <c r="AH21" s="51" t="n"/>
      <c r="AI21" s="51" t="n"/>
      <c r="AJ21" s="51" t="n"/>
      <c r="AK21" s="51" t="n"/>
      <c r="AL21" s="51" t="n"/>
      <c r="AM21" s="51" t="n"/>
      <c r="AN21" s="51" t="n"/>
      <c r="AO21" s="51" t="n"/>
    </row>
    <row r="22" ht="15" customHeight="1" thickTop="1">
      <c r="A22" s="686" t="inlineStr">
        <is>
          <t>• Carried over within legislated timeline</t>
        </is>
      </c>
      <c r="B22" s="1342" t="n"/>
      <c r="C22" s="1342" t="n"/>
      <c r="D22" s="1342" t="n"/>
      <c r="E22" s="1342" t="n"/>
      <c r="F22" s="1342" t="n"/>
      <c r="G22" s="313" t="n">
        <v>9</v>
      </c>
      <c r="H22" s="1479" t="n"/>
      <c r="I22" s="1347" t="n"/>
      <c r="J22" s="1358" t="n"/>
      <c r="K22" s="342">
        <f>IF(H21&lt;&gt;(H19-H20),"Section 1.1 - The ""Carried over to next reporting period"" must be equal to the ""Total"" minus ""Closed during the reporting period""","")</f>
        <v/>
      </c>
      <c r="AA22" s="51" t="n"/>
      <c r="AB22" s="51" t="n"/>
      <c r="AC22" s="51" t="n"/>
      <c r="AD22" s="51" t="n"/>
      <c r="AE22" s="51" t="n"/>
      <c r="AF22" s="51" t="n"/>
      <c r="AG22" s="51" t="n"/>
      <c r="AH22" s="51" t="n"/>
      <c r="AI22" s="51" t="n"/>
      <c r="AJ22" s="51" t="n"/>
      <c r="AK22" s="51" t="n"/>
      <c r="AL22" s="51" t="n"/>
      <c r="AM22" s="51" t="n"/>
      <c r="AN22" s="51" t="n"/>
      <c r="AO22" s="51" t="n"/>
    </row>
    <row r="23" ht="15" customHeight="1" thickBot="1">
      <c r="A23" s="689" t="inlineStr">
        <is>
          <t>• Carried over beyond legislated timeline</t>
        </is>
      </c>
      <c r="B23" s="1348" t="n"/>
      <c r="C23" s="1348" t="n"/>
      <c r="D23" s="1348" t="n"/>
      <c r="E23" s="1348" t="n"/>
      <c r="F23" s="1348" t="n"/>
      <c r="G23" s="312" t="n">
        <v>3</v>
      </c>
      <c r="H23" s="1350" t="n"/>
      <c r="I23" s="1350" t="n"/>
      <c r="J23" s="1374" t="n"/>
      <c r="K23" s="1316">
        <f>IF(H23&lt;0,"Section 1.1 - Carried over to next reporting period cannot be negative","")</f>
        <v/>
      </c>
    </row>
    <row r="24" ht="15" customHeight="1" thickTop="1">
      <c r="A24" s="74" t="n"/>
      <c r="B24" s="74" t="n"/>
      <c r="C24" s="74" t="n"/>
      <c r="D24" s="74" t="n"/>
      <c r="E24" s="74" t="n"/>
      <c r="F24" s="74" t="n"/>
      <c r="G24" s="75" t="n"/>
      <c r="H24" s="1043" t="n"/>
      <c r="I24" s="1043" t="n"/>
      <c r="J24" s="1043" t="n"/>
      <c r="K24" s="73" t="n"/>
    </row>
    <row r="25" ht="15" customHeight="1">
      <c r="A25" s="543" t="inlineStr">
        <is>
          <t>1.2  Channels of requests</t>
        </is>
      </c>
      <c r="K25" s="73" t="n"/>
    </row>
    <row r="26" ht="15" customHeight="1" thickBot="1">
      <c r="A26" s="76" t="n"/>
      <c r="B26" s="76" t="n"/>
      <c r="C26" s="76" t="n"/>
      <c r="D26" s="76" t="n"/>
      <c r="E26" s="76" t="n"/>
      <c r="F26" s="76" t="n"/>
      <c r="G26" s="73" t="n"/>
      <c r="H26" s="73" t="n"/>
      <c r="I26" s="73" t="n"/>
      <c r="J26" s="73" t="n"/>
      <c r="K26" s="73" t="n"/>
    </row>
    <row r="27" ht="15.75" customHeight="1" thickBot="1" thickTop="1">
      <c r="A27" s="281" t="inlineStr">
        <is>
          <t>Source</t>
        </is>
      </c>
      <c r="B27" s="1333" t="n"/>
      <c r="C27" s="1333" t="n"/>
      <c r="D27" s="1333" t="n"/>
      <c r="E27" s="1333" t="n"/>
      <c r="F27" s="1334" t="n"/>
      <c r="G27" s="731" t="inlineStr">
        <is>
          <t>Number of Requests</t>
        </is>
      </c>
      <c r="H27" s="1333" t="n"/>
      <c r="I27" s="1333" t="n"/>
      <c r="J27" s="1334" t="n"/>
      <c r="K27" s="73" t="n"/>
    </row>
    <row r="28" ht="15" customHeight="1" thickTop="1">
      <c r="A28" s="1364" t="inlineStr">
        <is>
          <t>Online</t>
        </is>
      </c>
      <c r="B28" s="1336" t="n"/>
      <c r="C28" s="1336" t="n"/>
      <c r="D28" s="1336" t="n"/>
      <c r="E28" s="1336" t="n"/>
      <c r="F28" s="1337" t="n"/>
      <c r="G28" s="976" t="n">
        <v>60</v>
      </c>
      <c r="H28" s="1339" t="n"/>
      <c r="I28" s="1339" t="n"/>
      <c r="J28" s="1340" t="n"/>
      <c r="K28" s="73" t="n"/>
    </row>
    <row r="29">
      <c r="A29" s="677" t="inlineStr">
        <is>
          <t>E-mail</t>
        </is>
      </c>
      <c r="B29" s="1342" t="n"/>
      <c r="C29" s="1342" t="n"/>
      <c r="D29" s="1342" t="n"/>
      <c r="E29" s="1342" t="n"/>
      <c r="F29" s="1342" t="n"/>
      <c r="G29" s="1481" t="n">
        <v>23</v>
      </c>
      <c r="H29" s="1362" t="n"/>
      <c r="I29" s="1362" t="n"/>
      <c r="J29" s="1368" t="n"/>
      <c r="K29" s="73" t="n"/>
    </row>
    <row r="30">
      <c r="A30" s="677" t="inlineStr">
        <is>
          <t>Mail</t>
        </is>
      </c>
      <c r="B30" s="1342" t="n"/>
      <c r="C30" s="1342" t="n"/>
      <c r="D30" s="1342" t="n"/>
      <c r="E30" s="1342" t="n"/>
      <c r="F30" s="1342" t="n"/>
      <c r="G30" s="1481" t="n">
        <v>1</v>
      </c>
      <c r="H30" s="1362" t="n"/>
      <c r="I30" s="1362" t="n"/>
      <c r="J30" s="1368" t="n"/>
      <c r="K30" s="73" t="n"/>
    </row>
    <row r="31">
      <c r="A31" s="1366" t="inlineStr">
        <is>
          <t>In person</t>
        </is>
      </c>
      <c r="B31" s="1342" t="n"/>
      <c r="C31" s="1342" t="n"/>
      <c r="D31" s="1342" t="n"/>
      <c r="E31" s="1342" t="n"/>
      <c r="F31" s="1343" t="n"/>
      <c r="G31" s="1264" t="n">
        <v>0</v>
      </c>
      <c r="H31" s="1362" t="n"/>
      <c r="I31" s="1362" t="n"/>
      <c r="J31" s="1368" t="n"/>
      <c r="K31" s="73" t="n"/>
    </row>
    <row r="32">
      <c r="A32" s="1366" t="inlineStr">
        <is>
          <t>Phone</t>
        </is>
      </c>
      <c r="B32" s="1342" t="n"/>
      <c r="C32" s="1342" t="n"/>
      <c r="D32" s="1342" t="n"/>
      <c r="E32" s="1342" t="n"/>
      <c r="F32" s="1343" t="n"/>
      <c r="G32" s="1264" t="n">
        <v>0</v>
      </c>
      <c r="H32" s="1362" t="n"/>
      <c r="I32" s="1362" t="n"/>
      <c r="J32" s="1368" t="n"/>
      <c r="K32" s="73" t="n"/>
    </row>
    <row r="33" ht="15" customHeight="1" thickBot="1">
      <c r="A33" s="723" t="inlineStr">
        <is>
          <t>Fax</t>
        </is>
      </c>
      <c r="B33" s="1348" t="n"/>
      <c r="C33" s="1348" t="n"/>
      <c r="D33" s="1348" t="n"/>
      <c r="E33" s="1348" t="n"/>
      <c r="F33" s="1348" t="n"/>
      <c r="G33" s="1482" t="n">
        <v>0</v>
      </c>
      <c r="H33" s="1363" t="n"/>
      <c r="I33" s="1363" t="n"/>
      <c r="J33" s="1379" t="n"/>
      <c r="K33" s="73" t="n"/>
    </row>
    <row r="34" ht="15.75" customHeight="1" thickBot="1" thickTop="1">
      <c r="A34" s="1370" t="inlineStr">
        <is>
          <t>Total</t>
        </is>
      </c>
      <c r="B34" s="1333" t="n"/>
      <c r="C34" s="1333" t="n"/>
      <c r="D34" s="1333" t="n"/>
      <c r="E34" s="1333" t="n"/>
      <c r="F34" s="1334" t="n"/>
      <c r="G34" s="731">
        <f>SUM(G28:J33)</f>
        <v/>
      </c>
      <c r="H34" s="1333" t="n"/>
      <c r="I34" s="1333" t="n"/>
      <c r="J34" s="1334" t="n"/>
      <c r="K34" s="342">
        <f>IF(G34&lt;&gt;H15,"Section 1.2 - The ""Total"" must be equal to ""Received during reporting period"" of Section 1.1","")</f>
        <v/>
      </c>
      <c r="AA34" s="51" t="n"/>
      <c r="AB34" s="51" t="n"/>
      <c r="AC34" s="51" t="n"/>
      <c r="AD34" s="51" t="n"/>
      <c r="AE34" s="51" t="n"/>
      <c r="AF34" s="51" t="n"/>
      <c r="AG34" s="51" t="n"/>
      <c r="AH34" s="51" t="n"/>
      <c r="AI34" s="51" t="n"/>
      <c r="AJ34" s="51" t="n"/>
      <c r="AK34" s="51" t="n"/>
      <c r="AL34" s="51" t="n"/>
      <c r="AM34" s="51" t="n"/>
      <c r="AN34" s="51" t="n"/>
      <c r="AO34" s="51" t="n"/>
    </row>
    <row r="35" ht="15" customHeight="1" thickTop="1">
      <c r="A35" s="74" t="n"/>
      <c r="B35" s="74" t="n"/>
      <c r="C35" s="74" t="n"/>
      <c r="D35" s="74" t="n"/>
      <c r="E35" s="74" t="n"/>
      <c r="F35" s="74" t="n"/>
      <c r="G35" s="75" t="n"/>
      <c r="H35" s="1043" t="n"/>
      <c r="I35" s="1043" t="n"/>
      <c r="J35" s="1043" t="n"/>
      <c r="K35" s="73" t="n"/>
    </row>
    <row r="36" ht="15.75" customHeight="1">
      <c r="A36" s="965" t="inlineStr">
        <is>
          <t xml:space="preserve">Section 2: Informal requests </t>
        </is>
      </c>
    </row>
    <row r="37" ht="14.25" customHeight="1">
      <c r="A37" s="1327" t="n"/>
    </row>
    <row r="38"/>
    <row r="39">
      <c r="A39" s="77" t="n"/>
      <c r="B39" s="77" t="n"/>
      <c r="C39" s="77" t="n"/>
      <c r="D39" s="77" t="n"/>
      <c r="E39" s="77" t="n"/>
      <c r="F39" s="77" t="n"/>
      <c r="G39" s="77" t="n"/>
      <c r="H39" s="77" t="n"/>
      <c r="I39" s="77" t="n"/>
      <c r="J39" s="77" t="n"/>
      <c r="K39" s="77" t="n"/>
      <c r="L39" s="77" t="n"/>
      <c r="M39" s="77" t="n"/>
      <c r="N39" s="77" t="n"/>
      <c r="O39" s="77" t="n"/>
      <c r="P39" s="77" t="n"/>
      <c r="Q39" s="77" t="n"/>
      <c r="R39" s="77" t="n"/>
      <c r="S39" s="77" t="n"/>
    </row>
    <row r="40" ht="15.75" customHeight="1" thickBot="1">
      <c r="A40" s="375" t="inlineStr">
        <is>
          <t>2.1 Number of informal requests</t>
        </is>
      </c>
    </row>
    <row r="41" ht="16.5" customHeight="1" thickBot="1" thickTop="1">
      <c r="A41" s="147" t="n"/>
      <c r="B41" s="147" t="n"/>
      <c r="C41" s="147" t="n"/>
      <c r="D41" s="147" t="n"/>
      <c r="E41" s="147" t="n"/>
      <c r="F41" s="147" t="n"/>
      <c r="G41" s="147" t="n"/>
      <c r="H41" s="1375" t="inlineStr">
        <is>
          <t>Number of Requests</t>
        </is>
      </c>
      <c r="I41" s="1333" t="n"/>
      <c r="J41" s="1334" t="n"/>
      <c r="K41" s="62" t="n"/>
    </row>
    <row r="42" ht="15" customHeight="1" thickTop="1">
      <c r="A42" s="1483" t="inlineStr">
        <is>
          <t>Received during reporting period</t>
        </is>
      </c>
      <c r="B42" s="1353" t="n"/>
      <c r="C42" s="1353" t="n"/>
      <c r="D42" s="1353" t="n"/>
      <c r="E42" s="1353" t="n"/>
      <c r="F42" s="1353" t="n"/>
      <c r="G42" s="1354" t="n"/>
      <c r="H42" s="976" t="n">
        <v>0</v>
      </c>
      <c r="I42" s="1339" t="n"/>
      <c r="J42" s="1340" t="n"/>
      <c r="K42" s="72" t="n"/>
    </row>
    <row r="43" ht="15" customHeight="1" thickBot="1">
      <c r="A43" s="683" t="inlineStr">
        <is>
          <t>Outstanding from previous reporting periods</t>
        </is>
      </c>
      <c r="B43" s="1342" t="n"/>
      <c r="C43" s="1342" t="n"/>
      <c r="D43" s="1342" t="n"/>
      <c r="E43" s="1342" t="n"/>
      <c r="F43" s="1342" t="n"/>
      <c r="G43" s="1342" t="n"/>
      <c r="H43" s="1480">
        <f>SUM(G44:G45)</f>
        <v/>
      </c>
      <c r="I43" s="1342" t="n"/>
      <c r="J43" s="1343" t="n"/>
      <c r="K43" s="72" t="n"/>
    </row>
    <row r="44" ht="15" customHeight="1" thickTop="1">
      <c r="A44" s="686" t="inlineStr">
        <is>
          <t>• Outstanding from previous reporting period</t>
        </is>
      </c>
      <c r="B44" s="1342" t="n"/>
      <c r="C44" s="1342" t="n"/>
      <c r="D44" s="1342" t="n"/>
      <c r="E44" s="1342" t="n"/>
      <c r="F44" s="1342" t="n"/>
      <c r="G44" s="313" t="n">
        <v>0</v>
      </c>
      <c r="H44" s="1296" t="n"/>
      <c r="I44" s="1347" t="n"/>
      <c r="J44" s="1358" t="n"/>
    </row>
    <row r="45" ht="15" customHeight="1" thickBot="1">
      <c r="A45" s="1302" t="inlineStr">
        <is>
          <t>• Outstanding from more than one reporting period</t>
        </is>
      </c>
      <c r="B45" s="1350" t="n"/>
      <c r="C45" s="1350" t="n"/>
      <c r="D45" s="1350" t="n"/>
      <c r="E45" s="1350" t="n"/>
      <c r="F45" s="1350" t="n"/>
      <c r="G45" s="312" t="n">
        <v>0</v>
      </c>
      <c r="H45" s="1350" t="n"/>
      <c r="I45" s="1350" t="n"/>
      <c r="J45" s="1374" t="n"/>
    </row>
    <row r="46" ht="15.75" customHeight="1" thickBot="1" thickTop="1">
      <c r="A46" s="726" t="inlineStr">
        <is>
          <t>Total</t>
        </is>
      </c>
      <c r="B46" s="1333" t="n"/>
      <c r="C46" s="1333" t="n"/>
      <c r="D46" s="1333" t="n"/>
      <c r="E46" s="1333" t="n"/>
      <c r="F46" s="1333" t="n"/>
      <c r="G46" s="1333" t="n"/>
      <c r="H46" s="281">
        <f>SUM(H42:J43)</f>
        <v/>
      </c>
      <c r="I46" s="1333" t="n"/>
      <c r="J46" s="1334" t="n"/>
      <c r="K46" s="72" t="n"/>
    </row>
    <row r="47" ht="15" customHeight="1" thickTop="1">
      <c r="A47" s="1317" t="inlineStr">
        <is>
          <t>Closed during reporting period</t>
        </is>
      </c>
      <c r="H47" s="1484" t="n">
        <v>0</v>
      </c>
      <c r="I47" s="1339" t="n"/>
      <c r="J47" s="1340" t="n"/>
      <c r="K47" s="72" t="n"/>
    </row>
    <row r="48" ht="15" customHeight="1" thickBot="1">
      <c r="A48" s="723" t="inlineStr">
        <is>
          <t>Carried over to next reporting period</t>
        </is>
      </c>
      <c r="B48" s="1348" t="n"/>
      <c r="C48" s="1348" t="n"/>
      <c r="D48" s="1348" t="n"/>
      <c r="E48" s="1348" t="n"/>
      <c r="F48" s="1348" t="n"/>
      <c r="G48" s="1348" t="n"/>
      <c r="H48" s="1373">
        <f>H46-H47</f>
        <v/>
      </c>
      <c r="I48" s="1348" t="n"/>
      <c r="J48" s="1356" t="n"/>
      <c r="K48" s="72" t="n"/>
    </row>
    <row r="49" ht="15" customHeight="1" thickTop="1">
      <c r="A49" s="1318" t="n"/>
      <c r="B49" s="1318" t="n"/>
      <c r="C49" s="1318" t="n"/>
      <c r="D49" s="1318" t="n"/>
      <c r="E49" s="1318" t="n"/>
      <c r="F49" s="1318" t="n"/>
      <c r="G49" s="1318" t="n"/>
      <c r="H49" s="73" t="n"/>
      <c r="I49" s="73" t="n"/>
      <c r="J49" s="73" t="n"/>
      <c r="K49" s="72" t="n"/>
    </row>
    <row r="50" ht="15" customHeight="1">
      <c r="A50" s="543" t="inlineStr">
        <is>
          <t>2.2  Channels of informal requests</t>
        </is>
      </c>
    </row>
    <row r="51" ht="15" customHeight="1" thickBot="1">
      <c r="B51" s="1318" t="n"/>
      <c r="C51" s="1318" t="n"/>
      <c r="D51" s="1318" t="n"/>
      <c r="E51" s="1318" t="n"/>
      <c r="F51" s="1318" t="n"/>
      <c r="G51" s="1043" t="n"/>
      <c r="H51" s="1043" t="n"/>
      <c r="I51" s="1043" t="n"/>
      <c r="J51" s="1043" t="n"/>
    </row>
    <row r="52" ht="15.75" customHeight="1" thickBot="1" thickTop="1">
      <c r="A52" s="281" t="inlineStr">
        <is>
          <t>Source</t>
        </is>
      </c>
      <c r="B52" s="1333" t="n"/>
      <c r="C52" s="1333" t="n"/>
      <c r="D52" s="1333" t="n"/>
      <c r="E52" s="1333" t="n"/>
      <c r="F52" s="1334" t="n"/>
      <c r="G52" s="731" t="inlineStr">
        <is>
          <t>Number of Requests</t>
        </is>
      </c>
      <c r="H52" s="1333" t="n"/>
      <c r="I52" s="1333" t="n"/>
      <c r="J52" s="1334" t="n"/>
    </row>
    <row r="53" ht="15" customHeight="1" thickTop="1">
      <c r="A53" s="732" t="inlineStr">
        <is>
          <t>Online</t>
        </is>
      </c>
      <c r="B53" s="1336" t="n"/>
      <c r="C53" s="1336" t="n"/>
      <c r="D53" s="1336" t="n"/>
      <c r="E53" s="1336" t="n"/>
      <c r="F53" s="1336" t="n"/>
      <c r="G53" s="1484" t="n">
        <v>0</v>
      </c>
      <c r="H53" s="1339" t="n"/>
      <c r="I53" s="1339" t="n"/>
      <c r="J53" s="1340" t="n"/>
    </row>
    <row r="54">
      <c r="A54" s="677" t="inlineStr">
        <is>
          <t>E-mail</t>
        </is>
      </c>
      <c r="B54" s="1342" t="n"/>
      <c r="C54" s="1342" t="n"/>
      <c r="D54" s="1342" t="n"/>
      <c r="E54" s="1342" t="n"/>
      <c r="F54" s="1342" t="n"/>
      <c r="G54" s="1481" t="n">
        <v>0</v>
      </c>
      <c r="H54" s="1362" t="n"/>
      <c r="I54" s="1362" t="n"/>
      <c r="J54" s="1368" t="n"/>
    </row>
    <row r="55">
      <c r="A55" s="677" t="inlineStr">
        <is>
          <t>Mail</t>
        </is>
      </c>
      <c r="B55" s="1342" t="n"/>
      <c r="C55" s="1342" t="n"/>
      <c r="D55" s="1342" t="n"/>
      <c r="E55" s="1342" t="n"/>
      <c r="F55" s="1342" t="n"/>
      <c r="G55" s="1481" t="n">
        <v>0</v>
      </c>
      <c r="H55" s="1362" t="n"/>
      <c r="I55" s="1362" t="n"/>
      <c r="J55" s="1368" t="n"/>
    </row>
    <row r="56">
      <c r="A56" s="677" t="inlineStr">
        <is>
          <t>In person</t>
        </is>
      </c>
      <c r="B56" s="1342" t="n"/>
      <c r="C56" s="1342" t="n"/>
      <c r="D56" s="1342" t="n"/>
      <c r="E56" s="1342" t="n"/>
      <c r="F56" s="1342" t="n"/>
      <c r="G56" s="1481" t="n">
        <v>0</v>
      </c>
      <c r="H56" s="1362" t="n"/>
      <c r="I56" s="1362" t="n"/>
      <c r="J56" s="1368" t="n"/>
    </row>
    <row r="57">
      <c r="A57" s="677" t="inlineStr">
        <is>
          <t>Phone</t>
        </is>
      </c>
      <c r="B57" s="1342" t="n"/>
      <c r="C57" s="1342" t="n"/>
      <c r="D57" s="1342" t="n"/>
      <c r="E57" s="1342" t="n"/>
      <c r="F57" s="1342" t="n"/>
      <c r="G57" s="1481" t="n">
        <v>0</v>
      </c>
      <c r="H57" s="1362" t="n"/>
      <c r="I57" s="1362" t="n"/>
      <c r="J57" s="1368" t="n"/>
    </row>
    <row r="58" ht="14.25" customFormat="1" customHeight="1" s="25" thickBot="1">
      <c r="A58" s="723" t="inlineStr">
        <is>
          <t>Fax</t>
        </is>
      </c>
      <c r="B58" s="1348" t="n"/>
      <c r="C58" s="1348" t="n"/>
      <c r="D58" s="1348" t="n"/>
      <c r="E58" s="1348" t="n"/>
      <c r="F58" s="1348" t="n"/>
      <c r="G58" s="1482" t="n">
        <v>0</v>
      </c>
      <c r="H58" s="1363" t="n"/>
      <c r="I58" s="1363" t="n"/>
      <c r="J58" s="1379" t="n"/>
      <c r="K58" s="49" t="n"/>
      <c r="L58" s="49" t="n"/>
    </row>
    <row r="59" ht="14.25" customFormat="1" customHeight="1" s="25" thickBot="1" thickTop="1">
      <c r="A59" s="726" t="inlineStr">
        <is>
          <t>Total</t>
        </is>
      </c>
      <c r="B59" s="1333" t="n"/>
      <c r="C59" s="1333" t="n"/>
      <c r="D59" s="1333" t="n"/>
      <c r="E59" s="1333" t="n"/>
      <c r="F59" s="1333" t="n"/>
      <c r="G59" s="281">
        <f>SUM(G53:J58)</f>
        <v/>
      </c>
      <c r="H59" s="1333" t="n"/>
      <c r="I59" s="1333" t="n"/>
      <c r="J59" s="1334" t="n"/>
      <c r="K59" s="342">
        <f>IF(G59&lt;&gt;H42,"Section 2.2 - The total ""Number of Requests"" must be equal to ""Received during reporting period"" of Section 2.1","")</f>
        <v/>
      </c>
      <c r="AA59" s="51" t="n"/>
      <c r="AB59" s="51" t="n"/>
      <c r="AC59" s="51" t="n"/>
      <c r="AD59" s="51" t="n"/>
      <c r="AE59" s="51" t="n"/>
      <c r="AF59" s="51" t="n"/>
      <c r="AG59" s="51" t="n"/>
      <c r="AH59" s="51" t="n"/>
      <c r="AI59" s="51" t="n"/>
      <c r="AJ59" s="51" t="n"/>
      <c r="AK59" s="51" t="n"/>
      <c r="AL59" s="51" t="n"/>
      <c r="AM59" s="51" t="n"/>
      <c r="AN59" s="51" t="n"/>
      <c r="AO59" s="51" t="n"/>
    </row>
    <row r="60" ht="14.25" customFormat="1" customHeight="1" s="25" thickTop="1">
      <c r="A60" s="73" t="n"/>
      <c r="B60" s="73" t="n"/>
      <c r="C60" s="73" t="n"/>
      <c r="D60" s="73" t="n"/>
      <c r="E60" s="73" t="n"/>
      <c r="F60" s="73" t="n"/>
      <c r="G60" s="73" t="n"/>
      <c r="H60" s="73" t="n"/>
      <c r="I60" s="1043" t="n"/>
      <c r="J60" s="1043" t="n"/>
      <c r="K60" s="49" t="n"/>
      <c r="L60" s="49" t="n"/>
    </row>
    <row r="61" ht="15.75" customFormat="1" customHeight="1" s="25">
      <c r="A61" s="543" t="inlineStr">
        <is>
          <t>2.3 Completion time of informal requests</t>
        </is>
      </c>
      <c r="I61" s="49" t="n"/>
      <c r="J61" s="49" t="n"/>
    </row>
    <row r="62" ht="18.75" customFormat="1" customHeight="1" s="25" thickBot="1">
      <c r="A62" s="49" t="n"/>
      <c r="B62" s="49" t="n"/>
      <c r="C62" s="49" t="n"/>
      <c r="D62" s="49" t="n"/>
      <c r="E62" s="49" t="n"/>
      <c r="F62" s="49" t="n"/>
      <c r="G62" s="49" t="n"/>
      <c r="H62" s="49" t="n"/>
    </row>
    <row r="63" ht="15" customFormat="1" customHeight="1" s="25" thickTop="1">
      <c r="A63" s="1459" t="inlineStr">
        <is>
          <t>Completion Time</t>
        </is>
      </c>
      <c r="B63" s="1336" t="n"/>
      <c r="C63" s="1336" t="n"/>
      <c r="D63" s="1336" t="n"/>
      <c r="E63" s="1336" t="n"/>
      <c r="F63" s="1336" t="n"/>
      <c r="G63" s="1336" t="n"/>
      <c r="H63" s="1337" t="n"/>
      <c r="I63" s="36" t="n"/>
      <c r="J63" s="36" t="n"/>
    </row>
    <row r="64" ht="50.25" customFormat="1" customHeight="1" s="25" thickBot="1">
      <c r="A64" s="276" t="inlineStr">
        <is>
          <t>0 to 15 Days</t>
        </is>
      </c>
      <c r="B64" s="148" t="inlineStr">
        <is>
          <t>16 to 30 Days</t>
        </is>
      </c>
      <c r="C64" s="148" t="inlineStr">
        <is>
          <t>31 to 60 Days</t>
        </is>
      </c>
      <c r="D64" s="148" t="inlineStr">
        <is>
          <t>61 to 120 Days</t>
        </is>
      </c>
      <c r="E64" s="148" t="inlineStr">
        <is>
          <t>121 to 180 Days</t>
        </is>
      </c>
      <c r="F64" s="149" t="inlineStr">
        <is>
          <t>181 to 365 Days</t>
        </is>
      </c>
      <c r="G64" s="126" t="inlineStr">
        <is>
          <t>More Than 365 Days</t>
        </is>
      </c>
      <c r="H64" s="252" t="inlineStr">
        <is>
          <t>Total</t>
        </is>
      </c>
      <c r="I64" s="37" t="n"/>
    </row>
    <row r="65" ht="15.75" customFormat="1" customHeight="1" s="25" thickBot="1" thickTop="1">
      <c r="A65" s="277" t="n">
        <v>0</v>
      </c>
      <c r="B65" s="278" t="n">
        <v>0</v>
      </c>
      <c r="C65" s="278" t="n">
        <v>0</v>
      </c>
      <c r="D65" s="278" t="n">
        <v>0</v>
      </c>
      <c r="E65" s="278" t="n">
        <v>0</v>
      </c>
      <c r="F65" s="1220" t="n">
        <v>0</v>
      </c>
      <c r="G65" s="1222" t="n">
        <v>0</v>
      </c>
      <c r="H65" s="281">
        <f>SUM(A65:G65)</f>
        <v/>
      </c>
      <c r="I65" s="342">
        <f>IF(H65&lt;&gt;H47,"Section 2.3 - The total number of informal requests must be equal to ""Closed during reporting period"" of Section 2.1","")</f>
        <v/>
      </c>
      <c r="AA65" s="51" t="n"/>
      <c r="AB65" s="51" t="n"/>
      <c r="AC65" s="51" t="n"/>
      <c r="AD65" s="51" t="n"/>
      <c r="AE65" s="51" t="n"/>
      <c r="AF65" s="51" t="n"/>
      <c r="AG65" s="51" t="n"/>
      <c r="AH65" s="51" t="n"/>
      <c r="AI65" s="51" t="n"/>
      <c r="AJ65" s="51" t="n"/>
      <c r="AK65" s="51" t="n"/>
      <c r="AL65" s="51" t="n"/>
      <c r="AM65" s="51" t="n"/>
      <c r="AN65" s="51" t="n"/>
      <c r="AO65" s="51" t="n"/>
    </row>
    <row r="66" ht="20.25" customFormat="1" customHeight="1" s="25" thickTop="1">
      <c r="A66" s="709" t="n"/>
      <c r="B66" s="709" t="n"/>
      <c r="C66" s="709" t="n"/>
      <c r="D66" s="709" t="n"/>
      <c r="E66" s="709" t="n"/>
      <c r="F66" s="709" t="n"/>
      <c r="G66" s="709" t="n"/>
      <c r="H66" s="709" t="n"/>
      <c r="I66" s="709" t="n"/>
      <c r="J66" s="709" t="n"/>
      <c r="K66" s="191">
        <f>IFERROR(IF(B71/A71&gt;99,"Section 2.4 - The total ""Pages Released"" divided by the total ""Number of Requests""  in ""Less Than 100 Pages Released"" must be equal to or less than 99.",""),"")</f>
        <v/>
      </c>
      <c r="L66" s="38" t="n"/>
      <c r="M66" s="190" t="n"/>
    </row>
    <row r="67" ht="15" customFormat="1" customHeight="1" s="25">
      <c r="A67" s="376" t="inlineStr">
        <is>
          <t>2.4 Pages released informally</t>
        </is>
      </c>
      <c r="K67" s="191">
        <f>IFERROR(IF(AND(D71/C71&gt;=100,D71/C71&lt;=500),"","Section 2.4 - The total ""Pages Released"" divided by the total ""Number of Requests"" in ""100-500 Pages Released"" must be between 100 to 500."),"")</f>
        <v/>
      </c>
      <c r="L67" s="39" t="n"/>
    </row>
    <row r="68" ht="15" customFormat="1" customHeight="1" s="25" thickBot="1">
      <c r="A68" s="89" t="n"/>
      <c r="B68" s="89" t="n"/>
      <c r="C68" s="89" t="n"/>
      <c r="D68" s="89" t="n"/>
      <c r="E68" s="89" t="n"/>
      <c r="F68" s="89" t="n"/>
      <c r="G68" s="89" t="n"/>
      <c r="H68" s="89" t="n"/>
      <c r="I68" s="89" t="n"/>
      <c r="J68" s="89" t="n"/>
      <c r="K68" s="191">
        <f>IFERROR(IF(AND(F71/E71&gt;500,F71/E71&lt;=1000),"","Section 2.4 - The total ""Pages Released"" divided by the total ""Number of Requests"" in ""501-1000 Pages Released"" must be between 501 to 1000."),"")</f>
        <v/>
      </c>
      <c r="L68" s="39" t="n"/>
    </row>
    <row r="69" ht="32.25" customFormat="1" customHeight="1" s="25" thickTop="1">
      <c r="A69" s="1381" t="inlineStr">
        <is>
          <t>Less Than 100
Pages Released</t>
        </is>
      </c>
      <c r="B69" s="1337" t="n"/>
      <c r="C69" s="1381" t="inlineStr">
        <is>
          <t>100-500
Pages Released</t>
        </is>
      </c>
      <c r="D69" s="1337" t="n"/>
      <c r="E69" s="1381" t="inlineStr">
        <is>
          <t>501-1000
Pages Released</t>
        </is>
      </c>
      <c r="F69" s="1337" t="n"/>
      <c r="G69" s="1381" t="inlineStr">
        <is>
          <t>1001-5000
Pages Released</t>
        </is>
      </c>
      <c r="H69" s="1337" t="n"/>
      <c r="I69" s="1381" t="inlineStr">
        <is>
          <t>More Than 5000
Pages Released</t>
        </is>
      </c>
      <c r="J69" s="1337" t="n"/>
      <c r="K69" s="190">
        <f>IFERROR(IF(AND(H71/G71&gt;1000,H71/G71&lt;=5000),"","Section 2.4 - The total ""Pages Released"" divided by the total ""Number of Requests"" in ""1001-5000 Pages Released"" must be between 1001 to 5000."),"")</f>
        <v/>
      </c>
    </row>
    <row r="70" ht="34.5" customFormat="1" customHeight="1" s="25" thickBot="1">
      <c r="A70" s="128" t="inlineStr">
        <is>
          <t>Number of Requests</t>
        </is>
      </c>
      <c r="B70" s="1005" t="inlineStr">
        <is>
          <t>Pages Released</t>
        </is>
      </c>
      <c r="C70" s="128" t="inlineStr">
        <is>
          <t>Number of Requests</t>
        </is>
      </c>
      <c r="D70" s="1005" t="inlineStr">
        <is>
          <t>Pages Released</t>
        </is>
      </c>
      <c r="E70" s="128" t="inlineStr">
        <is>
          <t>Number of Requests</t>
        </is>
      </c>
      <c r="F70" s="1005" t="inlineStr">
        <is>
          <t>Pages Released</t>
        </is>
      </c>
      <c r="G70" s="128" t="inlineStr">
        <is>
          <t>Number of Requests</t>
        </is>
      </c>
      <c r="H70" s="1005" t="inlineStr">
        <is>
          <t>Pages Released</t>
        </is>
      </c>
      <c r="I70" s="128" t="inlineStr">
        <is>
          <t>Number of Requests</t>
        </is>
      </c>
      <c r="J70" s="1016" t="inlineStr">
        <is>
          <t>Pages Released</t>
        </is>
      </c>
      <c r="K70" s="190">
        <f>IFERROR(IF(J71/I71&lt;=5000,"Section 2.4 - The total ""Pages Released"" divided by the total ""Number of Requests"" in ""More Than 5000 Pages Released"" must be greater than 5000.",""),"")</f>
        <v/>
      </c>
    </row>
    <row r="71" ht="15" customFormat="1" customHeight="1" s="25" thickBot="1" thickTop="1">
      <c r="A71" s="213" t="n">
        <v>0</v>
      </c>
      <c r="B71" s="439" t="n">
        <v>0</v>
      </c>
      <c r="C71" s="213" t="n">
        <v>0</v>
      </c>
      <c r="D71" s="214" t="n">
        <v>0</v>
      </c>
      <c r="E71" s="438" t="n">
        <v>0</v>
      </c>
      <c r="F71" s="214" t="n">
        <v>0</v>
      </c>
      <c r="G71" s="438" t="n">
        <v>0</v>
      </c>
      <c r="H71" s="439" t="n">
        <v>0</v>
      </c>
      <c r="I71" s="213" t="n">
        <v>0</v>
      </c>
      <c r="J71" s="214" t="n">
        <v>0</v>
      </c>
      <c r="K71" s="1225">
        <f>IF(SUM(A71,C71,E71,G71,I71)&lt;&gt;H47,"Section 2.4 - The sum of all ""Number of Requests"" must be equal to ""Closed during reporting period"" of Section 2.1","")</f>
        <v/>
      </c>
    </row>
    <row r="72" ht="15" customFormat="1" customHeight="1" s="25" thickTop="1">
      <c r="A72" s="49" t="n"/>
      <c r="B72" s="49" t="n"/>
      <c r="C72" s="49" t="n"/>
      <c r="D72" s="49" t="n"/>
      <c r="E72" s="49" t="n"/>
      <c r="F72" s="49" t="n"/>
      <c r="G72" s="49" t="n"/>
      <c r="H72" s="49" t="n"/>
      <c r="I72" s="49" t="n"/>
      <c r="J72" s="49" t="n"/>
      <c r="K72" s="49" t="n"/>
      <c r="L72" s="39" t="n"/>
      <c r="U72" s="51" t="n"/>
      <c r="V72" s="51" t="n"/>
      <c r="W72" s="51" t="n"/>
      <c r="X72" s="51" t="n"/>
      <c r="Y72" s="51" t="n"/>
      <c r="Z72" s="51" t="n"/>
      <c r="AA72" s="51" t="n"/>
      <c r="AB72" s="51" t="n"/>
      <c r="AC72" s="51" t="n"/>
      <c r="AD72" s="51" t="n"/>
      <c r="AE72" s="51" t="n"/>
      <c r="AF72" s="51" t="n"/>
      <c r="AG72" s="51" t="n"/>
      <c r="AH72" s="51" t="n"/>
      <c r="AI72" s="51" t="n"/>
      <c r="AJ72" s="51" t="n"/>
      <c r="AK72" s="51" t="n"/>
      <c r="AL72" s="51" t="n"/>
      <c r="AM72" s="51" t="n"/>
      <c r="AN72" s="51" t="n"/>
      <c r="AO72" s="51" t="n"/>
    </row>
    <row r="73" ht="15.75" customHeight="1">
      <c r="L73" s="78" t="n"/>
      <c r="N73" s="49" t="n"/>
    </row>
    <row r="74" ht="15.75" customHeight="1">
      <c r="A74" s="1260" t="inlineStr">
        <is>
          <t xml:space="preserve">Section 3: Requests Closed During the Reporting Period </t>
        </is>
      </c>
    </row>
    <row r="76" ht="15" customHeight="1">
      <c r="A76" s="376" t="inlineStr">
        <is>
          <t>3.1 Disposition and completion time</t>
        </is>
      </c>
      <c r="M76" s="66" t="n"/>
      <c r="N76" s="49" t="n"/>
    </row>
    <row r="77" ht="15" customHeight="1" thickBot="1">
      <c r="M77" s="66" t="n"/>
      <c r="N77" s="49" t="n"/>
    </row>
    <row r="78" ht="15" customHeight="1" thickTop="1">
      <c r="A78" s="1265" t="inlineStr">
        <is>
          <t>Disposition of Requests</t>
        </is>
      </c>
      <c r="B78" s="1353" t="n"/>
      <c r="C78" s="1393" t="n"/>
      <c r="D78" s="1459" t="inlineStr">
        <is>
          <t>Completion Time</t>
        </is>
      </c>
      <c r="E78" s="1336" t="n"/>
      <c r="F78" s="1336" t="n"/>
      <c r="G78" s="1336" t="n"/>
      <c r="H78" s="1336" t="n"/>
      <c r="I78" s="1336" t="n"/>
      <c r="J78" s="1336" t="n"/>
      <c r="K78" s="1337" t="n"/>
      <c r="L78" s="79" t="n"/>
      <c r="M78" s="66" t="n"/>
      <c r="N78" s="49" t="n"/>
    </row>
    <row r="79" ht="34.5" customHeight="1" thickBot="1">
      <c r="A79" s="1394" t="n"/>
      <c r="B79" s="1331" t="n"/>
      <c r="C79" s="1395" t="n"/>
      <c r="D79" s="285" t="inlineStr">
        <is>
          <t>0 to 15 Days</t>
        </is>
      </c>
      <c r="E79" s="286" t="inlineStr">
        <is>
          <t>16 to 30 Days</t>
        </is>
      </c>
      <c r="F79" s="286" t="inlineStr">
        <is>
          <t>31 to 60 Days</t>
        </is>
      </c>
      <c r="G79" s="286" t="inlineStr">
        <is>
          <t>61 to 120 Days</t>
        </is>
      </c>
      <c r="H79" s="287" t="inlineStr">
        <is>
          <t>121 to 180 Days</t>
        </is>
      </c>
      <c r="I79" s="287" t="inlineStr">
        <is>
          <t>181 to 365 Days</t>
        </is>
      </c>
      <c r="J79" s="288" t="inlineStr">
        <is>
          <t>More Than 365 Days</t>
        </is>
      </c>
      <c r="K79" s="289" t="inlineStr">
        <is>
          <t>Total</t>
        </is>
      </c>
      <c r="M79" s="66" t="n"/>
      <c r="N79" s="49" t="n"/>
    </row>
    <row r="80" ht="15" customHeight="1" thickTop="1">
      <c r="A80" s="1271" t="inlineStr">
        <is>
          <t>All disclosed</t>
        </is>
      </c>
      <c r="B80" s="1336" t="n"/>
      <c r="C80" s="1383" t="n"/>
      <c r="D80" s="172" t="n">
        <v>1</v>
      </c>
      <c r="E80" s="173" t="n">
        <v>5</v>
      </c>
      <c r="F80" s="173" t="n">
        <v>3</v>
      </c>
      <c r="G80" s="173" t="n">
        <v>0</v>
      </c>
      <c r="H80" s="173" t="n">
        <v>0</v>
      </c>
      <c r="I80" s="173" t="n">
        <v>0</v>
      </c>
      <c r="J80" s="174" t="n">
        <v>0</v>
      </c>
      <c r="K80" s="742">
        <f>SUM(D80:J80)</f>
        <v/>
      </c>
      <c r="N80" s="49" t="n"/>
    </row>
    <row r="81">
      <c r="A81" s="983" t="inlineStr">
        <is>
          <t>Disclosed in part</t>
        </is>
      </c>
      <c r="B81" s="1342" t="n"/>
      <c r="C81" s="1390" t="n"/>
      <c r="D81" s="175" t="n">
        <v>9</v>
      </c>
      <c r="E81" s="171" t="n">
        <v>0</v>
      </c>
      <c r="F81" s="171" t="n">
        <v>2</v>
      </c>
      <c r="G81" s="178" t="n">
        <v>11</v>
      </c>
      <c r="H81" s="178" t="n">
        <v>1</v>
      </c>
      <c r="I81" s="178" t="n">
        <v>0</v>
      </c>
      <c r="J81" s="180" t="n">
        <v>0</v>
      </c>
      <c r="K81" s="283">
        <f>SUM(D81:J81)</f>
        <v/>
      </c>
      <c r="L81" s="190">
        <f>IF(K81&gt;SUM(C93:D101,G93:H102,K93:L101,C107:D109,G107:H110,K107:L110),"The total number of requests in ""Disclosed in part"" must be equal to or less than the total number of requests reported in section 3.2 and section 3.3","")</f>
        <v/>
      </c>
      <c r="N81" s="49" t="n"/>
    </row>
    <row r="82">
      <c r="A82" s="983" t="inlineStr">
        <is>
          <t>All exempted</t>
        </is>
      </c>
      <c r="B82" s="1342" t="n"/>
      <c r="C82" s="1390" t="n"/>
      <c r="D82" s="176" t="n">
        <v>0</v>
      </c>
      <c r="E82" s="177" t="n">
        <v>14</v>
      </c>
      <c r="F82" s="177" t="n">
        <v>0</v>
      </c>
      <c r="G82" s="178" t="n">
        <v>0</v>
      </c>
      <c r="H82" s="171" t="n">
        <v>0</v>
      </c>
      <c r="I82" s="178" t="n">
        <v>0</v>
      </c>
      <c r="J82" s="180" t="n">
        <v>0</v>
      </c>
      <c r="K82" s="283">
        <f>SUM(D82:J82)</f>
        <v/>
      </c>
      <c r="L82" s="190">
        <f>IF(K82&gt;SUM(C93:D101,G93:H102,K93:L101),"The total number of requests in ""All exempted"" must be equal to or less than the total number of requests reported in section 3.2","")</f>
        <v/>
      </c>
      <c r="N82" s="49" t="n"/>
    </row>
    <row r="83" ht="15" customHeight="1">
      <c r="A83" s="983" t="inlineStr">
        <is>
          <t>All excluded</t>
        </is>
      </c>
      <c r="B83" s="1342" t="n"/>
      <c r="C83" s="1390" t="n"/>
      <c r="D83" s="175" t="n">
        <v>0</v>
      </c>
      <c r="E83" s="178" t="n">
        <v>0</v>
      </c>
      <c r="F83" s="178" t="n">
        <v>0</v>
      </c>
      <c r="G83" s="171" t="n">
        <v>0</v>
      </c>
      <c r="H83" s="177" t="n">
        <v>0</v>
      </c>
      <c r="I83" s="178" t="n">
        <v>0</v>
      </c>
      <c r="J83" s="180" t="n">
        <v>0</v>
      </c>
      <c r="K83" s="283">
        <f>SUM(D83:J83)</f>
        <v/>
      </c>
      <c r="L83" s="190">
        <f>IF(K83&gt;SUM(C107:D109,G107:H110,K107:L110),"The total number of requests in ""All excluded"" must be equal to or less than the total number of requests reported in section 3.3","")</f>
        <v/>
      </c>
      <c r="N83" s="49" t="n"/>
    </row>
    <row r="84">
      <c r="A84" s="983" t="inlineStr">
        <is>
          <t>No records exist</t>
        </is>
      </c>
      <c r="B84" s="1342" t="n"/>
      <c r="C84" s="1390" t="n"/>
      <c r="D84" s="176" t="n">
        <v>0</v>
      </c>
      <c r="E84" s="178" t="n">
        <v>0</v>
      </c>
      <c r="F84" s="171" t="n">
        <v>0</v>
      </c>
      <c r="G84" s="177" t="n">
        <v>0</v>
      </c>
      <c r="H84" s="178" t="n">
        <v>6</v>
      </c>
      <c r="I84" s="171" t="n">
        <v>5</v>
      </c>
      <c r="J84" s="181" t="n">
        <v>0</v>
      </c>
      <c r="K84" s="283">
        <f>SUM(D84:J84)</f>
        <v/>
      </c>
      <c r="N84" s="49" t="n"/>
    </row>
    <row r="85">
      <c r="A85" s="983" t="inlineStr">
        <is>
          <t>Request abandoned</t>
        </is>
      </c>
      <c r="B85" s="1342" t="n"/>
      <c r="C85" s="1390" t="n"/>
      <c r="D85" s="175" t="n">
        <v>0</v>
      </c>
      <c r="E85" s="178" t="n">
        <v>0</v>
      </c>
      <c r="F85" s="177" t="n">
        <v>0</v>
      </c>
      <c r="G85" s="178" t="n">
        <v>0</v>
      </c>
      <c r="H85" s="171" t="n">
        <v>11</v>
      </c>
      <c r="I85" s="177" t="n">
        <v>43</v>
      </c>
      <c r="J85" s="182" t="n">
        <v>1</v>
      </c>
      <c r="K85" s="283">
        <f>SUM(D85:J85)</f>
        <v/>
      </c>
    </row>
    <row r="86" ht="15" customHeight="1" thickBot="1">
      <c r="A86" s="1256" t="inlineStr">
        <is>
          <t>Neither confirmed nor denied</t>
        </is>
      </c>
      <c r="B86" s="1348" t="n"/>
      <c r="C86" s="1384" t="n"/>
      <c r="D86" s="176" t="n">
        <v>0</v>
      </c>
      <c r="E86" s="1" t="n">
        <v>0</v>
      </c>
      <c r="F86" s="1" t="n">
        <v>0</v>
      </c>
      <c r="G86" s="1" t="n">
        <v>0</v>
      </c>
      <c r="H86" s="177" t="n">
        <v>0</v>
      </c>
      <c r="I86" s="1" t="n">
        <v>44</v>
      </c>
      <c r="J86" s="179" t="n">
        <v>0</v>
      </c>
      <c r="K86" s="199">
        <f>SUM(D86:J86)</f>
        <v/>
      </c>
    </row>
    <row r="87" ht="15.75" customFormat="1" customHeight="1" s="66" thickBot="1" thickTop="1">
      <c r="A87" s="839" t="inlineStr">
        <is>
          <t>Total</t>
        </is>
      </c>
      <c r="B87" s="1350" t="n"/>
      <c r="C87" s="1396" t="n"/>
      <c r="D87" s="1284">
        <f>SUM(D80:D86)</f>
        <v/>
      </c>
      <c r="E87" s="1285">
        <f>SUM(E80:E86)</f>
        <v/>
      </c>
      <c r="F87" s="1285">
        <f>SUM(F80:F86)</f>
        <v/>
      </c>
      <c r="G87" s="1285">
        <f>SUM(G80:G86)</f>
        <v/>
      </c>
      <c r="H87" s="1285">
        <f>SUM(H80:H86)</f>
        <v/>
      </c>
      <c r="I87" s="1285">
        <f>SUM(I80:I86)</f>
        <v/>
      </c>
      <c r="J87" s="1286">
        <f>SUM(J80:J86)</f>
        <v/>
      </c>
      <c r="K87" s="284">
        <f>SUM(K80:K86)</f>
        <v/>
      </c>
      <c r="L87" s="342">
        <f>IF(K87&lt;&gt;H20,"Section 3.1 - The sum of totals of row 8 should be equal to ""Closed during reporting period"" of Section 1.1","")</f>
        <v/>
      </c>
      <c r="AA87" s="51" t="n"/>
      <c r="AB87" s="51" t="n"/>
      <c r="AC87" s="51" t="n"/>
      <c r="AD87" s="51" t="n"/>
      <c r="AE87" s="51" t="n"/>
      <c r="AF87" s="51" t="n"/>
      <c r="AG87" s="51" t="n"/>
      <c r="AH87" s="51" t="n"/>
      <c r="AI87" s="51" t="n"/>
      <c r="AJ87" s="51" t="n"/>
      <c r="AK87" s="51" t="n"/>
      <c r="AL87" s="51" t="n"/>
      <c r="AM87" s="51" t="n"/>
      <c r="AN87" s="51" t="n"/>
      <c r="AO87" s="51" t="n"/>
    </row>
    <row r="88" ht="15" customHeight="1" thickTop="1">
      <c r="K88" s="106">
        <f>SUM(K80:K83,K85:K86)</f>
        <v/>
      </c>
    </row>
    <row r="89" customFormat="1" s="66">
      <c r="A89" s="49" t="n"/>
      <c r="B89" s="49" t="n"/>
      <c r="C89" s="49" t="n"/>
      <c r="D89" s="49" t="n"/>
      <c r="E89" s="49" t="n"/>
      <c r="F89" s="49" t="n"/>
      <c r="G89" s="49" t="n"/>
      <c r="H89" s="49" t="n"/>
      <c r="I89" s="49" t="n"/>
      <c r="J89" s="49" t="n"/>
      <c r="K89" s="49" t="n"/>
      <c r="L89" s="49" t="n"/>
      <c r="N89" s="49" t="n"/>
      <c r="O89" s="49" t="n"/>
      <c r="P89" s="49" t="n"/>
      <c r="Q89" s="49" t="n"/>
      <c r="R89" s="49" t="n"/>
      <c r="S89" s="49" t="n"/>
    </row>
    <row r="90" ht="15" customFormat="1" customHeight="1" s="66">
      <c r="A90" s="543" t="inlineStr">
        <is>
          <t xml:space="preserve">3.2 Exemptions </t>
        </is>
      </c>
      <c r="N90" s="49" t="n"/>
      <c r="O90" s="49" t="n"/>
      <c r="P90" s="49" t="n"/>
      <c r="Q90" s="49" t="n"/>
      <c r="R90" s="49" t="n"/>
      <c r="S90" s="49" t="n"/>
    </row>
    <row r="91" ht="15" customFormat="1" customHeight="1" s="66" thickBot="1">
      <c r="A91" s="49" t="n"/>
      <c r="B91" s="49" t="n"/>
      <c r="C91" s="49" t="n"/>
      <c r="D91" s="49" t="n"/>
      <c r="E91" s="49" t="n"/>
      <c r="F91" s="49" t="n"/>
      <c r="G91" s="49" t="n"/>
      <c r="H91" s="49" t="n"/>
      <c r="I91" s="49" t="n"/>
      <c r="J91" s="49" t="n"/>
      <c r="K91" s="49" t="n"/>
      <c r="L91" s="49" t="n"/>
      <c r="N91" s="49" t="n"/>
      <c r="O91" s="49" t="n"/>
      <c r="P91" s="49" t="n"/>
      <c r="Q91" s="49" t="n"/>
      <c r="R91" s="49" t="n"/>
      <c r="S91" s="49" t="n"/>
    </row>
    <row r="92" ht="26.25" customFormat="1" customHeight="1" s="66" thickBot="1" thickTop="1">
      <c r="A92" s="1170" t="inlineStr">
        <is>
          <t>Section</t>
        </is>
      </c>
      <c r="B92" s="1386" t="n"/>
      <c r="C92" s="964" t="inlineStr">
        <is>
          <t>Number of Requests</t>
        </is>
      </c>
      <c r="D92" s="1386" t="n"/>
      <c r="E92" s="1170" t="inlineStr">
        <is>
          <t>Section</t>
        </is>
      </c>
      <c r="F92" s="1386" t="n"/>
      <c r="G92" s="964" t="inlineStr">
        <is>
          <t>Number of Requests</t>
        </is>
      </c>
      <c r="H92" s="1386" t="n"/>
      <c r="I92" s="1170" t="inlineStr">
        <is>
          <t>Section</t>
        </is>
      </c>
      <c r="J92" s="1386" t="n"/>
      <c r="K92" s="964" t="inlineStr">
        <is>
          <t>Number of Requests</t>
        </is>
      </c>
      <c r="L92" s="1386" t="n"/>
      <c r="N92" s="49" t="n"/>
      <c r="O92" s="49" t="n"/>
      <c r="P92" s="49" t="n"/>
      <c r="Q92" s="49" t="n"/>
      <c r="R92" s="49" t="n"/>
      <c r="S92" s="49" t="n"/>
    </row>
    <row r="93" ht="15" customFormat="1" customHeight="1" s="66" thickTop="1">
      <c r="A93" s="1252" t="inlineStr">
        <is>
          <t>18(2)</t>
        </is>
      </c>
      <c r="B93" s="1383" t="n"/>
      <c r="C93" s="1254" t="n">
        <v>0</v>
      </c>
      <c r="D93" s="1417" t="n"/>
      <c r="E93" s="1236" t="inlineStr">
        <is>
          <t>22(1)(a)(i)</t>
        </is>
      </c>
      <c r="F93" s="1395" t="n"/>
      <c r="G93" s="484" t="n">
        <v>0</v>
      </c>
      <c r="H93" s="1421" t="n"/>
      <c r="I93" s="1252" t="inlineStr">
        <is>
          <t>23(a)</t>
        </is>
      </c>
      <c r="J93" s="1383" t="n"/>
      <c r="K93" s="1254" t="n">
        <v>0</v>
      </c>
      <c r="L93" s="1417" t="n"/>
      <c r="M93" s="49" t="n"/>
      <c r="N93" s="49" t="n"/>
      <c r="O93" s="49" t="n"/>
      <c r="P93" s="49" t="n"/>
      <c r="Q93" s="49" t="n"/>
      <c r="R93" s="49" t="n"/>
      <c r="S93" s="49" t="n"/>
    </row>
    <row r="94" customFormat="1" s="66">
      <c r="A94" s="1245" t="inlineStr">
        <is>
          <t>19(1)(a)</t>
        </is>
      </c>
      <c r="B94" s="1390" t="n"/>
      <c r="C94" s="477" t="n">
        <v>0</v>
      </c>
      <c r="D94" s="1418" t="n"/>
      <c r="E94" s="1245" t="inlineStr">
        <is>
          <t>22(1)(a)(ii)</t>
        </is>
      </c>
      <c r="F94" s="1390" t="n"/>
      <c r="G94" s="477" t="n">
        <v>0</v>
      </c>
      <c r="H94" s="1418" t="n"/>
      <c r="I94" s="1245" t="inlineStr">
        <is>
          <t>23(b)</t>
        </is>
      </c>
      <c r="J94" s="1390" t="n"/>
      <c r="K94" s="477" t="n">
        <v>0</v>
      </c>
      <c r="L94" s="1418" t="n"/>
      <c r="M94" s="49" t="n"/>
      <c r="N94" s="49" t="n"/>
      <c r="O94" s="49" t="n"/>
      <c r="P94" s="49" t="n"/>
      <c r="Q94" s="49" t="n"/>
      <c r="R94" s="49" t="n"/>
      <c r="S94" s="49" t="n"/>
    </row>
    <row r="95" customFormat="1" s="66">
      <c r="A95" s="1245" t="inlineStr">
        <is>
          <t>19(1)(b)</t>
        </is>
      </c>
      <c r="B95" s="1390" t="n"/>
      <c r="C95" s="477" t="n">
        <v>0</v>
      </c>
      <c r="D95" s="1418" t="n"/>
      <c r="E95" s="1245" t="inlineStr">
        <is>
          <t>22(1)(a)(iii)</t>
        </is>
      </c>
      <c r="F95" s="1390" t="n"/>
      <c r="G95" s="477" t="n">
        <v>0</v>
      </c>
      <c r="H95" s="1418" t="n"/>
      <c r="I95" s="1245" t="inlineStr">
        <is>
          <t>24(a)</t>
        </is>
      </c>
      <c r="J95" s="1390" t="n"/>
      <c r="K95" s="477" t="n">
        <v>0</v>
      </c>
      <c r="L95" s="1418" t="n"/>
      <c r="M95" s="49" t="n"/>
      <c r="N95" s="49" t="n"/>
      <c r="O95" s="49" t="n"/>
      <c r="P95" s="49" t="n"/>
      <c r="Q95" s="49" t="n"/>
      <c r="R95" s="49" t="n"/>
      <c r="S95" s="49" t="n"/>
    </row>
    <row r="96" customFormat="1" s="66">
      <c r="A96" s="1245" t="inlineStr">
        <is>
          <t>19(1)(c)</t>
        </is>
      </c>
      <c r="B96" s="1390" t="n"/>
      <c r="C96" s="477" t="n">
        <v>0</v>
      </c>
      <c r="D96" s="1418" t="n"/>
      <c r="E96" s="1245" t="inlineStr">
        <is>
          <t>22(1)(b)</t>
        </is>
      </c>
      <c r="F96" s="1390" t="n"/>
      <c r="G96" s="477" t="n">
        <v>0</v>
      </c>
      <c r="H96" s="1418" t="n"/>
      <c r="I96" s="1245" t="inlineStr">
        <is>
          <t>24(b)</t>
        </is>
      </c>
      <c r="J96" s="1390" t="n"/>
      <c r="K96" s="477" t="n">
        <v>0</v>
      </c>
      <c r="L96" s="1418" t="n"/>
      <c r="M96" s="49" t="n"/>
      <c r="N96" s="49" t="n"/>
      <c r="O96" s="49" t="n"/>
      <c r="P96" s="49" t="n"/>
      <c r="Q96" s="49" t="n"/>
      <c r="R96" s="49" t="n"/>
      <c r="S96" s="49" t="n"/>
    </row>
    <row r="97" customFormat="1" s="66">
      <c r="A97" s="1245" t="inlineStr">
        <is>
          <t>19(1)(d)</t>
        </is>
      </c>
      <c r="B97" s="1390" t="n"/>
      <c r="C97" s="477" t="n">
        <v>0</v>
      </c>
      <c r="D97" s="1418" t="n"/>
      <c r="E97" s="1245" t="inlineStr">
        <is>
          <t>22(1)(c)</t>
        </is>
      </c>
      <c r="F97" s="1390" t="n"/>
      <c r="G97" s="477" t="n">
        <v>0</v>
      </c>
      <c r="H97" s="1418" t="n"/>
      <c r="I97" s="1245" t="n">
        <v>25</v>
      </c>
      <c r="J97" s="1390" t="n"/>
      <c r="K97" s="477" t="n">
        <v>0</v>
      </c>
      <c r="L97" s="1418" t="n"/>
      <c r="M97" s="49" t="n"/>
      <c r="N97" s="49" t="n"/>
      <c r="O97" s="49" t="n"/>
      <c r="P97" s="49" t="n"/>
      <c r="Q97" s="49" t="n"/>
      <c r="R97" s="49" t="n"/>
      <c r="S97" s="49" t="n"/>
    </row>
    <row r="98" customFormat="1" s="66">
      <c r="A98" s="1245" t="inlineStr">
        <is>
          <t>19(1)(e)</t>
        </is>
      </c>
      <c r="B98" s="1390" t="n"/>
      <c r="C98" s="477" t="n">
        <v>0</v>
      </c>
      <c r="D98" s="1418" t="n"/>
      <c r="E98" s="1245" t="inlineStr">
        <is>
          <t>22(2)</t>
        </is>
      </c>
      <c r="F98" s="1390" t="n"/>
      <c r="G98" s="477" t="n">
        <v>0</v>
      </c>
      <c r="H98" s="1418" t="n"/>
      <c r="I98" s="1245" t="n">
        <v>26</v>
      </c>
      <c r="J98" s="1390" t="n"/>
      <c r="K98" s="477" t="n">
        <v>14</v>
      </c>
      <c r="L98" s="1418" t="n"/>
      <c r="M98" s="49" t="n"/>
      <c r="N98" s="49" t="n"/>
      <c r="O98" s="49" t="n"/>
      <c r="P98" s="49" t="n"/>
      <c r="Q98" s="49" t="n"/>
      <c r="R98" s="49" t="n"/>
      <c r="S98" s="49" t="n"/>
    </row>
    <row r="99" customFormat="1" s="66">
      <c r="A99" s="1245" t="inlineStr">
        <is>
          <t>19(1)(f)</t>
        </is>
      </c>
      <c r="B99" s="1390" t="n"/>
      <c r="C99" s="477" t="n">
        <v>0</v>
      </c>
      <c r="D99" s="1418" t="n"/>
      <c r="E99" s="1245" t="n">
        <v>22.1</v>
      </c>
      <c r="F99" s="1390" t="n"/>
      <c r="G99" s="477" t="n">
        <v>0</v>
      </c>
      <c r="H99" s="1418" t="n"/>
      <c r="I99" s="1245" t="n">
        <v>27</v>
      </c>
      <c r="J99" s="1390" t="n"/>
      <c r="K99" s="477" t="n">
        <v>6</v>
      </c>
      <c r="L99" s="1418" t="n"/>
      <c r="M99" s="49" t="n"/>
      <c r="N99" s="49" t="n"/>
      <c r="O99" s="49" t="n"/>
      <c r="P99" s="49" t="n"/>
      <c r="Q99" s="49" t="n"/>
      <c r="R99" s="49" t="n"/>
      <c r="S99" s="49" t="n"/>
    </row>
    <row r="100" customFormat="1" s="66">
      <c r="A100" s="1245" t="n">
        <v>20</v>
      </c>
      <c r="B100" s="1390" t="n"/>
      <c r="C100" s="477" t="n">
        <v>0</v>
      </c>
      <c r="D100" s="1418" t="n"/>
      <c r="E100" s="1245" t="n">
        <v>22.2</v>
      </c>
      <c r="F100" s="1390" t="n"/>
      <c r="G100" s="477" t="n">
        <v>0</v>
      </c>
      <c r="H100" s="1418" t="n"/>
      <c r="I100" s="1245" t="n">
        <v>27.1</v>
      </c>
      <c r="J100" s="1390" t="n"/>
      <c r="K100" s="477" t="n">
        <v>0</v>
      </c>
      <c r="L100" s="1418" t="n"/>
      <c r="M100" s="49" t="n"/>
      <c r="O100" s="49" t="n"/>
      <c r="P100" s="49" t="n"/>
      <c r="Q100" s="49" t="n"/>
      <c r="R100" s="49" t="n"/>
      <c r="S100" s="49" t="n"/>
      <c r="T100" s="49" t="n"/>
    </row>
    <row r="101" ht="15" customFormat="1" customHeight="1" s="66" thickBot="1">
      <c r="A101" s="1232" t="n">
        <v>21</v>
      </c>
      <c r="B101" s="1384" t="n"/>
      <c r="C101" s="548" t="n">
        <v>0</v>
      </c>
      <c r="D101" s="1419" t="n"/>
      <c r="E101" s="1245" t="n">
        <v>22.3</v>
      </c>
      <c r="F101" s="1390" t="n"/>
      <c r="G101" s="477" t="n">
        <v>0</v>
      </c>
      <c r="H101" s="1418" t="n"/>
      <c r="I101" s="1232" t="n">
        <v>28</v>
      </c>
      <c r="J101" s="1384" t="n"/>
      <c r="K101" s="548" t="n">
        <v>0</v>
      </c>
      <c r="L101" s="1419" t="n"/>
      <c r="M101" s="190">
        <f>IF(AND(SUM(C93:D101,G93:H102,K93:L101)&gt;0,SUM(K81,K82,K85)=0),"If total number of requests reported in section 3.2 is greater than zero, then the total number of requests reported in rows 2, 3 and 6 of column 8 of section 3.1 must be greater than zero.","")</f>
        <v/>
      </c>
      <c r="O101" s="49" t="n"/>
      <c r="P101" s="49" t="n"/>
      <c r="Q101" s="49" t="n"/>
      <c r="R101" s="49" t="n"/>
      <c r="S101" s="49" t="n"/>
      <c r="T101" s="49" t="n"/>
    </row>
    <row r="102" ht="15.75" customHeight="1" thickBot="1" thickTop="1">
      <c r="A102" s="80" t="n"/>
      <c r="E102" s="1232" t="n">
        <v>22.4</v>
      </c>
      <c r="F102" s="1384" t="n"/>
      <c r="G102" s="1248" t="n">
        <v>0</v>
      </c>
      <c r="H102" s="1419" t="n"/>
    </row>
    <row r="103" ht="15" customFormat="1" customHeight="1" s="66" thickTop="1">
      <c r="A103" s="80" t="n"/>
      <c r="B103" s="49" t="n"/>
      <c r="C103" s="49" t="n"/>
      <c r="D103" s="49" t="n"/>
      <c r="E103" s="49" t="n"/>
      <c r="F103" s="49" t="n"/>
      <c r="G103" s="49" t="n"/>
      <c r="H103" s="49" t="n"/>
      <c r="I103" s="49" t="n"/>
      <c r="J103" s="49" t="n"/>
      <c r="K103" s="49" t="n"/>
      <c r="L103" s="49" t="n"/>
      <c r="N103" s="49" t="n"/>
      <c r="O103" s="49" t="n"/>
      <c r="P103" s="49" t="n"/>
      <c r="Q103" s="49" t="n"/>
      <c r="R103" s="49" t="n"/>
      <c r="S103" s="49" t="n"/>
    </row>
    <row r="104" ht="15" customFormat="1" customHeight="1" s="66">
      <c r="A104" s="375" t="inlineStr">
        <is>
          <t xml:space="preserve">3.3 Exclusions </t>
        </is>
      </c>
      <c r="N104" s="49" t="n"/>
      <c r="O104" s="49" t="n"/>
      <c r="P104" s="49" t="n"/>
      <c r="Q104" s="49" t="n"/>
      <c r="R104" s="49" t="n"/>
      <c r="S104" s="49" t="n"/>
    </row>
    <row r="105" ht="15" customFormat="1" customHeight="1" s="66" thickBot="1">
      <c r="A105" s="49" t="n"/>
      <c r="B105" s="49" t="n"/>
      <c r="C105" s="49" t="n"/>
      <c r="D105" s="49" t="n"/>
      <c r="E105" s="49" t="n"/>
      <c r="F105" s="49" t="n"/>
      <c r="G105" s="49" t="n"/>
      <c r="H105" s="49" t="n"/>
      <c r="I105" s="49" t="n"/>
      <c r="J105" s="49" t="n"/>
      <c r="K105" s="49" t="n"/>
      <c r="L105" s="49" t="n"/>
      <c r="N105" s="49" t="n"/>
      <c r="O105" s="49" t="n"/>
      <c r="P105" s="49" t="n"/>
      <c r="Q105" s="49" t="n"/>
      <c r="R105" s="49" t="n"/>
      <c r="S105" s="49" t="n"/>
    </row>
    <row r="106" ht="27.75" customFormat="1" customHeight="1" s="66" thickBot="1" thickTop="1">
      <c r="A106" s="1170" t="inlineStr">
        <is>
          <t>Section</t>
        </is>
      </c>
      <c r="B106" s="1386" t="n"/>
      <c r="C106" s="1216" t="inlineStr">
        <is>
          <t>Number of Requests</t>
        </is>
      </c>
      <c r="D106" s="1334" t="n"/>
      <c r="E106" s="1170" t="inlineStr">
        <is>
          <t>Section</t>
        </is>
      </c>
      <c r="F106" s="1386" t="n"/>
      <c r="G106" s="1216" t="inlineStr">
        <is>
          <t>Number of Requests</t>
        </is>
      </c>
      <c r="H106" s="1334" t="n"/>
      <c r="I106" s="1170" t="inlineStr">
        <is>
          <t>Section</t>
        </is>
      </c>
      <c r="J106" s="1386" t="n"/>
      <c r="K106" s="1216" t="inlineStr">
        <is>
          <t>Number of Requests</t>
        </is>
      </c>
      <c r="L106" s="1334" t="n"/>
      <c r="N106" s="49" t="n"/>
      <c r="O106" s="49" t="n"/>
      <c r="P106" s="49" t="n"/>
      <c r="Q106" s="49" t="n"/>
      <c r="R106" s="49" t="n"/>
      <c r="S106" s="49" t="n"/>
    </row>
    <row r="107" ht="15" customFormat="1" customHeight="1" s="66" thickTop="1">
      <c r="A107" s="1236" t="inlineStr">
        <is>
          <t>69(1)(a)</t>
        </is>
      </c>
      <c r="B107" s="1395" t="n"/>
      <c r="C107" s="484" t="n">
        <v>0</v>
      </c>
      <c r="D107" s="1421" t="n"/>
      <c r="E107" s="1238" t="inlineStr">
        <is>
          <t>70(1)</t>
        </is>
      </c>
      <c r="F107" s="1383" t="n"/>
      <c r="G107" s="1240" t="n">
        <v>0</v>
      </c>
      <c r="H107" s="1417" t="n"/>
      <c r="I107" s="1236" t="inlineStr">
        <is>
          <t>70(1)(d)</t>
        </is>
      </c>
      <c r="J107" s="1395" t="n"/>
      <c r="K107" s="484" t="n">
        <v>0</v>
      </c>
      <c r="L107" s="1421" t="n"/>
      <c r="N107" s="49" t="n"/>
      <c r="O107" s="49" t="n"/>
      <c r="P107" s="49" t="n"/>
      <c r="Q107" s="49" t="n"/>
      <c r="R107" s="49" t="n"/>
      <c r="S107" s="49" t="n"/>
    </row>
    <row r="108">
      <c r="A108" s="1245" t="inlineStr">
        <is>
          <t>69(1)(b)</t>
        </is>
      </c>
      <c r="B108" s="1390" t="n"/>
      <c r="C108" s="477" t="n">
        <v>0</v>
      </c>
      <c r="D108" s="1418" t="n"/>
      <c r="E108" s="1236" t="inlineStr">
        <is>
          <t>70(1)(a)</t>
        </is>
      </c>
      <c r="F108" s="1395" t="n"/>
      <c r="G108" s="550" t="n">
        <v>0</v>
      </c>
      <c r="H108" s="1421" t="n"/>
      <c r="I108" s="1245" t="inlineStr">
        <is>
          <t>70(1)(e)</t>
        </is>
      </c>
      <c r="J108" s="1390" t="n"/>
      <c r="K108" s="477" t="n">
        <v>0</v>
      </c>
      <c r="L108" s="1418" t="n"/>
    </row>
    <row r="109" ht="15" customFormat="1" customHeight="1" s="66" thickBot="1">
      <c r="A109" s="1232" t="n">
        <v>69.09999999999999</v>
      </c>
      <c r="B109" s="1384" t="n"/>
      <c r="C109" s="548" t="n">
        <v>0</v>
      </c>
      <c r="D109" s="1419" t="n"/>
      <c r="E109" s="1245" t="inlineStr">
        <is>
          <t>70(1)(b)</t>
        </is>
      </c>
      <c r="F109" s="1390" t="n"/>
      <c r="G109" s="578" t="n">
        <v>0</v>
      </c>
      <c r="H109" s="1368" t="n"/>
      <c r="I109" s="1245" t="inlineStr">
        <is>
          <t>70(1)(f)</t>
        </is>
      </c>
      <c r="J109" s="1390" t="n"/>
      <c r="K109" s="477" t="n">
        <v>0</v>
      </c>
      <c r="L109" s="1418" t="n"/>
      <c r="M109" s="49" t="n"/>
      <c r="O109" s="49" t="n"/>
      <c r="P109" s="49" t="n"/>
      <c r="Q109" s="49" t="n"/>
      <c r="R109" s="49" t="n"/>
      <c r="S109" s="49" t="n"/>
      <c r="T109" s="49" t="n"/>
    </row>
    <row r="110" ht="15.75" customFormat="1" customHeight="1" s="66" thickBot="1" thickTop="1">
      <c r="A110" s="81" t="n"/>
      <c r="B110" s="81" t="n"/>
      <c r="C110" s="81" t="n"/>
      <c r="D110" s="81" t="n"/>
      <c r="E110" s="1232" t="inlineStr">
        <is>
          <t>70(1)(c)</t>
        </is>
      </c>
      <c r="F110" s="1384" t="n"/>
      <c r="G110" s="316" t="n">
        <v>0</v>
      </c>
      <c r="H110" s="1379" t="n"/>
      <c r="I110" s="1232" t="n">
        <v>70.09999999999999</v>
      </c>
      <c r="J110" s="1384" t="n"/>
      <c r="K110" s="548" t="n">
        <v>0</v>
      </c>
      <c r="L110" s="1419" t="n"/>
      <c r="M110" s="190">
        <f>IF(AND(SUM(C107:D109,G107:H110,K107:L110)&gt;0,SUM(K81,K83,K85)=0),"If total number of requests reported in section 3.3 is greater than zero, then the total number of requests reported in rows 2, 4 and 6 of column 8 of section 3.1 must be greater than zero.","")</f>
        <v/>
      </c>
      <c r="O110" s="49" t="n"/>
      <c r="P110" s="49" t="n"/>
      <c r="Q110" s="49" t="n"/>
      <c r="R110" s="49" t="n"/>
      <c r="S110" s="49" t="n"/>
      <c r="T110" s="49" t="n"/>
    </row>
    <row r="111" ht="14.25" customFormat="1" customHeight="1" s="66" thickTop="1">
      <c r="A111" s="49" t="n"/>
      <c r="B111" s="49" t="n"/>
      <c r="C111" s="49" t="n"/>
      <c r="D111" s="49" t="n"/>
      <c r="E111" s="49" t="n"/>
      <c r="F111" s="49" t="n"/>
      <c r="G111" s="49" t="n"/>
      <c r="H111" s="49" t="n"/>
      <c r="I111" s="49" t="n"/>
      <c r="J111" s="49" t="n"/>
      <c r="K111" s="49" t="n"/>
      <c r="L111" s="49" t="n"/>
      <c r="M111" s="1322">
        <f>IF(SUM(A116:I116)&lt;SUM(K80,K81),"Section 3.4 - The total number of ""Paper, Electronic and Other"" of ""Format of information released"" should be equal to or greater than the ""Total"" of ""All disclosed"" and ""Disclosed in part"" of  Section 3.1","")</f>
        <v/>
      </c>
    </row>
    <row r="112" ht="15" customFormat="1" customHeight="1" s="66">
      <c r="A112" s="1293" t="inlineStr">
        <is>
          <t>3.4 Format of information released</t>
        </is>
      </c>
      <c r="J112" s="49" t="n"/>
      <c r="K112" s="49" t="n"/>
      <c r="L112" s="49" t="n"/>
    </row>
    <row r="113" ht="15.75" customFormat="1" customHeight="1" s="66" thickBot="1">
      <c r="A113" s="375" t="n"/>
      <c r="B113" s="49" t="n"/>
      <c r="C113" s="49" t="n"/>
      <c r="D113" s="49" t="n"/>
      <c r="E113" s="49" t="n"/>
      <c r="F113" s="49" t="n"/>
      <c r="G113" s="49" t="n"/>
      <c r="H113" s="49" t="n"/>
      <c r="I113" s="49" t="n"/>
      <c r="J113" s="49" t="n"/>
      <c r="K113" s="49" t="n"/>
      <c r="L113" s="49" t="n"/>
      <c r="M113" s="1323">
        <f>IF(A116&gt;SUM(K80:K81),"Section 3.4 - The total number of ""Paper"" of ""Format of information released"" should be equal to or less than the ""Total"" of ""All disclosed"" and ""Disclosed in part"" of Section 3.1","")</f>
        <v/>
      </c>
    </row>
    <row r="114" ht="15" customFormat="1" customHeight="1" s="66" thickTop="1">
      <c r="A114" s="629" t="inlineStr">
        <is>
          <t>Paper</t>
        </is>
      </c>
      <c r="B114" s="1353" t="n"/>
      <c r="C114" s="1235" t="inlineStr">
        <is>
          <t>Electronic</t>
        </is>
      </c>
      <c r="D114" s="1336" t="n"/>
      <c r="E114" s="1336" t="n"/>
      <c r="F114" s="1336" t="n"/>
      <c r="G114" s="1337" t="n"/>
      <c r="H114" s="429" t="inlineStr">
        <is>
          <t>Other</t>
        </is>
      </c>
      <c r="I114" s="1354" t="n"/>
      <c r="J114" s="49" t="n"/>
      <c r="K114" s="49" t="n"/>
      <c r="L114" s="49" t="n"/>
      <c r="M114" s="1324">
        <f>IF(C116&gt;SUM(K80,K81),"Section 3.4 - The total number of ""E-record"" of ""Format of information released"" should be equal to or less than the ""Total"" of ""All disclosed"" and ""Disclosed in part"" of Section 3.1","")</f>
        <v/>
      </c>
    </row>
    <row r="115" ht="15" customFormat="1" customHeight="1" s="66" thickBot="1">
      <c r="A115" s="1349" t="n"/>
      <c r="B115" s="1350" t="n"/>
      <c r="C115" s="1399" t="inlineStr">
        <is>
          <t>E-record</t>
        </is>
      </c>
      <c r="D115" s="1384" t="n"/>
      <c r="E115" s="167" t="inlineStr">
        <is>
          <t>Data set</t>
        </is>
      </c>
      <c r="F115" s="168" t="inlineStr">
        <is>
          <t>Video</t>
        </is>
      </c>
      <c r="G115" s="611" t="inlineStr">
        <is>
          <t>Audio</t>
        </is>
      </c>
      <c r="H115" s="1350" t="n"/>
      <c r="I115" s="1374" t="n"/>
      <c r="J115" s="49" t="n"/>
      <c r="K115" s="49" t="n"/>
      <c r="L115" s="49" t="n"/>
      <c r="M115" s="1324">
        <f>IF(E116&gt;SUM(K80,K81),"Section 3.4 - The total number of ""Data set"" of ""Format of information released"" should be equal to or less than the ""Total"" of ""All disclosed"" and ""Disclosed in part"" of Section 3.1","")</f>
        <v/>
      </c>
    </row>
    <row r="116" ht="25.5" customFormat="1" customHeight="1" s="66" thickBot="1" thickTop="1">
      <c r="A116" s="654" t="n">
        <v>7</v>
      </c>
      <c r="B116" s="1400" t="n"/>
      <c r="C116" s="1229" t="n">
        <v>16</v>
      </c>
      <c r="D116" s="1465" t="n"/>
      <c r="E116" s="291" t="n">
        <v>0</v>
      </c>
      <c r="F116" s="494" t="n">
        <v>0</v>
      </c>
      <c r="G116" s="1228" t="n">
        <v>0</v>
      </c>
      <c r="H116" s="654" t="n">
        <v>0</v>
      </c>
      <c r="I116" s="1400" t="n"/>
      <c r="M116" s="1325">
        <f>IF(F116&gt;SUM(K80,K81),"Section 3.4 - The total number of ""Video"" of ""Format of information released"" should be equal to or less than the ""Total"" of ""All disclosed"" and ""Disclosed in part"" of Section 3.1","")</f>
        <v/>
      </c>
      <c r="AD116" s="51" t="n"/>
      <c r="AE116" s="51" t="n"/>
      <c r="AF116" s="51" t="n"/>
      <c r="AG116" s="51" t="n"/>
      <c r="AH116" s="51" t="n"/>
      <c r="AI116" s="51" t="n"/>
      <c r="AJ116" s="51" t="n"/>
      <c r="AK116" s="51" t="n"/>
      <c r="AL116" s="51" t="n"/>
      <c r="AM116" s="51" t="n"/>
      <c r="AN116" s="51" t="n"/>
      <c r="AO116" s="51" t="n"/>
    </row>
    <row r="117" ht="15.75" customFormat="1" customHeight="1" s="66" thickTop="1">
      <c r="A117" s="375" t="n"/>
      <c r="B117" s="49" t="n"/>
      <c r="C117" s="49" t="n"/>
      <c r="D117" s="49" t="n"/>
      <c r="E117" s="49" t="n"/>
      <c r="F117" s="49" t="n"/>
      <c r="G117" s="49" t="n"/>
      <c r="H117" s="49" t="n"/>
      <c r="I117" s="49" t="n"/>
      <c r="J117" s="49" t="n"/>
      <c r="K117" s="49" t="n"/>
      <c r="L117" s="49" t="n"/>
      <c r="M117" s="1325">
        <f>IF(G116&gt;SUM(K80,K81),"Section 3.4 - The total number of ""Audio"" of ""Format of information released"" should be equal to or less than the ""Total"" of ""All disclosed"" and ""Disclosed in part"" of Section 3.1","")</f>
        <v/>
      </c>
    </row>
    <row r="118" ht="15" customHeight="1">
      <c r="A118" s="543" t="inlineStr">
        <is>
          <t>3.5 Complexity</t>
        </is>
      </c>
      <c r="M118" s="1324">
        <f>IF(H116&gt;SUM(K80,K81),"Section 3.4 - The total number of ""Other"" of ""Format of information released"" should be equal to or less than the ""Total"" of ""All disclosed"" and ""Disclosed in part"" of Section 3.1","")</f>
        <v/>
      </c>
    </row>
    <row r="119">
      <c r="A119" s="82" t="n"/>
      <c r="M119" s="190">
        <f>IF(SUM(A116,C116,E116,H116)&lt;= G123,"","The total number of ""Paper"", ""E-record"", ""Data set"" and ""Other"" of Section 3.4 must be equal or less than the ""Number of Requests"" of Section 3.5.1  ")</f>
        <v/>
      </c>
      <c r="N119" s="49" t="n"/>
    </row>
    <row r="120" ht="17.25" customHeight="1">
      <c r="A120" s="373" t="inlineStr">
        <is>
          <t>3.5.1 Relevant pages processed and disclosed for paper, e-record and dataset formats</t>
        </is>
      </c>
      <c r="M120" s="190">
        <f>IF(F116&lt;=G158,"","The total number of ""Video"" reported in Section 3.4 must be equal to or less than the total ""Number of Requests"" reported in ""Number of Requests"" of Section 3.5.5")</f>
        <v/>
      </c>
      <c r="N120" s="49" t="n"/>
    </row>
    <row r="121" ht="15" customHeight="1" thickBot="1">
      <c r="M121" s="191">
        <f>IF(G116&lt;=G141,"","The total number of ""Audio"" reported in Section 3.4 must be equal to or less than the total ""Number of Requests"" reported in Section 3.5.3")</f>
        <v/>
      </c>
    </row>
    <row r="122" ht="30" customHeight="1" thickBot="1" thickTop="1">
      <c r="A122" s="1215" t="inlineStr">
        <is>
          <t>Number of Pages  Processed</t>
        </is>
      </c>
      <c r="B122" s="1333" t="n"/>
      <c r="C122" s="1386" t="n"/>
      <c r="D122" s="964" t="inlineStr">
        <is>
          <t>Number of Pages Disclosed</t>
        </is>
      </c>
      <c r="E122" s="1333" t="n"/>
      <c r="F122" s="1386" t="n"/>
      <c r="G122" s="1216" t="inlineStr">
        <is>
          <t>Number of Requests</t>
        </is>
      </c>
      <c r="H122" s="1333" t="n"/>
      <c r="I122" s="1334" t="n"/>
      <c r="J122" s="1234" t="n"/>
    </row>
    <row r="123" ht="15" customHeight="1" thickBot="1" thickTop="1">
      <c r="A123" s="1219" t="n">
        <v>7840</v>
      </c>
      <c r="B123" s="1460" t="n"/>
      <c r="C123" s="1465" t="n"/>
      <c r="D123" s="278" t="n">
        <v>5171</v>
      </c>
      <c r="E123" s="1402" t="n"/>
      <c r="F123" s="1401" t="n"/>
      <c r="G123" s="1220" t="n">
        <v>67</v>
      </c>
      <c r="H123" s="1460" t="n"/>
      <c r="I123" s="1465" t="n"/>
      <c r="J123" s="1225">
        <f>IF(D123&gt;A123,"Section 3.5.1 - The ""Number of Pages Disclosed"" should be equal to or less than the ""Number of Pages Processed""","")</f>
        <v/>
      </c>
      <c r="AA123" s="51" t="n"/>
      <c r="AB123" s="51" t="n"/>
      <c r="AC123" s="51" t="n"/>
      <c r="AD123" s="51" t="n"/>
      <c r="AE123" s="51" t="n"/>
      <c r="AF123" s="51" t="n"/>
      <c r="AG123" s="51" t="n"/>
      <c r="AH123" s="51" t="n"/>
      <c r="AI123" s="51" t="n"/>
      <c r="AJ123" s="51" t="n"/>
      <c r="AK123" s="51" t="n"/>
      <c r="AL123" s="51" t="n"/>
      <c r="AM123" s="51" t="n"/>
      <c r="AN123" s="51" t="n"/>
      <c r="AO123" s="51" t="n"/>
    </row>
    <row r="124" ht="15" customHeight="1" thickTop="1">
      <c r="A124" s="76" t="n"/>
      <c r="B124" s="76" t="n"/>
      <c r="C124" s="76" t="n"/>
      <c r="D124" s="73" t="n"/>
      <c r="E124" s="73" t="n"/>
      <c r="F124" s="73" t="n"/>
      <c r="G124" s="73" t="n"/>
      <c r="H124" s="73" t="n"/>
      <c r="I124" s="73" t="n"/>
      <c r="J124" s="955">
        <f>IF(G123&gt;SUM(K80:K83,K85:K86),"Section 3.5.1 - The ""Number of Requests"" should be equal to or less than the sum of rows 1 to 4, 6 to 7 of Section 3.1","")</f>
        <v/>
      </c>
      <c r="U124" s="51" t="n"/>
      <c r="V124" s="51" t="n"/>
      <c r="W124" s="51" t="n"/>
      <c r="X124" s="51" t="n"/>
      <c r="Y124" s="51" t="n"/>
      <c r="Z124" s="51" t="n"/>
      <c r="AA124" s="51" t="n"/>
      <c r="AB124" s="51" t="n"/>
      <c r="AC124" s="51" t="n"/>
      <c r="AD124" s="51" t="n"/>
      <c r="AE124" s="51" t="n"/>
      <c r="AF124" s="51" t="n"/>
      <c r="AG124" s="51" t="n"/>
      <c r="AH124" s="51" t="n"/>
      <c r="AI124" s="51" t="n"/>
      <c r="AJ124" s="51" t="n"/>
      <c r="AK124" s="51" t="n"/>
      <c r="AL124" s="51" t="n"/>
      <c r="AM124" s="51" t="n"/>
      <c r="AN124" s="51" t="n"/>
      <c r="AO124" s="51" t="n"/>
    </row>
    <row r="125">
      <c r="A125" s="642" t="inlineStr">
        <is>
          <t>3.5.2 Relevant pages processed per request disposition for paper, e-record and dataset formats by size of requests</t>
        </is>
      </c>
      <c r="M125" s="190">
        <f>IFERROR(IF(D136/C136&gt;99,"Section 3.5.2 - The total ""Pages Processed"" divided by the total ""Number of Requests""  in ""Less Than 100 Pages Processed"" must be equal to or less than 99.",""),"")</f>
        <v/>
      </c>
      <c r="N125" s="49" t="n"/>
    </row>
    <row r="126">
      <c r="M126" s="190">
        <f>IFERROR(IF(AND(F136/E136&gt;=100,F136/E136&lt;=500),"","Section 3.5.2 - The total ""Pages Processed"" divided by the total ""Number of Requests"" in ""100-500 Pages Processed"" must be between 100 to 500."),"")</f>
        <v/>
      </c>
      <c r="N126" s="49" t="n"/>
    </row>
    <row r="127" ht="14.25" customHeight="1" thickBot="1">
      <c r="M127" s="190">
        <f>IFERROR(IF(AND(H136/G136&gt;500,H136/G136&lt;=1000),"","Section 3.5.2 - The total ""Pages Processed"" divided by the total ""Number of Requests"" in ""501-1000 Pages Processed"" must be between 501 to 1000."),"")</f>
        <v/>
      </c>
      <c r="N127" s="49" t="n"/>
    </row>
    <row r="128" ht="25.5" customHeight="1" thickTop="1">
      <c r="A128" s="1407" t="inlineStr">
        <is>
          <t>Disposition</t>
        </is>
      </c>
      <c r="B128" s="1354" t="n"/>
      <c r="C128" s="1094" t="inlineStr">
        <is>
          <t>Less Than 100
Pages Processed</t>
        </is>
      </c>
      <c r="D128" s="1383" t="n"/>
      <c r="E128" s="1096" t="inlineStr">
        <is>
          <t>100-500
Pages Processed</t>
        </is>
      </c>
      <c r="F128" s="1383" t="n"/>
      <c r="G128" s="1094" t="inlineStr">
        <is>
          <t>501-1000
Pages Processed</t>
        </is>
      </c>
      <c r="H128" s="1383" t="n"/>
      <c r="I128" s="1096" t="inlineStr">
        <is>
          <t>1001-5000
Pages Processed</t>
        </is>
      </c>
      <c r="J128" s="1383" t="n"/>
      <c r="K128" s="1094" t="inlineStr">
        <is>
          <t>More Than 5000
Pages Processed</t>
        </is>
      </c>
      <c r="L128" s="1383" t="n"/>
      <c r="M128" s="190">
        <f>IFERROR(IF(AND(J136/I136&gt;1000,J136/I136&lt;=5000),"","Section 3.5.2 - The total ""Pages Processed"" divided by the total ""Number of Requests"" in ""1001-5000 Pages Processed"" must be between 1001 to 5000."),"")</f>
        <v/>
      </c>
      <c r="N128" s="49" t="n"/>
    </row>
    <row r="129" ht="30.75" customFormat="1" customHeight="1" s="66" thickBot="1">
      <c r="A129" s="1349" t="n"/>
      <c r="B129" s="1374" t="n"/>
      <c r="C129" s="103" t="inlineStr">
        <is>
          <t>Number of Requests</t>
        </is>
      </c>
      <c r="D129" s="104" t="inlineStr">
        <is>
          <t>Pages Processed</t>
        </is>
      </c>
      <c r="E129" s="103" t="inlineStr">
        <is>
          <t>Number of Requests</t>
        </is>
      </c>
      <c r="F129" s="104" t="inlineStr">
        <is>
          <t>Pages Processed</t>
        </is>
      </c>
      <c r="G129" s="103" t="inlineStr">
        <is>
          <t>Number of Requests</t>
        </is>
      </c>
      <c r="H129" s="104" t="inlineStr">
        <is>
          <t>Pages Processed</t>
        </is>
      </c>
      <c r="I129" s="103" t="inlineStr">
        <is>
          <t>Number of Requests</t>
        </is>
      </c>
      <c r="J129" s="104" t="inlineStr">
        <is>
          <t>Pages Processed</t>
        </is>
      </c>
      <c r="K129" s="103" t="inlineStr">
        <is>
          <t>Number of Requests</t>
        </is>
      </c>
      <c r="L129" s="104" t="inlineStr">
        <is>
          <t>Pages Processed</t>
        </is>
      </c>
      <c r="M129" s="190">
        <f>IFERROR(IF(L136/K136&lt;=5000,"Section 3.5.2 - The total ""Pages Processed"" divided by the total ""Number of Requests"" in ""More Than 5000 Pages Processed"" must be greater than 5000.",""),"")</f>
        <v/>
      </c>
      <c r="N129" s="49" t="n"/>
      <c r="O129" s="49" t="n"/>
      <c r="P129" s="49" t="n"/>
      <c r="Q129" s="49" t="n"/>
      <c r="R129" s="49" t="n"/>
      <c r="S129" s="49" t="n"/>
      <c r="AB129" s="157" t="inlineStr">
        <is>
          <t>Number of requests 3.5.2</t>
        </is>
      </c>
      <c r="AC129" s="157" t="inlineStr">
        <is>
          <t>Total 3.5.2, 3.5.4 and 3.5.6</t>
        </is>
      </c>
    </row>
    <row r="130" ht="20.25" customFormat="1" customHeight="1" s="66" thickTop="1">
      <c r="A130" s="998" t="inlineStr">
        <is>
          <t>All disclosed</t>
        </is>
      </c>
      <c r="B130" s="1395" t="n"/>
      <c r="C130" s="483" t="n">
        <v>5</v>
      </c>
      <c r="D130" s="1237" t="n">
        <v>125</v>
      </c>
      <c r="E130" s="990" t="n">
        <v>4</v>
      </c>
      <c r="F130" s="594" t="n">
        <v>773</v>
      </c>
      <c r="G130" s="483" t="n">
        <v>0</v>
      </c>
      <c r="H130" s="1237" t="n">
        <v>0</v>
      </c>
      <c r="I130" s="990" t="n">
        <v>0</v>
      </c>
      <c r="J130" s="594" t="n">
        <v>0</v>
      </c>
      <c r="K130" s="483" t="n">
        <v>0</v>
      </c>
      <c r="L130" s="1237" t="n">
        <v>0</v>
      </c>
      <c r="M130" s="342">
        <f>IF(SUM(C130,E130,G130,I130,K130)&gt;K80,"Section 3.5.2 - The sum of Columns of ""Number of Requests"" ""All disclosed"" processed should be equal or less than the total of ""All Disclosed"" in Section 3.1","")</f>
        <v/>
      </c>
      <c r="AB130" s="158">
        <f>SUM(C130,E130,G130,I130,K130)</f>
        <v/>
      </c>
      <c r="AC130" s="158">
        <f>SUM(AB130,AI147,AL164)</f>
        <v/>
      </c>
      <c r="AD130" s="51" t="n"/>
      <c r="AE130" s="51" t="n"/>
      <c r="AF130" s="51" t="n"/>
      <c r="AG130" s="51" t="n"/>
      <c r="AH130" s="51" t="n"/>
      <c r="AI130" s="51" t="n"/>
      <c r="AJ130" s="51" t="n"/>
      <c r="AK130" s="51" t="n"/>
      <c r="AL130" s="51" t="n"/>
      <c r="AM130" s="51" t="n"/>
      <c r="AN130" s="51" t="n"/>
      <c r="AO130" s="51" t="n"/>
    </row>
    <row r="131" ht="19.5" customFormat="1" customHeight="1" s="66">
      <c r="A131" s="1411" t="inlineStr">
        <is>
          <t>Disclosed in part</t>
        </is>
      </c>
      <c r="B131" s="1343" t="n"/>
      <c r="C131" s="483" t="n">
        <v>4</v>
      </c>
      <c r="D131" s="1246" t="n">
        <v>203</v>
      </c>
      <c r="E131" s="990" t="n">
        <v>8</v>
      </c>
      <c r="F131" s="430" t="n">
        <v>2121</v>
      </c>
      <c r="G131" s="483" t="n">
        <v>0</v>
      </c>
      <c r="H131" s="1246" t="n">
        <v>0</v>
      </c>
      <c r="I131" s="990" t="n">
        <v>2</v>
      </c>
      <c r="J131" s="430" t="n">
        <v>4618</v>
      </c>
      <c r="K131" s="483" t="n">
        <v>0</v>
      </c>
      <c r="L131" s="1246" t="n">
        <v>0</v>
      </c>
      <c r="M131" s="342">
        <f>IF(SUM(C131,E131,G131,I131,K131)&gt;K81,"Section 3.5.2 - The sum of Columns of ""Number of Requests"" ""Disclosed in part"" processed should be equal or less than the total of ""Disclosed in part"" in Section 3.1","")</f>
        <v/>
      </c>
      <c r="AB131" s="158">
        <f>SUM(C131,E131,G131,I131,K131)</f>
        <v/>
      </c>
      <c r="AC131" s="158">
        <f>SUM(AB131,AI148,AL165)</f>
        <v/>
      </c>
      <c r="AD131" s="51" t="n"/>
      <c r="AE131" s="51" t="n"/>
      <c r="AF131" s="51" t="n"/>
      <c r="AG131" s="51" t="n"/>
      <c r="AH131" s="51" t="n"/>
      <c r="AI131" s="51" t="n"/>
      <c r="AJ131" s="51" t="n"/>
      <c r="AK131" s="51" t="n"/>
      <c r="AL131" s="51" t="n"/>
      <c r="AM131" s="51" t="n"/>
      <c r="AN131" s="51" t="n"/>
      <c r="AO131" s="51" t="n"/>
    </row>
    <row r="132" ht="20.25" customFormat="1" customHeight="1" s="66">
      <c r="A132" s="983" t="inlineStr">
        <is>
          <t>All exempted</t>
        </is>
      </c>
      <c r="B132" s="1390" t="n"/>
      <c r="C132" s="483" t="n">
        <v>0</v>
      </c>
      <c r="D132" s="1246" t="n">
        <v>0</v>
      </c>
      <c r="E132" s="990" t="n">
        <v>0</v>
      </c>
      <c r="F132" s="430" t="n">
        <v>0</v>
      </c>
      <c r="G132" s="483" t="n">
        <v>0</v>
      </c>
      <c r="H132" s="1246" t="n">
        <v>0</v>
      </c>
      <c r="I132" s="990" t="n">
        <v>0</v>
      </c>
      <c r="J132" s="430" t="n">
        <v>0</v>
      </c>
      <c r="K132" s="483" t="n">
        <v>0</v>
      </c>
      <c r="L132" s="1246" t="n">
        <v>0</v>
      </c>
      <c r="M132" s="342">
        <f>IF(SUM(C132,E132,G132,I132,K132)&gt;K82,"Section 3.5.2 - The sum of Columns of ""Number of Requests"" ""All exempted"" processed should be equal or less than the total of ""All exempted"" in Section 3.1","")</f>
        <v/>
      </c>
      <c r="AB132" s="158">
        <f>SUM(C132,E132,G132,I132,K132)</f>
        <v/>
      </c>
      <c r="AC132" s="158">
        <f>SUM(AB132,AI149,AL166)</f>
        <v/>
      </c>
      <c r="AD132" s="51" t="n"/>
      <c r="AE132" s="51" t="n"/>
      <c r="AF132" s="51" t="n"/>
      <c r="AG132" s="51" t="n"/>
      <c r="AH132" s="51" t="n"/>
      <c r="AI132" s="51" t="n"/>
      <c r="AJ132" s="51" t="n"/>
      <c r="AK132" s="51" t="n"/>
      <c r="AL132" s="51" t="n"/>
      <c r="AM132" s="51" t="n"/>
      <c r="AN132" s="51" t="n"/>
      <c r="AO132" s="51" t="n"/>
    </row>
    <row r="133" ht="19.5" customFormat="1" customHeight="1" s="66">
      <c r="A133" s="983" t="inlineStr">
        <is>
          <t>All excluded</t>
        </is>
      </c>
      <c r="B133" s="1390" t="n"/>
      <c r="C133" s="483" t="n">
        <v>0</v>
      </c>
      <c r="D133" s="183" t="n">
        <v>0</v>
      </c>
      <c r="E133" s="990" t="n">
        <v>0</v>
      </c>
      <c r="F133" s="430" t="n">
        <v>0</v>
      </c>
      <c r="G133" s="483" t="n">
        <v>0</v>
      </c>
      <c r="H133" s="1246" t="n">
        <v>0</v>
      </c>
      <c r="I133" s="990" t="n">
        <v>0</v>
      </c>
      <c r="J133" s="430" t="n">
        <v>0</v>
      </c>
      <c r="K133" s="483" t="n">
        <v>0</v>
      </c>
      <c r="L133" s="1246" t="n">
        <v>0</v>
      </c>
      <c r="M133" s="342">
        <f>IF(SUM(C133,E133,G133,I133,K133)&gt;K83,"Section 3.5.2 - The sum of Columns of ""Number of Requests"" ""All excluded"" processed should be equal or less than the total of ""All excluded"" in Section 3.1","")</f>
        <v/>
      </c>
      <c r="AA133" s="51" t="n"/>
      <c r="AB133" s="158">
        <f>SUM(C133,E133,G133,I133,K133)</f>
        <v/>
      </c>
      <c r="AC133" s="158">
        <f>SUM(AB133,AI150,AL167)</f>
        <v/>
      </c>
      <c r="AD133" s="51" t="n"/>
      <c r="AE133" s="51" t="n"/>
      <c r="AF133" s="51" t="n"/>
      <c r="AG133" s="51" t="n"/>
      <c r="AH133" s="51" t="n"/>
      <c r="AI133" s="51" t="n"/>
      <c r="AJ133" s="51" t="n"/>
      <c r="AK133" s="51" t="n"/>
      <c r="AL133" s="51" t="n"/>
      <c r="AM133" s="51" t="n"/>
      <c r="AN133" s="51" t="n"/>
      <c r="AO133" s="51" t="n"/>
    </row>
    <row r="134" ht="27.75" customFormat="1" customHeight="1" s="66">
      <c r="A134" s="1411" t="inlineStr">
        <is>
          <t xml:space="preserve">Request abandoned </t>
        </is>
      </c>
      <c r="B134" s="1343" t="n"/>
      <c r="C134" s="483" t="n">
        <v>44</v>
      </c>
      <c r="D134" s="1246" t="n">
        <v>0</v>
      </c>
      <c r="E134" s="431" t="n">
        <v>0</v>
      </c>
      <c r="F134" s="430" t="n">
        <v>0</v>
      </c>
      <c r="G134" s="483" t="n">
        <v>0</v>
      </c>
      <c r="H134" s="1246" t="n">
        <v>0</v>
      </c>
      <c r="I134" s="990" t="n">
        <v>0</v>
      </c>
      <c r="J134" s="430" t="n">
        <v>0</v>
      </c>
      <c r="K134" s="483" t="n">
        <v>0</v>
      </c>
      <c r="L134" s="1246" t="n">
        <v>0</v>
      </c>
      <c r="M134" s="342">
        <f>IF(SUM(C134,E134,G134,I134,K134)&gt;K85,"Section 3.5.2 - The sum of Columns of ""Number of Requests"" ""Request abandoned "" processed should be equal or less than the total of ""Request abandoned "" in Section 3.1","")</f>
        <v/>
      </c>
      <c r="AB134" s="158">
        <f>SUM(C134,E134,G134,I134,K134)</f>
        <v/>
      </c>
      <c r="AC134" s="158">
        <f>SUM(AB134,AI151,AL168)</f>
        <v/>
      </c>
      <c r="AD134" s="51" t="n"/>
      <c r="AE134" s="51" t="n"/>
      <c r="AF134" s="51" t="n"/>
      <c r="AG134" s="51" t="n"/>
      <c r="AH134" s="51" t="n"/>
      <c r="AI134" s="51" t="n"/>
      <c r="AJ134" s="51" t="n"/>
      <c r="AK134" s="51" t="n"/>
      <c r="AL134" s="51" t="n"/>
      <c r="AM134" s="51" t="n"/>
      <c r="AN134" s="51" t="n"/>
      <c r="AO134" s="51" t="n"/>
    </row>
    <row r="135" ht="27.75" customFormat="1" customHeight="1" s="66" thickBot="1">
      <c r="A135" s="1413" t="inlineStr">
        <is>
          <t>Neither confirmed nor denied</t>
        </is>
      </c>
      <c r="B135" s="1356" t="n"/>
      <c r="C135" s="137" t="n">
        <v>0</v>
      </c>
      <c r="D135" s="187" t="n">
        <v>0</v>
      </c>
      <c r="E135" s="145" t="n">
        <v>0</v>
      </c>
      <c r="F135" s="187" t="n">
        <v>0</v>
      </c>
      <c r="G135" s="188" t="n">
        <v>0</v>
      </c>
      <c r="H135" s="187" t="n">
        <v>0</v>
      </c>
      <c r="I135" s="189" t="n">
        <v>0</v>
      </c>
      <c r="J135" s="187" t="n">
        <v>0</v>
      </c>
      <c r="K135" s="188" t="n">
        <v>0</v>
      </c>
      <c r="L135" s="1210" t="n">
        <v>0</v>
      </c>
      <c r="M135" s="342">
        <f>IF(SUM(C135,E135,G135,I135,K135)&gt;K86,"Section 3.5.2 - The sum of Columns of ""Number of Requests"" ""Neither confirmed nor denied"" processed should be equal or less than the total of ""Neither confirmed nor denied"" in Section 3.1","")</f>
        <v/>
      </c>
      <c r="Z135" s="116" t="n"/>
      <c r="AA135" s="51" t="n"/>
      <c r="AB135" s="158">
        <f>SUM(C135,E135,G135,I135,K135)</f>
        <v/>
      </c>
      <c r="AC135" s="158">
        <f>SUM(AB135,AI152,AL169)</f>
        <v/>
      </c>
      <c r="AD135" s="51" t="n"/>
      <c r="AE135" s="51" t="n"/>
      <c r="AF135" s="51" t="n"/>
      <c r="AG135" s="51" t="n"/>
      <c r="AH135" s="51" t="n"/>
      <c r="AI135" s="51" t="n"/>
      <c r="AJ135" s="51" t="n"/>
      <c r="AK135" s="51" t="n"/>
      <c r="AL135" s="51" t="n"/>
      <c r="AM135" s="51" t="n"/>
      <c r="AN135" s="51" t="n"/>
      <c r="AO135" s="51" t="n"/>
    </row>
    <row r="136" ht="15.75" customFormat="1" customHeight="1" s="66" thickBot="1" thickTop="1">
      <c r="A136" s="960" t="inlineStr">
        <is>
          <t>Total</t>
        </is>
      </c>
      <c r="B136" s="1396" t="n"/>
      <c r="C136" s="545">
        <f>SUM(C130:C135)</f>
        <v/>
      </c>
      <c r="D136" s="598">
        <f>SUM(D130:D135)</f>
        <v/>
      </c>
      <c r="E136" s="545">
        <f>SUM(E130:E135)</f>
        <v/>
      </c>
      <c r="F136" s="598">
        <f>SUM(F130:F135)</f>
        <v/>
      </c>
      <c r="G136" s="1064">
        <f>SUM(G130:G135)</f>
        <v/>
      </c>
      <c r="H136" s="598">
        <f>SUM(H130:H135)</f>
        <v/>
      </c>
      <c r="I136" s="1064">
        <f>SUM(I130:I135)</f>
        <v/>
      </c>
      <c r="J136" s="598">
        <f>SUM(J130:J135)</f>
        <v/>
      </c>
      <c r="K136" s="1064">
        <f>SUM(K130:K135)</f>
        <v/>
      </c>
      <c r="L136" s="598">
        <f>SUM(L130:L135)</f>
        <v/>
      </c>
      <c r="M136" s="342">
        <f>IF(SUM(C136,E136,G136,I136,K136)&gt;G123,"Section 3.5.2 - The sum of Columns of ""Number of Requests"" processed should be equal or less than the ""Number of Requests""s in Section 3.5.1","")</f>
        <v/>
      </c>
      <c r="AA136" s="51" t="n"/>
      <c r="AB136" s="158">
        <f>SUM(C136,E136,G136,I136,K136)</f>
        <v/>
      </c>
      <c r="AC136" s="158">
        <f>SUM(AB136,AI153,AL170)</f>
        <v/>
      </c>
      <c r="AD136" s="51" t="n"/>
      <c r="AE136" s="51" t="n"/>
      <c r="AF136" s="51" t="n"/>
      <c r="AG136" s="51" t="n"/>
      <c r="AH136" s="51" t="n"/>
      <c r="AI136" s="51" t="n"/>
      <c r="AJ136" s="51" t="n"/>
      <c r="AK136" s="51" t="n"/>
      <c r="AL136" s="51" t="n"/>
      <c r="AM136" s="51" t="n"/>
      <c r="AN136" s="51" t="n"/>
      <c r="AO136" s="51" t="n"/>
    </row>
    <row r="137" ht="15" customFormat="1" customHeight="1" s="66" thickTop="1">
      <c r="A137" s="83" t="n"/>
      <c r="B137" s="83" t="n"/>
      <c r="C137" s="75" t="n"/>
      <c r="D137" s="75" t="n"/>
      <c r="E137" s="75" t="n"/>
      <c r="F137" s="75" t="n"/>
      <c r="G137" s="75" t="n"/>
      <c r="H137" s="75" t="n"/>
      <c r="I137" s="75" t="n"/>
      <c r="J137" s="75" t="n"/>
      <c r="K137" s="75" t="n"/>
      <c r="L137" s="75" t="n"/>
      <c r="M137" s="342">
        <f>IF(SUM(D136,F136,H136,J136,L136)&gt;A123,"Section 3.5.2 - The sum of Columns of ""Pages Processed"" processed should be equal or less than the ""Number of Pages Processed"" in Section 3.5.1","")</f>
        <v/>
      </c>
      <c r="AA137" s="51" t="n"/>
      <c r="AB137" s="162" t="n"/>
      <c r="AC137" s="162" t="n"/>
      <c r="AD137" s="51" t="n"/>
      <c r="AE137" s="51" t="n"/>
      <c r="AF137" s="51" t="n"/>
      <c r="AG137" s="51" t="n"/>
      <c r="AH137" s="51" t="n"/>
      <c r="AI137" s="51" t="n"/>
      <c r="AJ137" s="51" t="n"/>
      <c r="AK137" s="51" t="n"/>
      <c r="AL137" s="51" t="n"/>
      <c r="AM137" s="51" t="n"/>
      <c r="AN137" s="51" t="n"/>
      <c r="AO137" s="51" t="n"/>
    </row>
    <row r="138" ht="15" customFormat="1" customHeight="1" s="66">
      <c r="A138" s="375" t="inlineStr">
        <is>
          <t>3.5.3 Relevant minutes processed and disclosed for audio formats</t>
        </is>
      </c>
      <c r="J138" s="75" t="n"/>
      <c r="K138" s="75" t="n"/>
      <c r="L138" s="75" t="n"/>
      <c r="M138" s="75" t="n"/>
      <c r="O138" s="49" t="n"/>
      <c r="P138" s="49" t="n"/>
      <c r="Q138" s="49" t="n"/>
      <c r="R138" s="49" t="n"/>
      <c r="S138" s="49" t="n"/>
      <c r="T138" s="49" t="n"/>
    </row>
    <row r="139" ht="15" customFormat="1" customHeight="1" s="66" thickBot="1">
      <c r="A139" s="49" t="n"/>
      <c r="B139" s="49" t="n"/>
      <c r="C139" s="49" t="n"/>
      <c r="D139" s="49" t="n"/>
      <c r="E139" s="49" t="n"/>
      <c r="F139" s="49" t="n"/>
      <c r="G139" s="49" t="n"/>
      <c r="H139" s="49" t="n"/>
      <c r="I139" s="49" t="n"/>
      <c r="J139" s="49" t="n"/>
      <c r="K139" s="49" t="n"/>
      <c r="L139" s="49" t="n"/>
      <c r="M139" s="75" t="n"/>
      <c r="O139" s="49" t="n"/>
      <c r="P139" s="49" t="n"/>
      <c r="Q139" s="49" t="n"/>
      <c r="R139" s="49" t="n"/>
      <c r="S139" s="49" t="n"/>
      <c r="T139" s="49" t="n"/>
    </row>
    <row r="140" ht="33" customFormat="1" customHeight="1" s="66" thickBot="1" thickTop="1">
      <c r="A140" s="1215" t="inlineStr">
        <is>
          <t>Number of Minutes Processed</t>
        </is>
      </c>
      <c r="B140" s="1333" t="n"/>
      <c r="C140" s="1386" t="n"/>
      <c r="D140" s="964" t="inlineStr">
        <is>
          <t>Number of Minutes Disclosed</t>
        </is>
      </c>
      <c r="E140" s="1333" t="n"/>
      <c r="F140" s="1386" t="n"/>
      <c r="G140" s="1415" t="inlineStr">
        <is>
          <t>Number of Requests</t>
        </is>
      </c>
      <c r="H140" s="1333" t="n"/>
      <c r="I140" s="1334" t="n"/>
      <c r="J140" s="49" t="n"/>
      <c r="K140" s="49" t="n"/>
      <c r="L140" s="49" t="n"/>
      <c r="M140" s="75" t="n"/>
      <c r="O140" s="49" t="n"/>
      <c r="P140" s="49" t="n"/>
      <c r="Q140" s="49" t="n"/>
      <c r="R140" s="49" t="n"/>
      <c r="S140" s="49" t="n"/>
      <c r="T140" s="49" t="n"/>
    </row>
    <row r="141" ht="16.5" customFormat="1" customHeight="1" s="66" thickBot="1" thickTop="1">
      <c r="A141" s="277" t="n">
        <v>0</v>
      </c>
      <c r="B141" s="1402" t="n"/>
      <c r="C141" s="1401" t="n"/>
      <c r="D141" s="278" t="n">
        <v>0</v>
      </c>
      <c r="E141" s="1402" t="n"/>
      <c r="F141" s="1401" t="n"/>
      <c r="G141" s="1485" t="n">
        <v>0</v>
      </c>
      <c r="H141" s="1402" t="n"/>
      <c r="I141" s="1400" t="n"/>
      <c r="J141" s="955">
        <f>IF(D141&gt;A141,"Section 3.5.3 - The ""Number of Minutes Disclosed"" should be equal or less than the ""Number of Minutes Processed""","")</f>
        <v/>
      </c>
    </row>
    <row r="142" ht="15" customFormat="1" customHeight="1" s="66" thickTop="1">
      <c r="A142" s="49" t="n"/>
      <c r="B142" s="49" t="n"/>
      <c r="C142" s="49" t="n"/>
      <c r="D142" s="49" t="n"/>
      <c r="E142" s="49" t="n"/>
      <c r="F142" s="49" t="n"/>
      <c r="G142" s="49" t="n"/>
      <c r="H142" s="49" t="n"/>
      <c r="I142" s="49" t="n"/>
      <c r="J142" s="955">
        <f>IF(G141&gt;SUM(K80:K83,K85:K86),"Section 3.5.3 - The ""Number of Requests"" should be equal to or less than the total of rows 1 to 4 and 6 to 7 of Section 3.1","")</f>
        <v/>
      </c>
    </row>
    <row r="143" ht="14.25" customFormat="1" customHeight="1" s="66">
      <c r="A143" s="372" t="inlineStr">
        <is>
          <t>3.5.4 Relevant minutes processed per request disposition for audio formats by size of requests</t>
        </is>
      </c>
      <c r="S143" s="190">
        <f>IFERROR(IF(G153/D153&gt;59,"Section 3.5.4 - The total ""Minutes Processed"" divided by the total ""Number of requests"" in ""Less than 60 Minutes processed"" must be equal to or less than 59.",""),"")</f>
        <v/>
      </c>
      <c r="T143" s="49" t="n"/>
    </row>
    <row r="144" ht="15.75" customFormat="1" customHeight="1" s="66" thickBot="1">
      <c r="A144" s="84" t="n"/>
      <c r="B144" s="84" t="n"/>
      <c r="C144" s="84" t="n"/>
      <c r="D144" s="84" t="n"/>
      <c r="E144" s="84" t="n"/>
      <c r="F144" s="84" t="n"/>
      <c r="G144" s="84" t="n"/>
      <c r="H144" s="84" t="n"/>
      <c r="I144" s="84" t="n"/>
      <c r="J144" s="84" t="n"/>
      <c r="K144" s="84" t="n"/>
      <c r="L144" s="84" t="n"/>
      <c r="M144" s="75" t="n"/>
      <c r="O144" s="49" t="n"/>
      <c r="P144" s="49" t="n"/>
      <c r="Q144" s="49" t="n"/>
      <c r="R144" s="49" t="n"/>
      <c r="S144" s="190">
        <f>IFERROR(IF(AND(L153/I153&gt;=60,L153/I153&lt;=120),"","Section 3.5.4 - The total ""Minutes Processed"" divided by the total ""Number of requests"" in ""60-120 Minutes processed"" must be between 60 to 120."),"")</f>
        <v/>
      </c>
      <c r="T144" s="49" t="n"/>
    </row>
    <row r="145" ht="15" customFormat="1" customHeight="1" s="66" thickTop="1">
      <c r="A145" s="1018" t="inlineStr">
        <is>
          <t>Disposition</t>
        </is>
      </c>
      <c r="B145" s="1353" t="n"/>
      <c r="C145" s="1393" t="n"/>
      <c r="D145" s="1029" t="inlineStr">
        <is>
          <t>Less than 60 Minutes processed</t>
        </is>
      </c>
      <c r="E145" s="1336" t="n"/>
      <c r="F145" s="1336" t="n"/>
      <c r="G145" s="1336" t="n"/>
      <c r="H145" s="1383" t="n"/>
      <c r="I145" s="1029" t="inlineStr">
        <is>
          <t>60-120 Minutes processed</t>
        </is>
      </c>
      <c r="J145" s="1336" t="n"/>
      <c r="K145" s="1336" t="n"/>
      <c r="L145" s="1336" t="n"/>
      <c r="M145" s="1383" t="n"/>
      <c r="N145" s="1290" t="inlineStr">
        <is>
          <t>More than 120 Minutes processed</t>
        </is>
      </c>
      <c r="O145" s="1336" t="n"/>
      <c r="P145" s="1336" t="n"/>
      <c r="Q145" s="1336" t="n"/>
      <c r="R145" s="1383" t="n"/>
      <c r="S145" s="190">
        <f>IFERROR(IF(Q153/N153&lt;=120,"Section 3.5.4 - The total ""Minutes Processed"" divided by the total ""Number of requests"" in ""More than 120 Minutes processed"" must be greater than 120.",""),"")</f>
        <v/>
      </c>
    </row>
    <row r="146" ht="15.75" customFormat="1" customHeight="1" s="66" thickBot="1">
      <c r="A146" s="1394" t="n"/>
      <c r="B146" s="1331" t="n"/>
      <c r="C146" s="1395" t="n"/>
      <c r="D146" s="1015" t="inlineStr">
        <is>
          <t>Number of requests</t>
        </is>
      </c>
      <c r="E146" s="1348" t="n"/>
      <c r="F146" s="1384" t="n"/>
      <c r="G146" s="1005" t="inlineStr">
        <is>
          <t>Minutes Processed</t>
        </is>
      </c>
      <c r="H146" s="1384" t="n"/>
      <c r="I146" s="1015" t="inlineStr">
        <is>
          <t>Number of requests</t>
        </is>
      </c>
      <c r="J146" s="1348" t="n"/>
      <c r="K146" s="1384" t="n"/>
      <c r="L146" s="1005" t="inlineStr">
        <is>
          <t>Minutes Processed</t>
        </is>
      </c>
      <c r="M146" s="1384" t="n"/>
      <c r="N146" s="1004" t="inlineStr">
        <is>
          <t>Number of requests</t>
        </is>
      </c>
      <c r="O146" s="1348" t="n"/>
      <c r="P146" s="1384" t="n"/>
      <c r="Q146" s="1006" t="inlineStr">
        <is>
          <t>Minutes Processed</t>
        </is>
      </c>
      <c r="R146" s="1384" t="n"/>
      <c r="S146" s="49" t="n"/>
      <c r="AI146" s="157" t="inlineStr">
        <is>
          <t>Number of requests 3.5.4</t>
        </is>
      </c>
      <c r="AJ146" s="157" t="n"/>
    </row>
    <row r="147" ht="13.5" customFormat="1" customHeight="1" s="66" thickTop="1">
      <c r="A147" s="1008" t="inlineStr">
        <is>
          <t>All disclosed</t>
        </is>
      </c>
      <c r="B147" s="1331" t="n"/>
      <c r="C147" s="1395" t="n"/>
      <c r="D147" s="1011" t="n">
        <v>0</v>
      </c>
      <c r="E147" s="1330" t="n"/>
      <c r="F147" s="1421" t="n"/>
      <c r="G147" s="1012" t="n">
        <v>0</v>
      </c>
      <c r="H147" s="1421" t="n"/>
      <c r="I147" s="1011" t="n">
        <v>0</v>
      </c>
      <c r="J147" s="1330" t="n"/>
      <c r="K147" s="1421" t="n"/>
      <c r="L147" s="1012" t="n">
        <v>0</v>
      </c>
      <c r="M147" s="1421" t="n"/>
      <c r="N147" s="1014" t="n">
        <v>0</v>
      </c>
      <c r="O147" s="1330" t="n"/>
      <c r="P147" s="1421" t="n"/>
      <c r="Q147" s="1012" t="n">
        <v>0</v>
      </c>
      <c r="R147" s="1421" t="n"/>
      <c r="S147" s="342">
        <f>IF(SUM(D147,I147,N147)&gt;K80,"Section 3.5.4 - The sum of Columns of ""Number of requests"" ""All disclosed"" should be equal or less than the total of ""All disclosed"" of Section 3.1","")</f>
        <v/>
      </c>
      <c r="AI147" s="157">
        <f>SUM(D147,I147,N147)</f>
        <v/>
      </c>
      <c r="AJ147" s="157" t="n"/>
    </row>
    <row r="148" ht="12.75" customFormat="1" customHeight="1" s="66">
      <c r="A148" s="937" t="inlineStr">
        <is>
          <t>Disclosed in part</t>
        </is>
      </c>
      <c r="B148" s="1342" t="n"/>
      <c r="C148" s="1390" t="n"/>
      <c r="D148" s="940" t="n">
        <v>0</v>
      </c>
      <c r="E148" s="1362" t="n"/>
      <c r="F148" s="1418" t="n"/>
      <c r="G148" s="935" t="n">
        <v>0</v>
      </c>
      <c r="H148" s="1418" t="n"/>
      <c r="I148" s="940" t="n">
        <v>0</v>
      </c>
      <c r="J148" s="1362" t="n"/>
      <c r="K148" s="1418" t="n"/>
      <c r="L148" s="935" t="n">
        <v>0</v>
      </c>
      <c r="M148" s="1418" t="n"/>
      <c r="N148" s="934" t="n">
        <v>0</v>
      </c>
      <c r="O148" s="1362" t="n"/>
      <c r="P148" s="1418" t="n"/>
      <c r="Q148" s="935" t="n">
        <v>0</v>
      </c>
      <c r="R148" s="1418" t="n"/>
      <c r="S148" s="342">
        <f>IF(SUM(D148,I148,N148)&gt;K81,"Section 3.5.4 - The sum of Columns of ""Number of requests"" ""Disclosed in part"" should be equal or less than the total of ""Disclosed in part"" of Section 3.1","")</f>
        <v/>
      </c>
      <c r="AI148" s="157">
        <f>SUM(D148,I148,N148)</f>
        <v/>
      </c>
      <c r="AJ148" s="157" t="n"/>
    </row>
    <row r="149" ht="12.75" customFormat="1" customHeight="1" s="66">
      <c r="A149" s="941" t="inlineStr">
        <is>
          <t>All exempted</t>
        </is>
      </c>
      <c r="B149" s="1342" t="n"/>
      <c r="C149" s="1390" t="n"/>
      <c r="D149" s="940" t="n">
        <v>0</v>
      </c>
      <c r="E149" s="1362" t="n"/>
      <c r="F149" s="1418" t="n"/>
      <c r="G149" s="935" t="n">
        <v>0</v>
      </c>
      <c r="H149" s="1418" t="n"/>
      <c r="I149" s="940" t="n">
        <v>0</v>
      </c>
      <c r="J149" s="1362" t="n"/>
      <c r="K149" s="1418" t="n"/>
      <c r="L149" s="935" t="n">
        <v>0</v>
      </c>
      <c r="M149" s="1418" t="n"/>
      <c r="N149" s="934" t="n">
        <v>0</v>
      </c>
      <c r="O149" s="1362" t="n"/>
      <c r="P149" s="1418" t="n"/>
      <c r="Q149" s="935" t="n">
        <v>0</v>
      </c>
      <c r="R149" s="1418" t="n"/>
      <c r="S149" s="342">
        <f>IF(SUM(D149,I149,N149)&gt;K82,"Section 3.5.4 - The sum of Columns of ""Number of requests"" ""All exempted"" should be equal or less than the total of ""All exempted"" of Section 3.1","")</f>
        <v/>
      </c>
      <c r="AI149" s="157">
        <f>SUM(D149,I149,N149)</f>
        <v/>
      </c>
      <c r="AJ149" s="157" t="n"/>
    </row>
    <row r="150" ht="12.75" customFormat="1" customHeight="1" s="66">
      <c r="A150" s="941" t="inlineStr">
        <is>
          <t>All excluded</t>
        </is>
      </c>
      <c r="B150" s="1342" t="n"/>
      <c r="C150" s="1390" t="n"/>
      <c r="D150" s="940" t="n">
        <v>0</v>
      </c>
      <c r="E150" s="1362" t="n"/>
      <c r="F150" s="1418" t="n"/>
      <c r="G150" s="935" t="n">
        <v>0</v>
      </c>
      <c r="H150" s="1418" t="n"/>
      <c r="I150" s="940" t="n">
        <v>0</v>
      </c>
      <c r="J150" s="1362" t="n"/>
      <c r="K150" s="1418" t="n"/>
      <c r="L150" s="935" t="n">
        <v>0</v>
      </c>
      <c r="M150" s="1418" t="n"/>
      <c r="N150" s="934" t="n">
        <v>0</v>
      </c>
      <c r="O150" s="1362" t="n"/>
      <c r="P150" s="1418" t="n"/>
      <c r="Q150" s="935" t="n">
        <v>0</v>
      </c>
      <c r="R150" s="1418" t="n"/>
      <c r="S150" s="342">
        <f>IF(SUM(D150,I150,N150)&gt;K83,"Section 3.5.4 - The sum of Columns of ""Number of requests"" ""All excluded"" should be equal or less than the total of ""All excluded"" of Section 3.1","")</f>
        <v/>
      </c>
      <c r="AI150" s="157">
        <f>SUM(D150,I150,N150)</f>
        <v/>
      </c>
      <c r="AJ150" s="157" t="n"/>
    </row>
    <row r="151" ht="12.75" customFormat="1" customHeight="1" s="66">
      <c r="A151" s="937" t="inlineStr">
        <is>
          <t xml:space="preserve">Request abandoned </t>
        </is>
      </c>
      <c r="B151" s="1342" t="n"/>
      <c r="C151" s="1390" t="n"/>
      <c r="D151" s="940" t="n">
        <v>0</v>
      </c>
      <c r="E151" s="1362" t="n"/>
      <c r="F151" s="1418" t="n"/>
      <c r="G151" s="935" t="n">
        <v>0</v>
      </c>
      <c r="H151" s="1418" t="n"/>
      <c r="I151" s="940" t="n">
        <v>0</v>
      </c>
      <c r="J151" s="1362" t="n"/>
      <c r="K151" s="1418" t="n"/>
      <c r="L151" s="935" t="n">
        <v>0</v>
      </c>
      <c r="M151" s="1418" t="n"/>
      <c r="N151" s="934" t="n">
        <v>0</v>
      </c>
      <c r="O151" s="1362" t="n"/>
      <c r="P151" s="1418" t="n"/>
      <c r="Q151" s="935" t="n">
        <v>0</v>
      </c>
      <c r="R151" s="1418" t="n"/>
      <c r="S151" s="342">
        <f>IF(SUM(D151,I151,N151)&gt;K85,"Section 3.5.4 - The sum of Columns of ""Number of requests"" ""Request abandoned "" should be equal or less than the total of ""Request abandoned "" of Section 3.1","")</f>
        <v/>
      </c>
      <c r="AI151" s="157">
        <f>SUM(D151,I151,N151)</f>
        <v/>
      </c>
      <c r="AJ151" s="157" t="n"/>
    </row>
    <row r="152" ht="13.5" customFormat="1" customHeight="1" s="66" thickBot="1">
      <c r="A152" s="1024" t="inlineStr">
        <is>
          <t>Neither confirmed nor denied</t>
        </is>
      </c>
      <c r="B152" s="1348" t="n"/>
      <c r="C152" s="1384" t="n"/>
      <c r="D152" s="1027" t="n">
        <v>0</v>
      </c>
      <c r="E152" s="1363" t="n"/>
      <c r="F152" s="1419" t="n"/>
      <c r="G152" s="952" t="n">
        <v>0</v>
      </c>
      <c r="H152" s="1384" t="n"/>
      <c r="I152" s="1032" t="n">
        <v>0</v>
      </c>
      <c r="J152" s="1348" t="n"/>
      <c r="K152" s="1384" t="n"/>
      <c r="L152" s="952" t="n">
        <v>0</v>
      </c>
      <c r="M152" s="1384" t="n"/>
      <c r="N152" s="957" t="n">
        <v>0</v>
      </c>
      <c r="O152" s="1348" t="n"/>
      <c r="P152" s="1384" t="n"/>
      <c r="Q152" s="952" t="n">
        <v>0</v>
      </c>
      <c r="R152" s="1384" t="n"/>
      <c r="S152" s="342">
        <f>IF(SUM(D152,I152,N152)&gt;K86,"Section 3.5.4 - The sum of Columns of ""Number of requests"" ""Neither confirmed nor denied"" should be equal or less than the total of ""Neither confirmed nor denied"" of Section 3.1","")</f>
        <v/>
      </c>
      <c r="AI152" s="157">
        <f>SUM(D152,I152,N152)</f>
        <v/>
      </c>
      <c r="AJ152" s="157" t="n"/>
    </row>
    <row r="153" ht="16.5" customFormat="1" customHeight="1" s="66" thickBot="1" thickTop="1">
      <c r="A153" s="980" t="inlineStr">
        <is>
          <t>Total</t>
        </is>
      </c>
      <c r="B153" s="1350" t="n"/>
      <c r="C153" s="1396" t="n"/>
      <c r="D153" s="951">
        <f>SUM(D147:F152)</f>
        <v/>
      </c>
      <c r="E153" s="1350" t="n"/>
      <c r="F153" s="1396" t="n"/>
      <c r="G153" s="949">
        <f>SUM(G147:H152)</f>
        <v/>
      </c>
      <c r="H153" s="1396" t="n"/>
      <c r="I153" s="951">
        <f>SUM(I147:K152)</f>
        <v/>
      </c>
      <c r="J153" s="1350" t="n"/>
      <c r="K153" s="1396" t="n"/>
      <c r="L153" s="949">
        <f>SUM(L147:M152)</f>
        <v/>
      </c>
      <c r="M153" s="1396" t="n"/>
      <c r="N153" s="783">
        <f>SUM(N147:P152)</f>
        <v/>
      </c>
      <c r="O153" s="1350" t="n"/>
      <c r="P153" s="1396" t="n"/>
      <c r="Q153" s="949">
        <f>SUM(Q147:R152)</f>
        <v/>
      </c>
      <c r="R153" s="1396" t="n"/>
      <c r="S153" s="342">
        <f>IF(SUM(D153,I153,N153)&lt;&gt;G141,"Section 3.5.4 - The sum of Columns of ""Number of requests"" should be equal or less than the ""Number of Requests"" of Section 3.5.3","")</f>
        <v/>
      </c>
      <c r="AI153" s="157">
        <f>SUM(D153,I153,N153)</f>
        <v/>
      </c>
      <c r="AJ153" s="157" t="n"/>
    </row>
    <row r="154" ht="15.75" customFormat="1" customHeight="1" s="66" thickTop="1">
      <c r="A154" s="83" t="n"/>
      <c r="B154" s="83" t="n"/>
      <c r="C154" s="75" t="n"/>
      <c r="D154" s="75" t="n"/>
      <c r="E154" s="75" t="n"/>
      <c r="F154" s="75" t="n"/>
      <c r="G154" s="75" t="n"/>
      <c r="H154" s="75" t="n"/>
      <c r="I154" s="85" t="n"/>
      <c r="J154" s="85" t="n"/>
      <c r="K154" s="85" t="n"/>
      <c r="L154" s="85" t="n"/>
      <c r="M154" s="75" t="n"/>
      <c r="O154" s="49" t="n"/>
      <c r="P154" s="49" t="n"/>
      <c r="Q154" s="49" t="n"/>
      <c r="R154" s="49" t="n"/>
      <c r="S154" s="342">
        <f>IF(SUM(G153,L153,Q153)&lt;&gt;A141,"Section 3.5.4 - The sum of Columns of ""Minutes Processed"" should be equal or less than the ""Number of Minutes Processed"" of Section 3.5.3","")</f>
        <v/>
      </c>
      <c r="AI154" s="161" t="n"/>
    </row>
    <row r="155" ht="15" customFormat="1" customHeight="1" s="66">
      <c r="A155" s="373" t="inlineStr">
        <is>
          <t>3.5.5 Relevant minutes processed and disclosed for video formats</t>
        </is>
      </c>
      <c r="J155" s="75" t="n"/>
      <c r="K155" s="75" t="n"/>
      <c r="L155" s="75" t="n"/>
      <c r="M155" s="75" t="n"/>
      <c r="O155" s="49" t="n"/>
      <c r="P155" s="49" t="n"/>
      <c r="Q155" s="49" t="n"/>
      <c r="R155" s="49" t="n"/>
      <c r="S155" s="49" t="n"/>
      <c r="T155" s="51" t="n"/>
    </row>
    <row r="156" ht="15" customFormat="1" customHeight="1" s="66" thickBot="1">
      <c r="A156" s="49" t="n"/>
      <c r="B156" s="49" t="n"/>
      <c r="C156" s="49" t="n"/>
      <c r="D156" s="49" t="n"/>
      <c r="E156" s="49" t="n"/>
      <c r="F156" s="49" t="n"/>
      <c r="G156" s="49" t="n"/>
      <c r="H156" s="49" t="n"/>
      <c r="I156" s="49" t="n"/>
      <c r="J156" s="49" t="n"/>
      <c r="K156" s="49" t="n"/>
      <c r="L156" s="49" t="n"/>
      <c r="M156" s="75" t="n"/>
      <c r="O156" s="49" t="n"/>
      <c r="P156" s="49" t="n"/>
      <c r="Q156" s="49" t="n"/>
      <c r="R156" s="49" t="n"/>
      <c r="S156" s="49" t="n"/>
      <c r="T156" s="51" t="n"/>
    </row>
    <row r="157" ht="29.25" customFormat="1" customHeight="1" s="86" thickBot="1" thickTop="1">
      <c r="A157" s="1215" t="inlineStr">
        <is>
          <t>Number of Minutes Processed</t>
        </is>
      </c>
      <c r="B157" s="1333" t="n"/>
      <c r="C157" s="1386" t="n"/>
      <c r="D157" s="964" t="inlineStr">
        <is>
          <t>Number of Minutes Disclosed</t>
        </is>
      </c>
      <c r="E157" s="1333" t="n"/>
      <c r="F157" s="1386" t="n"/>
      <c r="G157" s="1415" t="inlineStr">
        <is>
          <t>Number of Requests</t>
        </is>
      </c>
      <c r="H157" s="1333" t="n"/>
      <c r="I157" s="1334" t="n"/>
      <c r="J157" s="342">
        <f>IF(D158&gt;A158,"Section 3.5.5 - The ""Number of Minutes Disclosed"" should be equal to or less than the ""Number of Minutes Processed""","")</f>
        <v/>
      </c>
      <c r="AA157" s="66" t="n"/>
      <c r="AB157" s="66" t="n"/>
      <c r="AC157" s="66" t="n"/>
      <c r="AD157" s="66" t="n"/>
    </row>
    <row r="158" ht="16.5" customFormat="1" customHeight="1" s="66" thickBot="1" thickTop="1">
      <c r="A158" s="277" t="n">
        <v>0</v>
      </c>
      <c r="B158" s="1402" t="n"/>
      <c r="C158" s="1401" t="n"/>
      <c r="D158" s="278" t="n">
        <v>0</v>
      </c>
      <c r="E158" s="1402" t="n"/>
      <c r="F158" s="1401" t="n"/>
      <c r="G158" s="1485" t="n">
        <v>0</v>
      </c>
      <c r="H158" s="1402" t="n"/>
      <c r="I158" s="1400" t="n"/>
      <c r="J158" s="342">
        <f>IF(G158&gt;SUM(K80:K83,K85:K86),"Section 3.5.5 - The ""Number of Requests"" should be equal to or less than the sum of rows 1 to 4, 6 and 7 of Section 3.1","")</f>
        <v/>
      </c>
    </row>
    <row r="159" ht="15" customFormat="1" customHeight="1" s="66" thickTop="1">
      <c r="A159" s="49" t="n"/>
      <c r="B159" s="49" t="n"/>
      <c r="C159" s="49" t="n"/>
      <c r="D159" s="49" t="n"/>
      <c r="E159" s="49" t="n"/>
      <c r="F159" s="49" t="n"/>
      <c r="G159" s="49" t="n"/>
      <c r="H159" s="49" t="n"/>
      <c r="I159" s="49" t="n"/>
      <c r="J159" s="342">
        <f>IF(SUM(G123,G141,G158)&lt;SUM(K80:K83,K85:K86),"The sum of ""Number of Requests"" from Sections 3.5.1, 3.5.3 and 3.5.5 should be equal to or greater than the sum of rows 1 to 4, 6 and 7 of Section 3.1","")</f>
        <v/>
      </c>
    </row>
    <row r="160" ht="15" customFormat="1" customHeight="1" s="66">
      <c r="A160" s="372" t="inlineStr">
        <is>
          <t>3.5.6 Relevant minutes processed per request disposition for video formats by size of requests</t>
        </is>
      </c>
      <c r="S160" s="190">
        <f>IFERROR(IF(G170/D170&gt;59,"Section 3.5.6 - The total ""Minutes Processed"" divided by the total ""Number of requests"" in ""Less Than 60 Minutes processed"" must be equal to or less than 59.",""),"")</f>
        <v/>
      </c>
    </row>
    <row r="161" ht="15.75" customFormat="1" customHeight="1" s="66" thickBot="1">
      <c r="A161" s="150" t="n"/>
      <c r="B161" s="150" t="n"/>
      <c r="C161" s="150" t="n"/>
      <c r="D161" s="150" t="n"/>
      <c r="E161" s="150" t="n"/>
      <c r="F161" s="150" t="n"/>
      <c r="G161" s="150" t="n"/>
      <c r="H161" s="150" t="n"/>
      <c r="I161" s="150" t="n"/>
      <c r="J161" s="150" t="n"/>
      <c r="K161" s="150" t="n"/>
      <c r="L161" s="150" t="n"/>
      <c r="M161" s="75" t="n"/>
      <c r="O161" s="49" t="n"/>
      <c r="P161" s="49" t="n"/>
      <c r="Q161" s="49" t="n"/>
      <c r="R161" s="49" t="n"/>
      <c r="S161" s="190">
        <f>IFERROR(IF(AND(L170/I170&gt;=60,L170/I170&lt;=120),"","Section 3.5.6 - The total ""Minutes Processed"" divided by the total ""Number of requests"" in ""60-120 Minutes processed"" must be between 60 to 120."),"")</f>
        <v/>
      </c>
      <c r="T161" s="51" t="n"/>
    </row>
    <row r="162" ht="15" customFormat="1" customHeight="1" s="66" thickTop="1">
      <c r="A162" s="1018" t="inlineStr">
        <is>
          <t>Disposition</t>
        </is>
      </c>
      <c r="B162" s="1353" t="n"/>
      <c r="C162" s="1393" t="n"/>
      <c r="D162" s="1029" t="inlineStr">
        <is>
          <t>Less than 60 Minutes processed</t>
        </is>
      </c>
      <c r="E162" s="1336" t="n"/>
      <c r="F162" s="1336" t="n"/>
      <c r="G162" s="1336" t="n"/>
      <c r="H162" s="1383" t="n"/>
      <c r="I162" s="1029" t="inlineStr">
        <is>
          <t>60-120 Minutes processed</t>
        </is>
      </c>
      <c r="J162" s="1336" t="n"/>
      <c r="K162" s="1336" t="n"/>
      <c r="L162" s="1336" t="n"/>
      <c r="M162" s="1383" t="n"/>
      <c r="N162" s="1290" t="inlineStr">
        <is>
          <t>More than 120 Minutes processed</t>
        </is>
      </c>
      <c r="O162" s="1336" t="n"/>
      <c r="P162" s="1336" t="n"/>
      <c r="Q162" s="1336" t="n"/>
      <c r="R162" s="1383" t="n"/>
      <c r="S162" s="190">
        <f>IFERROR(IF(Q170/N170&lt;=120,"Section 3.5.6 - The total ""Minutes Processed"" divided by the total ""Number of requests"" in ""More than 120 Minutes processed"" must be greater than 120.",""),"")</f>
        <v/>
      </c>
      <c r="T162" s="51" t="n"/>
    </row>
    <row r="163" ht="30" customFormat="1" customHeight="1" s="66" thickBot="1">
      <c r="A163" s="1394" t="n"/>
      <c r="B163" s="1331" t="n"/>
      <c r="C163" s="1395" t="n"/>
      <c r="D163" s="1015" t="inlineStr">
        <is>
          <t>Number of requests</t>
        </is>
      </c>
      <c r="E163" s="1348" t="n"/>
      <c r="F163" s="1384" t="n"/>
      <c r="G163" s="1005" t="inlineStr">
        <is>
          <t>Minutes Processed</t>
        </is>
      </c>
      <c r="H163" s="1384" t="n"/>
      <c r="I163" s="1015" t="inlineStr">
        <is>
          <t>Number of requests</t>
        </is>
      </c>
      <c r="J163" s="1348" t="n"/>
      <c r="K163" s="1384" t="n"/>
      <c r="L163" s="1005" t="inlineStr">
        <is>
          <t>Minutes Processed</t>
        </is>
      </c>
      <c r="M163" s="1384" t="n"/>
      <c r="N163" s="1004" t="inlineStr">
        <is>
          <t>Number of requests</t>
        </is>
      </c>
      <c r="O163" s="1348" t="n"/>
      <c r="P163" s="1384" t="n"/>
      <c r="Q163" s="1006" t="inlineStr">
        <is>
          <t>Minutes Processed</t>
        </is>
      </c>
      <c r="R163" s="1384" t="n"/>
      <c r="S163" s="49" t="n"/>
      <c r="T163" s="51" t="n"/>
      <c r="AL163" s="157" t="inlineStr">
        <is>
          <t>Number of requests 3.5.6</t>
        </is>
      </c>
    </row>
    <row r="164" ht="15" customFormat="1" customHeight="1" s="66" thickTop="1">
      <c r="A164" s="1008" t="inlineStr">
        <is>
          <t>All disclosed</t>
        </is>
      </c>
      <c r="B164" s="1331" t="n"/>
      <c r="C164" s="1395" t="n"/>
      <c r="D164" s="1011" t="n">
        <v>0</v>
      </c>
      <c r="E164" s="1330" t="n"/>
      <c r="F164" s="1421" t="n"/>
      <c r="G164" s="1012" t="n">
        <v>0</v>
      </c>
      <c r="H164" s="1421" t="n"/>
      <c r="I164" s="1011" t="n">
        <v>0</v>
      </c>
      <c r="J164" s="1330" t="n"/>
      <c r="K164" s="1421" t="n"/>
      <c r="L164" s="1012" t="n">
        <v>0</v>
      </c>
      <c r="M164" s="1421" t="n"/>
      <c r="N164" s="1014" t="n">
        <v>0</v>
      </c>
      <c r="O164" s="1330" t="n"/>
      <c r="P164" s="1421" t="n"/>
      <c r="Q164" s="1012" t="n">
        <v>0</v>
      </c>
      <c r="R164" s="1421" t="n"/>
      <c r="S164" s="342">
        <f>IF(SUM(D164,I164,N164)&gt;K80,"Section 3.5.6 - The sum of Columns of ""Number of requests"" ""All disclosed"" should be equal or less than the total of ""All disclosed"" of Section 3.1","")</f>
        <v/>
      </c>
      <c r="AA164" s="342">
        <f>IF(K80&gt;(SUM(D164,I164,N164)+SUM(D147,I147,N147)+SUM(C130,E130,G130,I130,K130)),"The sum of all totals of ""All disclosed"" from ""Sections 3.5.2, 3.5.4, 3.5.6"" should equal to or greater than the ""All disclosed"" of Section 3.1.","")</f>
        <v/>
      </c>
      <c r="AL164" s="157">
        <f>SUM(D164,I164,N164)</f>
        <v/>
      </c>
      <c r="AN164" s="51" t="n"/>
      <c r="AO164" s="51" t="n"/>
      <c r="AP164" s="51" t="n"/>
      <c r="AQ164" s="51" t="n"/>
    </row>
    <row r="165" customFormat="1" s="66">
      <c r="A165" s="937" t="inlineStr">
        <is>
          <t>Disclosed in part</t>
        </is>
      </c>
      <c r="B165" s="1342" t="n"/>
      <c r="C165" s="1390" t="n"/>
      <c r="D165" s="940" t="n">
        <v>0</v>
      </c>
      <c r="E165" s="1362" t="n"/>
      <c r="F165" s="1418" t="n"/>
      <c r="G165" s="935" t="n">
        <v>0</v>
      </c>
      <c r="H165" s="1418" t="n"/>
      <c r="I165" s="940" t="n">
        <v>0</v>
      </c>
      <c r="J165" s="1362" t="n"/>
      <c r="K165" s="1418" t="n"/>
      <c r="L165" s="935" t="n">
        <v>0</v>
      </c>
      <c r="M165" s="1418" t="n"/>
      <c r="N165" s="934" t="n">
        <v>0</v>
      </c>
      <c r="O165" s="1362" t="n"/>
      <c r="P165" s="1418" t="n"/>
      <c r="Q165" s="935" t="n">
        <v>0</v>
      </c>
      <c r="R165" s="1418" t="n"/>
      <c r="S165" s="342">
        <f>IF(SUM(D165,I165,N165)&gt;K81,"Section 3.5.6 - The sum of Columns of ""Number of requests"" ""Disclosed in part"" should be equal or less than the total of ""Disclosed in part"" of Section 3.1","")</f>
        <v/>
      </c>
      <c r="AA165" s="342">
        <f>IF(K81&gt;(SUM(D165,I165,N165)+SUM(D148,I148,N148)+SUM(C131,E131,G131,I131,K131)),"The sum of all totals of ""Disclosed in part"" from ""Sections 3.5.2, 3.5.4, 3.5.6"" should equal to or greater than the ""Disclosed in part"" of Section 3.1.","")</f>
        <v/>
      </c>
      <c r="AL165" s="157">
        <f>SUM(D165,I165,N165)</f>
        <v/>
      </c>
      <c r="AN165" s="51" t="n"/>
      <c r="AO165" s="51" t="n"/>
      <c r="AP165" s="51" t="n"/>
      <c r="AQ165" s="51" t="n"/>
    </row>
    <row r="166" customFormat="1" s="66">
      <c r="A166" s="941" t="inlineStr">
        <is>
          <t>All exempted</t>
        </is>
      </c>
      <c r="B166" s="1342" t="n"/>
      <c r="C166" s="1390" t="n"/>
      <c r="D166" s="940" t="n">
        <v>0</v>
      </c>
      <c r="E166" s="1362" t="n"/>
      <c r="F166" s="1418" t="n"/>
      <c r="G166" s="935" t="n">
        <v>0</v>
      </c>
      <c r="H166" s="1418" t="n"/>
      <c r="I166" s="940" t="n">
        <v>0</v>
      </c>
      <c r="J166" s="1362" t="n"/>
      <c r="K166" s="1418" t="n"/>
      <c r="L166" s="935" t="n">
        <v>0</v>
      </c>
      <c r="M166" s="1418" t="n"/>
      <c r="N166" s="934" t="n">
        <v>0</v>
      </c>
      <c r="O166" s="1362" t="n"/>
      <c r="P166" s="1418" t="n"/>
      <c r="Q166" s="935" t="n">
        <v>0</v>
      </c>
      <c r="R166" s="1418" t="n"/>
      <c r="S166" s="342">
        <f>IF(SUM(D166,I166,N166)&gt;K82,"Section 3.5.6 - The sum of Columns of ""Number of requests"" ""All exempted"" should be equal or less than the total of ""All exempted"" of Section 3.1","")</f>
        <v/>
      </c>
      <c r="AA166" s="342">
        <f>IF(K82&gt;(SUM(D166,I166,N166)+SUM(D149,I149,N149)+SUM(C132,E132,G132,I132,K132)),"The sum of all totals of ""All exempted"" from ""Sections 3.5.2, 3.5.4, 3.5.6"" should equal to or greater than the ""All exempted"" of Section 3.1.","")</f>
        <v/>
      </c>
      <c r="AL166" s="157">
        <f>SUM(D166,I166,N166)</f>
        <v/>
      </c>
      <c r="AN166" s="51" t="n"/>
      <c r="AO166" s="51" t="n"/>
      <c r="AP166" s="51" t="n"/>
      <c r="AQ166" s="51" t="n"/>
    </row>
    <row r="167" customFormat="1" s="66">
      <c r="A167" s="941" t="inlineStr">
        <is>
          <t>All excluded</t>
        </is>
      </c>
      <c r="B167" s="1342" t="n"/>
      <c r="C167" s="1390" t="n"/>
      <c r="D167" s="940" t="n">
        <v>0</v>
      </c>
      <c r="E167" s="1362" t="n"/>
      <c r="F167" s="1418" t="n"/>
      <c r="G167" s="935" t="n">
        <v>0</v>
      </c>
      <c r="H167" s="1418" t="n"/>
      <c r="I167" s="940" t="n">
        <v>0</v>
      </c>
      <c r="J167" s="1362" t="n"/>
      <c r="K167" s="1418" t="n"/>
      <c r="L167" s="935" t="n">
        <v>0</v>
      </c>
      <c r="M167" s="1418" t="n"/>
      <c r="N167" s="934" t="n">
        <v>0</v>
      </c>
      <c r="O167" s="1362" t="n"/>
      <c r="P167" s="1418" t="n"/>
      <c r="Q167" s="935" t="n">
        <v>0</v>
      </c>
      <c r="R167" s="1418" t="n"/>
      <c r="S167" s="342">
        <f>IF(SUM(D167,I167,N167)&gt;K83,"Section 3.5.6 - The sum of Columns of ""Number of requests"" ""All excluded"" should be equal or less than the total of ""All excluded"" of Section 3.1","")</f>
        <v/>
      </c>
      <c r="AA167" s="342">
        <f>IF(K83&gt;(SUM(D167,I167,N167)+SUM(D150,I150,N150)+SUM(C133,E133,G133,I133,K133)),"The sum of all totals of ""All excluded"" from ""Sections 3.5.2, 3.5.4, 3.5.6"" should equal to or greater than the ""All excluded"" of Section 3.1.","")</f>
        <v/>
      </c>
      <c r="AL167" s="157">
        <f>SUM(D167,I167,N167)</f>
        <v/>
      </c>
      <c r="AN167" s="51" t="n"/>
      <c r="AO167" s="51" t="n"/>
      <c r="AP167" s="51" t="n"/>
      <c r="AQ167" s="51" t="n"/>
    </row>
    <row r="168" customFormat="1" s="66">
      <c r="A168" s="937" t="inlineStr">
        <is>
          <t xml:space="preserve">Request abandoned </t>
        </is>
      </c>
      <c r="B168" s="1342" t="n"/>
      <c r="C168" s="1390" t="n"/>
      <c r="D168" s="940" t="n">
        <v>0</v>
      </c>
      <c r="E168" s="1362" t="n"/>
      <c r="F168" s="1418" t="n"/>
      <c r="G168" s="935" t="n">
        <v>0</v>
      </c>
      <c r="H168" s="1418" t="n"/>
      <c r="I168" s="940" t="n">
        <v>0</v>
      </c>
      <c r="J168" s="1362" t="n"/>
      <c r="K168" s="1418" t="n"/>
      <c r="L168" s="935" t="n">
        <v>0</v>
      </c>
      <c r="M168" s="1418" t="n"/>
      <c r="N168" s="934" t="n">
        <v>0</v>
      </c>
      <c r="O168" s="1362" t="n"/>
      <c r="P168" s="1418" t="n"/>
      <c r="Q168" s="935" t="n">
        <v>0</v>
      </c>
      <c r="R168" s="1418" t="n"/>
      <c r="S168" s="342">
        <f>IF(SUM(D168,I168,N168)&gt;K85,"Section 3.5.6 - The sum of Columns of ""Number of requests"" ""Request abandoned "" should be equal or less than the total of ""Request abandoned "" of Section 3.1","")</f>
        <v/>
      </c>
      <c r="AA168" s="342">
        <f>IF(K85&gt;(SUM(D168,I168,N168)+SUM(D151,I151,N151)+SUM(C134,E134,G134,I134,K134)),"The sum of all totals of ""Request abandoned "" from ""Sections 3.5.2, 3.5.4, 3.5.6"" should equal to or greater than the ""Request abandoned "" of Section 3.1.","")</f>
        <v/>
      </c>
      <c r="AL168" s="157">
        <f>SUM(D168,I168,N168)</f>
        <v/>
      </c>
      <c r="AN168" s="51" t="n"/>
      <c r="AO168" s="51" t="n"/>
      <c r="AP168" s="51" t="n"/>
      <c r="AQ168" s="51" t="n"/>
    </row>
    <row r="169" ht="15" customFormat="1" customHeight="1" s="66" thickBot="1">
      <c r="A169" s="1024" t="inlineStr">
        <is>
          <t>Neither confirmed nor denied</t>
        </is>
      </c>
      <c r="B169" s="1348" t="n"/>
      <c r="C169" s="1384" t="n"/>
      <c r="D169" s="1027" t="n">
        <v>0</v>
      </c>
      <c r="E169" s="1363" t="n"/>
      <c r="F169" s="1419" t="n"/>
      <c r="G169" s="952" t="n">
        <v>0</v>
      </c>
      <c r="H169" s="1384" t="n"/>
      <c r="I169" s="1032" t="n">
        <v>0</v>
      </c>
      <c r="J169" s="1348" t="n"/>
      <c r="K169" s="1384" t="n"/>
      <c r="L169" s="952" t="n">
        <v>0</v>
      </c>
      <c r="M169" s="1384" t="n"/>
      <c r="N169" s="957" t="n">
        <v>0</v>
      </c>
      <c r="O169" s="1348" t="n"/>
      <c r="P169" s="1384" t="n"/>
      <c r="Q169" s="952" t="n">
        <v>0</v>
      </c>
      <c r="R169" s="1384" t="n"/>
      <c r="S169" s="342">
        <f>IF(SUM(D169,I169,N169)&gt;K86,"Section 3.5.6 - The sum of Columns of ""Number of requests"" ""Neither confirmed nor denied"" should be equal or less than the total of ""Neither confirmed nor denied"" of Section 3.1","")</f>
        <v/>
      </c>
      <c r="AA169" s="342">
        <f>IF(K86&gt;(SUM(D169,I169,N169)+SUM(D152,I152,N152)+SUM(C135,E135,G135,I135,K135)),"The sum of all totals of ""Neither confirmed nor denied"" from ""Sections 3.5.2, 3.5.4, 3.5.6"" should equal to or greater than the ""Neither confirmed nor denied"" of Section 3.1.","")</f>
        <v/>
      </c>
      <c r="AL169" s="157">
        <f>SUM(D169,I169,N169)</f>
        <v/>
      </c>
      <c r="AN169" s="51" t="n"/>
      <c r="AO169" s="51" t="n"/>
      <c r="AP169" s="51" t="n"/>
      <c r="AQ169" s="51" t="n"/>
    </row>
    <row r="170" ht="15.75" customFormat="1" customHeight="1" s="66" thickBot="1" thickTop="1">
      <c r="A170" s="980" t="inlineStr">
        <is>
          <t>Total</t>
        </is>
      </c>
      <c r="B170" s="1350" t="n"/>
      <c r="C170" s="1396" t="n"/>
      <c r="D170" s="951">
        <f>SUM(D164:F169)</f>
        <v/>
      </c>
      <c r="E170" s="1350" t="n"/>
      <c r="F170" s="1396" t="n"/>
      <c r="G170" s="949">
        <f>SUM(G164:H169)</f>
        <v/>
      </c>
      <c r="H170" s="1396" t="n"/>
      <c r="I170" s="951">
        <f>SUM(I164:K169)</f>
        <v/>
      </c>
      <c r="J170" s="1350" t="n"/>
      <c r="K170" s="1396" t="n"/>
      <c r="L170" s="949">
        <f>SUM(L164:M169)</f>
        <v/>
      </c>
      <c r="M170" s="1396" t="n"/>
      <c r="N170" s="783">
        <f>SUM(N164:P169)</f>
        <v/>
      </c>
      <c r="O170" s="1350" t="n"/>
      <c r="P170" s="1396" t="n"/>
      <c r="Q170" s="949">
        <f>SUM(Q164:R169)</f>
        <v/>
      </c>
      <c r="R170" s="1396" t="n"/>
      <c r="S170" s="342">
        <f>IF(SUM(D170,I170,N170)&lt;&gt;G158,"Section 3.5.6 - The sum of Columns of ""Number of requests"" should be equal the ""Number of Requests"" of Section 3.5.5","")</f>
        <v/>
      </c>
      <c r="AA170" s="342">
        <f>IF(K88&gt;AC136,"The sum of all totals of ""Total"" from ""Sections 3.5.2, 3.5.4, 3.5.6"" should equal to or greater than the ""Total"" of Section 3.1.","")</f>
        <v/>
      </c>
      <c r="AL170" s="157">
        <f>SUM(D170,I170,N170)</f>
        <v/>
      </c>
      <c r="AN170" s="51" t="n"/>
      <c r="AO170" s="51" t="n"/>
      <c r="AP170" s="51" t="n"/>
      <c r="AQ170" s="51" t="n"/>
    </row>
    <row r="171" ht="15.75" customFormat="1" customHeight="1" s="66" thickTop="1">
      <c r="A171" s="83" t="n"/>
      <c r="B171" s="83" t="n"/>
      <c r="C171" s="75" t="n"/>
      <c r="D171" s="75" t="n"/>
      <c r="E171" s="75" t="n"/>
      <c r="F171" s="75" t="n"/>
      <c r="G171" s="75" t="n"/>
      <c r="H171" s="75" t="n"/>
      <c r="I171" s="85" t="n"/>
      <c r="J171" s="85" t="n"/>
      <c r="K171" s="85" t="n"/>
      <c r="L171" s="85" t="n"/>
      <c r="N171" s="49" t="n"/>
      <c r="O171" s="49" t="n"/>
      <c r="P171" s="49" t="n"/>
      <c r="Q171" s="49" t="n"/>
      <c r="R171" s="49" t="n"/>
      <c r="S171" s="956" t="inlineStr">
        <is>
          <t>Section 3.5.6 - The sum of Columns of "Minutes Processed" should be equal to the "Number of Minutes Processed" from Section 3.5.5</t>
        </is>
      </c>
      <c r="AL171" s="161" t="n"/>
    </row>
    <row r="172" ht="15" customFormat="1" customHeight="1" s="66">
      <c r="A172" s="373" t="inlineStr">
        <is>
          <t>3.5.7 Other complexities</t>
        </is>
      </c>
      <c r="N172" s="49" t="n"/>
      <c r="O172" s="49" t="n"/>
      <c r="P172" s="49" t="n"/>
      <c r="Q172" s="49" t="n"/>
      <c r="R172" s="49" t="n"/>
    </row>
    <row r="173" ht="15" customFormat="1" customHeight="1" s="66" thickBot="1">
      <c r="A173" s="49" t="n"/>
      <c r="B173" s="49" t="n"/>
      <c r="C173" s="49" t="n"/>
      <c r="D173" s="49" t="n"/>
      <c r="E173" s="49" t="n"/>
      <c r="F173" s="49" t="n"/>
      <c r="G173" s="49" t="n"/>
      <c r="H173" s="49" t="n"/>
      <c r="I173" s="49" t="n"/>
      <c r="J173" s="49" t="n"/>
      <c r="K173" s="49" t="n"/>
      <c r="L173" s="49" t="n"/>
      <c r="N173" s="49" t="n"/>
      <c r="O173" s="49" t="n"/>
      <c r="P173" s="49" t="n"/>
      <c r="Q173" s="49" t="n"/>
      <c r="R173" s="49" t="n"/>
      <c r="S173" s="49" t="n"/>
    </row>
    <row r="174" ht="30" customFormat="1" customHeight="1" s="66" thickBot="1" thickTop="1">
      <c r="A174" s="1215" t="inlineStr">
        <is>
          <t>Disposition</t>
        </is>
      </c>
      <c r="B174" s="1386" t="n"/>
      <c r="C174" s="1215" t="inlineStr">
        <is>
          <t>Consultation Required</t>
        </is>
      </c>
      <c r="D174" s="1386" t="n"/>
      <c r="E174" s="964" t="inlineStr">
        <is>
          <t>Legal Advice Sought</t>
        </is>
      </c>
      <c r="F174" s="1386" t="n"/>
      <c r="G174" s="964" t="inlineStr">
        <is>
          <t>Interwoven Information</t>
        </is>
      </c>
      <c r="H174" s="1386" t="n"/>
      <c r="I174" s="964" t="inlineStr">
        <is>
          <t>Other</t>
        </is>
      </c>
      <c r="J174" s="1386" t="n"/>
      <c r="K174" s="1215" t="inlineStr">
        <is>
          <t>Total</t>
        </is>
      </c>
      <c r="L174" s="1386" t="n"/>
      <c r="N174" s="49" t="n"/>
      <c r="O174" s="49" t="n"/>
      <c r="P174" s="49" t="n"/>
      <c r="Q174" s="49" t="n"/>
      <c r="R174" s="49" t="n"/>
      <c r="S174" s="49" t="n"/>
    </row>
    <row r="175" ht="15" customFormat="1" customHeight="1" s="66" thickTop="1">
      <c r="A175" s="1217" t="inlineStr">
        <is>
          <t>All disclosed</t>
        </is>
      </c>
      <c r="B175" s="1395" t="n"/>
      <c r="C175" s="483" t="n">
        <v>2</v>
      </c>
      <c r="D175" s="1421" t="n"/>
      <c r="E175" s="484" t="n">
        <v>0</v>
      </c>
      <c r="F175" s="1421" t="n"/>
      <c r="G175" s="484" t="n">
        <v>0</v>
      </c>
      <c r="H175" s="1421" t="n"/>
      <c r="I175" s="484" t="n">
        <v>0</v>
      </c>
      <c r="J175" s="1421" t="n"/>
      <c r="K175" s="842">
        <f>SUM(C175:J175)</f>
        <v/>
      </c>
      <c r="L175" s="1395" t="n"/>
      <c r="N175" s="49" t="n"/>
      <c r="O175" s="49" t="n"/>
      <c r="P175" s="49" t="n"/>
      <c r="Q175" s="49" t="n"/>
      <c r="R175" s="49" t="n"/>
      <c r="S175" s="49" t="n"/>
    </row>
    <row r="176" customFormat="1" s="66">
      <c r="A176" s="1213" t="inlineStr">
        <is>
          <t>Disclosed in part</t>
        </is>
      </c>
      <c r="B176" s="1390" t="n"/>
      <c r="C176" s="476" t="n">
        <v>2</v>
      </c>
      <c r="D176" s="1418" t="n"/>
      <c r="E176" s="477" t="n">
        <v>1</v>
      </c>
      <c r="F176" s="1418" t="n"/>
      <c r="G176" s="477" t="n">
        <v>0</v>
      </c>
      <c r="H176" s="1418" t="n"/>
      <c r="I176" s="477" t="n">
        <v>3</v>
      </c>
      <c r="J176" s="1418" t="n"/>
      <c r="K176" s="986">
        <f>SUM(C176:J176)</f>
        <v/>
      </c>
      <c r="L176" s="1390" t="n"/>
      <c r="N176" s="49" t="n"/>
      <c r="O176" s="49" t="n"/>
      <c r="P176" s="49" t="n"/>
      <c r="Q176" s="49" t="n"/>
      <c r="R176" s="49" t="n"/>
      <c r="S176" s="49" t="n"/>
      <c r="U176" s="49" t="n"/>
      <c r="V176" s="49" t="n"/>
      <c r="W176" s="49" t="n"/>
      <c r="X176" s="49" t="n"/>
      <c r="Y176" s="49" t="n"/>
      <c r="Z176" s="49" t="n"/>
      <c r="AA176" s="49" t="n"/>
      <c r="AB176" s="49" t="n"/>
      <c r="AC176" s="49" t="n"/>
      <c r="AD176" s="49" t="n"/>
    </row>
    <row r="177" customFormat="1" s="66">
      <c r="A177" s="1213" t="inlineStr">
        <is>
          <t>All exempted</t>
        </is>
      </c>
      <c r="B177" s="1390" t="n"/>
      <c r="C177" s="476" t="n">
        <v>0</v>
      </c>
      <c r="D177" s="1418" t="n"/>
      <c r="E177" s="477" t="n">
        <v>4</v>
      </c>
      <c r="F177" s="1418" t="n"/>
      <c r="G177" s="477" t="n">
        <v>0</v>
      </c>
      <c r="H177" s="1418" t="n"/>
      <c r="I177" s="477" t="n">
        <v>0</v>
      </c>
      <c r="J177" s="1418" t="n"/>
      <c r="K177" s="986">
        <f>SUM(C177:J177)</f>
        <v/>
      </c>
      <c r="L177" s="1390" t="n"/>
      <c r="N177" s="49" t="n"/>
      <c r="O177" s="49" t="n"/>
      <c r="P177" s="49" t="n"/>
      <c r="Q177" s="49" t="n"/>
      <c r="R177" s="49" t="n"/>
      <c r="S177" s="49" t="n"/>
      <c r="U177" s="49" t="n"/>
      <c r="V177" s="49" t="n"/>
      <c r="W177" s="49" t="n"/>
      <c r="X177" s="49" t="n"/>
      <c r="Y177" s="49" t="n"/>
      <c r="Z177" s="49" t="n"/>
      <c r="AA177" s="49" t="n"/>
      <c r="AB177" s="49" t="n"/>
      <c r="AC177" s="49" t="n"/>
      <c r="AD177" s="49" t="n"/>
    </row>
    <row r="178" customFormat="1" s="66">
      <c r="A178" s="1411" t="inlineStr">
        <is>
          <t>All excluded</t>
        </is>
      </c>
      <c r="B178" s="1343" t="n"/>
      <c r="C178" s="476" t="n">
        <v>0</v>
      </c>
      <c r="D178" s="1418" t="n"/>
      <c r="E178" s="477" t="n">
        <v>0</v>
      </c>
      <c r="F178" s="1418" t="n"/>
      <c r="G178" s="477" t="n">
        <v>0</v>
      </c>
      <c r="H178" s="1418" t="n"/>
      <c r="I178" s="1246" t="n">
        <v>0</v>
      </c>
      <c r="J178" s="1368" t="n"/>
      <c r="K178" s="986">
        <f>SUM(C178:J178)</f>
        <v/>
      </c>
      <c r="L178" s="1390" t="n"/>
      <c r="N178" s="49" t="n"/>
      <c r="O178" s="49" t="n"/>
      <c r="P178" s="49" t="n"/>
      <c r="Q178" s="49" t="n"/>
      <c r="R178" s="49" t="n"/>
      <c r="S178" s="49" t="n"/>
      <c r="U178" s="49" t="n"/>
      <c r="V178" s="49" t="n"/>
      <c r="W178" s="49" t="n"/>
      <c r="X178" s="49" t="n"/>
      <c r="Y178" s="49" t="n"/>
      <c r="Z178" s="49" t="n"/>
      <c r="AA178" s="49" t="n"/>
      <c r="AB178" s="49" t="n"/>
      <c r="AC178" s="49" t="n"/>
      <c r="AD178" s="49" t="n"/>
    </row>
    <row r="179" ht="27" customHeight="1">
      <c r="A179" s="1213" t="inlineStr">
        <is>
          <t>Request abandoned</t>
        </is>
      </c>
      <c r="B179" s="1390" t="n"/>
      <c r="C179" s="476" t="n">
        <v>0</v>
      </c>
      <c r="D179" s="1418" t="n"/>
      <c r="E179" s="477" t="n">
        <v>0</v>
      </c>
      <c r="F179" s="1418" t="n"/>
      <c r="G179" s="477" t="n">
        <v>0</v>
      </c>
      <c r="H179" s="1418" t="n"/>
      <c r="I179" s="477" t="n">
        <v>0</v>
      </c>
      <c r="J179" s="1418" t="n"/>
      <c r="K179" s="986">
        <f>SUM(C179:J179)</f>
        <v/>
      </c>
      <c r="L179" s="1390" t="n"/>
    </row>
    <row r="180" ht="27" customHeight="1" thickBot="1">
      <c r="A180" s="1486" t="inlineStr">
        <is>
          <t>Neither confirmed nor denied</t>
        </is>
      </c>
      <c r="B180" s="1356" t="n"/>
      <c r="C180" s="547" t="n">
        <v>0</v>
      </c>
      <c r="D180" s="1419" t="n"/>
      <c r="E180" s="548" t="n">
        <v>0</v>
      </c>
      <c r="F180" s="1419" t="n"/>
      <c r="G180" s="548" t="n">
        <v>0</v>
      </c>
      <c r="H180" s="1419" t="n"/>
      <c r="I180" s="548" t="n">
        <v>0</v>
      </c>
      <c r="J180" s="1419" t="n"/>
      <c r="K180" s="836">
        <f>SUM(C180:J180)</f>
        <v/>
      </c>
      <c r="L180" s="1384" t="n"/>
    </row>
    <row r="181" ht="15.75" customHeight="1" thickBot="1" thickTop="1">
      <c r="A181" s="960" t="inlineStr">
        <is>
          <t>Total</t>
        </is>
      </c>
      <c r="B181" s="1396" t="n"/>
      <c r="C181" s="545">
        <f>SUM(C175:D180)</f>
        <v/>
      </c>
      <c r="D181" s="1396" t="n"/>
      <c r="E181" s="546">
        <f>SUM(E175:F180)</f>
        <v/>
      </c>
      <c r="F181" s="1396" t="n"/>
      <c r="G181" s="546">
        <f>SUM(G175:H180)</f>
        <v/>
      </c>
      <c r="H181" s="1396" t="n"/>
      <c r="I181" s="546">
        <f>SUM(I175:J180)</f>
        <v/>
      </c>
      <c r="J181" s="1396" t="n"/>
      <c r="K181" s="545">
        <f>SUM(K175:L180)</f>
        <v/>
      </c>
      <c r="L181" s="1396" t="n"/>
    </row>
    <row r="182" ht="15" customHeight="1" thickTop="1"/>
    <row r="183" ht="15" customHeight="1">
      <c r="A183" s="375" t="inlineStr">
        <is>
          <t>3.6 Closed requests</t>
        </is>
      </c>
    </row>
    <row r="184" ht="15" customHeight="1">
      <c r="A184" s="375" t="n"/>
    </row>
    <row r="185" ht="14.25" customHeight="1">
      <c r="A185" s="373" t="inlineStr">
        <is>
          <t>3.6.1  Number of requests closed within legislated timelines</t>
        </is>
      </c>
    </row>
    <row r="186" ht="13.5" customHeight="1" thickBot="1">
      <c r="A186" s="375" t="n"/>
    </row>
    <row r="187" ht="15" customHeight="1" thickTop="1">
      <c r="A187" s="1181" t="inlineStr">
        <is>
          <t>Number of requests closed within legislated timelines</t>
        </is>
      </c>
      <c r="B187" s="1353" t="n"/>
      <c r="C187" s="1353" t="n"/>
      <c r="D187" s="1393" t="n"/>
      <c r="E187" s="511">
        <f>H20-A198</f>
        <v/>
      </c>
      <c r="F187" s="1393" t="n"/>
      <c r="G187" s="87" t="n"/>
    </row>
    <row r="188" ht="15" customHeight="1">
      <c r="A188" s="1394" t="n"/>
      <c r="B188" s="1331" t="n"/>
      <c r="C188" s="1331" t="n"/>
      <c r="D188" s="1395" t="n"/>
      <c r="E188" s="1331" t="n"/>
      <c r="F188" s="1395" t="n"/>
      <c r="G188" s="87" t="n"/>
      <c r="N188" s="88" t="n"/>
    </row>
    <row r="189" ht="18" customHeight="1">
      <c r="A189" s="1202" t="inlineStr">
        <is>
          <t>Percentage of requests closed within legislated timelines (%)</t>
        </is>
      </c>
      <c r="B189" s="1347" t="n"/>
      <c r="C189" s="1347" t="n"/>
      <c r="D189" s="1420" t="n"/>
      <c r="E189" s="1208">
        <f>IF(H20=0,"0",(E187/H20)*100)</f>
        <v/>
      </c>
      <c r="F189" s="1420" t="n"/>
      <c r="G189" s="89" t="n"/>
      <c r="N189" s="88" t="n"/>
    </row>
    <row r="190" ht="12.75" customHeight="1" thickBot="1">
      <c r="A190" s="1394" t="n"/>
      <c r="B190" s="1331" t="n"/>
      <c r="C190" s="1331" t="n"/>
      <c r="D190" s="1395" t="n"/>
      <c r="E190" s="1331" t="n"/>
      <c r="F190" s="1395" t="n"/>
      <c r="G190" s="89" t="n"/>
      <c r="N190" s="88" t="n"/>
    </row>
    <row r="191" ht="15.75" customHeight="1" thickTop="1">
      <c r="A191" s="375" t="n"/>
      <c r="E191" s="90" t="n"/>
      <c r="F191" s="90" t="n"/>
      <c r="G191" s="90" t="n"/>
      <c r="N191" s="88" t="n"/>
    </row>
    <row r="192" ht="15" customHeight="1">
      <c r="A192" s="1314" t="inlineStr">
        <is>
          <t>3.7 Deemed refusals</t>
        </is>
      </c>
      <c r="M192" s="92" t="n"/>
      <c r="N192" s="88" t="n"/>
    </row>
    <row r="193" ht="15" customHeight="1">
      <c r="A193" s="1314" t="n"/>
      <c r="B193" s="72" t="n"/>
      <c r="C193" s="72" t="n"/>
      <c r="D193" s="72" t="n"/>
      <c r="E193" s="72" t="n"/>
      <c r="F193" s="73" t="n"/>
      <c r="G193" s="73" t="n"/>
      <c r="H193" s="73" t="n"/>
      <c r="I193" s="72" t="n"/>
      <c r="J193" s="72" t="n"/>
      <c r="K193" s="72" t="n"/>
      <c r="L193" s="72" t="n"/>
      <c r="M193" s="92" t="n"/>
      <c r="N193" s="88" t="n"/>
    </row>
    <row r="194" ht="15" customHeight="1">
      <c r="A194" s="1315" t="inlineStr">
        <is>
          <t>3.7.1 Reasons for not meeting legislated timelines</t>
        </is>
      </c>
      <c r="M194" s="88" t="n"/>
      <c r="N194" s="49" t="n"/>
    </row>
    <row r="195" ht="14.25" customHeight="1" thickBot="1">
      <c r="M195" s="88" t="n"/>
      <c r="N195" s="49" t="n"/>
    </row>
    <row r="196" ht="14.25" customHeight="1" thickTop="1">
      <c r="A196" s="1487" t="inlineStr">
        <is>
          <t>Number of requests closed past the legislated timelines</t>
        </is>
      </c>
      <c r="B196" s="1353" t="n"/>
      <c r="C196" s="1353" t="n"/>
      <c r="D196" s="1354" t="n"/>
      <c r="E196" s="1488" t="inlineStr">
        <is>
          <t>Principal Reason</t>
        </is>
      </c>
      <c r="F196" s="1336" t="n"/>
      <c r="G196" s="1336" t="n"/>
      <c r="H196" s="1336" t="n"/>
      <c r="I196" s="1336" t="n"/>
      <c r="J196" s="1336" t="n"/>
      <c r="K196" s="1336" t="n"/>
      <c r="L196" s="1337" t="n"/>
      <c r="M196" s="75" t="n"/>
      <c r="N196" s="88" t="n"/>
      <c r="U196" s="1043" t="n"/>
      <c r="V196" s="1043" t="n"/>
      <c r="W196" s="1043" t="n"/>
      <c r="X196" s="1043" t="n"/>
      <c r="Y196" s="1043" t="n"/>
      <c r="Z196" s="1043" t="n"/>
      <c r="AA196" s="1043" t="n"/>
      <c r="AB196" s="1043" t="n"/>
      <c r="AC196" s="1043" t="n"/>
      <c r="AD196" s="1043" t="n"/>
    </row>
    <row r="197" ht="38.25" customHeight="1" thickBot="1">
      <c r="A197" s="1349" t="n"/>
      <c r="B197" s="1350" t="n"/>
      <c r="C197" s="1350" t="n"/>
      <c r="D197" s="1374" t="n"/>
      <c r="E197" s="1489" t="inlineStr">
        <is>
          <t>Interference with operations / Workload</t>
        </is>
      </c>
      <c r="F197" s="1384" t="n"/>
      <c r="G197" s="1490" t="inlineStr">
        <is>
          <t>External Consultation</t>
        </is>
      </c>
      <c r="H197" s="1384" t="n"/>
      <c r="I197" s="1490" t="inlineStr">
        <is>
          <t>Internal Consultation</t>
        </is>
      </c>
      <c r="J197" s="1384" t="n"/>
      <c r="K197" s="1491" t="inlineStr">
        <is>
          <t>Other</t>
        </is>
      </c>
      <c r="L197" s="1356" t="n"/>
      <c r="N197" s="88" t="n"/>
    </row>
    <row r="198" ht="13.5" customHeight="1" thickBot="1" thickTop="1">
      <c r="A198" s="1432">
        <f>SUM(E198:L198)</f>
        <v/>
      </c>
      <c r="B198" s="1333" t="n"/>
      <c r="C198" s="1333" t="n"/>
      <c r="D198" s="1334" t="n"/>
      <c r="E198" s="1492" t="n">
        <v>1</v>
      </c>
      <c r="F198" s="1401" t="n"/>
      <c r="G198" s="1493" t="n">
        <v>1</v>
      </c>
      <c r="H198" s="1401" t="n"/>
      <c r="I198" s="1493" t="n">
        <v>0</v>
      </c>
      <c r="J198" s="1401" t="n"/>
      <c r="K198" s="1494" t="n">
        <v>0</v>
      </c>
      <c r="L198" s="1400" t="n"/>
      <c r="N198" s="88" t="n"/>
    </row>
    <row r="199" ht="15" customFormat="1" customHeight="1" s="1043" thickTop="1">
      <c r="A199" s="75" t="n"/>
      <c r="B199" s="75" t="n"/>
      <c r="C199" s="75" t="n"/>
      <c r="D199" s="75" t="n"/>
      <c r="E199" s="75" t="n"/>
      <c r="F199" s="75" t="n"/>
      <c r="G199" s="75" t="n"/>
      <c r="H199" s="75" t="n"/>
      <c r="I199" s="75" t="n"/>
      <c r="J199" s="75" t="n"/>
      <c r="K199" s="75" t="n"/>
      <c r="L199" s="75" t="n"/>
      <c r="M199" s="93" t="n"/>
      <c r="U199" s="49" t="n"/>
      <c r="V199" s="49" t="n"/>
      <c r="W199" s="49" t="n"/>
      <c r="X199" s="49" t="n"/>
      <c r="Y199" s="49" t="n"/>
      <c r="Z199" s="49" t="n"/>
      <c r="AA199" s="49" t="n"/>
      <c r="AB199" s="49" t="n"/>
      <c r="AC199" s="49" t="n"/>
      <c r="AD199" s="49" t="n"/>
    </row>
    <row r="200" ht="15.75" customHeight="1">
      <c r="A200" s="373" t="inlineStr">
        <is>
          <t>3.7.2 Request closed beyond legislated timelines (including any extension taken)</t>
        </is>
      </c>
      <c r="M200" s="88" t="n"/>
      <c r="N200" s="49" t="n"/>
    </row>
    <row r="201" ht="16.5" customHeight="1" thickBot="1">
      <c r="M201" s="88" t="n"/>
      <c r="N201" s="49" t="n"/>
    </row>
    <row r="202" ht="41.25" customHeight="1" thickBot="1" thickTop="1">
      <c r="A202" s="1466" t="inlineStr">
        <is>
          <t>Number of days past legislated timelines</t>
        </is>
      </c>
      <c r="B202" s="1333" t="n"/>
      <c r="C202" s="1334" t="n"/>
      <c r="D202" s="1215" t="inlineStr">
        <is>
          <t>Number of requests past legislated timeline where no extension was taken</t>
        </is>
      </c>
      <c r="E202" s="1333" t="n"/>
      <c r="F202" s="1386" t="n"/>
      <c r="G202" s="1216" t="inlineStr">
        <is>
          <t>Number of requests past  legislated timeline where an extension was taken</t>
        </is>
      </c>
      <c r="H202" s="1333" t="n"/>
      <c r="I202" s="1334" t="n"/>
      <c r="J202" s="1466" t="inlineStr">
        <is>
          <t>Total</t>
        </is>
      </c>
      <c r="K202" s="1333" t="n"/>
      <c r="L202" s="1334" t="n"/>
      <c r="M202" s="88" t="n"/>
      <c r="N202" s="49" t="n"/>
    </row>
    <row r="203" ht="14.25" customHeight="1" thickTop="1">
      <c r="A203" s="1410" t="inlineStr">
        <is>
          <t>1 to 15 days</t>
        </is>
      </c>
      <c r="B203" s="1336" t="n"/>
      <c r="C203" s="1337" t="n"/>
      <c r="D203" s="990" t="n">
        <v>1</v>
      </c>
      <c r="E203" s="1330" t="n"/>
      <c r="F203" s="1421" t="n"/>
      <c r="G203" s="1255" t="n">
        <v>0</v>
      </c>
      <c r="H203" s="1339" t="n"/>
      <c r="I203" s="1340" t="n"/>
      <c r="J203" s="271">
        <f>SUM(D203:I203)</f>
        <v/>
      </c>
      <c r="K203" s="1336" t="n"/>
      <c r="L203" s="1337" t="n"/>
      <c r="M203" s="88" t="n"/>
      <c r="N203" s="49" t="n"/>
    </row>
    <row r="204" ht="15.75" customHeight="1">
      <c r="A204" s="1412" t="inlineStr">
        <is>
          <t>16 to 30 days</t>
        </is>
      </c>
      <c r="B204" s="1342" t="n"/>
      <c r="C204" s="1343" t="n"/>
      <c r="D204" s="431" t="n">
        <v>1</v>
      </c>
      <c r="E204" s="1362" t="n"/>
      <c r="F204" s="1418" t="n"/>
      <c r="G204" s="1246" t="n">
        <v>0</v>
      </c>
      <c r="H204" s="1362" t="n"/>
      <c r="I204" s="1368" t="n"/>
      <c r="J204" s="267">
        <f>SUM(D204:I204)</f>
        <v/>
      </c>
      <c r="K204" s="1342" t="n"/>
      <c r="L204" s="1343" t="n"/>
      <c r="M204" s="88" t="n"/>
      <c r="N204" s="49" t="n"/>
    </row>
    <row r="205" ht="15.75" customHeight="1">
      <c r="A205" s="1412" t="inlineStr">
        <is>
          <t>31 to 60 days</t>
        </is>
      </c>
      <c r="B205" s="1342" t="n"/>
      <c r="C205" s="1343" t="n"/>
      <c r="D205" s="431" t="n">
        <v>0</v>
      </c>
      <c r="E205" s="1362" t="n"/>
      <c r="F205" s="1418" t="n"/>
      <c r="G205" s="1246" t="n">
        <v>0</v>
      </c>
      <c r="H205" s="1362" t="n"/>
      <c r="I205" s="1368" t="n"/>
      <c r="J205" s="267">
        <f>SUM(D205:I205)</f>
        <v/>
      </c>
      <c r="K205" s="1342" t="n"/>
      <c r="L205" s="1343" t="n"/>
      <c r="M205" s="66" t="n"/>
      <c r="N205" s="49" t="n"/>
    </row>
    <row r="206" ht="18" customHeight="1">
      <c r="A206" s="983" t="inlineStr">
        <is>
          <t>61 to 120 days</t>
        </is>
      </c>
      <c r="B206" s="1342" t="n"/>
      <c r="C206" s="1390" t="n"/>
      <c r="D206" s="431" t="n">
        <v>0</v>
      </c>
      <c r="E206" s="1362" t="n"/>
      <c r="F206" s="1418" t="n"/>
      <c r="G206" s="477" t="n">
        <v>1</v>
      </c>
      <c r="H206" s="1362" t="n"/>
      <c r="I206" s="1418" t="n"/>
      <c r="J206" s="986">
        <f>SUM(D206:I206)</f>
        <v/>
      </c>
      <c r="K206" s="1342" t="n"/>
      <c r="L206" s="1390" t="n"/>
      <c r="M206" s="66" t="n"/>
      <c r="N206" s="49" t="n"/>
    </row>
    <row r="207" ht="18.75" customHeight="1">
      <c r="A207" s="983" t="inlineStr">
        <is>
          <t>121  to 180 days</t>
        </is>
      </c>
      <c r="B207" s="1342" t="n"/>
      <c r="C207" s="1390" t="n"/>
      <c r="D207" s="431" t="n">
        <v>1</v>
      </c>
      <c r="E207" s="1362" t="n"/>
      <c r="F207" s="1418" t="n"/>
      <c r="G207" s="477" t="n">
        <v>0</v>
      </c>
      <c r="H207" s="1362" t="n"/>
      <c r="I207" s="1418" t="n"/>
      <c r="J207" s="986">
        <f>SUM(D207:I207)</f>
        <v/>
      </c>
      <c r="K207" s="1342" t="n"/>
      <c r="L207" s="1390" t="n"/>
      <c r="M207" s="66" t="n"/>
      <c r="N207" s="49" t="n"/>
    </row>
    <row r="208" ht="18.75" customHeight="1">
      <c r="A208" s="983" t="inlineStr">
        <is>
          <t>181 to 365 days</t>
        </is>
      </c>
      <c r="B208" s="1342" t="n"/>
      <c r="C208" s="1390" t="n"/>
      <c r="D208" s="431" t="n">
        <v>0</v>
      </c>
      <c r="E208" s="1362" t="n"/>
      <c r="F208" s="1418" t="n"/>
      <c r="G208" s="477" t="n">
        <v>0</v>
      </c>
      <c r="H208" s="1362" t="n"/>
      <c r="I208" s="1418" t="n"/>
      <c r="J208" s="986">
        <f>SUM(D208:I208)</f>
        <v/>
      </c>
      <c r="K208" s="1342" t="n"/>
      <c r="L208" s="1390" t="n"/>
      <c r="M208" s="66" t="n"/>
      <c r="N208" s="49" t="n"/>
    </row>
    <row r="209" ht="18.75" customHeight="1" thickBot="1">
      <c r="A209" s="1098" t="inlineStr">
        <is>
          <t>More than 365 days</t>
        </is>
      </c>
      <c r="B209" s="1348" t="n"/>
      <c r="C209" s="1384" t="n"/>
      <c r="D209" s="1036" t="n">
        <v>0</v>
      </c>
      <c r="E209" s="1363" t="n"/>
      <c r="F209" s="1419" t="n"/>
      <c r="G209" s="548" t="n">
        <v>0</v>
      </c>
      <c r="H209" s="1363" t="n"/>
      <c r="I209" s="1419" t="n"/>
      <c r="J209" s="836">
        <f>SUM(D209:I209)</f>
        <v/>
      </c>
      <c r="K209" s="1348" t="n"/>
      <c r="L209" s="1384" t="n"/>
      <c r="M209" s="66" t="n"/>
      <c r="N209" s="49" t="n"/>
    </row>
    <row r="210" ht="18.75" customHeight="1" thickBot="1" thickTop="1">
      <c r="A210" s="960" t="inlineStr">
        <is>
          <t>Total</t>
        </is>
      </c>
      <c r="B210" s="1350" t="n"/>
      <c r="C210" s="1396" t="n"/>
      <c r="D210" s="545">
        <f>SUM(D203:F209)</f>
        <v/>
      </c>
      <c r="E210" s="1350" t="n"/>
      <c r="F210" s="1396" t="n"/>
      <c r="G210" s="546">
        <f>SUM(G203:I209)</f>
        <v/>
      </c>
      <c r="H210" s="1350" t="n"/>
      <c r="I210" s="1396" t="n"/>
      <c r="J210" s="545">
        <f>SUM(J203:L209)</f>
        <v/>
      </c>
      <c r="K210" s="1350" t="n"/>
      <c r="L210" s="1396" t="n"/>
      <c r="M210" s="342">
        <f>IF(J210&lt;&gt;A198,"Section 3.7.2 - The total of all ""Total"" should be equal to ""Number of requests closed past the legislatived timelines"" of Section 3.7.1","")</f>
        <v/>
      </c>
    </row>
    <row r="211" ht="18.75" customHeight="1" thickTop="1">
      <c r="A211" s="83" t="n"/>
      <c r="B211" s="83" t="n"/>
      <c r="C211" s="83" t="n"/>
      <c r="D211" s="75" t="n"/>
      <c r="E211" s="75" t="n"/>
      <c r="F211" s="75" t="n"/>
      <c r="G211" s="75" t="n"/>
      <c r="H211" s="75" t="n"/>
      <c r="I211" s="75" t="n"/>
      <c r="J211" s="75" t="n"/>
      <c r="K211" s="75" t="n"/>
      <c r="L211" s="75" t="n"/>
      <c r="M211" s="66" t="n"/>
      <c r="N211" s="49" t="n"/>
    </row>
    <row r="212" ht="18.75" customHeight="1">
      <c r="A212" s="347" t="inlineStr">
        <is>
          <t>3.8  Requests for translation</t>
        </is>
      </c>
      <c r="M212" s="66" t="n"/>
      <c r="N212" s="49" t="n"/>
    </row>
    <row r="213" ht="18.75" customHeight="1" thickBot="1">
      <c r="A213" s="25" t="n"/>
      <c r="B213" s="25" t="n"/>
      <c r="C213" s="25" t="n"/>
      <c r="D213" s="25" t="n"/>
      <c r="E213" s="25" t="n"/>
      <c r="F213" s="25" t="n"/>
      <c r="G213" s="25" t="n"/>
      <c r="H213" s="25" t="n"/>
      <c r="I213" s="25" t="n"/>
      <c r="J213" s="25" t="n"/>
      <c r="K213" s="25" t="n"/>
      <c r="L213" s="25" t="n"/>
      <c r="M213" s="66" t="n"/>
      <c r="N213" s="49" t="n"/>
    </row>
    <row r="214" ht="18.75" customHeight="1" thickBot="1" thickTop="1">
      <c r="A214" s="1468" t="inlineStr">
        <is>
          <t>Translation Requests</t>
        </is>
      </c>
      <c r="B214" s="1333" t="n"/>
      <c r="C214" s="1334" t="n"/>
      <c r="D214" s="819" t="inlineStr">
        <is>
          <t>Accepted</t>
        </is>
      </c>
      <c r="E214" s="1333" t="n"/>
      <c r="F214" s="1386" t="n"/>
      <c r="G214" s="1451" t="inlineStr">
        <is>
          <t>Refused</t>
        </is>
      </c>
      <c r="H214" s="1333" t="n"/>
      <c r="I214" s="1334" t="n"/>
      <c r="J214" s="1468" t="inlineStr">
        <is>
          <t>Total</t>
        </is>
      </c>
      <c r="K214" s="1333" t="n"/>
      <c r="L214" s="1334" t="n"/>
      <c r="M214" s="66" t="n"/>
      <c r="N214" s="49" t="n"/>
    </row>
    <row r="215" ht="15" customHeight="1" thickTop="1">
      <c r="A215" s="1434" t="inlineStr">
        <is>
          <t xml:space="preserve">English to French </t>
        </is>
      </c>
      <c r="B215" s="1336" t="n"/>
      <c r="C215" s="1337" t="n"/>
      <c r="D215" s="1424" t="n">
        <v>0</v>
      </c>
      <c r="E215" s="1339" t="n"/>
      <c r="F215" s="1417" t="n"/>
      <c r="G215" s="1255" t="n">
        <v>0</v>
      </c>
      <c r="H215" s="1339" t="n"/>
      <c r="I215" s="1340" t="n"/>
      <c r="J215" s="271">
        <f>SUM(D215:I215)</f>
        <v/>
      </c>
      <c r="K215" s="1336" t="n"/>
      <c r="L215" s="1337" t="n"/>
      <c r="U215" s="66" t="n"/>
      <c r="V215" s="66" t="n"/>
      <c r="W215" s="66" t="n"/>
      <c r="X215" s="66" t="n"/>
      <c r="Y215" s="66" t="n"/>
      <c r="Z215" s="66" t="n"/>
      <c r="AA215" s="66" t="n"/>
      <c r="AB215" s="66" t="n"/>
      <c r="AC215" s="66" t="n"/>
      <c r="AD215" s="66" t="n"/>
    </row>
    <row r="216" ht="15" customHeight="1" thickBot="1">
      <c r="A216" s="1436" t="inlineStr">
        <is>
          <t xml:space="preserve">French to English </t>
        </is>
      </c>
      <c r="B216" s="1348" t="n"/>
      <c r="C216" s="1356" t="n"/>
      <c r="D216" s="547" t="n">
        <v>0</v>
      </c>
      <c r="E216" s="1363" t="n"/>
      <c r="F216" s="1419" t="n"/>
      <c r="G216" s="1242" t="n">
        <v>0</v>
      </c>
      <c r="H216" s="1363" t="n"/>
      <c r="I216" s="1379" t="n"/>
      <c r="J216" s="268">
        <f>SUM(D216:I216)</f>
        <v/>
      </c>
      <c r="K216" s="1348" t="n"/>
      <c r="L216" s="1356" t="n"/>
      <c r="U216" s="66" t="n"/>
      <c r="V216" s="66" t="n"/>
      <c r="W216" s="66" t="n"/>
      <c r="X216" s="66" t="n"/>
      <c r="Y216" s="66" t="n"/>
      <c r="Z216" s="66" t="n"/>
      <c r="AA216" s="66" t="n"/>
      <c r="AB216" s="66" t="n"/>
      <c r="AC216" s="66" t="n"/>
      <c r="AD216" s="66" t="n"/>
    </row>
    <row r="217" ht="17.25" customHeight="1" thickBot="1" thickTop="1">
      <c r="A217" s="1427" t="inlineStr">
        <is>
          <t>Total</t>
        </is>
      </c>
      <c r="B217" s="1333" t="n"/>
      <c r="C217" s="1334" t="n"/>
      <c r="D217" s="1064">
        <f>SUM(D215:F216)</f>
        <v/>
      </c>
      <c r="E217" s="1333" t="n"/>
      <c r="F217" s="1386" t="n"/>
      <c r="G217" s="1066">
        <f>SUM(G215:I216)</f>
        <v/>
      </c>
      <c r="H217" s="1333" t="n"/>
      <c r="I217" s="1334" t="n"/>
      <c r="J217" s="299">
        <f>SUM(D217:I217)</f>
        <v/>
      </c>
      <c r="K217" s="1333" t="n"/>
      <c r="L217" s="1334" t="n"/>
      <c r="M217" s="94" t="n"/>
      <c r="T217" s="51" t="n"/>
      <c r="U217" s="66" t="n"/>
      <c r="V217" s="66" t="n"/>
      <c r="W217" s="66" t="n"/>
      <c r="X217" s="66" t="n"/>
      <c r="Y217" s="66" t="n"/>
      <c r="Z217" s="66" t="n"/>
      <c r="AA217" s="66" t="n"/>
      <c r="AB217" s="66" t="n"/>
      <c r="AC217" s="66" t="n"/>
      <c r="AD217" s="66" t="n"/>
    </row>
    <row r="218" ht="15" customFormat="1" customHeight="1" s="66" thickTop="1">
      <c r="A218" s="95" t="n"/>
      <c r="B218" s="72" t="n"/>
      <c r="C218" s="72" t="n"/>
      <c r="D218" s="72" t="n"/>
      <c r="E218" s="72" t="n"/>
      <c r="F218" s="72" t="n"/>
      <c r="G218" s="72" t="n"/>
      <c r="H218" s="72" t="n"/>
      <c r="I218" s="72" t="n"/>
      <c r="J218" s="72" t="n"/>
      <c r="K218" s="72" t="n"/>
      <c r="L218" s="72" t="n"/>
      <c r="M218" s="49" t="n"/>
      <c r="O218" s="49" t="n"/>
      <c r="P218" s="49" t="n"/>
      <c r="Q218" s="49" t="n"/>
      <c r="R218" s="49" t="n"/>
      <c r="S218" s="49" t="n"/>
      <c r="T218" s="49" t="n"/>
    </row>
    <row r="219" customFormat="1" s="66">
      <c r="A219" s="49" t="n"/>
      <c r="B219" s="49" t="n"/>
      <c r="C219" s="49" t="n"/>
      <c r="D219" s="49" t="n"/>
      <c r="E219" s="49" t="n"/>
      <c r="F219" s="49" t="n"/>
      <c r="G219" s="49" t="n"/>
      <c r="H219" s="49" t="n"/>
      <c r="I219" s="49" t="n"/>
      <c r="J219" s="49" t="n"/>
      <c r="K219" s="49" t="n"/>
      <c r="L219" s="49" t="n"/>
      <c r="N219" s="49" t="n"/>
      <c r="O219" s="49" t="n"/>
      <c r="P219" s="49" t="n"/>
      <c r="Q219" s="49" t="n"/>
      <c r="R219" s="49" t="n"/>
      <c r="S219" s="49" t="n"/>
    </row>
    <row r="220" ht="18" customFormat="1" customHeight="1" s="66">
      <c r="A220" s="1077" t="inlineStr">
        <is>
          <t>Section 4: Disclosures Under Subsections 8(2) and 8(5)</t>
        </is>
      </c>
    </row>
    <row r="221" ht="15" customFormat="1" customHeight="1" s="66" thickBot="1">
      <c r="A221" s="49" t="n"/>
      <c r="B221" s="49" t="n"/>
      <c r="C221" s="49" t="n"/>
      <c r="D221" s="49" t="n"/>
      <c r="E221" s="49" t="n"/>
      <c r="F221" s="49" t="n"/>
      <c r="G221" s="49" t="n"/>
      <c r="H221" s="49" t="n"/>
      <c r="I221" s="49" t="n"/>
      <c r="J221" s="49" t="n"/>
      <c r="K221" s="49" t="n"/>
      <c r="L221" s="49" t="n"/>
      <c r="M221" s="49" t="n"/>
      <c r="O221" s="49" t="n"/>
      <c r="P221" s="49" t="n"/>
      <c r="Q221" s="49" t="n"/>
      <c r="R221" s="49" t="n"/>
      <c r="S221" s="49" t="n"/>
      <c r="T221" s="49" t="n"/>
    </row>
    <row r="222" ht="17.25" customFormat="1" customHeight="1" s="66" thickBot="1" thickTop="1">
      <c r="A222" s="1215" t="inlineStr">
        <is>
          <t>Paragraph 8(2)(e)</t>
        </is>
      </c>
      <c r="B222" s="1333" t="n"/>
      <c r="C222" s="1386" t="n"/>
      <c r="D222" s="443" t="inlineStr">
        <is>
          <t>Paragraph 8(2)(m)</t>
        </is>
      </c>
      <c r="E222" s="1333" t="n"/>
      <c r="F222" s="1333" t="n"/>
      <c r="G222" s="1216" t="inlineStr">
        <is>
          <t>Subsection 8(5)</t>
        </is>
      </c>
      <c r="H222" s="1333" t="n"/>
      <c r="I222" s="1334" t="n"/>
      <c r="J222" s="1466" t="inlineStr">
        <is>
          <t>Total</t>
        </is>
      </c>
      <c r="K222" s="1333" t="n"/>
      <c r="L222" s="1334" t="n"/>
      <c r="M222" s="94" t="n"/>
      <c r="O222" s="49" t="n"/>
      <c r="P222" s="49" t="n"/>
      <c r="Q222" s="49" t="n"/>
      <c r="R222" s="49" t="n"/>
      <c r="S222" s="49" t="n"/>
      <c r="T222" s="49" t="n"/>
    </row>
    <row r="223" ht="18.75" customFormat="1" customHeight="1" s="66" thickBot="1" thickTop="1">
      <c r="A223" s="1492" t="n">
        <v>0</v>
      </c>
      <c r="B223" s="1402" t="n"/>
      <c r="C223" s="1401" t="n"/>
      <c r="D223" s="1034" t="n">
        <v>0</v>
      </c>
      <c r="E223" s="1402" t="n"/>
      <c r="F223" s="1402" t="n"/>
      <c r="G223" s="1494" t="n">
        <v>0</v>
      </c>
      <c r="H223" s="1402" t="n"/>
      <c r="I223" s="1400" t="n"/>
      <c r="J223" s="299">
        <f>SUM(A223:I223)</f>
        <v/>
      </c>
      <c r="K223" s="1333" t="n"/>
      <c r="L223" s="1334" t="n"/>
      <c r="M223" s="49" t="n"/>
      <c r="O223" s="49" t="n"/>
      <c r="P223" s="49" t="n"/>
      <c r="Q223" s="49" t="n"/>
      <c r="R223" s="49" t="n"/>
      <c r="S223" s="49" t="n"/>
      <c r="T223" s="49" t="n"/>
    </row>
    <row r="224" ht="15" customFormat="1" customHeight="1" s="66" thickTop="1">
      <c r="A224" s="49" t="n"/>
      <c r="B224" s="49" t="n"/>
      <c r="C224" s="49" t="n"/>
      <c r="D224" s="49" t="n"/>
      <c r="E224" s="49" t="n"/>
      <c r="F224" s="49" t="n"/>
      <c r="G224" s="49" t="n"/>
      <c r="H224" s="49" t="n"/>
      <c r="I224" s="49" t="n"/>
      <c r="J224" s="49" t="n"/>
      <c r="K224" s="49" t="n"/>
      <c r="L224" s="49" t="n"/>
      <c r="M224" s="49" t="n"/>
      <c r="O224" s="49" t="n"/>
      <c r="P224" s="49" t="n"/>
      <c r="Q224" s="49" t="n"/>
      <c r="R224" s="49" t="n"/>
      <c r="S224" s="49" t="n"/>
      <c r="T224" s="49" t="n"/>
    </row>
    <row r="225" ht="15.75" customFormat="1" customHeight="1" s="66">
      <c r="A225" s="1077" t="inlineStr">
        <is>
          <t>Section 5: Requests for Correction of Personal Information and Notations</t>
        </is>
      </c>
      <c r="T225" s="49" t="n"/>
    </row>
    <row r="226" ht="15" customFormat="1" customHeight="1" s="66" thickBot="1">
      <c r="A226" s="49" t="n"/>
      <c r="B226" s="49" t="n"/>
      <c r="C226" s="49" t="n"/>
      <c r="D226" s="49" t="n"/>
      <c r="E226" s="49" t="n"/>
      <c r="F226" s="49" t="n"/>
      <c r="G226" s="49" t="n"/>
      <c r="H226" s="49" t="n"/>
      <c r="I226" s="49" t="n"/>
      <c r="J226" s="49" t="n"/>
      <c r="K226" s="49" t="n"/>
      <c r="L226" s="49" t="n"/>
      <c r="M226" s="49" t="n"/>
      <c r="O226" s="49" t="n"/>
      <c r="P226" s="49" t="n"/>
      <c r="Q226" s="49" t="n"/>
      <c r="R226" s="49" t="n"/>
      <c r="S226" s="49" t="n"/>
      <c r="T226" s="49" t="n"/>
      <c r="U226" s="49" t="n"/>
      <c r="V226" s="49" t="n"/>
      <c r="W226" s="49" t="n"/>
      <c r="X226" s="49" t="n"/>
      <c r="Y226" s="49" t="n"/>
      <c r="Z226" s="49" t="n"/>
      <c r="AA226" s="49" t="n"/>
      <c r="AB226" s="49" t="n"/>
      <c r="AC226" s="49" t="n"/>
      <c r="AD226" s="49" t="n"/>
    </row>
    <row r="227" ht="15.75" customFormat="1" customHeight="1" s="66" thickBot="1" thickTop="1">
      <c r="A227" s="275" t="inlineStr">
        <is>
          <t>Disposition for Correction Requests Received</t>
        </is>
      </c>
      <c r="B227" s="293" t="n"/>
      <c r="C227" s="293" t="n"/>
      <c r="D227" s="293" t="n"/>
      <c r="E227" s="293" t="n"/>
      <c r="F227" s="293" t="n"/>
      <c r="G227" s="293" t="n"/>
      <c r="H227" s="294" t="n"/>
      <c r="I227" s="362" t="inlineStr">
        <is>
          <t>Number</t>
        </is>
      </c>
      <c r="J227" s="1334" t="n"/>
      <c r="K227" s="49" t="n"/>
      <c r="L227" s="49" t="n"/>
      <c r="M227" s="49" t="n"/>
      <c r="O227" s="49" t="n"/>
      <c r="P227" s="49" t="n"/>
      <c r="Q227" s="49" t="n"/>
      <c r="R227" s="49" t="n"/>
      <c r="S227" s="49" t="n"/>
      <c r="T227" s="49" t="n"/>
      <c r="U227" s="49" t="n"/>
      <c r="V227" s="49" t="n"/>
      <c r="W227" s="49" t="n"/>
      <c r="X227" s="49" t="n"/>
      <c r="Y227" s="49" t="n"/>
      <c r="Z227" s="49" t="n"/>
      <c r="AA227" s="49" t="n"/>
      <c r="AB227" s="49" t="n"/>
      <c r="AC227" s="49" t="n"/>
      <c r="AD227" s="49" t="n"/>
    </row>
    <row r="228" ht="12.75" customFormat="1" customHeight="1" s="66" thickTop="1">
      <c r="A228" s="732" t="inlineStr">
        <is>
          <t>Notations attached</t>
        </is>
      </c>
      <c r="B228" s="733" t="n"/>
      <c r="C228" s="733" t="n"/>
      <c r="D228" s="733" t="n"/>
      <c r="E228" s="733" t="n"/>
      <c r="F228" s="733" t="n"/>
      <c r="G228" s="733" t="n"/>
      <c r="H228" s="734" t="n"/>
      <c r="I228" s="976" t="n">
        <v>0</v>
      </c>
      <c r="J228" s="1340" t="n"/>
      <c r="K228" s="49" t="n"/>
      <c r="L228" s="49" t="n"/>
      <c r="M228" s="49" t="n"/>
      <c r="O228" s="49" t="n"/>
      <c r="P228" s="49" t="n"/>
      <c r="Q228" s="49" t="n"/>
      <c r="R228" s="49" t="n"/>
      <c r="S228" s="49" t="n"/>
      <c r="T228" s="49" t="n"/>
      <c r="U228" s="49" t="n"/>
      <c r="V228" s="49" t="n"/>
      <c r="W228" s="49" t="n"/>
      <c r="X228" s="49" t="n"/>
      <c r="Y228" s="49" t="n"/>
      <c r="Z228" s="49" t="n"/>
      <c r="AA228" s="49" t="n"/>
      <c r="AB228" s="49" t="n"/>
      <c r="AC228" s="49" t="n"/>
      <c r="AD228" s="49" t="n"/>
    </row>
    <row r="229" ht="16.5" customHeight="1" thickBot="1">
      <c r="A229" s="723" t="inlineStr">
        <is>
          <t>Requests for correction accepted</t>
        </is>
      </c>
      <c r="B229" s="724" t="n"/>
      <c r="C229" s="724" t="n"/>
      <c r="D229" s="724" t="n"/>
      <c r="E229" s="724" t="n"/>
      <c r="F229" s="724" t="n"/>
      <c r="G229" s="724" t="n"/>
      <c r="H229" s="725" t="n"/>
      <c r="I229" s="1089" t="n">
        <v>0</v>
      </c>
      <c r="J229" s="1379" t="n"/>
      <c r="M229" s="94" t="n"/>
    </row>
    <row r="230" ht="17.25" customHeight="1" thickBot="1" thickTop="1">
      <c r="A230" s="726" t="inlineStr">
        <is>
          <t>Total</t>
        </is>
      </c>
      <c r="B230" s="727" t="n"/>
      <c r="C230" s="727" t="n"/>
      <c r="D230" s="727" t="n"/>
      <c r="E230" s="727" t="n"/>
      <c r="F230" s="727" t="n"/>
      <c r="G230" s="727" t="n"/>
      <c r="H230" s="728" t="n"/>
      <c r="I230" s="731">
        <f>SUM(I228:J229)</f>
        <v/>
      </c>
      <c r="J230" s="1334" t="n"/>
      <c r="M230" s="94" t="n"/>
    </row>
    <row r="231" ht="15" customHeight="1" thickTop="1"/>
    <row r="232" ht="15.75" customHeight="1">
      <c r="A232" s="1077" t="inlineStr">
        <is>
          <t>Section 6: Extensions</t>
        </is>
      </c>
    </row>
    <row r="233" ht="13.5" customHeight="1">
      <c r="A233" s="94" t="n"/>
      <c r="B233" s="94" t="n"/>
      <c r="C233" s="94" t="n"/>
      <c r="D233" s="94" t="n"/>
      <c r="E233" s="94" t="n"/>
      <c r="F233" s="94" t="n"/>
      <c r="G233" s="94" t="n"/>
      <c r="H233" s="94" t="n"/>
      <c r="I233" s="94" t="n"/>
      <c r="J233" s="94" t="n"/>
      <c r="K233" s="94" t="n"/>
      <c r="L233" s="94" t="n"/>
      <c r="T233" s="1144" t="n"/>
    </row>
    <row r="234" ht="15" customHeight="1">
      <c r="A234" s="1082" t="inlineStr">
        <is>
          <t>6.1  Reasons for extensions</t>
        </is>
      </c>
    </row>
    <row r="235" ht="15" customHeight="1" thickBot="1"/>
    <row r="236" ht="15.75" customHeight="1" thickTop="1">
      <c r="A236" s="85" t="n"/>
      <c r="B236" s="85" t="n"/>
      <c r="C236" s="85" t="n"/>
      <c r="D236" s="85" t="n"/>
      <c r="E236" s="1495" t="inlineStr">
        <is>
          <t>15(a)(i) Interference with operations</t>
        </is>
      </c>
      <c r="F236" s="1336" t="n"/>
      <c r="G236" s="1336" t="n"/>
      <c r="H236" s="1336" t="n"/>
      <c r="I236" s="1336" t="n"/>
      <c r="J236" s="1336" t="n"/>
      <c r="K236" s="1336" t="n"/>
      <c r="L236" s="1383" t="n"/>
      <c r="M236" s="1496" t="inlineStr">
        <is>
          <t xml:space="preserve">15 (a)(ii) Consultation </t>
        </is>
      </c>
      <c r="N236" s="1336" t="n"/>
      <c r="O236" s="1336" t="n"/>
      <c r="P236" s="1336" t="n"/>
      <c r="Q236" s="1383" t="n"/>
      <c r="R236" s="538" t="inlineStr">
        <is>
          <t>15(b)
Translation purposes or conversion</t>
        </is>
      </c>
      <c r="S236" s="1354" t="n"/>
    </row>
    <row r="237" ht="15.75" customHeight="1" thickBot="1">
      <c r="E237" s="1160" t="inlineStr">
        <is>
          <t>Further review required to determine exemptions</t>
        </is>
      </c>
      <c r="F237" s="1420" t="n"/>
      <c r="G237" s="1165" t="inlineStr">
        <is>
          <t>Large volume of pages</t>
        </is>
      </c>
      <c r="H237" s="1420" t="n"/>
      <c r="I237" s="1165" t="inlineStr">
        <is>
          <t>Large volume of requests</t>
        </is>
      </c>
      <c r="J237" s="1420" t="n"/>
      <c r="K237" s="1165" t="inlineStr">
        <is>
          <t>Documents are difficult to obtain</t>
        </is>
      </c>
      <c r="L237" s="1420" t="n"/>
      <c r="M237" s="1165" t="inlineStr">
        <is>
          <t>Cabinet Confidence (Section 70)</t>
        </is>
      </c>
      <c r="N237" s="1420" t="n"/>
      <c r="O237" s="1176" t="inlineStr">
        <is>
          <t>External</t>
        </is>
      </c>
      <c r="P237" s="1176" t="inlineStr">
        <is>
          <t>Internal</t>
        </is>
      </c>
      <c r="Q237" s="1420" t="n"/>
      <c r="S237" s="1360" t="n"/>
    </row>
    <row r="238" ht="12.75" customHeight="1" thickTop="1">
      <c r="A238" s="536" t="inlineStr">
        <is>
          <t>Number of extensions taken</t>
        </is>
      </c>
      <c r="B238" s="1353" t="n"/>
      <c r="C238" s="1353" t="n"/>
      <c r="D238" s="1353" t="n"/>
      <c r="E238" s="1359" t="n"/>
      <c r="F238" s="1497" t="n"/>
      <c r="G238" s="1498" t="n"/>
      <c r="H238" s="1497" t="n"/>
      <c r="I238" s="1498" t="n"/>
      <c r="J238" s="1497" t="n"/>
      <c r="K238" s="1498" t="n"/>
      <c r="L238" s="1497" t="n"/>
      <c r="M238" s="1498" t="n"/>
      <c r="N238" s="1497" t="n"/>
      <c r="O238" s="1499" t="n"/>
      <c r="P238" s="1498" t="n"/>
      <c r="Q238" s="1497" t="n"/>
      <c r="S238" s="1360" t="n"/>
    </row>
    <row r="239" ht="26.25" customHeight="1" thickBot="1">
      <c r="A239" s="1349" t="n"/>
      <c r="B239" s="1350" t="n"/>
      <c r="C239" s="1350" t="n"/>
      <c r="D239" s="1350" t="n"/>
      <c r="E239" s="1394" t="n"/>
      <c r="F239" s="1395" t="n"/>
      <c r="G239" s="1500" t="n"/>
      <c r="H239" s="1395" t="n"/>
      <c r="I239" s="1500" t="n"/>
      <c r="J239" s="1395" t="n"/>
      <c r="K239" s="1500" t="n"/>
      <c r="L239" s="1395" t="n"/>
      <c r="M239" s="1500" t="n"/>
      <c r="N239" s="1395" t="n"/>
      <c r="O239" s="1501" t="n"/>
      <c r="P239" s="1500" t="n"/>
      <c r="Q239" s="1395" t="n"/>
      <c r="R239" s="1350" t="n"/>
      <c r="S239" s="1374" t="n"/>
      <c r="T239" s="85" t="n"/>
    </row>
    <row r="240" ht="16.5" customHeight="1" thickBot="1" thickTop="1">
      <c r="A240" s="1170">
        <f>SUM(E240:S240)</f>
        <v/>
      </c>
      <c r="B240" s="1333" t="n"/>
      <c r="C240" s="1333" t="n"/>
      <c r="D240" s="1386" t="n"/>
      <c r="E240" s="1502" t="n">
        <v>14</v>
      </c>
      <c r="F240" s="1465" t="n"/>
      <c r="G240" s="295" t="n">
        <v>3</v>
      </c>
      <c r="H240" s="1465" t="n"/>
      <c r="I240" s="295" t="n">
        <v>3</v>
      </c>
      <c r="J240" s="1465" t="n"/>
      <c r="K240" s="295" t="n">
        <v>3</v>
      </c>
      <c r="L240" s="1465" t="n"/>
      <c r="M240" s="1503" t="n">
        <v>3</v>
      </c>
      <c r="N240" s="1465" t="n"/>
      <c r="O240" s="295" t="n">
        <v>0</v>
      </c>
      <c r="P240" s="295" t="n">
        <v>2</v>
      </c>
      <c r="Q240" s="1465" t="n"/>
      <c r="R240" s="1180" t="n">
        <v>0</v>
      </c>
      <c r="S240" s="1458" t="n"/>
      <c r="T240" s="85" t="n"/>
    </row>
    <row r="241" ht="16.5" customHeight="1" thickTop="1">
      <c r="A241" s="83" t="n"/>
      <c r="B241" s="83" t="n"/>
      <c r="C241" s="83" t="n"/>
      <c r="D241" s="83" t="n"/>
      <c r="E241" s="1043" t="n"/>
      <c r="F241" s="1043" t="n"/>
      <c r="G241" s="1043" t="n"/>
      <c r="H241" s="1043" t="n"/>
      <c r="I241" s="1043" t="n"/>
      <c r="J241" s="1043" t="n"/>
      <c r="K241" s="1043" t="n"/>
      <c r="L241" s="1043" t="n"/>
      <c r="N241" s="49" t="n"/>
      <c r="T241" s="1144" t="n"/>
    </row>
    <row r="242" ht="15" customHeight="1">
      <c r="A242" s="1082" t="inlineStr">
        <is>
          <t>6.2 Length of extensions</t>
        </is>
      </c>
    </row>
    <row r="243" ht="15.75" customHeight="1" thickBot="1">
      <c r="A243" s="1082" t="n"/>
      <c r="E243" s="85" t="n"/>
      <c r="F243" s="85" t="n"/>
      <c r="G243" s="85" t="n"/>
      <c r="H243" s="85" t="n"/>
      <c r="I243" s="85" t="n"/>
      <c r="J243" s="85" t="n"/>
      <c r="K243" s="85" t="n"/>
      <c r="L243" s="85" t="n"/>
      <c r="N243" s="49" t="n"/>
    </row>
    <row r="244" ht="16.5" customHeight="1" thickBot="1" thickTop="1">
      <c r="A244" s="85" t="n"/>
      <c r="B244" s="85" t="n"/>
      <c r="C244" s="85" t="n"/>
      <c r="D244" s="85" t="n"/>
      <c r="E244" s="1495" t="inlineStr">
        <is>
          <t>15(a)(i) Interference with operations</t>
        </is>
      </c>
      <c r="F244" s="1336" t="n"/>
      <c r="G244" s="1336" t="n"/>
      <c r="H244" s="1336" t="n"/>
      <c r="I244" s="1336" t="n"/>
      <c r="J244" s="1336" t="n"/>
      <c r="K244" s="1336" t="n"/>
      <c r="L244" s="1383" t="n"/>
      <c r="M244" s="1504" t="inlineStr">
        <is>
          <t xml:space="preserve">15 (a)(ii) Consultation </t>
        </is>
      </c>
      <c r="N244" s="1505" t="n"/>
      <c r="O244" s="1505" t="n"/>
      <c r="P244" s="1505" t="n"/>
      <c r="Q244" s="1506" t="n"/>
      <c r="R244" s="538" t="inlineStr">
        <is>
          <t>15(b)
Translation purposes or conversion</t>
        </is>
      </c>
      <c r="S244" s="1354" t="n"/>
    </row>
    <row r="245" ht="22.5" customHeight="1" thickTop="1">
      <c r="A245" s="1466" t="inlineStr">
        <is>
          <t>Length of Extensions</t>
        </is>
      </c>
      <c r="B245" s="1353" t="n"/>
      <c r="C245" s="1353" t="n"/>
      <c r="D245" s="1354" t="n"/>
      <c r="E245" s="1160" t="inlineStr">
        <is>
          <t>Further review required to determine exemptions</t>
        </is>
      </c>
      <c r="F245" s="1420" t="n"/>
      <c r="G245" s="1165" t="inlineStr">
        <is>
          <t>Large volume of pages</t>
        </is>
      </c>
      <c r="H245" s="1420" t="n"/>
      <c r="I245" s="1165" t="inlineStr">
        <is>
          <t>Large volume of requests</t>
        </is>
      </c>
      <c r="J245" s="1420" t="n"/>
      <c r="K245" s="1165" t="inlineStr">
        <is>
          <t>Documents are difficult to obtain</t>
        </is>
      </c>
      <c r="L245" s="1420" t="n"/>
      <c r="M245" s="1167" t="inlineStr">
        <is>
          <t>Cabinet Confidence (Section 70)</t>
        </is>
      </c>
      <c r="N245" s="1507" t="n"/>
      <c r="O245" s="1169" t="inlineStr">
        <is>
          <t>External</t>
        </is>
      </c>
      <c r="P245" s="1169" t="inlineStr">
        <is>
          <t>Internal</t>
        </is>
      </c>
      <c r="Q245" s="1507" t="n"/>
      <c r="S245" s="1360" t="n"/>
    </row>
    <row r="246" ht="14.25" customHeight="1">
      <c r="A246" s="1359" t="n"/>
      <c r="D246" s="1360" t="n"/>
      <c r="E246" s="1359" t="n"/>
      <c r="F246" s="1497" t="n"/>
      <c r="G246" s="1498" t="n"/>
      <c r="H246" s="1497" t="n"/>
      <c r="I246" s="1498" t="n"/>
      <c r="J246" s="1497" t="n"/>
      <c r="K246" s="1498" t="n"/>
      <c r="L246" s="1497" t="n"/>
      <c r="M246" s="1498" t="n"/>
      <c r="N246" s="1497" t="n"/>
      <c r="O246" s="1499" t="n"/>
      <c r="P246" s="1498" t="n"/>
      <c r="Q246" s="1497" t="n"/>
      <c r="S246" s="1360" t="n"/>
    </row>
    <row r="247" ht="15" customHeight="1" thickBot="1">
      <c r="A247" s="1349" t="n"/>
      <c r="B247" s="1350" t="n"/>
      <c r="C247" s="1350" t="n"/>
      <c r="D247" s="1374" t="n"/>
      <c r="E247" s="1394" t="n"/>
      <c r="F247" s="1395" t="n"/>
      <c r="G247" s="1500" t="n"/>
      <c r="H247" s="1395" t="n"/>
      <c r="I247" s="1500" t="n"/>
      <c r="J247" s="1395" t="n"/>
      <c r="K247" s="1500" t="n"/>
      <c r="L247" s="1395" t="n"/>
      <c r="M247" s="1500" t="n"/>
      <c r="N247" s="1395" t="n"/>
      <c r="O247" s="1501" t="n"/>
      <c r="P247" s="1500" t="n"/>
      <c r="Q247" s="1395" t="n"/>
      <c r="R247" s="1350" t="n"/>
      <c r="S247" s="1374" t="n"/>
    </row>
    <row r="248" ht="15.75" customHeight="1" thickTop="1">
      <c r="A248" s="1508" t="inlineStr">
        <is>
          <t>1 to 15 days</t>
        </is>
      </c>
      <c r="B248" s="1331" t="n"/>
      <c r="C248" s="1331" t="n"/>
      <c r="D248" s="1409" t="n"/>
      <c r="E248" s="1424" t="n">
        <v>0</v>
      </c>
      <c r="F248" s="1417" t="n"/>
      <c r="G248" s="1150" t="n">
        <v>0</v>
      </c>
      <c r="H248" s="1509" t="n"/>
      <c r="I248" s="484" t="n">
        <v>0</v>
      </c>
      <c r="J248" s="1421" t="n"/>
      <c r="K248" s="1254" t="n">
        <v>0</v>
      </c>
      <c r="L248" s="1417" t="n"/>
      <c r="M248" s="484" t="n">
        <v>0</v>
      </c>
      <c r="N248" s="1421" t="n"/>
      <c r="O248" s="484" t="n">
        <v>0</v>
      </c>
      <c r="P248" s="484" t="n">
        <v>0</v>
      </c>
      <c r="Q248" s="1421" t="n"/>
      <c r="R248" s="1152" t="n">
        <v>0</v>
      </c>
      <c r="S248" s="1389" t="n"/>
    </row>
    <row r="249">
      <c r="A249" s="1510" t="inlineStr">
        <is>
          <t>16 to 30 days</t>
        </is>
      </c>
      <c r="B249" s="1347" t="n"/>
      <c r="C249" s="1347" t="n"/>
      <c r="D249" s="1358" t="n"/>
      <c r="E249" s="476" t="n">
        <v>3</v>
      </c>
      <c r="F249" s="1418" t="n"/>
      <c r="G249" s="477" t="n">
        <v>3</v>
      </c>
      <c r="H249" s="1418" t="n"/>
      <c r="I249" s="20" t="n">
        <v>3</v>
      </c>
      <c r="J249" s="1449" t="n"/>
      <c r="K249" s="20" t="n">
        <v>3</v>
      </c>
      <c r="L249" s="1449" t="n"/>
      <c r="M249" s="20" t="n">
        <v>0</v>
      </c>
      <c r="N249" s="1449" t="n"/>
      <c r="O249" s="20" t="n">
        <v>2</v>
      </c>
      <c r="P249" s="20" t="n">
        <v>0</v>
      </c>
      <c r="Q249" s="1449" t="n"/>
      <c r="R249" s="479" t="n">
        <v>0</v>
      </c>
      <c r="S249" s="1368" t="n"/>
      <c r="T249" s="75" t="n"/>
      <c r="U249" s="66" t="n"/>
      <c r="V249" s="66" t="n"/>
      <c r="W249" s="66" t="n"/>
    </row>
    <row r="250" ht="15" customHeight="1" thickBot="1">
      <c r="A250" s="1511" t="inlineStr">
        <is>
          <t xml:space="preserve">31 days or greater </t>
        </is>
      </c>
      <c r="B250" s="1348" t="n"/>
      <c r="C250" s="1348" t="n"/>
      <c r="D250" s="1356" t="n"/>
      <c r="E250" s="1512" t="n">
        <v>0</v>
      </c>
      <c r="F250" s="1420" t="n"/>
      <c r="G250" s="99" t="n">
        <v>0</v>
      </c>
      <c r="H250" s="1420" t="n"/>
      <c r="I250" s="99" t="n">
        <v>0</v>
      </c>
      <c r="J250" s="1420" t="n"/>
      <c r="K250" s="99" t="n">
        <v>0</v>
      </c>
      <c r="L250" s="1420" t="n"/>
      <c r="M250" s="99" t="n">
        <v>0</v>
      </c>
      <c r="N250" s="1420" t="n"/>
      <c r="O250" s="99" t="n">
        <v>0</v>
      </c>
      <c r="P250" s="99" t="n">
        <v>0</v>
      </c>
      <c r="Q250" s="1420" t="n"/>
      <c r="R250" s="1307" t="n">
        <v>0</v>
      </c>
      <c r="S250" s="1513" t="n"/>
      <c r="U250" s="66" t="n"/>
      <c r="V250" s="66" t="n"/>
      <c r="W250" s="66" t="n"/>
      <c r="X250" s="66" t="n"/>
      <c r="Y250" s="66" t="n"/>
      <c r="Z250" s="66" t="n"/>
      <c r="AA250" s="66" t="n"/>
      <c r="AB250" s="66" t="n"/>
      <c r="AC250" s="66" t="n"/>
      <c r="AD250" s="66" t="n"/>
    </row>
    <row r="251" ht="15.75" customHeight="1" thickBot="1" thickTop="1">
      <c r="A251" s="1414" t="inlineStr">
        <is>
          <t>Total</t>
        </is>
      </c>
      <c r="B251" s="1333" t="n"/>
      <c r="C251" s="1333" t="n"/>
      <c r="D251" s="1334" t="n"/>
      <c r="E251" s="1064">
        <f>SUM(E248:F249)</f>
        <v/>
      </c>
      <c r="F251" s="1386" t="n"/>
      <c r="G251" s="1065">
        <f>SUM(G248:H249)</f>
        <v/>
      </c>
      <c r="H251" s="1386" t="n"/>
      <c r="I251" s="1065">
        <f>SUM(I248:J249)</f>
        <v/>
      </c>
      <c r="J251" s="1386" t="n"/>
      <c r="K251" s="1065">
        <f>SUM(K248:L249)</f>
        <v/>
      </c>
      <c r="L251" s="1386" t="n"/>
      <c r="M251" s="1065">
        <f>SUM(M248:N249)</f>
        <v/>
      </c>
      <c r="N251" s="1386" t="n"/>
      <c r="O251" s="522">
        <f>SUM(O248:O249)</f>
        <v/>
      </c>
      <c r="P251" s="1065">
        <f>SUM(P248:Q249)</f>
        <v/>
      </c>
      <c r="Q251" s="1386" t="n"/>
      <c r="R251" s="462">
        <f>SUM(R248:S250)</f>
        <v/>
      </c>
      <c r="S251" s="1334" t="n"/>
      <c r="T251" s="342">
        <f>IF(S252&lt;&gt;A240,"Section 6.2 - The sum of the totals should be equal to the ""Number of requests where an extension was taken"" of Section 6.1","")</f>
        <v/>
      </c>
      <c r="AA251" s="66" t="n"/>
      <c r="AB251" s="66" t="n"/>
      <c r="AC251" s="66" t="n"/>
      <c r="AD251" s="66" t="n"/>
    </row>
    <row r="252" ht="15.75" customFormat="1" customHeight="1" s="66" thickTop="1">
      <c r="A252" s="83" t="n"/>
      <c r="B252" s="83" t="n"/>
      <c r="C252" s="83" t="n"/>
      <c r="D252" s="83" t="n"/>
      <c r="E252" s="75" t="n"/>
      <c r="F252" s="75" t="n"/>
      <c r="G252" s="75" t="n"/>
      <c r="H252" s="75" t="n"/>
      <c r="I252" s="75" t="n"/>
      <c r="J252" s="75" t="n"/>
      <c r="K252" s="75" t="n"/>
      <c r="L252" s="75" t="n"/>
      <c r="M252" s="1136" t="n"/>
      <c r="O252" s="49" t="n"/>
      <c r="P252" s="49" t="n"/>
      <c r="Q252" s="49" t="n"/>
      <c r="R252" s="49" t="n"/>
      <c r="S252" s="106">
        <f>SUM(E251:S251)</f>
        <v/>
      </c>
    </row>
    <row r="253" ht="15.75" customFormat="1" customHeight="1" s="66">
      <c r="A253" s="1077" t="inlineStr">
        <is>
          <t>Section 7: Consultations Received From Other Institutions and Organizations</t>
        </is>
      </c>
      <c r="T253" s="49" t="n"/>
    </row>
    <row r="254" customFormat="1" s="66">
      <c r="A254" s="49" t="n"/>
      <c r="B254" s="49" t="n"/>
      <c r="C254" s="49" t="n"/>
      <c r="D254" s="49" t="n"/>
      <c r="E254" s="49" t="n"/>
      <c r="F254" s="49" t="n"/>
      <c r="G254" s="49" t="n"/>
      <c r="H254" s="49" t="n"/>
      <c r="I254" s="49" t="n"/>
      <c r="J254" s="49" t="n"/>
      <c r="K254" s="49" t="n"/>
      <c r="L254" s="49" t="n"/>
      <c r="N254" s="49" t="n"/>
      <c r="O254" s="49" t="n"/>
      <c r="P254" s="49" t="n"/>
      <c r="Q254" s="49" t="n"/>
      <c r="R254" s="49" t="n"/>
      <c r="S254" s="49" t="n"/>
    </row>
    <row r="255" ht="15" customFormat="1" customHeight="1" s="66">
      <c r="A255" s="1136" t="inlineStr">
        <is>
          <t>7.1 Consultations received from other Government of Canada institutions and other organizations</t>
        </is>
      </c>
    </row>
    <row r="256" ht="15" customFormat="1" customHeight="1" s="66" thickBot="1">
      <c r="A256" s="49" t="n"/>
      <c r="B256" s="49" t="n"/>
      <c r="C256" s="49" t="n"/>
      <c r="D256" s="49" t="n"/>
      <c r="E256" s="49" t="n"/>
      <c r="F256" s="49" t="n"/>
      <c r="G256" s="49" t="n"/>
      <c r="H256" s="49" t="n"/>
      <c r="I256" s="49" t="n"/>
      <c r="J256" s="49" t="n"/>
      <c r="K256" s="49" t="n"/>
      <c r="L256" s="49" t="n"/>
      <c r="N256" s="49" t="n"/>
      <c r="O256" s="49" t="n"/>
      <c r="P256" s="49" t="n"/>
      <c r="Q256" s="49" t="n"/>
      <c r="R256" s="49" t="n"/>
      <c r="S256" s="49" t="n"/>
    </row>
    <row r="257" ht="39" customFormat="1" customHeight="1" s="66" thickBot="1" thickTop="1">
      <c r="A257" s="467" t="inlineStr">
        <is>
          <t>Consultations</t>
        </is>
      </c>
      <c r="B257" s="1333" t="n"/>
      <c r="C257" s="1333" t="n"/>
      <c r="D257" s="1386" t="n"/>
      <c r="E257" s="467" t="inlineStr">
        <is>
          <t>Other Government of Canada Institutions</t>
        </is>
      </c>
      <c r="F257" s="1386" t="n"/>
      <c r="G257" s="468" t="inlineStr">
        <is>
          <t>Number of Pages to Review</t>
        </is>
      </c>
      <c r="H257" s="1386" t="n"/>
      <c r="I257" s="467" t="inlineStr">
        <is>
          <t>Other Organizations</t>
        </is>
      </c>
      <c r="J257" s="1386" t="n"/>
      <c r="K257" s="468" t="inlineStr">
        <is>
          <t>Number of Pages to Review</t>
        </is>
      </c>
      <c r="L257" s="1386" t="n"/>
      <c r="N257" s="49" t="n"/>
      <c r="O257" s="49" t="n"/>
      <c r="P257" s="49" t="n"/>
      <c r="Q257" s="49" t="n"/>
      <c r="R257" s="49" t="n"/>
      <c r="S257" s="49" t="n"/>
    </row>
    <row r="258" ht="15" customFormat="1" customHeight="1" s="66" thickTop="1">
      <c r="A258" s="1127" t="inlineStr">
        <is>
          <t>Received during the reporting period</t>
        </is>
      </c>
      <c r="B258" s="1331" t="n"/>
      <c r="C258" s="1331" t="n"/>
      <c r="D258" s="1395" t="n"/>
      <c r="E258" s="184" t="n">
        <v>3</v>
      </c>
      <c r="F258" s="1417" t="n"/>
      <c r="G258" s="550" t="n">
        <v>118</v>
      </c>
      <c r="H258" s="1421" t="n"/>
      <c r="I258" s="549" t="n">
        <v>0</v>
      </c>
      <c r="J258" s="1421" t="n"/>
      <c r="K258" s="550" t="n">
        <v>0</v>
      </c>
      <c r="L258" s="1421" t="n"/>
      <c r="M258" s="49" t="n"/>
      <c r="N258" s="49" t="n"/>
      <c r="O258" s="49" t="n"/>
      <c r="P258" s="49" t="n"/>
      <c r="Q258" s="49" t="n"/>
      <c r="R258" s="49" t="n"/>
      <c r="S258" s="49" t="n"/>
    </row>
    <row r="259" ht="27" customFormat="1" customHeight="1" s="66">
      <c r="A259" s="1137" t="inlineStr">
        <is>
          <t>Outstanding from the previous reporting period</t>
        </is>
      </c>
      <c r="B259" s="1347" t="n"/>
      <c r="C259" s="1347" t="n"/>
      <c r="D259" s="1420" t="n"/>
      <c r="E259" s="589" t="n">
        <v>0</v>
      </c>
      <c r="F259" s="1419" t="n"/>
      <c r="G259" s="617" t="n">
        <v>0</v>
      </c>
      <c r="H259" s="1449" t="n"/>
      <c r="I259" s="616" t="n">
        <v>0</v>
      </c>
      <c r="J259" s="1449" t="n"/>
      <c r="K259" s="617" t="n">
        <v>0</v>
      </c>
      <c r="L259" s="1449" t="n"/>
      <c r="M259" s="49" t="n"/>
      <c r="N259" s="49" t="n"/>
      <c r="O259" s="49" t="n"/>
      <c r="P259" s="49" t="n"/>
      <c r="Q259" s="49" t="n"/>
      <c r="R259" s="49" t="n"/>
      <c r="S259" s="49" t="n"/>
    </row>
    <row r="260" ht="25.5" customFormat="1" customHeight="1" s="66">
      <c r="A260" s="1120" t="inlineStr">
        <is>
          <t>Total</t>
        </is>
      </c>
      <c r="B260" s="1333" t="n"/>
      <c r="C260" s="1333" t="n"/>
      <c r="D260" s="1386" t="n"/>
      <c r="E260" s="1514">
        <f>SUM(E258:F259)</f>
        <v/>
      </c>
      <c r="F260" s="1393" t="n"/>
      <c r="G260" s="1125">
        <f>SUM(G258:H259)</f>
        <v/>
      </c>
      <c r="H260" s="1393" t="n"/>
      <c r="I260" s="614">
        <f>SUM(I258:J259)</f>
        <v/>
      </c>
      <c r="J260" s="1333" t="n"/>
      <c r="K260" s="1451">
        <f>SUM(K258:L259)</f>
        <v/>
      </c>
      <c r="L260" s="1334" t="n"/>
      <c r="M260" s="342">
        <f>IF(SUM(E262:F263)&lt;&gt;(E260-E261),"Section 7.1 - The sum of column 3, rows 5 and 6 should be equal to row 3, column 1 minus row 4 column 1","")</f>
        <v/>
      </c>
      <c r="V260" s="49" t="n"/>
      <c r="W260" s="49" t="n"/>
      <c r="X260" s="49" t="n"/>
      <c r="Y260" s="49" t="n"/>
      <c r="Z260" s="49" t="n"/>
      <c r="AA260" s="49" t="n"/>
      <c r="AB260" s="49" t="n"/>
      <c r="AC260" s="49" t="n"/>
      <c r="AD260" s="49" t="n"/>
    </row>
    <row r="261" ht="12.75" customFormat="1" customHeight="1" s="66">
      <c r="A261" s="1127" t="inlineStr">
        <is>
          <t>Closed during the reporting period</t>
        </is>
      </c>
      <c r="B261" s="1331" t="n"/>
      <c r="C261" s="1331" t="n"/>
      <c r="D261" s="1395" t="n"/>
      <c r="E261" s="1515" t="n">
        <v>3</v>
      </c>
      <c r="F261" s="1516" t="n"/>
      <c r="G261" s="1132" t="n">
        <v>118</v>
      </c>
      <c r="H261" s="1516" t="n"/>
      <c r="I261" s="1134" t="n">
        <v>0</v>
      </c>
      <c r="J261" s="1421" t="n"/>
      <c r="K261" s="550" t="n">
        <v>0</v>
      </c>
      <c r="L261" s="1421" t="n"/>
      <c r="M261" s="342">
        <f>IF(SUM(G262:H263)&lt;&gt;(G260-G261),"Section 7.1 - The sum of column 2, rows 5 and 6 should be equal to row 3, column 2 minus row 4 column 2","")</f>
        <v/>
      </c>
    </row>
    <row r="262" ht="25.5" customFormat="1" customHeight="1" s="66">
      <c r="A262" s="498" t="inlineStr">
        <is>
          <t>Carried over within negotiated timelines</t>
        </is>
      </c>
      <c r="B262" s="1342" t="n"/>
      <c r="C262" s="1342" t="n"/>
      <c r="D262" s="1342" t="n"/>
      <c r="E262" s="1517" t="n">
        <v>0</v>
      </c>
      <c r="F262" s="1449" t="n"/>
      <c r="G262" s="617" t="n">
        <v>0</v>
      </c>
      <c r="H262" s="1449" t="n"/>
      <c r="I262" s="526" t="n">
        <v>0</v>
      </c>
      <c r="J262" s="1418" t="n"/>
      <c r="K262" s="1444" t="n">
        <v>0</v>
      </c>
      <c r="L262" s="1368" t="n"/>
      <c r="M262" s="342">
        <f>IF(SUM(I262:J263)&lt;&gt;(I260-I261),"Section 7.1 - The sum of column 3, rows 5 and 6 should be equal to row 3, column 3 minus row 4 column 3","")</f>
        <v/>
      </c>
    </row>
    <row r="263" ht="26.25" customHeight="1">
      <c r="A263" s="586" t="inlineStr">
        <is>
          <t>Carried over beyond negotiated timelines</t>
        </is>
      </c>
      <c r="B263" s="1348" t="n"/>
      <c r="C263" s="1348" t="n"/>
      <c r="D263" s="1348" t="n"/>
      <c r="E263" s="1114" t="n">
        <v>0</v>
      </c>
      <c r="F263" s="1518" t="n"/>
      <c r="G263" s="1116" t="n">
        <v>0</v>
      </c>
      <c r="H263" s="1519" t="n"/>
      <c r="I263" s="599" t="n">
        <v>0</v>
      </c>
      <c r="J263" s="1419" t="n"/>
      <c r="K263" s="1520" t="n">
        <v>0</v>
      </c>
      <c r="L263" s="1379" t="n"/>
      <c r="M263" s="342">
        <f>IF(SUM(K262:L263)&lt;&gt;(K260-K261),"Section 7.1 - The sum of column 3, rows 5 and 6 should be equal to row 3, column 3 minus row 4 column 3","")</f>
        <v/>
      </c>
      <c r="V263" s="66" t="n"/>
      <c r="W263" s="66" t="n"/>
      <c r="X263" s="66" t="n"/>
      <c r="Y263" s="66" t="n"/>
      <c r="Z263" s="66" t="n"/>
      <c r="AA263" s="66" t="n"/>
      <c r="AB263" s="66" t="n"/>
      <c r="AC263" s="66" t="n"/>
      <c r="AD263" s="66" t="n"/>
    </row>
    <row r="264" ht="18" customFormat="1" customHeight="1" s="66">
      <c r="A264" s="49" t="n"/>
      <c r="B264" s="49" t="n"/>
      <c r="C264" s="49" t="n"/>
      <c r="D264" s="49" t="n"/>
      <c r="E264" s="49" t="n"/>
      <c r="F264" s="1043" t="n"/>
      <c r="I264" s="49" t="n"/>
      <c r="J264" s="49" t="n"/>
      <c r="K264" s="49" t="n"/>
      <c r="L264" s="49" t="n"/>
      <c r="M264" s="101" t="n"/>
      <c r="O264" s="49" t="n"/>
      <c r="P264" s="49" t="n"/>
      <c r="Q264" s="49" t="n"/>
      <c r="R264" s="49" t="n"/>
      <c r="S264" s="49" t="n"/>
      <c r="U264" s="49" t="n"/>
      <c r="V264" s="49" t="n"/>
      <c r="W264" s="49" t="n"/>
      <c r="X264" s="49" t="n"/>
      <c r="Y264" s="49" t="n"/>
      <c r="Z264" s="49" t="n"/>
      <c r="AA264" s="49" t="n"/>
      <c r="AB264" s="49" t="n"/>
      <c r="AC264" s="49" t="n"/>
      <c r="AD264" s="49" t="n"/>
    </row>
    <row r="265" ht="15" customFormat="1" customHeight="1" s="66">
      <c r="A265" s="1110" t="inlineStr">
        <is>
          <t>7.2 Recommendations and completion time for consultations received from other Government of Canada institutions</t>
        </is>
      </c>
      <c r="U265" s="49" t="n"/>
      <c r="V265" s="49" t="n"/>
      <c r="W265" s="49" t="n"/>
      <c r="X265" s="49" t="n"/>
      <c r="Y265" s="49" t="n"/>
      <c r="Z265" s="49" t="n"/>
      <c r="AA265" s="49" t="n"/>
      <c r="AB265" s="49" t="n"/>
      <c r="AC265" s="49" t="n"/>
      <c r="AD265" s="49" t="n"/>
    </row>
    <row r="266" ht="15" customFormat="1" customHeight="1" s="66" thickBot="1">
      <c r="A266" s="49" t="n"/>
      <c r="B266" s="49" t="n"/>
      <c r="C266" s="49" t="n"/>
      <c r="D266" s="49" t="n"/>
      <c r="E266" s="49" t="n"/>
      <c r="F266" s="49" t="n"/>
      <c r="G266" s="49" t="n"/>
      <c r="H266" s="49" t="n"/>
      <c r="I266" s="49" t="n"/>
      <c r="J266" s="49" t="n"/>
      <c r="K266" s="49" t="n"/>
      <c r="L266" s="49" t="n"/>
      <c r="N266" s="49" t="n"/>
      <c r="O266" s="49" t="n"/>
      <c r="P266" s="49" t="n"/>
      <c r="Q266" s="49" t="n"/>
      <c r="R266" s="49" t="n"/>
      <c r="S266" s="49" t="n"/>
      <c r="U266" s="49" t="n"/>
      <c r="V266" s="49" t="n"/>
      <c r="W266" s="49" t="n"/>
      <c r="X266" s="49" t="n"/>
      <c r="Y266" s="49" t="n"/>
      <c r="Z266" s="49" t="n"/>
      <c r="AA266" s="49" t="n"/>
      <c r="AB266" s="49" t="n"/>
      <c r="AC266" s="49" t="n"/>
      <c r="AD266" s="49" t="n"/>
    </row>
    <row r="267" ht="15" customHeight="1" thickTop="1">
      <c r="A267" s="1103" t="inlineStr">
        <is>
          <t>Recommendation</t>
        </is>
      </c>
      <c r="B267" s="1353" t="n"/>
      <c r="C267" s="1353" t="n"/>
      <c r="D267" s="1393" t="n"/>
      <c r="E267" s="1381" t="inlineStr">
        <is>
          <t>Number of Days Required to Complete Consultation Requests</t>
        </is>
      </c>
      <c r="F267" s="1336" t="n"/>
      <c r="G267" s="1336" t="n"/>
      <c r="H267" s="1336" t="n"/>
      <c r="I267" s="1336" t="n"/>
      <c r="J267" s="1336" t="n"/>
      <c r="K267" s="1336" t="n"/>
      <c r="L267" s="1337" t="n"/>
      <c r="M267" s="66" t="n"/>
      <c r="N267" s="49" t="n"/>
    </row>
    <row r="268" ht="51.75" customHeight="1" thickBot="1">
      <c r="A268" s="1394" t="n"/>
      <c r="B268" s="1331" t="n"/>
      <c r="C268" s="1331" t="n"/>
      <c r="D268" s="1395" t="n"/>
      <c r="E268" s="296" t="inlineStr">
        <is>
          <t>0 to 15 Days</t>
        </is>
      </c>
      <c r="F268" s="297" t="inlineStr">
        <is>
          <t>16 to 30 Days</t>
        </is>
      </c>
      <c r="G268" s="297" t="inlineStr">
        <is>
          <t>31 to 60 Days</t>
        </is>
      </c>
      <c r="H268" s="297" t="inlineStr">
        <is>
          <t>61 to 120 Days</t>
        </is>
      </c>
      <c r="I268" s="297" t="inlineStr">
        <is>
          <t>121  to 180 Days</t>
        </is>
      </c>
      <c r="J268" s="297" t="inlineStr">
        <is>
          <t>181 to 365 Days</t>
        </is>
      </c>
      <c r="K268" s="298" t="inlineStr">
        <is>
          <t>More Than 365 Days</t>
        </is>
      </c>
      <c r="L268" s="252" t="inlineStr">
        <is>
          <t>Total</t>
        </is>
      </c>
      <c r="M268" s="66" t="n"/>
      <c r="N268" s="49" t="n"/>
    </row>
    <row r="269" ht="14.25" customHeight="1" thickTop="1">
      <c r="A269" s="998" t="inlineStr">
        <is>
          <t>Disclose entirely</t>
        </is>
      </c>
      <c r="B269" s="1331" t="n"/>
      <c r="C269" s="1331" t="n"/>
      <c r="D269" s="1395" t="n"/>
      <c r="E269" s="483" t="n">
        <v>0</v>
      </c>
      <c r="F269" s="484" t="n">
        <v>0</v>
      </c>
      <c r="G269" s="484" t="n">
        <v>0</v>
      </c>
      <c r="H269" s="484" t="n">
        <v>0</v>
      </c>
      <c r="I269" s="484" t="n">
        <v>0</v>
      </c>
      <c r="J269" s="484" t="n">
        <v>0</v>
      </c>
      <c r="K269" s="594" t="n">
        <v>0</v>
      </c>
      <c r="L269" s="266">
        <f>SUM(E269:K269)</f>
        <v/>
      </c>
      <c r="M269" s="66" t="n"/>
      <c r="N269" s="49" t="n"/>
    </row>
    <row r="270" ht="15" customHeight="1">
      <c r="A270" s="983" t="inlineStr">
        <is>
          <t>Disclose in part</t>
        </is>
      </c>
      <c r="B270" s="1342" t="n"/>
      <c r="C270" s="1342" t="n"/>
      <c r="D270" s="1390" t="n"/>
      <c r="E270" s="476" t="n">
        <v>1</v>
      </c>
      <c r="F270" s="477" t="n">
        <v>0</v>
      </c>
      <c r="G270" s="477" t="n">
        <v>0</v>
      </c>
      <c r="H270" s="477" t="n">
        <v>0</v>
      </c>
      <c r="I270" s="477" t="n">
        <v>0</v>
      </c>
      <c r="J270" s="477" t="n">
        <v>0</v>
      </c>
      <c r="K270" s="430" t="n">
        <v>0</v>
      </c>
      <c r="L270" s="267">
        <f>SUM(E270:K270)</f>
        <v/>
      </c>
      <c r="M270" s="66" t="n"/>
      <c r="N270" s="49" t="n"/>
      <c r="U270" s="85" t="n"/>
      <c r="V270" s="85" t="n"/>
      <c r="W270" s="85" t="n"/>
      <c r="X270" s="85" t="n"/>
      <c r="Y270" s="85" t="n"/>
      <c r="Z270" s="85" t="n"/>
      <c r="AA270" s="85" t="n"/>
      <c r="AB270" s="85" t="n"/>
      <c r="AC270" s="85" t="n"/>
      <c r="AD270" s="85" t="n"/>
    </row>
    <row r="271" ht="14.25" customHeight="1">
      <c r="A271" s="983" t="inlineStr">
        <is>
          <t>Exempt entirely</t>
        </is>
      </c>
      <c r="B271" s="1342" t="n"/>
      <c r="C271" s="1342" t="n"/>
      <c r="D271" s="1390" t="n"/>
      <c r="E271" s="476" t="n">
        <v>0</v>
      </c>
      <c r="F271" s="477" t="n">
        <v>0</v>
      </c>
      <c r="G271" s="477" t="n">
        <v>0</v>
      </c>
      <c r="H271" s="477" t="n">
        <v>0</v>
      </c>
      <c r="I271" s="477" t="n">
        <v>0</v>
      </c>
      <c r="J271" s="477" t="n">
        <v>0</v>
      </c>
      <c r="K271" s="430" t="n">
        <v>0</v>
      </c>
      <c r="L271" s="267">
        <f>SUM(E271:K271)</f>
        <v/>
      </c>
      <c r="M271" s="66" t="n"/>
      <c r="N271" s="49" t="n"/>
    </row>
    <row r="272">
      <c r="A272" s="983" t="inlineStr">
        <is>
          <t>Exclude entirely</t>
        </is>
      </c>
      <c r="B272" s="1342" t="n"/>
      <c r="C272" s="1342" t="n"/>
      <c r="D272" s="1390" t="n"/>
      <c r="E272" s="476" t="n">
        <v>0</v>
      </c>
      <c r="F272" s="477" t="n">
        <v>0</v>
      </c>
      <c r="G272" s="477" t="n">
        <v>0</v>
      </c>
      <c r="H272" s="477" t="n">
        <v>0</v>
      </c>
      <c r="I272" s="477" t="n">
        <v>0</v>
      </c>
      <c r="J272" s="477" t="n">
        <v>0</v>
      </c>
      <c r="K272" s="430" t="n">
        <v>0</v>
      </c>
      <c r="L272" s="267">
        <f>SUM(E272:K272)</f>
        <v/>
      </c>
      <c r="M272" s="66" t="n"/>
      <c r="N272" s="49" t="n"/>
    </row>
    <row r="273" ht="15" customFormat="1" customHeight="1" s="85">
      <c r="A273" s="983" t="inlineStr">
        <is>
          <t>Consult other institution</t>
        </is>
      </c>
      <c r="B273" s="1342" t="n"/>
      <c r="C273" s="1342" t="n"/>
      <c r="D273" s="1390" t="n"/>
      <c r="E273" s="476" t="n">
        <v>1</v>
      </c>
      <c r="F273" s="477" t="n">
        <v>1</v>
      </c>
      <c r="G273" s="477" t="n">
        <v>0</v>
      </c>
      <c r="H273" s="477" t="n">
        <v>0</v>
      </c>
      <c r="I273" s="477" t="n">
        <v>0</v>
      </c>
      <c r="J273" s="477" t="n">
        <v>0</v>
      </c>
      <c r="K273" s="430" t="n">
        <v>0</v>
      </c>
      <c r="L273" s="267">
        <f>SUM(E273:K273)</f>
        <v/>
      </c>
      <c r="O273" s="49" t="n"/>
      <c r="P273" s="49" t="n"/>
      <c r="Q273" s="49" t="n"/>
      <c r="R273" s="49" t="n"/>
      <c r="S273" s="49" t="n"/>
      <c r="T273" s="49" t="n"/>
      <c r="U273" s="49" t="n"/>
      <c r="V273" s="49" t="n"/>
      <c r="W273" s="49" t="n"/>
      <c r="X273" s="49" t="n"/>
      <c r="Y273" s="49" t="n"/>
      <c r="Z273" s="49" t="n"/>
      <c r="AA273" s="49" t="n"/>
      <c r="AB273" s="49" t="n"/>
      <c r="AC273" s="49" t="n"/>
      <c r="AD273" s="49" t="n"/>
    </row>
    <row r="274" ht="15" customHeight="1" thickBot="1">
      <c r="A274" s="1098" t="inlineStr">
        <is>
          <t>Other</t>
        </is>
      </c>
      <c r="B274" s="1348" t="n"/>
      <c r="C274" s="1348" t="n"/>
      <c r="D274" s="1384" t="n"/>
      <c r="E274" s="547" t="n">
        <v>0</v>
      </c>
      <c r="F274" s="548" t="n">
        <v>0</v>
      </c>
      <c r="G274" s="548" t="n">
        <v>0</v>
      </c>
      <c r="H274" s="548" t="n">
        <v>0</v>
      </c>
      <c r="I274" s="548" t="n">
        <v>0</v>
      </c>
      <c r="J274" s="548" t="n">
        <v>0</v>
      </c>
      <c r="K274" s="571" t="n">
        <v>0</v>
      </c>
      <c r="L274" s="268">
        <f>SUM(E274:K274)</f>
        <v/>
      </c>
    </row>
    <row r="275" ht="15.75" customHeight="1" thickBot="1" thickTop="1">
      <c r="A275" s="839" t="inlineStr">
        <is>
          <t>Total</t>
        </is>
      </c>
      <c r="B275" s="1350" t="n"/>
      <c r="C275" s="1350" t="n"/>
      <c r="D275" s="1396" t="n"/>
      <c r="E275" s="545">
        <f>SUM(E269:E274)</f>
        <v/>
      </c>
      <c r="F275" s="546">
        <f>SUM(F269:F274)</f>
        <v/>
      </c>
      <c r="G275" s="546">
        <f>SUM(G269:G274)</f>
        <v/>
      </c>
      <c r="H275" s="546">
        <f>SUM(H269:H274)</f>
        <v/>
      </c>
      <c r="I275" s="546">
        <f>SUM(I269:I274)</f>
        <v/>
      </c>
      <c r="J275" s="546">
        <f>SUM(J269:J274)</f>
        <v/>
      </c>
      <c r="K275" s="597">
        <f>SUM(K269:K274)</f>
        <v/>
      </c>
      <c r="L275" s="265">
        <f>SUM(L269:L274)</f>
        <v/>
      </c>
      <c r="M275" s="1291">
        <f>IF(L275&lt;&gt;E261,"Section 7.2 - The total of all totals should be equal to ""Closed during the reporting period"" of ""Other Government of Canada"" of Section 7.1","")</f>
        <v/>
      </c>
    </row>
    <row r="276" ht="15.75" customHeight="1" thickTop="1">
      <c r="A276" s="85" t="n"/>
      <c r="B276" s="85" t="n"/>
      <c r="C276" s="85" t="n"/>
      <c r="D276" s="85" t="n"/>
      <c r="E276" s="85" t="n"/>
      <c r="F276" s="85" t="n"/>
      <c r="G276" s="85" t="n"/>
      <c r="H276" s="85" t="n"/>
      <c r="I276" s="85" t="n"/>
      <c r="J276" s="85" t="n"/>
      <c r="K276" s="85" t="n"/>
      <c r="L276" s="85" t="n"/>
    </row>
    <row r="277" ht="15" customHeight="1">
      <c r="A277" s="331" t="inlineStr">
        <is>
          <t>7.3 Recommendations and completion time for consultations received from other organizations outside the Government of Canada</t>
        </is>
      </c>
      <c r="B277" s="331" t="n"/>
      <c r="C277" s="331" t="n"/>
      <c r="D277" s="331" t="n"/>
      <c r="E277" s="331" t="n"/>
      <c r="F277" s="331" t="n"/>
      <c r="G277" s="331" t="n"/>
      <c r="H277" s="331" t="n"/>
      <c r="I277" s="331" t="n"/>
      <c r="J277" s="331" t="n"/>
      <c r="K277" s="331" t="n"/>
      <c r="L277" s="331" t="n"/>
      <c r="M277" s="331" t="n"/>
      <c r="N277" s="331" t="n"/>
      <c r="O277" s="331" t="n"/>
    </row>
    <row r="278" ht="15" customHeight="1" thickBot="1">
      <c r="M278" s="66" t="n"/>
      <c r="N278" s="49" t="n"/>
    </row>
    <row r="279" ht="15" customHeight="1" thickTop="1">
      <c r="A279" s="1103" t="inlineStr">
        <is>
          <t>Recommendation</t>
        </is>
      </c>
      <c r="B279" s="1353" t="n"/>
      <c r="C279" s="1353" t="n"/>
      <c r="D279" s="1393" t="n"/>
      <c r="E279" s="1381" t="inlineStr">
        <is>
          <t>Number of days required to complete consultation requests</t>
        </is>
      </c>
      <c r="F279" s="1336" t="n"/>
      <c r="G279" s="1336" t="n"/>
      <c r="H279" s="1336" t="n"/>
      <c r="I279" s="1336" t="n"/>
      <c r="J279" s="1336" t="n"/>
      <c r="K279" s="1336" t="n"/>
      <c r="L279" s="1337" t="n"/>
      <c r="M279" s="66" t="n"/>
      <c r="N279" s="49" t="n"/>
    </row>
    <row r="280" ht="51.75" customHeight="1" thickBot="1">
      <c r="A280" s="1394" t="n"/>
      <c r="B280" s="1331" t="n"/>
      <c r="C280" s="1331" t="n"/>
      <c r="D280" s="1395" t="n"/>
      <c r="E280" s="296" t="inlineStr">
        <is>
          <t>0 to 15 Days</t>
        </is>
      </c>
      <c r="F280" s="297" t="inlineStr">
        <is>
          <t>16 to 30 Days</t>
        </is>
      </c>
      <c r="G280" s="297" t="inlineStr">
        <is>
          <t>31 to 60 Days</t>
        </is>
      </c>
      <c r="H280" s="297" t="inlineStr">
        <is>
          <t>61 to 120 Days</t>
        </is>
      </c>
      <c r="I280" s="297" t="inlineStr">
        <is>
          <t>121  to 180 Days</t>
        </is>
      </c>
      <c r="J280" s="297" t="inlineStr">
        <is>
          <t>181 to 365 Days</t>
        </is>
      </c>
      <c r="K280" s="298" t="inlineStr">
        <is>
          <t>More Than 365 Days</t>
        </is>
      </c>
      <c r="L280" s="252" t="inlineStr">
        <is>
          <t>Total</t>
        </is>
      </c>
      <c r="M280" s="66" t="n"/>
      <c r="N280" s="49" t="n"/>
    </row>
    <row r="281" ht="14.25" customHeight="1" thickTop="1">
      <c r="A281" s="998" t="inlineStr">
        <is>
          <t>Disclose entirely</t>
        </is>
      </c>
      <c r="B281" s="1331" t="n"/>
      <c r="C281" s="1331" t="n"/>
      <c r="D281" s="1395" t="n"/>
      <c r="E281" s="483" t="n">
        <v>0</v>
      </c>
      <c r="F281" s="484" t="n">
        <v>0</v>
      </c>
      <c r="G281" s="484" t="n">
        <v>0</v>
      </c>
      <c r="H281" s="484" t="n">
        <v>0</v>
      </c>
      <c r="I281" s="484" t="n">
        <v>0</v>
      </c>
      <c r="J281" s="484" t="n">
        <v>0</v>
      </c>
      <c r="K281" s="594" t="n">
        <v>0</v>
      </c>
      <c r="L281" s="266">
        <f>SUM(E281:K281)</f>
        <v/>
      </c>
      <c r="M281" s="66" t="n"/>
      <c r="N281" s="49" t="n"/>
    </row>
    <row r="282" ht="14.25" customHeight="1">
      <c r="A282" s="983" t="inlineStr">
        <is>
          <t>Disclose in part</t>
        </is>
      </c>
      <c r="B282" s="1342" t="n"/>
      <c r="C282" s="1342" t="n"/>
      <c r="D282" s="1390" t="n"/>
      <c r="E282" s="476" t="n">
        <v>0</v>
      </c>
      <c r="F282" s="477" t="n">
        <v>0</v>
      </c>
      <c r="G282" s="477" t="n">
        <v>0</v>
      </c>
      <c r="H282" s="477" t="n">
        <v>0</v>
      </c>
      <c r="I282" s="477" t="n">
        <v>0</v>
      </c>
      <c r="J282" s="477" t="n">
        <v>0</v>
      </c>
      <c r="K282" s="430" t="n">
        <v>0</v>
      </c>
      <c r="L282" s="267">
        <f>SUM(E282:K282)</f>
        <v/>
      </c>
      <c r="M282" s="66" t="n"/>
      <c r="N282" s="49" t="n"/>
    </row>
    <row r="283" ht="14.25" customHeight="1">
      <c r="A283" s="983" t="inlineStr">
        <is>
          <t>Exempt entirely</t>
        </is>
      </c>
      <c r="B283" s="1342" t="n"/>
      <c r="C283" s="1342" t="n"/>
      <c r="D283" s="1390" t="n"/>
      <c r="E283" s="476" t="n">
        <v>0</v>
      </c>
      <c r="F283" s="477" t="n">
        <v>0</v>
      </c>
      <c r="G283" s="477" t="n">
        <v>0</v>
      </c>
      <c r="H283" s="477" t="n">
        <v>0</v>
      </c>
      <c r="I283" s="477" t="n">
        <v>0</v>
      </c>
      <c r="J283" s="477" t="n">
        <v>0</v>
      </c>
      <c r="K283" s="430" t="n">
        <v>0</v>
      </c>
      <c r="L283" s="267">
        <f>SUM(E283:K283)</f>
        <v/>
      </c>
      <c r="M283" s="66" t="n"/>
      <c r="N283" s="49" t="n"/>
    </row>
    <row r="284">
      <c r="A284" s="983" t="inlineStr">
        <is>
          <t>Exclude entirely</t>
        </is>
      </c>
      <c r="B284" s="1342" t="n"/>
      <c r="C284" s="1342" t="n"/>
      <c r="D284" s="1390" t="n"/>
      <c r="E284" s="476" t="n">
        <v>0</v>
      </c>
      <c r="F284" s="477" t="n">
        <v>0</v>
      </c>
      <c r="G284" s="477" t="n">
        <v>0</v>
      </c>
      <c r="H284" s="477" t="n">
        <v>0</v>
      </c>
      <c r="I284" s="477" t="n">
        <v>0</v>
      </c>
      <c r="J284" s="477" t="n">
        <v>0</v>
      </c>
      <c r="K284" s="430" t="n">
        <v>0</v>
      </c>
      <c r="L284" s="267">
        <f>SUM(E284:K284)</f>
        <v/>
      </c>
      <c r="M284" s="66" t="n"/>
      <c r="N284" s="49" t="n"/>
    </row>
    <row r="285">
      <c r="A285" s="983" t="inlineStr">
        <is>
          <t>Consult other institution</t>
        </is>
      </c>
      <c r="B285" s="1342" t="n"/>
      <c r="C285" s="1342" t="n"/>
      <c r="D285" s="1390" t="n"/>
      <c r="E285" s="476" t="n">
        <v>0</v>
      </c>
      <c r="F285" s="477" t="n">
        <v>0</v>
      </c>
      <c r="G285" s="477" t="n">
        <v>0</v>
      </c>
      <c r="H285" s="477" t="n">
        <v>0</v>
      </c>
      <c r="I285" s="477" t="n">
        <v>0</v>
      </c>
      <c r="J285" s="477" t="n">
        <v>0</v>
      </c>
      <c r="K285" s="430" t="n">
        <v>0</v>
      </c>
      <c r="L285" s="267">
        <f>SUM(E285:K285)</f>
        <v/>
      </c>
      <c r="M285" s="1043" t="n"/>
    </row>
    <row r="286" ht="16.5" customHeight="1" thickBot="1">
      <c r="A286" s="1098" t="inlineStr">
        <is>
          <t>Other</t>
        </is>
      </c>
      <c r="B286" s="1348" t="n"/>
      <c r="C286" s="1348" t="n"/>
      <c r="D286" s="1384" t="n"/>
      <c r="E286" s="547" t="n">
        <v>0</v>
      </c>
      <c r="F286" s="548" t="n">
        <v>0</v>
      </c>
      <c r="G286" s="548" t="n">
        <v>0</v>
      </c>
      <c r="H286" s="548" t="n">
        <v>0</v>
      </c>
      <c r="I286" s="548" t="n">
        <v>0</v>
      </c>
      <c r="J286" s="548" t="n">
        <v>0</v>
      </c>
      <c r="K286" s="571" t="n">
        <v>0</v>
      </c>
      <c r="L286" s="268">
        <f>SUM(E286:K286)</f>
        <v/>
      </c>
      <c r="M286" s="102" t="n"/>
    </row>
    <row r="287" ht="15.75" customHeight="1" thickBot="1" thickTop="1">
      <c r="A287" s="824" t="inlineStr">
        <is>
          <t>Total</t>
        </is>
      </c>
      <c r="B287" s="1333" t="n"/>
      <c r="C287" s="1333" t="n"/>
      <c r="D287" s="1386" t="n"/>
      <c r="E287" s="1064">
        <f>SUM(E281:E286)</f>
        <v/>
      </c>
      <c r="F287" s="1065">
        <f>SUM(F281:F286)</f>
        <v/>
      </c>
      <c r="G287" s="1065">
        <f>SUM(G281:G286)</f>
        <v/>
      </c>
      <c r="H287" s="1065">
        <f>SUM(H281:H286)</f>
        <v/>
      </c>
      <c r="I287" s="1065">
        <f>SUM(I281:I286)</f>
        <v/>
      </c>
      <c r="J287" s="1065">
        <f>SUM(J281:J286)</f>
        <v/>
      </c>
      <c r="K287" s="463">
        <f>SUM(K281:K286)</f>
        <v/>
      </c>
      <c r="L287" s="299">
        <f>SUM(E287:K287)</f>
        <v/>
      </c>
      <c r="M287" s="342">
        <f>IF(L287&lt;&gt;I261,"Section 7.3 - The total of totals should be equal to ""Closed during the reporting period"" of ""Other Organizations"" of Section 7.1","")</f>
        <v/>
      </c>
    </row>
    <row r="288" ht="15" customHeight="1" thickTop="1">
      <c r="A288" s="1043" t="n"/>
      <c r="B288" s="1043" t="n"/>
      <c r="C288" s="1043" t="n"/>
      <c r="D288" s="1043" t="n"/>
      <c r="E288" s="1043" t="n"/>
      <c r="F288" s="1043" t="n"/>
      <c r="G288" s="1043" t="n"/>
      <c r="H288" s="1043" t="n"/>
      <c r="I288" s="1043" t="n"/>
      <c r="J288" s="1043" t="n"/>
      <c r="K288" s="1043" t="n"/>
      <c r="L288" s="1043" t="n"/>
    </row>
    <row r="289" ht="15.75" customHeight="1">
      <c r="A289" s="965" t="inlineStr">
        <is>
          <t>Section 8: Completion Time of Consultations on Cabinet Confidences</t>
        </is>
      </c>
    </row>
    <row r="290">
      <c r="M290" s="66" t="n"/>
      <c r="N290" s="49" t="n"/>
    </row>
    <row r="291" ht="15" customHeight="1">
      <c r="A291" s="375" t="inlineStr">
        <is>
          <t>8.1 Requests with Legal Services</t>
        </is>
      </c>
      <c r="M291" s="66" t="n"/>
      <c r="N291" s="49" t="n"/>
    </row>
    <row r="292" ht="15" customHeight="1" thickBot="1">
      <c r="M292" s="66" t="n"/>
      <c r="N292" s="49" t="n"/>
    </row>
    <row r="293" ht="31.5" customHeight="1" thickTop="1">
      <c r="A293" s="1466" t="inlineStr">
        <is>
          <t>Number of Days</t>
        </is>
      </c>
      <c r="B293" s="1354" t="n"/>
      <c r="C293" s="1090" t="inlineStr">
        <is>
          <t>Fewer Than 100 Pages Processed</t>
        </is>
      </c>
      <c r="D293" s="1383" t="n"/>
      <c r="E293" s="1092" t="inlineStr">
        <is>
          <t>100-500 Pages Processed</t>
        </is>
      </c>
      <c r="F293" s="1383" t="n"/>
      <c r="G293" s="1094" t="inlineStr">
        <is>
          <t>501-1000
Pages Processed</t>
        </is>
      </c>
      <c r="H293" s="1383" t="n"/>
      <c r="I293" s="1096" t="inlineStr">
        <is>
          <t>1001-5000
Pages Processed</t>
        </is>
      </c>
      <c r="J293" s="1383" t="n"/>
      <c r="K293" s="1094" t="inlineStr">
        <is>
          <t>More than 5000
Pages Processed</t>
        </is>
      </c>
      <c r="L293" s="1383" t="n"/>
      <c r="M293" s="66" t="n"/>
      <c r="N293" s="49" t="n"/>
      <c r="U293" s="66" t="n"/>
      <c r="V293" s="66" t="n"/>
      <c r="W293" s="66" t="n"/>
      <c r="X293" s="66" t="n"/>
      <c r="Y293" s="66" t="n"/>
      <c r="Z293" s="66" t="n"/>
      <c r="AA293" s="66" t="n"/>
      <c r="AB293" s="66" t="n"/>
      <c r="AC293" s="66" t="n"/>
      <c r="AD293" s="66" t="n"/>
    </row>
    <row r="294" ht="30.75" customHeight="1" thickBot="1">
      <c r="A294" s="1349" t="n"/>
      <c r="B294" s="1374" t="n"/>
      <c r="C294" s="103" t="inlineStr">
        <is>
          <t>Number of
Requests</t>
        </is>
      </c>
      <c r="D294" s="104" t="inlineStr">
        <is>
          <t>Pages Disclosed</t>
        </is>
      </c>
      <c r="E294" s="103" t="inlineStr">
        <is>
          <t>Number of
Requests</t>
        </is>
      </c>
      <c r="F294" s="105" t="inlineStr">
        <is>
          <t>Pages Disclosed</t>
        </is>
      </c>
      <c r="G294" s="103" t="inlineStr">
        <is>
          <t>Number of
Requests</t>
        </is>
      </c>
      <c r="H294" s="104" t="inlineStr">
        <is>
          <t>Pages Disclosed</t>
        </is>
      </c>
      <c r="I294" s="103" t="inlineStr">
        <is>
          <t>Number of
Requests</t>
        </is>
      </c>
      <c r="J294" s="105" t="inlineStr">
        <is>
          <t>Pages Disclosed</t>
        </is>
      </c>
      <c r="K294" s="103" t="inlineStr">
        <is>
          <t>Number of
Requests</t>
        </is>
      </c>
      <c r="L294" s="104" t="inlineStr">
        <is>
          <t>Pages Disclosed</t>
        </is>
      </c>
      <c r="M294" s="66" t="n"/>
      <c r="N294" s="49" t="n"/>
      <c r="U294" s="66" t="n"/>
      <c r="V294" s="66" t="n"/>
      <c r="W294" s="66" t="n"/>
      <c r="X294" s="66" t="n"/>
      <c r="Y294" s="66" t="n"/>
      <c r="Z294" s="66" t="n"/>
      <c r="AA294" s="66" t="n"/>
      <c r="AB294" s="66" t="n"/>
      <c r="AC294" s="66" t="n"/>
      <c r="AD294" s="66" t="n"/>
    </row>
    <row r="295" ht="15" customHeight="1" thickTop="1">
      <c r="A295" s="998" t="inlineStr">
        <is>
          <t>1 to 15</t>
        </is>
      </c>
      <c r="B295" s="1395" t="n"/>
      <c r="C295" s="483" t="n">
        <v>0</v>
      </c>
      <c r="D295" s="1237" t="n">
        <v>0</v>
      </c>
      <c r="E295" s="990" t="n">
        <v>0</v>
      </c>
      <c r="F295" s="594" t="n">
        <v>0</v>
      </c>
      <c r="G295" s="483" t="n">
        <v>0</v>
      </c>
      <c r="H295" s="1237" t="n">
        <v>0</v>
      </c>
      <c r="I295" s="990" t="n">
        <v>0</v>
      </c>
      <c r="J295" s="594" t="n">
        <v>0</v>
      </c>
      <c r="K295" s="483" t="n">
        <v>0</v>
      </c>
      <c r="L295" s="1237" t="n">
        <v>0</v>
      </c>
      <c r="M295" s="190">
        <f>IFERROR(IF(D302/C302&gt;99,"Section 8.1 - The total ""Pages Disclosed"" divided by the total ""Number of Requests"" in ""Fewer Than 100 Pages Processed"" must be equal to or less than 99.",""),"")</f>
        <v/>
      </c>
      <c r="N295" s="49" t="n"/>
      <c r="U295" s="66" t="n"/>
      <c r="V295" s="66" t="n"/>
      <c r="W295" s="66" t="n"/>
      <c r="X295" s="66" t="n"/>
      <c r="Y295" s="66" t="n"/>
      <c r="Z295" s="66" t="n"/>
      <c r="AA295" s="66" t="n"/>
      <c r="AB295" s="66" t="n"/>
      <c r="AC295" s="66" t="n"/>
      <c r="AD295" s="66" t="n"/>
    </row>
    <row r="296" customFormat="1" s="66">
      <c r="A296" s="1411" t="inlineStr">
        <is>
          <t>16 to 30</t>
        </is>
      </c>
      <c r="B296" s="1343" t="n"/>
      <c r="C296" s="476" t="n">
        <v>0</v>
      </c>
      <c r="D296" s="1246" t="n">
        <v>0</v>
      </c>
      <c r="E296" s="431" t="n">
        <v>0</v>
      </c>
      <c r="F296" s="430" t="n">
        <v>0</v>
      </c>
      <c r="G296" s="476" t="n">
        <v>0</v>
      </c>
      <c r="H296" s="1246" t="n">
        <v>0</v>
      </c>
      <c r="I296" s="431" t="n">
        <v>0</v>
      </c>
      <c r="J296" s="430" t="n">
        <v>0</v>
      </c>
      <c r="K296" s="476" t="n">
        <v>0</v>
      </c>
      <c r="L296" s="1246" t="n">
        <v>0</v>
      </c>
      <c r="M296" s="190">
        <f>IFERROR(IF(F302/E302&gt;500,"Section 8.1 - The total ""Pages Disclosed"" divided by the total ""Number of Requests"" in ""100-500 Pages Processed"" must be equal to or less than 500.",""),"")</f>
        <v/>
      </c>
      <c r="N296" s="49" t="n"/>
      <c r="O296" s="49" t="n"/>
      <c r="P296" s="49" t="n"/>
      <c r="Q296" s="49" t="n"/>
      <c r="R296" s="49" t="n"/>
      <c r="S296" s="49" t="n"/>
    </row>
    <row r="297" customFormat="1" s="66">
      <c r="A297" s="983" t="inlineStr">
        <is>
          <t>31 to 60</t>
        </is>
      </c>
      <c r="B297" s="1390" t="n"/>
      <c r="C297" s="476" t="n">
        <v>0</v>
      </c>
      <c r="D297" s="1246" t="n">
        <v>0</v>
      </c>
      <c r="E297" s="431" t="n">
        <v>0</v>
      </c>
      <c r="F297" s="430" t="n">
        <v>0</v>
      </c>
      <c r="G297" s="476" t="n">
        <v>0</v>
      </c>
      <c r="H297" s="1246" t="n">
        <v>0</v>
      </c>
      <c r="I297" s="431" t="n">
        <v>0</v>
      </c>
      <c r="J297" s="430" t="n">
        <v>0</v>
      </c>
      <c r="K297" s="476" t="n">
        <v>0</v>
      </c>
      <c r="L297" s="1246" t="n">
        <v>0</v>
      </c>
      <c r="M297" s="190">
        <f>IFERROR(IF(H302/G302&gt;1000,"Section 8.1 - The total ""Pages Disclosed"" divided by the total ""Number of Requests"" in ""501-1000 Pages Processed"" must be equal to or less than 1000.",""),"")</f>
        <v/>
      </c>
      <c r="N297" s="49" t="n"/>
      <c r="O297" s="49" t="n"/>
      <c r="P297" s="49" t="n"/>
      <c r="Q297" s="49" t="n"/>
      <c r="R297" s="49" t="n"/>
      <c r="S297" s="49" t="n"/>
    </row>
    <row r="298" customFormat="1" s="66">
      <c r="A298" s="983" t="inlineStr">
        <is>
          <t>61 to 120</t>
        </is>
      </c>
      <c r="B298" s="1390" t="n"/>
      <c r="C298" s="476" t="n">
        <v>0</v>
      </c>
      <c r="D298" s="1246" t="n">
        <v>0</v>
      </c>
      <c r="E298" s="431" t="n">
        <v>0</v>
      </c>
      <c r="F298" s="430" t="n">
        <v>0</v>
      </c>
      <c r="G298" s="476" t="n">
        <v>0</v>
      </c>
      <c r="H298" s="1246" t="n">
        <v>0</v>
      </c>
      <c r="I298" s="431" t="n">
        <v>0</v>
      </c>
      <c r="J298" s="430" t="n">
        <v>0</v>
      </c>
      <c r="K298" s="476" t="n">
        <v>0</v>
      </c>
      <c r="L298" s="1246" t="n">
        <v>0</v>
      </c>
      <c r="M298" s="190">
        <f>IFERROR(IF(J302/I302&gt;5000,"Section 8.1 - The total ""Pages Disclosed"" divided by the total ""Number of Requests"" in ""1001-5000 Pages Processed"" must be equal to or less than 5000.",""),"")</f>
        <v/>
      </c>
      <c r="N298" s="49" t="n"/>
      <c r="O298" s="49" t="n"/>
      <c r="P298" s="49" t="n"/>
      <c r="Q298" s="49" t="n"/>
      <c r="R298" s="49" t="n"/>
      <c r="S298" s="49" t="n"/>
    </row>
    <row r="299" customFormat="1" s="66">
      <c r="A299" s="1412" t="inlineStr">
        <is>
          <t>121 to 180</t>
        </is>
      </c>
      <c r="B299" s="1343" t="n"/>
      <c r="C299" s="476" t="n">
        <v>0</v>
      </c>
      <c r="D299" s="430" t="n">
        <v>0</v>
      </c>
      <c r="E299" s="476" t="n">
        <v>0</v>
      </c>
      <c r="F299" s="430" t="n">
        <v>0</v>
      </c>
      <c r="G299" s="476" t="n">
        <v>0</v>
      </c>
      <c r="H299" s="430" t="n">
        <v>0</v>
      </c>
      <c r="I299" s="476" t="n">
        <v>0</v>
      </c>
      <c r="J299" s="430" t="n">
        <v>0</v>
      </c>
      <c r="K299" s="476" t="n">
        <v>0</v>
      </c>
      <c r="L299" s="1246" t="n">
        <v>0</v>
      </c>
      <c r="N299" s="49" t="n"/>
      <c r="O299" s="49" t="n"/>
      <c r="P299" s="49" t="n"/>
      <c r="Q299" s="49" t="n"/>
      <c r="R299" s="49" t="n"/>
      <c r="S299" s="49" t="n"/>
    </row>
    <row r="300" customFormat="1" s="66">
      <c r="A300" s="983" t="inlineStr">
        <is>
          <t>181 to 365</t>
        </is>
      </c>
      <c r="B300" s="1390" t="n"/>
      <c r="C300" s="476" t="n">
        <v>0</v>
      </c>
      <c r="D300" s="430" t="n">
        <v>0</v>
      </c>
      <c r="E300" s="476" t="n">
        <v>0</v>
      </c>
      <c r="F300" s="430" t="n">
        <v>0</v>
      </c>
      <c r="G300" s="476" t="n">
        <v>0</v>
      </c>
      <c r="H300" s="430" t="n">
        <v>0</v>
      </c>
      <c r="I300" s="476" t="n">
        <v>0</v>
      </c>
      <c r="J300" s="430" t="n">
        <v>0</v>
      </c>
      <c r="K300" s="476" t="n">
        <v>0</v>
      </c>
      <c r="L300" s="1246" t="n">
        <v>0</v>
      </c>
      <c r="M300" s="75" t="n"/>
      <c r="O300" s="49" t="n"/>
      <c r="P300" s="49" t="n"/>
      <c r="Q300" s="49" t="n"/>
      <c r="R300" s="49" t="n"/>
      <c r="S300" s="49" t="n"/>
      <c r="T300" s="49" t="n"/>
    </row>
    <row r="301" ht="15" customFormat="1" customHeight="1" s="66" thickBot="1">
      <c r="A301" s="1413" t="inlineStr">
        <is>
          <t>More than 365</t>
        </is>
      </c>
      <c r="B301" s="1356" t="n"/>
      <c r="C301" s="2" t="n">
        <v>0</v>
      </c>
      <c r="D301" s="23" t="n">
        <v>0</v>
      </c>
      <c r="E301" s="2" t="n">
        <v>0</v>
      </c>
      <c r="F301" s="23" t="n">
        <v>0</v>
      </c>
      <c r="G301" s="2" t="n">
        <v>0</v>
      </c>
      <c r="H301" s="23" t="n">
        <v>0</v>
      </c>
      <c r="I301" s="2" t="n">
        <v>0</v>
      </c>
      <c r="J301" s="23" t="n">
        <v>0</v>
      </c>
      <c r="K301" s="2" t="n">
        <v>0</v>
      </c>
      <c r="L301" s="179" t="n">
        <v>0</v>
      </c>
      <c r="M301" s="75" t="n"/>
      <c r="O301" s="49" t="n"/>
      <c r="P301" s="49" t="n"/>
      <c r="Q301" s="49" t="n"/>
      <c r="R301" s="49" t="n"/>
      <c r="S301" s="49" t="n"/>
      <c r="T301" s="49" t="n"/>
    </row>
    <row r="302" ht="15.75" customFormat="1" customHeight="1" s="66" thickBot="1" thickTop="1">
      <c r="A302" s="960" t="inlineStr">
        <is>
          <t>Total</t>
        </is>
      </c>
      <c r="B302" s="1396" t="n"/>
      <c r="C302" s="545">
        <f>SUM(C295:C301)</f>
        <v/>
      </c>
      <c r="D302" s="598">
        <f>SUM(D295:D301)</f>
        <v/>
      </c>
      <c r="E302" s="545">
        <f>SUM(E295:E301)</f>
        <v/>
      </c>
      <c r="F302" s="598">
        <f>SUM(F295:F301)</f>
        <v/>
      </c>
      <c r="G302" s="545">
        <f>SUM(G295:G301)</f>
        <v/>
      </c>
      <c r="H302" s="598">
        <f>SUM(H295:H301)</f>
        <v/>
      </c>
      <c r="I302" s="545">
        <f>SUM(I295:I301)</f>
        <v/>
      </c>
      <c r="J302" s="598">
        <f>SUM(J295:J301)</f>
        <v/>
      </c>
      <c r="K302" s="545">
        <f>SUM(K295:K301)</f>
        <v/>
      </c>
      <c r="L302" s="598">
        <f>SUM(L295:L301)</f>
        <v/>
      </c>
      <c r="M302" s="75" t="n"/>
      <c r="O302" s="49" t="n"/>
      <c r="P302" s="49" t="n"/>
      <c r="Q302" s="49" t="n"/>
      <c r="R302" s="49" t="n"/>
      <c r="S302" s="49" t="n"/>
      <c r="T302" s="51" t="n"/>
    </row>
    <row r="303" ht="15" customFormat="1" customHeight="1" s="66" thickTop="1">
      <c r="A303" s="83" t="n"/>
      <c r="B303" s="83" t="n"/>
      <c r="C303" s="75" t="n"/>
      <c r="D303" s="75" t="n"/>
      <c r="E303" s="75" t="n"/>
      <c r="F303" s="75" t="n"/>
      <c r="G303" s="75" t="n"/>
      <c r="H303" s="75" t="n"/>
      <c r="I303" s="75" t="n"/>
      <c r="J303" s="75" t="n"/>
      <c r="K303" s="75" t="n"/>
      <c r="L303" s="75" t="n"/>
      <c r="M303" s="49" t="n"/>
      <c r="O303" s="49" t="n"/>
      <c r="P303" s="49" t="n"/>
      <c r="Q303" s="49" t="n"/>
      <c r="R303" s="49" t="n"/>
      <c r="S303" s="49" t="n"/>
      <c r="T303" s="49" t="n"/>
    </row>
    <row r="304" ht="15" customFormat="1" customHeight="1" s="66">
      <c r="A304" s="375" t="inlineStr">
        <is>
          <t>8.2 Requests with Privy Council Office</t>
        </is>
      </c>
      <c r="N304" s="49" t="n"/>
      <c r="O304" s="49" t="n"/>
      <c r="P304" s="49" t="n"/>
      <c r="Q304" s="49" t="n"/>
      <c r="R304" s="49" t="n"/>
      <c r="S304" s="49" t="n"/>
    </row>
    <row r="305" ht="15" customFormat="1" customHeight="1" s="66" thickBot="1">
      <c r="A305" s="49" t="n"/>
      <c r="B305" s="49" t="n"/>
      <c r="C305" s="49" t="n"/>
      <c r="D305" s="49" t="n"/>
      <c r="E305" s="49" t="n"/>
      <c r="F305" s="49" t="n"/>
      <c r="G305" s="49" t="n"/>
      <c r="H305" s="49" t="n"/>
      <c r="I305" s="49" t="n"/>
      <c r="J305" s="49" t="n"/>
      <c r="K305" s="49" t="n"/>
      <c r="L305" s="49" t="n"/>
      <c r="N305" s="49" t="n"/>
      <c r="O305" s="49" t="n"/>
      <c r="P305" s="49" t="n"/>
      <c r="Q305" s="49" t="n"/>
      <c r="R305" s="49" t="n"/>
      <c r="S305" s="49" t="n"/>
    </row>
    <row r="306" ht="32.25" customFormat="1" customHeight="1" s="66" thickTop="1">
      <c r="A306" s="1466" t="inlineStr">
        <is>
          <t>Number of Days</t>
        </is>
      </c>
      <c r="B306" s="1354" t="n"/>
      <c r="C306" s="1090" t="inlineStr">
        <is>
          <t>Fewer Than 100 Pages Processed</t>
        </is>
      </c>
      <c r="D306" s="1383" t="n"/>
      <c r="E306" s="1092" t="inlineStr">
        <is>
          <t>100‒500 Pages Processed</t>
        </is>
      </c>
      <c r="F306" s="1383" t="n"/>
      <c r="G306" s="1094" t="inlineStr">
        <is>
          <t>501-1000
Pages Processed</t>
        </is>
      </c>
      <c r="H306" s="1383" t="n"/>
      <c r="I306" s="1096" t="inlineStr">
        <is>
          <t>1001-5000
Pages Processed</t>
        </is>
      </c>
      <c r="J306" s="1383" t="n"/>
      <c r="K306" s="1094" t="inlineStr">
        <is>
          <t>More than 5000
Pages Processed</t>
        </is>
      </c>
      <c r="L306" s="1383" t="n"/>
      <c r="N306" s="49" t="n"/>
      <c r="O306" s="49" t="n"/>
      <c r="P306" s="49" t="n"/>
      <c r="Q306" s="49" t="n"/>
      <c r="R306" s="49" t="n"/>
      <c r="S306" s="49" t="n"/>
    </row>
    <row r="307" ht="18" customFormat="1" customHeight="1" s="66" thickBot="1">
      <c r="A307" s="1349" t="n"/>
      <c r="B307" s="1374" t="n"/>
      <c r="C307" s="103" t="inlineStr">
        <is>
          <t>Number of
Requests</t>
        </is>
      </c>
      <c r="D307" s="104" t="inlineStr">
        <is>
          <t>Pages Disclosed</t>
        </is>
      </c>
      <c r="E307" s="103" t="inlineStr">
        <is>
          <t>Number of
Requests</t>
        </is>
      </c>
      <c r="F307" s="105" t="inlineStr">
        <is>
          <t>Pages Disclosed</t>
        </is>
      </c>
      <c r="G307" s="103" t="inlineStr">
        <is>
          <t>Number of
Requests</t>
        </is>
      </c>
      <c r="H307" s="104" t="inlineStr">
        <is>
          <t>Pages Disclosed</t>
        </is>
      </c>
      <c r="I307" s="103" t="inlineStr">
        <is>
          <t>Number of
Requests</t>
        </is>
      </c>
      <c r="J307" s="105" t="inlineStr">
        <is>
          <t>Pages Disclosed</t>
        </is>
      </c>
      <c r="K307" s="103" t="inlineStr">
        <is>
          <t>Number of
Requests</t>
        </is>
      </c>
      <c r="L307" s="104" t="inlineStr">
        <is>
          <t>Pages Disclosed</t>
        </is>
      </c>
      <c r="N307" s="49" t="n"/>
      <c r="O307" s="49" t="n"/>
      <c r="P307" s="49" t="n"/>
      <c r="Q307" s="49" t="n"/>
      <c r="R307" s="49" t="n"/>
      <c r="S307" s="49" t="n"/>
      <c r="U307" s="49" t="n"/>
      <c r="V307" s="49" t="n"/>
      <c r="W307" s="49" t="n"/>
      <c r="X307" s="49" t="n"/>
      <c r="Y307" s="49" t="n"/>
      <c r="Z307" s="49" t="n"/>
      <c r="AA307" s="49" t="n"/>
      <c r="AB307" s="49" t="n"/>
      <c r="AC307" s="49" t="n"/>
      <c r="AD307" s="49" t="n"/>
    </row>
    <row r="308" ht="15" customFormat="1" customHeight="1" s="66" thickTop="1">
      <c r="A308" s="998" t="inlineStr">
        <is>
          <t>1 to 15</t>
        </is>
      </c>
      <c r="B308" s="1395" t="n"/>
      <c r="C308" s="483" t="n">
        <v>0</v>
      </c>
      <c r="D308" s="1237" t="n">
        <v>0</v>
      </c>
      <c r="E308" s="990" t="n">
        <v>0</v>
      </c>
      <c r="F308" s="594" t="n">
        <v>0</v>
      </c>
      <c r="G308" s="483" t="n">
        <v>0</v>
      </c>
      <c r="H308" s="1237" t="n">
        <v>0</v>
      </c>
      <c r="I308" s="990" t="n">
        <v>0</v>
      </c>
      <c r="J308" s="594" t="n">
        <v>0</v>
      </c>
      <c r="K308" s="483" t="n">
        <v>0</v>
      </c>
      <c r="L308" s="1237" t="n">
        <v>0</v>
      </c>
      <c r="M308" s="190">
        <f>IFERROR(IF(D315/C315&gt;99,"Section 8.2 - The total ""Pages Disclosed"" divided by the total ""Number of Requests""  in ""Fewer Than 100 Pages Processed"" must be equal to or less than 99.",""),"")</f>
        <v/>
      </c>
      <c r="N308" s="49" t="n"/>
      <c r="O308" s="49" t="n"/>
      <c r="P308" s="49" t="n"/>
      <c r="Q308" s="49" t="n"/>
      <c r="R308" s="49" t="n"/>
      <c r="S308" s="49" t="n"/>
      <c r="U308" s="49" t="n"/>
      <c r="V308" s="49" t="n"/>
      <c r="W308" s="49" t="n"/>
      <c r="X308" s="49" t="n"/>
      <c r="Y308" s="49" t="n"/>
      <c r="Z308" s="49" t="n"/>
      <c r="AA308" s="49" t="n"/>
      <c r="AB308" s="49" t="n"/>
      <c r="AC308" s="49" t="n"/>
      <c r="AD308" s="49" t="n"/>
    </row>
    <row r="309" customFormat="1" s="66">
      <c r="A309" s="1411" t="inlineStr">
        <is>
          <t>16 to 30</t>
        </is>
      </c>
      <c r="B309" s="1343" t="n"/>
      <c r="C309" s="476" t="n">
        <v>0</v>
      </c>
      <c r="D309" s="1246" t="n">
        <v>0</v>
      </c>
      <c r="E309" s="431" t="n">
        <v>0</v>
      </c>
      <c r="F309" s="430" t="n">
        <v>0</v>
      </c>
      <c r="G309" s="476" t="n">
        <v>0</v>
      </c>
      <c r="H309" s="1246" t="n">
        <v>0</v>
      </c>
      <c r="I309" s="431" t="n">
        <v>0</v>
      </c>
      <c r="J309" s="430" t="n">
        <v>0</v>
      </c>
      <c r="K309" s="476" t="n">
        <v>0</v>
      </c>
      <c r="L309" s="1246" t="n">
        <v>0</v>
      </c>
      <c r="M309" s="190">
        <f>IFERROR(IF(F315/E315&gt;500,"Section 8.2 - The total ""Pages Disclosed"" divided by the total ""Number of Requests"" in ""100-500 Pages Processed"" must be equal to or less than 500.",""),"")</f>
        <v/>
      </c>
      <c r="N309" s="49" t="n"/>
      <c r="O309" s="49" t="n"/>
      <c r="P309" s="49" t="n"/>
      <c r="Q309" s="49" t="n"/>
      <c r="R309" s="49" t="n"/>
      <c r="S309" s="49" t="n"/>
      <c r="U309" s="49" t="n"/>
      <c r="V309" s="49" t="n"/>
      <c r="W309" s="49" t="n"/>
      <c r="X309" s="49" t="n"/>
      <c r="Y309" s="49" t="n"/>
      <c r="Z309" s="49" t="n"/>
      <c r="AA309" s="49" t="n"/>
      <c r="AB309" s="49" t="n"/>
      <c r="AC309" s="49" t="n"/>
      <c r="AD309" s="49" t="n"/>
    </row>
    <row r="310">
      <c r="A310" s="983" t="inlineStr">
        <is>
          <t>31 to 60</t>
        </is>
      </c>
      <c r="B310" s="1390" t="n"/>
      <c r="C310" s="476" t="n">
        <v>0</v>
      </c>
      <c r="D310" s="1246" t="n">
        <v>0</v>
      </c>
      <c r="E310" s="431" t="n">
        <v>0</v>
      </c>
      <c r="F310" s="430" t="n">
        <v>0</v>
      </c>
      <c r="G310" s="476" t="n">
        <v>0</v>
      </c>
      <c r="H310" s="1246" t="n">
        <v>0</v>
      </c>
      <c r="I310" s="431" t="n">
        <v>0</v>
      </c>
      <c r="J310" s="430" t="n">
        <v>0</v>
      </c>
      <c r="K310" s="476" t="n">
        <v>0</v>
      </c>
      <c r="L310" s="1246" t="n">
        <v>0</v>
      </c>
      <c r="M310" s="190">
        <f>IFERROR(IF(H315/G315&gt;1000,"Section 8.2 - The total ""Pages Disclosed"" divided by the total ""Number of Requests"" in ""501-1000 Pages Processed"" must be equal to or less than 1000.",""),"")</f>
        <v/>
      </c>
      <c r="N310" s="49" t="n"/>
    </row>
    <row r="311">
      <c r="A311" s="983" t="inlineStr">
        <is>
          <t>61 to 120</t>
        </is>
      </c>
      <c r="B311" s="1390" t="n"/>
      <c r="C311" s="476" t="n">
        <v>0</v>
      </c>
      <c r="D311" s="1246" t="n">
        <v>0</v>
      </c>
      <c r="E311" s="431" t="n">
        <v>0</v>
      </c>
      <c r="F311" s="430" t="n">
        <v>0</v>
      </c>
      <c r="G311" s="476" t="n">
        <v>0</v>
      </c>
      <c r="H311" s="1246" t="n">
        <v>0</v>
      </c>
      <c r="I311" s="431" t="n">
        <v>0</v>
      </c>
      <c r="J311" s="430" t="n">
        <v>0</v>
      </c>
      <c r="K311" s="476" t="n">
        <v>0</v>
      </c>
      <c r="L311" s="1246" t="n">
        <v>0</v>
      </c>
      <c r="M311" s="190">
        <f>IFERROR(IF(J315/I315&gt;5000,"Section 8.2 - The total ""Pages Disclosed"" divided by the total ""Number of Requests"" in ""1001-5000 Pages Processed"" must be equal to or less than 5000.",""),"")</f>
        <v/>
      </c>
      <c r="N311" s="49" t="n"/>
    </row>
    <row r="312">
      <c r="A312" s="1412" t="inlineStr">
        <is>
          <t>121 to 180</t>
        </is>
      </c>
      <c r="B312" s="1343" t="n"/>
      <c r="C312" s="476" t="n">
        <v>0</v>
      </c>
      <c r="D312" s="430" t="n">
        <v>0</v>
      </c>
      <c r="E312" s="476" t="n">
        <v>0</v>
      </c>
      <c r="F312" s="430" t="n">
        <v>0</v>
      </c>
      <c r="G312" s="476" t="n">
        <v>0</v>
      </c>
      <c r="H312" s="430" t="n">
        <v>0</v>
      </c>
      <c r="I312" s="476" t="n">
        <v>0</v>
      </c>
      <c r="J312" s="430" t="n">
        <v>0</v>
      </c>
      <c r="K312" s="476" t="n">
        <v>0</v>
      </c>
      <c r="L312" s="1246" t="n">
        <v>0</v>
      </c>
      <c r="M312" s="66" t="n"/>
      <c r="N312" s="49" t="n"/>
    </row>
    <row r="313">
      <c r="A313" s="983" t="inlineStr">
        <is>
          <t>181 to 365</t>
        </is>
      </c>
      <c r="B313" s="1390" t="n"/>
      <c r="C313" s="476" t="n">
        <v>0</v>
      </c>
      <c r="D313" s="430" t="n">
        <v>0</v>
      </c>
      <c r="E313" s="476" t="n">
        <v>0</v>
      </c>
      <c r="F313" s="430" t="n">
        <v>0</v>
      </c>
      <c r="G313" s="476" t="n">
        <v>0</v>
      </c>
      <c r="H313" s="430" t="n">
        <v>0</v>
      </c>
      <c r="I313" s="476" t="n">
        <v>0</v>
      </c>
      <c r="J313" s="430" t="n">
        <v>0</v>
      </c>
      <c r="K313" s="476" t="n">
        <v>0</v>
      </c>
      <c r="L313" s="1246" t="n">
        <v>0</v>
      </c>
      <c r="M313" s="1043" t="n"/>
    </row>
    <row r="314" ht="16.5" customHeight="1" thickBot="1">
      <c r="A314" s="1521" t="inlineStr">
        <is>
          <t>More than 365</t>
        </is>
      </c>
      <c r="B314" s="1522" t="n"/>
      <c r="C314" s="3" t="n">
        <v>0</v>
      </c>
      <c r="D314" s="4" t="n">
        <v>0</v>
      </c>
      <c r="E314" s="3" t="n">
        <v>0</v>
      </c>
      <c r="F314" s="4" t="n">
        <v>0</v>
      </c>
      <c r="G314" s="3" t="n">
        <v>0</v>
      </c>
      <c r="H314" s="4" t="n">
        <v>0</v>
      </c>
      <c r="I314" s="3" t="n">
        <v>0</v>
      </c>
      <c r="J314" s="4" t="n">
        <v>0</v>
      </c>
      <c r="K314" s="3" t="n">
        <v>0</v>
      </c>
      <c r="L314" s="300" t="n">
        <v>0</v>
      </c>
      <c r="M314" s="102" t="n"/>
    </row>
    <row r="315" ht="15" customHeight="1" thickBot="1">
      <c r="A315" s="960" t="inlineStr">
        <is>
          <t>Total</t>
        </is>
      </c>
      <c r="B315" s="1396" t="n"/>
      <c r="C315" s="545">
        <f>SUM(C308:C314)</f>
        <v/>
      </c>
      <c r="D315" s="598">
        <f>SUM(D308:D314)</f>
        <v/>
      </c>
      <c r="E315" s="545">
        <f>SUM(E308:E314)</f>
        <v/>
      </c>
      <c r="F315" s="598">
        <f>SUM(F308:F314)</f>
        <v/>
      </c>
      <c r="G315" s="545">
        <f>SUM(G308:G314)</f>
        <v/>
      </c>
      <c r="H315" s="598">
        <f>SUM(H308:H314)</f>
        <v/>
      </c>
      <c r="I315" s="545">
        <f>SUM(I308:I314)</f>
        <v/>
      </c>
      <c r="J315" s="598">
        <f>SUM(J308:J314)</f>
        <v/>
      </c>
      <c r="K315" s="545">
        <f>SUM(K308:K314)</f>
        <v/>
      </c>
      <c r="L315" s="598">
        <f>SUM(L308:L314)</f>
        <v/>
      </c>
    </row>
    <row r="316" ht="15" customHeight="1" thickTop="1">
      <c r="A316" s="1043" t="n"/>
      <c r="B316" s="1043" t="n"/>
      <c r="C316" s="1043" t="n"/>
      <c r="D316" s="1043" t="n"/>
      <c r="E316" s="1043" t="n"/>
      <c r="F316" s="1043" t="n"/>
      <c r="G316" s="1043" t="n"/>
      <c r="H316" s="1043" t="n"/>
      <c r="I316" s="1043" t="n"/>
      <c r="J316" s="1043" t="n"/>
      <c r="K316" s="1043" t="n"/>
      <c r="L316" s="1043" t="n"/>
    </row>
    <row r="317" ht="15.75" customHeight="1">
      <c r="A317" s="965" t="inlineStr">
        <is>
          <t>Section 9: Complaints and Investigations Notices Received</t>
        </is>
      </c>
      <c r="U317" s="106" t="n"/>
      <c r="V317" s="106" t="n"/>
      <c r="W317" s="106" t="n"/>
      <c r="X317" s="106" t="n"/>
      <c r="Y317" s="106" t="n"/>
      <c r="Z317" s="106" t="n"/>
      <c r="AA317" s="106" t="n"/>
      <c r="AB317" s="106" t="n"/>
      <c r="AC317" s="106" t="n"/>
      <c r="AD317" s="106" t="n"/>
    </row>
    <row r="318" ht="15" customHeight="1" thickBot="1"/>
    <row r="319" ht="17.25" customHeight="1" thickBot="1" thickTop="1">
      <c r="A319" s="1523" t="inlineStr">
        <is>
          <t>Section 31</t>
        </is>
      </c>
      <c r="B319" s="1386" t="n"/>
      <c r="C319" s="964" t="inlineStr">
        <is>
          <t>Section 33</t>
        </is>
      </c>
      <c r="D319" s="1386" t="n"/>
      <c r="E319" s="964" t="inlineStr">
        <is>
          <t>Section 35</t>
        </is>
      </c>
      <c r="F319" s="1386" t="n"/>
      <c r="G319" s="1216" t="inlineStr">
        <is>
          <t>Court action</t>
        </is>
      </c>
      <c r="H319" s="1334" t="n"/>
      <c r="I319" s="1466" t="inlineStr">
        <is>
          <t>Total</t>
        </is>
      </c>
      <c r="J319" s="1334" t="n"/>
      <c r="K319" s="1144" t="n"/>
      <c r="M319" s="102" t="n"/>
      <c r="N319" s="102" t="n"/>
    </row>
    <row r="320" ht="17.25" customFormat="1" customHeight="1" s="106" thickBot="1" thickTop="1">
      <c r="A320" s="1524" t="n">
        <v>7</v>
      </c>
      <c r="B320" s="1465" t="n"/>
      <c r="C320" s="979" t="n">
        <v>0</v>
      </c>
      <c r="D320" s="1465" t="n"/>
      <c r="E320" s="979" t="n">
        <v>6</v>
      </c>
      <c r="F320" s="1465" t="n"/>
      <c r="G320" s="1084" t="n">
        <v>0</v>
      </c>
      <c r="H320" s="1458" t="n"/>
      <c r="I320" s="1525">
        <f>SUM(A320:H320)</f>
        <v/>
      </c>
      <c r="J320" s="1374" t="n"/>
      <c r="K320" s="75" t="n"/>
      <c r="L320" s="49" t="n"/>
      <c r="M320" s="102" t="n"/>
      <c r="N320" s="102" t="n"/>
      <c r="U320" s="49" t="n"/>
      <c r="V320" s="49" t="n"/>
      <c r="W320" s="49" t="n"/>
      <c r="X320" s="49" t="n"/>
      <c r="Y320" s="49" t="n"/>
      <c r="Z320" s="49" t="n"/>
      <c r="AA320" s="49" t="n"/>
      <c r="AB320" s="49" t="n"/>
      <c r="AC320" s="49" t="n"/>
      <c r="AD320" s="49" t="n"/>
    </row>
    <row r="321" ht="15" customHeight="1" thickTop="1"/>
    <row r="322" ht="15.75" customHeight="1">
      <c r="A322" s="954" t="inlineStr">
        <is>
          <t>Section 10: Privacy Impact Assessments (PIAs) and Personal Information Banks (PIBs)</t>
        </is>
      </c>
    </row>
    <row r="323" ht="15.75" customHeight="1">
      <c r="A323" s="107" t="n"/>
      <c r="B323" s="107" t="n"/>
      <c r="C323" s="107" t="n"/>
      <c r="D323" s="107" t="n"/>
      <c r="E323" s="107" t="n"/>
      <c r="F323" s="107" t="n"/>
      <c r="G323" s="107" t="n"/>
      <c r="H323" s="107" t="n"/>
      <c r="I323" s="107" t="n"/>
      <c r="J323" s="107" t="n"/>
      <c r="K323" s="107" t="n"/>
      <c r="L323" s="107" t="n"/>
    </row>
    <row r="324" ht="15.75" customHeight="1" thickBot="1">
      <c r="A324" s="543" t="inlineStr">
        <is>
          <t>10.1 Privacy Impact Assessments</t>
        </is>
      </c>
      <c r="B324" s="543" t="n"/>
      <c r="C324" s="543" t="n"/>
      <c r="D324" s="543" t="n"/>
      <c r="E324" s="543" t="n"/>
      <c r="F324" s="82" t="n"/>
      <c r="G324" s="82" t="n"/>
      <c r="H324" s="82" t="n"/>
      <c r="I324" s="82" t="n"/>
    </row>
    <row r="325" ht="16.5" customHeight="1" thickTop="1">
      <c r="A325" s="1526" t="inlineStr">
        <is>
          <t>Number of PIAs completed</t>
        </is>
      </c>
      <c r="B325" s="1336" t="n"/>
      <c r="C325" s="1336" t="n"/>
      <c r="D325" s="1336" t="n"/>
      <c r="E325" s="1337" t="n"/>
      <c r="F325" s="976" t="n">
        <v>3</v>
      </c>
      <c r="G325" s="1339" t="n"/>
      <c r="H325" s="1339" t="n"/>
      <c r="I325" s="1340" t="n"/>
      <c r="M325" s="108" t="n"/>
    </row>
    <row r="326" ht="15" customHeight="1" thickBot="1">
      <c r="A326" s="947" t="inlineStr">
        <is>
          <t>Number of PIAs modified</t>
        </is>
      </c>
      <c r="B326" s="1348" t="n"/>
      <c r="C326" s="1348" t="n"/>
      <c r="D326" s="1348" t="n"/>
      <c r="E326" s="1348" t="n"/>
      <c r="F326" s="1482" t="n">
        <v>0</v>
      </c>
      <c r="G326" s="1363" t="n"/>
      <c r="H326" s="1363" t="n"/>
      <c r="I326" s="1379" t="n"/>
      <c r="M326" s="66" t="n"/>
      <c r="N326" s="49" t="n"/>
    </row>
    <row r="327" ht="15" customHeight="1" thickTop="1">
      <c r="A327" s="82" t="n"/>
      <c r="B327" s="82" t="n"/>
      <c r="C327" s="82" t="n"/>
      <c r="D327" s="82" t="n"/>
      <c r="E327" s="82" t="n"/>
      <c r="F327" s="73" t="n"/>
      <c r="G327" s="73" t="n"/>
      <c r="H327" s="73" t="n"/>
      <c r="I327" s="73" t="n"/>
      <c r="M327" s="66" t="n"/>
      <c r="N327" s="49" t="n"/>
    </row>
    <row r="328" ht="15.75" customHeight="1" thickBot="1">
      <c r="A328" s="1081" t="inlineStr">
        <is>
          <t>10.2 Institution-specific and Central Personal Information Banks</t>
        </is>
      </c>
      <c r="L328" s="85" t="n"/>
      <c r="M328" s="66" t="n"/>
      <c r="N328" s="49" t="n"/>
    </row>
    <row r="329" ht="16.5" customHeight="1" thickBot="1" thickTop="1">
      <c r="A329" s="966" t="inlineStr">
        <is>
          <t>Personal Information Banks</t>
        </is>
      </c>
      <c r="B329" s="1333" t="n"/>
      <c r="C329" s="1333" t="n"/>
      <c r="D329" s="1333" t="n"/>
      <c r="E329" s="1386" t="n"/>
      <c r="F329" s="302" t="inlineStr">
        <is>
          <t>Active</t>
        </is>
      </c>
      <c r="G329" s="969" t="inlineStr">
        <is>
          <t>Created</t>
        </is>
      </c>
      <c r="H329" s="969" t="inlineStr">
        <is>
          <t>Terminated</t>
        </is>
      </c>
      <c r="I329" s="1386" t="n"/>
      <c r="J329" s="969" t="inlineStr">
        <is>
          <t>Modified</t>
        </is>
      </c>
      <c r="K329" s="1386" t="n"/>
      <c r="M329" s="66" t="n"/>
      <c r="N329" s="49" t="n"/>
    </row>
    <row r="330" ht="15" customHeight="1" thickTop="1">
      <c r="A330" s="991" t="inlineStr">
        <is>
          <t>Institution-specific</t>
        </is>
      </c>
      <c r="B330" s="1336" t="n"/>
      <c r="C330" s="1336" t="n"/>
      <c r="D330" s="1336" t="n"/>
      <c r="E330" s="1383" t="n"/>
      <c r="F330" s="995" t="n">
        <v>8</v>
      </c>
      <c r="G330" s="303" t="n">
        <v>0</v>
      </c>
      <c r="H330" s="303" t="n">
        <v>2</v>
      </c>
      <c r="I330" s="1417" t="n"/>
      <c r="J330" s="1527" t="n">
        <v>0</v>
      </c>
      <c r="K330" s="1340" t="n"/>
    </row>
    <row r="331" ht="16.5" customHeight="1" thickBot="1">
      <c r="A331" s="931" t="inlineStr">
        <is>
          <t>Central</t>
        </is>
      </c>
      <c r="B331" s="1350" t="n"/>
      <c r="C331" s="1350" t="n"/>
      <c r="D331" s="1350" t="n"/>
      <c r="E331" s="1396" t="n"/>
      <c r="F331" s="307" t="n">
        <v>33</v>
      </c>
      <c r="G331" s="308" t="n">
        <v>0</v>
      </c>
      <c r="H331" s="308" t="n">
        <v>7</v>
      </c>
      <c r="I331" s="1465" t="n"/>
      <c r="J331" s="1528" t="n">
        <v>1</v>
      </c>
      <c r="K331" s="1458" t="n"/>
      <c r="M331" s="109" t="n"/>
      <c r="N331" s="109" t="n"/>
    </row>
    <row r="332" ht="17.25" customHeight="1" thickBot="1" thickTop="1">
      <c r="A332" s="960" t="inlineStr">
        <is>
          <t>Total</t>
        </is>
      </c>
      <c r="B332" s="1350" t="n"/>
      <c r="C332" s="1350" t="n"/>
      <c r="D332" s="1350" t="n"/>
      <c r="E332" s="1396" t="n"/>
      <c r="F332" s="306">
        <f>SUM(F330:F331)</f>
        <v/>
      </c>
      <c r="G332" s="1071">
        <f>SUM(G330:G331)</f>
        <v/>
      </c>
      <c r="H332" s="1071">
        <f>SUM(H330:I331)</f>
        <v/>
      </c>
      <c r="I332" s="1396" t="n"/>
      <c r="J332" s="1071">
        <f>SUM(J330:K331)</f>
        <v/>
      </c>
      <c r="K332" s="1396" t="n"/>
      <c r="L332" s="108" t="n"/>
      <c r="M332" s="109" t="n"/>
      <c r="N332" s="109" t="n"/>
    </row>
    <row r="333" ht="15" customHeight="1" thickTop="1">
      <c r="A333" s="82" t="n"/>
      <c r="B333" s="82" t="n"/>
      <c r="C333" s="82" t="n"/>
      <c r="D333" s="82" t="n"/>
      <c r="E333" s="82" t="n"/>
      <c r="F333" s="1043" t="n"/>
      <c r="G333" s="1043" t="n"/>
      <c r="H333" s="1043" t="n"/>
      <c r="I333" s="1043" t="n"/>
    </row>
    <row r="334" ht="15" customHeight="1">
      <c r="A334" s="965" t="inlineStr">
        <is>
          <t>Section 11: Privacy Breaches</t>
        </is>
      </c>
    </row>
    <row r="335" ht="15" customHeight="1">
      <c r="A335" s="102" t="n"/>
      <c r="B335" s="109" t="n"/>
      <c r="C335" s="109" t="n"/>
      <c r="D335" s="109" t="n"/>
      <c r="E335" s="109" t="n"/>
      <c r="F335" s="109" t="n"/>
      <c r="G335" s="109" t="n"/>
      <c r="H335" s="109" t="n"/>
      <c r="I335" s="109" t="n"/>
      <c r="J335" s="109" t="n"/>
      <c r="K335" s="109" t="n"/>
      <c r="L335" s="109" t="n"/>
    </row>
    <row r="336" ht="15" customHeight="1" thickBot="1">
      <c r="A336" s="1081" t="inlineStr">
        <is>
          <t>11.1 Material Privacy Breaches reported</t>
        </is>
      </c>
    </row>
    <row r="337" ht="15" customHeight="1" thickTop="1">
      <c r="A337" s="991" t="inlineStr">
        <is>
          <t>Number of material privacy breaches reported to TBS</t>
        </is>
      </c>
      <c r="B337" s="1336" t="n"/>
      <c r="C337" s="1336" t="n"/>
      <c r="D337" s="1336" t="n"/>
      <c r="E337" s="1336" t="n"/>
      <c r="F337" s="1336" t="n"/>
      <c r="G337" s="1336" t="n"/>
      <c r="H337" s="1336" t="n"/>
      <c r="I337" s="1383" t="n"/>
      <c r="J337" s="309" t="n">
        <v>0</v>
      </c>
      <c r="L337" s="108" t="n"/>
      <c r="T337" s="342">
        <f>IF(J337&lt;&gt;J338,"Section 11.1 - The ""Number of material privacy breaches reported to TBS"" must be equal to the ""Number of material privacy breaches reported to OPC""","")</f>
        <v/>
      </c>
    </row>
    <row r="338" ht="15" customHeight="1" thickBot="1">
      <c r="A338" s="1074" t="inlineStr">
        <is>
          <t>Number of material privacy breaches reported to OPC</t>
        </is>
      </c>
      <c r="B338" s="1348" t="n"/>
      <c r="C338" s="1348" t="n"/>
      <c r="D338" s="1348" t="n"/>
      <c r="E338" s="1348" t="n"/>
      <c r="F338" s="1348" t="n"/>
      <c r="G338" s="1348" t="n"/>
      <c r="H338" s="1348" t="n"/>
      <c r="I338" s="1384" t="n"/>
      <c r="J338" s="310" t="n">
        <v>0</v>
      </c>
    </row>
    <row r="339" ht="15" customHeight="1" thickTop="1">
      <c r="A339" s="110" t="n"/>
      <c r="B339" s="110" t="n"/>
      <c r="C339" s="110" t="n"/>
      <c r="D339" s="110" t="n"/>
      <c r="E339" s="110" t="n"/>
      <c r="F339" s="110" t="n"/>
      <c r="G339" s="110" t="n"/>
      <c r="H339" s="110" t="n"/>
      <c r="I339" s="111" t="n"/>
      <c r="J339" s="112" t="n"/>
    </row>
    <row r="340" ht="15.75" customHeight="1" thickBot="1">
      <c r="A340" s="1081" t="inlineStr">
        <is>
          <t>11.2 Non-Material Privacy Breaches</t>
        </is>
      </c>
    </row>
    <row r="341" ht="17.25" customHeight="1" thickBot="1" thickTop="1">
      <c r="A341" s="1078" t="inlineStr">
        <is>
          <t xml:space="preserve">Number of non-material privacy breaches </t>
        </is>
      </c>
      <c r="B341" s="1333" t="n"/>
      <c r="C341" s="1333" t="n"/>
      <c r="D341" s="1333" t="n"/>
      <c r="E341" s="1333" t="n"/>
      <c r="F341" s="1333" t="n"/>
      <c r="G341" s="1333" t="n"/>
      <c r="H341" s="1333" t="n"/>
      <c r="I341" s="1386" t="n"/>
      <c r="J341" s="311" t="n">
        <v>3</v>
      </c>
      <c r="L341" s="108" t="n"/>
      <c r="M341" s="94" t="n"/>
    </row>
    <row r="342" ht="16.5" customHeight="1" thickTop="1">
      <c r="A342" s="113" t="n"/>
      <c r="B342" s="113" t="n"/>
      <c r="C342" s="113" t="n"/>
      <c r="D342" s="113" t="n"/>
      <c r="E342" s="113" t="n"/>
      <c r="F342" s="113" t="n"/>
      <c r="G342" s="113" t="n"/>
      <c r="H342" s="113" t="n"/>
      <c r="I342" s="85" t="n"/>
      <c r="J342" s="112" t="n"/>
      <c r="M342" s="94" t="n"/>
    </row>
    <row r="343" ht="15.75" customHeight="1">
      <c r="A343" s="1077" t="inlineStr">
        <is>
          <t>Section 12: Resources Related to the Privacy Act</t>
        </is>
      </c>
    </row>
    <row r="344" ht="15.75" customHeight="1">
      <c r="A344" s="94" t="n"/>
      <c r="B344" s="94" t="n"/>
      <c r="C344" s="94" t="n"/>
      <c r="D344" s="94" t="n"/>
      <c r="E344" s="94" t="n"/>
      <c r="F344" s="94" t="n"/>
      <c r="G344" s="94" t="n"/>
      <c r="H344" s="94" t="n"/>
      <c r="I344" s="94" t="n"/>
      <c r="J344" s="94" t="n"/>
      <c r="K344" s="94" t="n"/>
      <c r="L344" s="94" t="n"/>
      <c r="N344" s="88" t="n"/>
    </row>
    <row r="345" ht="15.75" customHeight="1">
      <c r="A345" s="1082" t="inlineStr">
        <is>
          <t>12.1  Allocated Costs</t>
        </is>
      </c>
      <c r="N345" s="88" t="n"/>
    </row>
    <row r="346" ht="15" customHeight="1" thickBot="1">
      <c r="N346" s="88" t="n"/>
    </row>
    <row r="347" ht="15.75" customHeight="1" thickBot="1" thickTop="1">
      <c r="A347" s="1064" t="inlineStr">
        <is>
          <t>Expenditures</t>
        </is>
      </c>
      <c r="B347" s="1333" t="n"/>
      <c r="C347" s="1333" t="n"/>
      <c r="D347" s="1333" t="n"/>
      <c r="E347" s="1333" t="n"/>
      <c r="F347" s="1333" t="n"/>
      <c r="G347" s="1333" t="n"/>
      <c r="H347" s="1386" t="n"/>
      <c r="I347" s="462" t="inlineStr">
        <is>
          <t>Amount</t>
        </is>
      </c>
      <c r="J347" s="1333" t="n"/>
      <c r="K347" s="1333" t="n"/>
      <c r="L347" s="1334" t="n"/>
      <c r="N347" s="88" t="n"/>
    </row>
    <row r="348" ht="15" customHeight="1" thickTop="1">
      <c r="A348" s="998" t="inlineStr">
        <is>
          <t xml:space="preserve">Salaries </t>
        </is>
      </c>
      <c r="B348" s="1331" t="n"/>
      <c r="C348" s="1331" t="n"/>
      <c r="D348" s="1331" t="n"/>
      <c r="E348" s="1331" t="n"/>
      <c r="F348" s="1331" t="n"/>
      <c r="G348" s="1331" t="n"/>
      <c r="H348" s="1395" t="n"/>
      <c r="I348" s="1070" t="n">
        <v>569607</v>
      </c>
      <c r="J348" s="1339" t="n"/>
      <c r="K348" s="1339" t="n"/>
      <c r="L348" s="1340" t="n"/>
      <c r="M348" s="190">
        <f>IFERROR(IF(AND(I348/SUM(F357,F358,F359,F361)&gt;=40000,I348/SUM(F357,F358,F359,F361)&lt;=200000),"","Section 12.1 - Total salaries reported in Section 12.1 divided by total person years reported in rows 1, 2, 3 and 5 of table 12.2 must be between $40,000 and $200,000."),"")</f>
        <v/>
      </c>
      <c r="N348" s="88" t="n"/>
    </row>
    <row r="349">
      <c r="A349" s="983" t="inlineStr">
        <is>
          <t>Overtime</t>
        </is>
      </c>
      <c r="B349" s="1342" t="n"/>
      <c r="C349" s="1342" t="n"/>
      <c r="D349" s="1342" t="n"/>
      <c r="E349" s="1342" t="n"/>
      <c r="F349" s="1342" t="n"/>
      <c r="G349" s="1342" t="n"/>
      <c r="H349" s="1390" t="n"/>
      <c r="I349" s="1045" t="n">
        <v>0</v>
      </c>
      <c r="J349" s="1362" t="n"/>
      <c r="K349" s="1362" t="n"/>
      <c r="L349" s="1368" t="n"/>
      <c r="N349" s="88" t="n"/>
    </row>
    <row r="350" ht="15" customHeight="1" thickBot="1">
      <c r="A350" s="983" t="inlineStr">
        <is>
          <t>Goods and Services</t>
        </is>
      </c>
      <c r="B350" s="1342" t="n"/>
      <c r="C350" s="1342" t="n"/>
      <c r="D350" s="1342" t="n"/>
      <c r="E350" s="1342" t="n"/>
      <c r="F350" s="1342" t="n"/>
      <c r="G350" s="1342" t="n"/>
      <c r="H350" s="1390" t="n"/>
      <c r="I350" s="773">
        <f>SUM(F351:H352)</f>
        <v/>
      </c>
      <c r="J350" s="1342" t="n"/>
      <c r="K350" s="1342" t="n"/>
      <c r="L350" s="1343" t="n"/>
      <c r="N350" s="88" t="n"/>
    </row>
    <row r="351" ht="15" customHeight="1" thickTop="1">
      <c r="A351" s="1048" t="inlineStr">
        <is>
          <t>• Professional services contracts</t>
        </is>
      </c>
      <c r="B351" s="1342" t="n"/>
      <c r="C351" s="1342" t="n"/>
      <c r="D351" s="1342" t="n"/>
      <c r="E351" s="1390" t="n"/>
      <c r="F351" s="1051" t="n">
        <v>0</v>
      </c>
      <c r="G351" s="1339" t="n"/>
      <c r="H351" s="1417" t="n"/>
      <c r="I351" s="1529" t="n"/>
      <c r="J351" s="1347" t="n"/>
      <c r="K351" s="1347" t="n"/>
      <c r="L351" s="1358" t="n"/>
      <c r="N351" s="88" t="n"/>
    </row>
    <row r="352" ht="15" customHeight="1" thickBot="1">
      <c r="A352" s="1058" t="inlineStr">
        <is>
          <t>• Other</t>
        </is>
      </c>
      <c r="B352" s="1348" t="n"/>
      <c r="C352" s="1348" t="n"/>
      <c r="D352" s="1348" t="n"/>
      <c r="E352" s="1384" t="n"/>
      <c r="F352" s="1061" t="n">
        <v>0</v>
      </c>
      <c r="G352" s="1363" t="n"/>
      <c r="H352" s="1419" t="n"/>
      <c r="I352" s="1350" t="n"/>
      <c r="J352" s="1350" t="n"/>
      <c r="K352" s="1350" t="n"/>
      <c r="L352" s="1374" t="n"/>
      <c r="N352" s="88" t="n"/>
    </row>
    <row r="353" ht="15.75" customHeight="1" thickBot="1" thickTop="1">
      <c r="A353" s="960" t="inlineStr">
        <is>
          <t>Total</t>
        </is>
      </c>
      <c r="B353" s="1350" t="n"/>
      <c r="C353" s="1350" t="n"/>
      <c r="D353" s="1350" t="n"/>
      <c r="E353" s="1350" t="n"/>
      <c r="F353" s="1350" t="n"/>
      <c r="G353" s="1350" t="n"/>
      <c r="H353" s="1396" t="n"/>
      <c r="I353" s="1474">
        <f>SUM(I348:L350)</f>
        <v/>
      </c>
      <c r="J353" s="1333" t="n"/>
      <c r="K353" s="1333" t="n"/>
      <c r="L353" s="1334" t="n"/>
      <c r="N353" s="88" t="n"/>
    </row>
    <row r="354" ht="15" customHeight="1" thickTop="1">
      <c r="F354" s="1043" t="n"/>
      <c r="N354" s="88" t="n"/>
    </row>
    <row r="355" ht="15.75" customHeight="1" thickBot="1">
      <c r="A355" s="375" t="inlineStr">
        <is>
          <t>12.2  Human Resources</t>
        </is>
      </c>
      <c r="N355" s="88" t="n"/>
    </row>
    <row r="356" ht="29.25" customHeight="1" thickBot="1" thickTop="1">
      <c r="A356" s="1466" t="inlineStr">
        <is>
          <t>Resources</t>
        </is>
      </c>
      <c r="B356" s="1333" t="n"/>
      <c r="C356" s="1333" t="n"/>
      <c r="D356" s="1333" t="n"/>
      <c r="E356" s="1334" t="n"/>
      <c r="F356" s="1466" t="inlineStr">
        <is>
          <t xml:space="preserve">Person Years Dedicated to Privacy Activities </t>
        </is>
      </c>
      <c r="G356" s="1333" t="n"/>
      <c r="H356" s="1334" t="n"/>
      <c r="N356" s="88" t="n"/>
    </row>
    <row r="357" ht="15" customHeight="1" thickTop="1">
      <c r="A357" s="1410" t="inlineStr">
        <is>
          <t>Full-time employees</t>
        </is>
      </c>
      <c r="B357" s="1336" t="n"/>
      <c r="C357" s="1336" t="n"/>
      <c r="D357" s="1336" t="n"/>
      <c r="E357" s="1337" t="n"/>
      <c r="F357" s="1475" t="n">
        <v>5.217</v>
      </c>
      <c r="G357" s="1339" t="n"/>
      <c r="H357" s="1340" t="n"/>
      <c r="N357" s="88" t="n"/>
    </row>
    <row r="358">
      <c r="A358" s="1412" t="inlineStr">
        <is>
          <t>Part-time and casual employees</t>
        </is>
      </c>
      <c r="B358" s="1342" t="n"/>
      <c r="C358" s="1342" t="n"/>
      <c r="D358" s="1342" t="n"/>
      <c r="E358" s="1343" t="n"/>
      <c r="F358" s="1476" t="n">
        <v>0.8</v>
      </c>
      <c r="G358" s="1362" t="n"/>
      <c r="H358" s="1368" t="n"/>
      <c r="N358" s="88" t="n"/>
    </row>
    <row r="359">
      <c r="A359" s="1412" t="inlineStr">
        <is>
          <t>Regional staff</t>
        </is>
      </c>
      <c r="B359" s="1342" t="n"/>
      <c r="C359" s="1342" t="n"/>
      <c r="D359" s="1342" t="n"/>
      <c r="E359" s="1343" t="n"/>
      <c r="F359" s="1476" t="n">
        <v>0</v>
      </c>
      <c r="G359" s="1362" t="n"/>
      <c r="H359" s="1368" t="n"/>
      <c r="N359" s="88" t="n"/>
    </row>
    <row r="360" ht="15.75" customHeight="1">
      <c r="A360" s="1412" t="inlineStr">
        <is>
          <t>Consultants and agency personnel</t>
        </is>
      </c>
      <c r="B360" s="1342" t="n"/>
      <c r="C360" s="1342" t="n"/>
      <c r="D360" s="1342" t="n"/>
      <c r="E360" s="1343" t="n"/>
      <c r="F360" s="1476" t="n">
        <v>0</v>
      </c>
      <c r="G360" s="1362" t="n"/>
      <c r="H360" s="1368" t="n"/>
      <c r="N360" s="88" t="n"/>
    </row>
    <row r="361" ht="15" customHeight="1" thickBot="1">
      <c r="A361" s="1511" t="inlineStr">
        <is>
          <t>Students</t>
        </is>
      </c>
      <c r="B361" s="1348" t="n"/>
      <c r="C361" s="1348" t="n"/>
      <c r="D361" s="1348" t="n"/>
      <c r="E361" s="1356" t="n"/>
      <c r="F361" s="1477" t="n">
        <v>0</v>
      </c>
      <c r="G361" s="1363" t="n"/>
      <c r="H361" s="1379" t="n"/>
    </row>
    <row r="362" ht="15.75" customHeight="1" thickBot="1" thickTop="1">
      <c r="A362" s="1414" t="inlineStr">
        <is>
          <t>Total</t>
        </is>
      </c>
      <c r="B362" s="1333" t="n"/>
      <c r="C362" s="1333" t="n"/>
      <c r="D362" s="1333" t="n"/>
      <c r="E362" s="1334" t="n"/>
      <c r="F362" s="1478">
        <f>SUM(F357:H361)</f>
        <v/>
      </c>
      <c r="G362" s="1333" t="n"/>
      <c r="H362" s="1334" t="n"/>
    </row>
    <row r="363" ht="15" customHeight="1" thickTop="1">
      <c r="A363" s="332" t="inlineStr">
        <is>
          <t>Note: Enter values to three decimal places.</t>
        </is>
      </c>
      <c r="B363" s="333" t="n"/>
      <c r="C363" s="333" t="n"/>
      <c r="D363" s="333" t="n"/>
      <c r="E363" s="333" t="n"/>
    </row>
    <row r="364" ht="41.25" customHeight="1"/>
    <row r="367">
      <c r="F367" s="1043" t="n"/>
      <c r="G367" s="1043" t="n"/>
      <c r="H367" s="1043" t="n"/>
    </row>
  </sheetData>
  <sheetProtection selectLockedCells="1" selectUnlockedCells="0" algorithmName="SHA-512" sheet="1" objects="0" insertRows="1" insertHyperlinks="1" autoFilter="1" scenarios="0" formatColumns="1" deleteColumns="1" insertColumns="1" pivotTables="1" deleteRows="1" formatCells="1" saltValue="vABfxSYqURlZsbxiiPWO5A==" formatRows="1" sort="1" spinCount="100000" hashValue="y8YK3oVSYTBOH637g0IWULNYVwOp5GLNFtEebbdg+eGw0djeCM+CdhGteAD6+DmMDNluslWQiJvHO3LaeNch/g=="/>
  <mergeCells count="771">
    <mergeCell ref="A263:D263"/>
    <mergeCell ref="I257:J257"/>
    <mergeCell ref="J222:L222"/>
    <mergeCell ref="K177:L177"/>
    <mergeCell ref="A107:B107"/>
    <mergeCell ref="Q164:R164"/>
    <mergeCell ref="A178:B178"/>
    <mergeCell ref="C107:D107"/>
    <mergeCell ref="N148:P148"/>
    <mergeCell ref="A192:L192"/>
    <mergeCell ref="A315:B315"/>
    <mergeCell ref="F351:H351"/>
    <mergeCell ref="I106:J106"/>
    <mergeCell ref="A258:D258"/>
    <mergeCell ref="S170:Z170"/>
    <mergeCell ref="F264:H264"/>
    <mergeCell ref="H19:J19"/>
    <mergeCell ref="A194:L194"/>
    <mergeCell ref="K99:L99"/>
    <mergeCell ref="A260:D260"/>
    <mergeCell ref="K180:L180"/>
    <mergeCell ref="G148:H148"/>
    <mergeCell ref="G203:I203"/>
    <mergeCell ref="M275:Y275"/>
    <mergeCell ref="G214:I214"/>
    <mergeCell ref="A83:C83"/>
    <mergeCell ref="G57:J57"/>
    <mergeCell ref="K245:L247"/>
    <mergeCell ref="G168:H168"/>
    <mergeCell ref="K101:L101"/>
    <mergeCell ref="A21:G21"/>
    <mergeCell ref="D208:F208"/>
    <mergeCell ref="A251:D251"/>
    <mergeCell ref="J210:L210"/>
    <mergeCell ref="G58:J58"/>
    <mergeCell ref="A205:C205"/>
    <mergeCell ref="K92:L92"/>
    <mergeCell ref="C92:D92"/>
    <mergeCell ref="A259:D259"/>
    <mergeCell ref="A306:B307"/>
    <mergeCell ref="P240:Q240"/>
    <mergeCell ref="A240:D240"/>
    <mergeCell ref="C97:D97"/>
    <mergeCell ref="A325:E325"/>
    <mergeCell ref="M113:AC113"/>
    <mergeCell ref="E6:G6"/>
    <mergeCell ref="D214:F214"/>
    <mergeCell ref="K248:L248"/>
    <mergeCell ref="A33:F33"/>
    <mergeCell ref="I175:J175"/>
    <mergeCell ref="AA167:AK167"/>
    <mergeCell ref="A40:J40"/>
    <mergeCell ref="A67:J67"/>
    <mergeCell ref="Q147:R147"/>
    <mergeCell ref="L151:M151"/>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E250:F250"/>
    <mergeCell ref="K107:L107"/>
    <mergeCell ref="C181:D181"/>
    <mergeCell ref="A30:F30"/>
    <mergeCell ref="G250:H250"/>
    <mergeCell ref="AA164:AK164"/>
    <mergeCell ref="E110:F110"/>
    <mergeCell ref="A59:F59"/>
    <mergeCell ref="H20:J20"/>
    <mergeCell ref="A131:B131"/>
    <mergeCell ref="F354:H354"/>
    <mergeCell ref="C174:D174"/>
    <mergeCell ref="E174:F174"/>
    <mergeCell ref="A272:D272"/>
    <mergeCell ref="E251:F251"/>
    <mergeCell ref="A54:F54"/>
    <mergeCell ref="S153:AF153"/>
    <mergeCell ref="M118:AC118"/>
    <mergeCell ref="A84:C84"/>
    <mergeCell ref="N167:P167"/>
    <mergeCell ref="I146:K146"/>
    <mergeCell ref="A149:C149"/>
    <mergeCell ref="D210:F210"/>
    <mergeCell ref="A56:F56"/>
    <mergeCell ref="I198:J198"/>
    <mergeCell ref="K198:L198"/>
    <mergeCell ref="E92:F92"/>
    <mergeCell ref="C128:D128"/>
    <mergeCell ref="A86:C86"/>
    <mergeCell ref="A151:C151"/>
    <mergeCell ref="C100:D100"/>
    <mergeCell ref="D122:F122"/>
    <mergeCell ref="G123:I123"/>
    <mergeCell ref="C94:D94"/>
    <mergeCell ref="K262:L262"/>
    <mergeCell ref="E94:F94"/>
    <mergeCell ref="A150:C150"/>
    <mergeCell ref="I166:K166"/>
    <mergeCell ref="E69:F69"/>
    <mergeCell ref="A215:C215"/>
    <mergeCell ref="A78:C79"/>
    <mergeCell ref="G69:H69"/>
    <mergeCell ref="H15:J15"/>
    <mergeCell ref="A287:D287"/>
    <mergeCell ref="A152:C152"/>
    <mergeCell ref="A281:D281"/>
    <mergeCell ref="E108:F108"/>
    <mergeCell ref="C95:D95"/>
    <mergeCell ref="E95:F95"/>
    <mergeCell ref="H8:J8"/>
    <mergeCell ref="G95:H95"/>
    <mergeCell ref="A34:F34"/>
    <mergeCell ref="A338:I338"/>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S171:Z172"/>
    <mergeCell ref="E259:F259"/>
    <mergeCell ref="I145:M145"/>
    <mergeCell ref="A359:E359"/>
    <mergeCell ref="M250:N250"/>
    <mergeCell ref="K110:L110"/>
    <mergeCell ref="A293:B294"/>
    <mergeCell ref="E180:F180"/>
    <mergeCell ref="E240:F240"/>
    <mergeCell ref="A203:C203"/>
    <mergeCell ref="G240:H240"/>
    <mergeCell ref="Q166:R166"/>
    <mergeCell ref="T251:Z252"/>
    <mergeCell ref="S166:Z166"/>
    <mergeCell ref="A160:R160"/>
    <mergeCell ref="K174:L174"/>
    <mergeCell ref="G146:H146"/>
    <mergeCell ref="A275:D275"/>
    <mergeCell ref="A140:C140"/>
    <mergeCell ref="A232:S232"/>
    <mergeCell ref="I181:J181"/>
    <mergeCell ref="E319:F319"/>
    <mergeCell ref="G248:H248"/>
    <mergeCell ref="C115:D115"/>
    <mergeCell ref="I248:J248"/>
    <mergeCell ref="G319:H319"/>
    <mergeCell ref="A225:S225"/>
    <mergeCell ref="F359:H359"/>
    <mergeCell ref="I149:K149"/>
    <mergeCell ref="D153:F153"/>
    <mergeCell ref="E179:F179"/>
    <mergeCell ref="G28:J28"/>
    <mergeCell ref="L148:M148"/>
    <mergeCell ref="M244:Q244"/>
    <mergeCell ref="K293:L293"/>
    <mergeCell ref="A216:C216"/>
    <mergeCell ref="D217:F217"/>
    <mergeCell ref="I151:K151"/>
    <mergeCell ref="H41:J41"/>
    <mergeCell ref="G30:J30"/>
    <mergeCell ref="E97:F97"/>
    <mergeCell ref="I353:L353"/>
    <mergeCell ref="A87:C87"/>
    <mergeCell ref="E109:F109"/>
    <mergeCell ref="M240:N240"/>
    <mergeCell ref="E267:L267"/>
    <mergeCell ref="A345:L345"/>
    <mergeCell ref="M117:AC117"/>
    <mergeCell ref="D166:F166"/>
    <mergeCell ref="I228:J228"/>
    <mergeCell ref="A341:I341"/>
    <mergeCell ref="J205:L205"/>
    <mergeCell ref="L166:M166"/>
    <mergeCell ref="A220:S220"/>
    <mergeCell ref="D168:F168"/>
    <mergeCell ref="A99:B99"/>
    <mergeCell ref="J123:Z123"/>
    <mergeCell ref="K181:L181"/>
    <mergeCell ref="K258:L258"/>
    <mergeCell ref="A165:C165"/>
    <mergeCell ref="E261:F261"/>
    <mergeCell ref="A101:B101"/>
    <mergeCell ref="R248:S248"/>
    <mergeCell ref="D207:F207"/>
    <mergeCell ref="A250:D250"/>
    <mergeCell ref="M134:AA134"/>
    <mergeCell ref="G108:H108"/>
    <mergeCell ref="M251:N251"/>
    <mergeCell ref="K260:L260"/>
    <mergeCell ref="D222:F222"/>
    <mergeCell ref="A283:D283"/>
    <mergeCell ref="A148:C148"/>
    <mergeCell ref="A311:B311"/>
    <mergeCell ref="A46:G46"/>
    <mergeCell ref="S148:AF148"/>
    <mergeCell ref="A317:S317"/>
    <mergeCell ref="A285:D285"/>
    <mergeCell ref="G34:J34"/>
    <mergeCell ref="N164:P164"/>
    <mergeCell ref="A12:J12"/>
    <mergeCell ref="J202:L202"/>
    <mergeCell ref="G157:I157"/>
    <mergeCell ref="E93:F93"/>
    <mergeCell ref="E198:F198"/>
    <mergeCell ref="G149:H149"/>
    <mergeCell ref="G122:I122"/>
    <mergeCell ref="G320:H320"/>
    <mergeCell ref="I320:J320"/>
    <mergeCell ref="G198:H198"/>
    <mergeCell ref="A125:L126"/>
    <mergeCell ref="G257:H257"/>
    <mergeCell ref="I150:K150"/>
    <mergeCell ref="G151:H151"/>
    <mergeCell ref="G178:H178"/>
    <mergeCell ref="G29:J29"/>
    <mergeCell ref="M135:Y135"/>
    <mergeCell ref="I165:K165"/>
    <mergeCell ref="J141:T141"/>
    <mergeCell ref="I152:K152"/>
    <mergeCell ref="C109:D109"/>
    <mergeCell ref="G31:J31"/>
    <mergeCell ref="A289:S289"/>
    <mergeCell ref="N146:P146"/>
    <mergeCell ref="G175:H175"/>
    <mergeCell ref="A238:D239"/>
    <mergeCell ref="A37:S38"/>
    <mergeCell ref="D157:F157"/>
    <mergeCell ref="L163:M163"/>
    <mergeCell ref="H42:J42"/>
    <mergeCell ref="A155:I155"/>
    <mergeCell ref="G177:H177"/>
    <mergeCell ref="J142:U142"/>
    <mergeCell ref="I177:J177"/>
    <mergeCell ref="A313:B313"/>
    <mergeCell ref="A114:B115"/>
    <mergeCell ref="H22:J23"/>
    <mergeCell ref="A25:J25"/>
    <mergeCell ref="Q170:R170"/>
    <mergeCell ref="J215:L215"/>
    <mergeCell ref="L167:M167"/>
    <mergeCell ref="M136:Z136"/>
    <mergeCell ref="A100:B100"/>
    <mergeCell ref="A123:C123"/>
    <mergeCell ref="K259:L259"/>
    <mergeCell ref="G99:H99"/>
    <mergeCell ref="K197:L197"/>
    <mergeCell ref="I163:K163"/>
    <mergeCell ref="I99:J99"/>
    <mergeCell ref="L169:M169"/>
    <mergeCell ref="A308:B308"/>
    <mergeCell ref="I147:K147"/>
    <mergeCell ref="C179:D179"/>
    <mergeCell ref="A310:B310"/>
    <mergeCell ref="K23:Z23"/>
    <mergeCell ref="D150:F150"/>
    <mergeCell ref="Q146:R146"/>
    <mergeCell ref="A214:C214"/>
    <mergeCell ref="A187:D188"/>
    <mergeCell ref="H329:I329"/>
    <mergeCell ref="J329:K329"/>
    <mergeCell ref="E107:F107"/>
    <mergeCell ref="A189:D190"/>
    <mergeCell ref="G101:H101"/>
    <mergeCell ref="J208:L208"/>
    <mergeCell ref="A245:D247"/>
    <mergeCell ref="G207:I207"/>
    <mergeCell ref="H331:I331"/>
    <mergeCell ref="H47:J47"/>
    <mergeCell ref="K34:Z34"/>
    <mergeCell ref="A301:B301"/>
    <mergeCell ref="G263:H263"/>
    <mergeCell ref="D164:F164"/>
    <mergeCell ref="G152:H152"/>
    <mergeCell ref="I263:J263"/>
    <mergeCell ref="L153:M153"/>
    <mergeCell ref="G202:I202"/>
    <mergeCell ref="J203:L203"/>
    <mergeCell ref="G158:I158"/>
    <mergeCell ref="I229:J229"/>
    <mergeCell ref="A167:C167"/>
    <mergeCell ref="A16:G16"/>
    <mergeCell ref="H17:J18"/>
    <mergeCell ref="A128:B129"/>
    <mergeCell ref="I168:K168"/>
    <mergeCell ref="A96:B96"/>
    <mergeCell ref="A169:C169"/>
    <mergeCell ref="A304:L304"/>
    <mergeCell ref="M260:U260"/>
    <mergeCell ref="P248:Q248"/>
    <mergeCell ref="A138:I138"/>
    <mergeCell ref="A248:D248"/>
    <mergeCell ref="G106:H106"/>
    <mergeCell ref="A279:D280"/>
    <mergeCell ref="N145:R145"/>
    <mergeCell ref="S168:Z168"/>
    <mergeCell ref="A47:G47"/>
    <mergeCell ref="R236:S239"/>
    <mergeCell ref="A353:H353"/>
    <mergeCell ref="I178:J178"/>
    <mergeCell ref="A164:C164"/>
    <mergeCell ref="S167:Z167"/>
    <mergeCell ref="N151:P151"/>
    <mergeCell ref="J216:L216"/>
    <mergeCell ref="A336:J336"/>
    <mergeCell ref="G107:H107"/>
    <mergeCell ref="I101:J101"/>
    <mergeCell ref="S169:Z169"/>
    <mergeCell ref="A10:S10"/>
    <mergeCell ref="A57:F57"/>
    <mergeCell ref="G237:H239"/>
    <mergeCell ref="S165:Z165"/>
    <mergeCell ref="E293:F293"/>
    <mergeCell ref="I237:J239"/>
    <mergeCell ref="G222:I222"/>
    <mergeCell ref="I100:J100"/>
    <mergeCell ref="AA170:AK170"/>
    <mergeCell ref="A174:B174"/>
    <mergeCell ref="K100:L100"/>
    <mergeCell ref="A108:B108"/>
    <mergeCell ref="A23:F23"/>
    <mergeCell ref="K94:L94"/>
    <mergeCell ref="I148:K148"/>
    <mergeCell ref="G52:J52"/>
    <mergeCell ref="A261:D261"/>
    <mergeCell ref="G215:I215"/>
    <mergeCell ref="C180:D180"/>
    <mergeCell ref="I350:L350"/>
    <mergeCell ref="M137:Z137"/>
    <mergeCell ref="G27:J27"/>
    <mergeCell ref="I162:M162"/>
    <mergeCell ref="A112:I112"/>
    <mergeCell ref="A52:F52"/>
    <mergeCell ref="J330:K330"/>
    <mergeCell ref="J209:L209"/>
    <mergeCell ref="J332:K332"/>
    <mergeCell ref="A255:S255"/>
    <mergeCell ref="D203:F203"/>
    <mergeCell ref="J158:Z158"/>
    <mergeCell ref="S154:AF154"/>
    <mergeCell ref="A134:B134"/>
    <mergeCell ref="A198:D198"/>
    <mergeCell ref="I262:J262"/>
    <mergeCell ref="Q163:R163"/>
    <mergeCell ref="C96:D96"/>
    <mergeCell ref="A362:E362"/>
    <mergeCell ref="A42:G42"/>
    <mergeCell ref="J159:Z159"/>
    <mergeCell ref="I95:J95"/>
    <mergeCell ref="G55:J55"/>
    <mergeCell ref="A98:B98"/>
    <mergeCell ref="S149:AF149"/>
    <mergeCell ref="K95:L95"/>
    <mergeCell ref="C98:D98"/>
    <mergeCell ref="A208:C208"/>
    <mergeCell ref="I260:J260"/>
    <mergeCell ref="N170:P170"/>
    <mergeCell ref="C116:D116"/>
    <mergeCell ref="G176:H176"/>
    <mergeCell ref="J206:L206"/>
    <mergeCell ref="G210:I210"/>
    <mergeCell ref="A19:G19"/>
    <mergeCell ref="A55:F55"/>
    <mergeCell ref="G97:H97"/>
    <mergeCell ref="I197:J197"/>
    <mergeCell ref="P237:Q239"/>
    <mergeCell ref="C306:D306"/>
    <mergeCell ref="R244:S247"/>
    <mergeCell ref="A210:C210"/>
    <mergeCell ref="A249:D249"/>
    <mergeCell ref="I351:L352"/>
    <mergeCell ref="E187:F188"/>
    <mergeCell ref="A185:L185"/>
    <mergeCell ref="C177:D177"/>
    <mergeCell ref="E128:F128"/>
    <mergeCell ref="A48:G48"/>
    <mergeCell ref="C93:D93"/>
    <mergeCell ref="G128:H128"/>
    <mergeCell ref="A257:D257"/>
    <mergeCell ref="K261:L261"/>
    <mergeCell ref="A29:F29"/>
    <mergeCell ref="E189:F190"/>
    <mergeCell ref="E245:F247"/>
    <mergeCell ref="G245:H247"/>
    <mergeCell ref="A36:S36"/>
    <mergeCell ref="A44:F44"/>
    <mergeCell ref="L147:M147"/>
    <mergeCell ref="A334:S334"/>
    <mergeCell ref="A31:F31"/>
    <mergeCell ref="A309:B309"/>
    <mergeCell ref="A58:F58"/>
    <mergeCell ref="K21:Z21"/>
    <mergeCell ref="F326:I326"/>
    <mergeCell ref="G223:I223"/>
    <mergeCell ref="A337:I337"/>
    <mergeCell ref="M111:AC112"/>
    <mergeCell ref="I250:J250"/>
    <mergeCell ref="A109:B109"/>
    <mergeCell ref="K250:L250"/>
    <mergeCell ref="G110:H110"/>
    <mergeCell ref="I110:J110"/>
    <mergeCell ref="K179:L179"/>
    <mergeCell ref="G53:J53"/>
    <mergeCell ref="Q168:R168"/>
    <mergeCell ref="H114:I115"/>
    <mergeCell ref="A269:D269"/>
    <mergeCell ref="A347:H347"/>
    <mergeCell ref="H21:J21"/>
    <mergeCell ref="N152:P152"/>
    <mergeCell ref="A352:E352"/>
    <mergeCell ref="A319:B319"/>
    <mergeCell ref="A183:L183"/>
    <mergeCell ref="E248:F248"/>
    <mergeCell ref="C175:D175"/>
    <mergeCell ref="C319:D319"/>
    <mergeCell ref="E175:F175"/>
    <mergeCell ref="A262:D262"/>
    <mergeCell ref="A349:H349"/>
    <mergeCell ref="A4:S4"/>
    <mergeCell ref="G205:I205"/>
    <mergeCell ref="M236:Q236"/>
    <mergeCell ref="M245:N247"/>
    <mergeCell ref="N147:P147"/>
    <mergeCell ref="H16:J16"/>
    <mergeCell ref="E244:L244"/>
    <mergeCell ref="G293:H293"/>
    <mergeCell ref="I293:J293"/>
    <mergeCell ref="I167:K167"/>
    <mergeCell ref="D146:F146"/>
    <mergeCell ref="M287:Z287"/>
    <mergeCell ref="J214:L214"/>
    <mergeCell ref="A209:C209"/>
    <mergeCell ref="I169:K169"/>
    <mergeCell ref="I96:J96"/>
    <mergeCell ref="K96:L96"/>
    <mergeCell ref="A147:C147"/>
    <mergeCell ref="F362:H362"/>
    <mergeCell ref="D78:K78"/>
    <mergeCell ref="P249:Q249"/>
    <mergeCell ref="I98:J98"/>
    <mergeCell ref="N163:P163"/>
    <mergeCell ref="K98:L98"/>
    <mergeCell ref="A145:C146"/>
    <mergeCell ref="A76:K76"/>
    <mergeCell ref="A143:R143"/>
    <mergeCell ref="A82:C82"/>
    <mergeCell ref="I348:L348"/>
    <mergeCell ref="I164:K164"/>
    <mergeCell ref="I347:L347"/>
    <mergeCell ref="A50:J50"/>
    <mergeCell ref="K93:L93"/>
    <mergeCell ref="A329:E329"/>
    <mergeCell ref="Q149:R149"/>
    <mergeCell ref="A92:B92"/>
    <mergeCell ref="I174:J174"/>
    <mergeCell ref="K71:Z71"/>
    <mergeCell ref="M262:U262"/>
    <mergeCell ref="C108:D108"/>
    <mergeCell ref="I251:J251"/>
    <mergeCell ref="A358:E358"/>
    <mergeCell ref="K251:L251"/>
    <mergeCell ref="M114:AC114"/>
    <mergeCell ref="A158:C158"/>
    <mergeCell ref="A300:B300"/>
    <mergeCell ref="A94:B94"/>
    <mergeCell ref="Q151:R151"/>
    <mergeCell ref="A61:H61"/>
    <mergeCell ref="A204:C204"/>
    <mergeCell ref="A69:B69"/>
    <mergeCell ref="A360:E360"/>
    <mergeCell ref="K109:L109"/>
    <mergeCell ref="F357:H357"/>
    <mergeCell ref="A141:C141"/>
    <mergeCell ref="K240:L240"/>
    <mergeCell ref="A270:D270"/>
    <mergeCell ref="D202:F202"/>
    <mergeCell ref="A133:B133"/>
    <mergeCell ref="E177:F177"/>
    <mergeCell ref="A206:C206"/>
    <mergeCell ref="A122:C122"/>
    <mergeCell ref="D145:H145"/>
    <mergeCell ref="C320:D320"/>
    <mergeCell ref="E249:F249"/>
    <mergeCell ref="C176:D176"/>
    <mergeCell ref="E320:F320"/>
    <mergeCell ref="G249:H249"/>
    <mergeCell ref="E176:F176"/>
    <mergeCell ref="N168:P168"/>
    <mergeCell ref="AA168:AK168"/>
    <mergeCell ref="K257:L257"/>
    <mergeCell ref="E257:F257"/>
    <mergeCell ref="F358:H358"/>
    <mergeCell ref="M248:N248"/>
    <mergeCell ref="C178:D178"/>
    <mergeCell ref="A271:D271"/>
    <mergeCell ref="F352:H352"/>
    <mergeCell ref="E178:F178"/>
    <mergeCell ref="L168:M168"/>
    <mergeCell ref="N162:R162"/>
    <mergeCell ref="I65:Z65"/>
    <mergeCell ref="G208:I208"/>
    <mergeCell ref="A273:D273"/>
    <mergeCell ref="A45:F45"/>
    <mergeCell ref="A74:S74"/>
    <mergeCell ref="D149:F149"/>
    <mergeCell ref="A153:C153"/>
    <mergeCell ref="K59:Z59"/>
    <mergeCell ref="M115:AC115"/>
    <mergeCell ref="S152:AH152"/>
    <mergeCell ref="D151:F151"/>
    <mergeCell ref="A217:C217"/>
    <mergeCell ref="A90:L90"/>
    <mergeCell ref="E106:F106"/>
    <mergeCell ref="A212:L212"/>
    <mergeCell ref="I349:L349"/>
    <mergeCell ref="N166:P166"/>
    <mergeCell ref="D215:F215"/>
    <mergeCell ref="H332:I332"/>
    <mergeCell ref="G170:H170"/>
    <mergeCell ref="O237:O239"/>
    <mergeCell ref="E262:F262"/>
    <mergeCell ref="G262:H262"/>
    <mergeCell ref="A85:C85"/>
    <mergeCell ref="H44:J45"/>
    <mergeCell ref="A330:E330"/>
    <mergeCell ref="C99:D99"/>
    <mergeCell ref="O245:O247"/>
    <mergeCell ref="Q150:R150"/>
    <mergeCell ref="A284:D284"/>
    <mergeCell ref="M263:U263"/>
    <mergeCell ref="H48:J48"/>
    <mergeCell ref="G92:H92"/>
    <mergeCell ref="Q152:R152"/>
    <mergeCell ref="H14:J14"/>
    <mergeCell ref="I92:J92"/>
    <mergeCell ref="A95:B95"/>
    <mergeCell ref="A343:S343"/>
    <mergeCell ref="G140:I140"/>
    <mergeCell ref="A135:B135"/>
    <mergeCell ref="A361:E361"/>
    <mergeCell ref="S151:AF151"/>
    <mergeCell ref="A97:B97"/>
    <mergeCell ref="H43:J43"/>
    <mergeCell ref="A207:C207"/>
    <mergeCell ref="M130:AA130"/>
    <mergeCell ref="P245:Q247"/>
    <mergeCell ref="F360:H360"/>
    <mergeCell ref="G150:H150"/>
    <mergeCell ref="H116:I116"/>
    <mergeCell ref="AA169:AK169"/>
    <mergeCell ref="M132:AA132"/>
    <mergeCell ref="H6:M6"/>
    <mergeCell ref="M249:N249"/>
    <mergeCell ref="L87:Z87"/>
    <mergeCell ref="E263:F263"/>
    <mergeCell ref="A242:S242"/>
    <mergeCell ref="A80:C80"/>
    <mergeCell ref="A234:S234"/>
    <mergeCell ref="F361:H361"/>
    <mergeCell ref="L146:M146"/>
    <mergeCell ref="E181:F181"/>
    <mergeCell ref="G181:H181"/>
    <mergeCell ref="G32:J32"/>
    <mergeCell ref="G147:H147"/>
    <mergeCell ref="G174:H174"/>
    <mergeCell ref="A32:F32"/>
    <mergeCell ref="Q165:R165"/>
    <mergeCell ref="D165:F165"/>
    <mergeCell ref="K178:L178"/>
    <mergeCell ref="E279:L279"/>
    <mergeCell ref="D223:F223"/>
    <mergeCell ref="N149:P149"/>
    <mergeCell ref="I153:K153"/>
    <mergeCell ref="D152:F152"/>
    <mergeCell ref="E99:F99"/>
    <mergeCell ref="A162:C163"/>
    <mergeCell ref="D216:F216"/>
    <mergeCell ref="G217:I217"/>
    <mergeCell ref="J331:K331"/>
    <mergeCell ref="E101:F101"/>
    <mergeCell ref="G163:H163"/>
    <mergeCell ref="A157:C157"/>
    <mergeCell ref="A286:D286"/>
    <mergeCell ref="J124:T124"/>
    <mergeCell ref="A222:C222"/>
    <mergeCell ref="E237:F239"/>
    <mergeCell ref="R240:S240"/>
    <mergeCell ref="E100:F100"/>
    <mergeCell ref="G100:H100"/>
    <mergeCell ref="L164:M164"/>
    <mergeCell ref="G94:H94"/>
    <mergeCell ref="A120:J120"/>
    <mergeCell ref="G165:H165"/>
    <mergeCell ref="I94:J94"/>
    <mergeCell ref="A295:B295"/>
    <mergeCell ref="I69:J69"/>
    <mergeCell ref="E102:F102"/>
    <mergeCell ref="C69:D69"/>
    <mergeCell ref="G102:H102"/>
    <mergeCell ref="D170:F170"/>
    <mergeCell ref="G141:I141"/>
    <mergeCell ref="I108:J108"/>
    <mergeCell ref="G169:H169"/>
    <mergeCell ref="D163:F163"/>
    <mergeCell ref="A27:F27"/>
    <mergeCell ref="H330:I330"/>
    <mergeCell ref="P250:Q250"/>
    <mergeCell ref="L8:N8"/>
    <mergeCell ref="R250:S250"/>
    <mergeCell ref="A18:F18"/>
    <mergeCell ref="D209:F209"/>
    <mergeCell ref="A296:B296"/>
    <mergeCell ref="D147:F147"/>
    <mergeCell ref="I306:J306"/>
    <mergeCell ref="A355:H355"/>
    <mergeCell ref="A104:L104"/>
    <mergeCell ref="I227:J227"/>
    <mergeCell ref="A177:B177"/>
    <mergeCell ref="A22:F22"/>
    <mergeCell ref="R251:S251"/>
    <mergeCell ref="G258:H258"/>
    <mergeCell ref="A351:E351"/>
    <mergeCell ref="A81:C81"/>
    <mergeCell ref="I258:J258"/>
    <mergeCell ref="A326:E326"/>
    <mergeCell ref="J204:L204"/>
    <mergeCell ref="D162:H162"/>
    <mergeCell ref="A179:B179"/>
    <mergeCell ref="A302:B302"/>
    <mergeCell ref="A170:C170"/>
    <mergeCell ref="E260:F260"/>
    <mergeCell ref="A331:E331"/>
    <mergeCell ref="A298:B298"/>
    <mergeCell ref="G260:H260"/>
    <mergeCell ref="A116:B116"/>
    <mergeCell ref="E197:F197"/>
    <mergeCell ref="G259:H259"/>
    <mergeCell ref="Q148:R148"/>
    <mergeCell ref="J122:L122"/>
    <mergeCell ref="G197:H197"/>
    <mergeCell ref="L149:M149"/>
    <mergeCell ref="I259:J259"/>
    <mergeCell ref="A282:D282"/>
    <mergeCell ref="M261:U261"/>
    <mergeCell ref="I240:J240"/>
    <mergeCell ref="A180:B180"/>
    <mergeCell ref="M210:Z210"/>
    <mergeCell ref="A332:E332"/>
    <mergeCell ref="A299:B299"/>
    <mergeCell ref="D158:F158"/>
    <mergeCell ref="G261:H261"/>
    <mergeCell ref="N150:P150"/>
    <mergeCell ref="S147:AF147"/>
    <mergeCell ref="A93:B93"/>
    <mergeCell ref="C293:D293"/>
    <mergeCell ref="A348:H348"/>
    <mergeCell ref="G33:J33"/>
    <mergeCell ref="N165:P165"/>
    <mergeCell ref="AA165:AK165"/>
    <mergeCell ref="A172:L172"/>
    <mergeCell ref="H46:J46"/>
    <mergeCell ref="I319:J319"/>
    <mergeCell ref="A328:K328"/>
    <mergeCell ref="T337:AG337"/>
    <mergeCell ref="K306:L306"/>
    <mergeCell ref="A223:C223"/>
    <mergeCell ref="A196:D197"/>
    <mergeCell ref="S164:Z164"/>
    <mergeCell ref="A43:G43"/>
    <mergeCell ref="A267:D268"/>
    <mergeCell ref="G179:H179"/>
    <mergeCell ref="I179:J179"/>
    <mergeCell ref="G166:H166"/>
    <mergeCell ref="A265:S265"/>
    <mergeCell ref="G216:I216"/>
    <mergeCell ref="J217:L217"/>
    <mergeCell ref="E236:L236"/>
    <mergeCell ref="G59:J59"/>
    <mergeCell ref="A17:F17"/>
    <mergeCell ref="I97:J97"/>
    <mergeCell ref="I230:J230"/>
    <mergeCell ref="A53:F53"/>
    <mergeCell ref="Q167:R167"/>
    <mergeCell ref="G167:H167"/>
    <mergeCell ref="A175:B175"/>
    <mergeCell ref="A297:B297"/>
    <mergeCell ref="D148:F148"/>
    <mergeCell ref="D123:F123"/>
    <mergeCell ref="M133:Z133"/>
    <mergeCell ref="K263:L263"/>
    <mergeCell ref="A312:B312"/>
    <mergeCell ref="A106:B106"/>
    <mergeCell ref="C106:D106"/>
    <mergeCell ref="F325:I325"/>
    <mergeCell ref="I249:J249"/>
    <mergeCell ref="K22:Z22"/>
    <mergeCell ref="A357:E357"/>
    <mergeCell ref="E96:F96"/>
    <mergeCell ref="G209:I209"/>
    <mergeCell ref="L170:M170"/>
    <mergeCell ref="G96:H96"/>
    <mergeCell ref="C101:D101"/>
    <mergeCell ref="A130:B130"/>
    <mergeCell ref="S150:AF150"/>
    <mergeCell ref="I261:J261"/>
    <mergeCell ref="A322:S322"/>
    <mergeCell ref="N169:P169"/>
    <mergeCell ref="J207:L207"/>
    <mergeCell ref="K108:L108"/>
    <mergeCell ref="E98:F98"/>
    <mergeCell ref="A118:I118"/>
    <mergeCell ref="A20:G20"/>
    <mergeCell ref="G98:H98"/>
    <mergeCell ref="L150:M150"/>
    <mergeCell ref="A253:S253"/>
    <mergeCell ref="G54:J54"/>
    <mergeCell ref="A132:B132"/>
    <mergeCell ref="G204:I204"/>
    <mergeCell ref="L165:M165"/>
    <mergeCell ref="D205:F205"/>
    <mergeCell ref="G56:J56"/>
    <mergeCell ref="I170:K170"/>
    <mergeCell ref="G206:I206"/>
    <mergeCell ref="AA166:AK166"/>
    <mergeCell ref="D167:F167"/>
    <mergeCell ref="A15:G15"/>
    <mergeCell ref="G93:H93"/>
    <mergeCell ref="J157:Z157"/>
    <mergeCell ref="I93:J93"/>
    <mergeCell ref="K237:L239"/>
    <mergeCell ref="M237:N239"/>
    <mergeCell ref="D169:F169"/>
    <mergeCell ref="G180:H180"/>
    <mergeCell ref="I180:J180"/>
    <mergeCell ref="M131:AA131"/>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36 F136 H136 J136 L136">
    <cfRule type="expression" priority="115" dxfId="4">
      <formula>SUM($D$136,$F$136,$H$136,$J$136,$L$136)&lt;&gt;$A$123</formula>
    </cfRule>
  </conditionalFormatting>
  <conditionalFormatting sqref="A141 D141">
    <cfRule type="expression" priority="114" dxfId="4">
      <formula>$D$141&gt;$A$141</formula>
    </cfRule>
  </conditionalFormatting>
  <conditionalFormatting sqref="A141 G153 L153 Q153">
    <cfRule type="expression" priority="105" dxfId="4">
      <formula>SUM($G$153,$L$153,$Q$153)&lt;&gt;$A$141</formula>
    </cfRule>
  </conditionalFormatting>
  <conditionalFormatting sqref="A158 D158">
    <cfRule type="expression" priority="62" dxfId="4">
      <formula>$D$158&gt;$A$158</formula>
    </cfRule>
  </conditionalFormatting>
  <conditionalFormatting sqref="A158">
    <cfRule type="expression" priority="59" dxfId="4">
      <formula>SUM($G$153,$L$153,$Q$153)&lt;&gt;$A$141</formula>
    </cfRule>
  </conditionalFormatting>
  <conditionalFormatting sqref="A198 J210">
    <cfRule type="expression" priority="87" dxfId="4">
      <formula>$J$210&lt;&gt;$A$198</formula>
    </cfRule>
  </conditionalFormatting>
  <conditionalFormatting sqref="A240 E251 G251 I251 K251 M251 O251:P251 R251">
    <cfRule type="expression" priority="86" dxfId="4">
      <formula>SUM($E$251,$G$251,$I$251,$K$251,$M$251,$O$251,$P$251,$R$251)&lt;&gt;$A$240</formula>
    </cfRule>
  </conditionalFormatting>
  <conditionalFormatting sqref="A71:B71">
    <cfRule type="expression" priority="41" dxfId="4">
      <formula>$B$71/$A$71&gt;99</formula>
    </cfRule>
  </conditionalFormatting>
  <conditionalFormatting sqref="A116:B116">
    <cfRule type="expression" priority="53" dxfId="4">
      <formula>A116&gt;SUM(K80:K81)</formula>
    </cfRule>
  </conditionalFormatting>
  <conditionalFormatting sqref="A116:C116 E116 G123 H116">
    <cfRule type="expression" priority="14" dxfId="4">
      <formula>SUM($A$116,$C$116,$E$116,$H$116)&gt;$G$123</formula>
    </cfRule>
  </conditionalFormatting>
  <conditionalFormatting sqref="A123:F123">
    <cfRule type="expression" priority="125" dxfId="4">
      <formula>$D$123&gt;$A$123</formula>
    </cfRule>
  </conditionalFormatting>
  <conditionalFormatting sqref="C71:D71">
    <cfRule type="expression" priority="39" dxfId="4">
      <formula>$D$71/$C$71&gt;500</formula>
    </cfRule>
    <cfRule type="expression" priority="40" dxfId="4">
      <formula>$D$71/$C$71&lt;100</formula>
    </cfRule>
  </conditionalFormatting>
  <conditionalFormatting sqref="C116:D116">
    <cfRule type="expression" priority="51" dxfId="4">
      <formula>C116&gt;SUM(K80,K81)</formula>
    </cfRule>
  </conditionalFormatting>
  <conditionalFormatting sqref="C136:D136">
    <cfRule type="expression" priority="30" dxfId="4">
      <formula>$D$136/$C$136&gt;99</formula>
    </cfRule>
  </conditionalFormatting>
  <conditionalFormatting sqref="C302:D302">
    <cfRule type="expression" priority="11" dxfId="4">
      <formula>$D$302/$C$302&gt;99</formula>
    </cfRule>
  </conditionalFormatting>
  <conditionalFormatting sqref="C315:D315">
    <cfRule type="expression" priority="7" dxfId="4">
      <formula>$D$315/$C$315&gt;99</formula>
    </cfRule>
  </conditionalFormatting>
  <conditionalFormatting sqref="D153 G153:H153">
    <cfRule type="expression" priority="22" dxfId="4">
      <formula>$G$153/$D$153&gt;59</formula>
    </cfRule>
  </conditionalFormatting>
  <conditionalFormatting sqref="D170 G170:H170">
    <cfRule type="expression" priority="18" dxfId="4">
      <formula>$G$170/$D$170&gt;59</formula>
    </cfRule>
  </conditionalFormatting>
  <conditionalFormatting sqref="D170 I170 N170">
    <cfRule type="expression" priority="95" dxfId="4">
      <formula>SUM($D$170,$I$170,$N$170)&lt;&gt;$G$158</formula>
    </cfRule>
  </conditionalFormatting>
  <conditionalFormatting sqref="E116">
    <cfRule type="expression" priority="49" dxfId="4">
      <formula>E116&gt;SUM(K80,K81)</formula>
    </cfRule>
  </conditionalFormatting>
  <conditionalFormatting sqref="E260:E262">
    <cfRule type="expression" priority="85" dxfId="4">
      <formula>SUM($E$262:$F$263)&lt;&gt;($E$260-$E$261)</formula>
    </cfRule>
  </conditionalFormatting>
  <conditionalFormatting sqref="E261 L275">
    <cfRule type="expression" priority="81" dxfId="4">
      <formula>$L$275&lt;&gt;$E$261</formula>
    </cfRule>
  </conditionalFormatting>
  <conditionalFormatting sqref="E263">
    <cfRule type="expression" priority="1" dxfId="4">
      <formula>SUM($G$262:$H$263)&lt;&gt;($G$260-$G$261)</formula>
    </cfRule>
  </conditionalFormatting>
  <conditionalFormatting sqref="E71:F71">
    <cfRule type="expression" priority="38" dxfId="4">
      <formula>$F$71/$E$71&lt;501</formula>
    </cfRule>
    <cfRule type="expression" priority="37" dxfId="4">
      <formula>$F$71/$E$71&gt;1000</formula>
    </cfRule>
  </conditionalFormatting>
  <conditionalFormatting sqref="E136:F136">
    <cfRule type="expression" priority="28" dxfId="4">
      <formula>$F$136/$E$136&gt;500</formula>
    </cfRule>
    <cfRule type="expression" priority="29" dxfId="4">
      <formula>$F$136/$E$136&lt;100</formula>
    </cfRule>
  </conditionalFormatting>
  <conditionalFormatting sqref="E302:F302">
    <cfRule type="expression" priority="10" dxfId="4">
      <formula>$F$302/$E$302&gt;500</formula>
    </cfRule>
  </conditionalFormatting>
  <conditionalFormatting sqref="E315:F315">
    <cfRule type="expression" priority="6" dxfId="4">
      <formula>$F$315/$E$315&gt;500</formula>
    </cfRule>
  </conditionalFormatting>
  <conditionalFormatting sqref="F116 G158">
    <cfRule type="expression" priority="13" dxfId="4">
      <formula>$F$116&gt;$G$158</formula>
    </cfRule>
  </conditionalFormatting>
  <conditionalFormatting sqref="F116">
    <cfRule type="expression" priority="47" dxfId="4">
      <formula>F116&gt;SUM(K80,K81)</formula>
    </cfRule>
  </conditionalFormatting>
  <conditionalFormatting sqref="G34">
    <cfRule type="expression" priority="131" dxfId="4">
      <formula>$G$34&lt;&gt;$H$15</formula>
    </cfRule>
  </conditionalFormatting>
  <conditionalFormatting sqref="G116 G141">
    <cfRule type="expression" priority="12" dxfId="4">
      <formula>$G$116&gt;$G$141</formula>
    </cfRule>
  </conditionalFormatting>
  <conditionalFormatting sqref="G116">
    <cfRule type="expression" priority="46" dxfId="4">
      <formula>G116&gt;SUM(K80,K81)</formula>
    </cfRule>
  </conditionalFormatting>
  <conditionalFormatting sqref="C136 E136 G123 G136 I136 K136">
    <cfRule type="expression" priority="116" dxfId="4">
      <formula>$AB$136&lt;&gt;$G$123</formula>
    </cfRule>
  </conditionalFormatting>
  <conditionalFormatting sqref="D153 G141 I153 N153">
    <cfRule type="expression" priority="60" dxfId="4">
      <formula>$AI$153&lt;&gt;$G$141</formula>
    </cfRule>
  </conditionalFormatting>
  <conditionalFormatting sqref="D170 G158 I170 N170">
    <cfRule type="expression" priority="57" dxfId="4">
      <formula>$G$158&lt;&gt;$AL$170</formula>
    </cfRule>
  </conditionalFormatting>
  <conditionalFormatting sqref="G170 L170 Q170">
    <cfRule type="expression" priority="94" dxfId="4">
      <formula>SUM($G$170,$L$170,$Q$170)&lt;&gt;$A$158</formula>
    </cfRule>
  </conditionalFormatting>
  <conditionalFormatting sqref="G260:G263">
    <cfRule type="expression" priority="84" dxfId="4">
      <formula>SUM($G$262:$H$263)&lt;&gt;($G$260-$G$261)</formula>
    </cfRule>
  </conditionalFormatting>
  <conditionalFormatting sqref="G71:H71">
    <cfRule type="expression" priority="35" dxfId="4">
      <formula>$H$71/$G$71&gt;5000</formula>
    </cfRule>
    <cfRule type="expression" priority="36" dxfId="4">
      <formula>$H$71/$G$71&lt;1001</formula>
    </cfRule>
  </conditionalFormatting>
  <conditionalFormatting sqref="G136:H136">
    <cfRule type="expression" priority="26" dxfId="4">
      <formula>$H$136/$G$136&gt;1000</formula>
    </cfRule>
    <cfRule type="expression" priority="27" dxfId="4">
      <formula>$H$136/$G$136&lt;501</formula>
    </cfRule>
  </conditionalFormatting>
  <conditionalFormatting sqref="G302:H302">
    <cfRule type="expression" priority="9" dxfId="4">
      <formula>$H$302/$G$302&gt;1000</formula>
    </cfRule>
  </conditionalFormatting>
  <conditionalFormatting sqref="G315:H315">
    <cfRule type="expression" priority="5" dxfId="4">
      <formula>$H$315/$G$315&gt;1000</formula>
    </cfRule>
  </conditionalFormatting>
  <conditionalFormatting sqref="H6">
    <cfRule type="expression" priority="67" dxfId="4">
      <formula>$H$6=""</formula>
    </cfRule>
  </conditionalFormatting>
  <conditionalFormatting sqref="H20 K87">
    <cfRule type="expression" priority="127" dxfId="4">
      <formula>$K$87&lt;&gt;$H$20</formula>
    </cfRule>
  </conditionalFormatting>
  <conditionalFormatting sqref="G59 H42">
    <cfRule type="expression" priority="130" dxfId="4">
      <formula>$G$59&lt;&gt;$H$42</formula>
    </cfRule>
  </conditionalFormatting>
  <conditionalFormatting sqref="A71 C71 E71 G71 H47 I71">
    <cfRule type="expression" priority="128" dxfId="4">
      <formula>SUM($A$71,$C$71,$E$71,$G$71,$I$71)&lt;&gt;$H$47</formula>
    </cfRule>
  </conditionalFormatting>
  <conditionalFormatting sqref="H47 H65">
    <cfRule type="expression" priority="129" dxfId="4">
      <formula>$H$65&lt;&gt;$H$47</formula>
    </cfRule>
  </conditionalFormatting>
  <conditionalFormatting sqref="H116:I116">
    <cfRule type="expression" priority="44" dxfId="4">
      <formula>H116&gt;SUM(K80,K81)</formula>
    </cfRule>
  </conditionalFormatting>
  <conditionalFormatting sqref="H19:J21">
    <cfRule type="expression" priority="132" dxfId="4">
      <formula>$H$21&lt;&gt;($H$19-$H$20)</formula>
    </cfRule>
  </conditionalFormatting>
  <conditionalFormatting sqref="I153 L153:M153">
    <cfRule type="expression" priority="20" dxfId="4">
      <formula>$L$153/$I$153&gt;120</formula>
    </cfRule>
    <cfRule type="expression" priority="21" dxfId="4">
      <formula>$L$153/$I$153&lt;60</formula>
    </cfRule>
  </conditionalFormatting>
  <conditionalFormatting sqref="I170 L170:M170">
    <cfRule type="expression" priority="16" dxfId="4">
      <formula>$L$170/$I$170&gt;120</formula>
    </cfRule>
    <cfRule type="expression" priority="17" dxfId="4">
      <formula>$L$170/$I$170&lt;60</formula>
    </cfRule>
  </conditionalFormatting>
  <conditionalFormatting sqref="I261 L287">
    <cfRule type="expression" priority="80" dxfId="4">
      <formula>$L$287&lt;&gt;$I$261</formula>
    </cfRule>
  </conditionalFormatting>
  <conditionalFormatting sqref="I71:J71">
    <cfRule type="expression" priority="34" dxfId="4">
      <formula>$J$71/$I$71&lt;=5000</formula>
    </cfRule>
  </conditionalFormatting>
  <conditionalFormatting sqref="I136:J136">
    <cfRule type="expression" priority="24" dxfId="4">
      <formula>$J$136/$I$136&gt;5000</formula>
    </cfRule>
    <cfRule type="expression" priority="25" dxfId="4">
      <formula>$J$136/$I$136&lt;1001</formula>
    </cfRule>
  </conditionalFormatting>
  <conditionalFormatting sqref="I302:J302">
    <cfRule type="expression" priority="8" dxfId="4">
      <formula>$J$302/$I$302&gt;5000</formula>
    </cfRule>
  </conditionalFormatting>
  <conditionalFormatting sqref="I315:J315">
    <cfRule type="expression" priority="4" dxfId="4">
      <formula>$J$315/$I$315&gt;5000</formula>
    </cfRule>
  </conditionalFormatting>
  <conditionalFormatting sqref="F357:F359 F361 I348:L348">
    <cfRule type="expression" priority="3" dxfId="4">
      <formula>$I$348/SUM($F$357,$F$358,$F$359,$F$361)&lt;40000</formula>
    </cfRule>
    <cfRule type="expression" priority="2" dxfId="4">
      <formula>$I$348/SUM($F$357,$F$358,$F$359,$F$361)&gt;200000</formula>
    </cfRule>
  </conditionalFormatting>
  <conditionalFormatting sqref="J337:J338">
    <cfRule type="expression" priority="56" dxfId="4">
      <formula>$J$337&lt;&gt;$J$338</formula>
    </cfRule>
  </conditionalFormatting>
  <conditionalFormatting sqref="C130:C134 D147 D164 E130:E135 G130:G135 I130:I135 I147 I164 K80 K130:K135 N147 N164">
    <cfRule type="expression" priority="103" dxfId="4">
      <formula>$AC$130&lt;$K$80</formula>
    </cfRule>
  </conditionalFormatting>
  <conditionalFormatting sqref="C130:C134 E130:E135 G130:G135 I130:I135 K80 K130:K135">
    <cfRule type="expression" priority="102" dxfId="4">
      <formula>$AB$130&gt;$K$80</formula>
    </cfRule>
  </conditionalFormatting>
  <conditionalFormatting sqref="D147 D164 I147 I164 K80 N147 N164">
    <cfRule type="expression" priority="112" dxfId="4">
      <formula>$AI$147&gt;$K$80</formula>
    </cfRule>
  </conditionalFormatting>
  <conditionalFormatting sqref="D164 I164 K80 N164">
    <cfRule type="expression" priority="123" dxfId="4">
      <formula>$AL$164&gt;$K$80</formula>
    </cfRule>
  </conditionalFormatting>
  <conditionalFormatting sqref="A116:I116 K80:K81">
    <cfRule type="expression" priority="126" dxfId="4">
      <formula>SUM($A$116:$I$116)&lt;SUM($K$80:$K$81)</formula>
    </cfRule>
  </conditionalFormatting>
  <conditionalFormatting sqref="G123 G141 K80:K83 K85:K86">
    <cfRule type="expression" priority="124" dxfId="4">
      <formula>SUM($G$158,$G$141,$G$123)&lt;$K$88</formula>
    </cfRule>
  </conditionalFormatting>
  <conditionalFormatting sqref="G123 K80:K83 K85:K86">
    <cfRule type="expression" priority="61" dxfId="4">
      <formula>$G$123&gt;$K$88</formula>
    </cfRule>
  </conditionalFormatting>
  <conditionalFormatting sqref="G141 K80:K83 K85:K86">
    <cfRule type="expression" priority="93" dxfId="4">
      <formula>$G$141&gt;$K$88</formula>
    </cfRule>
  </conditionalFormatting>
  <conditionalFormatting sqref="G158 K80:K83 K85:K86">
    <cfRule type="expression" priority="101" dxfId="4">
      <formula>$G$158&gt;$K$88</formula>
    </cfRule>
  </conditionalFormatting>
  <conditionalFormatting sqref="D148 D165 I148 I165 K81 N148 N165">
    <cfRule type="expression" priority="92" dxfId="4">
      <formula>$AC$131&lt;$K$81</formula>
    </cfRule>
    <cfRule type="expression" priority="111" dxfId="4">
      <formula>SUM($D$148,$I$148,$N$148)&gt;$K$81</formula>
    </cfRule>
  </conditionalFormatting>
  <conditionalFormatting sqref="K81">
    <cfRule type="expression" priority="33" dxfId="4">
      <formula>$K$81&gt;SUM($C$93:$D$101,$G$93:$H$102,$K$93:$L$101,$C$107:$D$109,$G$107:$H$110,$K$107:$L$110)</formula>
    </cfRule>
    <cfRule type="expression" priority="100" dxfId="4">
      <formula>SUM($D$165,$I$165,$N$165)&gt;$K$81</formula>
    </cfRule>
    <cfRule type="expression" priority="122" dxfId="4">
      <formula>$AB$131&gt;$K$81</formula>
    </cfRule>
  </conditionalFormatting>
  <conditionalFormatting sqref="D149 D166 I149 I166 K82 N149 N166">
    <cfRule type="expression" priority="91" dxfId="4">
      <formula>$AC$132&lt;$K$82</formula>
    </cfRule>
    <cfRule type="expression" priority="110" dxfId="4">
      <formula>SUM($D$149,$I$149,$N$149)&gt;$K$82</formula>
    </cfRule>
  </conditionalFormatting>
  <conditionalFormatting sqref="K82">
    <cfRule type="expression" priority="32" dxfId="4">
      <formula>$K$82&gt;SUM($C$93:$D$101,$G$93:$H$102,$K$93:$L$101)</formula>
    </cfRule>
    <cfRule type="expression" priority="121" dxfId="4">
      <formula>$AB$132&gt;$K$82</formula>
    </cfRule>
    <cfRule type="expression" priority="99" dxfId="4">
      <formula>SUM($D$166,$I$166,$N$166)&gt;$K$82</formula>
    </cfRule>
  </conditionalFormatting>
  <conditionalFormatting sqref="D150 D167 I150 I167 K83 N150 N167">
    <cfRule type="expression" priority="90" dxfId="4">
      <formula>$AC$133&lt;$K$83</formula>
    </cfRule>
    <cfRule type="expression" priority="109" dxfId="4">
      <formula>SUM($D$150,$I$150,$N$150)&gt;$K$83</formula>
    </cfRule>
  </conditionalFormatting>
  <conditionalFormatting sqref="K83">
    <cfRule type="expression" priority="31" dxfId="4">
      <formula>$K$83&gt;SUM($C$107:$D$109,$G$107:$H$110,$K$107:$L$110)</formula>
    </cfRule>
    <cfRule type="expression" priority="98" dxfId="4">
      <formula>SUM($D$167,$I$167,$N$167)&gt;$K$83</formula>
    </cfRule>
    <cfRule type="expression" priority="120" dxfId="4">
      <formula>$AB$133&gt;$K$83</formula>
    </cfRule>
  </conditionalFormatting>
  <conditionalFormatting sqref="D151 D168 I151 I168 K85 N151 N168">
    <cfRule type="expression" priority="89" dxfId="4">
      <formula>$AC$134&lt;$K$85</formula>
    </cfRule>
    <cfRule type="expression" priority="108" dxfId="4">
      <formula>SUM($D$151,$I$151,$N$151)&gt;$K$85</formula>
    </cfRule>
  </conditionalFormatting>
  <conditionalFormatting sqref="K85">
    <cfRule type="expression" priority="118" dxfId="4">
      <formula>$AB$134&gt;$K$85</formula>
    </cfRule>
    <cfRule type="expression" priority="97" dxfId="4">
      <formula>SUM($D$168,$I$168,$N$168)&gt;$K$85</formula>
    </cfRule>
  </conditionalFormatting>
  <conditionalFormatting sqref="C135 D152 D169 I152 I169 K86 N152 N169">
    <cfRule type="expression" priority="88" dxfId="4">
      <formula>$AC$135&lt;$K$86</formula>
    </cfRule>
  </conditionalFormatting>
  <conditionalFormatting sqref="C135 K86">
    <cfRule type="expression" priority="117" dxfId="4">
      <formula>$AB$135&gt;$K$86</formula>
    </cfRule>
  </conditionalFormatting>
  <conditionalFormatting sqref="D152 D169 I152 I169 K86 N152 N169">
    <cfRule type="expression" priority="107" dxfId="4">
      <formula>SUM($D$152,$I$152,$N$152)&gt;$K$86</formula>
    </cfRule>
  </conditionalFormatting>
  <conditionalFormatting sqref="K86">
    <cfRule type="expression" priority="96" dxfId="4">
      <formula>SUM($D$169,$I$169,$N$169)&gt;$K$86</formula>
    </cfRule>
  </conditionalFormatting>
  <conditionalFormatting sqref="K136:L136">
    <cfRule type="expression" priority="23" dxfId="4">
      <formula>$L$136/$K$136&lt;=5000</formula>
    </cfRule>
  </conditionalFormatting>
  <conditionalFormatting sqref="I260:J263 K260:L260">
    <cfRule type="expression" priority="83" dxfId="4">
      <formula>SUM($I$262:$J$263)&lt;&gt;($I$260-$I$261)</formula>
    </cfRule>
  </conditionalFormatting>
  <conditionalFormatting sqref="K261:L263">
    <cfRule type="expression" priority="82" dxfId="4">
      <formula>SUM($K$262:$L$263)&lt;&gt;($K$260-$K$261)</formula>
    </cfRule>
  </conditionalFormatting>
  <conditionalFormatting sqref="M111:AC112">
    <cfRule type="expression" priority="55" dxfId="4">
      <formula>SUM(A116:I116)&lt;SUM(K80,K81)</formula>
    </cfRule>
  </conditionalFormatting>
  <conditionalFormatting sqref="M113:AC113">
    <cfRule type="expression" priority="54" dxfId="4">
      <formula>A116&gt;SUM(K80:K81)</formula>
    </cfRule>
  </conditionalFormatting>
  <conditionalFormatting sqref="M114:AC114">
    <cfRule type="expression" priority="52" dxfId="4">
      <formula>C116&gt;SUM(K80,K81)</formula>
    </cfRule>
  </conditionalFormatting>
  <conditionalFormatting sqref="M115:AC115">
    <cfRule type="expression" priority="50" dxfId="4">
      <formula>E116&gt;SUM(K80,K81)</formula>
    </cfRule>
  </conditionalFormatting>
  <conditionalFormatting sqref="M116:AC116">
    <cfRule type="expression" priority="48" dxfId="4">
      <formula>F116&gt;SUM(K80,K81)</formula>
    </cfRule>
  </conditionalFormatting>
  <conditionalFormatting sqref="M117:AC117">
    <cfRule type="expression" priority="43" dxfId="4">
      <formula>G116&gt;SUM(K80,K81)</formula>
    </cfRule>
  </conditionalFormatting>
  <conditionalFormatting sqref="M118:AC118">
    <cfRule type="expression" priority="45" dxfId="4">
      <formula>H116&gt;SUM(K80,K81)</formula>
    </cfRule>
  </conditionalFormatting>
  <conditionalFormatting sqref="N153 Q153:R153">
    <cfRule type="expression" priority="19" dxfId="4">
      <formula>$Q$153/$N$153&lt;=120</formula>
    </cfRule>
  </conditionalFormatting>
  <conditionalFormatting sqref="N170 Q170:R170">
    <cfRule type="expression" priority="15" dxfId="4">
      <formula>$Q$170/$N$170&lt;=120</formula>
    </cfRule>
  </conditionalFormatting>
  <conditionalFormatting sqref="O6">
    <cfRule type="expression" priority="65" dxfId="0">
      <formula>$H$6&lt;&gt;""</formula>
    </cfRule>
    <cfRule type="expression" priority="66" dxfId="1">
      <formula>$H$6=""</formula>
    </cfRule>
  </conditionalFormatting>
  <conditionalFormatting sqref="S171:Z172">
    <cfRule type="expression" priority="64" dxfId="1">
      <formula>SUM($G$170,$L$170,$Q$170)&lt;&gt;$A$158</formula>
    </cfRule>
    <cfRule type="expression" priority="63" dxfId="0">
      <formula>SUM($G$170,$L$170,$Q$170)=$A$158</formula>
    </cfRule>
  </conditionalFormatting>
  <dataValidations count="3">
    <dataValidation sqref="A65:H65 A71:J71 A116:I116 A123:I123 A141:I141 A158:I158 A198:L198 A223:L223 A240:S240 A320:J320 C93:D101 C107:D109 C130:L136 C175:L181 C295:L302 C303:L303 C308:L315 D80:K87 D147:R153 D164:R170 D203:L210 D215:L217 E187:F188 E248:S249 E250 E251:S251 E252 E258:L263 E269:L275 E281:L287 F252:L252 F325:I326 F327:G327 F330:K332 G17:G18 G22:G23 G26:J26 G28:J34 G44 G45 G53:J59 G93:H102 G107:H110 H15:J15 H16:J16 H19:J21 H42:J43 H46:J48 H49 H327:I327 I228:J230 J337 J338 J341 K15:K20 K24:K33 K35 K93:L101 K107:L110 K320 M250 M300 P250 R250:S250 T249" showDropDown="0" showInputMessage="1" showErrorMessage="1" allowBlank="0" type="whole" operator="greaterThan">
      <formula1>-1</formula1>
    </dataValidation>
    <dataValidation sqref="A60:H60 A66:F66 A199:L199 C154:H154 C171:H171 D211 F333:I333 F351:H352 G24 G35 G211:L211 H66 I348:L350 I353:L353 J66 M196" showDropDown="0" showInputMessage="1" showErrorMessage="1" allowBlank="0" type="whole" operator="greaterThanOrEqual">
      <formula1>0</formula1>
    </dataValidation>
    <dataValidation sqref="F357:H362" showDropDown="0" showInputMessage="1" showErrorMessage="1" allowBlank="0" type="decimal" operator="greaterThanOrEqual">
      <formula1>0</formula1>
    </dataValidation>
  </dataValidations>
  <pageMargins left="0.25" right="0.25" top="0.75" bottom="0.75" header="0.3" footer="0.3"/>
  <pageSetup orientation="landscape" paperSize="5"/>
  <headerFooter differentOddEven="1" differentFirst="1">
    <oddHeader/>
    <oddFooter/>
    <evenHeader/>
    <evenFooter/>
    <firstHeader/>
    <firstFooter/>
  </headerFooter>
  <rowBreaks count="9" manualBreakCount="9">
    <brk id="89" min="0" max="16383" man="1"/>
    <brk id="141" min="0" max="16383" man="1"/>
    <brk id="171" min="0" max="16383" man="1"/>
    <brk id="198" min="0" max="16383" man="1"/>
    <brk id="223" min="0" max="16383" man="1"/>
    <brk id="251" min="0" max="16383" man="1"/>
    <brk id="275" min="0" max="16383" man="1"/>
    <brk id="302" min="0" max="16383" man="1"/>
    <brk id="332"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C764"/>
  <sheetViews>
    <sheetView zoomScale="130" zoomScaleNormal="130" workbookViewId="0">
      <selection activeCell="B2" sqref="B2"/>
    </sheetView>
  </sheetViews>
  <sheetFormatPr baseColWidth="8" defaultColWidth="9" defaultRowHeight="15"/>
  <cols>
    <col width="9.140625" customWidth="1" style="6" min="3" max="3"/>
    <col width="18.85546875" customWidth="1" min="4" max="4"/>
  </cols>
  <sheetData>
    <row r="1">
      <c r="A1" s="8" t="inlineStr">
        <is>
          <t>Inst</t>
        </is>
      </c>
      <c r="B1" s="8">
        <f>ATI!D6</f>
        <v/>
      </c>
      <c r="C1" s="9" t="n"/>
    </row>
    <row r="2">
      <c r="A2" s="8" t="inlineStr">
        <is>
          <t>Report</t>
        </is>
      </c>
      <c r="B2" s="8" t="inlineStr">
        <is>
          <t>2021;2022</t>
        </is>
      </c>
      <c r="C2" s="9" t="n"/>
    </row>
    <row r="3">
      <c r="A3" s="8" t="inlineStr">
        <is>
          <t>Q1R1C1</t>
        </is>
      </c>
      <c r="B3" s="8">
        <f>ATI!H14</f>
        <v/>
      </c>
      <c r="C3" s="9" t="inlineStr">
        <is>
          <t>1,1</t>
        </is>
      </c>
    </row>
    <row r="4">
      <c r="A4" s="8" t="inlineStr">
        <is>
          <t>Q1R2C1</t>
        </is>
      </c>
      <c r="B4" s="8">
        <f>ATI!H15</f>
        <v/>
      </c>
      <c r="C4" s="9" t="inlineStr">
        <is>
          <t>1,1</t>
        </is>
      </c>
    </row>
    <row r="5">
      <c r="A5" s="5" t="inlineStr">
        <is>
          <t>Q1R3C1</t>
        </is>
      </c>
      <c r="B5" s="5">
        <f>ATI!G16</f>
        <v/>
      </c>
      <c r="C5" s="7" t="inlineStr">
        <is>
          <t>1,1</t>
        </is>
      </c>
    </row>
    <row r="6">
      <c r="A6" s="5" t="inlineStr">
        <is>
          <t>Q1R4C1</t>
        </is>
      </c>
      <c r="B6" s="5">
        <f>ATI!G17</f>
        <v/>
      </c>
      <c r="C6" s="7" t="inlineStr">
        <is>
          <t>1,1</t>
        </is>
      </c>
    </row>
    <row r="7">
      <c r="A7" s="8" t="inlineStr">
        <is>
          <t>Q1R5C1</t>
        </is>
      </c>
      <c r="B7" s="8">
        <f>ATI!H18</f>
        <v/>
      </c>
      <c r="C7" s="9" t="inlineStr">
        <is>
          <t>1,1</t>
        </is>
      </c>
    </row>
    <row r="8">
      <c r="A8" s="8" t="inlineStr">
        <is>
          <t>Q1R6C1</t>
        </is>
      </c>
      <c r="B8" s="8">
        <f>ATI!H19</f>
        <v/>
      </c>
      <c r="C8" s="9" t="inlineStr">
        <is>
          <t>1,1</t>
        </is>
      </c>
    </row>
    <row r="9">
      <c r="A9" s="8" t="inlineStr">
        <is>
          <t>Q1R7C1</t>
        </is>
      </c>
      <c r="B9" s="8">
        <f>ATI!H20</f>
        <v/>
      </c>
      <c r="C9" s="9" t="inlineStr">
        <is>
          <t>1,1</t>
        </is>
      </c>
    </row>
    <row r="10">
      <c r="A10" s="5" t="inlineStr">
        <is>
          <t>Q1R8C1</t>
        </is>
      </c>
      <c r="B10" s="5">
        <f>ATI!G21</f>
        <v/>
      </c>
      <c r="C10" s="7" t="inlineStr">
        <is>
          <t>1,1</t>
        </is>
      </c>
    </row>
    <row r="11">
      <c r="A11" s="5" t="inlineStr">
        <is>
          <t>Q1R9C1</t>
        </is>
      </c>
      <c r="B11" s="5">
        <f>ATI!G22</f>
        <v/>
      </c>
      <c r="C11" s="7" t="inlineStr">
        <is>
          <t>1,1</t>
        </is>
      </c>
    </row>
    <row r="12">
      <c r="A12" s="163" t="inlineStr">
        <is>
          <t>Q2R1C1</t>
        </is>
      </c>
      <c r="B12" s="163">
        <f>ATI!G27</f>
        <v/>
      </c>
      <c r="C12" s="164" t="inlineStr">
        <is>
          <t>1,2</t>
        </is>
      </c>
    </row>
    <row r="13">
      <c r="A13" s="163" t="inlineStr">
        <is>
          <t>Q2R2C1</t>
        </is>
      </c>
      <c r="B13" s="163">
        <f>ATI!G28</f>
        <v/>
      </c>
      <c r="C13" s="164" t="inlineStr">
        <is>
          <t>1,2</t>
        </is>
      </c>
    </row>
    <row r="14">
      <c r="A14" s="163" t="inlineStr">
        <is>
          <t>Q2R3C1</t>
        </is>
      </c>
      <c r="B14" s="163">
        <f>ATI!G29</f>
        <v/>
      </c>
      <c r="C14" s="164" t="inlineStr">
        <is>
          <t>1,2</t>
        </is>
      </c>
    </row>
    <row r="15">
      <c r="A15" s="163" t="inlineStr">
        <is>
          <t>Q2R4C1</t>
        </is>
      </c>
      <c r="B15" s="163">
        <f>ATI!G30</f>
        <v/>
      </c>
      <c r="C15" s="164" t="inlineStr">
        <is>
          <t>1,2</t>
        </is>
      </c>
    </row>
    <row r="16">
      <c r="A16" s="163" t="inlineStr">
        <is>
          <t>Q2R5C1</t>
        </is>
      </c>
      <c r="B16" s="163">
        <f>ATI!G31</f>
        <v/>
      </c>
      <c r="C16" s="164" t="inlineStr">
        <is>
          <t>1,2</t>
        </is>
      </c>
    </row>
    <row r="17">
      <c r="A17" s="163" t="inlineStr">
        <is>
          <t>Q2R6C1</t>
        </is>
      </c>
      <c r="B17" s="163">
        <f>ATI!G32</f>
        <v/>
      </c>
      <c r="C17" s="164" t="inlineStr">
        <is>
          <t>1,2</t>
        </is>
      </c>
    </row>
    <row r="18">
      <c r="A18" s="163" t="inlineStr">
        <is>
          <t>Q2R7C1</t>
        </is>
      </c>
      <c r="B18" s="163">
        <f>ATI!G33</f>
        <v/>
      </c>
      <c r="C18" s="164" t="inlineStr">
        <is>
          <t>1,2</t>
        </is>
      </c>
    </row>
    <row r="19">
      <c r="A19" s="5" t="inlineStr">
        <is>
          <t>Q3R1C1</t>
        </is>
      </c>
      <c r="B19" s="5">
        <f>ATI!G38</f>
        <v/>
      </c>
      <c r="C19" s="7" t="inlineStr">
        <is>
          <t>1,3</t>
        </is>
      </c>
    </row>
    <row r="20">
      <c r="A20" s="5" t="inlineStr">
        <is>
          <t>Q3R2C1</t>
        </is>
      </c>
      <c r="B20" s="5">
        <f>ATI!G39</f>
        <v/>
      </c>
      <c r="C20" s="7" t="inlineStr">
        <is>
          <t>1,3</t>
        </is>
      </c>
    </row>
    <row r="21">
      <c r="A21" s="5" t="inlineStr">
        <is>
          <t>Q3R3C1</t>
        </is>
      </c>
      <c r="B21" s="5">
        <f>ATI!G40</f>
        <v/>
      </c>
      <c r="C21" s="7" t="inlineStr">
        <is>
          <t>1,3</t>
        </is>
      </c>
    </row>
    <row r="22">
      <c r="A22" s="5" t="inlineStr">
        <is>
          <t>Q3R4C1</t>
        </is>
      </c>
      <c r="B22" s="5">
        <f>ATI!G41</f>
        <v/>
      </c>
      <c r="C22" s="7" t="inlineStr">
        <is>
          <t>1,3</t>
        </is>
      </c>
    </row>
    <row r="23">
      <c r="A23" s="5" t="inlineStr">
        <is>
          <t>Q3R5C1</t>
        </is>
      </c>
      <c r="B23" s="5">
        <f>ATI!G42</f>
        <v/>
      </c>
      <c r="C23" s="7" t="inlineStr">
        <is>
          <t>1,3</t>
        </is>
      </c>
    </row>
    <row r="24">
      <c r="A24" s="5" t="inlineStr">
        <is>
          <t>Q3R6C1</t>
        </is>
      </c>
      <c r="B24" s="5">
        <f>ATI!G43</f>
        <v/>
      </c>
      <c r="C24" s="7" t="inlineStr">
        <is>
          <t>1,3</t>
        </is>
      </c>
    </row>
    <row r="25">
      <c r="A25" s="5" t="inlineStr">
        <is>
          <t>Q3R7C1</t>
        </is>
      </c>
      <c r="B25" s="5">
        <f>ATI!G44</f>
        <v/>
      </c>
      <c r="C25" s="7" t="inlineStr">
        <is>
          <t>1,3</t>
        </is>
      </c>
    </row>
    <row r="26">
      <c r="A26" s="5" t="inlineStr">
        <is>
          <t>Q4R1C1</t>
        </is>
      </c>
      <c r="B26" s="5">
        <f>ATI!H50</f>
        <v/>
      </c>
      <c r="C26" s="7" t="inlineStr">
        <is>
          <t>2,1</t>
        </is>
      </c>
    </row>
    <row r="27">
      <c r="A27" s="5" t="inlineStr">
        <is>
          <t>Q4R2C1</t>
        </is>
      </c>
      <c r="B27" s="5">
        <f>ATI!H51</f>
        <v/>
      </c>
      <c r="C27" s="7" t="inlineStr">
        <is>
          <t>2,1</t>
        </is>
      </c>
    </row>
    <row r="28">
      <c r="A28" s="5" t="inlineStr">
        <is>
          <t>Q4R3C1</t>
        </is>
      </c>
      <c r="B28" s="5">
        <f>ATI!G52</f>
        <v/>
      </c>
      <c r="C28" s="7" t="inlineStr">
        <is>
          <t>2,1</t>
        </is>
      </c>
    </row>
    <row r="29">
      <c r="A29" s="5" t="inlineStr">
        <is>
          <t>Q4R4C1</t>
        </is>
      </c>
      <c r="B29" s="5">
        <f>ATI!G53</f>
        <v/>
      </c>
      <c r="C29" s="7" t="inlineStr">
        <is>
          <t>2,1</t>
        </is>
      </c>
    </row>
    <row r="30">
      <c r="A30" s="5" t="inlineStr">
        <is>
          <t>Q4R5C1</t>
        </is>
      </c>
      <c r="B30" s="5">
        <f>ATI!H54</f>
        <v/>
      </c>
      <c r="C30" s="7" t="inlineStr">
        <is>
          <t>2,1</t>
        </is>
      </c>
    </row>
    <row r="31">
      <c r="A31" s="5" t="inlineStr">
        <is>
          <t>Q4R6C1</t>
        </is>
      </c>
      <c r="B31" s="5">
        <f>ATI!H55</f>
        <v/>
      </c>
      <c r="C31" s="7" t="inlineStr">
        <is>
          <t>2,1</t>
        </is>
      </c>
    </row>
    <row r="32">
      <c r="A32" s="5" t="inlineStr">
        <is>
          <t>Q4R7C1</t>
        </is>
      </c>
      <c r="B32" s="5">
        <f>ATI!H56</f>
        <v/>
      </c>
      <c r="C32" s="7" t="inlineStr">
        <is>
          <t>2,1</t>
        </is>
      </c>
    </row>
    <row r="33">
      <c r="A33" s="5" t="inlineStr">
        <is>
          <t>Q5R1C1</t>
        </is>
      </c>
      <c r="B33" s="5">
        <f>ATI!G61</f>
        <v/>
      </c>
      <c r="C33" s="7" t="inlineStr">
        <is>
          <t>2,2</t>
        </is>
      </c>
    </row>
    <row r="34">
      <c r="A34" s="5" t="inlineStr">
        <is>
          <t>Q5R2C1</t>
        </is>
      </c>
      <c r="B34" s="5">
        <f>ATI!G62</f>
        <v/>
      </c>
      <c r="C34" s="7" t="inlineStr">
        <is>
          <t>2,2</t>
        </is>
      </c>
    </row>
    <row r="35">
      <c r="A35" s="5" t="inlineStr">
        <is>
          <t>Q5R3C1</t>
        </is>
      </c>
      <c r="B35" s="5">
        <f>ATI!G63</f>
        <v/>
      </c>
      <c r="C35" s="7" t="inlineStr">
        <is>
          <t>2,2</t>
        </is>
      </c>
    </row>
    <row r="36">
      <c r="A36" s="5" t="inlineStr">
        <is>
          <t>Q5R4C1</t>
        </is>
      </c>
      <c r="B36" s="5">
        <f>ATI!G64</f>
        <v/>
      </c>
      <c r="C36" s="7" t="inlineStr">
        <is>
          <t>2,2</t>
        </is>
      </c>
    </row>
    <row r="37">
      <c r="A37" s="5" t="inlineStr">
        <is>
          <t>Q5R5C1</t>
        </is>
      </c>
      <c r="B37" s="5">
        <f>ATI!G65</f>
        <v/>
      </c>
      <c r="C37" s="7" t="inlineStr">
        <is>
          <t>2,2</t>
        </is>
      </c>
    </row>
    <row r="38">
      <c r="A38" s="5" t="inlineStr">
        <is>
          <t>Q5R6C1</t>
        </is>
      </c>
      <c r="B38" s="5">
        <f>ATI!G66</f>
        <v/>
      </c>
      <c r="C38" s="7" t="inlineStr">
        <is>
          <t>2,2</t>
        </is>
      </c>
    </row>
    <row r="39">
      <c r="A39" s="5" t="inlineStr">
        <is>
          <t>Q5R7C1</t>
        </is>
      </c>
      <c r="B39" s="5">
        <f>ATI!G67</f>
        <v/>
      </c>
      <c r="C39" s="7" t="inlineStr">
        <is>
          <t>2,2</t>
        </is>
      </c>
    </row>
    <row r="40">
      <c r="A40" s="163" t="inlineStr">
        <is>
          <t>Q6R1C1</t>
        </is>
      </c>
      <c r="B40" s="163">
        <f>ATI!A73</f>
        <v/>
      </c>
      <c r="C40" s="164" t="inlineStr">
        <is>
          <t>2,3</t>
        </is>
      </c>
    </row>
    <row r="41">
      <c r="A41" s="163" t="inlineStr">
        <is>
          <t>Q6R1C2</t>
        </is>
      </c>
      <c r="B41" s="163">
        <f>ATI!B73</f>
        <v/>
      </c>
      <c r="C41" s="164" t="inlineStr">
        <is>
          <t>2,3</t>
        </is>
      </c>
    </row>
    <row r="42">
      <c r="A42" s="163" t="inlineStr">
        <is>
          <t>Q6R1C3</t>
        </is>
      </c>
      <c r="B42" s="163">
        <f>ATI!C73</f>
        <v/>
      </c>
      <c r="C42" s="164" t="inlineStr">
        <is>
          <t>2,3</t>
        </is>
      </c>
    </row>
    <row r="43">
      <c r="A43" s="163" t="inlineStr">
        <is>
          <t>Q6R1C4</t>
        </is>
      </c>
      <c r="B43" s="163">
        <f>ATI!D73</f>
        <v/>
      </c>
      <c r="C43" s="164" t="inlineStr">
        <is>
          <t>2,3</t>
        </is>
      </c>
    </row>
    <row r="44">
      <c r="A44" s="163" t="inlineStr">
        <is>
          <t>Q6R1C5</t>
        </is>
      </c>
      <c r="B44" s="163">
        <f>ATI!E73</f>
        <v/>
      </c>
      <c r="C44" s="164" t="inlineStr">
        <is>
          <t>2,3</t>
        </is>
      </c>
    </row>
    <row r="45">
      <c r="A45" s="163" t="inlineStr">
        <is>
          <t>Q6R1C6</t>
        </is>
      </c>
      <c r="B45" s="163">
        <f>ATI!F73</f>
        <v/>
      </c>
      <c r="C45" s="164" t="inlineStr">
        <is>
          <t>2,3</t>
        </is>
      </c>
    </row>
    <row r="46">
      <c r="A46" s="163" t="inlineStr">
        <is>
          <t>Q6R1C7</t>
        </is>
      </c>
      <c r="B46" s="163">
        <f>ATI!G73</f>
        <v/>
      </c>
      <c r="C46" s="164" t="inlineStr">
        <is>
          <t>2,3</t>
        </is>
      </c>
    </row>
    <row r="47">
      <c r="A47" s="5" t="inlineStr">
        <is>
          <t>Q7R1C1</t>
        </is>
      </c>
      <c r="B47" s="5">
        <f>ATI!A79</f>
        <v/>
      </c>
      <c r="C47" s="7" t="inlineStr">
        <is>
          <t>2,4</t>
        </is>
      </c>
    </row>
    <row r="48">
      <c r="A48" s="5" t="inlineStr">
        <is>
          <t>Q7R1C2</t>
        </is>
      </c>
      <c r="B48" s="5">
        <f>ATI!B79</f>
        <v/>
      </c>
      <c r="C48" s="7" t="inlineStr">
        <is>
          <t>2,4</t>
        </is>
      </c>
    </row>
    <row r="49">
      <c r="A49" s="5" t="inlineStr">
        <is>
          <t>Q7R1C3</t>
        </is>
      </c>
      <c r="B49" s="5">
        <f>ATI!C79</f>
        <v/>
      </c>
      <c r="C49" s="7" t="inlineStr">
        <is>
          <t>2,4</t>
        </is>
      </c>
    </row>
    <row r="50">
      <c r="A50" s="5" t="inlineStr">
        <is>
          <t>Q7R1C4</t>
        </is>
      </c>
      <c r="B50" s="5">
        <f>ATI!D79</f>
        <v/>
      </c>
      <c r="C50" s="7" t="inlineStr">
        <is>
          <t>2,4</t>
        </is>
      </c>
    </row>
    <row r="51">
      <c r="A51" s="5" t="inlineStr">
        <is>
          <t>Q7R1C5</t>
        </is>
      </c>
      <c r="B51" s="5">
        <f>ATI!E79</f>
        <v/>
      </c>
      <c r="C51" s="7" t="inlineStr">
        <is>
          <t>2,4</t>
        </is>
      </c>
    </row>
    <row r="52">
      <c r="A52" s="5" t="inlineStr">
        <is>
          <t>Q7R1C6</t>
        </is>
      </c>
      <c r="B52" s="5">
        <f>ATI!F79</f>
        <v/>
      </c>
      <c r="C52" s="7" t="inlineStr">
        <is>
          <t>2,4</t>
        </is>
      </c>
    </row>
    <row r="53">
      <c r="A53" s="5" t="inlineStr">
        <is>
          <t>Q7R1C7</t>
        </is>
      </c>
      <c r="B53" s="5">
        <f>ATI!G79</f>
        <v/>
      </c>
      <c r="C53" s="7" t="inlineStr">
        <is>
          <t>2,4</t>
        </is>
      </c>
    </row>
    <row r="54">
      <c r="A54" s="5" t="inlineStr">
        <is>
          <t>Q7R1C8</t>
        </is>
      </c>
      <c r="B54" s="5">
        <f>ATI!H79</f>
        <v/>
      </c>
      <c r="C54" s="7" t="inlineStr">
        <is>
          <t>2,4</t>
        </is>
      </c>
    </row>
    <row r="55">
      <c r="A55" s="5" t="inlineStr">
        <is>
          <t>Q7R1C9</t>
        </is>
      </c>
      <c r="B55" s="5">
        <f>ATI!I79</f>
        <v/>
      </c>
      <c r="C55" s="7" t="inlineStr">
        <is>
          <t>2,4</t>
        </is>
      </c>
    </row>
    <row r="56">
      <c r="A56" s="5" t="inlineStr">
        <is>
          <t>Q7R1C10</t>
        </is>
      </c>
      <c r="B56" s="5">
        <f>ATI!J79</f>
        <v/>
      </c>
      <c r="C56" s="7" t="inlineStr">
        <is>
          <t>2,4</t>
        </is>
      </c>
    </row>
    <row r="57">
      <c r="A57" s="5" t="inlineStr">
        <is>
          <t>Q8R1C1</t>
        </is>
      </c>
      <c r="B57" s="5">
        <f>ATI!A85</f>
        <v/>
      </c>
      <c r="C57" s="7" t="inlineStr">
        <is>
          <t>2,5</t>
        </is>
      </c>
    </row>
    <row r="58">
      <c r="A58" s="5" t="inlineStr">
        <is>
          <t>Q8R1C2</t>
        </is>
      </c>
      <c r="B58" s="5">
        <f>ATI!B85</f>
        <v/>
      </c>
      <c r="C58" s="7" t="inlineStr">
        <is>
          <t>2,5</t>
        </is>
      </c>
    </row>
    <row r="59">
      <c r="A59" s="5" t="inlineStr">
        <is>
          <t>Q8R1C3</t>
        </is>
      </c>
      <c r="B59" s="5">
        <f>ATI!C85</f>
        <v/>
      </c>
      <c r="C59" s="7" t="inlineStr">
        <is>
          <t>2,5</t>
        </is>
      </c>
    </row>
    <row r="60">
      <c r="A60" s="5" t="inlineStr">
        <is>
          <t>Q8R1C4</t>
        </is>
      </c>
      <c r="B60" s="5">
        <f>ATI!D85</f>
        <v/>
      </c>
      <c r="C60" s="7" t="inlineStr">
        <is>
          <t>2,5</t>
        </is>
      </c>
    </row>
    <row r="61">
      <c r="A61" s="5" t="inlineStr">
        <is>
          <t>Q8R1C5</t>
        </is>
      </c>
      <c r="B61" s="5">
        <f>ATI!E85</f>
        <v/>
      </c>
      <c r="C61" s="7" t="inlineStr">
        <is>
          <t>2,5</t>
        </is>
      </c>
    </row>
    <row r="62">
      <c r="A62" s="5" t="inlineStr">
        <is>
          <t>Q8R1C6</t>
        </is>
      </c>
      <c r="B62" s="5">
        <f>ATI!F85</f>
        <v/>
      </c>
      <c r="C62" s="7" t="inlineStr">
        <is>
          <t>2,5</t>
        </is>
      </c>
    </row>
    <row r="63">
      <c r="A63" s="5" t="inlineStr">
        <is>
          <t>Q8R1C7</t>
        </is>
      </c>
      <c r="B63" s="5">
        <f>ATI!G85</f>
        <v/>
      </c>
      <c r="C63" s="7" t="inlineStr">
        <is>
          <t>2,5</t>
        </is>
      </c>
    </row>
    <row r="64">
      <c r="A64" s="5" t="inlineStr">
        <is>
          <t>Q8R1C8</t>
        </is>
      </c>
      <c r="B64" s="5">
        <f>ATI!H85</f>
        <v/>
      </c>
      <c r="C64" s="7" t="inlineStr">
        <is>
          <t>2,5</t>
        </is>
      </c>
    </row>
    <row r="65">
      <c r="A65" s="5" t="inlineStr">
        <is>
          <t>Q8R1C9</t>
        </is>
      </c>
      <c r="B65" s="5">
        <f>ATI!I85</f>
        <v/>
      </c>
      <c r="C65" s="7" t="inlineStr">
        <is>
          <t>2,5</t>
        </is>
      </c>
    </row>
    <row r="66">
      <c r="A66" s="5" t="inlineStr">
        <is>
          <t>Q8R1C10</t>
        </is>
      </c>
      <c r="B66" s="5">
        <f>ATI!J85</f>
        <v/>
      </c>
      <c r="C66" s="7" t="inlineStr">
        <is>
          <t>2,5</t>
        </is>
      </c>
    </row>
    <row r="67">
      <c r="A67" s="8" t="inlineStr">
        <is>
          <t>Q9R1C1</t>
        </is>
      </c>
      <c r="B67" s="8">
        <f>ATI!H90</f>
        <v/>
      </c>
      <c r="C67" s="9" t="n">
        <v>3</v>
      </c>
    </row>
    <row r="68">
      <c r="A68" s="8" t="inlineStr">
        <is>
          <t>Q9R2C1</t>
        </is>
      </c>
      <c r="B68" s="8">
        <f>ATI!H91</f>
        <v/>
      </c>
      <c r="C68" s="9" t="n">
        <v>3</v>
      </c>
    </row>
    <row r="69">
      <c r="A69" s="8" t="inlineStr">
        <is>
          <t>Q9R3C1</t>
        </is>
      </c>
      <c r="B69" s="8">
        <f>ATI!H92</f>
        <v/>
      </c>
      <c r="C69" s="9" t="n">
        <v>3</v>
      </c>
    </row>
    <row r="70">
      <c r="A70" s="8" t="inlineStr">
        <is>
          <t>Q9R4C1</t>
        </is>
      </c>
      <c r="B70" s="8">
        <f>ATI!H93</f>
        <v/>
      </c>
      <c r="C70" s="9" t="n">
        <v>3</v>
      </c>
    </row>
    <row r="71">
      <c r="A71" s="8" t="inlineStr">
        <is>
          <t>Q9R5C1</t>
        </is>
      </c>
      <c r="B71" s="8">
        <f>ATI!H94</f>
        <v/>
      </c>
      <c r="C71" s="9" t="n">
        <v>3</v>
      </c>
    </row>
    <row r="72">
      <c r="A72" s="5" t="inlineStr">
        <is>
          <t>Q9R6C1</t>
        </is>
      </c>
      <c r="B72" s="5">
        <f>ATI!H95</f>
        <v/>
      </c>
      <c r="C72" s="7" t="n">
        <v>3</v>
      </c>
    </row>
    <row r="73">
      <c r="A73" s="8" t="inlineStr">
        <is>
          <t>Q9R7C1</t>
        </is>
      </c>
      <c r="B73" s="8">
        <f>ATI!H96</f>
        <v/>
      </c>
      <c r="C73" s="9" t="n">
        <v>3</v>
      </c>
    </row>
    <row r="74">
      <c r="A74" s="8" t="inlineStr">
        <is>
          <t>Q10R1C1</t>
        </is>
      </c>
      <c r="B74" s="8">
        <f>ATI!E104</f>
        <v/>
      </c>
      <c r="C74" s="9" t="inlineStr">
        <is>
          <t>4,1</t>
        </is>
      </c>
    </row>
    <row r="75">
      <c r="A75" s="8" t="inlineStr">
        <is>
          <t>Q10R1C2</t>
        </is>
      </c>
      <c r="B75" s="8">
        <f>ATI!F104</f>
        <v/>
      </c>
      <c r="C75" s="9" t="inlineStr">
        <is>
          <t>4,1</t>
        </is>
      </c>
    </row>
    <row r="76">
      <c r="A76" s="8" t="inlineStr">
        <is>
          <t>Q10R1C3</t>
        </is>
      </c>
      <c r="B76" s="8">
        <f>ATI!G104</f>
        <v/>
      </c>
      <c r="C76" s="9" t="inlineStr">
        <is>
          <t>4,1</t>
        </is>
      </c>
    </row>
    <row r="77">
      <c r="A77" s="8" t="inlineStr">
        <is>
          <t>Q10R1C4</t>
        </is>
      </c>
      <c r="B77" s="8">
        <f>ATI!H104</f>
        <v/>
      </c>
      <c r="C77" s="9" t="inlineStr">
        <is>
          <t>4,1</t>
        </is>
      </c>
    </row>
    <row r="78">
      <c r="A78" s="8" t="inlineStr">
        <is>
          <t>Q10R1C5</t>
        </is>
      </c>
      <c r="B78" s="8">
        <f>ATI!I104</f>
        <v/>
      </c>
      <c r="C78" s="9" t="inlineStr">
        <is>
          <t>4,1</t>
        </is>
      </c>
    </row>
    <row r="79">
      <c r="A79" s="8" t="inlineStr">
        <is>
          <t>Q10R1C6</t>
        </is>
      </c>
      <c r="B79" s="8">
        <f>ATI!J104</f>
        <v/>
      </c>
      <c r="C79" s="9" t="inlineStr">
        <is>
          <t>4,1</t>
        </is>
      </c>
    </row>
    <row r="80">
      <c r="A80" s="8" t="inlineStr">
        <is>
          <t>Q10R1C7</t>
        </is>
      </c>
      <c r="B80" s="8">
        <f>ATI!K104</f>
        <v/>
      </c>
      <c r="C80" s="9" t="inlineStr">
        <is>
          <t>4,1</t>
        </is>
      </c>
    </row>
    <row r="81">
      <c r="A81" s="8" t="inlineStr">
        <is>
          <t>Q10R2C1</t>
        </is>
      </c>
      <c r="B81" s="8">
        <f>ATI!E105</f>
        <v/>
      </c>
      <c r="C81" s="9" t="inlineStr">
        <is>
          <t>4,1</t>
        </is>
      </c>
    </row>
    <row r="82">
      <c r="A82" s="8" t="inlineStr">
        <is>
          <t>Q10R2C2</t>
        </is>
      </c>
      <c r="B82" s="8">
        <f>ATI!F105</f>
        <v/>
      </c>
      <c r="C82" s="9" t="inlineStr">
        <is>
          <t>4,1</t>
        </is>
      </c>
    </row>
    <row r="83">
      <c r="A83" s="8" t="inlineStr">
        <is>
          <t>Q10R2C3</t>
        </is>
      </c>
      <c r="B83" s="8">
        <f>ATI!G105</f>
        <v/>
      </c>
      <c r="C83" s="9" t="inlineStr">
        <is>
          <t>4,1</t>
        </is>
      </c>
    </row>
    <row r="84">
      <c r="A84" s="8" t="inlineStr">
        <is>
          <t>Q10R2C4</t>
        </is>
      </c>
      <c r="B84" s="8">
        <f>ATI!H105</f>
        <v/>
      </c>
      <c r="C84" s="9" t="inlineStr">
        <is>
          <t>4,1</t>
        </is>
      </c>
    </row>
    <row r="85">
      <c r="A85" s="8" t="inlineStr">
        <is>
          <t>Q10R2C5</t>
        </is>
      </c>
      <c r="B85" s="8">
        <f>ATI!I105</f>
        <v/>
      </c>
      <c r="C85" s="9" t="inlineStr">
        <is>
          <t>4,1</t>
        </is>
      </c>
    </row>
    <row r="86">
      <c r="A86" s="8" t="inlineStr">
        <is>
          <t>Q10R2C6</t>
        </is>
      </c>
      <c r="B86" s="8">
        <f>ATI!J105</f>
        <v/>
      </c>
      <c r="C86" s="9" t="inlineStr">
        <is>
          <t>4,1</t>
        </is>
      </c>
    </row>
    <row r="87">
      <c r="A87" s="8" t="inlineStr">
        <is>
          <t>Q10R2C7</t>
        </is>
      </c>
      <c r="B87" s="8">
        <f>ATI!K105</f>
        <v/>
      </c>
      <c r="C87" s="9" t="inlineStr">
        <is>
          <t>4,1</t>
        </is>
      </c>
    </row>
    <row r="88">
      <c r="A88" s="8" t="inlineStr">
        <is>
          <t>Q10R3C1</t>
        </is>
      </c>
      <c r="B88" s="8">
        <f>ATI!E106</f>
        <v/>
      </c>
      <c r="C88" s="9" t="inlineStr">
        <is>
          <t>4,1</t>
        </is>
      </c>
    </row>
    <row r="89">
      <c r="A89" s="8" t="inlineStr">
        <is>
          <t>Q10R3C2</t>
        </is>
      </c>
      <c r="B89" s="8">
        <f>ATI!F106</f>
        <v/>
      </c>
      <c r="C89" s="9" t="inlineStr">
        <is>
          <t>4,1</t>
        </is>
      </c>
    </row>
    <row r="90">
      <c r="A90" s="8" t="inlineStr">
        <is>
          <t>Q10R3C3</t>
        </is>
      </c>
      <c r="B90" s="8">
        <f>ATI!G106</f>
        <v/>
      </c>
      <c r="C90" s="9" t="inlineStr">
        <is>
          <t>4,1</t>
        </is>
      </c>
    </row>
    <row r="91">
      <c r="A91" s="8" t="inlineStr">
        <is>
          <t>Q10R3C4</t>
        </is>
      </c>
      <c r="B91" s="8">
        <f>ATI!H106</f>
        <v/>
      </c>
      <c r="C91" s="9" t="inlineStr">
        <is>
          <t>4,1</t>
        </is>
      </c>
    </row>
    <row r="92">
      <c r="A92" s="8" t="inlineStr">
        <is>
          <t>Q10R3C5</t>
        </is>
      </c>
      <c r="B92" s="8">
        <f>ATI!I106</f>
        <v/>
      </c>
      <c r="C92" s="9" t="inlineStr">
        <is>
          <t>4,1</t>
        </is>
      </c>
    </row>
    <row r="93">
      <c r="A93" s="8" t="inlineStr">
        <is>
          <t>Q10R3C6</t>
        </is>
      </c>
      <c r="B93" s="8">
        <f>ATI!J106</f>
        <v/>
      </c>
      <c r="C93" s="9" t="inlineStr">
        <is>
          <t>4,1</t>
        </is>
      </c>
    </row>
    <row r="94">
      <c r="A94" s="8" t="inlineStr">
        <is>
          <t>Q10R3C7</t>
        </is>
      </c>
      <c r="B94" s="8">
        <f>ATI!K106</f>
        <v/>
      </c>
      <c r="C94" s="9" t="inlineStr">
        <is>
          <t>4,1</t>
        </is>
      </c>
    </row>
    <row r="95">
      <c r="A95" s="8" t="inlineStr">
        <is>
          <t>Q10R4C1</t>
        </is>
      </c>
      <c r="B95" s="8">
        <f>ATI!E107</f>
        <v/>
      </c>
      <c r="C95" s="9" t="inlineStr">
        <is>
          <t>4,1</t>
        </is>
      </c>
    </row>
    <row r="96">
      <c r="A96" s="8" t="inlineStr">
        <is>
          <t>Q10R4C2</t>
        </is>
      </c>
      <c r="B96" s="8">
        <f>ATI!F107</f>
        <v/>
      </c>
      <c r="C96" s="9" t="inlineStr">
        <is>
          <t>4,1</t>
        </is>
      </c>
    </row>
    <row r="97">
      <c r="A97" s="8" t="inlineStr">
        <is>
          <t>Q10R4C3</t>
        </is>
      </c>
      <c r="B97" s="8">
        <f>ATI!G107</f>
        <v/>
      </c>
      <c r="C97" s="9" t="inlineStr">
        <is>
          <t>4,1</t>
        </is>
      </c>
    </row>
    <row r="98">
      <c r="A98" s="8" t="inlineStr">
        <is>
          <t>Q10R4C4</t>
        </is>
      </c>
      <c r="B98" s="8">
        <f>ATI!H107</f>
        <v/>
      </c>
      <c r="C98" s="9" t="inlineStr">
        <is>
          <t>4,1</t>
        </is>
      </c>
    </row>
    <row r="99">
      <c r="A99" s="8" t="inlineStr">
        <is>
          <t>Q10R4C5</t>
        </is>
      </c>
      <c r="B99" s="8">
        <f>ATI!I107</f>
        <v/>
      </c>
      <c r="C99" s="9" t="inlineStr">
        <is>
          <t>4,1</t>
        </is>
      </c>
    </row>
    <row r="100">
      <c r="A100" s="8" t="inlineStr">
        <is>
          <t>Q10R4C6</t>
        </is>
      </c>
      <c r="B100" s="8">
        <f>ATI!J107</f>
        <v/>
      </c>
      <c r="C100" s="9" t="inlineStr">
        <is>
          <t>4,1</t>
        </is>
      </c>
    </row>
    <row r="101">
      <c r="A101" s="8" t="inlineStr">
        <is>
          <t>Q10R4C7</t>
        </is>
      </c>
      <c r="B101" s="8">
        <f>ATI!K107</f>
        <v/>
      </c>
      <c r="C101" s="9" t="inlineStr">
        <is>
          <t>4,1</t>
        </is>
      </c>
    </row>
    <row r="102">
      <c r="A102" s="8" t="inlineStr">
        <is>
          <t>Q10R5C1</t>
        </is>
      </c>
      <c r="B102" s="8">
        <f>ATI!E108</f>
        <v/>
      </c>
      <c r="C102" s="9" t="inlineStr">
        <is>
          <t>4,1</t>
        </is>
      </c>
    </row>
    <row r="103">
      <c r="A103" s="8" t="inlineStr">
        <is>
          <t>Q10R5C2</t>
        </is>
      </c>
      <c r="B103" s="8">
        <f>ATI!F108</f>
        <v/>
      </c>
      <c r="C103" s="9" t="inlineStr">
        <is>
          <t>4,1</t>
        </is>
      </c>
    </row>
    <row r="104">
      <c r="A104" s="8" t="inlineStr">
        <is>
          <t>Q10R5C3</t>
        </is>
      </c>
      <c r="B104" s="8">
        <f>ATI!G108</f>
        <v/>
      </c>
      <c r="C104" s="9" t="inlineStr">
        <is>
          <t>4,1</t>
        </is>
      </c>
    </row>
    <row r="105">
      <c r="A105" s="8" t="inlineStr">
        <is>
          <t>Q10R5C4</t>
        </is>
      </c>
      <c r="B105" s="8">
        <f>ATI!H108</f>
        <v/>
      </c>
      <c r="C105" s="9" t="inlineStr">
        <is>
          <t>4,1</t>
        </is>
      </c>
    </row>
    <row r="106">
      <c r="A106" s="8" t="inlineStr">
        <is>
          <t>Q10R5C5</t>
        </is>
      </c>
      <c r="B106" s="8">
        <f>ATI!I108</f>
        <v/>
      </c>
      <c r="C106" s="9" t="inlineStr">
        <is>
          <t>4,1</t>
        </is>
      </c>
    </row>
    <row r="107">
      <c r="A107" s="8" t="inlineStr">
        <is>
          <t>Q10R5C6</t>
        </is>
      </c>
      <c r="B107" s="8">
        <f>ATI!J108</f>
        <v/>
      </c>
      <c r="C107" s="9" t="inlineStr">
        <is>
          <t>4,1</t>
        </is>
      </c>
    </row>
    <row r="108">
      <c r="A108" s="8" t="inlineStr">
        <is>
          <t>Q10R5C7</t>
        </is>
      </c>
      <c r="B108" s="8">
        <f>ATI!K108</f>
        <v/>
      </c>
      <c r="C108" s="9" t="inlineStr">
        <is>
          <t>4,1</t>
        </is>
      </c>
    </row>
    <row r="109">
      <c r="A109" s="8" t="inlineStr">
        <is>
          <t>Q10R6C1</t>
        </is>
      </c>
      <c r="B109" s="8">
        <f>ATI!E109</f>
        <v/>
      </c>
      <c r="C109" s="9" t="inlineStr">
        <is>
          <t>4,1</t>
        </is>
      </c>
    </row>
    <row r="110">
      <c r="A110" s="8" t="inlineStr">
        <is>
          <t>Q10R6C2</t>
        </is>
      </c>
      <c r="B110" s="8">
        <f>ATI!F109</f>
        <v/>
      </c>
      <c r="C110" s="9" t="inlineStr">
        <is>
          <t>4,1</t>
        </is>
      </c>
    </row>
    <row r="111">
      <c r="A111" s="8" t="inlineStr">
        <is>
          <t>Q10R6C3</t>
        </is>
      </c>
      <c r="B111" s="8">
        <f>ATI!G109</f>
        <v/>
      </c>
      <c r="C111" s="9" t="inlineStr">
        <is>
          <t>4,1</t>
        </is>
      </c>
    </row>
    <row r="112">
      <c r="A112" s="8" t="inlineStr">
        <is>
          <t>Q10R6C4</t>
        </is>
      </c>
      <c r="B112" s="8">
        <f>ATI!H109</f>
        <v/>
      </c>
      <c r="C112" s="9" t="inlineStr">
        <is>
          <t>4,1</t>
        </is>
      </c>
    </row>
    <row r="113">
      <c r="A113" s="8" t="inlineStr">
        <is>
          <t>Q10R6C5</t>
        </is>
      </c>
      <c r="B113" s="8">
        <f>ATI!I109</f>
        <v/>
      </c>
      <c r="C113" s="9" t="inlineStr">
        <is>
          <t>4,1</t>
        </is>
      </c>
    </row>
    <row r="114">
      <c r="A114" s="8" t="inlineStr">
        <is>
          <t>Q10R6C6</t>
        </is>
      </c>
      <c r="B114" s="8">
        <f>ATI!J109</f>
        <v/>
      </c>
      <c r="C114" s="9" t="inlineStr">
        <is>
          <t>4,1</t>
        </is>
      </c>
    </row>
    <row r="115">
      <c r="A115" s="8" t="inlineStr">
        <is>
          <t>Q10R6C7</t>
        </is>
      </c>
      <c r="B115" s="8">
        <f>ATI!K109</f>
        <v/>
      </c>
      <c r="C115" s="9" t="inlineStr">
        <is>
          <t>4,1</t>
        </is>
      </c>
    </row>
    <row r="116">
      <c r="A116" s="8" t="inlineStr">
        <is>
          <t>Q10R7C1</t>
        </is>
      </c>
      <c r="B116" s="8">
        <f>ATI!E110</f>
        <v/>
      </c>
      <c r="C116" s="9" t="inlineStr">
        <is>
          <t>4,1</t>
        </is>
      </c>
    </row>
    <row r="117">
      <c r="A117" s="8" t="inlineStr">
        <is>
          <t>Q10R7C2</t>
        </is>
      </c>
      <c r="B117" s="8">
        <f>ATI!F110</f>
        <v/>
      </c>
      <c r="C117" s="9" t="inlineStr">
        <is>
          <t>4,1</t>
        </is>
      </c>
    </row>
    <row r="118">
      <c r="A118" s="8" t="inlineStr">
        <is>
          <t>Q10R7C3</t>
        </is>
      </c>
      <c r="B118" s="8">
        <f>ATI!G110</f>
        <v/>
      </c>
      <c r="C118" s="9" t="inlineStr">
        <is>
          <t>4,1</t>
        </is>
      </c>
    </row>
    <row r="119">
      <c r="A119" s="8" t="inlineStr">
        <is>
          <t>Q10R7C4</t>
        </is>
      </c>
      <c r="B119" s="8">
        <f>ATI!H110</f>
        <v/>
      </c>
      <c r="C119" s="9" t="inlineStr">
        <is>
          <t>4,1</t>
        </is>
      </c>
    </row>
    <row r="120">
      <c r="A120" s="8" t="inlineStr">
        <is>
          <t>Q10R7C5</t>
        </is>
      </c>
      <c r="B120" s="8">
        <f>ATI!I110</f>
        <v/>
      </c>
      <c r="C120" s="9" t="inlineStr">
        <is>
          <t>4,1</t>
        </is>
      </c>
    </row>
    <row r="121">
      <c r="A121" s="8" t="inlineStr">
        <is>
          <t>Q10R7C6</t>
        </is>
      </c>
      <c r="B121" s="8">
        <f>ATI!J110</f>
        <v/>
      </c>
      <c r="C121" s="9" t="inlineStr">
        <is>
          <t>4,1</t>
        </is>
      </c>
    </row>
    <row r="122">
      <c r="A122" s="8" t="inlineStr">
        <is>
          <t>Q10R7C7</t>
        </is>
      </c>
      <c r="B122" s="8">
        <f>ATI!K110</f>
        <v/>
      </c>
      <c r="C122" s="9" t="inlineStr">
        <is>
          <t>4,1</t>
        </is>
      </c>
    </row>
    <row r="123">
      <c r="A123" s="8" t="inlineStr">
        <is>
          <t>Q10R8C1</t>
        </is>
      </c>
      <c r="B123" s="8">
        <f>ATI!E111</f>
        <v/>
      </c>
      <c r="C123" s="9" t="inlineStr">
        <is>
          <t>4,1</t>
        </is>
      </c>
    </row>
    <row r="124">
      <c r="A124" s="8" t="inlineStr">
        <is>
          <t>Q10R8C2</t>
        </is>
      </c>
      <c r="B124" s="8">
        <f>ATI!F111</f>
        <v/>
      </c>
      <c r="C124" s="9" t="inlineStr">
        <is>
          <t>4,1</t>
        </is>
      </c>
    </row>
    <row r="125">
      <c r="A125" s="8" t="inlineStr">
        <is>
          <t>Q10R8C3</t>
        </is>
      </c>
      <c r="B125" s="8">
        <f>ATI!G111</f>
        <v/>
      </c>
      <c r="C125" s="9" t="inlineStr">
        <is>
          <t>4,1</t>
        </is>
      </c>
    </row>
    <row r="126">
      <c r="A126" s="8" t="inlineStr">
        <is>
          <t>Q10R8C4</t>
        </is>
      </c>
      <c r="B126" s="8">
        <f>ATI!H111</f>
        <v/>
      </c>
      <c r="C126" s="9" t="inlineStr">
        <is>
          <t>4,1</t>
        </is>
      </c>
    </row>
    <row r="127">
      <c r="A127" s="8" t="inlineStr">
        <is>
          <t>Q10R8C5</t>
        </is>
      </c>
      <c r="B127" s="8">
        <f>ATI!I111</f>
        <v/>
      </c>
      <c r="C127" s="9" t="inlineStr">
        <is>
          <t>4,1</t>
        </is>
      </c>
    </row>
    <row r="128">
      <c r="A128" s="8" t="inlineStr">
        <is>
          <t>Q10R8C6</t>
        </is>
      </c>
      <c r="B128" s="8">
        <f>ATI!J111</f>
        <v/>
      </c>
      <c r="C128" s="9" t="inlineStr">
        <is>
          <t>4,1</t>
        </is>
      </c>
    </row>
    <row r="129">
      <c r="A129" s="8" t="inlineStr">
        <is>
          <t>Q10R8C7</t>
        </is>
      </c>
      <c r="B129" s="8">
        <f>ATI!K111</f>
        <v/>
      </c>
      <c r="C129" s="9" t="inlineStr">
        <is>
          <t>4,1</t>
        </is>
      </c>
    </row>
    <row r="130">
      <c r="A130" s="8" t="inlineStr">
        <is>
          <t>Q10R9C1</t>
        </is>
      </c>
      <c r="B130" s="8">
        <f>ATI!E112</f>
        <v/>
      </c>
      <c r="C130" s="9" t="inlineStr">
        <is>
          <t>4,1</t>
        </is>
      </c>
    </row>
    <row r="131">
      <c r="A131" s="8" t="inlineStr">
        <is>
          <t>Q10R9C2</t>
        </is>
      </c>
      <c r="B131" s="8">
        <f>ATI!F112</f>
        <v/>
      </c>
      <c r="C131" s="9" t="inlineStr">
        <is>
          <t>4,1</t>
        </is>
      </c>
    </row>
    <row r="132">
      <c r="A132" s="8" t="inlineStr">
        <is>
          <t>Q10R9C3</t>
        </is>
      </c>
      <c r="B132" s="8">
        <f>ATI!G112</f>
        <v/>
      </c>
      <c r="C132" s="9" t="inlineStr">
        <is>
          <t>4,1</t>
        </is>
      </c>
    </row>
    <row r="133">
      <c r="A133" s="8" t="inlineStr">
        <is>
          <t>Q10R9C4</t>
        </is>
      </c>
      <c r="B133" s="8">
        <f>ATI!H112</f>
        <v/>
      </c>
      <c r="C133" s="9" t="inlineStr">
        <is>
          <t>4,1</t>
        </is>
      </c>
    </row>
    <row r="134">
      <c r="A134" s="8" t="inlineStr">
        <is>
          <t>Q10R9C5</t>
        </is>
      </c>
      <c r="B134" s="8">
        <f>ATI!I112</f>
        <v/>
      </c>
      <c r="C134" s="9" t="inlineStr">
        <is>
          <t>4,1</t>
        </is>
      </c>
    </row>
    <row r="135">
      <c r="A135" s="8" t="inlineStr">
        <is>
          <t>Q10R9C6</t>
        </is>
      </c>
      <c r="B135" s="8">
        <f>ATI!J112</f>
        <v/>
      </c>
      <c r="C135" s="9" t="inlineStr">
        <is>
          <t>4,1</t>
        </is>
      </c>
    </row>
    <row r="136">
      <c r="A136" s="8" t="inlineStr">
        <is>
          <t>Q10R9C7</t>
        </is>
      </c>
      <c r="B136" s="8">
        <f>ATI!K112</f>
        <v/>
      </c>
      <c r="C136" s="9" t="inlineStr">
        <is>
          <t>4,1</t>
        </is>
      </c>
    </row>
    <row r="137">
      <c r="A137" s="163" t="inlineStr">
        <is>
          <t>Q11R1C1</t>
        </is>
      </c>
      <c r="B137" s="163">
        <f>ATI!C118</f>
        <v/>
      </c>
      <c r="C137" s="164" t="inlineStr">
        <is>
          <t>4,2</t>
        </is>
      </c>
    </row>
    <row r="138">
      <c r="A138" s="163" t="inlineStr">
        <is>
          <t>Q11R2C1</t>
        </is>
      </c>
      <c r="B138" s="163">
        <f>ATI!C119</f>
        <v/>
      </c>
      <c r="C138" s="164" t="inlineStr">
        <is>
          <t>4,2</t>
        </is>
      </c>
    </row>
    <row r="139">
      <c r="A139" s="163" t="inlineStr">
        <is>
          <t>Q11R3C1</t>
        </is>
      </c>
      <c r="B139" s="163">
        <f>ATI!C120</f>
        <v/>
      </c>
      <c r="C139" s="164" t="inlineStr">
        <is>
          <t>4,2</t>
        </is>
      </c>
    </row>
    <row r="140">
      <c r="A140" s="163" t="inlineStr">
        <is>
          <t>Q11R4C1</t>
        </is>
      </c>
      <c r="B140" s="163">
        <f>ATI!C121</f>
        <v/>
      </c>
      <c r="C140" s="164" t="inlineStr">
        <is>
          <t>4,2</t>
        </is>
      </c>
    </row>
    <row r="141">
      <c r="A141" s="163" t="inlineStr">
        <is>
          <t>Q11R5C1</t>
        </is>
      </c>
      <c r="B141" s="163">
        <f>ATI!C122</f>
        <v/>
      </c>
      <c r="C141" s="164" t="inlineStr">
        <is>
          <t>4,2</t>
        </is>
      </c>
    </row>
    <row r="142">
      <c r="A142" s="163" t="inlineStr">
        <is>
          <t>Q11R6C1</t>
        </is>
      </c>
      <c r="B142" s="163">
        <f>ATI!C123</f>
        <v/>
      </c>
      <c r="C142" s="164" t="inlineStr">
        <is>
          <t>4,2</t>
        </is>
      </c>
    </row>
    <row r="143">
      <c r="A143" s="163" t="inlineStr">
        <is>
          <t>Q11R7C1</t>
        </is>
      </c>
      <c r="B143" s="163">
        <f>ATI!C124</f>
        <v/>
      </c>
      <c r="C143" s="164" t="inlineStr">
        <is>
          <t>4,2</t>
        </is>
      </c>
    </row>
    <row r="144">
      <c r="A144" s="163" t="inlineStr">
        <is>
          <t>Q11R8C1</t>
        </is>
      </c>
      <c r="B144" s="163">
        <f>ATI!C125</f>
        <v/>
      </c>
      <c r="C144" s="164" t="inlineStr">
        <is>
          <t>4,2</t>
        </is>
      </c>
    </row>
    <row r="145">
      <c r="A145" s="163" t="inlineStr">
        <is>
          <t>Q11R9C1</t>
        </is>
      </c>
      <c r="B145" s="163">
        <f>ATI!C126</f>
        <v/>
      </c>
      <c r="C145" s="164" t="inlineStr">
        <is>
          <t>4,2</t>
        </is>
      </c>
    </row>
    <row r="146">
      <c r="A146" s="163" t="inlineStr">
        <is>
          <t>Q11R10C1</t>
        </is>
      </c>
      <c r="B146" s="163">
        <f>ATI!C127</f>
        <v/>
      </c>
      <c r="C146" s="164" t="inlineStr">
        <is>
          <t>4,2</t>
        </is>
      </c>
    </row>
    <row r="147">
      <c r="A147" s="163" t="inlineStr">
        <is>
          <t>Q11R11C1</t>
        </is>
      </c>
      <c r="B147" s="163">
        <f>ATI!C128</f>
        <v/>
      </c>
      <c r="C147" s="164" t="inlineStr">
        <is>
          <t>4,2</t>
        </is>
      </c>
    </row>
    <row r="148">
      <c r="A148" s="163" t="inlineStr">
        <is>
          <t>Q11R12C1</t>
        </is>
      </c>
      <c r="B148" s="163">
        <f>ATI!C129</f>
        <v/>
      </c>
      <c r="C148" s="164" t="inlineStr">
        <is>
          <t>4,2</t>
        </is>
      </c>
    </row>
    <row r="149">
      <c r="A149" s="163" t="inlineStr">
        <is>
          <t>Q11R13C1</t>
        </is>
      </c>
      <c r="B149" s="163">
        <f>ATI!C130</f>
        <v/>
      </c>
      <c r="C149" s="164" t="inlineStr">
        <is>
          <t>4,2</t>
        </is>
      </c>
    </row>
    <row r="150">
      <c r="A150" s="163" t="inlineStr">
        <is>
          <t>Q11R14C1</t>
        </is>
      </c>
      <c r="B150" s="163">
        <f>ATI!C131</f>
        <v/>
      </c>
      <c r="C150" s="164" t="inlineStr">
        <is>
          <t>4,2</t>
        </is>
      </c>
    </row>
    <row r="151">
      <c r="A151" s="163" t="inlineStr">
        <is>
          <t>Q11R15C1</t>
        </is>
      </c>
      <c r="B151" s="163">
        <f>ATI!C132</f>
        <v/>
      </c>
      <c r="C151" s="164" t="inlineStr">
        <is>
          <t>4,2</t>
        </is>
      </c>
    </row>
    <row r="152">
      <c r="A152" s="163" t="inlineStr">
        <is>
          <t>Q11R16C1</t>
        </is>
      </c>
      <c r="B152" s="163">
        <f>ATI!C133</f>
        <v/>
      </c>
      <c r="C152" s="164" t="inlineStr">
        <is>
          <t>4,2</t>
        </is>
      </c>
    </row>
    <row r="153">
      <c r="A153" s="163" t="inlineStr">
        <is>
          <t>Q11R17C1</t>
        </is>
      </c>
      <c r="B153" s="163">
        <f>ATI!C134</f>
        <v/>
      </c>
      <c r="C153" s="164" t="inlineStr">
        <is>
          <t>4,2</t>
        </is>
      </c>
    </row>
    <row r="154">
      <c r="A154" s="163" t="inlineStr">
        <is>
          <t>Q11R18C1</t>
        </is>
      </c>
      <c r="B154" s="163">
        <f>ATI!C135</f>
        <v/>
      </c>
      <c r="C154" s="164" t="inlineStr">
        <is>
          <t>4,2</t>
        </is>
      </c>
    </row>
    <row r="155">
      <c r="A155" s="163" t="inlineStr">
        <is>
          <t>Q11R19C1</t>
        </is>
      </c>
      <c r="B155" s="163">
        <f>ATI!F118</f>
        <v/>
      </c>
      <c r="C155" s="164" t="inlineStr">
        <is>
          <t>4,2</t>
        </is>
      </c>
    </row>
    <row r="156">
      <c r="A156" s="163" t="inlineStr">
        <is>
          <t>Q11R20C1</t>
        </is>
      </c>
      <c r="B156" s="163">
        <f>ATI!F119</f>
        <v/>
      </c>
      <c r="C156" s="164" t="inlineStr">
        <is>
          <t>4,2</t>
        </is>
      </c>
    </row>
    <row r="157">
      <c r="A157" s="163" t="inlineStr">
        <is>
          <t>Q11R21C1</t>
        </is>
      </c>
      <c r="B157" s="163">
        <f>ATI!F120</f>
        <v/>
      </c>
      <c r="C157" s="164" t="inlineStr">
        <is>
          <t>4,2</t>
        </is>
      </c>
    </row>
    <row r="158">
      <c r="A158" s="163" t="inlineStr">
        <is>
          <t>Q11R22C1</t>
        </is>
      </c>
      <c r="B158" s="163">
        <f>ATI!F121</f>
        <v/>
      </c>
      <c r="C158" s="164" t="inlineStr">
        <is>
          <t>4,2</t>
        </is>
      </c>
    </row>
    <row r="159">
      <c r="A159" s="163" t="inlineStr">
        <is>
          <t>Q11R23C1</t>
        </is>
      </c>
      <c r="B159" s="163">
        <f>ATI!F122</f>
        <v/>
      </c>
      <c r="C159" s="164" t="inlineStr">
        <is>
          <t>4,2</t>
        </is>
      </c>
    </row>
    <row r="160">
      <c r="A160" s="163" t="inlineStr">
        <is>
          <t>Q11R24C1</t>
        </is>
      </c>
      <c r="B160" s="163">
        <f>ATI!F123</f>
        <v/>
      </c>
      <c r="C160" s="164" t="inlineStr">
        <is>
          <t>4,2</t>
        </is>
      </c>
    </row>
    <row r="161">
      <c r="A161" s="163" t="inlineStr">
        <is>
          <t>Q11R25C1</t>
        </is>
      </c>
      <c r="B161" s="163">
        <f>ATI!F124</f>
        <v/>
      </c>
      <c r="C161" s="164" t="inlineStr">
        <is>
          <t>4,2</t>
        </is>
      </c>
    </row>
    <row r="162">
      <c r="A162" s="163" t="inlineStr">
        <is>
          <t>Q11R26C1</t>
        </is>
      </c>
      <c r="B162" s="163">
        <f>ATI!F125</f>
        <v/>
      </c>
      <c r="C162" s="164" t="inlineStr">
        <is>
          <t>4,2</t>
        </is>
      </c>
    </row>
    <row r="163">
      <c r="A163" s="163" t="inlineStr">
        <is>
          <t>Q11R27C1</t>
        </is>
      </c>
      <c r="B163" s="163">
        <f>ATI!F126</f>
        <v/>
      </c>
      <c r="C163" s="164" t="inlineStr">
        <is>
          <t>4,2</t>
        </is>
      </c>
    </row>
    <row r="164">
      <c r="A164" s="163" t="inlineStr">
        <is>
          <t>Q11R28C1</t>
        </is>
      </c>
      <c r="B164" s="163">
        <f>ATI!F127</f>
        <v/>
      </c>
      <c r="C164" s="164" t="inlineStr">
        <is>
          <t>4,2</t>
        </is>
      </c>
    </row>
    <row r="165">
      <c r="A165" s="163" t="inlineStr">
        <is>
          <t>Q11R29C1</t>
        </is>
      </c>
      <c r="B165" s="163">
        <f>ATI!F128</f>
        <v/>
      </c>
      <c r="C165" s="164" t="inlineStr">
        <is>
          <t>4,2</t>
        </is>
      </c>
    </row>
    <row r="166">
      <c r="A166" s="163" t="inlineStr">
        <is>
          <t>Q11R30C1</t>
        </is>
      </c>
      <c r="B166" s="163">
        <f>ATI!F129</f>
        <v/>
      </c>
      <c r="C166" s="164" t="inlineStr">
        <is>
          <t>4,2</t>
        </is>
      </c>
    </row>
    <row r="167">
      <c r="A167" s="163" t="inlineStr">
        <is>
          <t>Q11R31C1</t>
        </is>
      </c>
      <c r="B167" s="163">
        <f>ATI!F130</f>
        <v/>
      </c>
      <c r="C167" s="164" t="inlineStr">
        <is>
          <t>4,2</t>
        </is>
      </c>
    </row>
    <row r="168">
      <c r="A168" s="163" t="inlineStr">
        <is>
          <t>Q11R32C1</t>
        </is>
      </c>
      <c r="B168" s="163">
        <f>ATI!F131</f>
        <v/>
      </c>
      <c r="C168" s="164" t="inlineStr">
        <is>
          <t>4,2</t>
        </is>
      </c>
    </row>
    <row r="169">
      <c r="A169" s="163" t="inlineStr">
        <is>
          <t>Q11R33C1</t>
        </is>
      </c>
      <c r="B169" s="163">
        <f>ATI!F132</f>
        <v/>
      </c>
      <c r="C169" s="164" t="inlineStr">
        <is>
          <t>4,2</t>
        </is>
      </c>
    </row>
    <row r="170">
      <c r="A170" s="163" t="inlineStr">
        <is>
          <t>Q11R34C1</t>
        </is>
      </c>
      <c r="B170" s="163">
        <f>ATI!F133</f>
        <v/>
      </c>
      <c r="C170" s="164" t="inlineStr">
        <is>
          <t>4,2</t>
        </is>
      </c>
    </row>
    <row r="171">
      <c r="A171" s="163" t="inlineStr">
        <is>
          <t>Q11R35C1</t>
        </is>
      </c>
      <c r="B171" s="163">
        <f>ATI!I118</f>
        <v/>
      </c>
      <c r="C171" s="164" t="inlineStr">
        <is>
          <t>4,2</t>
        </is>
      </c>
    </row>
    <row r="172">
      <c r="A172" s="163" t="inlineStr">
        <is>
          <t>Q11R36C1</t>
        </is>
      </c>
      <c r="B172" s="163">
        <f>ATI!I119</f>
        <v/>
      </c>
      <c r="C172" s="164" t="inlineStr">
        <is>
          <t>4,2</t>
        </is>
      </c>
    </row>
    <row r="173">
      <c r="A173" s="163" t="inlineStr">
        <is>
          <t>Q11R37C1</t>
        </is>
      </c>
      <c r="B173" s="163">
        <f>ATI!I120</f>
        <v/>
      </c>
      <c r="C173" s="164" t="inlineStr">
        <is>
          <t>4,2</t>
        </is>
      </c>
    </row>
    <row r="174">
      <c r="A174" s="163" t="inlineStr">
        <is>
          <t>Q11R38C1</t>
        </is>
      </c>
      <c r="B174" s="163">
        <f>ATI!I121</f>
        <v/>
      </c>
      <c r="C174" s="164" t="inlineStr">
        <is>
          <t>4,2</t>
        </is>
      </c>
    </row>
    <row r="175">
      <c r="A175" s="163" t="inlineStr">
        <is>
          <t>Q11R39C1</t>
        </is>
      </c>
      <c r="B175" s="163">
        <f>ATI!I122</f>
        <v/>
      </c>
      <c r="C175" s="164" t="inlineStr">
        <is>
          <t>4,2</t>
        </is>
      </c>
    </row>
    <row r="176">
      <c r="A176" s="163" t="inlineStr">
        <is>
          <t>Q11R40C1</t>
        </is>
      </c>
      <c r="B176" s="163">
        <f>ATI!I123</f>
        <v/>
      </c>
      <c r="C176" s="164" t="inlineStr">
        <is>
          <t>4,2</t>
        </is>
      </c>
    </row>
    <row r="177">
      <c r="A177" s="163" t="inlineStr">
        <is>
          <t>Q11R41C1</t>
        </is>
      </c>
      <c r="B177" s="163">
        <f>ATI!I124</f>
        <v/>
      </c>
      <c r="C177" s="164" t="inlineStr">
        <is>
          <t>4,2</t>
        </is>
      </c>
    </row>
    <row r="178">
      <c r="A178" s="163" t="inlineStr">
        <is>
          <t>Q11R42C1</t>
        </is>
      </c>
      <c r="B178" s="163">
        <f>ATI!I125</f>
        <v/>
      </c>
      <c r="C178" s="164" t="inlineStr">
        <is>
          <t>4,2</t>
        </is>
      </c>
    </row>
    <row r="179">
      <c r="A179" s="163" t="inlineStr">
        <is>
          <t>Q11R43C1</t>
        </is>
      </c>
      <c r="B179" s="163">
        <f>ATI!I126</f>
        <v/>
      </c>
      <c r="C179" s="164" t="inlineStr">
        <is>
          <t>4,2</t>
        </is>
      </c>
    </row>
    <row r="180">
      <c r="A180" s="163" t="inlineStr">
        <is>
          <t>Q11R44C1</t>
        </is>
      </c>
      <c r="B180" s="163">
        <f>ATI!I127</f>
        <v/>
      </c>
      <c r="C180" s="164" t="inlineStr">
        <is>
          <t>4,2</t>
        </is>
      </c>
    </row>
    <row r="181">
      <c r="A181" s="163" t="inlineStr">
        <is>
          <t>Q11R45C1</t>
        </is>
      </c>
      <c r="B181" s="163">
        <f>ATI!I128</f>
        <v/>
      </c>
      <c r="C181" s="164" t="inlineStr">
        <is>
          <t>4,2</t>
        </is>
      </c>
    </row>
    <row r="182">
      <c r="A182" s="163" t="inlineStr">
        <is>
          <t>Q11R46C1</t>
        </is>
      </c>
      <c r="B182" s="163">
        <f>ATI!I129</f>
        <v/>
      </c>
      <c r="C182" s="164" t="inlineStr">
        <is>
          <t>4,2</t>
        </is>
      </c>
    </row>
    <row r="183">
      <c r="A183" s="163" t="inlineStr">
        <is>
          <t>Q11R47C1</t>
        </is>
      </c>
      <c r="B183" s="163">
        <f>ATI!I130</f>
        <v/>
      </c>
      <c r="C183" s="164" t="inlineStr">
        <is>
          <t>4,2</t>
        </is>
      </c>
    </row>
    <row r="184">
      <c r="A184" s="163" t="inlineStr">
        <is>
          <t>Q11R48C1</t>
        </is>
      </c>
      <c r="B184" s="163">
        <f>ATI!I131</f>
        <v/>
      </c>
      <c r="C184" s="164" t="inlineStr">
        <is>
          <t>4,2</t>
        </is>
      </c>
    </row>
    <row r="185">
      <c r="A185" s="163" t="inlineStr">
        <is>
          <t>Q11R49C1</t>
        </is>
      </c>
      <c r="B185" s="163">
        <f>ATI!L118</f>
        <v/>
      </c>
      <c r="C185" s="164" t="inlineStr">
        <is>
          <t>4,2</t>
        </is>
      </c>
    </row>
    <row r="186">
      <c r="A186" s="163" t="inlineStr">
        <is>
          <t>Q11R50C1</t>
        </is>
      </c>
      <c r="B186" s="163">
        <f>ATI!L119</f>
        <v/>
      </c>
      <c r="C186" s="164" t="inlineStr">
        <is>
          <t>4,2</t>
        </is>
      </c>
    </row>
    <row r="187">
      <c r="A187" s="163" t="inlineStr">
        <is>
          <t>Q11R51C1</t>
        </is>
      </c>
      <c r="B187" s="163">
        <f>ATI!L120</f>
        <v/>
      </c>
      <c r="C187" s="164" t="inlineStr">
        <is>
          <t>4,2</t>
        </is>
      </c>
    </row>
    <row r="188">
      <c r="A188" s="163" t="inlineStr">
        <is>
          <t>Q11R52C1</t>
        </is>
      </c>
      <c r="B188" s="163">
        <f>ATI!L121</f>
        <v/>
      </c>
      <c r="C188" s="164" t="inlineStr">
        <is>
          <t>4,2</t>
        </is>
      </c>
    </row>
    <row r="189">
      <c r="A189" s="163" t="inlineStr">
        <is>
          <t>Q11R53C1</t>
        </is>
      </c>
      <c r="B189" s="163">
        <f>ATI!L122</f>
        <v/>
      </c>
      <c r="C189" s="164" t="inlineStr">
        <is>
          <t>4,2</t>
        </is>
      </c>
    </row>
    <row r="190">
      <c r="A190" s="163" t="inlineStr">
        <is>
          <t>Q11R54C1</t>
        </is>
      </c>
      <c r="B190" s="163">
        <f>ATI!L123</f>
        <v/>
      </c>
      <c r="C190" s="164" t="inlineStr">
        <is>
          <t>4,2</t>
        </is>
      </c>
    </row>
    <row r="191">
      <c r="A191" s="163" t="inlineStr">
        <is>
          <t>Q11R55C1</t>
        </is>
      </c>
      <c r="B191" s="163">
        <f>ATI!L124</f>
        <v/>
      </c>
      <c r="C191" s="164" t="inlineStr">
        <is>
          <t>4,2</t>
        </is>
      </c>
    </row>
    <row r="192">
      <c r="A192" s="163" t="inlineStr">
        <is>
          <t>Q11R56C1</t>
        </is>
      </c>
      <c r="B192" s="163">
        <f>ATI!L125</f>
        <v/>
      </c>
      <c r="C192" s="164" t="inlineStr">
        <is>
          <t>4,2</t>
        </is>
      </c>
    </row>
    <row r="193">
      <c r="A193" s="163" t="inlineStr">
        <is>
          <t>Q11R57C1</t>
        </is>
      </c>
      <c r="B193" s="163">
        <f>ATI!L126</f>
        <v/>
      </c>
      <c r="C193" s="164" t="inlineStr">
        <is>
          <t>4,2</t>
        </is>
      </c>
    </row>
    <row r="194">
      <c r="A194" s="163" t="inlineStr">
        <is>
          <t>Q11R58C1</t>
        </is>
      </c>
      <c r="B194" s="163">
        <f>ATI!L127</f>
        <v/>
      </c>
      <c r="C194" s="164" t="inlineStr">
        <is>
          <t>4,2</t>
        </is>
      </c>
    </row>
    <row r="195">
      <c r="A195" s="163" t="inlineStr">
        <is>
          <t>Q11R59C1</t>
        </is>
      </c>
      <c r="B195" s="163">
        <f>ATI!L128</f>
        <v/>
      </c>
      <c r="C195" s="164" t="inlineStr">
        <is>
          <t>4,2</t>
        </is>
      </c>
    </row>
    <row r="196">
      <c r="A196" s="163" t="inlineStr">
        <is>
          <t>Q11R60C1</t>
        </is>
      </c>
      <c r="B196" s="163">
        <f>ATI!L129</f>
        <v/>
      </c>
      <c r="C196" s="164" t="inlineStr">
        <is>
          <t>4,2</t>
        </is>
      </c>
    </row>
    <row r="197">
      <c r="A197" s="163" t="inlineStr">
        <is>
          <t>Q11R61C1</t>
        </is>
      </c>
      <c r="B197" s="163">
        <f>ATI!L130</f>
        <v/>
      </c>
      <c r="C197" s="164" t="inlineStr">
        <is>
          <t>4,2</t>
        </is>
      </c>
    </row>
    <row r="198">
      <c r="A198" s="163" t="inlineStr">
        <is>
          <t>Q12R1C1</t>
        </is>
      </c>
      <c r="B198" s="163">
        <f>ATI!C140</f>
        <v/>
      </c>
      <c r="C198" s="164" t="inlineStr">
        <is>
          <t>4,3</t>
        </is>
      </c>
    </row>
    <row r="199">
      <c r="A199" s="163" t="inlineStr">
        <is>
          <t>Q12R2C1</t>
        </is>
      </c>
      <c r="B199" s="163">
        <f>ATI!C141</f>
        <v/>
      </c>
      <c r="C199" s="164" t="inlineStr">
        <is>
          <t>4,3</t>
        </is>
      </c>
    </row>
    <row r="200">
      <c r="A200" s="163" t="inlineStr">
        <is>
          <t>Q12R3C1</t>
        </is>
      </c>
      <c r="B200" s="163">
        <f>ATI!C142</f>
        <v/>
      </c>
      <c r="C200" s="164" t="inlineStr">
        <is>
          <t>4,3</t>
        </is>
      </c>
    </row>
    <row r="201">
      <c r="A201" s="163" t="inlineStr">
        <is>
          <t>Q12R4C1</t>
        </is>
      </c>
      <c r="B201" s="163">
        <f>ATI!C143</f>
        <v/>
      </c>
      <c r="C201" s="164" t="inlineStr">
        <is>
          <t>4,3</t>
        </is>
      </c>
    </row>
    <row r="202">
      <c r="A202" s="163" t="inlineStr">
        <is>
          <t>Q12R5C1</t>
        </is>
      </c>
      <c r="B202" s="163">
        <f>ATI!C144</f>
        <v/>
      </c>
      <c r="C202" s="164" t="inlineStr">
        <is>
          <t>4,3</t>
        </is>
      </c>
    </row>
    <row r="203">
      <c r="A203" s="163" t="inlineStr">
        <is>
          <t>Q12R6C1</t>
        </is>
      </c>
      <c r="B203" s="163">
        <f>ATI!C145</f>
        <v/>
      </c>
      <c r="C203" s="164" t="inlineStr">
        <is>
          <t>4,3</t>
        </is>
      </c>
    </row>
    <row r="204">
      <c r="A204" s="163" t="inlineStr">
        <is>
          <t>Q12R7C1</t>
        </is>
      </c>
      <c r="B204" s="163">
        <f>ATI!G140</f>
        <v/>
      </c>
      <c r="C204" s="164" t="inlineStr">
        <is>
          <t>4,3</t>
        </is>
      </c>
    </row>
    <row r="205">
      <c r="A205" s="163" t="inlineStr">
        <is>
          <t>Q12R8C1</t>
        </is>
      </c>
      <c r="B205" s="163">
        <f>ATI!G141</f>
        <v/>
      </c>
      <c r="C205" s="164" t="inlineStr">
        <is>
          <t>4,3</t>
        </is>
      </c>
    </row>
    <row r="206">
      <c r="A206" s="163" t="inlineStr">
        <is>
          <t>Q12R9C1</t>
        </is>
      </c>
      <c r="B206" s="163">
        <f>ATI!G142</f>
        <v/>
      </c>
      <c r="C206" s="164" t="inlineStr">
        <is>
          <t>4,3</t>
        </is>
      </c>
    </row>
    <row r="207">
      <c r="A207" s="163" t="inlineStr">
        <is>
          <t>Q12R10C1</t>
        </is>
      </c>
      <c r="B207" s="163">
        <f>ATI!G143</f>
        <v/>
      </c>
      <c r="C207" s="164" t="inlineStr">
        <is>
          <t>4,3</t>
        </is>
      </c>
    </row>
    <row r="208">
      <c r="A208" s="163" t="inlineStr">
        <is>
          <t>Q12R11C1</t>
        </is>
      </c>
      <c r="B208" s="163">
        <f>ATI!G144</f>
        <v/>
      </c>
      <c r="C208" s="164" t="inlineStr">
        <is>
          <t>4,3</t>
        </is>
      </c>
    </row>
    <row r="209">
      <c r="A209" s="163" t="inlineStr">
        <is>
          <t>Q12R12C1</t>
        </is>
      </c>
      <c r="B209" s="163">
        <f>ATI!G145</f>
        <v/>
      </c>
      <c r="C209" s="164" t="inlineStr">
        <is>
          <t>4,3</t>
        </is>
      </c>
    </row>
    <row r="210">
      <c r="A210" s="163" t="inlineStr">
        <is>
          <t>Q12R13C1</t>
        </is>
      </c>
      <c r="B210" s="163">
        <f>ATI!G146</f>
        <v/>
      </c>
      <c r="C210" s="164" t="inlineStr">
        <is>
          <t>4,3</t>
        </is>
      </c>
    </row>
    <row r="211">
      <c r="A211" s="163" t="inlineStr">
        <is>
          <t>Q12R14C1</t>
        </is>
      </c>
      <c r="B211" s="163">
        <f>ATI!K140</f>
        <v/>
      </c>
      <c r="C211" s="164" t="inlineStr">
        <is>
          <t>4,3</t>
        </is>
      </c>
    </row>
    <row r="212">
      <c r="A212" s="163" t="inlineStr">
        <is>
          <t>Q12R15C1</t>
        </is>
      </c>
      <c r="B212" s="163">
        <f>ATI!K141</f>
        <v/>
      </c>
      <c r="C212" s="164" t="inlineStr">
        <is>
          <t>4,3</t>
        </is>
      </c>
    </row>
    <row r="213">
      <c r="A213" s="163" t="inlineStr">
        <is>
          <t>Q12R16C1</t>
        </is>
      </c>
      <c r="B213" s="163">
        <f>ATI!K142</f>
        <v/>
      </c>
      <c r="C213" s="164" t="inlineStr">
        <is>
          <t>4,3</t>
        </is>
      </c>
    </row>
    <row r="214">
      <c r="A214" s="163" t="inlineStr">
        <is>
          <t>Q12R17C1</t>
        </is>
      </c>
      <c r="B214" s="163">
        <f>ATI!K143</f>
        <v/>
      </c>
      <c r="C214" s="164" t="inlineStr">
        <is>
          <t>4,3</t>
        </is>
      </c>
    </row>
    <row r="215">
      <c r="A215" s="163" t="inlineStr">
        <is>
          <t>Q12R18C1</t>
        </is>
      </c>
      <c r="B215" s="163">
        <f>ATI!K144</f>
        <v/>
      </c>
      <c r="C215" s="164" t="inlineStr">
        <is>
          <t>4,3</t>
        </is>
      </c>
    </row>
    <row r="216">
      <c r="A216" s="163" t="inlineStr">
        <is>
          <t>Q12R19C1</t>
        </is>
      </c>
      <c r="B216" s="163">
        <f>ATI!K145</f>
        <v/>
      </c>
      <c r="C216" s="164" t="inlineStr">
        <is>
          <t>4,3</t>
        </is>
      </c>
    </row>
    <row r="217">
      <c r="A217" s="163" t="inlineStr">
        <is>
          <t>Q12R20C1</t>
        </is>
      </c>
      <c r="B217" s="163">
        <f>ATI!K146</f>
        <v/>
      </c>
      <c r="C217" s="164" t="inlineStr">
        <is>
          <t>4,3</t>
        </is>
      </c>
    </row>
    <row r="218">
      <c r="A218" s="8" t="inlineStr">
        <is>
          <t>Q13R1C1</t>
        </is>
      </c>
      <c r="B218" s="8">
        <f>ATI!A152</f>
        <v/>
      </c>
      <c r="C218" s="9" t="inlineStr">
        <is>
          <t>4,4</t>
        </is>
      </c>
    </row>
    <row r="219">
      <c r="A219" s="5" t="inlineStr">
        <is>
          <t>Q13R1C2</t>
        </is>
      </c>
      <c r="B219" s="5">
        <f>ATI!C152</f>
        <v/>
      </c>
      <c r="C219" s="7" t="inlineStr">
        <is>
          <t>4,4</t>
        </is>
      </c>
    </row>
    <row r="220">
      <c r="A220" s="5" t="inlineStr">
        <is>
          <t>Q13R1C3</t>
        </is>
      </c>
      <c r="B220" s="5">
        <f>ATI!E152</f>
        <v/>
      </c>
      <c r="C220" s="7" t="inlineStr">
        <is>
          <t>4,4</t>
        </is>
      </c>
    </row>
    <row r="221">
      <c r="A221" s="5" t="inlineStr">
        <is>
          <t>Q13R1C4</t>
        </is>
      </c>
      <c r="B221" s="5">
        <f>ATI!F152</f>
        <v/>
      </c>
      <c r="C221" s="7" t="inlineStr">
        <is>
          <t>4,4</t>
        </is>
      </c>
    </row>
    <row r="222">
      <c r="A222" s="5" t="inlineStr">
        <is>
          <t>Q13R1C5</t>
        </is>
      </c>
      <c r="B222" s="5">
        <f>ATI!G152</f>
        <v/>
      </c>
      <c r="C222" s="7" t="inlineStr">
        <is>
          <t>4,4</t>
        </is>
      </c>
    </row>
    <row r="223">
      <c r="A223" s="8" t="inlineStr">
        <is>
          <t>Q13R1C6</t>
        </is>
      </c>
      <c r="B223" s="8">
        <f>ATI!H152</f>
        <v/>
      </c>
      <c r="C223" s="9" t="inlineStr">
        <is>
          <t>4,4</t>
        </is>
      </c>
    </row>
    <row r="224">
      <c r="A224" s="5" t="inlineStr">
        <is>
          <t>Q14R1C1</t>
        </is>
      </c>
      <c r="B224" s="5">
        <f>ATI!A159</f>
        <v/>
      </c>
      <c r="C224" s="7" t="inlineStr">
        <is>
          <t>4.5.1</t>
        </is>
      </c>
    </row>
    <row r="225">
      <c r="A225" s="5" t="inlineStr">
        <is>
          <t>Q14R1C2</t>
        </is>
      </c>
      <c r="B225" s="5">
        <f>ATI!D159</f>
        <v/>
      </c>
      <c r="C225" s="7" t="inlineStr">
        <is>
          <t>4.5.1</t>
        </is>
      </c>
    </row>
    <row r="226">
      <c r="A226" s="5" t="inlineStr">
        <is>
          <t>Q14R1C3</t>
        </is>
      </c>
      <c r="B226" s="5">
        <f>ATI!G159</f>
        <v/>
      </c>
      <c r="C226" s="7" t="inlineStr">
        <is>
          <t>4.5.1</t>
        </is>
      </c>
    </row>
    <row r="227">
      <c r="A227" s="5" t="inlineStr">
        <is>
          <t>Q15R1C1</t>
        </is>
      </c>
      <c r="B227" s="5">
        <f t="array" ref="B227:B236">TRANSPOSE(ATI!C166:L166)</f>
        <v/>
      </c>
      <c r="C227" s="7" t="inlineStr">
        <is>
          <t>4.5.2</t>
        </is>
      </c>
    </row>
    <row r="228">
      <c r="A228" s="5" t="inlineStr">
        <is>
          <t>Q15R1C2</t>
        </is>
      </c>
      <c r="B228" s="5" t="n">
        <v>0</v>
      </c>
      <c r="C228" s="7" t="inlineStr">
        <is>
          <t>4.5.2</t>
        </is>
      </c>
    </row>
    <row r="229">
      <c r="A229" s="5" t="inlineStr">
        <is>
          <t>Q15R1C3</t>
        </is>
      </c>
      <c r="B229" s="5" t="n">
        <v>0</v>
      </c>
      <c r="C229" s="7" t="inlineStr">
        <is>
          <t>4.5.2</t>
        </is>
      </c>
    </row>
    <row r="230">
      <c r="A230" s="5" t="inlineStr">
        <is>
          <t>Q15R1C4</t>
        </is>
      </c>
      <c r="B230" s="5" t="n">
        <v>0</v>
      </c>
      <c r="C230" s="7" t="inlineStr">
        <is>
          <t>4.5.2</t>
        </is>
      </c>
    </row>
    <row r="231">
      <c r="A231" s="5" t="inlineStr">
        <is>
          <t>Q15R1C5</t>
        </is>
      </c>
      <c r="B231" s="5" t="n">
        <v>0</v>
      </c>
      <c r="C231" s="7" t="inlineStr">
        <is>
          <t>4.5.2</t>
        </is>
      </c>
    </row>
    <row r="232">
      <c r="A232" s="5" t="inlineStr">
        <is>
          <t>Q15R1C6</t>
        </is>
      </c>
      <c r="B232" s="5" t="n">
        <v>0</v>
      </c>
      <c r="C232" s="7" t="inlineStr">
        <is>
          <t>4.5.2</t>
        </is>
      </c>
    </row>
    <row r="233">
      <c r="A233" s="5" t="inlineStr">
        <is>
          <t>Q15R1C7</t>
        </is>
      </c>
      <c r="B233" s="5" t="n">
        <v>0</v>
      </c>
      <c r="C233" s="7" t="inlineStr">
        <is>
          <t>4.5.2</t>
        </is>
      </c>
    </row>
    <row r="234">
      <c r="A234" s="5" t="inlineStr">
        <is>
          <t>Q15R1C8</t>
        </is>
      </c>
      <c r="B234" s="5" t="n">
        <v>0</v>
      </c>
      <c r="C234" s="7" t="inlineStr">
        <is>
          <t>4.5.2</t>
        </is>
      </c>
    </row>
    <row r="235">
      <c r="A235" s="5" t="inlineStr">
        <is>
          <t>Q15R1C9</t>
        </is>
      </c>
      <c r="B235" s="5" t="n">
        <v>0</v>
      </c>
      <c r="C235" s="7" t="inlineStr">
        <is>
          <t>4.5.2</t>
        </is>
      </c>
    </row>
    <row r="236">
      <c r="A236" s="5" t="inlineStr">
        <is>
          <t>Q15R1C10</t>
        </is>
      </c>
      <c r="B236" s="5" t="n">
        <v>0</v>
      </c>
      <c r="C236" s="7" t="inlineStr">
        <is>
          <t>4.5.2</t>
        </is>
      </c>
    </row>
    <row r="237">
      <c r="A237" s="5" t="inlineStr">
        <is>
          <t>Q15R2C1</t>
        </is>
      </c>
      <c r="B237" s="5">
        <f t="array" ref="B237:B246">TRANSPOSE(ATI!C167:L167)</f>
        <v/>
      </c>
      <c r="C237" s="7" t="inlineStr">
        <is>
          <t>4.5.2</t>
        </is>
      </c>
    </row>
    <row r="238">
      <c r="A238" s="5" t="inlineStr">
        <is>
          <t>Q15R2C2</t>
        </is>
      </c>
      <c r="B238" s="5" t="n">
        <v>0</v>
      </c>
      <c r="C238" s="7" t="inlineStr">
        <is>
          <t>4.5.2</t>
        </is>
      </c>
    </row>
    <row r="239">
      <c r="A239" s="5" t="inlineStr">
        <is>
          <t>Q15R2C3</t>
        </is>
      </c>
      <c r="B239" s="5" t="n">
        <v>0</v>
      </c>
      <c r="C239" s="7" t="inlineStr">
        <is>
          <t>4.5.2</t>
        </is>
      </c>
    </row>
    <row r="240">
      <c r="A240" s="5" t="inlineStr">
        <is>
          <t>Q15R2C4</t>
        </is>
      </c>
      <c r="B240" s="5" t="n">
        <v>0</v>
      </c>
      <c r="C240" s="7" t="inlineStr">
        <is>
          <t>4.5.2</t>
        </is>
      </c>
    </row>
    <row r="241">
      <c r="A241" s="5" t="inlineStr">
        <is>
          <t>Q15R2C5</t>
        </is>
      </c>
      <c r="B241" s="5" t="n">
        <v>0</v>
      </c>
      <c r="C241" s="7" t="inlineStr">
        <is>
          <t>4.5.2</t>
        </is>
      </c>
    </row>
    <row r="242">
      <c r="A242" s="5" t="inlineStr">
        <is>
          <t>Q15R2C6</t>
        </is>
      </c>
      <c r="B242" s="5" t="n">
        <v>0</v>
      </c>
      <c r="C242" s="7" t="inlineStr">
        <is>
          <t>4.5.2</t>
        </is>
      </c>
    </row>
    <row r="243">
      <c r="A243" s="5" t="inlineStr">
        <is>
          <t>Q15R2C7</t>
        </is>
      </c>
      <c r="B243" s="5" t="n">
        <v>0</v>
      </c>
      <c r="C243" s="7" t="inlineStr">
        <is>
          <t>4.5.2</t>
        </is>
      </c>
    </row>
    <row r="244">
      <c r="A244" s="5" t="inlineStr">
        <is>
          <t>Q15R2C8</t>
        </is>
      </c>
      <c r="B244" s="5" t="n">
        <v>0</v>
      </c>
      <c r="C244" s="7" t="inlineStr">
        <is>
          <t>4.5.2</t>
        </is>
      </c>
    </row>
    <row r="245">
      <c r="A245" s="5" t="inlineStr">
        <is>
          <t>Q15R2C9</t>
        </is>
      </c>
      <c r="B245" s="5" t="n">
        <v>0</v>
      </c>
      <c r="C245" s="7" t="inlineStr">
        <is>
          <t>4.5.2</t>
        </is>
      </c>
    </row>
    <row r="246">
      <c r="A246" s="5" t="inlineStr">
        <is>
          <t>Q15R2C10</t>
        </is>
      </c>
      <c r="B246" s="5" t="n">
        <v>0</v>
      </c>
      <c r="C246" s="7" t="inlineStr">
        <is>
          <t>4.5.2</t>
        </is>
      </c>
    </row>
    <row r="247">
      <c r="A247" s="5" t="inlineStr">
        <is>
          <t>Q15R3C1</t>
        </is>
      </c>
      <c r="B247" s="5">
        <f t="array" ref="B247:B256">TRANSPOSE(ATI!C168:L168)</f>
        <v/>
      </c>
      <c r="C247" s="7" t="inlineStr">
        <is>
          <t>4.5.2</t>
        </is>
      </c>
    </row>
    <row r="248">
      <c r="A248" s="5" t="inlineStr">
        <is>
          <t>Q15R3C2</t>
        </is>
      </c>
      <c r="B248" s="5" t="n">
        <v>0</v>
      </c>
      <c r="C248" s="7" t="inlineStr">
        <is>
          <t>4.5.2</t>
        </is>
      </c>
    </row>
    <row r="249">
      <c r="A249" s="5" t="inlineStr">
        <is>
          <t>Q15R3C3</t>
        </is>
      </c>
      <c r="B249" s="5" t="n">
        <v>0</v>
      </c>
      <c r="C249" s="7" t="inlineStr">
        <is>
          <t>4.5.2</t>
        </is>
      </c>
    </row>
    <row r="250">
      <c r="A250" s="5" t="inlineStr">
        <is>
          <t>Q15R3C4</t>
        </is>
      </c>
      <c r="B250" s="5" t="n">
        <v>0</v>
      </c>
      <c r="C250" s="7" t="inlineStr">
        <is>
          <t>4.5.2</t>
        </is>
      </c>
    </row>
    <row r="251">
      <c r="A251" s="5" t="inlineStr">
        <is>
          <t>Q15R3C5</t>
        </is>
      </c>
      <c r="B251" s="5" t="n">
        <v>0</v>
      </c>
      <c r="C251" s="7" t="inlineStr">
        <is>
          <t>4.5.2</t>
        </is>
      </c>
    </row>
    <row r="252">
      <c r="A252" s="5" t="inlineStr">
        <is>
          <t>Q15R3C6</t>
        </is>
      </c>
      <c r="B252" s="5" t="n">
        <v>0</v>
      </c>
      <c r="C252" s="7" t="inlineStr">
        <is>
          <t>4.5.2</t>
        </is>
      </c>
    </row>
    <row r="253">
      <c r="A253" s="5" t="inlineStr">
        <is>
          <t>Q15R3C7</t>
        </is>
      </c>
      <c r="B253" s="5" t="n">
        <v>0</v>
      </c>
      <c r="C253" s="7" t="inlineStr">
        <is>
          <t>4.5.2</t>
        </is>
      </c>
    </row>
    <row r="254">
      <c r="A254" s="5" t="inlineStr">
        <is>
          <t>Q15R3C8</t>
        </is>
      </c>
      <c r="B254" s="5" t="n">
        <v>0</v>
      </c>
      <c r="C254" s="7" t="inlineStr">
        <is>
          <t>4.5.2</t>
        </is>
      </c>
    </row>
    <row r="255">
      <c r="A255" s="5" t="inlineStr">
        <is>
          <t>Q15R3C9</t>
        </is>
      </c>
      <c r="B255" s="5" t="n">
        <v>0</v>
      </c>
      <c r="C255" s="7" t="inlineStr">
        <is>
          <t>4.5.2</t>
        </is>
      </c>
    </row>
    <row r="256">
      <c r="A256" s="5" t="inlineStr">
        <is>
          <t>Q15R3C10</t>
        </is>
      </c>
      <c r="B256" s="5" t="n">
        <v>0</v>
      </c>
      <c r="C256" s="7" t="inlineStr">
        <is>
          <t>4.5.2</t>
        </is>
      </c>
    </row>
    <row r="257">
      <c r="A257" s="5" t="inlineStr">
        <is>
          <t>Q15R4C1</t>
        </is>
      </c>
      <c r="B257" s="5">
        <f t="array" ref="B257:B266">TRANSPOSE(ATI!C169:L169)</f>
        <v/>
      </c>
      <c r="C257" s="7" t="inlineStr">
        <is>
          <t>4.5.2</t>
        </is>
      </c>
    </row>
    <row r="258">
      <c r="A258" s="5" t="inlineStr">
        <is>
          <t>Q15R4C2</t>
        </is>
      </c>
      <c r="B258" s="5" t="n">
        <v>0</v>
      </c>
      <c r="C258" s="7" t="inlineStr">
        <is>
          <t>4.5.2</t>
        </is>
      </c>
    </row>
    <row r="259">
      <c r="A259" s="5" t="inlineStr">
        <is>
          <t>Q15R4C3</t>
        </is>
      </c>
      <c r="B259" s="5" t="n">
        <v>0</v>
      </c>
      <c r="C259" s="7" t="inlineStr">
        <is>
          <t>4.5.2</t>
        </is>
      </c>
    </row>
    <row r="260">
      <c r="A260" s="5" t="inlineStr">
        <is>
          <t>Q15R4C4</t>
        </is>
      </c>
      <c r="B260" s="5" t="n">
        <v>0</v>
      </c>
      <c r="C260" s="7" t="inlineStr">
        <is>
          <t>4.5.2</t>
        </is>
      </c>
    </row>
    <row r="261">
      <c r="A261" s="5" t="inlineStr">
        <is>
          <t>Q15R4C5</t>
        </is>
      </c>
      <c r="B261" s="5" t="n">
        <v>0</v>
      </c>
      <c r="C261" s="7" t="inlineStr">
        <is>
          <t>4.5.2</t>
        </is>
      </c>
    </row>
    <row r="262">
      <c r="A262" s="5" t="inlineStr">
        <is>
          <t>Q15R4C6</t>
        </is>
      </c>
      <c r="B262" s="5" t="n">
        <v>0</v>
      </c>
      <c r="C262" s="7" t="inlineStr">
        <is>
          <t>4.5.2</t>
        </is>
      </c>
    </row>
    <row r="263">
      <c r="A263" s="5" t="inlineStr">
        <is>
          <t>Q15R4C7</t>
        </is>
      </c>
      <c r="B263" s="5" t="n">
        <v>0</v>
      </c>
      <c r="C263" s="7" t="inlineStr">
        <is>
          <t>4.5.2</t>
        </is>
      </c>
    </row>
    <row r="264">
      <c r="A264" s="5" t="inlineStr">
        <is>
          <t>Q15R4C8</t>
        </is>
      </c>
      <c r="B264" s="5" t="n">
        <v>0</v>
      </c>
      <c r="C264" s="7" t="inlineStr">
        <is>
          <t>4.5.2</t>
        </is>
      </c>
    </row>
    <row r="265">
      <c r="A265" s="5" t="inlineStr">
        <is>
          <t>Q15R4C9</t>
        </is>
      </c>
      <c r="B265" s="5" t="n">
        <v>0</v>
      </c>
      <c r="C265" s="7" t="inlineStr">
        <is>
          <t>4.5.2</t>
        </is>
      </c>
    </row>
    <row r="266">
      <c r="A266" s="5" t="inlineStr">
        <is>
          <t>Q15R4C10</t>
        </is>
      </c>
      <c r="B266" s="5" t="n">
        <v>0</v>
      </c>
      <c r="C266" s="7" t="inlineStr">
        <is>
          <t>4.5.2</t>
        </is>
      </c>
    </row>
    <row r="267">
      <c r="A267" s="5" t="inlineStr">
        <is>
          <t>Q15R5C1</t>
        </is>
      </c>
      <c r="B267" s="5">
        <f t="array" ref="B267:B276">TRANSPOSE(ATI!C170:L170)</f>
        <v/>
      </c>
      <c r="C267" s="7" t="inlineStr">
        <is>
          <t>4.5.2</t>
        </is>
      </c>
    </row>
    <row r="268">
      <c r="A268" s="5" t="inlineStr">
        <is>
          <t>Q15R5C2</t>
        </is>
      </c>
      <c r="B268" s="5" t="n">
        <v>0</v>
      </c>
      <c r="C268" s="7" t="inlineStr">
        <is>
          <t>4.5.2</t>
        </is>
      </c>
    </row>
    <row r="269">
      <c r="A269" s="5" t="inlineStr">
        <is>
          <t>Q15R5C3</t>
        </is>
      </c>
      <c r="B269" s="5" t="n">
        <v>0</v>
      </c>
      <c r="C269" s="7" t="inlineStr">
        <is>
          <t>4.5.2</t>
        </is>
      </c>
    </row>
    <row r="270">
      <c r="A270" s="5" t="inlineStr">
        <is>
          <t>Q15R5C4</t>
        </is>
      </c>
      <c r="B270" s="5" t="n">
        <v>0</v>
      </c>
      <c r="C270" s="7" t="inlineStr">
        <is>
          <t>4.5.2</t>
        </is>
      </c>
    </row>
    <row r="271">
      <c r="A271" s="5" t="inlineStr">
        <is>
          <t>Q15R5C5</t>
        </is>
      </c>
      <c r="B271" s="5" t="n">
        <v>0</v>
      </c>
      <c r="C271" s="7" t="inlineStr">
        <is>
          <t>4.5.2</t>
        </is>
      </c>
    </row>
    <row r="272">
      <c r="A272" s="5" t="inlineStr">
        <is>
          <t>Q15R5C6</t>
        </is>
      </c>
      <c r="B272" s="5" t="n">
        <v>0</v>
      </c>
      <c r="C272" s="7" t="inlineStr">
        <is>
          <t>4.5.2</t>
        </is>
      </c>
    </row>
    <row r="273">
      <c r="A273" s="5" t="inlineStr">
        <is>
          <t>Q15R5C7</t>
        </is>
      </c>
      <c r="B273" s="5" t="n">
        <v>0</v>
      </c>
      <c r="C273" s="7" t="inlineStr">
        <is>
          <t>4.5.2</t>
        </is>
      </c>
    </row>
    <row r="274">
      <c r="A274" s="5" t="inlineStr">
        <is>
          <t>Q15R5C8</t>
        </is>
      </c>
      <c r="B274" s="5" t="n">
        <v>0</v>
      </c>
      <c r="C274" s="7" t="inlineStr">
        <is>
          <t>4.5.2</t>
        </is>
      </c>
    </row>
    <row r="275">
      <c r="A275" s="5" t="inlineStr">
        <is>
          <t>Q15R5C9</t>
        </is>
      </c>
      <c r="B275" s="5" t="n">
        <v>0</v>
      </c>
      <c r="C275" s="7" t="inlineStr">
        <is>
          <t>4.5.2</t>
        </is>
      </c>
    </row>
    <row r="276">
      <c r="A276" s="5" t="inlineStr">
        <is>
          <t>Q15R5C10</t>
        </is>
      </c>
      <c r="B276" s="5" t="n">
        <v>0</v>
      </c>
      <c r="C276" s="7" t="inlineStr">
        <is>
          <t>4.5.2</t>
        </is>
      </c>
    </row>
    <row r="277">
      <c r="A277" s="5" t="inlineStr">
        <is>
          <t>Q15R6C1</t>
        </is>
      </c>
      <c r="B277" s="5">
        <f t="array" ref="B277:B286">TRANSPOSE(ATI!C171:L171)</f>
        <v/>
      </c>
      <c r="C277" s="7" t="inlineStr">
        <is>
          <t>4.5.2</t>
        </is>
      </c>
    </row>
    <row r="278">
      <c r="A278" s="5" t="inlineStr">
        <is>
          <t>Q15R6C2</t>
        </is>
      </c>
      <c r="B278" s="5" t="n">
        <v>0</v>
      </c>
      <c r="C278" s="7" t="inlineStr">
        <is>
          <t>4.5.2</t>
        </is>
      </c>
    </row>
    <row r="279">
      <c r="A279" s="5" t="inlineStr">
        <is>
          <t>Q15R6C3</t>
        </is>
      </c>
      <c r="B279" s="5" t="n">
        <v>0</v>
      </c>
      <c r="C279" s="7" t="inlineStr">
        <is>
          <t>4.5.2</t>
        </is>
      </c>
    </row>
    <row r="280">
      <c r="A280" s="5" t="inlineStr">
        <is>
          <t>Q15R6C4</t>
        </is>
      </c>
      <c r="B280" s="5" t="n">
        <v>0</v>
      </c>
      <c r="C280" s="7" t="inlineStr">
        <is>
          <t>4.5.2</t>
        </is>
      </c>
    </row>
    <row r="281">
      <c r="A281" s="5" t="inlineStr">
        <is>
          <t>Q15R6C5</t>
        </is>
      </c>
      <c r="B281" s="5" t="n">
        <v>0</v>
      </c>
      <c r="C281" s="7" t="inlineStr">
        <is>
          <t>4.5.2</t>
        </is>
      </c>
    </row>
    <row r="282">
      <c r="A282" s="5" t="inlineStr">
        <is>
          <t>Q15R6C6</t>
        </is>
      </c>
      <c r="B282" s="5" t="n">
        <v>0</v>
      </c>
      <c r="C282" s="7" t="inlineStr">
        <is>
          <t>4.5.2</t>
        </is>
      </c>
    </row>
    <row r="283">
      <c r="A283" s="5" t="inlineStr">
        <is>
          <t>Q15R6C7</t>
        </is>
      </c>
      <c r="B283" s="5" t="n">
        <v>0</v>
      </c>
      <c r="C283" s="7" t="inlineStr">
        <is>
          <t>4.5.2</t>
        </is>
      </c>
    </row>
    <row r="284">
      <c r="A284" s="5" t="inlineStr">
        <is>
          <t>Q15R6C8</t>
        </is>
      </c>
      <c r="B284" s="5" t="n">
        <v>0</v>
      </c>
      <c r="C284" s="7" t="inlineStr">
        <is>
          <t>4.5.2</t>
        </is>
      </c>
    </row>
    <row r="285">
      <c r="A285" s="5" t="inlineStr">
        <is>
          <t>Q15R6C9</t>
        </is>
      </c>
      <c r="B285" s="5" t="n">
        <v>0</v>
      </c>
      <c r="C285" s="7" t="inlineStr">
        <is>
          <t>4.5.2</t>
        </is>
      </c>
    </row>
    <row r="286">
      <c r="A286" s="5" t="inlineStr">
        <is>
          <t>Q15R6C10</t>
        </is>
      </c>
      <c r="B286" s="5" t="n">
        <v>0</v>
      </c>
      <c r="C286" s="7" t="inlineStr">
        <is>
          <t>4.5.2</t>
        </is>
      </c>
    </row>
    <row r="287">
      <c r="A287" s="5" t="inlineStr">
        <is>
          <t>Q15R7C1</t>
        </is>
      </c>
      <c r="B287" s="5">
        <f t="array" ref="B287:B296">TRANSPOSE(ATI!C172:L172)</f>
        <v/>
      </c>
      <c r="C287" s="7" t="inlineStr">
        <is>
          <t>4.5.2</t>
        </is>
      </c>
    </row>
    <row r="288">
      <c r="A288" s="5" t="inlineStr">
        <is>
          <t>Q15R7C2</t>
        </is>
      </c>
      <c r="B288" s="5" t="n">
        <v>0</v>
      </c>
      <c r="C288" s="7" t="inlineStr">
        <is>
          <t>4.5.2</t>
        </is>
      </c>
    </row>
    <row r="289">
      <c r="A289" s="5" t="inlineStr">
        <is>
          <t>Q15R7C3</t>
        </is>
      </c>
      <c r="B289" s="5" t="n">
        <v>0</v>
      </c>
      <c r="C289" s="7" t="inlineStr">
        <is>
          <t>4.5.2</t>
        </is>
      </c>
    </row>
    <row r="290">
      <c r="A290" s="5" t="inlineStr">
        <is>
          <t>Q15R7C4</t>
        </is>
      </c>
      <c r="B290" s="5" t="n">
        <v>0</v>
      </c>
      <c r="C290" s="7" t="inlineStr">
        <is>
          <t>4.5.2</t>
        </is>
      </c>
    </row>
    <row r="291">
      <c r="A291" s="5" t="inlineStr">
        <is>
          <t>Q15R7C5</t>
        </is>
      </c>
      <c r="B291" s="5" t="n">
        <v>0</v>
      </c>
      <c r="C291" s="7" t="inlineStr">
        <is>
          <t>4.5.2</t>
        </is>
      </c>
    </row>
    <row r="292">
      <c r="A292" s="5" t="inlineStr">
        <is>
          <t>Q15R7C6</t>
        </is>
      </c>
      <c r="B292" s="5" t="n">
        <v>0</v>
      </c>
      <c r="C292" s="7" t="inlineStr">
        <is>
          <t>4.5.2</t>
        </is>
      </c>
    </row>
    <row r="293">
      <c r="A293" s="5" t="inlineStr">
        <is>
          <t>Q15R7C7</t>
        </is>
      </c>
      <c r="B293" s="5" t="n">
        <v>0</v>
      </c>
      <c r="C293" s="7" t="inlineStr">
        <is>
          <t>4.5.2</t>
        </is>
      </c>
    </row>
    <row r="294">
      <c r="A294" s="5" t="inlineStr">
        <is>
          <t>Q15R7C8</t>
        </is>
      </c>
      <c r="B294" s="5" t="n">
        <v>0</v>
      </c>
      <c r="C294" s="7" t="inlineStr">
        <is>
          <t>4.5.2</t>
        </is>
      </c>
    </row>
    <row r="295">
      <c r="A295" s="5" t="inlineStr">
        <is>
          <t>Q15R7C9</t>
        </is>
      </c>
      <c r="B295" s="5" t="n">
        <v>0</v>
      </c>
      <c r="C295" s="7" t="inlineStr">
        <is>
          <t>4.5.2</t>
        </is>
      </c>
    </row>
    <row r="296">
      <c r="A296" s="5" t="inlineStr">
        <is>
          <t>Q15R7C10</t>
        </is>
      </c>
      <c r="B296" s="5" t="n">
        <v>0</v>
      </c>
      <c r="C296" s="7" t="inlineStr">
        <is>
          <t>4.5.2</t>
        </is>
      </c>
    </row>
    <row r="297">
      <c r="A297" s="5" t="inlineStr">
        <is>
          <t>Q16R1C1</t>
        </is>
      </c>
      <c r="B297" s="5">
        <f>ATI!A178</f>
        <v/>
      </c>
      <c r="C297" s="7" t="inlineStr">
        <is>
          <t>4.5.3</t>
        </is>
      </c>
    </row>
    <row r="298">
      <c r="A298" s="5" t="inlineStr">
        <is>
          <t>Q16R1C2</t>
        </is>
      </c>
      <c r="B298" s="5">
        <f>ATI!D178</f>
        <v/>
      </c>
      <c r="C298" s="7" t="inlineStr">
        <is>
          <t>4.5.3</t>
        </is>
      </c>
    </row>
    <row r="299">
      <c r="A299" s="5" t="inlineStr">
        <is>
          <t>Q16R1C3</t>
        </is>
      </c>
      <c r="B299" s="5">
        <f>ATI!G178</f>
        <v/>
      </c>
      <c r="C299" s="7" t="inlineStr">
        <is>
          <t>4.5.3</t>
        </is>
      </c>
    </row>
    <row r="300">
      <c r="A300" s="5" t="inlineStr">
        <is>
          <t>Q17R1C1</t>
        </is>
      </c>
      <c r="B300" s="5">
        <f>ATI!C184</f>
        <v/>
      </c>
      <c r="C300" s="7" t="inlineStr">
        <is>
          <t>4.5.4</t>
        </is>
      </c>
    </row>
    <row r="301">
      <c r="A301" s="5" t="inlineStr">
        <is>
          <t>Q17R1C2</t>
        </is>
      </c>
      <c r="B301" s="5">
        <f>ATI!D184</f>
        <v/>
      </c>
      <c r="C301" s="7" t="inlineStr">
        <is>
          <t>4.5.4</t>
        </is>
      </c>
    </row>
    <row r="302">
      <c r="A302" s="5" t="inlineStr">
        <is>
          <t>Q17R1C3</t>
        </is>
      </c>
      <c r="B302" s="5">
        <f>ATI!F184</f>
        <v/>
      </c>
      <c r="C302" s="7" t="inlineStr">
        <is>
          <t>4.5.4</t>
        </is>
      </c>
    </row>
    <row r="303">
      <c r="A303" s="5" t="inlineStr">
        <is>
          <t>Q17R1C4</t>
        </is>
      </c>
      <c r="B303" s="5">
        <f>ATI!G184</f>
        <v/>
      </c>
      <c r="C303" s="7" t="inlineStr">
        <is>
          <t>4.5.4</t>
        </is>
      </c>
    </row>
    <row r="304">
      <c r="A304" s="5" t="inlineStr">
        <is>
          <t>Q17R1C5</t>
        </is>
      </c>
      <c r="B304" s="5">
        <f>ATI!I184</f>
        <v/>
      </c>
      <c r="C304" s="7" t="inlineStr">
        <is>
          <t>4.5.4</t>
        </is>
      </c>
    </row>
    <row r="305">
      <c r="A305" s="5" t="inlineStr">
        <is>
          <t>Q17R1C6</t>
        </is>
      </c>
      <c r="B305" s="5">
        <f>ATI!J184</f>
        <v/>
      </c>
      <c r="C305" s="7" t="inlineStr">
        <is>
          <t>4.5.4</t>
        </is>
      </c>
    </row>
    <row r="306">
      <c r="A306" s="5" t="inlineStr">
        <is>
          <t>Q17R2C1</t>
        </is>
      </c>
      <c r="B306" s="5">
        <f>ATI!C185</f>
        <v/>
      </c>
      <c r="C306" s="7" t="inlineStr">
        <is>
          <t>4.5.4</t>
        </is>
      </c>
    </row>
    <row r="307">
      <c r="A307" s="5" t="inlineStr">
        <is>
          <t>Q17R2C2</t>
        </is>
      </c>
      <c r="B307" s="165">
        <f>ATI!D185</f>
        <v/>
      </c>
      <c r="C307" s="7" t="inlineStr">
        <is>
          <t>4.5.4</t>
        </is>
      </c>
    </row>
    <row r="308">
      <c r="A308" s="5" t="inlineStr">
        <is>
          <t>Q17R2C3</t>
        </is>
      </c>
      <c r="B308" s="5">
        <f>ATI!F185</f>
        <v/>
      </c>
      <c r="C308" s="7" t="inlineStr">
        <is>
          <t>4.5.4</t>
        </is>
      </c>
    </row>
    <row r="309">
      <c r="A309" s="5" t="inlineStr">
        <is>
          <t>Q17R2C4</t>
        </is>
      </c>
      <c r="B309" s="5">
        <f>ATI!G185</f>
        <v/>
      </c>
      <c r="C309" s="7" t="inlineStr">
        <is>
          <t>4.5.4</t>
        </is>
      </c>
    </row>
    <row r="310">
      <c r="A310" s="5" t="inlineStr">
        <is>
          <t>Q17R2C5</t>
        </is>
      </c>
      <c r="B310" s="5">
        <f>ATI!I185</f>
        <v/>
      </c>
      <c r="C310" s="7" t="inlineStr">
        <is>
          <t>4.5.4</t>
        </is>
      </c>
    </row>
    <row r="311">
      <c r="A311" s="5" t="inlineStr">
        <is>
          <t>Q17R2C6</t>
        </is>
      </c>
      <c r="B311" s="5">
        <f>ATI!J185</f>
        <v/>
      </c>
      <c r="C311" s="7" t="inlineStr">
        <is>
          <t>4.5.4</t>
        </is>
      </c>
    </row>
    <row r="312">
      <c r="A312" s="5" t="inlineStr">
        <is>
          <t>Q17R3C1</t>
        </is>
      </c>
      <c r="B312" s="5">
        <f>ATI!C186</f>
        <v/>
      </c>
      <c r="C312" s="7" t="inlineStr">
        <is>
          <t>4.5.4</t>
        </is>
      </c>
    </row>
    <row r="313">
      <c r="A313" s="5" t="inlineStr">
        <is>
          <t>Q17R3C2</t>
        </is>
      </c>
      <c r="B313" s="5">
        <f>ATI!D186</f>
        <v/>
      </c>
      <c r="C313" s="7" t="inlineStr">
        <is>
          <t>4.5.4</t>
        </is>
      </c>
    </row>
    <row r="314">
      <c r="A314" s="5" t="inlineStr">
        <is>
          <t>Q17R3C3</t>
        </is>
      </c>
      <c r="B314" s="5">
        <f>ATI!F186</f>
        <v/>
      </c>
      <c r="C314" s="7" t="inlineStr">
        <is>
          <t>4.5.4</t>
        </is>
      </c>
    </row>
    <row r="315">
      <c r="A315" s="5" t="inlineStr">
        <is>
          <t>Q17R3C4</t>
        </is>
      </c>
      <c r="B315" s="5">
        <f>ATI!G186</f>
        <v/>
      </c>
      <c r="C315" s="7" t="inlineStr">
        <is>
          <t>4.5.4</t>
        </is>
      </c>
    </row>
    <row r="316">
      <c r="A316" s="5" t="inlineStr">
        <is>
          <t>Q17R3C5</t>
        </is>
      </c>
      <c r="B316" s="5">
        <f>ATI!I186</f>
        <v/>
      </c>
      <c r="C316" s="7" t="inlineStr">
        <is>
          <t>4.5.4</t>
        </is>
      </c>
    </row>
    <row r="317">
      <c r="A317" s="5" t="inlineStr">
        <is>
          <t>Q17R3C6</t>
        </is>
      </c>
      <c r="B317" s="5">
        <f>ATI!J186</f>
        <v/>
      </c>
      <c r="C317" s="7" t="inlineStr">
        <is>
          <t>4.5.4</t>
        </is>
      </c>
    </row>
    <row r="318">
      <c r="A318" s="5" t="inlineStr">
        <is>
          <t>Q17R4C1</t>
        </is>
      </c>
      <c r="B318" s="5">
        <f>ATI!C187</f>
        <v/>
      </c>
      <c r="C318" s="7" t="inlineStr">
        <is>
          <t>4.5.4</t>
        </is>
      </c>
    </row>
    <row r="319">
      <c r="A319" s="5" t="inlineStr">
        <is>
          <t>Q17R4C2</t>
        </is>
      </c>
      <c r="B319" s="5">
        <f>ATI!D187</f>
        <v/>
      </c>
      <c r="C319" s="7" t="inlineStr">
        <is>
          <t>4.5.4</t>
        </is>
      </c>
    </row>
    <row r="320">
      <c r="A320" s="5" t="inlineStr">
        <is>
          <t>Q17R4C3</t>
        </is>
      </c>
      <c r="B320" s="5">
        <f>ATI!F187</f>
        <v/>
      </c>
      <c r="C320" s="7" t="inlineStr">
        <is>
          <t>4.5.4</t>
        </is>
      </c>
    </row>
    <row r="321">
      <c r="A321" s="5" t="inlineStr">
        <is>
          <t>Q17R4C4</t>
        </is>
      </c>
      <c r="B321" s="5">
        <f>ATI!G187</f>
        <v/>
      </c>
      <c r="C321" s="7" t="inlineStr">
        <is>
          <t>4.5.4</t>
        </is>
      </c>
    </row>
    <row r="322">
      <c r="A322" s="5" t="inlineStr">
        <is>
          <t>Q17R4C5</t>
        </is>
      </c>
      <c r="B322" s="5">
        <f>ATI!I187</f>
        <v/>
      </c>
      <c r="C322" s="7" t="inlineStr">
        <is>
          <t>4.5.4</t>
        </is>
      </c>
    </row>
    <row r="323">
      <c r="A323" s="5" t="inlineStr">
        <is>
          <t>Q17R4C6</t>
        </is>
      </c>
      <c r="B323" s="5">
        <f>ATI!J187</f>
        <v/>
      </c>
      <c r="C323" s="7" t="inlineStr">
        <is>
          <t>4.5.4</t>
        </is>
      </c>
    </row>
    <row r="324">
      <c r="A324" s="5" t="inlineStr">
        <is>
          <t>Q17R5C1</t>
        </is>
      </c>
      <c r="B324" s="5">
        <f>ATI!C188</f>
        <v/>
      </c>
      <c r="C324" s="7" t="inlineStr">
        <is>
          <t>4.5.4</t>
        </is>
      </c>
    </row>
    <row r="325">
      <c r="A325" s="5" t="inlineStr">
        <is>
          <t>Q17R5C2</t>
        </is>
      </c>
      <c r="B325" s="5">
        <f>ATI!D188</f>
        <v/>
      </c>
      <c r="C325" s="7" t="inlineStr">
        <is>
          <t>4.5.4</t>
        </is>
      </c>
    </row>
    <row r="326">
      <c r="A326" s="5" t="inlineStr">
        <is>
          <t>Q17R5C3</t>
        </is>
      </c>
      <c r="B326" s="5">
        <f>ATI!F188</f>
        <v/>
      </c>
      <c r="C326" s="7" t="inlineStr">
        <is>
          <t>4.5.4</t>
        </is>
      </c>
    </row>
    <row r="327">
      <c r="A327" s="5" t="inlineStr">
        <is>
          <t>Q17R5C4</t>
        </is>
      </c>
      <c r="B327" s="5">
        <f>ATI!G188</f>
        <v/>
      </c>
      <c r="C327" s="7" t="inlineStr">
        <is>
          <t>4.5.4</t>
        </is>
      </c>
    </row>
    <row r="328">
      <c r="A328" s="5" t="inlineStr">
        <is>
          <t>Q17R5C5</t>
        </is>
      </c>
      <c r="B328" s="5">
        <f>ATI!I188</f>
        <v/>
      </c>
      <c r="C328" s="7" t="inlineStr">
        <is>
          <t>4.5.4</t>
        </is>
      </c>
    </row>
    <row r="329">
      <c r="A329" s="5" t="inlineStr">
        <is>
          <t>Q17R5C6</t>
        </is>
      </c>
      <c r="B329" s="5">
        <f>ATI!J188</f>
        <v/>
      </c>
      <c r="C329" s="7" t="inlineStr">
        <is>
          <t>4.5.4</t>
        </is>
      </c>
    </row>
    <row r="330">
      <c r="A330" s="5" t="inlineStr">
        <is>
          <t>Q17R6C1</t>
        </is>
      </c>
      <c r="B330" s="5">
        <f>ATI!C189</f>
        <v/>
      </c>
      <c r="C330" s="7" t="inlineStr">
        <is>
          <t>4.5.4</t>
        </is>
      </c>
    </row>
    <row r="331">
      <c r="A331" s="5" t="inlineStr">
        <is>
          <t>Q17R6C2</t>
        </is>
      </c>
      <c r="B331" s="5">
        <f>ATI!D189</f>
        <v/>
      </c>
      <c r="C331" s="7" t="inlineStr">
        <is>
          <t>4.5.4</t>
        </is>
      </c>
    </row>
    <row r="332">
      <c r="A332" s="5" t="inlineStr">
        <is>
          <t>Q17R6C3</t>
        </is>
      </c>
      <c r="B332" s="5">
        <f>ATI!F189</f>
        <v/>
      </c>
      <c r="C332" s="7" t="inlineStr">
        <is>
          <t>4.5.4</t>
        </is>
      </c>
    </row>
    <row r="333">
      <c r="A333" s="5" t="inlineStr">
        <is>
          <t>Q17R6C4</t>
        </is>
      </c>
      <c r="B333" s="5">
        <f>ATI!G189</f>
        <v/>
      </c>
      <c r="C333" s="7" t="inlineStr">
        <is>
          <t>4.5.4</t>
        </is>
      </c>
    </row>
    <row r="334">
      <c r="A334" s="5" t="inlineStr">
        <is>
          <t>Q17R6C5</t>
        </is>
      </c>
      <c r="B334" s="5">
        <f>ATI!I189</f>
        <v/>
      </c>
      <c r="C334" s="7" t="inlineStr">
        <is>
          <t>4.5.4</t>
        </is>
      </c>
    </row>
    <row r="335">
      <c r="A335" s="5" t="inlineStr">
        <is>
          <t>Q17R6C6</t>
        </is>
      </c>
      <c r="B335" s="5">
        <f>ATI!J189</f>
        <v/>
      </c>
      <c r="C335" s="7" t="inlineStr">
        <is>
          <t>4.5.4</t>
        </is>
      </c>
    </row>
    <row r="336">
      <c r="A336" s="5" t="inlineStr">
        <is>
          <t>Q17R7C1</t>
        </is>
      </c>
      <c r="B336" s="5">
        <f>ATI!C190</f>
        <v/>
      </c>
      <c r="C336" s="7" t="inlineStr">
        <is>
          <t>4.5.4</t>
        </is>
      </c>
    </row>
    <row r="337">
      <c r="A337" s="5" t="inlineStr">
        <is>
          <t>Q17R7C2</t>
        </is>
      </c>
      <c r="B337" s="5">
        <f>ATI!D190</f>
        <v/>
      </c>
      <c r="C337" s="7" t="inlineStr">
        <is>
          <t>4.5.4</t>
        </is>
      </c>
    </row>
    <row r="338">
      <c r="A338" s="5" t="inlineStr">
        <is>
          <t>Q17R7C3</t>
        </is>
      </c>
      <c r="B338" s="5">
        <f>ATI!F190</f>
        <v/>
      </c>
      <c r="C338" s="7" t="inlineStr">
        <is>
          <t>4.5.4</t>
        </is>
      </c>
    </row>
    <row r="339">
      <c r="A339" s="5" t="inlineStr">
        <is>
          <t>Q17R7C4</t>
        </is>
      </c>
      <c r="B339" s="5">
        <f>ATI!G190</f>
        <v/>
      </c>
      <c r="C339" s="7" t="inlineStr">
        <is>
          <t>4.5.4</t>
        </is>
      </c>
    </row>
    <row r="340">
      <c r="A340" s="5" t="inlineStr">
        <is>
          <t>Q17R7C5</t>
        </is>
      </c>
      <c r="B340" s="5">
        <f>ATI!I190</f>
        <v/>
      </c>
      <c r="C340" s="7" t="inlineStr">
        <is>
          <t>4.5.4</t>
        </is>
      </c>
    </row>
    <row r="341">
      <c r="A341" s="5" t="inlineStr">
        <is>
          <t>Q17R7C6</t>
        </is>
      </c>
      <c r="B341" s="5">
        <f>ATI!J190</f>
        <v/>
      </c>
      <c r="C341" s="7" t="inlineStr">
        <is>
          <t>4.5.4</t>
        </is>
      </c>
    </row>
    <row r="342">
      <c r="A342" s="5" t="inlineStr">
        <is>
          <t>Q18R1C1</t>
        </is>
      </c>
      <c r="B342" s="5">
        <f>ATI!A196</f>
        <v/>
      </c>
      <c r="C342" s="7" t="inlineStr">
        <is>
          <t>4.5.5</t>
        </is>
      </c>
    </row>
    <row r="343">
      <c r="A343" s="5" t="inlineStr">
        <is>
          <t>Q18R1C2</t>
        </is>
      </c>
      <c r="B343" s="5">
        <f>ATI!D196</f>
        <v/>
      </c>
      <c r="C343" s="7" t="inlineStr">
        <is>
          <t>4.5.5</t>
        </is>
      </c>
    </row>
    <row r="344">
      <c r="A344" s="5" t="inlineStr">
        <is>
          <t>Q18R1C3</t>
        </is>
      </c>
      <c r="B344" s="5">
        <f>ATI!G196</f>
        <v/>
      </c>
      <c r="C344" s="7" t="inlineStr">
        <is>
          <t>4.5.5</t>
        </is>
      </c>
    </row>
    <row r="345">
      <c r="A345" s="5" t="inlineStr">
        <is>
          <t>Q19R1C1</t>
        </is>
      </c>
      <c r="B345" s="5">
        <f>ATI!C202</f>
        <v/>
      </c>
      <c r="C345" s="7" t="inlineStr">
        <is>
          <t>4.5.6</t>
        </is>
      </c>
    </row>
    <row r="346">
      <c r="A346" s="5" t="inlineStr">
        <is>
          <t>Q19R1C2</t>
        </is>
      </c>
      <c r="B346" s="5">
        <f>ATI!D202</f>
        <v/>
      </c>
      <c r="C346" s="7" t="inlineStr">
        <is>
          <t>4.5.6</t>
        </is>
      </c>
    </row>
    <row r="347">
      <c r="A347" s="5" t="inlineStr">
        <is>
          <t>Q19R1C3</t>
        </is>
      </c>
      <c r="B347" s="5">
        <f>ATI!F202</f>
        <v/>
      </c>
      <c r="C347" s="7" t="inlineStr">
        <is>
          <t>4.5.6</t>
        </is>
      </c>
    </row>
    <row r="348">
      <c r="A348" s="5" t="inlineStr">
        <is>
          <t>Q19R1C4</t>
        </is>
      </c>
      <c r="B348" s="5">
        <f>ATI!G202</f>
        <v/>
      </c>
      <c r="C348" s="7" t="inlineStr">
        <is>
          <t>4.5.6</t>
        </is>
      </c>
    </row>
    <row r="349">
      <c r="A349" s="5" t="inlineStr">
        <is>
          <t>Q19R1C5</t>
        </is>
      </c>
      <c r="B349" s="5">
        <f>ATI!I202</f>
        <v/>
      </c>
      <c r="C349" s="7" t="inlineStr">
        <is>
          <t>4.5.6</t>
        </is>
      </c>
    </row>
    <row r="350">
      <c r="A350" s="5" t="inlineStr">
        <is>
          <t>Q19R1C6</t>
        </is>
      </c>
      <c r="B350" s="5">
        <f>ATI!J202</f>
        <v/>
      </c>
      <c r="C350" s="7" t="inlineStr">
        <is>
          <t>4.5.6</t>
        </is>
      </c>
    </row>
    <row r="351">
      <c r="A351" s="5" t="inlineStr">
        <is>
          <t>Q19R2C1</t>
        </is>
      </c>
      <c r="B351" s="5">
        <f>ATI!C203</f>
        <v/>
      </c>
      <c r="C351" s="7" t="inlineStr">
        <is>
          <t>4.5.6</t>
        </is>
      </c>
    </row>
    <row r="352">
      <c r="A352" s="5" t="inlineStr">
        <is>
          <t>Q19R2C2</t>
        </is>
      </c>
      <c r="B352" s="5">
        <f>ATI!D203</f>
        <v/>
      </c>
      <c r="C352" s="7" t="inlineStr">
        <is>
          <t>4.5.6</t>
        </is>
      </c>
    </row>
    <row r="353">
      <c r="A353" s="5" t="inlineStr">
        <is>
          <t>Q19R2C3</t>
        </is>
      </c>
      <c r="B353" s="5">
        <f>ATI!F203</f>
        <v/>
      </c>
      <c r="C353" s="7" t="inlineStr">
        <is>
          <t>4.5.6</t>
        </is>
      </c>
    </row>
    <row r="354">
      <c r="A354" s="5" t="inlineStr">
        <is>
          <t>Q19R2C4</t>
        </is>
      </c>
      <c r="B354" s="5">
        <f>ATI!G203</f>
        <v/>
      </c>
      <c r="C354" s="7" t="inlineStr">
        <is>
          <t>4.5.6</t>
        </is>
      </c>
    </row>
    <row r="355">
      <c r="A355" s="5" t="inlineStr">
        <is>
          <t>Q19R2C5</t>
        </is>
      </c>
      <c r="B355" s="5">
        <f>ATI!I203</f>
        <v/>
      </c>
      <c r="C355" s="7" t="inlineStr">
        <is>
          <t>4.5.6</t>
        </is>
      </c>
    </row>
    <row r="356">
      <c r="A356" s="5" t="inlineStr">
        <is>
          <t>Q19R2C6</t>
        </is>
      </c>
      <c r="B356" s="5">
        <f>ATI!J203</f>
        <v/>
      </c>
      <c r="C356" s="7" t="inlineStr">
        <is>
          <t>4.5.6</t>
        </is>
      </c>
    </row>
    <row r="357">
      <c r="A357" s="5" t="inlineStr">
        <is>
          <t>Q19R3C1</t>
        </is>
      </c>
      <c r="B357" s="5">
        <f>ATI!C204</f>
        <v/>
      </c>
      <c r="C357" s="7" t="inlineStr">
        <is>
          <t>4.5.6</t>
        </is>
      </c>
    </row>
    <row r="358">
      <c r="A358" s="5" t="inlineStr">
        <is>
          <t>Q19R3C2</t>
        </is>
      </c>
      <c r="B358" s="5">
        <f>ATI!D204</f>
        <v/>
      </c>
      <c r="C358" s="7" t="inlineStr">
        <is>
          <t>4.5.6</t>
        </is>
      </c>
    </row>
    <row r="359">
      <c r="A359" s="5" t="inlineStr">
        <is>
          <t>Q19R3C3</t>
        </is>
      </c>
      <c r="B359" s="5">
        <f>ATI!F204</f>
        <v/>
      </c>
      <c r="C359" s="7" t="inlineStr">
        <is>
          <t>4.5.6</t>
        </is>
      </c>
    </row>
    <row r="360">
      <c r="A360" s="5" t="inlineStr">
        <is>
          <t>Q19R3C4</t>
        </is>
      </c>
      <c r="B360" s="5">
        <f>ATI!G204</f>
        <v/>
      </c>
      <c r="C360" s="7" t="inlineStr">
        <is>
          <t>4.5.6</t>
        </is>
      </c>
    </row>
    <row r="361">
      <c r="A361" s="5" t="inlineStr">
        <is>
          <t>Q19R3C5</t>
        </is>
      </c>
      <c r="B361" s="5">
        <f>ATI!I204</f>
        <v/>
      </c>
      <c r="C361" s="7" t="inlineStr">
        <is>
          <t>4.5.6</t>
        </is>
      </c>
    </row>
    <row r="362">
      <c r="A362" s="5" t="inlineStr">
        <is>
          <t>Q19R3C6</t>
        </is>
      </c>
      <c r="B362" s="5">
        <f>ATI!J204</f>
        <v/>
      </c>
      <c r="C362" s="7" t="inlineStr">
        <is>
          <t>4.5.6</t>
        </is>
      </c>
    </row>
    <row r="363">
      <c r="A363" s="5" t="inlineStr">
        <is>
          <t>Q19R4C1</t>
        </is>
      </c>
      <c r="B363" s="5">
        <f>ATI!C205</f>
        <v/>
      </c>
      <c r="C363" s="7" t="inlineStr">
        <is>
          <t>4.5.6</t>
        </is>
      </c>
    </row>
    <row r="364">
      <c r="A364" s="5" t="inlineStr">
        <is>
          <t>Q19R4C2</t>
        </is>
      </c>
      <c r="B364" s="5">
        <f>ATI!D205</f>
        <v/>
      </c>
      <c r="C364" s="7" t="inlineStr">
        <is>
          <t>4.5.6</t>
        </is>
      </c>
    </row>
    <row r="365">
      <c r="A365" s="5" t="inlineStr">
        <is>
          <t>Q19R4C3</t>
        </is>
      </c>
      <c r="B365" s="5">
        <f>ATI!F205</f>
        <v/>
      </c>
      <c r="C365" s="7" t="inlineStr">
        <is>
          <t>4.5.6</t>
        </is>
      </c>
    </row>
    <row r="366">
      <c r="A366" s="5" t="inlineStr">
        <is>
          <t>Q19R4C4</t>
        </is>
      </c>
      <c r="B366" s="5">
        <f>ATI!G205</f>
        <v/>
      </c>
      <c r="C366" s="7" t="inlineStr">
        <is>
          <t>4.5.6</t>
        </is>
      </c>
    </row>
    <row r="367">
      <c r="A367" s="5" t="inlineStr">
        <is>
          <t>Q19R4C5</t>
        </is>
      </c>
      <c r="B367" s="5">
        <f>ATI!I205</f>
        <v/>
      </c>
      <c r="C367" s="7" t="inlineStr">
        <is>
          <t>4.5.6</t>
        </is>
      </c>
    </row>
    <row r="368">
      <c r="A368" s="5" t="inlineStr">
        <is>
          <t>Q19R4C6</t>
        </is>
      </c>
      <c r="B368" s="5">
        <f>ATI!J205</f>
        <v/>
      </c>
      <c r="C368" s="7" t="inlineStr">
        <is>
          <t>4.5.6</t>
        </is>
      </c>
    </row>
    <row r="369">
      <c r="A369" s="5" t="inlineStr">
        <is>
          <t>Q19R5C1</t>
        </is>
      </c>
      <c r="B369" s="5">
        <f>ATI!C206</f>
        <v/>
      </c>
      <c r="C369" s="7" t="inlineStr">
        <is>
          <t>4.5.6</t>
        </is>
      </c>
    </row>
    <row r="370">
      <c r="A370" s="5" t="inlineStr">
        <is>
          <t>Q19R5C2</t>
        </is>
      </c>
      <c r="B370" s="5">
        <f>ATI!D206</f>
        <v/>
      </c>
      <c r="C370" s="7" t="inlineStr">
        <is>
          <t>4.5.6</t>
        </is>
      </c>
    </row>
    <row r="371">
      <c r="A371" s="5" t="inlineStr">
        <is>
          <t>Q19R5C3</t>
        </is>
      </c>
      <c r="B371" s="5">
        <f>ATI!F206</f>
        <v/>
      </c>
      <c r="C371" s="7" t="inlineStr">
        <is>
          <t>4.5.6</t>
        </is>
      </c>
    </row>
    <row r="372">
      <c r="A372" s="5" t="inlineStr">
        <is>
          <t>Q19R5C4</t>
        </is>
      </c>
      <c r="B372" s="5">
        <f>ATI!G206</f>
        <v/>
      </c>
      <c r="C372" s="7" t="inlineStr">
        <is>
          <t>4.5.6</t>
        </is>
      </c>
    </row>
    <row r="373">
      <c r="A373" s="5" t="inlineStr">
        <is>
          <t>Q19R5C5</t>
        </is>
      </c>
      <c r="B373" s="5">
        <f>ATI!I206</f>
        <v/>
      </c>
      <c r="C373" s="7" t="inlineStr">
        <is>
          <t>4.5.6</t>
        </is>
      </c>
    </row>
    <row r="374">
      <c r="A374" s="5" t="inlineStr">
        <is>
          <t>Q19R5C6</t>
        </is>
      </c>
      <c r="B374" s="5">
        <f>ATI!J206</f>
        <v/>
      </c>
      <c r="C374" s="7" t="inlineStr">
        <is>
          <t>4.5.6</t>
        </is>
      </c>
    </row>
    <row r="375">
      <c r="A375" s="5" t="inlineStr">
        <is>
          <t>Q19R6C1</t>
        </is>
      </c>
      <c r="B375" s="5">
        <f>ATI!C207</f>
        <v/>
      </c>
      <c r="C375" s="7" t="inlineStr">
        <is>
          <t>4.5.6</t>
        </is>
      </c>
    </row>
    <row r="376">
      <c r="A376" s="5" t="inlineStr">
        <is>
          <t>Q19R6C2</t>
        </is>
      </c>
      <c r="B376" s="5">
        <f>ATI!D207</f>
        <v/>
      </c>
      <c r="C376" s="7" t="inlineStr">
        <is>
          <t>4.5.6</t>
        </is>
      </c>
    </row>
    <row r="377">
      <c r="A377" s="5" t="inlineStr">
        <is>
          <t>Q19R6C3</t>
        </is>
      </c>
      <c r="B377" s="5">
        <f>ATI!F207</f>
        <v/>
      </c>
      <c r="C377" s="7" t="inlineStr">
        <is>
          <t>4.5.6</t>
        </is>
      </c>
    </row>
    <row r="378">
      <c r="A378" s="5" t="inlineStr">
        <is>
          <t>Q19R6C4</t>
        </is>
      </c>
      <c r="B378" s="5">
        <f>ATI!G207</f>
        <v/>
      </c>
      <c r="C378" s="7" t="inlineStr">
        <is>
          <t>4.5.6</t>
        </is>
      </c>
    </row>
    <row r="379">
      <c r="A379" s="5" t="inlineStr">
        <is>
          <t>Q19R6C5</t>
        </is>
      </c>
      <c r="B379" s="5">
        <f>ATI!I207</f>
        <v/>
      </c>
      <c r="C379" s="7" t="inlineStr">
        <is>
          <t>4.5.6</t>
        </is>
      </c>
    </row>
    <row r="380">
      <c r="A380" s="5" t="inlineStr">
        <is>
          <t>Q19R6C6</t>
        </is>
      </c>
      <c r="B380" s="5">
        <f>ATI!J207</f>
        <v/>
      </c>
      <c r="C380" s="7" t="inlineStr">
        <is>
          <t>4.5.6</t>
        </is>
      </c>
    </row>
    <row r="381">
      <c r="A381" s="5" t="inlineStr">
        <is>
          <t>Q19R7C1</t>
        </is>
      </c>
      <c r="B381" s="5">
        <f>ATI!C208</f>
        <v/>
      </c>
      <c r="C381" s="7" t="inlineStr">
        <is>
          <t>4.5.6</t>
        </is>
      </c>
    </row>
    <row r="382">
      <c r="A382" s="5" t="inlineStr">
        <is>
          <t>Q19R7C2</t>
        </is>
      </c>
      <c r="B382" s="5">
        <f>ATI!D208</f>
        <v/>
      </c>
      <c r="C382" s="7" t="inlineStr">
        <is>
          <t>4.5.6</t>
        </is>
      </c>
    </row>
    <row r="383">
      <c r="A383" s="5" t="inlineStr">
        <is>
          <t>Q19R7C3</t>
        </is>
      </c>
      <c r="B383" s="5">
        <f>ATI!F208</f>
        <v/>
      </c>
      <c r="C383" s="7" t="inlineStr">
        <is>
          <t>4.5.6</t>
        </is>
      </c>
    </row>
    <row r="384">
      <c r="A384" s="5" t="inlineStr">
        <is>
          <t>Q19R7C4</t>
        </is>
      </c>
      <c r="B384" s="5">
        <f>ATI!G208</f>
        <v/>
      </c>
      <c r="C384" s="7" t="inlineStr">
        <is>
          <t>4.5.6</t>
        </is>
      </c>
    </row>
    <row r="385">
      <c r="A385" s="5" t="inlineStr">
        <is>
          <t>Q19R7C5</t>
        </is>
      </c>
      <c r="B385" s="5">
        <f>ATI!I208</f>
        <v/>
      </c>
      <c r="C385" s="7" t="inlineStr">
        <is>
          <t>4.5.6</t>
        </is>
      </c>
    </row>
    <row r="386">
      <c r="A386" s="5" t="inlineStr">
        <is>
          <t>Q19R7C6</t>
        </is>
      </c>
      <c r="B386" s="5">
        <f>ATI!J208</f>
        <v/>
      </c>
      <c r="C386" s="7" t="inlineStr">
        <is>
          <t>4.5.6</t>
        </is>
      </c>
    </row>
    <row r="387">
      <c r="A387" s="8" t="inlineStr">
        <is>
          <t>Q20R1C1</t>
        </is>
      </c>
      <c r="B387" s="8">
        <f>ATI!C215</f>
        <v/>
      </c>
      <c r="C387" s="9" t="inlineStr">
        <is>
          <t>4.5.7</t>
        </is>
      </c>
    </row>
    <row r="388">
      <c r="A388" s="8" t="inlineStr">
        <is>
          <t>Q20R1C2</t>
        </is>
      </c>
      <c r="B388" s="8">
        <f>ATI!E215</f>
        <v/>
      </c>
      <c r="C388" s="9" t="inlineStr">
        <is>
          <t>4.5.7</t>
        </is>
      </c>
    </row>
    <row r="389">
      <c r="A389" s="8" t="inlineStr">
        <is>
          <t>Q20R1C3</t>
        </is>
      </c>
      <c r="B389" s="8">
        <f>ATI!G215</f>
        <v/>
      </c>
      <c r="C389" s="9" t="inlineStr">
        <is>
          <t>4.5.7</t>
        </is>
      </c>
    </row>
    <row r="390">
      <c r="A390" s="8" t="inlineStr">
        <is>
          <t>Q20R2C1</t>
        </is>
      </c>
      <c r="B390" s="8">
        <f>ATI!C216</f>
        <v/>
      </c>
      <c r="C390" s="9" t="inlineStr">
        <is>
          <t>4.5.7</t>
        </is>
      </c>
    </row>
    <row r="391">
      <c r="A391" s="8" t="inlineStr">
        <is>
          <t>Q20R2C2</t>
        </is>
      </c>
      <c r="B391" s="8">
        <f>ATI!E216</f>
        <v/>
      </c>
      <c r="C391" s="9" t="inlineStr">
        <is>
          <t>4.5.7</t>
        </is>
      </c>
    </row>
    <row r="392">
      <c r="A392" s="8" t="inlineStr">
        <is>
          <t>Q20R2C3</t>
        </is>
      </c>
      <c r="B392" s="8">
        <f>ATI!G216</f>
        <v/>
      </c>
      <c r="C392" s="9" t="inlineStr">
        <is>
          <t>4.5.7</t>
        </is>
      </c>
    </row>
    <row r="393">
      <c r="A393" s="8" t="inlineStr">
        <is>
          <t>Q20R3C1</t>
        </is>
      </c>
      <c r="B393" s="8">
        <f>ATI!C217</f>
        <v/>
      </c>
      <c r="C393" s="9" t="inlineStr">
        <is>
          <t>4.5.7</t>
        </is>
      </c>
    </row>
    <row r="394">
      <c r="A394" s="8" t="inlineStr">
        <is>
          <t>Q20R3C2</t>
        </is>
      </c>
      <c r="B394" s="8">
        <f>ATI!E217</f>
        <v/>
      </c>
      <c r="C394" s="9" t="inlineStr">
        <is>
          <t>4.5.7</t>
        </is>
      </c>
    </row>
    <row r="395">
      <c r="A395" s="8" t="inlineStr">
        <is>
          <t>Q20R3C3</t>
        </is>
      </c>
      <c r="B395" s="8">
        <f>ATI!G217</f>
        <v/>
      </c>
      <c r="C395" s="9" t="inlineStr">
        <is>
          <t>4.5.7</t>
        </is>
      </c>
    </row>
    <row r="396">
      <c r="A396" s="8" t="inlineStr">
        <is>
          <t>Q20R4C1</t>
        </is>
      </c>
      <c r="B396" s="8">
        <f>ATI!C218</f>
        <v/>
      </c>
      <c r="C396" s="9" t="inlineStr">
        <is>
          <t>4.5.7</t>
        </is>
      </c>
    </row>
    <row r="397">
      <c r="A397" s="8" t="inlineStr">
        <is>
          <t>Q20R4C2</t>
        </is>
      </c>
      <c r="B397" s="8">
        <f>ATI!E218</f>
        <v/>
      </c>
      <c r="C397" s="9" t="inlineStr">
        <is>
          <t>4.5.7</t>
        </is>
      </c>
    </row>
    <row r="398">
      <c r="A398" s="8" t="inlineStr">
        <is>
          <t>Q20R4C3</t>
        </is>
      </c>
      <c r="B398" s="8">
        <f>ATI!G218</f>
        <v/>
      </c>
      <c r="C398" s="9" t="inlineStr">
        <is>
          <t>4.5.7</t>
        </is>
      </c>
    </row>
    <row r="399">
      <c r="A399" s="8" t="inlineStr">
        <is>
          <t>Q20R5C1</t>
        </is>
      </c>
      <c r="B399" s="8">
        <f>ATI!C219</f>
        <v/>
      </c>
      <c r="C399" s="9" t="inlineStr">
        <is>
          <t>4.5.7</t>
        </is>
      </c>
    </row>
    <row r="400">
      <c r="A400" s="8" t="inlineStr">
        <is>
          <t>Q20R5C2</t>
        </is>
      </c>
      <c r="B400" s="8">
        <f>ATI!E219</f>
        <v/>
      </c>
      <c r="C400" s="9" t="inlineStr">
        <is>
          <t>4.5.7</t>
        </is>
      </c>
    </row>
    <row r="401">
      <c r="A401" s="8" t="inlineStr">
        <is>
          <t>Q20R5C3</t>
        </is>
      </c>
      <c r="B401" s="8">
        <f>ATI!G219</f>
        <v/>
      </c>
      <c r="C401" s="9" t="inlineStr">
        <is>
          <t>4.5.7</t>
        </is>
      </c>
    </row>
    <row r="402">
      <c r="A402" s="8" t="inlineStr">
        <is>
          <t>Q20R6C1</t>
        </is>
      </c>
      <c r="B402" s="8">
        <f>ATI!C220</f>
        <v/>
      </c>
      <c r="C402" s="9" t="inlineStr">
        <is>
          <t>4.5.7</t>
        </is>
      </c>
    </row>
    <row r="403">
      <c r="A403" s="8" t="inlineStr">
        <is>
          <t>Q20R6C2</t>
        </is>
      </c>
      <c r="B403" s="8">
        <f>ATI!E220</f>
        <v/>
      </c>
      <c r="C403" s="9" t="inlineStr">
        <is>
          <t>4.5.7</t>
        </is>
      </c>
    </row>
    <row r="404">
      <c r="A404" s="8" t="inlineStr">
        <is>
          <t>Q20R6C3</t>
        </is>
      </c>
      <c r="B404" s="8">
        <f>ATI!G220</f>
        <v/>
      </c>
      <c r="C404" s="9" t="inlineStr">
        <is>
          <t>4.5.7</t>
        </is>
      </c>
    </row>
    <row r="405">
      <c r="A405" s="8" t="inlineStr">
        <is>
          <t>Q20R7C1</t>
        </is>
      </c>
      <c r="B405" s="8">
        <f>ATI!C221</f>
        <v/>
      </c>
      <c r="C405" s="9" t="inlineStr">
        <is>
          <t>4.5.7</t>
        </is>
      </c>
    </row>
    <row r="406">
      <c r="A406" s="8" t="inlineStr">
        <is>
          <t>Q20R7C2</t>
        </is>
      </c>
      <c r="B406" s="8">
        <f>ATI!E221</f>
        <v/>
      </c>
      <c r="C406" s="9" t="inlineStr">
        <is>
          <t>4.5.7</t>
        </is>
      </c>
    </row>
    <row r="407">
      <c r="A407" s="8" t="inlineStr">
        <is>
          <t>Q20R7C3</t>
        </is>
      </c>
      <c r="B407" s="8">
        <f>ATI!G221</f>
        <v/>
      </c>
      <c r="C407" s="9" t="inlineStr">
        <is>
          <t>4.5.7</t>
        </is>
      </c>
    </row>
    <row r="408">
      <c r="A408" s="8" t="inlineStr">
        <is>
          <t>Q21R1C1</t>
        </is>
      </c>
      <c r="B408" s="8">
        <f>ATI!E228</f>
        <v/>
      </c>
      <c r="C408" s="9" t="inlineStr">
        <is>
          <t>4.6.1</t>
        </is>
      </c>
    </row>
    <row r="409">
      <c r="A409" s="8" t="inlineStr">
        <is>
          <t>Q21R2C1</t>
        </is>
      </c>
      <c r="B409" s="8">
        <f>ATI!E230</f>
        <v/>
      </c>
      <c r="C409" s="9" t="inlineStr">
        <is>
          <t>4.6.1</t>
        </is>
      </c>
    </row>
    <row r="410">
      <c r="A410" s="8" t="inlineStr">
        <is>
          <t>Q22R1C1</t>
        </is>
      </c>
      <c r="B410" s="8">
        <f>ATI!A238</f>
        <v/>
      </c>
      <c r="C410" s="9" t="inlineStr">
        <is>
          <t>4.7.1</t>
        </is>
      </c>
    </row>
    <row r="411">
      <c r="A411" s="8" t="inlineStr">
        <is>
          <t>Q22R1C2</t>
        </is>
      </c>
      <c r="B411" s="8">
        <f>ATI!E238</f>
        <v/>
      </c>
      <c r="C411" s="9" t="inlineStr">
        <is>
          <t>4.7.1</t>
        </is>
      </c>
    </row>
    <row r="412">
      <c r="A412" s="8" t="inlineStr">
        <is>
          <t>Q22R1C3</t>
        </is>
      </c>
      <c r="B412" s="8">
        <f>ATI!G238</f>
        <v/>
      </c>
      <c r="C412" s="9" t="inlineStr">
        <is>
          <t>4.7.1</t>
        </is>
      </c>
    </row>
    <row r="413">
      <c r="A413" s="8" t="inlineStr">
        <is>
          <t>Q22R1C4</t>
        </is>
      </c>
      <c r="B413" s="8">
        <f>ATI!I238</f>
        <v/>
      </c>
      <c r="C413" s="9" t="inlineStr">
        <is>
          <t>4.7.1</t>
        </is>
      </c>
    </row>
    <row r="414">
      <c r="A414" s="8" t="inlineStr">
        <is>
          <t>Q22R1C5</t>
        </is>
      </c>
      <c r="B414" s="8">
        <f>ATI!K238</f>
        <v/>
      </c>
      <c r="C414" s="9" t="inlineStr">
        <is>
          <t>4.7.1</t>
        </is>
      </c>
    </row>
    <row r="415">
      <c r="A415" s="8" t="inlineStr">
        <is>
          <t>Q23R1C1</t>
        </is>
      </c>
      <c r="B415" s="8">
        <f>ATI!D243</f>
        <v/>
      </c>
      <c r="C415" s="9" t="inlineStr">
        <is>
          <t>4.7.2</t>
        </is>
      </c>
    </row>
    <row r="416">
      <c r="A416" s="8" t="inlineStr">
        <is>
          <t>Q23R1C2</t>
        </is>
      </c>
      <c r="B416" s="8">
        <f>ATI!G243</f>
        <v/>
      </c>
      <c r="C416" s="9" t="inlineStr">
        <is>
          <t>4.7.2</t>
        </is>
      </c>
    </row>
    <row r="417">
      <c r="A417" s="8" t="inlineStr">
        <is>
          <t>Q23R2C1</t>
        </is>
      </c>
      <c r="B417" s="8">
        <f>ATI!D244</f>
        <v/>
      </c>
      <c r="C417" s="9" t="inlineStr">
        <is>
          <t>4.7.2</t>
        </is>
      </c>
    </row>
    <row r="418">
      <c r="A418" s="8" t="inlineStr">
        <is>
          <t>Q23R2C2</t>
        </is>
      </c>
      <c r="B418" s="8">
        <f>ATI!G244</f>
        <v/>
      </c>
      <c r="C418" s="9" t="inlineStr">
        <is>
          <t>4.7.2</t>
        </is>
      </c>
    </row>
    <row r="419">
      <c r="A419" s="8" t="inlineStr">
        <is>
          <t>Q23R3C1</t>
        </is>
      </c>
      <c r="B419" s="8">
        <f>ATI!D245</f>
        <v/>
      </c>
      <c r="C419" s="9" t="inlineStr">
        <is>
          <t>4.7.2</t>
        </is>
      </c>
    </row>
    <row r="420">
      <c r="A420" s="8" t="inlineStr">
        <is>
          <t>Q23R3C2</t>
        </is>
      </c>
      <c r="B420" s="8">
        <f>ATI!G245</f>
        <v/>
      </c>
      <c r="C420" s="9" t="inlineStr">
        <is>
          <t>4.7.2</t>
        </is>
      </c>
    </row>
    <row r="421">
      <c r="A421" s="8" t="inlineStr">
        <is>
          <t>Q23R4C1</t>
        </is>
      </c>
      <c r="B421" s="8">
        <f>ATI!D246</f>
        <v/>
      </c>
      <c r="C421" s="9" t="inlineStr">
        <is>
          <t>4.7.2</t>
        </is>
      </c>
    </row>
    <row r="422">
      <c r="A422" s="8" t="inlineStr">
        <is>
          <t>Q23R4C2</t>
        </is>
      </c>
      <c r="B422" s="8">
        <f>ATI!G246</f>
        <v/>
      </c>
      <c r="C422" s="9" t="inlineStr">
        <is>
          <t>4.7.2</t>
        </is>
      </c>
    </row>
    <row r="423">
      <c r="A423" s="8" t="inlineStr">
        <is>
          <t>Q23R5C1</t>
        </is>
      </c>
      <c r="B423" s="8">
        <f>ATI!D247</f>
        <v/>
      </c>
      <c r="C423" s="9" t="inlineStr">
        <is>
          <t>4.7.2</t>
        </is>
      </c>
    </row>
    <row r="424">
      <c r="A424" s="8" t="inlineStr">
        <is>
          <t>Q23R5C2</t>
        </is>
      </c>
      <c r="B424" s="8">
        <f>ATI!G247</f>
        <v/>
      </c>
      <c r="C424" s="9" t="inlineStr">
        <is>
          <t>4.7.2</t>
        </is>
      </c>
    </row>
    <row r="425">
      <c r="A425" s="8" t="inlineStr">
        <is>
          <t>Q23R6C1</t>
        </is>
      </c>
      <c r="B425" s="8">
        <f>ATI!D248</f>
        <v/>
      </c>
      <c r="C425" s="9" t="inlineStr">
        <is>
          <t>4.7.2</t>
        </is>
      </c>
    </row>
    <row r="426">
      <c r="A426" s="8" t="inlineStr">
        <is>
          <t>Q23R6C2</t>
        </is>
      </c>
      <c r="B426" s="8">
        <f>ATI!G248</f>
        <v/>
      </c>
      <c r="C426" s="9" t="inlineStr">
        <is>
          <t>4.7.2</t>
        </is>
      </c>
    </row>
    <row r="427">
      <c r="A427" s="8" t="inlineStr">
        <is>
          <t>Q23R7C1</t>
        </is>
      </c>
      <c r="B427" s="8">
        <f>ATI!D249</f>
        <v/>
      </c>
      <c r="C427" s="9" t="inlineStr">
        <is>
          <t>4.7.2</t>
        </is>
      </c>
    </row>
    <row r="428">
      <c r="A428" s="8" t="inlineStr">
        <is>
          <t>Q23R7C2</t>
        </is>
      </c>
      <c r="B428" s="8">
        <f>ATI!G249</f>
        <v/>
      </c>
      <c r="C428" s="9" t="inlineStr">
        <is>
          <t>4.7.2</t>
        </is>
      </c>
    </row>
    <row r="429">
      <c r="A429" s="8" t="inlineStr">
        <is>
          <t>Q24R1C1</t>
        </is>
      </c>
      <c r="B429" s="8">
        <f>ATI!D255</f>
        <v/>
      </c>
      <c r="C429" s="9" t="inlineStr">
        <is>
          <t>4,8</t>
        </is>
      </c>
    </row>
    <row r="430">
      <c r="A430" s="8" t="inlineStr">
        <is>
          <t>Q24R1C2</t>
        </is>
      </c>
      <c r="B430" s="8">
        <f>ATI!G255</f>
        <v/>
      </c>
      <c r="C430" s="9" t="inlineStr">
        <is>
          <t>4,8</t>
        </is>
      </c>
    </row>
    <row r="431">
      <c r="A431" s="8" t="inlineStr">
        <is>
          <t>Q24R2C1</t>
        </is>
      </c>
      <c r="B431" s="8">
        <f>ATI!D256</f>
        <v/>
      </c>
      <c r="C431" s="9" t="inlineStr">
        <is>
          <t>4,8</t>
        </is>
      </c>
    </row>
    <row r="432">
      <c r="A432" s="8" t="inlineStr">
        <is>
          <t>Q24R2C2</t>
        </is>
      </c>
      <c r="B432" s="8">
        <f>ATI!G256</f>
        <v/>
      </c>
      <c r="C432" s="9" t="inlineStr">
        <is>
          <t>4,8</t>
        </is>
      </c>
    </row>
    <row r="433">
      <c r="A433" s="8" t="inlineStr">
        <is>
          <t>Q25R1C1</t>
        </is>
      </c>
      <c r="B433" s="8">
        <f>ATI!E265</f>
        <v/>
      </c>
      <c r="C433" s="9" t="inlineStr">
        <is>
          <t>5,1</t>
        </is>
      </c>
    </row>
    <row r="434">
      <c r="A434" s="8" t="inlineStr">
        <is>
          <t>Q25R1C2</t>
        </is>
      </c>
      <c r="B434" s="8">
        <f>ATI!G265</f>
        <v/>
      </c>
      <c r="C434" s="9" t="inlineStr">
        <is>
          <t>5,1</t>
        </is>
      </c>
    </row>
    <row r="435">
      <c r="A435" s="8" t="inlineStr">
        <is>
          <t>Q25R1C3</t>
        </is>
      </c>
      <c r="B435" s="8">
        <f>ATI!I265</f>
        <v/>
      </c>
      <c r="C435" s="9" t="inlineStr">
        <is>
          <t>5,1</t>
        </is>
      </c>
    </row>
    <row r="436">
      <c r="A436" s="8" t="inlineStr">
        <is>
          <t>Q25R1C4</t>
        </is>
      </c>
      <c r="B436" s="8">
        <f>ATI!K265</f>
        <v/>
      </c>
      <c r="C436" s="9" t="inlineStr">
        <is>
          <t>5,1</t>
        </is>
      </c>
    </row>
    <row r="437">
      <c r="A437" s="8" t="inlineStr">
        <is>
          <t>Q25R2C1</t>
        </is>
      </c>
      <c r="B437" s="8">
        <f>ATI!E266</f>
        <v/>
      </c>
      <c r="C437" s="9" t="inlineStr">
        <is>
          <t>5,1</t>
        </is>
      </c>
    </row>
    <row r="438">
      <c r="A438" s="8" t="inlineStr">
        <is>
          <t>Q25R2C2</t>
        </is>
      </c>
      <c r="B438" s="8">
        <f>ATI!G266</f>
        <v/>
      </c>
      <c r="C438" s="9" t="inlineStr">
        <is>
          <t>5,1</t>
        </is>
      </c>
    </row>
    <row r="439">
      <c r="A439" s="8" t="inlineStr">
        <is>
          <t>Q25R2C3</t>
        </is>
      </c>
      <c r="B439" s="8">
        <f>ATI!I266</f>
        <v/>
      </c>
      <c r="C439" s="9" t="inlineStr">
        <is>
          <t>5,1</t>
        </is>
      </c>
    </row>
    <row r="440">
      <c r="A440" s="8" t="inlineStr">
        <is>
          <t>Q25R2C4</t>
        </is>
      </c>
      <c r="B440" s="8">
        <f>ATI!K266</f>
        <v/>
      </c>
      <c r="C440" s="9" t="inlineStr">
        <is>
          <t>5,1</t>
        </is>
      </c>
    </row>
    <row r="441">
      <c r="A441" s="8" t="inlineStr">
        <is>
          <t>Q25R3C1</t>
        </is>
      </c>
      <c r="B441" s="8">
        <f>ATI!E267</f>
        <v/>
      </c>
      <c r="C441" s="9" t="inlineStr">
        <is>
          <t>5,1</t>
        </is>
      </c>
    </row>
    <row r="442">
      <c r="A442" s="8" t="inlineStr">
        <is>
          <t>Q25R3C2</t>
        </is>
      </c>
      <c r="B442" s="8">
        <f>ATI!G267</f>
        <v/>
      </c>
      <c r="C442" s="9" t="inlineStr">
        <is>
          <t>5,1</t>
        </is>
      </c>
    </row>
    <row r="443">
      <c r="A443" s="8" t="inlineStr">
        <is>
          <t>Q25R3C3</t>
        </is>
      </c>
      <c r="B443" s="8">
        <f>ATI!I267</f>
        <v/>
      </c>
      <c r="C443" s="9" t="inlineStr">
        <is>
          <t>5,1</t>
        </is>
      </c>
    </row>
    <row r="444">
      <c r="A444" s="8" t="inlineStr">
        <is>
          <t>Q25R3C4</t>
        </is>
      </c>
      <c r="B444" s="8">
        <f>ATI!K267</f>
        <v/>
      </c>
      <c r="C444" s="9" t="inlineStr">
        <is>
          <t>5,1</t>
        </is>
      </c>
    </row>
    <row r="445">
      <c r="A445" s="8" t="inlineStr">
        <is>
          <t>Q25R4C1</t>
        </is>
      </c>
      <c r="B445" s="8">
        <f>ATI!E268</f>
        <v/>
      </c>
      <c r="C445" s="9" t="inlineStr">
        <is>
          <t>5,1</t>
        </is>
      </c>
    </row>
    <row r="446">
      <c r="A446" s="8" t="inlineStr">
        <is>
          <t>Q25R4C2</t>
        </is>
      </c>
      <c r="B446" s="8">
        <f>ATI!G268</f>
        <v/>
      </c>
      <c r="C446" s="9" t="inlineStr">
        <is>
          <t>5,1</t>
        </is>
      </c>
    </row>
    <row r="447">
      <c r="A447" s="8" t="inlineStr">
        <is>
          <t>Q25R4C3</t>
        </is>
      </c>
      <c r="B447" s="8">
        <f>ATI!I268</f>
        <v/>
      </c>
      <c r="C447" s="9" t="inlineStr">
        <is>
          <t>5,1</t>
        </is>
      </c>
    </row>
    <row r="448">
      <c r="A448" s="8" t="inlineStr">
        <is>
          <t>Q25R4C4</t>
        </is>
      </c>
      <c r="B448" s="8">
        <f>ATI!K268</f>
        <v/>
      </c>
      <c r="C448" s="9" t="inlineStr">
        <is>
          <t>5,1</t>
        </is>
      </c>
    </row>
    <row r="449">
      <c r="A449" s="8" t="inlineStr">
        <is>
          <t>Q25R5C1</t>
        </is>
      </c>
      <c r="B449" s="8">
        <f>ATI!E269</f>
        <v/>
      </c>
      <c r="C449" s="9" t="inlineStr">
        <is>
          <t>5,1</t>
        </is>
      </c>
    </row>
    <row r="450">
      <c r="A450" s="8" t="inlineStr">
        <is>
          <t>Q25R5C2</t>
        </is>
      </c>
      <c r="B450" s="8">
        <f>ATI!G269</f>
        <v/>
      </c>
      <c r="C450" s="9" t="inlineStr">
        <is>
          <t>5,1</t>
        </is>
      </c>
    </row>
    <row r="451">
      <c r="A451" s="8" t="inlineStr">
        <is>
          <t>Q25R5C3</t>
        </is>
      </c>
      <c r="B451" s="8">
        <f>ATI!I269</f>
        <v/>
      </c>
      <c r="C451" s="9" t="inlineStr">
        <is>
          <t>5,1</t>
        </is>
      </c>
    </row>
    <row r="452">
      <c r="A452" s="8" t="inlineStr">
        <is>
          <t>Q25R5C4</t>
        </is>
      </c>
      <c r="B452" s="8">
        <f>ATI!K269</f>
        <v/>
      </c>
      <c r="C452" s="9" t="inlineStr">
        <is>
          <t>5,1</t>
        </is>
      </c>
    </row>
    <row r="453">
      <c r="A453" s="8" t="inlineStr">
        <is>
          <t>Q25R6C1</t>
        </is>
      </c>
      <c r="B453" s="8">
        <f>ATI!E270</f>
        <v/>
      </c>
      <c r="C453" s="9" t="inlineStr">
        <is>
          <t>5,1</t>
        </is>
      </c>
    </row>
    <row r="454">
      <c r="A454" s="8" t="inlineStr">
        <is>
          <t>Q25R6C2</t>
        </is>
      </c>
      <c r="B454" s="8">
        <f>ATI!G270</f>
        <v/>
      </c>
      <c r="C454" s="9" t="inlineStr">
        <is>
          <t>5,1</t>
        </is>
      </c>
    </row>
    <row r="455">
      <c r="A455" s="8" t="inlineStr">
        <is>
          <t>Q25R6C3</t>
        </is>
      </c>
      <c r="B455" s="8">
        <f>ATI!I270</f>
        <v/>
      </c>
      <c r="C455" s="9" t="inlineStr">
        <is>
          <t>5,1</t>
        </is>
      </c>
    </row>
    <row r="456">
      <c r="A456" s="8" t="inlineStr">
        <is>
          <t>Q25R6C4</t>
        </is>
      </c>
      <c r="B456" s="8">
        <f>ATI!K270</f>
        <v/>
      </c>
      <c r="C456" s="9" t="inlineStr">
        <is>
          <t>5,1</t>
        </is>
      </c>
    </row>
    <row r="457">
      <c r="A457" s="8" t="inlineStr">
        <is>
          <t>Q25R7C1</t>
        </is>
      </c>
      <c r="B457" s="8">
        <f>ATI!E271</f>
        <v/>
      </c>
      <c r="C457" s="9" t="inlineStr">
        <is>
          <t>5,1</t>
        </is>
      </c>
    </row>
    <row r="458">
      <c r="A458" s="8" t="inlineStr">
        <is>
          <t>Q25R7C2</t>
        </is>
      </c>
      <c r="B458" s="8">
        <f>ATI!G271</f>
        <v/>
      </c>
      <c r="C458" s="9" t="inlineStr">
        <is>
          <t>5,1</t>
        </is>
      </c>
    </row>
    <row r="459">
      <c r="A459" s="8" t="inlineStr">
        <is>
          <t>Q25R7C3</t>
        </is>
      </c>
      <c r="B459" s="8">
        <f>ATI!I271</f>
        <v/>
      </c>
      <c r="C459" s="9" t="inlineStr">
        <is>
          <t>5,1</t>
        </is>
      </c>
    </row>
    <row r="460">
      <c r="A460" s="8" t="inlineStr">
        <is>
          <t>Q25R7C4</t>
        </is>
      </c>
      <c r="B460" s="8">
        <f>ATI!K271</f>
        <v/>
      </c>
      <c r="C460" s="9" t="inlineStr">
        <is>
          <t>5,1</t>
        </is>
      </c>
    </row>
    <row r="461">
      <c r="A461" s="8" t="inlineStr">
        <is>
          <t>Q26R1C1</t>
        </is>
      </c>
      <c r="B461" s="8">
        <f>ATI!E278</f>
        <v/>
      </c>
      <c r="C461" s="9" t="inlineStr">
        <is>
          <t>5,2</t>
        </is>
      </c>
    </row>
    <row r="462">
      <c r="A462" s="8" t="inlineStr">
        <is>
          <t>Q26R1C2</t>
        </is>
      </c>
      <c r="B462" s="8">
        <f>ATI!G278</f>
        <v/>
      </c>
      <c r="C462" s="9" t="inlineStr">
        <is>
          <t>5,2</t>
        </is>
      </c>
    </row>
    <row r="463">
      <c r="A463" s="8" t="inlineStr">
        <is>
          <t>Q26R1C3</t>
        </is>
      </c>
      <c r="B463" s="8">
        <f>ATI!I278</f>
        <v/>
      </c>
      <c r="C463" s="9" t="inlineStr">
        <is>
          <t>5,2</t>
        </is>
      </c>
    </row>
    <row r="464">
      <c r="A464" s="8" t="inlineStr">
        <is>
          <t>Q26R1C4</t>
        </is>
      </c>
      <c r="B464" s="8">
        <f>ATI!K278</f>
        <v/>
      </c>
      <c r="C464" s="9" t="inlineStr">
        <is>
          <t>5,2</t>
        </is>
      </c>
    </row>
    <row r="465">
      <c r="A465" s="8" t="inlineStr">
        <is>
          <t>Q26R2C1</t>
        </is>
      </c>
      <c r="B465" s="8">
        <f>ATI!E279</f>
        <v/>
      </c>
      <c r="C465" s="9" t="inlineStr">
        <is>
          <t>5,2</t>
        </is>
      </c>
    </row>
    <row r="466">
      <c r="A466" s="8" t="inlineStr">
        <is>
          <t>Q26R2C2</t>
        </is>
      </c>
      <c r="B466" s="8">
        <f>ATI!G279</f>
        <v/>
      </c>
      <c r="C466" s="9" t="inlineStr">
        <is>
          <t>5,2</t>
        </is>
      </c>
    </row>
    <row r="467">
      <c r="A467" s="8" t="inlineStr">
        <is>
          <t>Q26R2C3</t>
        </is>
      </c>
      <c r="B467" s="8">
        <f>ATI!I279</f>
        <v/>
      </c>
      <c r="C467" s="9" t="inlineStr">
        <is>
          <t>5,2</t>
        </is>
      </c>
    </row>
    <row r="468">
      <c r="A468" s="8" t="inlineStr">
        <is>
          <t>Q26R2C4</t>
        </is>
      </c>
      <c r="B468" s="8">
        <f>ATI!K279</f>
        <v/>
      </c>
      <c r="C468" s="9" t="inlineStr">
        <is>
          <t>5,2</t>
        </is>
      </c>
    </row>
    <row r="469">
      <c r="A469" s="8" t="inlineStr">
        <is>
          <t>Q26R3C1</t>
        </is>
      </c>
      <c r="B469" s="8">
        <f>ATI!E280</f>
        <v/>
      </c>
      <c r="C469" s="9" t="inlineStr">
        <is>
          <t>5,2</t>
        </is>
      </c>
    </row>
    <row r="470">
      <c r="A470" s="8" t="inlineStr">
        <is>
          <t>Q26R3C2</t>
        </is>
      </c>
      <c r="B470" s="8">
        <f>ATI!G280</f>
        <v/>
      </c>
      <c r="C470" s="9" t="inlineStr">
        <is>
          <t>5,2</t>
        </is>
      </c>
    </row>
    <row r="471">
      <c r="A471" s="8" t="inlineStr">
        <is>
          <t>Q26R3C3</t>
        </is>
      </c>
      <c r="B471" s="8">
        <f>ATI!I280</f>
        <v/>
      </c>
      <c r="C471" s="9" t="inlineStr">
        <is>
          <t>5,2</t>
        </is>
      </c>
    </row>
    <row r="472">
      <c r="A472" s="8" t="inlineStr">
        <is>
          <t>Q26R3C4</t>
        </is>
      </c>
      <c r="B472" s="8">
        <f>ATI!K280</f>
        <v/>
      </c>
      <c r="C472" s="9" t="inlineStr">
        <is>
          <t>5,2</t>
        </is>
      </c>
    </row>
    <row r="473">
      <c r="A473" s="8" t="inlineStr">
        <is>
          <t>Q26R4C1</t>
        </is>
      </c>
      <c r="B473" s="8">
        <f>ATI!E281</f>
        <v/>
      </c>
      <c r="C473" s="9" t="inlineStr">
        <is>
          <t>5,2</t>
        </is>
      </c>
    </row>
    <row r="474">
      <c r="A474" s="8" t="inlineStr">
        <is>
          <t>Q26R4C2</t>
        </is>
      </c>
      <c r="B474" s="8">
        <f>ATI!G281</f>
        <v/>
      </c>
      <c r="C474" s="9" t="inlineStr">
        <is>
          <t>5,2</t>
        </is>
      </c>
    </row>
    <row r="475">
      <c r="A475" s="8" t="inlineStr">
        <is>
          <t>Q26R4C3</t>
        </is>
      </c>
      <c r="B475" s="8">
        <f>ATI!I281</f>
        <v/>
      </c>
      <c r="C475" s="9" t="inlineStr">
        <is>
          <t>5,2</t>
        </is>
      </c>
    </row>
    <row r="476">
      <c r="A476" s="8" t="inlineStr">
        <is>
          <t>Q26R4C4</t>
        </is>
      </c>
      <c r="B476" s="8">
        <f>ATI!K281</f>
        <v/>
      </c>
      <c r="C476" s="9" t="inlineStr">
        <is>
          <t>5,2</t>
        </is>
      </c>
    </row>
    <row r="477">
      <c r="A477" s="8" t="inlineStr">
        <is>
          <t>Q26R5C1</t>
        </is>
      </c>
      <c r="B477" s="8">
        <f>ATI!E282</f>
        <v/>
      </c>
      <c r="C477" s="9" t="inlineStr">
        <is>
          <t>5,2</t>
        </is>
      </c>
    </row>
    <row r="478">
      <c r="A478" s="8" t="inlineStr">
        <is>
          <t>Q26R5C2</t>
        </is>
      </c>
      <c r="B478" s="8">
        <f>ATI!G282</f>
        <v/>
      </c>
      <c r="C478" s="9" t="inlineStr">
        <is>
          <t>5,2</t>
        </is>
      </c>
    </row>
    <row r="479">
      <c r="A479" s="8" t="inlineStr">
        <is>
          <t>Q26R5C3</t>
        </is>
      </c>
      <c r="B479" s="8">
        <f>ATI!I282</f>
        <v/>
      </c>
      <c r="C479" s="9" t="inlineStr">
        <is>
          <t>5,2</t>
        </is>
      </c>
    </row>
    <row r="480">
      <c r="A480" s="8" t="inlineStr">
        <is>
          <t>Q26R5C4</t>
        </is>
      </c>
      <c r="B480" s="8">
        <f>ATI!K282</f>
        <v/>
      </c>
      <c r="C480" s="9" t="inlineStr">
        <is>
          <t>5,2</t>
        </is>
      </c>
    </row>
    <row r="481">
      <c r="A481" s="8" t="inlineStr">
        <is>
          <t>Q26R6C1</t>
        </is>
      </c>
      <c r="B481" s="8">
        <f>ATI!E283</f>
        <v/>
      </c>
      <c r="C481" s="9" t="inlineStr">
        <is>
          <t>5,2</t>
        </is>
      </c>
    </row>
    <row r="482">
      <c r="A482" s="8" t="inlineStr">
        <is>
          <t>Q26R6C2</t>
        </is>
      </c>
      <c r="B482" s="8">
        <f>ATI!G283</f>
        <v/>
      </c>
      <c r="C482" s="9" t="inlineStr">
        <is>
          <t>5,2</t>
        </is>
      </c>
    </row>
    <row r="483">
      <c r="A483" s="8" t="inlineStr">
        <is>
          <t>Q26R6C3</t>
        </is>
      </c>
      <c r="B483" s="8">
        <f>ATI!I283</f>
        <v/>
      </c>
      <c r="C483" s="9" t="inlineStr">
        <is>
          <t>5,2</t>
        </is>
      </c>
    </row>
    <row r="484">
      <c r="A484" s="8" t="inlineStr">
        <is>
          <t>Q26R6C4</t>
        </is>
      </c>
      <c r="B484" s="8">
        <f>ATI!K283</f>
        <v/>
      </c>
      <c r="C484" s="9" t="inlineStr">
        <is>
          <t>5,2</t>
        </is>
      </c>
    </row>
    <row r="485">
      <c r="A485" s="8" t="inlineStr">
        <is>
          <t>Q27R1C1</t>
        </is>
      </c>
      <c r="B485" s="8">
        <f>ATI!C290</f>
        <v/>
      </c>
      <c r="C485" s="9" t="n">
        <v>6</v>
      </c>
    </row>
    <row r="486">
      <c r="A486" s="8" t="inlineStr">
        <is>
          <t>Q27R1C2</t>
        </is>
      </c>
      <c r="B486" s="8">
        <f>ATI!D290</f>
        <v/>
      </c>
      <c r="C486" s="9" t="n">
        <v>6</v>
      </c>
    </row>
    <row r="487">
      <c r="A487" s="5" t="inlineStr">
        <is>
          <t>Q27R1C3</t>
        </is>
      </c>
      <c r="B487" s="5">
        <f>ATI!F290</f>
        <v/>
      </c>
      <c r="C487" s="7" t="n">
        <v>6</v>
      </c>
    </row>
    <row r="488">
      <c r="A488" s="5" t="inlineStr">
        <is>
          <t>Q27R1C4</t>
        </is>
      </c>
      <c r="B488" s="5">
        <f>ATI!G290</f>
        <v/>
      </c>
      <c r="C488" s="7" t="n">
        <v>6</v>
      </c>
    </row>
    <row r="489">
      <c r="A489" s="5" t="inlineStr">
        <is>
          <t>Q27R1C5</t>
        </is>
      </c>
      <c r="B489" s="5">
        <f>ATI!I290</f>
        <v/>
      </c>
      <c r="C489" s="7" t="n">
        <v>6</v>
      </c>
    </row>
    <row r="490">
      <c r="A490" s="5" t="inlineStr">
        <is>
          <t>Q27R1C6</t>
        </is>
      </c>
      <c r="B490" s="5">
        <f>ATI!J290</f>
        <v/>
      </c>
      <c r="C490" s="7" t="n">
        <v>6</v>
      </c>
    </row>
    <row r="491">
      <c r="A491" s="8" t="inlineStr">
        <is>
          <t>Q27R2C1</t>
        </is>
      </c>
      <c r="B491" s="8">
        <f>ATI!C291</f>
        <v/>
      </c>
      <c r="C491" s="9" t="n">
        <v>6</v>
      </c>
    </row>
    <row r="492">
      <c r="A492" s="8" t="inlineStr">
        <is>
          <t>Q27R2C2</t>
        </is>
      </c>
      <c r="B492" s="8">
        <f>ATI!D291</f>
        <v/>
      </c>
      <c r="C492" s="9" t="n">
        <v>6</v>
      </c>
    </row>
    <row r="493">
      <c r="A493" s="5" t="inlineStr">
        <is>
          <t>Q27R2C3</t>
        </is>
      </c>
      <c r="B493" s="5">
        <f>ATI!F291</f>
        <v/>
      </c>
      <c r="C493" s="7" t="n">
        <v>6</v>
      </c>
    </row>
    <row r="494">
      <c r="A494" s="5" t="inlineStr">
        <is>
          <t>Q27R2C4</t>
        </is>
      </c>
      <c r="B494" s="5">
        <f>ATI!G291</f>
        <v/>
      </c>
      <c r="C494" s="7" t="n">
        <v>6</v>
      </c>
    </row>
    <row r="495">
      <c r="A495" s="5" t="inlineStr">
        <is>
          <t>Q27R2C5</t>
        </is>
      </c>
      <c r="B495" s="5">
        <f>ATI!I291</f>
        <v/>
      </c>
      <c r="C495" s="7" t="n">
        <v>6</v>
      </c>
    </row>
    <row r="496">
      <c r="A496" s="5" t="inlineStr">
        <is>
          <t>Q27R2C6</t>
        </is>
      </c>
      <c r="B496" s="5">
        <f>ATI!J291</f>
        <v/>
      </c>
      <c r="C496" s="7" t="n">
        <v>6</v>
      </c>
    </row>
    <row r="497">
      <c r="A497" s="8" t="inlineStr">
        <is>
          <t>Q28R1C1</t>
        </is>
      </c>
      <c r="B497" s="8">
        <f>ATI!E299</f>
        <v/>
      </c>
      <c r="C497" s="9" t="inlineStr">
        <is>
          <t>7,1</t>
        </is>
      </c>
    </row>
    <row r="498">
      <c r="A498" s="8" t="inlineStr">
        <is>
          <t>Q28R1C2</t>
        </is>
      </c>
      <c r="B498" s="8">
        <f>ATI!G299</f>
        <v/>
      </c>
      <c r="C498" s="9" t="inlineStr">
        <is>
          <t>7,1</t>
        </is>
      </c>
    </row>
    <row r="499">
      <c r="A499" s="8" t="inlineStr">
        <is>
          <t>Q28R1C3</t>
        </is>
      </c>
      <c r="B499" s="8">
        <f>ATI!I299</f>
        <v/>
      </c>
      <c r="C499" s="9" t="inlineStr">
        <is>
          <t>7,1</t>
        </is>
      </c>
    </row>
    <row r="500">
      <c r="A500" s="8" t="inlineStr">
        <is>
          <t>Q28R1C4</t>
        </is>
      </c>
      <c r="B500" s="8">
        <f>ATI!K299</f>
        <v/>
      </c>
      <c r="C500" s="9" t="inlineStr">
        <is>
          <t>7,1</t>
        </is>
      </c>
    </row>
    <row r="501">
      <c r="A501" s="8" t="inlineStr">
        <is>
          <t>Q28R2C1</t>
        </is>
      </c>
      <c r="B501" s="8">
        <f>ATI!E300</f>
        <v/>
      </c>
      <c r="C501" s="9" t="inlineStr">
        <is>
          <t>7,1</t>
        </is>
      </c>
    </row>
    <row r="502">
      <c r="A502" s="8" t="inlineStr">
        <is>
          <t>Q28R2C2</t>
        </is>
      </c>
      <c r="B502" s="8">
        <f>ATI!G300</f>
        <v/>
      </c>
      <c r="C502" s="9" t="inlineStr">
        <is>
          <t>7,1</t>
        </is>
      </c>
    </row>
    <row r="503">
      <c r="A503" s="8" t="inlineStr">
        <is>
          <t>Q28R2C3</t>
        </is>
      </c>
      <c r="B503" s="8">
        <f>ATI!I300</f>
        <v/>
      </c>
      <c r="C503" s="9" t="inlineStr">
        <is>
          <t>7,1</t>
        </is>
      </c>
    </row>
    <row r="504">
      <c r="A504" s="8" t="inlineStr">
        <is>
          <t>Q28R2C4</t>
        </is>
      </c>
      <c r="B504" s="8">
        <f>ATI!K300</f>
        <v/>
      </c>
      <c r="C504" s="9" t="inlineStr">
        <is>
          <t>7,1</t>
        </is>
      </c>
    </row>
    <row r="505">
      <c r="A505" s="8" t="inlineStr">
        <is>
          <t>Q28R3C1</t>
        </is>
      </c>
      <c r="B505" s="8">
        <f>ATI!E302</f>
        <v/>
      </c>
      <c r="C505" s="9" t="inlineStr">
        <is>
          <t>7,1</t>
        </is>
      </c>
    </row>
    <row r="506">
      <c r="A506" s="8" t="inlineStr">
        <is>
          <t>Q28R3C2</t>
        </is>
      </c>
      <c r="B506" s="8">
        <f>ATI!G302</f>
        <v/>
      </c>
      <c r="C506" s="9" t="inlineStr">
        <is>
          <t>7,1</t>
        </is>
      </c>
    </row>
    <row r="507">
      <c r="A507" s="8" t="inlineStr">
        <is>
          <t>Q28R3C3</t>
        </is>
      </c>
      <c r="B507" s="8">
        <f>ATI!I302</f>
        <v/>
      </c>
      <c r="C507" s="9" t="inlineStr">
        <is>
          <t>7,1</t>
        </is>
      </c>
    </row>
    <row r="508">
      <c r="A508" s="8" t="inlineStr">
        <is>
          <t>Q28R3C4</t>
        </is>
      </c>
      <c r="B508" s="8">
        <f>ATI!K302</f>
        <v/>
      </c>
      <c r="C508" s="9" t="inlineStr">
        <is>
          <t>7,1</t>
        </is>
      </c>
    </row>
    <row r="509">
      <c r="A509" s="5" t="inlineStr">
        <is>
          <t>Q28R4C1</t>
        </is>
      </c>
      <c r="B509" s="5">
        <f>ATI!E303</f>
        <v/>
      </c>
      <c r="C509" s="7" t="inlineStr">
        <is>
          <t>7,1</t>
        </is>
      </c>
    </row>
    <row r="510">
      <c r="A510" s="5" t="inlineStr">
        <is>
          <t>Q28R4C2</t>
        </is>
      </c>
      <c r="B510" s="5">
        <f>ATI!G303</f>
        <v/>
      </c>
      <c r="C510" s="7" t="inlineStr">
        <is>
          <t>7,1</t>
        </is>
      </c>
    </row>
    <row r="511">
      <c r="A511" s="5" t="inlineStr">
        <is>
          <t>Q28R4C3</t>
        </is>
      </c>
      <c r="B511" s="5">
        <f>ATI!I303</f>
        <v/>
      </c>
      <c r="C511" s="7" t="inlineStr">
        <is>
          <t>7,1</t>
        </is>
      </c>
    </row>
    <row r="512">
      <c r="A512" s="5" t="inlineStr">
        <is>
          <t>Q28R4C4</t>
        </is>
      </c>
      <c r="B512" s="5">
        <f>ATI!K303</f>
        <v/>
      </c>
      <c r="C512" s="7" t="inlineStr">
        <is>
          <t>7,1</t>
        </is>
      </c>
    </row>
    <row r="513">
      <c r="A513" s="5" t="inlineStr">
        <is>
          <t>Q28R5C1</t>
        </is>
      </c>
      <c r="B513" s="5">
        <f>ATI!E304</f>
        <v/>
      </c>
      <c r="C513" s="7" t="inlineStr">
        <is>
          <t>7,1</t>
        </is>
      </c>
    </row>
    <row r="514">
      <c r="A514" s="5" t="inlineStr">
        <is>
          <t>Q28R5C2</t>
        </is>
      </c>
      <c r="B514" s="5">
        <f>ATI!G304</f>
        <v/>
      </c>
      <c r="C514" s="7" t="inlineStr">
        <is>
          <t>7,1</t>
        </is>
      </c>
    </row>
    <row r="515">
      <c r="A515" s="5" t="inlineStr">
        <is>
          <t>Q28R5C3</t>
        </is>
      </c>
      <c r="B515" s="5">
        <f>ATI!I304</f>
        <v/>
      </c>
      <c r="C515" s="7" t="inlineStr">
        <is>
          <t>7,1</t>
        </is>
      </c>
    </row>
    <row r="516">
      <c r="A516" s="5" t="inlineStr">
        <is>
          <t>Q28R5C4</t>
        </is>
      </c>
      <c r="B516" s="5">
        <f>ATI!K304</f>
        <v/>
      </c>
      <c r="C516" s="7" t="inlineStr">
        <is>
          <t>7,1</t>
        </is>
      </c>
    </row>
    <row r="517">
      <c r="A517" s="8" t="inlineStr">
        <is>
          <t>Q29R1C1</t>
        </is>
      </c>
      <c r="B517" s="8">
        <f>ATI!E310</f>
        <v/>
      </c>
      <c r="C517" s="9" t="inlineStr">
        <is>
          <t>7,2</t>
        </is>
      </c>
    </row>
    <row r="518">
      <c r="A518" s="8" t="inlineStr">
        <is>
          <t>Q29R1C2</t>
        </is>
      </c>
      <c r="B518" s="8">
        <f>ATI!F310</f>
        <v/>
      </c>
      <c r="C518" s="9" t="inlineStr">
        <is>
          <t>7,2</t>
        </is>
      </c>
    </row>
    <row r="519">
      <c r="A519" s="8" t="inlineStr">
        <is>
          <t>Q29R1C3</t>
        </is>
      </c>
      <c r="B519" s="8">
        <f>ATI!G310</f>
        <v/>
      </c>
      <c r="C519" s="9" t="inlineStr">
        <is>
          <t>7,2</t>
        </is>
      </c>
    </row>
    <row r="520">
      <c r="A520" s="8" t="inlineStr">
        <is>
          <t>Q29R1C4</t>
        </is>
      </c>
      <c r="B520" s="8">
        <f>ATI!H310</f>
        <v/>
      </c>
      <c r="C520" s="9" t="inlineStr">
        <is>
          <t>7,2</t>
        </is>
      </c>
    </row>
    <row r="521">
      <c r="A521" s="8" t="inlineStr">
        <is>
          <t>Q29R1C5</t>
        </is>
      </c>
      <c r="B521" s="8">
        <f>ATI!I310</f>
        <v/>
      </c>
      <c r="C521" s="9" t="inlineStr">
        <is>
          <t>7,2</t>
        </is>
      </c>
    </row>
    <row r="522">
      <c r="A522" s="8" t="inlineStr">
        <is>
          <t>Q29R1C6</t>
        </is>
      </c>
      <c r="B522" s="8">
        <f>ATI!J310</f>
        <v/>
      </c>
      <c r="C522" s="9" t="inlineStr">
        <is>
          <t>7,2</t>
        </is>
      </c>
    </row>
    <row r="523">
      <c r="A523" s="8" t="inlineStr">
        <is>
          <t>Q29R1C7</t>
        </is>
      </c>
      <c r="B523" s="8">
        <f>ATI!K310</f>
        <v/>
      </c>
      <c r="C523" s="9" t="inlineStr">
        <is>
          <t>7,2</t>
        </is>
      </c>
    </row>
    <row r="524">
      <c r="A524" s="8" t="inlineStr">
        <is>
          <t>Q29R2C1</t>
        </is>
      </c>
      <c r="B524" s="8">
        <f>ATI!E311</f>
        <v/>
      </c>
      <c r="C524" s="9" t="inlineStr">
        <is>
          <t>7,2</t>
        </is>
      </c>
    </row>
    <row r="525">
      <c r="A525" s="8" t="inlineStr">
        <is>
          <t>Q29R2C2</t>
        </is>
      </c>
      <c r="B525" s="8">
        <f>ATI!F311</f>
        <v/>
      </c>
      <c r="C525" s="9" t="inlineStr">
        <is>
          <t>7,2</t>
        </is>
      </c>
    </row>
    <row r="526">
      <c r="A526" s="8" t="inlineStr">
        <is>
          <t>Q29R2C3</t>
        </is>
      </c>
      <c r="B526" s="8">
        <f>ATI!G311</f>
        <v/>
      </c>
      <c r="C526" s="9" t="inlineStr">
        <is>
          <t>7,2</t>
        </is>
      </c>
    </row>
    <row r="527">
      <c r="A527" s="8" t="inlineStr">
        <is>
          <t>Q29R2C4</t>
        </is>
      </c>
      <c r="B527" s="8">
        <f>ATI!H311</f>
        <v/>
      </c>
      <c r="C527" s="9" t="inlineStr">
        <is>
          <t>7,2</t>
        </is>
      </c>
    </row>
    <row r="528">
      <c r="A528" s="8" t="inlineStr">
        <is>
          <t>Q29R2C5</t>
        </is>
      </c>
      <c r="B528" s="8">
        <f>ATI!I311</f>
        <v/>
      </c>
      <c r="C528" s="9" t="inlineStr">
        <is>
          <t>7,2</t>
        </is>
      </c>
    </row>
    <row r="529">
      <c r="A529" s="8" t="inlineStr">
        <is>
          <t>Q29R2C6</t>
        </is>
      </c>
      <c r="B529" s="8">
        <f>ATI!J311</f>
        <v/>
      </c>
      <c r="C529" s="9" t="inlineStr">
        <is>
          <t>7,2</t>
        </is>
      </c>
    </row>
    <row r="530">
      <c r="A530" s="8" t="inlineStr">
        <is>
          <t>Q29R2C7</t>
        </is>
      </c>
      <c r="B530" s="8">
        <f>ATI!K311</f>
        <v/>
      </c>
      <c r="C530" s="9" t="inlineStr">
        <is>
          <t>7,2</t>
        </is>
      </c>
    </row>
    <row r="531">
      <c r="A531" s="8" t="inlineStr">
        <is>
          <t>Q29R3C1</t>
        </is>
      </c>
      <c r="B531" s="8">
        <f>ATI!E312</f>
        <v/>
      </c>
      <c r="C531" s="9" t="inlineStr">
        <is>
          <t>7,2</t>
        </is>
      </c>
    </row>
    <row r="532">
      <c r="A532" s="8" t="inlineStr">
        <is>
          <t>Q29R3C2</t>
        </is>
      </c>
      <c r="B532" s="8">
        <f>ATI!F312</f>
        <v/>
      </c>
      <c r="C532" s="9" t="inlineStr">
        <is>
          <t>7,2</t>
        </is>
      </c>
    </row>
    <row r="533">
      <c r="A533" s="8" t="inlineStr">
        <is>
          <t>Q29R3C3</t>
        </is>
      </c>
      <c r="B533" s="8">
        <f>ATI!G312</f>
        <v/>
      </c>
      <c r="C533" s="9" t="inlineStr">
        <is>
          <t>7,2</t>
        </is>
      </c>
    </row>
    <row r="534">
      <c r="A534" s="8" t="inlineStr">
        <is>
          <t>Q29R3C4</t>
        </is>
      </c>
      <c r="B534" s="8">
        <f>ATI!H312</f>
        <v/>
      </c>
      <c r="C534" s="9" t="inlineStr">
        <is>
          <t>7,2</t>
        </is>
      </c>
    </row>
    <row r="535">
      <c r="A535" s="8" t="inlineStr">
        <is>
          <t>Q29R3C5</t>
        </is>
      </c>
      <c r="B535" s="8">
        <f>ATI!I312</f>
        <v/>
      </c>
      <c r="C535" s="9" t="inlineStr">
        <is>
          <t>7,2</t>
        </is>
      </c>
    </row>
    <row r="536">
      <c r="A536" s="8" t="inlineStr">
        <is>
          <t>Q29R3C6</t>
        </is>
      </c>
      <c r="B536" s="8">
        <f>ATI!J312</f>
        <v/>
      </c>
      <c r="C536" s="9" t="inlineStr">
        <is>
          <t>7,2</t>
        </is>
      </c>
    </row>
    <row r="537">
      <c r="A537" s="8" t="inlineStr">
        <is>
          <t>Q29R3C7</t>
        </is>
      </c>
      <c r="B537" s="8">
        <f>ATI!K312</f>
        <v/>
      </c>
      <c r="C537" s="9" t="inlineStr">
        <is>
          <t>7,2</t>
        </is>
      </c>
    </row>
    <row r="538">
      <c r="A538" s="8" t="inlineStr">
        <is>
          <t>Q29R4C1</t>
        </is>
      </c>
      <c r="B538" s="8">
        <f>ATI!E313</f>
        <v/>
      </c>
      <c r="C538" s="9" t="inlineStr">
        <is>
          <t>7,2</t>
        </is>
      </c>
    </row>
    <row r="539">
      <c r="A539" s="8" t="inlineStr">
        <is>
          <t>Q29R4C2</t>
        </is>
      </c>
      <c r="B539" s="8">
        <f>ATI!F313</f>
        <v/>
      </c>
      <c r="C539" s="9" t="inlineStr">
        <is>
          <t>7,2</t>
        </is>
      </c>
    </row>
    <row r="540">
      <c r="A540" s="8" t="inlineStr">
        <is>
          <t>Q29R4C3</t>
        </is>
      </c>
      <c r="B540" s="8">
        <f>ATI!G313</f>
        <v/>
      </c>
      <c r="C540" s="9" t="inlineStr">
        <is>
          <t>7,2</t>
        </is>
      </c>
    </row>
    <row r="541">
      <c r="A541" s="8" t="inlineStr">
        <is>
          <t>Q29R4C4</t>
        </is>
      </c>
      <c r="B541" s="8">
        <f>ATI!H313</f>
        <v/>
      </c>
      <c r="C541" s="9" t="inlineStr">
        <is>
          <t>7,2</t>
        </is>
      </c>
    </row>
    <row r="542">
      <c r="A542" s="8" t="inlineStr">
        <is>
          <t>Q29R4C5</t>
        </is>
      </c>
      <c r="B542" s="8">
        <f>ATI!I313</f>
        <v/>
      </c>
      <c r="C542" s="9" t="inlineStr">
        <is>
          <t>7,2</t>
        </is>
      </c>
    </row>
    <row r="543">
      <c r="A543" s="8" t="inlineStr">
        <is>
          <t>Q29R4C6</t>
        </is>
      </c>
      <c r="B543" s="8">
        <f>ATI!J313</f>
        <v/>
      </c>
      <c r="C543" s="9" t="inlineStr">
        <is>
          <t>7,2</t>
        </is>
      </c>
    </row>
    <row r="544">
      <c r="A544" s="8" t="inlineStr">
        <is>
          <t>Q29R4C7</t>
        </is>
      </c>
      <c r="B544" s="8">
        <f>ATI!K313</f>
        <v/>
      </c>
      <c r="C544" s="9" t="inlineStr">
        <is>
          <t>7,2</t>
        </is>
      </c>
    </row>
    <row r="545">
      <c r="A545" s="8" t="inlineStr">
        <is>
          <t>Q29R5C1</t>
        </is>
      </c>
      <c r="B545" s="8">
        <f>ATI!E314</f>
        <v/>
      </c>
      <c r="C545" s="9" t="inlineStr">
        <is>
          <t>7,2</t>
        </is>
      </c>
    </row>
    <row r="546">
      <c r="A546" s="8" t="inlineStr">
        <is>
          <t>Q29R5C2</t>
        </is>
      </c>
      <c r="B546" s="8">
        <f>ATI!F314</f>
        <v/>
      </c>
      <c r="C546" s="9" t="inlineStr">
        <is>
          <t>7,2</t>
        </is>
      </c>
    </row>
    <row r="547">
      <c r="A547" s="8" t="inlineStr">
        <is>
          <t>Q29R5C3</t>
        </is>
      </c>
      <c r="B547" s="8">
        <f>ATI!G314</f>
        <v/>
      </c>
      <c r="C547" s="9" t="inlineStr">
        <is>
          <t>7,2</t>
        </is>
      </c>
    </row>
    <row r="548">
      <c r="A548" s="8" t="inlineStr">
        <is>
          <t>Q29R5C4</t>
        </is>
      </c>
      <c r="B548" s="8">
        <f>ATI!H314</f>
        <v/>
      </c>
      <c r="C548" s="9" t="inlineStr">
        <is>
          <t>7,2</t>
        </is>
      </c>
    </row>
    <row r="549">
      <c r="A549" s="8" t="inlineStr">
        <is>
          <t>Q29R5C5</t>
        </is>
      </c>
      <c r="B549" s="8">
        <f>ATI!I314</f>
        <v/>
      </c>
      <c r="C549" s="9" t="inlineStr">
        <is>
          <t>7,2</t>
        </is>
      </c>
    </row>
    <row r="550">
      <c r="A550" s="8" t="inlineStr">
        <is>
          <t>Q29R5C6</t>
        </is>
      </c>
      <c r="B550" s="8">
        <f>ATI!J314</f>
        <v/>
      </c>
      <c r="C550" s="9" t="inlineStr">
        <is>
          <t>7,2</t>
        </is>
      </c>
    </row>
    <row r="551">
      <c r="A551" s="8" t="inlineStr">
        <is>
          <t>Q29R5C7</t>
        </is>
      </c>
      <c r="B551" s="8">
        <f>ATI!K314</f>
        <v/>
      </c>
      <c r="C551" s="9" t="inlineStr">
        <is>
          <t>7,2</t>
        </is>
      </c>
    </row>
    <row r="552">
      <c r="A552" s="8" t="inlineStr">
        <is>
          <t>Q29R6C1</t>
        </is>
      </c>
      <c r="B552" s="8">
        <f>ATI!E315</f>
        <v/>
      </c>
      <c r="C552" s="9" t="inlineStr">
        <is>
          <t>7,2</t>
        </is>
      </c>
    </row>
    <row r="553">
      <c r="A553" s="8" t="inlineStr">
        <is>
          <t>Q29R6C2</t>
        </is>
      </c>
      <c r="B553" s="8">
        <f>ATI!F315</f>
        <v/>
      </c>
      <c r="C553" s="9" t="inlineStr">
        <is>
          <t>7,2</t>
        </is>
      </c>
    </row>
    <row r="554">
      <c r="A554" s="8" t="inlineStr">
        <is>
          <t>Q29R6C3</t>
        </is>
      </c>
      <c r="B554" s="8">
        <f>ATI!G315</f>
        <v/>
      </c>
      <c r="C554" s="9" t="inlineStr">
        <is>
          <t>7,2</t>
        </is>
      </c>
    </row>
    <row r="555">
      <c r="A555" s="8" t="inlineStr">
        <is>
          <t>Q29R6C4</t>
        </is>
      </c>
      <c r="B555" s="8">
        <f>ATI!H315</f>
        <v/>
      </c>
      <c r="C555" s="9" t="inlineStr">
        <is>
          <t>7,2</t>
        </is>
      </c>
    </row>
    <row r="556">
      <c r="A556" s="8" t="inlineStr">
        <is>
          <t>Q29R6C5</t>
        </is>
      </c>
      <c r="B556" s="8">
        <f>ATI!I315</f>
        <v/>
      </c>
      <c r="C556" s="9" t="inlineStr">
        <is>
          <t>7,2</t>
        </is>
      </c>
    </row>
    <row r="557">
      <c r="A557" s="8" t="inlineStr">
        <is>
          <t>Q29R6C6</t>
        </is>
      </c>
      <c r="B557" s="8">
        <f>ATI!J315</f>
        <v/>
      </c>
      <c r="C557" s="9" t="inlineStr">
        <is>
          <t>7,2</t>
        </is>
      </c>
    </row>
    <row r="558">
      <c r="A558" s="8" t="inlineStr">
        <is>
          <t>Q29R6C7</t>
        </is>
      </c>
      <c r="B558" s="8">
        <f>ATI!K315</f>
        <v/>
      </c>
      <c r="C558" s="9" t="inlineStr">
        <is>
          <t>7,2</t>
        </is>
      </c>
    </row>
    <row r="559">
      <c r="A559" s="8" t="inlineStr">
        <is>
          <t>Q30R1C1</t>
        </is>
      </c>
      <c r="B559" s="8">
        <f>ATI!E322</f>
        <v/>
      </c>
      <c r="C559" s="9" t="inlineStr">
        <is>
          <t>7,3</t>
        </is>
      </c>
    </row>
    <row r="560">
      <c r="A560" s="8" t="inlineStr">
        <is>
          <t>Q30R1C2</t>
        </is>
      </c>
      <c r="B560" s="8">
        <f>ATI!F322</f>
        <v/>
      </c>
      <c r="C560" s="9" t="inlineStr">
        <is>
          <t>7,3</t>
        </is>
      </c>
    </row>
    <row r="561">
      <c r="A561" s="8" t="inlineStr">
        <is>
          <t>Q30R1C3</t>
        </is>
      </c>
      <c r="B561" s="8">
        <f>ATI!G322</f>
        <v/>
      </c>
      <c r="C561" s="9" t="inlineStr">
        <is>
          <t>7,3</t>
        </is>
      </c>
    </row>
    <row r="562">
      <c r="A562" s="8" t="inlineStr">
        <is>
          <t>Q30R1C4</t>
        </is>
      </c>
      <c r="B562" s="8">
        <f>ATI!H322</f>
        <v/>
      </c>
      <c r="C562" s="9" t="inlineStr">
        <is>
          <t>7,3</t>
        </is>
      </c>
    </row>
    <row r="563">
      <c r="A563" s="8" t="inlineStr">
        <is>
          <t>Q30R1C5</t>
        </is>
      </c>
      <c r="B563" s="8">
        <f>ATI!I322</f>
        <v/>
      </c>
      <c r="C563" s="9" t="inlineStr">
        <is>
          <t>7,3</t>
        </is>
      </c>
    </row>
    <row r="564">
      <c r="A564" s="8" t="inlineStr">
        <is>
          <t>Q30R1C6</t>
        </is>
      </c>
      <c r="B564" s="8">
        <f>ATI!J322</f>
        <v/>
      </c>
      <c r="C564" s="9" t="inlineStr">
        <is>
          <t>7,3</t>
        </is>
      </c>
    </row>
    <row r="565">
      <c r="A565" s="8" t="inlineStr">
        <is>
          <t>Q30R1C7</t>
        </is>
      </c>
      <c r="B565" s="8">
        <f>ATI!K322</f>
        <v/>
      </c>
      <c r="C565" s="9" t="inlineStr">
        <is>
          <t>7,3</t>
        </is>
      </c>
    </row>
    <row r="566">
      <c r="A566" s="8" t="inlineStr">
        <is>
          <t>Q30R2C1</t>
        </is>
      </c>
      <c r="B566" s="8">
        <f>ATI!E323</f>
        <v/>
      </c>
      <c r="C566" s="9" t="inlineStr">
        <is>
          <t>7,3</t>
        </is>
      </c>
    </row>
    <row r="567">
      <c r="A567" s="8" t="inlineStr">
        <is>
          <t>Q30R2C2</t>
        </is>
      </c>
      <c r="B567" s="8">
        <f>ATI!F323</f>
        <v/>
      </c>
      <c r="C567" s="9" t="inlineStr">
        <is>
          <t>7,3</t>
        </is>
      </c>
    </row>
    <row r="568">
      <c r="A568" s="8" t="inlineStr">
        <is>
          <t>Q30R2C3</t>
        </is>
      </c>
      <c r="B568" s="8">
        <f>ATI!G323</f>
        <v/>
      </c>
      <c r="C568" s="9" t="inlineStr">
        <is>
          <t>7,3</t>
        </is>
      </c>
    </row>
    <row r="569">
      <c r="A569" s="8" t="inlineStr">
        <is>
          <t>Q30R2C4</t>
        </is>
      </c>
      <c r="B569" s="8">
        <f>ATI!H323</f>
        <v/>
      </c>
      <c r="C569" s="9" t="inlineStr">
        <is>
          <t>7,3</t>
        </is>
      </c>
    </row>
    <row r="570">
      <c r="A570" s="8" t="inlineStr">
        <is>
          <t>Q30R2C5</t>
        </is>
      </c>
      <c r="B570" s="8">
        <f>ATI!I323</f>
        <v/>
      </c>
      <c r="C570" s="9" t="inlineStr">
        <is>
          <t>7,3</t>
        </is>
      </c>
    </row>
    <row r="571">
      <c r="A571" s="8" t="inlineStr">
        <is>
          <t>Q30R2C6</t>
        </is>
      </c>
      <c r="B571" s="8">
        <f>ATI!J323</f>
        <v/>
      </c>
      <c r="C571" s="9" t="inlineStr">
        <is>
          <t>7,3</t>
        </is>
      </c>
    </row>
    <row r="572">
      <c r="A572" s="8" t="inlineStr">
        <is>
          <t>Q30R2C7</t>
        </is>
      </c>
      <c r="B572" s="8">
        <f>ATI!K323</f>
        <v/>
      </c>
      <c r="C572" s="9" t="inlineStr">
        <is>
          <t>7,3</t>
        </is>
      </c>
    </row>
    <row r="573">
      <c r="A573" s="8" t="inlineStr">
        <is>
          <t>Q30R3C1</t>
        </is>
      </c>
      <c r="B573" s="8">
        <f>ATI!E324</f>
        <v/>
      </c>
      <c r="C573" s="9" t="inlineStr">
        <is>
          <t>7,3</t>
        </is>
      </c>
    </row>
    <row r="574">
      <c r="A574" s="8" t="inlineStr">
        <is>
          <t>Q30R3C2</t>
        </is>
      </c>
      <c r="B574" s="8">
        <f>ATI!F324</f>
        <v/>
      </c>
      <c r="C574" s="9" t="inlineStr">
        <is>
          <t>7,3</t>
        </is>
      </c>
    </row>
    <row r="575">
      <c r="A575" s="8" t="inlineStr">
        <is>
          <t>Q30R3C3</t>
        </is>
      </c>
      <c r="B575" s="8">
        <f>ATI!G324</f>
        <v/>
      </c>
      <c r="C575" s="9" t="inlineStr">
        <is>
          <t>7,3</t>
        </is>
      </c>
    </row>
    <row r="576">
      <c r="A576" s="8" t="inlineStr">
        <is>
          <t>Q30R3C4</t>
        </is>
      </c>
      <c r="B576" s="8">
        <f>ATI!H324</f>
        <v/>
      </c>
      <c r="C576" s="9" t="inlineStr">
        <is>
          <t>7,3</t>
        </is>
      </c>
    </row>
    <row r="577">
      <c r="A577" s="8" t="inlineStr">
        <is>
          <t>Q30R3C5</t>
        </is>
      </c>
      <c r="B577" s="8">
        <f>ATI!I324</f>
        <v/>
      </c>
      <c r="C577" s="9" t="inlineStr">
        <is>
          <t>7,3</t>
        </is>
      </c>
    </row>
    <row r="578">
      <c r="A578" s="8" t="inlineStr">
        <is>
          <t>Q30R3C6</t>
        </is>
      </c>
      <c r="B578" s="8">
        <f>ATI!J324</f>
        <v/>
      </c>
      <c r="C578" s="9" t="inlineStr">
        <is>
          <t>7,3</t>
        </is>
      </c>
    </row>
    <row r="579">
      <c r="A579" s="8" t="inlineStr">
        <is>
          <t>Q30R3C7</t>
        </is>
      </c>
      <c r="B579" s="8">
        <f>ATI!K324</f>
        <v/>
      </c>
      <c r="C579" s="9" t="inlineStr">
        <is>
          <t>7,3</t>
        </is>
      </c>
    </row>
    <row r="580">
      <c r="A580" s="8" t="inlineStr">
        <is>
          <t>Q30R4C1</t>
        </is>
      </c>
      <c r="B580" s="8">
        <f>ATI!E325</f>
        <v/>
      </c>
      <c r="C580" s="9" t="inlineStr">
        <is>
          <t>7,3</t>
        </is>
      </c>
    </row>
    <row r="581">
      <c r="A581" s="8" t="inlineStr">
        <is>
          <t>Q30R4C2</t>
        </is>
      </c>
      <c r="B581" s="8">
        <f>ATI!F325</f>
        <v/>
      </c>
      <c r="C581" s="9" t="inlineStr">
        <is>
          <t>7,3</t>
        </is>
      </c>
    </row>
    <row r="582">
      <c r="A582" s="8" t="inlineStr">
        <is>
          <t>Q30R4C3</t>
        </is>
      </c>
      <c r="B582" s="8">
        <f>ATI!G325</f>
        <v/>
      </c>
      <c r="C582" s="9" t="inlineStr">
        <is>
          <t>7,3</t>
        </is>
      </c>
    </row>
    <row r="583">
      <c r="A583" s="8" t="inlineStr">
        <is>
          <t>Q30R4C4</t>
        </is>
      </c>
      <c r="B583" s="8">
        <f>ATI!H325</f>
        <v/>
      </c>
      <c r="C583" s="9" t="inlineStr">
        <is>
          <t>7,3</t>
        </is>
      </c>
    </row>
    <row r="584">
      <c r="A584" s="8" t="inlineStr">
        <is>
          <t>Q30R4C5</t>
        </is>
      </c>
      <c r="B584" s="8">
        <f>ATI!I325</f>
        <v/>
      </c>
      <c r="C584" s="9" t="inlineStr">
        <is>
          <t>7,3</t>
        </is>
      </c>
    </row>
    <row r="585">
      <c r="A585" s="8" t="inlineStr">
        <is>
          <t>Q30R4C6</t>
        </is>
      </c>
      <c r="B585" s="8">
        <f>ATI!J325</f>
        <v/>
      </c>
      <c r="C585" s="9" t="inlineStr">
        <is>
          <t>7,3</t>
        </is>
      </c>
    </row>
    <row r="586">
      <c r="A586" s="8" t="inlineStr">
        <is>
          <t>Q30R4C7</t>
        </is>
      </c>
      <c r="B586" s="8">
        <f>ATI!K325</f>
        <v/>
      </c>
      <c r="C586" s="9" t="inlineStr">
        <is>
          <t>7,3</t>
        </is>
      </c>
    </row>
    <row r="587">
      <c r="A587" s="8" t="inlineStr">
        <is>
          <t>Q30R5C1</t>
        </is>
      </c>
      <c r="B587" s="8">
        <f>ATI!E326</f>
        <v/>
      </c>
      <c r="C587" s="9" t="inlineStr">
        <is>
          <t>7,3</t>
        </is>
      </c>
    </row>
    <row r="588">
      <c r="A588" s="8" t="inlineStr">
        <is>
          <t>Q30R5C2</t>
        </is>
      </c>
      <c r="B588" s="8">
        <f>ATI!F326</f>
        <v/>
      </c>
      <c r="C588" s="9" t="inlineStr">
        <is>
          <t>7,3</t>
        </is>
      </c>
    </row>
    <row r="589">
      <c r="A589" s="8" t="inlineStr">
        <is>
          <t>Q30R5C3</t>
        </is>
      </c>
      <c r="B589" s="8">
        <f>ATI!G326</f>
        <v/>
      </c>
      <c r="C589" s="9" t="inlineStr">
        <is>
          <t>7,3</t>
        </is>
      </c>
    </row>
    <row r="590">
      <c r="A590" s="8" t="inlineStr">
        <is>
          <t>Q30R5C4</t>
        </is>
      </c>
      <c r="B590" s="8">
        <f>ATI!H326</f>
        <v/>
      </c>
      <c r="C590" s="9" t="inlineStr">
        <is>
          <t>7,3</t>
        </is>
      </c>
    </row>
    <row r="591">
      <c r="A591" s="8" t="inlineStr">
        <is>
          <t>Q30R5C5</t>
        </is>
      </c>
      <c r="B591" s="8">
        <f>ATI!I326</f>
        <v/>
      </c>
      <c r="C591" s="9" t="inlineStr">
        <is>
          <t>7,3</t>
        </is>
      </c>
    </row>
    <row r="592">
      <c r="A592" s="8" t="inlineStr">
        <is>
          <t>Q30R5C6</t>
        </is>
      </c>
      <c r="B592" s="8">
        <f>ATI!J326</f>
        <v/>
      </c>
      <c r="C592" s="9" t="inlineStr">
        <is>
          <t>7,3</t>
        </is>
      </c>
    </row>
    <row r="593">
      <c r="A593" s="8" t="inlineStr">
        <is>
          <t>Q30R5C7</t>
        </is>
      </c>
      <c r="B593" s="8">
        <f>ATI!K326</f>
        <v/>
      </c>
      <c r="C593" s="9" t="inlineStr">
        <is>
          <t>7,3</t>
        </is>
      </c>
    </row>
    <row r="594">
      <c r="A594" s="8" t="inlineStr">
        <is>
          <t>Q30R6C1</t>
        </is>
      </c>
      <c r="B594" s="8">
        <f>ATI!E327</f>
        <v/>
      </c>
      <c r="C594" s="9" t="inlineStr">
        <is>
          <t>7,3</t>
        </is>
      </c>
    </row>
    <row r="595">
      <c r="A595" s="8" t="inlineStr">
        <is>
          <t>Q30R6C2</t>
        </is>
      </c>
      <c r="B595" s="8">
        <f>ATI!F327</f>
        <v/>
      </c>
      <c r="C595" s="9" t="inlineStr">
        <is>
          <t>7,3</t>
        </is>
      </c>
    </row>
    <row r="596">
      <c r="A596" s="8" t="inlineStr">
        <is>
          <t>Q30R6C3</t>
        </is>
      </c>
      <c r="B596" s="8">
        <f>ATI!G327</f>
        <v/>
      </c>
      <c r="C596" s="9" t="inlineStr">
        <is>
          <t>7,3</t>
        </is>
      </c>
    </row>
    <row r="597">
      <c r="A597" s="8" t="inlineStr">
        <is>
          <t>Q30R6C4</t>
        </is>
      </c>
      <c r="B597" s="8">
        <f>ATI!H327</f>
        <v/>
      </c>
      <c r="C597" s="9" t="inlineStr">
        <is>
          <t>7,3</t>
        </is>
      </c>
    </row>
    <row r="598">
      <c r="A598" s="8" t="inlineStr">
        <is>
          <t>Q30R6C5</t>
        </is>
      </c>
      <c r="B598" s="8">
        <f>ATI!I327</f>
        <v/>
      </c>
      <c r="C598" s="9" t="inlineStr">
        <is>
          <t>7,3</t>
        </is>
      </c>
    </row>
    <row r="599">
      <c r="A599" s="8" t="inlineStr">
        <is>
          <t>Q30R6C6</t>
        </is>
      </c>
      <c r="B599" s="8">
        <f>ATI!J327</f>
        <v/>
      </c>
      <c r="C599" s="9" t="inlineStr">
        <is>
          <t>7,3</t>
        </is>
      </c>
    </row>
    <row r="600">
      <c r="A600" s="8" t="inlineStr">
        <is>
          <t>Q30R6C7</t>
        </is>
      </c>
      <c r="B600" s="8">
        <f>ATI!K327</f>
        <v/>
      </c>
      <c r="C600" s="9" t="inlineStr">
        <is>
          <t>7,3</t>
        </is>
      </c>
    </row>
    <row r="601">
      <c r="A601" s="8" t="inlineStr">
        <is>
          <t>Q31R1C1</t>
        </is>
      </c>
      <c r="B601" s="8">
        <f>ATI!C336</f>
        <v/>
      </c>
      <c r="C601" s="9" t="inlineStr">
        <is>
          <t>8,1</t>
        </is>
      </c>
    </row>
    <row r="602">
      <c r="A602" s="8" t="inlineStr">
        <is>
          <t>Q31R1C2</t>
        </is>
      </c>
      <c r="B602" s="8">
        <f>ATI!D336</f>
        <v/>
      </c>
      <c r="C602" s="9" t="inlineStr">
        <is>
          <t>8,1</t>
        </is>
      </c>
    </row>
    <row r="603">
      <c r="A603" s="8" t="inlineStr">
        <is>
          <t>Q31R1C3</t>
        </is>
      </c>
      <c r="B603" s="8">
        <f>ATI!E336</f>
        <v/>
      </c>
      <c r="C603" s="9" t="inlineStr">
        <is>
          <t>8,1</t>
        </is>
      </c>
    </row>
    <row r="604">
      <c r="A604" s="8" t="inlineStr">
        <is>
          <t>Q31R1C4</t>
        </is>
      </c>
      <c r="B604" s="8">
        <f>ATI!F336</f>
        <v/>
      </c>
      <c r="C604" s="9" t="inlineStr">
        <is>
          <t>8,1</t>
        </is>
      </c>
    </row>
    <row r="605">
      <c r="A605" s="8" t="inlineStr">
        <is>
          <t>Q31R1C5</t>
        </is>
      </c>
      <c r="B605" s="8">
        <f>ATI!G336</f>
        <v/>
      </c>
      <c r="C605" s="9" t="inlineStr">
        <is>
          <t>8,1</t>
        </is>
      </c>
    </row>
    <row r="606">
      <c r="A606" s="8" t="inlineStr">
        <is>
          <t>Q31R1C6</t>
        </is>
      </c>
      <c r="B606" s="8">
        <f>ATI!H336</f>
        <v/>
      </c>
      <c r="C606" s="9" t="inlineStr">
        <is>
          <t>8,1</t>
        </is>
      </c>
    </row>
    <row r="607">
      <c r="A607" s="8" t="inlineStr">
        <is>
          <t>Q31R1C7</t>
        </is>
      </c>
      <c r="B607" s="8">
        <f>ATI!I336</f>
        <v/>
      </c>
      <c r="C607" s="9" t="inlineStr">
        <is>
          <t>8,1</t>
        </is>
      </c>
    </row>
    <row r="608">
      <c r="A608" s="8" t="inlineStr">
        <is>
          <t>Q31R1C8</t>
        </is>
      </c>
      <c r="B608" s="8">
        <f>ATI!J336</f>
        <v/>
      </c>
      <c r="C608" s="9" t="inlineStr">
        <is>
          <t>8,1</t>
        </is>
      </c>
    </row>
    <row r="609">
      <c r="A609" s="8" t="inlineStr">
        <is>
          <t>Q31R1C9</t>
        </is>
      </c>
      <c r="B609" s="8">
        <f>ATI!K336</f>
        <v/>
      </c>
      <c r="C609" s="9" t="inlineStr">
        <is>
          <t>8,1</t>
        </is>
      </c>
    </row>
    <row r="610">
      <c r="A610" s="8" t="inlineStr">
        <is>
          <t>Q31R1C10</t>
        </is>
      </c>
      <c r="B610" s="8">
        <f>ATI!L336</f>
        <v/>
      </c>
      <c r="C610" s="9" t="inlineStr">
        <is>
          <t>8,1</t>
        </is>
      </c>
    </row>
    <row r="611">
      <c r="A611" s="8" t="inlineStr">
        <is>
          <t>Q31R2C1</t>
        </is>
      </c>
      <c r="B611" s="8">
        <f>ATI!C337</f>
        <v/>
      </c>
      <c r="C611" s="9" t="inlineStr">
        <is>
          <t>8,1</t>
        </is>
      </c>
    </row>
    <row r="612">
      <c r="A612" s="8" t="inlineStr">
        <is>
          <t>Q31R2C2</t>
        </is>
      </c>
      <c r="B612" s="8">
        <f>ATI!D337</f>
        <v/>
      </c>
      <c r="C612" s="9" t="inlineStr">
        <is>
          <t>8,1</t>
        </is>
      </c>
    </row>
    <row r="613">
      <c r="A613" s="8" t="inlineStr">
        <is>
          <t>Q31R2C3</t>
        </is>
      </c>
      <c r="B613" s="8">
        <f>ATI!E337</f>
        <v/>
      </c>
      <c r="C613" s="9" t="inlineStr">
        <is>
          <t>8,1</t>
        </is>
      </c>
    </row>
    <row r="614">
      <c r="A614" s="8" t="inlineStr">
        <is>
          <t>Q31R2C4</t>
        </is>
      </c>
      <c r="B614" s="8">
        <f>ATI!F337</f>
        <v/>
      </c>
      <c r="C614" s="9" t="inlineStr">
        <is>
          <t>8,1</t>
        </is>
      </c>
    </row>
    <row r="615">
      <c r="A615" s="8" t="inlineStr">
        <is>
          <t>Q31R2C5</t>
        </is>
      </c>
      <c r="B615" s="8">
        <f>ATI!G337</f>
        <v/>
      </c>
      <c r="C615" s="9" t="inlineStr">
        <is>
          <t>8,1</t>
        </is>
      </c>
    </row>
    <row r="616">
      <c r="A616" s="8" t="inlineStr">
        <is>
          <t>Q31R2C6</t>
        </is>
      </c>
      <c r="B616" s="8">
        <f>ATI!H337</f>
        <v/>
      </c>
      <c r="C616" s="9" t="inlineStr">
        <is>
          <t>8,1</t>
        </is>
      </c>
    </row>
    <row r="617">
      <c r="A617" s="8" t="inlineStr">
        <is>
          <t>Q31R2C7</t>
        </is>
      </c>
      <c r="B617" s="8">
        <f>ATI!I337</f>
        <v/>
      </c>
      <c r="C617" s="9" t="inlineStr">
        <is>
          <t>8,1</t>
        </is>
      </c>
    </row>
    <row r="618">
      <c r="A618" s="8" t="inlineStr">
        <is>
          <t>Q31R2C8</t>
        </is>
      </c>
      <c r="B618" s="8">
        <f>ATI!J337</f>
        <v/>
      </c>
      <c r="C618" s="9" t="inlineStr">
        <is>
          <t>8,1</t>
        </is>
      </c>
    </row>
    <row r="619">
      <c r="A619" s="8" t="inlineStr">
        <is>
          <t>Q31R2C9</t>
        </is>
      </c>
      <c r="B619" s="8">
        <f>ATI!K337</f>
        <v/>
      </c>
      <c r="C619" s="9" t="inlineStr">
        <is>
          <t>8,1</t>
        </is>
      </c>
    </row>
    <row r="620">
      <c r="A620" s="8" t="inlineStr">
        <is>
          <t>Q31R2C10</t>
        </is>
      </c>
      <c r="B620" s="8">
        <f>ATI!L337</f>
        <v/>
      </c>
      <c r="C620" s="9" t="inlineStr">
        <is>
          <t>8,1</t>
        </is>
      </c>
    </row>
    <row r="621">
      <c r="A621" s="8" t="inlineStr">
        <is>
          <t>Q31R3C1</t>
        </is>
      </c>
      <c r="B621" s="8">
        <f>ATI!C338</f>
        <v/>
      </c>
      <c r="C621" s="9" t="inlineStr">
        <is>
          <t>8,1</t>
        </is>
      </c>
    </row>
    <row r="622">
      <c r="A622" s="8" t="inlineStr">
        <is>
          <t>Q31R3C2</t>
        </is>
      </c>
      <c r="B622" s="8">
        <f>ATI!D338</f>
        <v/>
      </c>
      <c r="C622" s="9" t="inlineStr">
        <is>
          <t>8,1</t>
        </is>
      </c>
    </row>
    <row r="623">
      <c r="A623" s="8" t="inlineStr">
        <is>
          <t>Q31R3C3</t>
        </is>
      </c>
      <c r="B623" s="8">
        <f>ATI!E338</f>
        <v/>
      </c>
      <c r="C623" s="9" t="inlineStr">
        <is>
          <t>8,1</t>
        </is>
      </c>
    </row>
    <row r="624">
      <c r="A624" s="8" t="inlineStr">
        <is>
          <t>Q31R3C4</t>
        </is>
      </c>
      <c r="B624" s="8">
        <f>ATI!F338</f>
        <v/>
      </c>
      <c r="C624" s="9" t="inlineStr">
        <is>
          <t>8,1</t>
        </is>
      </c>
    </row>
    <row r="625">
      <c r="A625" s="8" t="inlineStr">
        <is>
          <t>Q31R3C5</t>
        </is>
      </c>
      <c r="B625" s="8">
        <f>ATI!G338</f>
        <v/>
      </c>
      <c r="C625" s="9" t="inlineStr">
        <is>
          <t>8,1</t>
        </is>
      </c>
    </row>
    <row r="626">
      <c r="A626" s="8" t="inlineStr">
        <is>
          <t>Q31R3C6</t>
        </is>
      </c>
      <c r="B626" s="8">
        <f>ATI!H338</f>
        <v/>
      </c>
      <c r="C626" s="9" t="inlineStr">
        <is>
          <t>8,1</t>
        </is>
      </c>
    </row>
    <row r="627">
      <c r="A627" s="8" t="inlineStr">
        <is>
          <t>Q31R3C7</t>
        </is>
      </c>
      <c r="B627" s="8">
        <f>ATI!I338</f>
        <v/>
      </c>
      <c r="C627" s="9" t="inlineStr">
        <is>
          <t>8,1</t>
        </is>
      </c>
    </row>
    <row r="628">
      <c r="A628" s="8" t="inlineStr">
        <is>
          <t>Q31R3C8</t>
        </is>
      </c>
      <c r="B628" s="8">
        <f>ATI!J338</f>
        <v/>
      </c>
      <c r="C628" s="9" t="inlineStr">
        <is>
          <t>8,1</t>
        </is>
      </c>
    </row>
    <row r="629">
      <c r="A629" s="8" t="inlineStr">
        <is>
          <t>Q31R3C9</t>
        </is>
      </c>
      <c r="B629" s="8">
        <f>ATI!K338</f>
        <v/>
      </c>
      <c r="C629" s="9" t="inlineStr">
        <is>
          <t>8,1</t>
        </is>
      </c>
    </row>
    <row r="630">
      <c r="A630" s="8" t="inlineStr">
        <is>
          <t>Q31R3C10</t>
        </is>
      </c>
      <c r="B630" s="8">
        <f>ATI!L338</f>
        <v/>
      </c>
      <c r="C630" s="9" t="inlineStr">
        <is>
          <t>8,1</t>
        </is>
      </c>
    </row>
    <row r="631">
      <c r="A631" s="8" t="inlineStr">
        <is>
          <t>Q31R4C1</t>
        </is>
      </c>
      <c r="B631" s="8">
        <f>ATI!C339</f>
        <v/>
      </c>
      <c r="C631" s="9" t="inlineStr">
        <is>
          <t>8,1</t>
        </is>
      </c>
    </row>
    <row r="632">
      <c r="A632" s="8" t="inlineStr">
        <is>
          <t>Q31R4C2</t>
        </is>
      </c>
      <c r="B632" s="8">
        <f>ATI!D339</f>
        <v/>
      </c>
      <c r="C632" s="9" t="inlineStr">
        <is>
          <t>8,1</t>
        </is>
      </c>
    </row>
    <row r="633">
      <c r="A633" s="8" t="inlineStr">
        <is>
          <t>Q31R4C3</t>
        </is>
      </c>
      <c r="B633" s="8">
        <f>ATI!E339</f>
        <v/>
      </c>
      <c r="C633" s="9" t="inlineStr">
        <is>
          <t>8,1</t>
        </is>
      </c>
    </row>
    <row r="634">
      <c r="A634" s="8" t="inlineStr">
        <is>
          <t>Q31R4C4</t>
        </is>
      </c>
      <c r="B634" s="8">
        <f>ATI!F339</f>
        <v/>
      </c>
      <c r="C634" s="9" t="inlineStr">
        <is>
          <t>8,1</t>
        </is>
      </c>
    </row>
    <row r="635">
      <c r="A635" s="8" t="inlineStr">
        <is>
          <t>Q31R4C5</t>
        </is>
      </c>
      <c r="B635" s="8">
        <f>ATI!G339</f>
        <v/>
      </c>
      <c r="C635" s="9" t="inlineStr">
        <is>
          <t>8,1</t>
        </is>
      </c>
    </row>
    <row r="636">
      <c r="A636" s="8" t="inlineStr">
        <is>
          <t>Q31R4C6</t>
        </is>
      </c>
      <c r="B636" s="8">
        <f>ATI!H339</f>
        <v/>
      </c>
      <c r="C636" s="9" t="inlineStr">
        <is>
          <t>8,1</t>
        </is>
      </c>
    </row>
    <row r="637">
      <c r="A637" s="8" t="inlineStr">
        <is>
          <t>Q31R4C7</t>
        </is>
      </c>
      <c r="B637" s="8">
        <f>ATI!I339</f>
        <v/>
      </c>
      <c r="C637" s="9" t="inlineStr">
        <is>
          <t>8,1</t>
        </is>
      </c>
    </row>
    <row r="638">
      <c r="A638" s="8" t="inlineStr">
        <is>
          <t>Q31R4C8</t>
        </is>
      </c>
      <c r="B638" s="8">
        <f>ATI!J339</f>
        <v/>
      </c>
      <c r="C638" s="9" t="inlineStr">
        <is>
          <t>8,1</t>
        </is>
      </c>
    </row>
    <row r="639">
      <c r="A639" s="8" t="inlineStr">
        <is>
          <t>Q31R4C9</t>
        </is>
      </c>
      <c r="B639" s="8">
        <f>ATI!K339</f>
        <v/>
      </c>
      <c r="C639" s="9" t="inlineStr">
        <is>
          <t>8,1</t>
        </is>
      </c>
    </row>
    <row r="640">
      <c r="A640" s="8" t="inlineStr">
        <is>
          <t>Q31R4C10</t>
        </is>
      </c>
      <c r="B640" s="8">
        <f>ATI!L339</f>
        <v/>
      </c>
      <c r="C640" s="9" t="inlineStr">
        <is>
          <t>8,1</t>
        </is>
      </c>
    </row>
    <row r="641">
      <c r="A641" s="8" t="inlineStr">
        <is>
          <t>Q31R5C1</t>
        </is>
      </c>
      <c r="B641" s="8">
        <f>ATI!C340</f>
        <v/>
      </c>
      <c r="C641" s="9" t="inlineStr">
        <is>
          <t>8,1</t>
        </is>
      </c>
    </row>
    <row r="642">
      <c r="A642" s="8" t="inlineStr">
        <is>
          <t>Q31R5C2</t>
        </is>
      </c>
      <c r="B642" s="8">
        <f>ATI!D340</f>
        <v/>
      </c>
      <c r="C642" s="9" t="inlineStr">
        <is>
          <t>8,1</t>
        </is>
      </c>
    </row>
    <row r="643">
      <c r="A643" s="8" t="inlineStr">
        <is>
          <t>Q31R5C3</t>
        </is>
      </c>
      <c r="B643" s="8">
        <f>ATI!E340</f>
        <v/>
      </c>
      <c r="C643" s="9" t="inlineStr">
        <is>
          <t>8,1</t>
        </is>
      </c>
    </row>
    <row r="644">
      <c r="A644" s="8" t="inlineStr">
        <is>
          <t>Q31R5C4</t>
        </is>
      </c>
      <c r="B644" s="8">
        <f>ATI!F340</f>
        <v/>
      </c>
      <c r="C644" s="9" t="inlineStr">
        <is>
          <t>8,1</t>
        </is>
      </c>
    </row>
    <row r="645">
      <c r="A645" s="8" t="inlineStr">
        <is>
          <t>Q31R5C5</t>
        </is>
      </c>
      <c r="B645" s="8">
        <f>ATI!G340</f>
        <v/>
      </c>
      <c r="C645" s="9" t="inlineStr">
        <is>
          <t>8,1</t>
        </is>
      </c>
    </row>
    <row r="646">
      <c r="A646" s="8" t="inlineStr">
        <is>
          <t>Q31R5C6</t>
        </is>
      </c>
      <c r="B646" s="8">
        <f>ATI!H340</f>
        <v/>
      </c>
      <c r="C646" s="9" t="inlineStr">
        <is>
          <t>8,1</t>
        </is>
      </c>
    </row>
    <row r="647">
      <c r="A647" s="8" t="inlineStr">
        <is>
          <t>Q31R5C7</t>
        </is>
      </c>
      <c r="B647" s="8">
        <f>ATI!I340</f>
        <v/>
      </c>
      <c r="C647" s="9" t="inlineStr">
        <is>
          <t>8,1</t>
        </is>
      </c>
    </row>
    <row r="648">
      <c r="A648" s="8" t="inlineStr">
        <is>
          <t>Q31R5C8</t>
        </is>
      </c>
      <c r="B648" s="8">
        <f>ATI!J340</f>
        <v/>
      </c>
      <c r="C648" s="9" t="inlineStr">
        <is>
          <t>8,1</t>
        </is>
      </c>
    </row>
    <row r="649">
      <c r="A649" s="8" t="inlineStr">
        <is>
          <t>Q31R5C9</t>
        </is>
      </c>
      <c r="B649" s="8">
        <f>ATI!K340</f>
        <v/>
      </c>
      <c r="C649" s="9" t="inlineStr">
        <is>
          <t>8,1</t>
        </is>
      </c>
    </row>
    <row r="650">
      <c r="A650" s="8" t="inlineStr">
        <is>
          <t>Q31R5C10</t>
        </is>
      </c>
      <c r="B650" s="8">
        <f>ATI!L340</f>
        <v/>
      </c>
      <c r="C650" s="9" t="inlineStr">
        <is>
          <t>8,1</t>
        </is>
      </c>
    </row>
    <row r="651">
      <c r="A651" s="8" t="inlineStr">
        <is>
          <t>Q31R6C1</t>
        </is>
      </c>
      <c r="B651" s="8">
        <f>ATI!C341</f>
        <v/>
      </c>
      <c r="C651" s="9" t="inlineStr">
        <is>
          <t>8,1</t>
        </is>
      </c>
    </row>
    <row r="652">
      <c r="A652" s="8" t="inlineStr">
        <is>
          <t>Q31R6C2</t>
        </is>
      </c>
      <c r="B652" s="8">
        <f>ATI!D341</f>
        <v/>
      </c>
      <c r="C652" s="9" t="inlineStr">
        <is>
          <t>8,1</t>
        </is>
      </c>
    </row>
    <row r="653">
      <c r="A653" s="8" t="inlineStr">
        <is>
          <t>Q31R6C3</t>
        </is>
      </c>
      <c r="B653" s="8">
        <f>ATI!E341</f>
        <v/>
      </c>
      <c r="C653" s="9" t="inlineStr">
        <is>
          <t>8,1</t>
        </is>
      </c>
    </row>
    <row r="654">
      <c r="A654" s="8" t="inlineStr">
        <is>
          <t>Q31R6C4</t>
        </is>
      </c>
      <c r="B654" s="8">
        <f>ATI!F341</f>
        <v/>
      </c>
      <c r="C654" s="9" t="inlineStr">
        <is>
          <t>8,1</t>
        </is>
      </c>
    </row>
    <row r="655">
      <c r="A655" s="8" t="inlineStr">
        <is>
          <t>Q31R6C5</t>
        </is>
      </c>
      <c r="B655" s="8">
        <f>ATI!G341</f>
        <v/>
      </c>
      <c r="C655" s="9" t="inlineStr">
        <is>
          <t>8,1</t>
        </is>
      </c>
    </row>
    <row r="656">
      <c r="A656" s="8" t="inlineStr">
        <is>
          <t>Q31R6C6</t>
        </is>
      </c>
      <c r="B656" s="8">
        <f>ATI!H341</f>
        <v/>
      </c>
      <c r="C656" s="9" t="inlineStr">
        <is>
          <t>8,1</t>
        </is>
      </c>
    </row>
    <row r="657">
      <c r="A657" s="8" t="inlineStr">
        <is>
          <t>Q31R6C7</t>
        </is>
      </c>
      <c r="B657" s="8">
        <f>ATI!I341</f>
        <v/>
      </c>
      <c r="C657" s="9" t="inlineStr">
        <is>
          <t>8,1</t>
        </is>
      </c>
    </row>
    <row r="658">
      <c r="A658" s="8" t="inlineStr">
        <is>
          <t>Q31R6C8</t>
        </is>
      </c>
      <c r="B658" s="8">
        <f>ATI!J341</f>
        <v/>
      </c>
      <c r="C658" s="9" t="inlineStr">
        <is>
          <t>8,1</t>
        </is>
      </c>
    </row>
    <row r="659">
      <c r="A659" s="8" t="inlineStr">
        <is>
          <t>Q31R6C9</t>
        </is>
      </c>
      <c r="B659" s="8">
        <f>ATI!K341</f>
        <v/>
      </c>
      <c r="C659" s="9" t="inlineStr">
        <is>
          <t>8,1</t>
        </is>
      </c>
    </row>
    <row r="660">
      <c r="A660" s="8" t="inlineStr">
        <is>
          <t>Q31R6C10</t>
        </is>
      </c>
      <c r="B660" s="8">
        <f>ATI!L341</f>
        <v/>
      </c>
      <c r="C660" s="9" t="inlineStr">
        <is>
          <t>8,1</t>
        </is>
      </c>
    </row>
    <row r="661">
      <c r="A661" s="8" t="inlineStr">
        <is>
          <t>Q31R7C1</t>
        </is>
      </c>
      <c r="B661" s="8">
        <f>ATI!C342</f>
        <v/>
      </c>
      <c r="C661" s="9" t="inlineStr">
        <is>
          <t>8,1</t>
        </is>
      </c>
    </row>
    <row r="662">
      <c r="A662" s="8" t="inlineStr">
        <is>
          <t>Q31R7C2</t>
        </is>
      </c>
      <c r="B662" s="8">
        <f>ATI!D342</f>
        <v/>
      </c>
      <c r="C662" s="9" t="inlineStr">
        <is>
          <t>8,1</t>
        </is>
      </c>
    </row>
    <row r="663">
      <c r="A663" s="8" t="inlineStr">
        <is>
          <t>Q31R7C3</t>
        </is>
      </c>
      <c r="B663" s="8">
        <f>ATI!E342</f>
        <v/>
      </c>
      <c r="C663" s="9" t="inlineStr">
        <is>
          <t>8,1</t>
        </is>
      </c>
    </row>
    <row r="664">
      <c r="A664" s="8" t="inlineStr">
        <is>
          <t>Q31R7C4</t>
        </is>
      </c>
      <c r="B664" s="8">
        <f>ATI!F342</f>
        <v/>
      </c>
      <c r="C664" s="9" t="inlineStr">
        <is>
          <t>8,1</t>
        </is>
      </c>
    </row>
    <row r="665">
      <c r="A665" s="8" t="inlineStr">
        <is>
          <t>Q31R7C5</t>
        </is>
      </c>
      <c r="B665" s="8">
        <f>ATI!G342</f>
        <v/>
      </c>
      <c r="C665" s="9" t="inlineStr">
        <is>
          <t>8,1</t>
        </is>
      </c>
    </row>
    <row r="666">
      <c r="A666" s="8" t="inlineStr">
        <is>
          <t>Q31R7C6</t>
        </is>
      </c>
      <c r="B666" s="8">
        <f>ATI!H342</f>
        <v/>
      </c>
      <c r="C666" s="9" t="inlineStr">
        <is>
          <t>8,1</t>
        </is>
      </c>
    </row>
    <row r="667">
      <c r="A667" s="8" t="inlineStr">
        <is>
          <t>Q31R7C7</t>
        </is>
      </c>
      <c r="B667" s="8">
        <f>ATI!I342</f>
        <v/>
      </c>
      <c r="C667" s="9" t="inlineStr">
        <is>
          <t>8,1</t>
        </is>
      </c>
    </row>
    <row r="668">
      <c r="A668" s="8" t="inlineStr">
        <is>
          <t>Q31R7C8</t>
        </is>
      </c>
      <c r="B668" s="8">
        <f>ATI!J342</f>
        <v/>
      </c>
      <c r="C668" s="9" t="inlineStr">
        <is>
          <t>8,1</t>
        </is>
      </c>
    </row>
    <row r="669">
      <c r="A669" s="8" t="inlineStr">
        <is>
          <t>Q31R7C9</t>
        </is>
      </c>
      <c r="B669" s="8">
        <f>ATI!K342</f>
        <v/>
      </c>
      <c r="C669" s="9" t="inlineStr">
        <is>
          <t>8,1</t>
        </is>
      </c>
    </row>
    <row r="670">
      <c r="A670" s="8" t="inlineStr">
        <is>
          <t>Q31R7C10</t>
        </is>
      </c>
      <c r="B670" s="8">
        <f>ATI!L342</f>
        <v/>
      </c>
      <c r="C670" s="9" t="inlineStr">
        <is>
          <t>8,1</t>
        </is>
      </c>
    </row>
    <row r="671">
      <c r="A671" s="8" t="inlineStr">
        <is>
          <t>Q32R1C1</t>
        </is>
      </c>
      <c r="B671" s="8">
        <f>ATI!C349</f>
        <v/>
      </c>
      <c r="C671" s="9" t="inlineStr">
        <is>
          <t>8,2</t>
        </is>
      </c>
    </row>
    <row r="672">
      <c r="A672" s="8" t="inlineStr">
        <is>
          <t>Q32R1C2</t>
        </is>
      </c>
      <c r="B672" s="8">
        <f>ATI!D349</f>
        <v/>
      </c>
      <c r="C672" s="9" t="inlineStr">
        <is>
          <t>8,2</t>
        </is>
      </c>
    </row>
    <row r="673">
      <c r="A673" s="8" t="inlineStr">
        <is>
          <t>Q32R1C3</t>
        </is>
      </c>
      <c r="B673" s="8">
        <f>ATI!E349</f>
        <v/>
      </c>
      <c r="C673" s="9" t="inlineStr">
        <is>
          <t>8,2</t>
        </is>
      </c>
    </row>
    <row r="674">
      <c r="A674" s="8" t="inlineStr">
        <is>
          <t>Q32R1C4</t>
        </is>
      </c>
      <c r="B674" s="8">
        <f>ATI!F349</f>
        <v/>
      </c>
      <c r="C674" s="9" t="inlineStr">
        <is>
          <t>8,2</t>
        </is>
      </c>
    </row>
    <row r="675">
      <c r="A675" s="8" t="inlineStr">
        <is>
          <t>Q32R1C5</t>
        </is>
      </c>
      <c r="B675" s="8">
        <f>ATI!G349</f>
        <v/>
      </c>
      <c r="C675" s="9" t="inlineStr">
        <is>
          <t>8,2</t>
        </is>
      </c>
    </row>
    <row r="676">
      <c r="A676" s="8" t="inlineStr">
        <is>
          <t>Q32R1C6</t>
        </is>
      </c>
      <c r="B676" s="8">
        <f>ATI!H349</f>
        <v/>
      </c>
      <c r="C676" s="9" t="inlineStr">
        <is>
          <t>8,2</t>
        </is>
      </c>
    </row>
    <row r="677">
      <c r="A677" s="8" t="inlineStr">
        <is>
          <t>Q32R1C7</t>
        </is>
      </c>
      <c r="B677" s="8">
        <f>ATI!I349</f>
        <v/>
      </c>
      <c r="C677" s="9" t="inlineStr">
        <is>
          <t>8,2</t>
        </is>
      </c>
    </row>
    <row r="678">
      <c r="A678" s="8" t="inlineStr">
        <is>
          <t>Q32R1C8</t>
        </is>
      </c>
      <c r="B678" s="8">
        <f>ATI!J349</f>
        <v/>
      </c>
      <c r="C678" s="9" t="inlineStr">
        <is>
          <t>8,2</t>
        </is>
      </c>
    </row>
    <row r="679">
      <c r="A679" s="8" t="inlineStr">
        <is>
          <t>Q32R1C9</t>
        </is>
      </c>
      <c r="B679" s="8">
        <f>ATI!K349</f>
        <v/>
      </c>
      <c r="C679" s="9" t="inlineStr">
        <is>
          <t>8,2</t>
        </is>
      </c>
    </row>
    <row r="680">
      <c r="A680" s="8" t="inlineStr">
        <is>
          <t>Q32R1C10</t>
        </is>
      </c>
      <c r="B680" s="8">
        <f>ATI!L349</f>
        <v/>
      </c>
      <c r="C680" s="9" t="inlineStr">
        <is>
          <t>8,2</t>
        </is>
      </c>
    </row>
    <row r="681">
      <c r="A681" s="8" t="inlineStr">
        <is>
          <t>Q32R2C1</t>
        </is>
      </c>
      <c r="B681" s="8">
        <f>ATI!C350</f>
        <v/>
      </c>
      <c r="C681" s="9" t="inlineStr">
        <is>
          <t>8,2</t>
        </is>
      </c>
    </row>
    <row r="682">
      <c r="A682" s="8" t="inlineStr">
        <is>
          <t>Q32R2C2</t>
        </is>
      </c>
      <c r="B682" s="8">
        <f>ATI!D350</f>
        <v/>
      </c>
      <c r="C682" s="9" t="inlineStr">
        <is>
          <t>8,2</t>
        </is>
      </c>
    </row>
    <row r="683">
      <c r="A683" s="8" t="inlineStr">
        <is>
          <t>Q32R2C3</t>
        </is>
      </c>
      <c r="B683" s="8">
        <f>ATI!E350</f>
        <v/>
      </c>
      <c r="C683" s="9" t="inlineStr">
        <is>
          <t>8,2</t>
        </is>
      </c>
    </row>
    <row r="684">
      <c r="A684" s="8" t="inlineStr">
        <is>
          <t>Q32R2C4</t>
        </is>
      </c>
      <c r="B684" s="8">
        <f>ATI!F350</f>
        <v/>
      </c>
      <c r="C684" s="9" t="inlineStr">
        <is>
          <t>8,2</t>
        </is>
      </c>
    </row>
    <row r="685">
      <c r="A685" s="8" t="inlineStr">
        <is>
          <t>Q32R2C5</t>
        </is>
      </c>
      <c r="B685" s="8">
        <f>ATI!G350</f>
        <v/>
      </c>
      <c r="C685" s="9" t="inlineStr">
        <is>
          <t>8,2</t>
        </is>
      </c>
    </row>
    <row r="686">
      <c r="A686" s="8" t="inlineStr">
        <is>
          <t>Q32R2C6</t>
        </is>
      </c>
      <c r="B686" s="8">
        <f>ATI!H350</f>
        <v/>
      </c>
      <c r="C686" s="9" t="inlineStr">
        <is>
          <t>8,2</t>
        </is>
      </c>
    </row>
    <row r="687">
      <c r="A687" s="8" t="inlineStr">
        <is>
          <t>Q32R2C7</t>
        </is>
      </c>
      <c r="B687" s="8">
        <f>ATI!I350</f>
        <v/>
      </c>
      <c r="C687" s="9" t="inlineStr">
        <is>
          <t>8,2</t>
        </is>
      </c>
    </row>
    <row r="688">
      <c r="A688" s="8" t="inlineStr">
        <is>
          <t>Q32R2C8</t>
        </is>
      </c>
      <c r="B688" s="8">
        <f>ATI!J350</f>
        <v/>
      </c>
      <c r="C688" s="9" t="inlineStr">
        <is>
          <t>8,2</t>
        </is>
      </c>
    </row>
    <row r="689">
      <c r="A689" s="8" t="inlineStr">
        <is>
          <t>Q32R2C9</t>
        </is>
      </c>
      <c r="B689" s="8">
        <f>ATI!K350</f>
        <v/>
      </c>
      <c r="C689" s="9" t="inlineStr">
        <is>
          <t>8,2</t>
        </is>
      </c>
    </row>
    <row r="690">
      <c r="A690" s="8" t="inlineStr">
        <is>
          <t>Q32R2C10</t>
        </is>
      </c>
      <c r="B690" s="8">
        <f>ATI!L350</f>
        <v/>
      </c>
      <c r="C690" s="9" t="inlineStr">
        <is>
          <t>8,2</t>
        </is>
      </c>
    </row>
    <row r="691">
      <c r="A691" s="8" t="inlineStr">
        <is>
          <t>Q32R3C1</t>
        </is>
      </c>
      <c r="B691" s="8">
        <f>ATI!C351</f>
        <v/>
      </c>
      <c r="C691" s="9" t="inlineStr">
        <is>
          <t>8,2</t>
        </is>
      </c>
    </row>
    <row r="692">
      <c r="A692" s="8" t="inlineStr">
        <is>
          <t>Q32R3C2</t>
        </is>
      </c>
      <c r="B692" s="8">
        <f>ATI!D351</f>
        <v/>
      </c>
      <c r="C692" s="9" t="inlineStr">
        <is>
          <t>8,2</t>
        </is>
      </c>
    </row>
    <row r="693">
      <c r="A693" s="8" t="inlineStr">
        <is>
          <t>Q32R3C3</t>
        </is>
      </c>
      <c r="B693" s="8">
        <f>ATI!E351</f>
        <v/>
      </c>
      <c r="C693" s="9" t="inlineStr">
        <is>
          <t>8,2</t>
        </is>
      </c>
    </row>
    <row r="694">
      <c r="A694" s="8" t="inlineStr">
        <is>
          <t>Q32R3C4</t>
        </is>
      </c>
      <c r="B694" s="8">
        <f>ATI!F351</f>
        <v/>
      </c>
      <c r="C694" s="9" t="inlineStr">
        <is>
          <t>8,2</t>
        </is>
      </c>
    </row>
    <row r="695">
      <c r="A695" s="8" t="inlineStr">
        <is>
          <t>Q32R3C5</t>
        </is>
      </c>
      <c r="B695" s="8">
        <f>ATI!G351</f>
        <v/>
      </c>
      <c r="C695" s="9" t="inlineStr">
        <is>
          <t>8,2</t>
        </is>
      </c>
    </row>
    <row r="696">
      <c r="A696" s="8" t="inlineStr">
        <is>
          <t>Q32R3C6</t>
        </is>
      </c>
      <c r="B696" s="8">
        <f>ATI!H351</f>
        <v/>
      </c>
      <c r="C696" s="9" t="inlineStr">
        <is>
          <t>8,2</t>
        </is>
      </c>
    </row>
    <row r="697">
      <c r="A697" s="8" t="inlineStr">
        <is>
          <t>Q32R3C7</t>
        </is>
      </c>
      <c r="B697" s="8">
        <f>ATI!I351</f>
        <v/>
      </c>
      <c r="C697" s="9" t="inlineStr">
        <is>
          <t>8,2</t>
        </is>
      </c>
    </row>
    <row r="698">
      <c r="A698" s="8" t="inlineStr">
        <is>
          <t>Q32R3C8</t>
        </is>
      </c>
      <c r="B698" s="8">
        <f>ATI!J351</f>
        <v/>
      </c>
      <c r="C698" s="9" t="inlineStr">
        <is>
          <t>8,2</t>
        </is>
      </c>
    </row>
    <row r="699">
      <c r="A699" s="8" t="inlineStr">
        <is>
          <t>Q32R3C9</t>
        </is>
      </c>
      <c r="B699" s="8">
        <f>ATI!K351</f>
        <v/>
      </c>
      <c r="C699" s="9" t="inlineStr">
        <is>
          <t>8,2</t>
        </is>
      </c>
    </row>
    <row r="700">
      <c r="A700" s="8" t="inlineStr">
        <is>
          <t>Q32R3C10</t>
        </is>
      </c>
      <c r="B700" s="8">
        <f>ATI!L351</f>
        <v/>
      </c>
      <c r="C700" s="9" t="inlineStr">
        <is>
          <t>8,2</t>
        </is>
      </c>
    </row>
    <row r="701">
      <c r="A701" s="8" t="inlineStr">
        <is>
          <t>Q32R4C1</t>
        </is>
      </c>
      <c r="B701" s="8">
        <f>ATI!C352</f>
        <v/>
      </c>
      <c r="C701" s="9" t="inlineStr">
        <is>
          <t>8,2</t>
        </is>
      </c>
    </row>
    <row r="702">
      <c r="A702" s="8" t="inlineStr">
        <is>
          <t>Q32R4C2</t>
        </is>
      </c>
      <c r="B702" s="8">
        <f>ATI!D352</f>
        <v/>
      </c>
      <c r="C702" s="9" t="inlineStr">
        <is>
          <t>8,2</t>
        </is>
      </c>
    </row>
    <row r="703">
      <c r="A703" s="8" t="inlineStr">
        <is>
          <t>Q32R4C3</t>
        </is>
      </c>
      <c r="B703" s="8">
        <f>ATI!E352</f>
        <v/>
      </c>
      <c r="C703" s="9" t="inlineStr">
        <is>
          <t>8,2</t>
        </is>
      </c>
    </row>
    <row r="704">
      <c r="A704" s="8" t="inlineStr">
        <is>
          <t>Q32R4C4</t>
        </is>
      </c>
      <c r="B704" s="8">
        <f>ATI!F352</f>
        <v/>
      </c>
      <c r="C704" s="9" t="inlineStr">
        <is>
          <t>8,2</t>
        </is>
      </c>
    </row>
    <row r="705">
      <c r="A705" s="8" t="inlineStr">
        <is>
          <t>Q32R4C5</t>
        </is>
      </c>
      <c r="B705" s="8">
        <f>ATI!G352</f>
        <v/>
      </c>
      <c r="C705" s="9" t="inlineStr">
        <is>
          <t>8,2</t>
        </is>
      </c>
    </row>
    <row r="706">
      <c r="A706" s="8" t="inlineStr">
        <is>
          <t>Q32R4C6</t>
        </is>
      </c>
      <c r="B706" s="8">
        <f>ATI!H352</f>
        <v/>
      </c>
      <c r="C706" s="9" t="inlineStr">
        <is>
          <t>8,2</t>
        </is>
      </c>
    </row>
    <row r="707">
      <c r="A707" s="8" t="inlineStr">
        <is>
          <t>Q32R4C7</t>
        </is>
      </c>
      <c r="B707" s="8">
        <f>ATI!I352</f>
        <v/>
      </c>
      <c r="C707" s="9" t="inlineStr">
        <is>
          <t>8,2</t>
        </is>
      </c>
    </row>
    <row r="708">
      <c r="A708" s="8" t="inlineStr">
        <is>
          <t>Q32R4C8</t>
        </is>
      </c>
      <c r="B708" s="8">
        <f>ATI!J352</f>
        <v/>
      </c>
      <c r="C708" s="9" t="inlineStr">
        <is>
          <t>8,2</t>
        </is>
      </c>
    </row>
    <row r="709">
      <c r="A709" s="8" t="inlineStr">
        <is>
          <t>Q32R4C9</t>
        </is>
      </c>
      <c r="B709" s="8">
        <f>ATI!K352</f>
        <v/>
      </c>
      <c r="C709" s="9" t="inlineStr">
        <is>
          <t>8,2</t>
        </is>
      </c>
    </row>
    <row r="710">
      <c r="A710" s="8" t="inlineStr">
        <is>
          <t>Q32R4C10</t>
        </is>
      </c>
      <c r="B710" s="8">
        <f>ATI!L352</f>
        <v/>
      </c>
      <c r="C710" s="9" t="inlineStr">
        <is>
          <t>8,2</t>
        </is>
      </c>
    </row>
    <row r="711">
      <c r="A711" s="8" t="inlineStr">
        <is>
          <t>Q32R5C1</t>
        </is>
      </c>
      <c r="B711" s="8">
        <f>ATI!C353</f>
        <v/>
      </c>
      <c r="C711" s="9" t="inlineStr">
        <is>
          <t>8,2</t>
        </is>
      </c>
    </row>
    <row r="712">
      <c r="A712" s="8" t="inlineStr">
        <is>
          <t>Q32R5C2</t>
        </is>
      </c>
      <c r="B712" s="8">
        <f>ATI!D353</f>
        <v/>
      </c>
      <c r="C712" s="9" t="inlineStr">
        <is>
          <t>8,2</t>
        </is>
      </c>
    </row>
    <row r="713">
      <c r="A713" s="8" t="inlineStr">
        <is>
          <t>Q32R5C3</t>
        </is>
      </c>
      <c r="B713" s="8">
        <f>ATI!E353</f>
        <v/>
      </c>
      <c r="C713" s="9" t="inlineStr">
        <is>
          <t>8,2</t>
        </is>
      </c>
    </row>
    <row r="714">
      <c r="A714" s="8" t="inlineStr">
        <is>
          <t>Q32R5C4</t>
        </is>
      </c>
      <c r="B714" s="8">
        <f>ATI!F353</f>
        <v/>
      </c>
      <c r="C714" s="9" t="inlineStr">
        <is>
          <t>8,2</t>
        </is>
      </c>
    </row>
    <row r="715">
      <c r="A715" s="8" t="inlineStr">
        <is>
          <t>Q32R5C5</t>
        </is>
      </c>
      <c r="B715" s="8">
        <f>ATI!G353</f>
        <v/>
      </c>
      <c r="C715" s="9" t="inlineStr">
        <is>
          <t>8,2</t>
        </is>
      </c>
    </row>
    <row r="716">
      <c r="A716" s="8" t="inlineStr">
        <is>
          <t>Q32R5C6</t>
        </is>
      </c>
      <c r="B716" s="8">
        <f>ATI!H353</f>
        <v/>
      </c>
      <c r="C716" s="9" t="inlineStr">
        <is>
          <t>8,2</t>
        </is>
      </c>
    </row>
    <row r="717">
      <c r="A717" s="8" t="inlineStr">
        <is>
          <t>Q32R5C7</t>
        </is>
      </c>
      <c r="B717" s="8">
        <f>ATI!I353</f>
        <v/>
      </c>
      <c r="C717" s="9" t="inlineStr">
        <is>
          <t>8,2</t>
        </is>
      </c>
    </row>
    <row r="718">
      <c r="A718" s="8" t="inlineStr">
        <is>
          <t>Q32R5C8</t>
        </is>
      </c>
      <c r="B718" s="8">
        <f>ATI!J353</f>
        <v/>
      </c>
      <c r="C718" s="9" t="inlineStr">
        <is>
          <t>8,2</t>
        </is>
      </c>
    </row>
    <row r="719">
      <c r="A719" s="8" t="inlineStr">
        <is>
          <t>Q32R5C9</t>
        </is>
      </c>
      <c r="B719" s="8">
        <f>ATI!K353</f>
        <v/>
      </c>
      <c r="C719" s="9" t="inlineStr">
        <is>
          <t>8,2</t>
        </is>
      </c>
    </row>
    <row r="720">
      <c r="A720" s="8" t="inlineStr">
        <is>
          <t>Q32R5C10</t>
        </is>
      </c>
      <c r="B720" s="8">
        <f>ATI!L353</f>
        <v/>
      </c>
      <c r="C720" s="9" t="inlineStr">
        <is>
          <t>8,2</t>
        </is>
      </c>
    </row>
    <row r="721">
      <c r="A721" s="8" t="inlineStr">
        <is>
          <t>Q32R6C1</t>
        </is>
      </c>
      <c r="B721" s="8">
        <f>ATI!C354</f>
        <v/>
      </c>
      <c r="C721" s="9" t="inlineStr">
        <is>
          <t>8,2</t>
        </is>
      </c>
    </row>
    <row r="722">
      <c r="A722" s="8" t="inlineStr">
        <is>
          <t>Q32R6C2</t>
        </is>
      </c>
      <c r="B722" s="8">
        <f>ATI!D354</f>
        <v/>
      </c>
      <c r="C722" s="9" t="inlineStr">
        <is>
          <t>8,2</t>
        </is>
      </c>
    </row>
    <row r="723">
      <c r="A723" s="8" t="inlineStr">
        <is>
          <t>Q32R6C3</t>
        </is>
      </c>
      <c r="B723" s="8">
        <f>ATI!E354</f>
        <v/>
      </c>
      <c r="C723" s="9" t="inlineStr">
        <is>
          <t>8,2</t>
        </is>
      </c>
    </row>
    <row r="724">
      <c r="A724" s="8" t="inlineStr">
        <is>
          <t>Q32R6C4</t>
        </is>
      </c>
      <c r="B724" s="8">
        <f>ATI!F354</f>
        <v/>
      </c>
      <c r="C724" s="9" t="inlineStr">
        <is>
          <t>8,2</t>
        </is>
      </c>
    </row>
    <row r="725">
      <c r="A725" s="8" t="inlineStr">
        <is>
          <t>Q32R6C5</t>
        </is>
      </c>
      <c r="B725" s="8">
        <f>ATI!G354</f>
        <v/>
      </c>
      <c r="C725" s="9" t="inlineStr">
        <is>
          <t>8,2</t>
        </is>
      </c>
    </row>
    <row r="726">
      <c r="A726" s="8" t="inlineStr">
        <is>
          <t>Q32R6C6</t>
        </is>
      </c>
      <c r="B726" s="8">
        <f>ATI!H354</f>
        <v/>
      </c>
      <c r="C726" s="9" t="inlineStr">
        <is>
          <t>8,2</t>
        </is>
      </c>
    </row>
    <row r="727">
      <c r="A727" s="8" t="inlineStr">
        <is>
          <t>Q32R6C7</t>
        </is>
      </c>
      <c r="B727" s="8">
        <f>ATI!I354</f>
        <v/>
      </c>
      <c r="C727" s="9" t="inlineStr">
        <is>
          <t>8,2</t>
        </is>
      </c>
    </row>
    <row r="728">
      <c r="A728" s="8" t="inlineStr">
        <is>
          <t>Q32R6C8</t>
        </is>
      </c>
      <c r="B728" s="8">
        <f>ATI!J354</f>
        <v/>
      </c>
      <c r="C728" s="9" t="inlineStr">
        <is>
          <t>8,2</t>
        </is>
      </c>
    </row>
    <row r="729">
      <c r="A729" s="8" t="inlineStr">
        <is>
          <t>Q32R6C9</t>
        </is>
      </c>
      <c r="B729" s="8">
        <f>ATI!K354</f>
        <v/>
      </c>
      <c r="C729" s="9" t="inlineStr">
        <is>
          <t>8,2</t>
        </is>
      </c>
    </row>
    <row r="730">
      <c r="A730" s="8" t="inlineStr">
        <is>
          <t>Q32R6C10</t>
        </is>
      </c>
      <c r="B730" s="8">
        <f>ATI!L354</f>
        <v/>
      </c>
      <c r="C730" s="9" t="inlineStr">
        <is>
          <t>8,2</t>
        </is>
      </c>
    </row>
    <row r="731">
      <c r="A731" s="8" t="inlineStr">
        <is>
          <t>Q32R7C1</t>
        </is>
      </c>
      <c r="B731" s="8">
        <f>ATI!C355</f>
        <v/>
      </c>
      <c r="C731" s="9" t="inlineStr">
        <is>
          <t>8,2</t>
        </is>
      </c>
    </row>
    <row r="732">
      <c r="A732" s="8" t="inlineStr">
        <is>
          <t>Q32R7C2</t>
        </is>
      </c>
      <c r="B732" s="8">
        <f>ATI!D355</f>
        <v/>
      </c>
      <c r="C732" s="9" t="inlineStr">
        <is>
          <t>8,2</t>
        </is>
      </c>
    </row>
    <row r="733">
      <c r="A733" s="8" t="inlineStr">
        <is>
          <t>Q32R7C3</t>
        </is>
      </c>
      <c r="B733" s="8">
        <f>ATI!E355</f>
        <v/>
      </c>
      <c r="C733" s="9" t="inlineStr">
        <is>
          <t>8,2</t>
        </is>
      </c>
    </row>
    <row r="734">
      <c r="A734" s="8" t="inlineStr">
        <is>
          <t>Q32R7C4</t>
        </is>
      </c>
      <c r="B734" s="8">
        <f>ATI!F355</f>
        <v/>
      </c>
      <c r="C734" s="9" t="inlineStr">
        <is>
          <t>8,2</t>
        </is>
      </c>
    </row>
    <row r="735">
      <c r="A735" s="8" t="inlineStr">
        <is>
          <t>Q32R7C5</t>
        </is>
      </c>
      <c r="B735" s="8">
        <f>ATI!G355</f>
        <v/>
      </c>
      <c r="C735" s="9" t="inlineStr">
        <is>
          <t>8,2</t>
        </is>
      </c>
    </row>
    <row r="736">
      <c r="A736" s="8" t="inlineStr">
        <is>
          <t>Q32R7C6</t>
        </is>
      </c>
      <c r="B736" s="8">
        <f>ATI!H355</f>
        <v/>
      </c>
      <c r="C736" s="9" t="inlineStr">
        <is>
          <t>8,2</t>
        </is>
      </c>
    </row>
    <row r="737">
      <c r="A737" s="8" t="inlineStr">
        <is>
          <t>Q32R7C7</t>
        </is>
      </c>
      <c r="B737" s="8">
        <f>ATI!I355</f>
        <v/>
      </c>
      <c r="C737" s="9" t="inlineStr">
        <is>
          <t>8,2</t>
        </is>
      </c>
    </row>
    <row r="738">
      <c r="A738" s="8" t="inlineStr">
        <is>
          <t>Q32R7C8</t>
        </is>
      </c>
      <c r="B738" s="8">
        <f>ATI!J355</f>
        <v/>
      </c>
      <c r="C738" s="9" t="inlineStr">
        <is>
          <t>8,2</t>
        </is>
      </c>
    </row>
    <row r="739">
      <c r="A739" s="8" t="inlineStr">
        <is>
          <t>Q32R7C9</t>
        </is>
      </c>
      <c r="B739" s="8">
        <f>ATI!K355</f>
        <v/>
      </c>
      <c r="C739" s="9" t="inlineStr">
        <is>
          <t>8,2</t>
        </is>
      </c>
    </row>
    <row r="740">
      <c r="A740" s="8" t="inlineStr">
        <is>
          <t>Q32R7C10</t>
        </is>
      </c>
      <c r="B740" s="8">
        <f>ATI!L355</f>
        <v/>
      </c>
      <c r="C740" s="9" t="inlineStr">
        <is>
          <t>8,2</t>
        </is>
      </c>
    </row>
    <row r="741">
      <c r="A741" s="8" t="inlineStr">
        <is>
          <t>Q33R1C1</t>
        </is>
      </c>
      <c r="B741" s="8">
        <f>ATI!A363</f>
        <v/>
      </c>
      <c r="C741" s="9" t="inlineStr">
        <is>
          <t>9,1</t>
        </is>
      </c>
    </row>
    <row r="742">
      <c r="A742" s="8" t="inlineStr">
        <is>
          <t>Q33R1C2</t>
        </is>
      </c>
      <c r="B742" s="8">
        <f>ATI!C363</f>
        <v/>
      </c>
      <c r="C742" s="9" t="inlineStr">
        <is>
          <t>9,1</t>
        </is>
      </c>
    </row>
    <row r="743">
      <c r="A743" s="8" t="inlineStr">
        <is>
          <t>Q33R1C3</t>
        </is>
      </c>
      <c r="B743" s="8">
        <f>ATI!E363</f>
        <v/>
      </c>
      <c r="C743" s="9" t="inlineStr">
        <is>
          <t>9,1</t>
        </is>
      </c>
    </row>
    <row r="744">
      <c r="A744" s="8" t="inlineStr">
        <is>
          <t>Q34R1C1</t>
        </is>
      </c>
      <c r="B744" s="8">
        <f>ATI!A369</f>
        <v/>
      </c>
      <c r="C744" s="9" t="inlineStr">
        <is>
          <t>9,2</t>
        </is>
      </c>
    </row>
    <row r="745">
      <c r="A745" s="8" t="inlineStr">
        <is>
          <t>Q34R1C2</t>
        </is>
      </c>
      <c r="B745" s="8">
        <f>ATI!C369</f>
        <v/>
      </c>
      <c r="C745" s="9" t="inlineStr">
        <is>
          <t>9,2</t>
        </is>
      </c>
    </row>
    <row r="746">
      <c r="A746" s="8" t="inlineStr">
        <is>
          <t>Q34R1C3</t>
        </is>
      </c>
      <c r="B746" s="8">
        <f>ATI!E369</f>
        <v/>
      </c>
      <c r="C746" s="9" t="inlineStr">
        <is>
          <t>9,2</t>
        </is>
      </c>
    </row>
    <row r="747">
      <c r="A747" s="5" t="inlineStr">
        <is>
          <t>Q34R1C4</t>
        </is>
      </c>
      <c r="B747" s="5">
        <f>ATI!G369</f>
        <v/>
      </c>
      <c r="C747" s="7" t="inlineStr">
        <is>
          <t>9,2</t>
        </is>
      </c>
    </row>
    <row r="748">
      <c r="A748" s="5" t="inlineStr">
        <is>
          <t>Q34R1C5</t>
        </is>
      </c>
      <c r="B748" s="5">
        <f>ATI!I369</f>
        <v/>
      </c>
      <c r="C748" s="7" t="inlineStr">
        <is>
          <t>9,2</t>
        </is>
      </c>
    </row>
    <row r="749">
      <c r="A749" s="5" t="inlineStr">
        <is>
          <t>Q34R1C6</t>
        </is>
      </c>
      <c r="B749" s="5">
        <f>ATI!K369</f>
        <v/>
      </c>
      <c r="C749" s="7" t="inlineStr">
        <is>
          <t>9,2</t>
        </is>
      </c>
    </row>
    <row r="750">
      <c r="A750" s="8" t="inlineStr">
        <is>
          <t>Q35R1C1</t>
        </is>
      </c>
      <c r="B750" s="8">
        <f>ATI!A377</f>
        <v/>
      </c>
      <c r="C750" s="9" t="inlineStr">
        <is>
          <t>10,1</t>
        </is>
      </c>
    </row>
    <row r="751">
      <c r="A751" s="8" t="inlineStr">
        <is>
          <t>Q35R1C2</t>
        </is>
      </c>
      <c r="B751" s="8">
        <f>ATI!C377</f>
        <v/>
      </c>
      <c r="C751" s="9" t="inlineStr">
        <is>
          <t>10,1</t>
        </is>
      </c>
    </row>
    <row r="752">
      <c r="A752" s="8" t="inlineStr">
        <is>
          <t>Q35R1C3</t>
        </is>
      </c>
      <c r="B752" s="8">
        <f>ATI!E377</f>
        <v/>
      </c>
      <c r="C752" s="9" t="inlineStr">
        <is>
          <t>10,1</t>
        </is>
      </c>
    </row>
    <row r="753">
      <c r="A753" s="8" t="inlineStr">
        <is>
          <t>Q35R1C4</t>
        </is>
      </c>
      <c r="B753" s="8">
        <f>ATI!G377</f>
        <v/>
      </c>
      <c r="C753" s="9" t="inlineStr">
        <is>
          <t>10,1</t>
        </is>
      </c>
    </row>
    <row r="754">
      <c r="A754" s="5" t="inlineStr">
        <is>
          <t>Q36R1C1</t>
        </is>
      </c>
      <c r="B754" s="5">
        <f>ATI!A382</f>
        <v/>
      </c>
      <c r="C754" s="7" t="inlineStr">
        <is>
          <t>10,2</t>
        </is>
      </c>
    </row>
    <row r="755">
      <c r="A755" s="8" t="inlineStr">
        <is>
          <t>Q37R1C1</t>
        </is>
      </c>
      <c r="B755" s="8">
        <f>ATI!H389</f>
        <v/>
      </c>
      <c r="C755" s="9" t="inlineStr">
        <is>
          <t>11,1</t>
        </is>
      </c>
    </row>
    <row r="756">
      <c r="A756" s="8" t="inlineStr">
        <is>
          <t>Q37R2C1</t>
        </is>
      </c>
      <c r="B756" s="8">
        <f>ATI!H390</f>
        <v/>
      </c>
      <c r="C756" s="9" t="inlineStr">
        <is>
          <t>11,1</t>
        </is>
      </c>
    </row>
    <row r="757">
      <c r="A757" s="8" t="inlineStr">
        <is>
          <t>Q37R3C1</t>
        </is>
      </c>
      <c r="B757" s="8">
        <f>ATI!H391</f>
        <v/>
      </c>
      <c r="C757" s="9" t="inlineStr">
        <is>
          <t>11,1</t>
        </is>
      </c>
    </row>
    <row r="758">
      <c r="A758" s="8" t="inlineStr">
        <is>
          <t>Q37R4C1</t>
        </is>
      </c>
      <c r="B758" s="8">
        <f>ATI!F392</f>
        <v/>
      </c>
      <c r="C758" s="9" t="inlineStr">
        <is>
          <t>11,1</t>
        </is>
      </c>
    </row>
    <row r="759">
      <c r="A759" s="8" t="inlineStr">
        <is>
          <t>Q37R5C1</t>
        </is>
      </c>
      <c r="B759" s="8">
        <f>ATI!F393</f>
        <v/>
      </c>
      <c r="C759" s="9" t="inlineStr">
        <is>
          <t>11,1</t>
        </is>
      </c>
    </row>
    <row r="760">
      <c r="A760" s="5" t="inlineStr">
        <is>
          <t>Q38R1C1</t>
        </is>
      </c>
      <c r="B760" s="5">
        <f>ATI!F399</f>
        <v/>
      </c>
      <c r="C760" s="7" t="inlineStr">
        <is>
          <t>11,2</t>
        </is>
      </c>
    </row>
    <row r="761">
      <c r="A761" s="5" t="inlineStr">
        <is>
          <t>Q38R2C1</t>
        </is>
      </c>
      <c r="B761" s="5">
        <f>ATI!F400</f>
        <v/>
      </c>
      <c r="C761" s="7" t="inlineStr">
        <is>
          <t>11,2</t>
        </is>
      </c>
    </row>
    <row r="762">
      <c r="A762" s="5" t="inlineStr">
        <is>
          <t>Q38R3C1</t>
        </is>
      </c>
      <c r="B762" s="5">
        <f>ATI!F401</f>
        <v/>
      </c>
      <c r="C762" s="7" t="inlineStr">
        <is>
          <t>11,2</t>
        </is>
      </c>
    </row>
    <row r="763">
      <c r="A763" s="5" t="inlineStr">
        <is>
          <t>Q38R4C1</t>
        </is>
      </c>
      <c r="B763" s="5">
        <f>ATI!F402</f>
        <v/>
      </c>
      <c r="C763" s="7" t="inlineStr">
        <is>
          <t>11,2</t>
        </is>
      </c>
    </row>
    <row r="764">
      <c r="A764" s="5" t="inlineStr">
        <is>
          <t>Q38R5C1</t>
        </is>
      </c>
      <c r="B764" s="5">
        <f>ATI!F403</f>
        <v/>
      </c>
      <c r="C764" s="7" t="inlineStr">
        <is>
          <t>11,2</t>
        </is>
      </c>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A1" sqref="A1"/>
    </sheetView>
  </sheetViews>
  <sheetFormatPr baseColWidth="8" defaultColWidth="9" defaultRowHeight="15"/>
  <cols>
    <col width="9.140625" customWidth="1" style="6" min="3" max="3"/>
  </cols>
  <sheetData>
    <row r="1">
      <c r="A1" s="8" t="inlineStr">
        <is>
          <t>Inst</t>
        </is>
      </c>
      <c r="B1" s="8">
        <f>Priv!H6</f>
        <v/>
      </c>
    </row>
    <row r="2">
      <c r="A2" s="8" t="inlineStr">
        <is>
          <t>Report</t>
        </is>
      </c>
      <c r="B2" s="8" t="inlineStr">
        <is>
          <t>2021;2022</t>
        </is>
      </c>
    </row>
    <row r="3">
      <c r="A3" s="8" t="inlineStr">
        <is>
          <t>Q1R1C1</t>
        </is>
      </c>
      <c r="B3" s="8">
        <f>Priv!H15</f>
        <v/>
      </c>
      <c r="C3" s="9" t="inlineStr">
        <is>
          <t>1,1</t>
        </is>
      </c>
    </row>
    <row r="4">
      <c r="A4" s="8" t="inlineStr">
        <is>
          <t>Q1R2C1</t>
        </is>
      </c>
      <c r="B4" s="8">
        <f>Priv!H16</f>
        <v/>
      </c>
      <c r="C4" s="9" t="inlineStr">
        <is>
          <t>1,1</t>
        </is>
      </c>
    </row>
    <row r="5">
      <c r="A5" s="5" t="inlineStr">
        <is>
          <t>Q1R3C1</t>
        </is>
      </c>
      <c r="B5" s="5">
        <f>Priv!G17</f>
        <v/>
      </c>
      <c r="C5" s="7" t="inlineStr">
        <is>
          <t>1,1</t>
        </is>
      </c>
    </row>
    <row r="6">
      <c r="A6" s="5" t="inlineStr">
        <is>
          <t>Q1R4C1</t>
        </is>
      </c>
      <c r="B6" s="5">
        <f>Priv!G18</f>
        <v/>
      </c>
      <c r="C6" s="7" t="inlineStr">
        <is>
          <t>1,1</t>
        </is>
      </c>
    </row>
    <row r="7">
      <c r="A7" s="8" t="inlineStr">
        <is>
          <t>Q1R5C1</t>
        </is>
      </c>
      <c r="B7" s="8">
        <f>Priv!H19</f>
        <v/>
      </c>
      <c r="C7" s="9" t="inlineStr">
        <is>
          <t>1,1</t>
        </is>
      </c>
    </row>
    <row r="8">
      <c r="A8" s="8" t="inlineStr">
        <is>
          <t>Q1R6C1</t>
        </is>
      </c>
      <c r="B8" s="8">
        <f>Priv!H20</f>
        <v/>
      </c>
      <c r="C8" s="9" t="inlineStr">
        <is>
          <t>1,1</t>
        </is>
      </c>
    </row>
    <row r="9">
      <c r="A9" s="8" t="inlineStr">
        <is>
          <t>Q1R7C1</t>
        </is>
      </c>
      <c r="B9" s="8">
        <f>Priv!H21</f>
        <v/>
      </c>
      <c r="C9" s="9" t="inlineStr">
        <is>
          <t>1,1</t>
        </is>
      </c>
    </row>
    <row r="10">
      <c r="A10" s="5" t="inlineStr">
        <is>
          <t>Q1R8C1</t>
        </is>
      </c>
      <c r="B10" s="5">
        <f>Priv!G22</f>
        <v/>
      </c>
      <c r="C10" s="7" t="inlineStr">
        <is>
          <t>1,1</t>
        </is>
      </c>
    </row>
    <row r="11">
      <c r="A11" s="5" t="inlineStr">
        <is>
          <t>Q1R9C1</t>
        </is>
      </c>
      <c r="B11" s="5">
        <f>Priv!G23</f>
        <v/>
      </c>
      <c r="C11" s="7" t="inlineStr">
        <is>
          <t>1,1</t>
        </is>
      </c>
    </row>
    <row r="12">
      <c r="A12" s="5" t="inlineStr">
        <is>
          <t>Q2R1C1</t>
        </is>
      </c>
      <c r="B12" s="5">
        <f>Priv!G28</f>
        <v/>
      </c>
      <c r="C12" s="7" t="inlineStr">
        <is>
          <t>1,2</t>
        </is>
      </c>
    </row>
    <row r="13">
      <c r="A13" s="186" t="inlineStr">
        <is>
          <t>Q2R2C1</t>
        </is>
      </c>
      <c r="B13" s="5">
        <f>Priv!G29</f>
        <v/>
      </c>
      <c r="C13" s="7" t="inlineStr">
        <is>
          <t>1,2</t>
        </is>
      </c>
    </row>
    <row r="14">
      <c r="A14" s="186" t="inlineStr">
        <is>
          <t>Q2R3C1</t>
        </is>
      </c>
      <c r="B14" s="5">
        <f>Priv!G30</f>
        <v/>
      </c>
      <c r="C14" s="7" t="inlineStr">
        <is>
          <t>1,2</t>
        </is>
      </c>
    </row>
    <row r="15">
      <c r="A15" s="186" t="inlineStr">
        <is>
          <t>Q2R4C1</t>
        </is>
      </c>
      <c r="B15" s="5">
        <f>Priv!G31</f>
        <v/>
      </c>
      <c r="C15" s="7" t="inlineStr">
        <is>
          <t>1,2</t>
        </is>
      </c>
    </row>
    <row r="16">
      <c r="A16" s="186" t="inlineStr">
        <is>
          <t>Q2R5C1</t>
        </is>
      </c>
      <c r="B16" s="5">
        <f>Priv!G32</f>
        <v/>
      </c>
      <c r="C16" s="7" t="inlineStr">
        <is>
          <t>1,2</t>
        </is>
      </c>
    </row>
    <row r="17">
      <c r="A17" s="186" t="inlineStr">
        <is>
          <t>Q2R6C1</t>
        </is>
      </c>
      <c r="B17" s="5">
        <f>Priv!G33</f>
        <v/>
      </c>
      <c r="C17" s="7" t="inlineStr">
        <is>
          <t>1,2</t>
        </is>
      </c>
    </row>
    <row r="18">
      <c r="A18" s="186" t="inlineStr">
        <is>
          <t>Q2R7C1</t>
        </is>
      </c>
      <c r="B18" s="5">
        <f>Priv!G34</f>
        <v/>
      </c>
      <c r="C18" s="7" t="inlineStr">
        <is>
          <t>1,2</t>
        </is>
      </c>
    </row>
    <row r="19">
      <c r="A19" s="5" t="inlineStr">
        <is>
          <t>Q3R1C1</t>
        </is>
      </c>
      <c r="B19" s="5">
        <f>Priv!H42</f>
        <v/>
      </c>
      <c r="C19" s="7" t="inlineStr">
        <is>
          <t>2,1</t>
        </is>
      </c>
    </row>
    <row r="20">
      <c r="A20" s="11" t="inlineStr">
        <is>
          <t>Q3R2C1</t>
        </is>
      </c>
      <c r="B20" s="5">
        <f>Priv!H43</f>
        <v/>
      </c>
      <c r="C20" s="7" t="inlineStr">
        <is>
          <t>2,1</t>
        </is>
      </c>
    </row>
    <row r="21">
      <c r="A21" s="11" t="inlineStr">
        <is>
          <t>Q3R3C1</t>
        </is>
      </c>
      <c r="B21" s="5">
        <f>Priv!G44</f>
        <v/>
      </c>
      <c r="C21" s="7" t="inlineStr">
        <is>
          <t>2,1</t>
        </is>
      </c>
    </row>
    <row r="22">
      <c r="A22" s="11" t="inlineStr">
        <is>
          <t>Q3R4C1</t>
        </is>
      </c>
      <c r="B22" s="5">
        <f>Priv!G45</f>
        <v/>
      </c>
      <c r="C22" s="7" t="inlineStr">
        <is>
          <t>2,1</t>
        </is>
      </c>
    </row>
    <row r="23">
      <c r="A23" s="11" t="inlineStr">
        <is>
          <t>Q3R5C1</t>
        </is>
      </c>
      <c r="B23" s="5">
        <f>Priv!H46</f>
        <v/>
      </c>
      <c r="C23" s="7" t="inlineStr">
        <is>
          <t>2,1</t>
        </is>
      </c>
    </row>
    <row r="24">
      <c r="A24" s="11" t="inlineStr">
        <is>
          <t>Q3R6C1</t>
        </is>
      </c>
      <c r="B24" s="5">
        <f>Priv!H47</f>
        <v/>
      </c>
      <c r="C24" s="7" t="inlineStr">
        <is>
          <t>2,1</t>
        </is>
      </c>
    </row>
    <row r="25">
      <c r="A25" s="11" t="inlineStr">
        <is>
          <t>Q3R7C1</t>
        </is>
      </c>
      <c r="B25" s="5">
        <f>Priv!H48</f>
        <v/>
      </c>
      <c r="C25" s="7" t="inlineStr">
        <is>
          <t>2,1</t>
        </is>
      </c>
    </row>
    <row r="26">
      <c r="A26" s="5" t="inlineStr">
        <is>
          <t>Q4R1C1</t>
        </is>
      </c>
      <c r="B26" s="5">
        <f>Priv!G53</f>
        <v/>
      </c>
      <c r="C26" s="7" t="inlineStr">
        <is>
          <t>2,2</t>
        </is>
      </c>
    </row>
    <row r="27">
      <c r="A27" s="11" t="inlineStr">
        <is>
          <t>Q4R2C1</t>
        </is>
      </c>
      <c r="B27" s="5">
        <f>Priv!G54</f>
        <v/>
      </c>
      <c r="C27" s="7" t="inlineStr">
        <is>
          <t>2,2</t>
        </is>
      </c>
    </row>
    <row r="28">
      <c r="A28" s="11" t="inlineStr">
        <is>
          <t>Q4R3C1</t>
        </is>
      </c>
      <c r="B28" s="5">
        <f>Priv!G55</f>
        <v/>
      </c>
      <c r="C28" s="7" t="inlineStr">
        <is>
          <t>2,2</t>
        </is>
      </c>
    </row>
    <row r="29">
      <c r="A29" s="11" t="inlineStr">
        <is>
          <t>Q4R4C1</t>
        </is>
      </c>
      <c r="B29" s="5">
        <f>Priv!G56</f>
        <v/>
      </c>
      <c r="C29" s="7" t="inlineStr">
        <is>
          <t>2,2</t>
        </is>
      </c>
    </row>
    <row r="30">
      <c r="A30" s="11" t="inlineStr">
        <is>
          <t>Q4R5C1</t>
        </is>
      </c>
      <c r="B30" s="5">
        <f>Priv!G57</f>
        <v/>
      </c>
      <c r="C30" s="7" t="inlineStr">
        <is>
          <t>2,2</t>
        </is>
      </c>
    </row>
    <row r="31">
      <c r="A31" s="11" t="inlineStr">
        <is>
          <t>Q4R6C1</t>
        </is>
      </c>
      <c r="B31" s="5">
        <f>Priv!G58</f>
        <v/>
      </c>
      <c r="C31" s="7" t="inlineStr">
        <is>
          <t>2,2</t>
        </is>
      </c>
    </row>
    <row r="32">
      <c r="A32" s="11" t="inlineStr">
        <is>
          <t>Q4R7C1</t>
        </is>
      </c>
      <c r="B32" s="5">
        <f>Priv!G59</f>
        <v/>
      </c>
      <c r="C32" s="7" t="inlineStr">
        <is>
          <t>2,2</t>
        </is>
      </c>
    </row>
    <row r="33">
      <c r="A33" s="5" t="inlineStr">
        <is>
          <t>Q5R1C1</t>
        </is>
      </c>
      <c r="B33" s="5">
        <f>Priv!A65</f>
        <v/>
      </c>
      <c r="C33" s="7" t="inlineStr">
        <is>
          <t>2,3</t>
        </is>
      </c>
    </row>
    <row r="34">
      <c r="A34" s="5" t="inlineStr">
        <is>
          <t>Q5R1C2</t>
        </is>
      </c>
      <c r="B34" s="5">
        <f>Priv!B65</f>
        <v/>
      </c>
      <c r="C34" s="7" t="inlineStr">
        <is>
          <t>2,3</t>
        </is>
      </c>
    </row>
    <row r="35">
      <c r="A35" s="5" t="inlineStr">
        <is>
          <t>Q5R1C3</t>
        </is>
      </c>
      <c r="B35" s="5">
        <f>Priv!C65</f>
        <v/>
      </c>
      <c r="C35" s="7" t="inlineStr">
        <is>
          <t>2,3</t>
        </is>
      </c>
    </row>
    <row r="36">
      <c r="A36" s="5" t="inlineStr">
        <is>
          <t>Q5R1C4</t>
        </is>
      </c>
      <c r="B36" s="5">
        <f>Priv!D65</f>
        <v/>
      </c>
      <c r="C36" s="7" t="inlineStr">
        <is>
          <t>2,3</t>
        </is>
      </c>
    </row>
    <row r="37">
      <c r="A37" s="5" t="inlineStr">
        <is>
          <t>Q5R1C5</t>
        </is>
      </c>
      <c r="B37" s="5">
        <f>Priv!E65</f>
        <v/>
      </c>
      <c r="C37" s="7" t="inlineStr">
        <is>
          <t>2,3</t>
        </is>
      </c>
    </row>
    <row r="38">
      <c r="A38" s="5" t="inlineStr">
        <is>
          <t>Q5R1C6</t>
        </is>
      </c>
      <c r="B38" s="5">
        <f>Priv!F65</f>
        <v/>
      </c>
      <c r="C38" s="7" t="inlineStr">
        <is>
          <t>2,3</t>
        </is>
      </c>
    </row>
    <row r="39">
      <c r="A39" s="5" t="inlineStr">
        <is>
          <t>Q5R1C7</t>
        </is>
      </c>
      <c r="B39" s="5">
        <f>Priv!G65</f>
        <v/>
      </c>
      <c r="C39" s="7" t="inlineStr">
        <is>
          <t>2,3</t>
        </is>
      </c>
    </row>
    <row r="40">
      <c r="A40" s="5" t="inlineStr">
        <is>
          <t>Q6R1C1</t>
        </is>
      </c>
      <c r="B40" s="5">
        <f>Priv!A71</f>
        <v/>
      </c>
      <c r="C40" s="7" t="inlineStr">
        <is>
          <t>2,4</t>
        </is>
      </c>
    </row>
    <row r="41">
      <c r="A41" s="186" t="inlineStr">
        <is>
          <t>Q6R1C2</t>
        </is>
      </c>
      <c r="B41" s="5">
        <f>Priv!B71</f>
        <v/>
      </c>
      <c r="C41" s="7" t="inlineStr">
        <is>
          <t>2,4</t>
        </is>
      </c>
    </row>
    <row r="42">
      <c r="A42" s="186" t="inlineStr">
        <is>
          <t>Q6R1C3</t>
        </is>
      </c>
      <c r="B42" s="5">
        <f>Priv!C71</f>
        <v/>
      </c>
      <c r="C42" s="7" t="inlineStr">
        <is>
          <t>2,4</t>
        </is>
      </c>
    </row>
    <row r="43">
      <c r="A43" s="186" t="inlineStr">
        <is>
          <t>Q6R1C4</t>
        </is>
      </c>
      <c r="B43" s="5">
        <f>Priv!D71</f>
        <v/>
      </c>
      <c r="C43" s="7" t="inlineStr">
        <is>
          <t>2,4</t>
        </is>
      </c>
    </row>
    <row r="44">
      <c r="A44" s="186" t="inlineStr">
        <is>
          <t>Q6R1C5</t>
        </is>
      </c>
      <c r="B44" s="5">
        <f>Priv!E71</f>
        <v/>
      </c>
      <c r="C44" s="7" t="inlineStr">
        <is>
          <t>2,4</t>
        </is>
      </c>
    </row>
    <row r="45">
      <c r="A45" s="186" t="inlineStr">
        <is>
          <t>Q6R1C6</t>
        </is>
      </c>
      <c r="B45" s="5">
        <f>Priv!F71</f>
        <v/>
      </c>
      <c r="C45" s="7" t="inlineStr">
        <is>
          <t>2,4</t>
        </is>
      </c>
    </row>
    <row r="46">
      <c r="A46" s="186" t="inlineStr">
        <is>
          <t>Q6R1C7</t>
        </is>
      </c>
      <c r="B46" s="5">
        <f>Priv!G71</f>
        <v/>
      </c>
      <c r="C46" s="7" t="inlineStr">
        <is>
          <t>2,4</t>
        </is>
      </c>
    </row>
    <row r="47">
      <c r="A47" s="186" t="inlineStr">
        <is>
          <t>Q6R1C8</t>
        </is>
      </c>
      <c r="B47" s="5">
        <f>Priv!H71</f>
        <v/>
      </c>
      <c r="C47" s="7" t="inlineStr">
        <is>
          <t>2,4</t>
        </is>
      </c>
    </row>
    <row r="48">
      <c r="A48" s="186" t="inlineStr">
        <is>
          <t>Q6R1C9</t>
        </is>
      </c>
      <c r="B48" s="5">
        <f>Priv!I71</f>
        <v/>
      </c>
      <c r="C48" s="7" t="inlineStr">
        <is>
          <t>2,4</t>
        </is>
      </c>
    </row>
    <row r="49">
      <c r="A49" s="186" t="inlineStr">
        <is>
          <t>Q6R1C10</t>
        </is>
      </c>
      <c r="B49" s="5">
        <f>Priv!J71</f>
        <v/>
      </c>
      <c r="C49" s="7" t="inlineStr">
        <is>
          <t>2,4</t>
        </is>
      </c>
    </row>
    <row r="50">
      <c r="A50" s="8" t="inlineStr">
        <is>
          <t>Q7R1C1</t>
        </is>
      </c>
      <c r="B50" s="8">
        <f>Priv!D80</f>
        <v/>
      </c>
      <c r="C50" s="9" t="inlineStr">
        <is>
          <t>3,1</t>
        </is>
      </c>
    </row>
    <row r="51">
      <c r="A51" s="12" t="inlineStr">
        <is>
          <t>Q7R1C2</t>
        </is>
      </c>
      <c r="B51" s="8">
        <f>Priv!E80</f>
        <v/>
      </c>
      <c r="C51" s="9" t="inlineStr">
        <is>
          <t>3,1</t>
        </is>
      </c>
    </row>
    <row r="52">
      <c r="A52" s="12" t="inlineStr">
        <is>
          <t>Q7R1C3</t>
        </is>
      </c>
      <c r="B52" s="8">
        <f>Priv!F80</f>
        <v/>
      </c>
      <c r="C52" s="9" t="inlineStr">
        <is>
          <t>3,1</t>
        </is>
      </c>
    </row>
    <row r="53">
      <c r="A53" s="12" t="inlineStr">
        <is>
          <t>Q7R1C4</t>
        </is>
      </c>
      <c r="B53" s="8">
        <f>Priv!G80</f>
        <v/>
      </c>
      <c r="C53" s="9" t="inlineStr">
        <is>
          <t>3,1</t>
        </is>
      </c>
    </row>
    <row r="54">
      <c r="A54" s="12" t="inlineStr">
        <is>
          <t>Q7R1C5</t>
        </is>
      </c>
      <c r="B54" s="8">
        <f>Priv!H80</f>
        <v/>
      </c>
      <c r="C54" s="9" t="inlineStr">
        <is>
          <t>3,1</t>
        </is>
      </c>
    </row>
    <row r="55">
      <c r="A55" s="12" t="inlineStr">
        <is>
          <t>Q7R1C6</t>
        </is>
      </c>
      <c r="B55" s="8">
        <f>Priv!I80</f>
        <v/>
      </c>
      <c r="C55" s="9" t="inlineStr">
        <is>
          <t>3,1</t>
        </is>
      </c>
    </row>
    <row r="56">
      <c r="A56" s="12" t="inlineStr">
        <is>
          <t>Q7R1C7</t>
        </is>
      </c>
      <c r="B56" s="8">
        <f>Priv!J80</f>
        <v/>
      </c>
      <c r="C56" s="9" t="inlineStr">
        <is>
          <t>3,1</t>
        </is>
      </c>
    </row>
    <row r="57">
      <c r="A57" s="8" t="inlineStr">
        <is>
          <t>Q7R2C1</t>
        </is>
      </c>
      <c r="B57" s="8">
        <f>Priv!D81</f>
        <v/>
      </c>
      <c r="C57" s="9" t="inlineStr">
        <is>
          <t>3,1</t>
        </is>
      </c>
    </row>
    <row r="58">
      <c r="A58" s="12" t="inlineStr">
        <is>
          <t>Q7R2C2</t>
        </is>
      </c>
      <c r="B58" s="8">
        <f>Priv!E81</f>
        <v/>
      </c>
      <c r="C58" s="9" t="inlineStr">
        <is>
          <t>3,1</t>
        </is>
      </c>
    </row>
    <row r="59">
      <c r="A59" s="12" t="inlineStr">
        <is>
          <t>Q7R2C3</t>
        </is>
      </c>
      <c r="B59" s="8">
        <f>Priv!F81</f>
        <v/>
      </c>
      <c r="C59" s="9" t="inlineStr">
        <is>
          <t>3,1</t>
        </is>
      </c>
    </row>
    <row r="60">
      <c r="A60" s="12" t="inlineStr">
        <is>
          <t>Q7R2C4</t>
        </is>
      </c>
      <c r="B60" s="8">
        <f>Priv!G81</f>
        <v/>
      </c>
      <c r="C60" s="9" t="inlineStr">
        <is>
          <t>3,1</t>
        </is>
      </c>
    </row>
    <row r="61">
      <c r="A61" s="12" t="inlineStr">
        <is>
          <t>Q7R2C5</t>
        </is>
      </c>
      <c r="B61" s="8">
        <f>Priv!H81</f>
        <v/>
      </c>
      <c r="C61" s="9" t="inlineStr">
        <is>
          <t>3,1</t>
        </is>
      </c>
    </row>
    <row r="62">
      <c r="A62" s="12" t="inlineStr">
        <is>
          <t>Q7R2C6</t>
        </is>
      </c>
      <c r="B62" s="8">
        <f>Priv!I81</f>
        <v/>
      </c>
      <c r="C62" s="9" t="inlineStr">
        <is>
          <t>3,1</t>
        </is>
      </c>
    </row>
    <row r="63">
      <c r="A63" s="12" t="inlineStr">
        <is>
          <t>Q7R3C7</t>
        </is>
      </c>
      <c r="B63" s="8">
        <f>Priv!J81</f>
        <v/>
      </c>
      <c r="C63" s="9" t="inlineStr">
        <is>
          <t>3,1</t>
        </is>
      </c>
    </row>
    <row r="64">
      <c r="A64" s="8" t="inlineStr">
        <is>
          <t>Q7R3C1</t>
        </is>
      </c>
      <c r="B64" s="8">
        <f>Priv!D82</f>
        <v/>
      </c>
      <c r="C64" s="9" t="inlineStr">
        <is>
          <t>3,1</t>
        </is>
      </c>
    </row>
    <row r="65">
      <c r="A65" s="12" t="inlineStr">
        <is>
          <t>Q7R3C2</t>
        </is>
      </c>
      <c r="B65" s="8">
        <f>Priv!E82</f>
        <v/>
      </c>
      <c r="C65" s="9" t="inlineStr">
        <is>
          <t>3,1</t>
        </is>
      </c>
    </row>
    <row r="66">
      <c r="A66" s="12" t="inlineStr">
        <is>
          <t>Q7R3C3</t>
        </is>
      </c>
      <c r="B66" s="8">
        <f>Priv!F82</f>
        <v/>
      </c>
      <c r="C66" s="9" t="inlineStr">
        <is>
          <t>3,1</t>
        </is>
      </c>
    </row>
    <row r="67">
      <c r="A67" s="12" t="inlineStr">
        <is>
          <t>Q7R3C4</t>
        </is>
      </c>
      <c r="B67" s="8">
        <f>Priv!G82</f>
        <v/>
      </c>
      <c r="C67" s="9" t="inlineStr">
        <is>
          <t>3,1</t>
        </is>
      </c>
    </row>
    <row r="68">
      <c r="A68" s="12" t="inlineStr">
        <is>
          <t>Q7R3C5</t>
        </is>
      </c>
      <c r="B68" s="8">
        <f>Priv!H82</f>
        <v/>
      </c>
      <c r="C68" s="9" t="inlineStr">
        <is>
          <t>3,1</t>
        </is>
      </c>
    </row>
    <row r="69">
      <c r="A69" s="12" t="inlineStr">
        <is>
          <t>Q7R3C6</t>
        </is>
      </c>
      <c r="B69" s="8">
        <f>Priv!I82</f>
        <v/>
      </c>
      <c r="C69" s="9" t="inlineStr">
        <is>
          <t>3,1</t>
        </is>
      </c>
    </row>
    <row r="70">
      <c r="A70" s="12" t="inlineStr">
        <is>
          <t>Q7R3C7</t>
        </is>
      </c>
      <c r="B70" s="8">
        <f>Priv!J82</f>
        <v/>
      </c>
      <c r="C70" s="9" t="inlineStr">
        <is>
          <t>3,1</t>
        </is>
      </c>
    </row>
    <row r="71">
      <c r="A71" s="8" t="inlineStr">
        <is>
          <t>Q7R4C1</t>
        </is>
      </c>
      <c r="B71" s="8">
        <f>Priv!D83</f>
        <v/>
      </c>
      <c r="C71" s="9" t="inlineStr">
        <is>
          <t>3,1</t>
        </is>
      </c>
    </row>
    <row r="72">
      <c r="A72" s="12" t="inlineStr">
        <is>
          <t>Q7R4C2</t>
        </is>
      </c>
      <c r="B72" s="8">
        <f>Priv!E83</f>
        <v/>
      </c>
      <c r="C72" s="9" t="inlineStr">
        <is>
          <t>3,1</t>
        </is>
      </c>
    </row>
    <row r="73">
      <c r="A73" s="12" t="inlineStr">
        <is>
          <t>Q7R4C3</t>
        </is>
      </c>
      <c r="B73" s="8">
        <f>Priv!F83</f>
        <v/>
      </c>
      <c r="C73" s="9" t="inlineStr">
        <is>
          <t>3,1</t>
        </is>
      </c>
    </row>
    <row r="74">
      <c r="A74" s="12" t="inlineStr">
        <is>
          <t>Q7R4C4</t>
        </is>
      </c>
      <c r="B74" s="8">
        <f>Priv!G83</f>
        <v/>
      </c>
      <c r="C74" s="9" t="inlineStr">
        <is>
          <t>3,1</t>
        </is>
      </c>
    </row>
    <row r="75">
      <c r="A75" s="12" t="inlineStr">
        <is>
          <t>Q7R4C5</t>
        </is>
      </c>
      <c r="B75" s="8">
        <f>Priv!H83</f>
        <v/>
      </c>
      <c r="C75" s="9" t="inlineStr">
        <is>
          <t>3,1</t>
        </is>
      </c>
    </row>
    <row r="76">
      <c r="A76" s="12" t="inlineStr">
        <is>
          <t>Q7R4C6</t>
        </is>
      </c>
      <c r="B76" s="8">
        <f>Priv!I83</f>
        <v/>
      </c>
      <c r="C76" s="9" t="inlineStr">
        <is>
          <t>3,1</t>
        </is>
      </c>
    </row>
    <row r="77">
      <c r="A77" s="12" t="inlineStr">
        <is>
          <t>Q7R4C7</t>
        </is>
      </c>
      <c r="B77" s="8">
        <f>Priv!J83</f>
        <v/>
      </c>
      <c r="C77" s="9" t="inlineStr">
        <is>
          <t>3,1</t>
        </is>
      </c>
    </row>
    <row r="78">
      <c r="A78" s="8" t="inlineStr">
        <is>
          <t>Q7R5C1</t>
        </is>
      </c>
      <c r="B78" s="8">
        <f>Priv!D84</f>
        <v/>
      </c>
      <c r="C78" s="9" t="inlineStr">
        <is>
          <t>3,1</t>
        </is>
      </c>
    </row>
    <row r="79">
      <c r="A79" s="12" t="inlineStr">
        <is>
          <t>Q7R5C2</t>
        </is>
      </c>
      <c r="B79" s="8">
        <f>Priv!E84</f>
        <v/>
      </c>
      <c r="C79" s="9" t="inlineStr">
        <is>
          <t>3,1</t>
        </is>
      </c>
    </row>
    <row r="80">
      <c r="A80" s="12" t="inlineStr">
        <is>
          <t>Q7R5C3</t>
        </is>
      </c>
      <c r="B80" s="8">
        <f>Priv!F84</f>
        <v/>
      </c>
      <c r="C80" s="9" t="inlineStr">
        <is>
          <t>3,1</t>
        </is>
      </c>
    </row>
    <row r="81">
      <c r="A81" s="12" t="inlineStr">
        <is>
          <t>Q7R5C4</t>
        </is>
      </c>
      <c r="B81" s="8">
        <f>Priv!G84</f>
        <v/>
      </c>
      <c r="C81" s="9" t="inlineStr">
        <is>
          <t>3,1</t>
        </is>
      </c>
    </row>
    <row r="82">
      <c r="A82" s="12" t="inlineStr">
        <is>
          <t>Q7R5C5</t>
        </is>
      </c>
      <c r="B82" s="8">
        <f>Priv!H84</f>
        <v/>
      </c>
      <c r="C82" s="9" t="inlineStr">
        <is>
          <t>3,1</t>
        </is>
      </c>
    </row>
    <row r="83">
      <c r="A83" s="12" t="inlineStr">
        <is>
          <t>Q7R5C6</t>
        </is>
      </c>
      <c r="B83" s="8">
        <f>Priv!I84</f>
        <v/>
      </c>
      <c r="C83" s="9" t="inlineStr">
        <is>
          <t>3,1</t>
        </is>
      </c>
    </row>
    <row r="84">
      <c r="A84" s="12" t="inlineStr">
        <is>
          <t>Q7R5C7</t>
        </is>
      </c>
      <c r="B84" s="8">
        <f>Priv!J84</f>
        <v/>
      </c>
      <c r="C84" s="9" t="inlineStr">
        <is>
          <t>3,1</t>
        </is>
      </c>
    </row>
    <row r="85">
      <c r="A85" s="8" t="inlineStr">
        <is>
          <t>Q7R6C1</t>
        </is>
      </c>
      <c r="B85" s="8">
        <f>Priv!D85</f>
        <v/>
      </c>
      <c r="C85" s="9" t="inlineStr">
        <is>
          <t>3,1</t>
        </is>
      </c>
    </row>
    <row r="86">
      <c r="A86" s="12" t="inlineStr">
        <is>
          <t>Q7R6C2</t>
        </is>
      </c>
      <c r="B86" s="8">
        <f>Priv!E85</f>
        <v/>
      </c>
      <c r="C86" s="9" t="inlineStr">
        <is>
          <t>3,1</t>
        </is>
      </c>
    </row>
    <row r="87">
      <c r="A87" s="12" t="inlineStr">
        <is>
          <t>Q7R6C3</t>
        </is>
      </c>
      <c r="B87" s="8">
        <f>Priv!F85</f>
        <v/>
      </c>
      <c r="C87" s="9" t="inlineStr">
        <is>
          <t>3,1</t>
        </is>
      </c>
    </row>
    <row r="88">
      <c r="A88" s="12" t="inlineStr">
        <is>
          <t>Q7R6C4</t>
        </is>
      </c>
      <c r="B88" s="8">
        <f>Priv!G85</f>
        <v/>
      </c>
      <c r="C88" s="9" t="inlineStr">
        <is>
          <t>3,1</t>
        </is>
      </c>
    </row>
    <row r="89">
      <c r="A89" s="12" t="inlineStr">
        <is>
          <t>Q7R6C5</t>
        </is>
      </c>
      <c r="B89" s="8">
        <f>Priv!H85</f>
        <v/>
      </c>
      <c r="C89" s="9" t="inlineStr">
        <is>
          <t>3,1</t>
        </is>
      </c>
    </row>
    <row r="90">
      <c r="A90" s="12" t="inlineStr">
        <is>
          <t>Q7R6C6</t>
        </is>
      </c>
      <c r="B90" s="8">
        <f>Priv!I85</f>
        <v/>
      </c>
      <c r="C90" s="9" t="inlineStr">
        <is>
          <t>3,1</t>
        </is>
      </c>
    </row>
    <row r="91">
      <c r="A91" s="12" t="inlineStr">
        <is>
          <t>Q7R6C7</t>
        </is>
      </c>
      <c r="B91" s="8">
        <f>Priv!J85</f>
        <v/>
      </c>
      <c r="C91" s="9" t="inlineStr">
        <is>
          <t>3,1</t>
        </is>
      </c>
    </row>
    <row r="92">
      <c r="A92" s="8" t="inlineStr">
        <is>
          <t>Q7R7C1</t>
        </is>
      </c>
      <c r="B92" s="8">
        <f>Priv!D86</f>
        <v/>
      </c>
      <c r="C92" s="9" t="inlineStr">
        <is>
          <t>3,1</t>
        </is>
      </c>
    </row>
    <row r="93">
      <c r="A93" s="12" t="inlineStr">
        <is>
          <t>Q7R7C2</t>
        </is>
      </c>
      <c r="B93" s="8">
        <f>Priv!E86</f>
        <v/>
      </c>
      <c r="C93" s="9" t="inlineStr">
        <is>
          <t>3,1</t>
        </is>
      </c>
    </row>
    <row r="94">
      <c r="A94" s="12" t="inlineStr">
        <is>
          <t>Q7R7C3</t>
        </is>
      </c>
      <c r="B94" s="8">
        <f>Priv!F86</f>
        <v/>
      </c>
      <c r="C94" s="9" t="inlineStr">
        <is>
          <t>3,1</t>
        </is>
      </c>
    </row>
    <row r="95">
      <c r="A95" s="12" t="inlineStr">
        <is>
          <t>Q7R7C4</t>
        </is>
      </c>
      <c r="B95" s="8">
        <f>Priv!G86</f>
        <v/>
      </c>
      <c r="C95" s="9" t="inlineStr">
        <is>
          <t>3,1</t>
        </is>
      </c>
    </row>
    <row r="96">
      <c r="A96" s="12" t="inlineStr">
        <is>
          <t>Q7R7C5</t>
        </is>
      </c>
      <c r="B96" s="8">
        <f>Priv!H86</f>
        <v/>
      </c>
      <c r="C96" s="9" t="inlineStr">
        <is>
          <t>3,1</t>
        </is>
      </c>
    </row>
    <row r="97">
      <c r="A97" s="12" t="inlineStr">
        <is>
          <t>Q7R7C6</t>
        </is>
      </c>
      <c r="B97" s="8">
        <f>Priv!I86</f>
        <v/>
      </c>
      <c r="C97" s="9" t="inlineStr">
        <is>
          <t>3,1</t>
        </is>
      </c>
    </row>
    <row r="98">
      <c r="A98" s="12" t="inlineStr">
        <is>
          <t>Q7R7C7</t>
        </is>
      </c>
      <c r="B98" s="8">
        <f>Priv!J86</f>
        <v/>
      </c>
      <c r="C98" s="9" t="inlineStr">
        <is>
          <t>3,1</t>
        </is>
      </c>
    </row>
    <row r="99">
      <c r="A99" s="8" t="inlineStr">
        <is>
          <t>Q8R1C1</t>
        </is>
      </c>
      <c r="B99" s="8">
        <f>Priv!C93</f>
        <v/>
      </c>
      <c r="C99" s="9" t="inlineStr">
        <is>
          <t>3,2</t>
        </is>
      </c>
    </row>
    <row r="100">
      <c r="A100" s="8" t="inlineStr">
        <is>
          <t>Q8R2C1</t>
        </is>
      </c>
      <c r="B100" s="8">
        <f>Priv!C94</f>
        <v/>
      </c>
      <c r="C100" s="9" t="inlineStr">
        <is>
          <t>3,2</t>
        </is>
      </c>
    </row>
    <row r="101">
      <c r="A101" s="8" t="inlineStr">
        <is>
          <t>Q8R3C1</t>
        </is>
      </c>
      <c r="B101" s="8">
        <f>Priv!C95</f>
        <v/>
      </c>
      <c r="C101" s="9" t="inlineStr">
        <is>
          <t>3,2</t>
        </is>
      </c>
    </row>
    <row r="102">
      <c r="A102" s="8" t="inlineStr">
        <is>
          <t>Q8R4C1</t>
        </is>
      </c>
      <c r="B102" s="8">
        <f>Priv!C96</f>
        <v/>
      </c>
      <c r="C102" s="9" t="inlineStr">
        <is>
          <t>3,2</t>
        </is>
      </c>
    </row>
    <row r="103">
      <c r="A103" s="8" t="inlineStr">
        <is>
          <t>Q8R5C1</t>
        </is>
      </c>
      <c r="B103" s="8">
        <f>Priv!C97</f>
        <v/>
      </c>
      <c r="C103" s="9" t="inlineStr">
        <is>
          <t>3,2</t>
        </is>
      </c>
    </row>
    <row r="104">
      <c r="A104" s="8" t="inlineStr">
        <is>
          <t>Q8R6C1</t>
        </is>
      </c>
      <c r="B104" s="8">
        <f>Priv!C98</f>
        <v/>
      </c>
      <c r="C104" s="9" t="inlineStr">
        <is>
          <t>3,2</t>
        </is>
      </c>
    </row>
    <row r="105">
      <c r="A105" s="8" t="inlineStr">
        <is>
          <t>Q8R7C1</t>
        </is>
      </c>
      <c r="B105" s="8">
        <f>Priv!C99</f>
        <v/>
      </c>
      <c r="C105" s="9" t="inlineStr">
        <is>
          <t>3,2</t>
        </is>
      </c>
    </row>
    <row r="106">
      <c r="A106" s="8" t="inlineStr">
        <is>
          <t>Q8R8C1</t>
        </is>
      </c>
      <c r="B106" s="8">
        <f>Priv!C100</f>
        <v/>
      </c>
      <c r="C106" s="9" t="inlineStr">
        <is>
          <t>3,2</t>
        </is>
      </c>
    </row>
    <row r="107">
      <c r="A107" s="8" t="inlineStr">
        <is>
          <t>Q8R9C1</t>
        </is>
      </c>
      <c r="B107" s="8">
        <f>Priv!C101</f>
        <v/>
      </c>
      <c r="C107" s="9" t="inlineStr">
        <is>
          <t>3,2</t>
        </is>
      </c>
    </row>
    <row r="108">
      <c r="A108" s="8" t="inlineStr">
        <is>
          <t>Q8R10C1</t>
        </is>
      </c>
      <c r="B108" s="8">
        <f>Priv!G93</f>
        <v/>
      </c>
      <c r="C108" s="9" t="inlineStr">
        <is>
          <t>3,2</t>
        </is>
      </c>
    </row>
    <row r="109">
      <c r="A109" s="8" t="inlineStr">
        <is>
          <t>Q8R11C1</t>
        </is>
      </c>
      <c r="B109" s="8">
        <f>Priv!G94</f>
        <v/>
      </c>
      <c r="C109" s="9" t="inlineStr">
        <is>
          <t>3,2</t>
        </is>
      </c>
    </row>
    <row r="110">
      <c r="A110" s="8" t="inlineStr">
        <is>
          <t>Q8R12C1</t>
        </is>
      </c>
      <c r="B110" s="8">
        <f>Priv!G95</f>
        <v/>
      </c>
      <c r="C110" s="9" t="inlineStr">
        <is>
          <t>3,2</t>
        </is>
      </c>
    </row>
    <row r="111">
      <c r="A111" s="8" t="inlineStr">
        <is>
          <t>Q8R13C1</t>
        </is>
      </c>
      <c r="B111" s="8">
        <f>Priv!G96</f>
        <v/>
      </c>
      <c r="C111" s="9" t="inlineStr">
        <is>
          <t>3,2</t>
        </is>
      </c>
    </row>
    <row r="112">
      <c r="A112" s="8" t="inlineStr">
        <is>
          <t>Q8R14C1</t>
        </is>
      </c>
      <c r="B112" s="8">
        <f>Priv!G97</f>
        <v/>
      </c>
      <c r="C112" s="9" t="inlineStr">
        <is>
          <t>3,2</t>
        </is>
      </c>
    </row>
    <row r="113">
      <c r="A113" s="8" t="inlineStr">
        <is>
          <t>Q8R15C1</t>
        </is>
      </c>
      <c r="B113" s="8">
        <f>Priv!G98</f>
        <v/>
      </c>
      <c r="C113" s="9" t="inlineStr">
        <is>
          <t>3,2</t>
        </is>
      </c>
    </row>
    <row r="114">
      <c r="A114" s="8" t="inlineStr">
        <is>
          <t>Q8R16C1</t>
        </is>
      </c>
      <c r="B114" s="8">
        <f>Priv!G99</f>
        <v/>
      </c>
      <c r="C114" s="9" t="inlineStr">
        <is>
          <t>3,2</t>
        </is>
      </c>
    </row>
    <row r="115">
      <c r="A115" s="8" t="inlineStr">
        <is>
          <t>Q8R17C1</t>
        </is>
      </c>
      <c r="B115" s="8">
        <f>Priv!G100</f>
        <v/>
      </c>
      <c r="C115" s="9" t="inlineStr">
        <is>
          <t>3,2</t>
        </is>
      </c>
    </row>
    <row r="116">
      <c r="A116" s="8" t="inlineStr">
        <is>
          <t>Q8R18C1</t>
        </is>
      </c>
      <c r="B116" s="8">
        <f>Priv!G101</f>
        <v/>
      </c>
      <c r="C116" s="9" t="inlineStr">
        <is>
          <t>3,2</t>
        </is>
      </c>
    </row>
    <row r="117">
      <c r="A117" s="8" t="inlineStr">
        <is>
          <t>Q8R19C1</t>
        </is>
      </c>
      <c r="B117" s="8">
        <f>Priv!G102</f>
        <v/>
      </c>
      <c r="C117" s="9" t="inlineStr">
        <is>
          <t>3,2</t>
        </is>
      </c>
    </row>
    <row r="118">
      <c r="A118" s="8" t="inlineStr">
        <is>
          <t>Q8R20C1</t>
        </is>
      </c>
      <c r="B118" s="8">
        <f>Priv!K93</f>
        <v/>
      </c>
      <c r="C118" s="9" t="inlineStr">
        <is>
          <t>3,2</t>
        </is>
      </c>
    </row>
    <row r="119">
      <c r="A119" s="8" t="inlineStr">
        <is>
          <t>Q8R21C1</t>
        </is>
      </c>
      <c r="B119" s="8">
        <f>Priv!K94</f>
        <v/>
      </c>
      <c r="C119" s="9" t="inlineStr">
        <is>
          <t>3,2</t>
        </is>
      </c>
    </row>
    <row r="120">
      <c r="A120" s="8" t="inlineStr">
        <is>
          <t>Q8R22C1</t>
        </is>
      </c>
      <c r="B120" s="8">
        <f>Priv!K95</f>
        <v/>
      </c>
      <c r="C120" s="9" t="inlineStr">
        <is>
          <t>3,2</t>
        </is>
      </c>
    </row>
    <row r="121">
      <c r="A121" s="8" t="inlineStr">
        <is>
          <t>Q8R23C1</t>
        </is>
      </c>
      <c r="B121" s="8">
        <f>Priv!K96</f>
        <v/>
      </c>
      <c r="C121" s="9" t="inlineStr">
        <is>
          <t>3,2</t>
        </is>
      </c>
    </row>
    <row r="122">
      <c r="A122" s="8" t="inlineStr">
        <is>
          <t>Q8R24C1</t>
        </is>
      </c>
      <c r="B122" s="8">
        <f>Priv!K97</f>
        <v/>
      </c>
      <c r="C122" s="9" t="inlineStr">
        <is>
          <t>3,2</t>
        </is>
      </c>
    </row>
    <row r="123">
      <c r="A123" s="8" t="inlineStr">
        <is>
          <t>Q8R25C1</t>
        </is>
      </c>
      <c r="B123" s="8">
        <f>Priv!K98</f>
        <v/>
      </c>
      <c r="C123" s="9" t="inlineStr">
        <is>
          <t>3,2</t>
        </is>
      </c>
    </row>
    <row r="124">
      <c r="A124" s="8" t="inlineStr">
        <is>
          <t>Q8R26C1</t>
        </is>
      </c>
      <c r="B124" s="8">
        <f>Priv!K99</f>
        <v/>
      </c>
      <c r="C124" s="9" t="inlineStr">
        <is>
          <t>3,2</t>
        </is>
      </c>
    </row>
    <row r="125">
      <c r="A125" s="8" t="inlineStr">
        <is>
          <t>Q8R27C1</t>
        </is>
      </c>
      <c r="B125" s="8">
        <f>Priv!K100</f>
        <v/>
      </c>
      <c r="C125" s="9" t="inlineStr">
        <is>
          <t>3,2</t>
        </is>
      </c>
    </row>
    <row r="126">
      <c r="A126" s="8" t="inlineStr">
        <is>
          <t>Q8R28C1</t>
        </is>
      </c>
      <c r="B126" s="8">
        <f>Priv!K101</f>
        <v/>
      </c>
      <c r="C126" s="9" t="inlineStr">
        <is>
          <t>3,2</t>
        </is>
      </c>
    </row>
    <row r="127">
      <c r="A127" s="8" t="inlineStr">
        <is>
          <t>Q9R1C1</t>
        </is>
      </c>
      <c r="B127" s="8">
        <f>Priv!C107</f>
        <v/>
      </c>
      <c r="C127" s="9" t="inlineStr">
        <is>
          <t>3,3</t>
        </is>
      </c>
    </row>
    <row r="128">
      <c r="A128" s="12" t="inlineStr">
        <is>
          <t>Q9R2C1</t>
        </is>
      </c>
      <c r="B128" s="8">
        <f>Priv!C108</f>
        <v/>
      </c>
      <c r="C128" s="9" t="inlineStr">
        <is>
          <t>3,3</t>
        </is>
      </c>
    </row>
    <row r="129">
      <c r="A129" s="12" t="inlineStr">
        <is>
          <t>Q9R3C1</t>
        </is>
      </c>
      <c r="B129" s="8">
        <f>Priv!C109</f>
        <v/>
      </c>
      <c r="C129" s="9" t="inlineStr">
        <is>
          <t>3,3</t>
        </is>
      </c>
    </row>
    <row r="130">
      <c r="A130" s="12" t="inlineStr">
        <is>
          <t>Q9R4C1</t>
        </is>
      </c>
      <c r="B130" s="8">
        <f>Priv!G107</f>
        <v/>
      </c>
      <c r="C130" s="9" t="inlineStr">
        <is>
          <t>3,3</t>
        </is>
      </c>
    </row>
    <row r="131">
      <c r="A131" s="12" t="inlineStr">
        <is>
          <t>Q9R5C1</t>
        </is>
      </c>
      <c r="B131" s="8">
        <f>Priv!G108</f>
        <v/>
      </c>
      <c r="C131" s="9" t="inlineStr">
        <is>
          <t>3,3</t>
        </is>
      </c>
    </row>
    <row r="132">
      <c r="A132" s="12" t="inlineStr">
        <is>
          <t>Q9R6C1</t>
        </is>
      </c>
      <c r="B132" s="8">
        <f>Priv!G109</f>
        <v/>
      </c>
      <c r="C132" s="9" t="inlineStr">
        <is>
          <t>3,3</t>
        </is>
      </c>
    </row>
    <row r="133">
      <c r="A133" s="12" t="inlineStr">
        <is>
          <t>Q9R7C1</t>
        </is>
      </c>
      <c r="B133" s="8">
        <f>Priv!G110</f>
        <v/>
      </c>
      <c r="C133" s="9" t="inlineStr">
        <is>
          <t>3,3</t>
        </is>
      </c>
    </row>
    <row r="134">
      <c r="A134" s="12" t="inlineStr">
        <is>
          <t>Q9R8C1</t>
        </is>
      </c>
      <c r="B134" s="8">
        <f>Priv!K107</f>
        <v/>
      </c>
      <c r="C134" s="9" t="inlineStr">
        <is>
          <t>3,3</t>
        </is>
      </c>
    </row>
    <row r="135">
      <c r="A135" s="12" t="inlineStr">
        <is>
          <t>Q9R9C1</t>
        </is>
      </c>
      <c r="B135" s="8">
        <f>Priv!K108</f>
        <v/>
      </c>
      <c r="C135" s="9" t="inlineStr">
        <is>
          <t>3,3</t>
        </is>
      </c>
    </row>
    <row r="136">
      <c r="A136" s="12" t="inlineStr">
        <is>
          <t>Q9R10C1</t>
        </is>
      </c>
      <c r="B136" s="8">
        <f>Priv!K109</f>
        <v/>
      </c>
      <c r="C136" s="9" t="inlineStr">
        <is>
          <t>3,3</t>
        </is>
      </c>
    </row>
    <row r="137">
      <c r="A137" s="12" t="inlineStr">
        <is>
          <t>Q9R11C1</t>
        </is>
      </c>
      <c r="B137" s="8">
        <f>Priv!K110</f>
        <v/>
      </c>
      <c r="C137" s="9" t="inlineStr">
        <is>
          <t>3,3</t>
        </is>
      </c>
    </row>
    <row r="138">
      <c r="A138" s="8" t="inlineStr">
        <is>
          <t>Q10R1C1</t>
        </is>
      </c>
      <c r="B138" s="8">
        <f>Priv!A116</f>
        <v/>
      </c>
      <c r="C138" s="9" t="inlineStr">
        <is>
          <t>3,4</t>
        </is>
      </c>
    </row>
    <row r="139">
      <c r="A139" s="5" t="inlineStr">
        <is>
          <t>Q10R1C2</t>
        </is>
      </c>
      <c r="B139" s="5">
        <f>Priv!C116</f>
        <v/>
      </c>
      <c r="C139" s="7" t="inlineStr">
        <is>
          <t>3,4</t>
        </is>
      </c>
    </row>
    <row r="140">
      <c r="A140" s="5" t="inlineStr">
        <is>
          <t>Q10R1C3</t>
        </is>
      </c>
      <c r="B140" s="5">
        <f>Priv!E116</f>
        <v/>
      </c>
      <c r="C140" s="7" t="inlineStr">
        <is>
          <t>3,4</t>
        </is>
      </c>
    </row>
    <row r="141">
      <c r="A141" s="5" t="inlineStr">
        <is>
          <t>Q10R1C4</t>
        </is>
      </c>
      <c r="B141" s="5">
        <f>Priv!F116</f>
        <v/>
      </c>
      <c r="C141" s="7" t="inlineStr">
        <is>
          <t>3,4</t>
        </is>
      </c>
    </row>
    <row r="142">
      <c r="A142" s="5" t="inlineStr">
        <is>
          <t>Q10R1C5</t>
        </is>
      </c>
      <c r="B142" s="5">
        <f>Priv!G116</f>
        <v/>
      </c>
      <c r="C142" s="7" t="inlineStr">
        <is>
          <t>3,4</t>
        </is>
      </c>
    </row>
    <row r="143">
      <c r="A143" s="8" t="inlineStr">
        <is>
          <t>Q10R1C6</t>
        </is>
      </c>
      <c r="B143" s="8">
        <f>Priv!H116</f>
        <v/>
      </c>
      <c r="C143" s="9" t="inlineStr">
        <is>
          <t>3,4</t>
        </is>
      </c>
    </row>
    <row r="144">
      <c r="A144" s="8" t="inlineStr">
        <is>
          <t>Q11R1C1</t>
        </is>
      </c>
      <c r="B144" s="8">
        <f>Priv!A123</f>
        <v/>
      </c>
      <c r="C144" s="9" t="inlineStr">
        <is>
          <t>3.5.1</t>
        </is>
      </c>
    </row>
    <row r="145">
      <c r="A145" s="8" t="inlineStr">
        <is>
          <t>Q11R1C2</t>
        </is>
      </c>
      <c r="B145" s="8">
        <f>Priv!D123</f>
        <v/>
      </c>
      <c r="C145" s="9" t="inlineStr">
        <is>
          <t>3.5.1</t>
        </is>
      </c>
    </row>
    <row r="146">
      <c r="A146" s="8" t="inlineStr">
        <is>
          <t>Q11R1C3</t>
        </is>
      </c>
      <c r="B146" s="8">
        <f>Priv!G123</f>
        <v/>
      </c>
      <c r="C146" s="9" t="inlineStr">
        <is>
          <t>3.5.1</t>
        </is>
      </c>
    </row>
    <row r="147">
      <c r="A147" s="5" t="inlineStr">
        <is>
          <t>Q12R1C1</t>
        </is>
      </c>
      <c r="B147" s="5">
        <f>Priv!C130</f>
        <v/>
      </c>
      <c r="C147" s="7" t="inlineStr">
        <is>
          <t>3.5.2</t>
        </is>
      </c>
    </row>
    <row r="148">
      <c r="A148" s="5" t="inlineStr">
        <is>
          <t>Q12R1C2</t>
        </is>
      </c>
      <c r="B148" s="5">
        <f>Priv!D130</f>
        <v/>
      </c>
      <c r="C148" s="7" t="inlineStr">
        <is>
          <t>3.5.2</t>
        </is>
      </c>
    </row>
    <row r="149">
      <c r="A149" s="5" t="inlineStr">
        <is>
          <t>Q12R1C3</t>
        </is>
      </c>
      <c r="B149" s="5">
        <f>Priv!E130</f>
        <v/>
      </c>
      <c r="C149" s="7" t="inlineStr">
        <is>
          <t>3.5.2</t>
        </is>
      </c>
    </row>
    <row r="150">
      <c r="A150" s="5" t="inlineStr">
        <is>
          <t>Q12R1C4</t>
        </is>
      </c>
      <c r="B150" s="5">
        <f>Priv!F130</f>
        <v/>
      </c>
      <c r="C150" s="7" t="inlineStr">
        <is>
          <t>3.5.2</t>
        </is>
      </c>
    </row>
    <row r="151">
      <c r="A151" s="5" t="inlineStr">
        <is>
          <t>Q12R1C5</t>
        </is>
      </c>
      <c r="B151" s="5">
        <f>Priv!G130</f>
        <v/>
      </c>
      <c r="C151" s="7" t="inlineStr">
        <is>
          <t>3.5.2</t>
        </is>
      </c>
    </row>
    <row r="152">
      <c r="A152" s="5" t="inlineStr">
        <is>
          <t>Q12R1C6</t>
        </is>
      </c>
      <c r="B152" s="5">
        <f>Priv!H130</f>
        <v/>
      </c>
      <c r="C152" s="7" t="inlineStr">
        <is>
          <t>3.5.2</t>
        </is>
      </c>
    </row>
    <row r="153">
      <c r="A153" s="5" t="inlineStr">
        <is>
          <t>Q12R1C7</t>
        </is>
      </c>
      <c r="B153" s="5">
        <f>Priv!I130</f>
        <v/>
      </c>
      <c r="C153" s="7" t="inlineStr">
        <is>
          <t>3.5.2</t>
        </is>
      </c>
    </row>
    <row r="154">
      <c r="A154" s="5" t="inlineStr">
        <is>
          <t>Q12R1C8</t>
        </is>
      </c>
      <c r="B154" s="5">
        <f>Priv!J130</f>
        <v/>
      </c>
      <c r="C154" s="7" t="inlineStr">
        <is>
          <t>3.5.2</t>
        </is>
      </c>
    </row>
    <row r="155">
      <c r="A155" s="5" t="inlineStr">
        <is>
          <t>Q12R1C9</t>
        </is>
      </c>
      <c r="B155" s="5">
        <f>Priv!K130</f>
        <v/>
      </c>
      <c r="C155" s="7" t="inlineStr">
        <is>
          <t>3.5.2</t>
        </is>
      </c>
    </row>
    <row r="156">
      <c r="A156" s="5" t="inlineStr">
        <is>
          <t>Q12R1C10</t>
        </is>
      </c>
      <c r="B156" s="5">
        <f>Priv!L130</f>
        <v/>
      </c>
      <c r="C156" s="7" t="inlineStr">
        <is>
          <t>3.5.2</t>
        </is>
      </c>
    </row>
    <row r="157">
      <c r="A157" s="5" t="inlineStr">
        <is>
          <t>Q12R2C1</t>
        </is>
      </c>
      <c r="B157" s="5">
        <f>Priv!C131</f>
        <v/>
      </c>
      <c r="C157" s="7" t="inlineStr">
        <is>
          <t>3.5.2</t>
        </is>
      </c>
    </row>
    <row r="158">
      <c r="A158" s="5" t="inlineStr">
        <is>
          <t>Q12R2C2</t>
        </is>
      </c>
      <c r="B158" s="5">
        <f>Priv!D131</f>
        <v/>
      </c>
      <c r="C158" s="7" t="inlineStr">
        <is>
          <t>3.5.2</t>
        </is>
      </c>
    </row>
    <row r="159">
      <c r="A159" s="5" t="inlineStr">
        <is>
          <t>Q12R2C3</t>
        </is>
      </c>
      <c r="B159" s="5">
        <f>Priv!E131</f>
        <v/>
      </c>
      <c r="C159" s="7" t="inlineStr">
        <is>
          <t>3.5.2</t>
        </is>
      </c>
    </row>
    <row r="160">
      <c r="A160" s="5" t="inlineStr">
        <is>
          <t>Q12R2C4</t>
        </is>
      </c>
      <c r="B160" s="5">
        <f>Priv!F131</f>
        <v/>
      </c>
      <c r="C160" s="7" t="inlineStr">
        <is>
          <t>3.5.2</t>
        </is>
      </c>
    </row>
    <row r="161">
      <c r="A161" s="5" t="inlineStr">
        <is>
          <t>Q12R2C5</t>
        </is>
      </c>
      <c r="B161" s="5">
        <f>Priv!G131</f>
        <v/>
      </c>
      <c r="C161" s="7" t="inlineStr">
        <is>
          <t>3.5.2</t>
        </is>
      </c>
    </row>
    <row r="162">
      <c r="A162" s="5" t="inlineStr">
        <is>
          <t>Q12R2C6</t>
        </is>
      </c>
      <c r="B162" s="5">
        <f>Priv!H131</f>
        <v/>
      </c>
      <c r="C162" s="7" t="inlineStr">
        <is>
          <t>3.5.2</t>
        </is>
      </c>
    </row>
    <row r="163">
      <c r="A163" s="5" t="inlineStr">
        <is>
          <t>Q12R2C7</t>
        </is>
      </c>
      <c r="B163" s="5">
        <f>Priv!I131</f>
        <v/>
      </c>
      <c r="C163" s="7" t="inlineStr">
        <is>
          <t>3.5.2</t>
        </is>
      </c>
    </row>
    <row r="164">
      <c r="A164" s="5" t="inlineStr">
        <is>
          <t>Q12R2C8</t>
        </is>
      </c>
      <c r="B164" s="5">
        <f>Priv!J131</f>
        <v/>
      </c>
      <c r="C164" s="7" t="inlineStr">
        <is>
          <t>3.5.2</t>
        </is>
      </c>
    </row>
    <row r="165">
      <c r="A165" s="5" t="inlineStr">
        <is>
          <t>Q12R2C9</t>
        </is>
      </c>
      <c r="B165" s="5">
        <f>Priv!K131</f>
        <v/>
      </c>
      <c r="C165" s="7" t="inlineStr">
        <is>
          <t>3.5.2</t>
        </is>
      </c>
    </row>
    <row r="166">
      <c r="A166" s="5" t="inlineStr">
        <is>
          <t>Q12R2C10</t>
        </is>
      </c>
      <c r="B166" s="5">
        <f>Priv!L131</f>
        <v/>
      </c>
      <c r="C166" s="7" t="inlineStr">
        <is>
          <t>3.5.2</t>
        </is>
      </c>
    </row>
    <row r="167">
      <c r="A167" s="5" t="inlineStr">
        <is>
          <t>Q12R3C1</t>
        </is>
      </c>
      <c r="B167" s="5">
        <f>Priv!C132</f>
        <v/>
      </c>
      <c r="C167" s="7" t="inlineStr">
        <is>
          <t>3.5.2</t>
        </is>
      </c>
    </row>
    <row r="168">
      <c r="A168" s="5" t="inlineStr">
        <is>
          <t>Q12R3C2</t>
        </is>
      </c>
      <c r="B168" s="5">
        <f>Priv!D132</f>
        <v/>
      </c>
      <c r="C168" s="7" t="inlineStr">
        <is>
          <t>3.5.2</t>
        </is>
      </c>
    </row>
    <row r="169">
      <c r="A169" s="5" t="inlineStr">
        <is>
          <t>Q12R3C3</t>
        </is>
      </c>
      <c r="B169" s="5">
        <f>Priv!E132</f>
        <v/>
      </c>
      <c r="C169" s="7" t="inlineStr">
        <is>
          <t>3.5.2</t>
        </is>
      </c>
    </row>
    <row r="170">
      <c r="A170" s="5" t="inlineStr">
        <is>
          <t>Q12R3C4</t>
        </is>
      </c>
      <c r="B170" s="5">
        <f>Priv!F132</f>
        <v/>
      </c>
      <c r="C170" s="7" t="inlineStr">
        <is>
          <t>3.5.2</t>
        </is>
      </c>
    </row>
    <row r="171">
      <c r="A171" s="5" t="inlineStr">
        <is>
          <t>Q12R3C5</t>
        </is>
      </c>
      <c r="B171" s="5">
        <f>Priv!G132</f>
        <v/>
      </c>
      <c r="C171" s="7" t="inlineStr">
        <is>
          <t>3.5.2</t>
        </is>
      </c>
    </row>
    <row r="172">
      <c r="A172" s="5" t="inlineStr">
        <is>
          <t>Q12R3C6</t>
        </is>
      </c>
      <c r="B172" s="5">
        <f>Priv!H132</f>
        <v/>
      </c>
      <c r="C172" s="7" t="inlineStr">
        <is>
          <t>3.5.2</t>
        </is>
      </c>
    </row>
    <row r="173">
      <c r="A173" s="5" t="inlineStr">
        <is>
          <t>Q12R3C7</t>
        </is>
      </c>
      <c r="B173" s="5">
        <f>Priv!I132</f>
        <v/>
      </c>
      <c r="C173" s="7" t="inlineStr">
        <is>
          <t>3.5.2</t>
        </is>
      </c>
    </row>
    <row r="174">
      <c r="A174" s="5" t="inlineStr">
        <is>
          <t>Q12R3C8</t>
        </is>
      </c>
      <c r="B174" s="5">
        <f>Priv!J132</f>
        <v/>
      </c>
      <c r="C174" s="7" t="inlineStr">
        <is>
          <t>3.5.2</t>
        </is>
      </c>
    </row>
    <row r="175">
      <c r="A175" s="5" t="inlineStr">
        <is>
          <t>Q12R3C9</t>
        </is>
      </c>
      <c r="B175" s="5">
        <f>Priv!K132</f>
        <v/>
      </c>
      <c r="C175" s="7" t="inlineStr">
        <is>
          <t>3.5.2</t>
        </is>
      </c>
    </row>
    <row r="176">
      <c r="A176" s="5" t="inlineStr">
        <is>
          <t>Q12R3C10</t>
        </is>
      </c>
      <c r="B176" s="5">
        <f>Priv!L132</f>
        <v/>
      </c>
      <c r="C176" s="7" t="inlineStr">
        <is>
          <t>3.5.2</t>
        </is>
      </c>
    </row>
    <row r="177">
      <c r="A177" s="5" t="inlineStr">
        <is>
          <t>Q12R4C1</t>
        </is>
      </c>
      <c r="B177" s="5">
        <f>Priv!C133</f>
        <v/>
      </c>
      <c r="C177" s="7" t="inlineStr">
        <is>
          <t>3.5.2</t>
        </is>
      </c>
    </row>
    <row r="178">
      <c r="A178" s="5" t="inlineStr">
        <is>
          <t>Q12R4C2</t>
        </is>
      </c>
      <c r="B178" s="5">
        <f>Priv!D133</f>
        <v/>
      </c>
      <c r="C178" s="7" t="inlineStr">
        <is>
          <t>3.5.2</t>
        </is>
      </c>
    </row>
    <row r="179">
      <c r="A179" s="5" t="inlineStr">
        <is>
          <t>Q12R4C3</t>
        </is>
      </c>
      <c r="B179" s="5">
        <f>Priv!E133</f>
        <v/>
      </c>
      <c r="C179" s="7" t="inlineStr">
        <is>
          <t>3.5.2</t>
        </is>
      </c>
    </row>
    <row r="180">
      <c r="A180" s="5" t="inlineStr">
        <is>
          <t>Q12R4C4</t>
        </is>
      </c>
      <c r="B180" s="5">
        <f>Priv!F133</f>
        <v/>
      </c>
      <c r="C180" s="7" t="inlineStr">
        <is>
          <t>3.5.2</t>
        </is>
      </c>
    </row>
    <row r="181">
      <c r="A181" s="5" t="inlineStr">
        <is>
          <t>Q12R4C5</t>
        </is>
      </c>
      <c r="B181" s="5">
        <f>Priv!G133</f>
        <v/>
      </c>
      <c r="C181" s="7" t="inlineStr">
        <is>
          <t>3.5.2</t>
        </is>
      </c>
    </row>
    <row r="182">
      <c r="A182" s="5" t="inlineStr">
        <is>
          <t>Q12R4C6</t>
        </is>
      </c>
      <c r="B182" s="5">
        <f>Priv!H133</f>
        <v/>
      </c>
      <c r="C182" s="7" t="inlineStr">
        <is>
          <t>3.5.2</t>
        </is>
      </c>
    </row>
    <row r="183">
      <c r="A183" s="5" t="inlineStr">
        <is>
          <t>Q12R4C7</t>
        </is>
      </c>
      <c r="B183" s="5">
        <f>Priv!I133</f>
        <v/>
      </c>
      <c r="C183" s="7" t="inlineStr">
        <is>
          <t>3.5.2</t>
        </is>
      </c>
    </row>
    <row r="184">
      <c r="A184" s="5" t="inlineStr">
        <is>
          <t>Q12R4C8</t>
        </is>
      </c>
      <c r="B184" s="5">
        <f>Priv!J133</f>
        <v/>
      </c>
      <c r="C184" s="7" t="inlineStr">
        <is>
          <t>3.5.2</t>
        </is>
      </c>
    </row>
    <row r="185">
      <c r="A185" s="5" t="inlineStr">
        <is>
          <t>Q12R4C9</t>
        </is>
      </c>
      <c r="B185" s="5">
        <f>Priv!K133</f>
        <v/>
      </c>
      <c r="C185" s="7" t="inlineStr">
        <is>
          <t>3.5.2</t>
        </is>
      </c>
    </row>
    <row r="186">
      <c r="A186" s="5" t="inlineStr">
        <is>
          <t>Q12R4C10</t>
        </is>
      </c>
      <c r="B186" s="5">
        <f>Priv!L133</f>
        <v/>
      </c>
      <c r="C186" s="7" t="inlineStr">
        <is>
          <t>3.5.2</t>
        </is>
      </c>
    </row>
    <row r="187">
      <c r="A187" s="5" t="inlineStr">
        <is>
          <t>Q12R5C1</t>
        </is>
      </c>
      <c r="B187" s="5">
        <f>Priv!C134</f>
        <v/>
      </c>
      <c r="C187" s="7" t="inlineStr">
        <is>
          <t>3.5.2</t>
        </is>
      </c>
    </row>
    <row r="188">
      <c r="A188" s="5" t="inlineStr">
        <is>
          <t>Q12R5C2</t>
        </is>
      </c>
      <c r="B188" s="5">
        <f>Priv!D134</f>
        <v/>
      </c>
      <c r="C188" s="7" t="inlineStr">
        <is>
          <t>3.5.2</t>
        </is>
      </c>
    </row>
    <row r="189">
      <c r="A189" s="5" t="inlineStr">
        <is>
          <t>Q12R5C3</t>
        </is>
      </c>
      <c r="B189" s="5">
        <f>Priv!E134</f>
        <v/>
      </c>
      <c r="C189" s="7" t="inlineStr">
        <is>
          <t>3.5.2</t>
        </is>
      </c>
    </row>
    <row r="190">
      <c r="A190" s="5" t="inlineStr">
        <is>
          <t>Q12R5C4</t>
        </is>
      </c>
      <c r="B190" s="5">
        <f>Priv!F134</f>
        <v/>
      </c>
      <c r="C190" s="7" t="inlineStr">
        <is>
          <t>3.5.2</t>
        </is>
      </c>
    </row>
    <row r="191">
      <c r="A191" s="5" t="inlineStr">
        <is>
          <t>Q12R5C5</t>
        </is>
      </c>
      <c r="B191" s="5">
        <f>Priv!G134</f>
        <v/>
      </c>
      <c r="C191" s="7" t="inlineStr">
        <is>
          <t>3.5.2</t>
        </is>
      </c>
    </row>
    <row r="192">
      <c r="A192" s="5" t="inlineStr">
        <is>
          <t>Q12R5C6</t>
        </is>
      </c>
      <c r="B192" s="5">
        <f>Priv!H134</f>
        <v/>
      </c>
      <c r="C192" s="7" t="inlineStr">
        <is>
          <t>3.5.2</t>
        </is>
      </c>
    </row>
    <row r="193">
      <c r="A193" s="5" t="inlineStr">
        <is>
          <t>Q12R5C7</t>
        </is>
      </c>
      <c r="B193" s="5">
        <f>Priv!I134</f>
        <v/>
      </c>
      <c r="C193" s="7" t="inlineStr">
        <is>
          <t>3.5.2</t>
        </is>
      </c>
    </row>
    <row r="194">
      <c r="A194" s="5" t="inlineStr">
        <is>
          <t>Q12R5C8</t>
        </is>
      </c>
      <c r="B194" s="5">
        <f>Priv!J134</f>
        <v/>
      </c>
      <c r="C194" s="7" t="inlineStr">
        <is>
          <t>3.5.2</t>
        </is>
      </c>
    </row>
    <row r="195">
      <c r="A195" s="5" t="inlineStr">
        <is>
          <t>Q12R5C9</t>
        </is>
      </c>
      <c r="B195" s="5">
        <f>Priv!K134</f>
        <v/>
      </c>
      <c r="C195" s="7" t="inlineStr">
        <is>
          <t>3.5.2</t>
        </is>
      </c>
    </row>
    <row r="196">
      <c r="A196" s="5" t="inlineStr">
        <is>
          <t>Q12R5C10</t>
        </is>
      </c>
      <c r="B196" s="5">
        <f>Priv!L134</f>
        <v/>
      </c>
      <c r="C196" s="7" t="inlineStr">
        <is>
          <t>3.5.2</t>
        </is>
      </c>
    </row>
    <row r="197">
      <c r="A197" s="5" t="inlineStr">
        <is>
          <t>Q12R6C1</t>
        </is>
      </c>
      <c r="B197" s="5">
        <f>Priv!C135</f>
        <v/>
      </c>
      <c r="C197" s="7" t="inlineStr">
        <is>
          <t>3.5.2</t>
        </is>
      </c>
    </row>
    <row r="198">
      <c r="A198" s="5" t="inlineStr">
        <is>
          <t>Q12R6C2</t>
        </is>
      </c>
      <c r="B198" s="5">
        <f>Priv!D135</f>
        <v/>
      </c>
      <c r="C198" s="7" t="inlineStr">
        <is>
          <t>3.5.2</t>
        </is>
      </c>
    </row>
    <row r="199">
      <c r="A199" s="5" t="inlineStr">
        <is>
          <t>Q12R6C3</t>
        </is>
      </c>
      <c r="B199" s="5">
        <f>Priv!E135</f>
        <v/>
      </c>
      <c r="C199" s="7" t="inlineStr">
        <is>
          <t>3.5.2</t>
        </is>
      </c>
    </row>
    <row r="200">
      <c r="A200" s="5" t="inlineStr">
        <is>
          <t>Q12R6C4</t>
        </is>
      </c>
      <c r="B200" s="5">
        <f>Priv!F135</f>
        <v/>
      </c>
      <c r="C200" s="7" t="inlineStr">
        <is>
          <t>3.5.2</t>
        </is>
      </c>
    </row>
    <row r="201">
      <c r="A201" s="5" t="inlineStr">
        <is>
          <t>Q12R6C5</t>
        </is>
      </c>
      <c r="B201" s="5">
        <f>Priv!G135</f>
        <v/>
      </c>
      <c r="C201" s="7" t="inlineStr">
        <is>
          <t>3.5.2</t>
        </is>
      </c>
    </row>
    <row r="202">
      <c r="A202" s="5" t="inlineStr">
        <is>
          <t>Q12R6C6</t>
        </is>
      </c>
      <c r="B202" s="5">
        <f>Priv!H135</f>
        <v/>
      </c>
      <c r="C202" s="7" t="inlineStr">
        <is>
          <t>3.5.2</t>
        </is>
      </c>
    </row>
    <row r="203">
      <c r="A203" s="5" t="inlineStr">
        <is>
          <t>Q12R6C7</t>
        </is>
      </c>
      <c r="B203" s="5">
        <f>Priv!I135</f>
        <v/>
      </c>
      <c r="C203" s="7" t="inlineStr">
        <is>
          <t>3.5.2</t>
        </is>
      </c>
    </row>
    <row r="204">
      <c r="A204" s="5" t="inlineStr">
        <is>
          <t>Q12R6C8</t>
        </is>
      </c>
      <c r="B204" s="5">
        <f>Priv!J135</f>
        <v/>
      </c>
      <c r="C204" s="7" t="inlineStr">
        <is>
          <t>3.5.2</t>
        </is>
      </c>
    </row>
    <row r="205">
      <c r="A205" s="5" t="inlineStr">
        <is>
          <t>Q12R6C9</t>
        </is>
      </c>
      <c r="B205" s="5">
        <f>Priv!K135</f>
        <v/>
      </c>
      <c r="C205" s="7" t="inlineStr">
        <is>
          <t>3.5.2</t>
        </is>
      </c>
    </row>
    <row r="206">
      <c r="A206" s="5" t="inlineStr">
        <is>
          <t>Q12R6C10</t>
        </is>
      </c>
      <c r="B206" s="5">
        <f>Priv!L135</f>
        <v/>
      </c>
      <c r="C206" s="7" t="inlineStr">
        <is>
          <t>3.5.2</t>
        </is>
      </c>
    </row>
    <row r="207">
      <c r="A207" s="5" t="inlineStr">
        <is>
          <t>Q13R1C1</t>
        </is>
      </c>
      <c r="B207" s="5">
        <f>Priv!A141</f>
        <v/>
      </c>
      <c r="C207" s="7" t="inlineStr">
        <is>
          <t>3.5.3</t>
        </is>
      </c>
    </row>
    <row r="208">
      <c r="A208" s="5" t="inlineStr">
        <is>
          <t>Q13R1C2</t>
        </is>
      </c>
      <c r="B208" s="5">
        <f>Priv!D141</f>
        <v/>
      </c>
      <c r="C208" s="7" t="inlineStr">
        <is>
          <t>3.5.3</t>
        </is>
      </c>
    </row>
    <row r="209">
      <c r="A209" s="5" t="inlineStr">
        <is>
          <t>Q13R1C3</t>
        </is>
      </c>
      <c r="B209" s="5">
        <f>Priv!G141</f>
        <v/>
      </c>
      <c r="C209" s="7" t="inlineStr">
        <is>
          <t>3.5.3</t>
        </is>
      </c>
    </row>
    <row r="210">
      <c r="A210" s="5" t="inlineStr">
        <is>
          <t>Q14R1C1</t>
        </is>
      </c>
      <c r="B210" s="5">
        <f>Priv!D147</f>
        <v/>
      </c>
      <c r="C210" s="7" t="inlineStr">
        <is>
          <t>3.5.4</t>
        </is>
      </c>
    </row>
    <row r="211">
      <c r="A211" s="5" t="inlineStr">
        <is>
          <t>Q14R1C2</t>
        </is>
      </c>
      <c r="B211" s="5">
        <f>Priv!G147</f>
        <v/>
      </c>
      <c r="C211" s="7" t="inlineStr">
        <is>
          <t>3.5.4</t>
        </is>
      </c>
    </row>
    <row r="212">
      <c r="A212" s="5" t="inlineStr">
        <is>
          <t>Q14R1C3</t>
        </is>
      </c>
      <c r="B212" s="5">
        <f>Priv!I147</f>
        <v/>
      </c>
      <c r="C212" s="7" t="inlineStr">
        <is>
          <t>3.5.4</t>
        </is>
      </c>
    </row>
    <row r="213">
      <c r="A213" s="5" t="inlineStr">
        <is>
          <t>Q14R1C4</t>
        </is>
      </c>
      <c r="B213" s="5">
        <f>Priv!L147</f>
        <v/>
      </c>
      <c r="C213" s="7" t="inlineStr">
        <is>
          <t>3.5.4</t>
        </is>
      </c>
    </row>
    <row r="214">
      <c r="A214" s="5" t="inlineStr">
        <is>
          <t>Q14R1C5</t>
        </is>
      </c>
      <c r="B214" s="5">
        <f>Priv!N147</f>
        <v/>
      </c>
      <c r="C214" s="7" t="inlineStr">
        <is>
          <t>3.5.4</t>
        </is>
      </c>
    </row>
    <row r="215">
      <c r="A215" s="5" t="inlineStr">
        <is>
          <t>Q14R1C6</t>
        </is>
      </c>
      <c r="B215" s="5">
        <f>Priv!Q147</f>
        <v/>
      </c>
      <c r="C215" s="7" t="inlineStr">
        <is>
          <t>3.5.4</t>
        </is>
      </c>
    </row>
    <row r="216">
      <c r="A216" s="5" t="inlineStr">
        <is>
          <t>Q14R2C1</t>
        </is>
      </c>
      <c r="B216" s="5">
        <f>Priv!D148</f>
        <v/>
      </c>
      <c r="C216" s="7" t="inlineStr">
        <is>
          <t>3.5.4</t>
        </is>
      </c>
    </row>
    <row r="217">
      <c r="A217" s="5" t="inlineStr">
        <is>
          <t>Q14R2C2</t>
        </is>
      </c>
      <c r="B217" s="5">
        <f>Priv!G148</f>
        <v/>
      </c>
      <c r="C217" s="7" t="inlineStr">
        <is>
          <t>3.5.4</t>
        </is>
      </c>
    </row>
    <row r="218">
      <c r="A218" s="5" t="inlineStr">
        <is>
          <t>Q14R2C3</t>
        </is>
      </c>
      <c r="B218" s="5">
        <f>Priv!I148</f>
        <v/>
      </c>
      <c r="C218" s="7" t="inlineStr">
        <is>
          <t>3.5.4</t>
        </is>
      </c>
    </row>
    <row r="219">
      <c r="A219" s="5" t="inlineStr">
        <is>
          <t>Q14R2C4</t>
        </is>
      </c>
      <c r="B219" s="5">
        <f>Priv!L148</f>
        <v/>
      </c>
      <c r="C219" s="7" t="inlineStr">
        <is>
          <t>3.5.4</t>
        </is>
      </c>
    </row>
    <row r="220">
      <c r="A220" s="5" t="inlineStr">
        <is>
          <t>Q14R2C5</t>
        </is>
      </c>
      <c r="B220" s="5">
        <f>Priv!N148</f>
        <v/>
      </c>
      <c r="C220" s="7" t="inlineStr">
        <is>
          <t>3.5.4</t>
        </is>
      </c>
    </row>
    <row r="221">
      <c r="A221" s="5" t="inlineStr">
        <is>
          <t>Q14R2C6</t>
        </is>
      </c>
      <c r="B221" s="5">
        <f>Priv!Q148</f>
        <v/>
      </c>
      <c r="C221" s="7" t="inlineStr">
        <is>
          <t>3.5.4</t>
        </is>
      </c>
    </row>
    <row r="222">
      <c r="A222" s="5" t="inlineStr">
        <is>
          <t>Q14R3C1</t>
        </is>
      </c>
      <c r="B222" s="5">
        <f>Priv!D149</f>
        <v/>
      </c>
      <c r="C222" s="7" t="inlineStr">
        <is>
          <t>3.5.4</t>
        </is>
      </c>
    </row>
    <row r="223">
      <c r="A223" s="5" t="inlineStr">
        <is>
          <t>Q14R3C2</t>
        </is>
      </c>
      <c r="B223" s="5">
        <f>Priv!G149</f>
        <v/>
      </c>
      <c r="C223" s="7" t="inlineStr">
        <is>
          <t>3.5.4</t>
        </is>
      </c>
    </row>
    <row r="224">
      <c r="A224" s="5" t="inlineStr">
        <is>
          <t>Q14R3C3</t>
        </is>
      </c>
      <c r="B224" s="5">
        <f>Priv!I149</f>
        <v/>
      </c>
      <c r="C224" s="7" t="inlineStr">
        <is>
          <t>3.5.4</t>
        </is>
      </c>
    </row>
    <row r="225">
      <c r="A225" s="5" t="inlineStr">
        <is>
          <t>Q14R3C4</t>
        </is>
      </c>
      <c r="B225" s="5">
        <f>Priv!L149</f>
        <v/>
      </c>
      <c r="C225" s="7" t="inlineStr">
        <is>
          <t>3.5.4</t>
        </is>
      </c>
    </row>
    <row r="226">
      <c r="A226" s="5" t="inlineStr">
        <is>
          <t>Q14R3C5</t>
        </is>
      </c>
      <c r="B226" s="5">
        <f>Priv!N149</f>
        <v/>
      </c>
      <c r="C226" s="7" t="inlineStr">
        <is>
          <t>3.5.4</t>
        </is>
      </c>
    </row>
    <row r="227">
      <c r="A227" s="5" t="inlineStr">
        <is>
          <t>Q14R3C6</t>
        </is>
      </c>
      <c r="B227" s="5">
        <f>Priv!Q149</f>
        <v/>
      </c>
      <c r="C227" s="7" t="inlineStr">
        <is>
          <t>3.5.4</t>
        </is>
      </c>
    </row>
    <row r="228">
      <c r="A228" s="5" t="inlineStr">
        <is>
          <t>Q14R4C1</t>
        </is>
      </c>
      <c r="B228" s="5">
        <f>Priv!D150</f>
        <v/>
      </c>
      <c r="C228" s="7" t="inlineStr">
        <is>
          <t>3.5.4</t>
        </is>
      </c>
    </row>
    <row r="229">
      <c r="A229" s="5" t="inlineStr">
        <is>
          <t>Q14R4C2</t>
        </is>
      </c>
      <c r="B229" s="5">
        <f>Priv!G150</f>
        <v/>
      </c>
      <c r="C229" s="7" t="inlineStr">
        <is>
          <t>3.5.4</t>
        </is>
      </c>
    </row>
    <row r="230">
      <c r="A230" s="5" t="inlineStr">
        <is>
          <t>Q14R4C3</t>
        </is>
      </c>
      <c r="B230" s="5">
        <f>Priv!I150</f>
        <v/>
      </c>
      <c r="C230" s="7" t="inlineStr">
        <is>
          <t>3.5.4</t>
        </is>
      </c>
    </row>
    <row r="231">
      <c r="A231" s="5" t="inlineStr">
        <is>
          <t>Q14R4C4</t>
        </is>
      </c>
      <c r="B231" s="5">
        <f>Priv!L150</f>
        <v/>
      </c>
      <c r="C231" s="7" t="inlineStr">
        <is>
          <t>3.5.4</t>
        </is>
      </c>
    </row>
    <row r="232">
      <c r="A232" s="5" t="inlineStr">
        <is>
          <t>Q14R4C5</t>
        </is>
      </c>
      <c r="B232" s="5">
        <f>Priv!N150</f>
        <v/>
      </c>
      <c r="C232" s="7" t="inlineStr">
        <is>
          <t>3.5.4</t>
        </is>
      </c>
    </row>
    <row r="233">
      <c r="A233" s="5" t="inlineStr">
        <is>
          <t>Q14R4C6</t>
        </is>
      </c>
      <c r="B233" s="5">
        <f>Priv!Q150</f>
        <v/>
      </c>
      <c r="C233" s="7" t="inlineStr">
        <is>
          <t>3.5.4</t>
        </is>
      </c>
    </row>
    <row r="234">
      <c r="A234" s="5" t="inlineStr">
        <is>
          <t>Q14R5C1</t>
        </is>
      </c>
      <c r="B234" s="5">
        <f>Priv!D151</f>
        <v/>
      </c>
      <c r="C234" s="7" t="inlineStr">
        <is>
          <t>3.5.4</t>
        </is>
      </c>
    </row>
    <row r="235">
      <c r="A235" s="5" t="inlineStr">
        <is>
          <t>Q14R5C2</t>
        </is>
      </c>
      <c r="B235" s="5">
        <f>Priv!G151</f>
        <v/>
      </c>
      <c r="C235" s="7" t="inlineStr">
        <is>
          <t>3.5.4</t>
        </is>
      </c>
    </row>
    <row r="236">
      <c r="A236" s="5" t="inlineStr">
        <is>
          <t>Q14R5C3</t>
        </is>
      </c>
      <c r="B236" s="5">
        <f>Priv!I151</f>
        <v/>
      </c>
      <c r="C236" s="7" t="inlineStr">
        <is>
          <t>3.5.4</t>
        </is>
      </c>
    </row>
    <row r="237">
      <c r="A237" s="5" t="inlineStr">
        <is>
          <t>Q14R5C4</t>
        </is>
      </c>
      <c r="B237" s="5">
        <f>Priv!L151</f>
        <v/>
      </c>
      <c r="C237" s="7" t="inlineStr">
        <is>
          <t>3.5.4</t>
        </is>
      </c>
    </row>
    <row r="238">
      <c r="A238" s="5" t="inlineStr">
        <is>
          <t>Q14R5C5</t>
        </is>
      </c>
      <c r="B238" s="5">
        <f>Priv!N151</f>
        <v/>
      </c>
      <c r="C238" s="7" t="inlineStr">
        <is>
          <t>3.5.4</t>
        </is>
      </c>
    </row>
    <row r="239">
      <c r="A239" s="5" t="inlineStr">
        <is>
          <t>Q14R5C6</t>
        </is>
      </c>
      <c r="B239" s="5">
        <f>Priv!Q151</f>
        <v/>
      </c>
      <c r="C239" s="7" t="inlineStr">
        <is>
          <t>3.5.4</t>
        </is>
      </c>
    </row>
    <row r="240">
      <c r="A240" s="5" t="inlineStr">
        <is>
          <t>Q14R6C1</t>
        </is>
      </c>
      <c r="B240" s="5">
        <f>Priv!D152</f>
        <v/>
      </c>
      <c r="C240" s="7" t="inlineStr">
        <is>
          <t>3.5.4</t>
        </is>
      </c>
    </row>
    <row r="241">
      <c r="A241" s="5" t="inlineStr">
        <is>
          <t>Q14R6C2</t>
        </is>
      </c>
      <c r="B241" s="5">
        <f>Priv!G152</f>
        <v/>
      </c>
      <c r="C241" s="7" t="inlineStr">
        <is>
          <t>3.5.4</t>
        </is>
      </c>
    </row>
    <row r="242">
      <c r="A242" s="5" t="inlineStr">
        <is>
          <t>Q14R6C3</t>
        </is>
      </c>
      <c r="B242" s="5">
        <f>Priv!I152</f>
        <v/>
      </c>
      <c r="C242" s="7" t="inlineStr">
        <is>
          <t>3.5.4</t>
        </is>
      </c>
    </row>
    <row r="243">
      <c r="A243" s="5" t="inlineStr">
        <is>
          <t>Q14R6C4</t>
        </is>
      </c>
      <c r="B243" s="5">
        <f>Priv!L152</f>
        <v/>
      </c>
      <c r="C243" s="7" t="inlineStr">
        <is>
          <t>3.5.4</t>
        </is>
      </c>
    </row>
    <row r="244">
      <c r="A244" s="5" t="inlineStr">
        <is>
          <t>Q14R6C5</t>
        </is>
      </c>
      <c r="B244" s="5">
        <f>Priv!N152</f>
        <v/>
      </c>
      <c r="C244" s="7" t="inlineStr">
        <is>
          <t>3.5.4</t>
        </is>
      </c>
    </row>
    <row r="245">
      <c r="A245" s="5" t="inlineStr">
        <is>
          <t>Q14R6C6</t>
        </is>
      </c>
      <c r="B245" s="5">
        <f>Priv!Q152</f>
        <v/>
      </c>
      <c r="C245" s="7" t="inlineStr">
        <is>
          <t>3.5.4</t>
        </is>
      </c>
    </row>
    <row r="246">
      <c r="A246" s="5" t="inlineStr">
        <is>
          <t>Q15R1C1</t>
        </is>
      </c>
      <c r="B246" s="5">
        <f>Priv!A158</f>
        <v/>
      </c>
      <c r="C246" s="7" t="inlineStr">
        <is>
          <t>3.5.5</t>
        </is>
      </c>
    </row>
    <row r="247">
      <c r="A247" s="5" t="inlineStr">
        <is>
          <t>Q15R1C2</t>
        </is>
      </c>
      <c r="B247" s="5">
        <f>Priv!D158</f>
        <v/>
      </c>
      <c r="C247" s="7" t="inlineStr">
        <is>
          <t>3.5.5</t>
        </is>
      </c>
    </row>
    <row r="248">
      <c r="A248" s="5" t="inlineStr">
        <is>
          <t>Q15R1C3</t>
        </is>
      </c>
      <c r="B248" s="5">
        <f>Priv!G158</f>
        <v/>
      </c>
      <c r="C248" s="7" t="inlineStr">
        <is>
          <t>3.5.5</t>
        </is>
      </c>
    </row>
    <row r="249">
      <c r="A249" s="5" t="inlineStr">
        <is>
          <t>Q16R1C1</t>
        </is>
      </c>
      <c r="B249" s="5">
        <f>Priv!D164</f>
        <v/>
      </c>
      <c r="C249" s="7" t="inlineStr">
        <is>
          <t>3.5.6</t>
        </is>
      </c>
    </row>
    <row r="250">
      <c r="A250" s="5" t="inlineStr">
        <is>
          <t>Q16R1C2</t>
        </is>
      </c>
      <c r="B250" s="5">
        <f>Priv!G164</f>
        <v/>
      </c>
      <c r="C250" s="7" t="inlineStr">
        <is>
          <t>3.5.6</t>
        </is>
      </c>
    </row>
    <row r="251">
      <c r="A251" s="5" t="inlineStr">
        <is>
          <t>Q16R1C3</t>
        </is>
      </c>
      <c r="B251" s="5">
        <f>Priv!I164</f>
        <v/>
      </c>
      <c r="C251" s="7" t="inlineStr">
        <is>
          <t>3.5.6</t>
        </is>
      </c>
    </row>
    <row r="252">
      <c r="A252" s="5" t="inlineStr">
        <is>
          <t>Q16R1C4</t>
        </is>
      </c>
      <c r="B252" s="5">
        <f>Priv!L164</f>
        <v/>
      </c>
      <c r="C252" s="7" t="inlineStr">
        <is>
          <t>3.5.6</t>
        </is>
      </c>
    </row>
    <row r="253">
      <c r="A253" s="5" t="inlineStr">
        <is>
          <t>Q16R1C5</t>
        </is>
      </c>
      <c r="B253" s="5">
        <f>Priv!N164</f>
        <v/>
      </c>
      <c r="C253" s="7" t="inlineStr">
        <is>
          <t>3.5.6</t>
        </is>
      </c>
    </row>
    <row r="254">
      <c r="A254" s="5" t="inlineStr">
        <is>
          <t>Q16R1C6</t>
        </is>
      </c>
      <c r="B254" s="5">
        <f>Priv!Q164</f>
        <v/>
      </c>
      <c r="C254" s="7" t="inlineStr">
        <is>
          <t>3.5.6</t>
        </is>
      </c>
    </row>
    <row r="255">
      <c r="A255" s="5" t="inlineStr">
        <is>
          <t>Q16R2C1</t>
        </is>
      </c>
      <c r="B255" s="5">
        <f>Priv!D165</f>
        <v/>
      </c>
      <c r="C255" s="7" t="inlineStr">
        <is>
          <t>3.5.6</t>
        </is>
      </c>
    </row>
    <row r="256">
      <c r="A256" s="5" t="inlineStr">
        <is>
          <t>Q16R2C2</t>
        </is>
      </c>
      <c r="B256" s="5">
        <f>Priv!G165</f>
        <v/>
      </c>
      <c r="C256" s="7" t="inlineStr">
        <is>
          <t>3.5.6</t>
        </is>
      </c>
    </row>
    <row r="257">
      <c r="A257" s="5" t="inlineStr">
        <is>
          <t>Q16R2C3</t>
        </is>
      </c>
      <c r="B257" s="5">
        <f>Priv!I165</f>
        <v/>
      </c>
      <c r="C257" s="7" t="inlineStr">
        <is>
          <t>3.5.6</t>
        </is>
      </c>
    </row>
    <row r="258">
      <c r="A258" s="5" t="inlineStr">
        <is>
          <t>Q16R2C4</t>
        </is>
      </c>
      <c r="B258" s="5">
        <f>Priv!L165</f>
        <v/>
      </c>
      <c r="C258" s="7" t="inlineStr">
        <is>
          <t>3.5.6</t>
        </is>
      </c>
    </row>
    <row r="259">
      <c r="A259" s="5" t="inlineStr">
        <is>
          <t>Q16R2C5</t>
        </is>
      </c>
      <c r="B259" s="5">
        <f>Priv!N165</f>
        <v/>
      </c>
      <c r="C259" s="7" t="inlineStr">
        <is>
          <t>3.5.6</t>
        </is>
      </c>
    </row>
    <row r="260">
      <c r="A260" s="5" t="inlineStr">
        <is>
          <t>Q16R2C6</t>
        </is>
      </c>
      <c r="B260" s="5">
        <f>Priv!Q165</f>
        <v/>
      </c>
      <c r="C260" s="7" t="inlineStr">
        <is>
          <t>3.5.6</t>
        </is>
      </c>
    </row>
    <row r="261">
      <c r="A261" s="5" t="inlineStr">
        <is>
          <t>Q16R3C1</t>
        </is>
      </c>
      <c r="B261" s="5">
        <f>Priv!D166</f>
        <v/>
      </c>
      <c r="C261" s="7" t="inlineStr">
        <is>
          <t>3.5.6</t>
        </is>
      </c>
    </row>
    <row r="262">
      <c r="A262" s="5" t="inlineStr">
        <is>
          <t>Q16R3C2</t>
        </is>
      </c>
      <c r="B262" s="5">
        <f>Priv!G166</f>
        <v/>
      </c>
      <c r="C262" s="7" t="inlineStr">
        <is>
          <t>3.5.6</t>
        </is>
      </c>
    </row>
    <row r="263">
      <c r="A263" s="5" t="inlineStr">
        <is>
          <t>Q16R3C3</t>
        </is>
      </c>
      <c r="B263" s="5">
        <f>Priv!I166</f>
        <v/>
      </c>
      <c r="C263" s="7" t="inlineStr">
        <is>
          <t>3.5.6</t>
        </is>
      </c>
    </row>
    <row r="264">
      <c r="A264" s="5" t="inlineStr">
        <is>
          <t>Q16R3C4</t>
        </is>
      </c>
      <c r="B264" s="5">
        <f>Priv!L166</f>
        <v/>
      </c>
      <c r="C264" s="7" t="inlineStr">
        <is>
          <t>3.5.6</t>
        </is>
      </c>
    </row>
    <row r="265">
      <c r="A265" s="5" t="inlineStr">
        <is>
          <t>Q16R3C5</t>
        </is>
      </c>
      <c r="B265" s="5">
        <f>Priv!N166</f>
        <v/>
      </c>
      <c r="C265" s="7" t="inlineStr">
        <is>
          <t>3.5.6</t>
        </is>
      </c>
    </row>
    <row r="266">
      <c r="A266" s="5" t="inlineStr">
        <is>
          <t>Q16R3C6</t>
        </is>
      </c>
      <c r="B266" s="5">
        <f>Priv!Q166</f>
        <v/>
      </c>
      <c r="C266" s="7" t="inlineStr">
        <is>
          <t>3.5.6</t>
        </is>
      </c>
    </row>
    <row r="267">
      <c r="A267" s="5" t="inlineStr">
        <is>
          <t>Q16R4C1</t>
        </is>
      </c>
      <c r="B267" s="5">
        <f>Priv!D167</f>
        <v/>
      </c>
      <c r="C267" s="7" t="inlineStr">
        <is>
          <t>3.5.6</t>
        </is>
      </c>
    </row>
    <row r="268">
      <c r="A268" s="5" t="inlineStr">
        <is>
          <t>Q16R4C2</t>
        </is>
      </c>
      <c r="B268" s="5">
        <f>Priv!G167</f>
        <v/>
      </c>
      <c r="C268" s="7" t="inlineStr">
        <is>
          <t>3.5.6</t>
        </is>
      </c>
    </row>
    <row r="269">
      <c r="A269" s="5" t="inlineStr">
        <is>
          <t>Q16R4C3</t>
        </is>
      </c>
      <c r="B269" s="5">
        <f>Priv!I167</f>
        <v/>
      </c>
      <c r="C269" s="7" t="inlineStr">
        <is>
          <t>3.5.6</t>
        </is>
      </c>
    </row>
    <row r="270">
      <c r="A270" s="5" t="inlineStr">
        <is>
          <t>Q16R4C4</t>
        </is>
      </c>
      <c r="B270" s="5">
        <f>Priv!L167</f>
        <v/>
      </c>
      <c r="C270" s="7" t="inlineStr">
        <is>
          <t>3.5.6</t>
        </is>
      </c>
    </row>
    <row r="271">
      <c r="A271" s="5" t="inlineStr">
        <is>
          <t>Q16R4C5</t>
        </is>
      </c>
      <c r="B271" s="5">
        <f>Priv!N167</f>
        <v/>
      </c>
      <c r="C271" s="7" t="inlineStr">
        <is>
          <t>3.5.6</t>
        </is>
      </c>
    </row>
    <row r="272">
      <c r="A272" s="5" t="inlineStr">
        <is>
          <t>Q16R4C6</t>
        </is>
      </c>
      <c r="B272" s="5">
        <f>Priv!Q167</f>
        <v/>
      </c>
      <c r="C272" s="7" t="inlineStr">
        <is>
          <t>3.5.6</t>
        </is>
      </c>
    </row>
    <row r="273">
      <c r="A273" s="5" t="inlineStr">
        <is>
          <t>Q16R5C1</t>
        </is>
      </c>
      <c r="B273" s="5">
        <f>Priv!D168</f>
        <v/>
      </c>
      <c r="C273" s="7" t="inlineStr">
        <is>
          <t>3.5.6</t>
        </is>
      </c>
    </row>
    <row r="274">
      <c r="A274" s="5" t="inlineStr">
        <is>
          <t>Q16R5C2</t>
        </is>
      </c>
      <c r="B274" s="5">
        <f>Priv!G168</f>
        <v/>
      </c>
      <c r="C274" s="7" t="inlineStr">
        <is>
          <t>3.5.6</t>
        </is>
      </c>
    </row>
    <row r="275">
      <c r="A275" s="5" t="inlineStr">
        <is>
          <t>Q16R5C3</t>
        </is>
      </c>
      <c r="B275" s="5">
        <f>Priv!I168</f>
        <v/>
      </c>
      <c r="C275" s="7" t="inlineStr">
        <is>
          <t>3.5.6</t>
        </is>
      </c>
    </row>
    <row r="276">
      <c r="A276" s="5" t="inlineStr">
        <is>
          <t>Q16R5C4</t>
        </is>
      </c>
      <c r="B276" s="5">
        <f>Priv!L168</f>
        <v/>
      </c>
      <c r="C276" s="7" t="inlineStr">
        <is>
          <t>3.5.6</t>
        </is>
      </c>
    </row>
    <row r="277">
      <c r="A277" s="5" t="inlineStr">
        <is>
          <t>Q16R5C5</t>
        </is>
      </c>
      <c r="B277" s="5">
        <f>Priv!N168</f>
        <v/>
      </c>
      <c r="C277" s="7" t="inlineStr">
        <is>
          <t>3.5.6</t>
        </is>
      </c>
    </row>
    <row r="278">
      <c r="A278" s="5" t="inlineStr">
        <is>
          <t>Q16R5C6</t>
        </is>
      </c>
      <c r="B278" s="5">
        <f>Priv!Q168</f>
        <v/>
      </c>
      <c r="C278" s="7" t="inlineStr">
        <is>
          <t>3.5.6</t>
        </is>
      </c>
    </row>
    <row r="279">
      <c r="A279" s="5" t="inlineStr">
        <is>
          <t>Q16R6C1</t>
        </is>
      </c>
      <c r="B279" s="5">
        <f>Priv!D169</f>
        <v/>
      </c>
      <c r="C279" s="7" t="inlineStr">
        <is>
          <t>3.5.6</t>
        </is>
      </c>
    </row>
    <row r="280">
      <c r="A280" s="5" t="inlineStr">
        <is>
          <t>Q16R6C2</t>
        </is>
      </c>
      <c r="B280" s="5">
        <f>Priv!G169</f>
        <v/>
      </c>
      <c r="C280" s="7" t="inlineStr">
        <is>
          <t>3.5.6</t>
        </is>
      </c>
    </row>
    <row r="281">
      <c r="A281" s="5" t="inlineStr">
        <is>
          <t>Q16R6C3</t>
        </is>
      </c>
      <c r="B281" s="5">
        <f>Priv!I169</f>
        <v/>
      </c>
      <c r="C281" s="7" t="inlineStr">
        <is>
          <t>3.5.6</t>
        </is>
      </c>
    </row>
    <row r="282">
      <c r="A282" s="5" t="inlineStr">
        <is>
          <t>Q16R6C4</t>
        </is>
      </c>
      <c r="B282" s="5">
        <f>Priv!L169</f>
        <v/>
      </c>
      <c r="C282" s="7" t="inlineStr">
        <is>
          <t>3.5.6</t>
        </is>
      </c>
    </row>
    <row r="283">
      <c r="A283" s="5" t="inlineStr">
        <is>
          <t>Q16R6C5</t>
        </is>
      </c>
      <c r="B283" s="5">
        <f>Priv!N169</f>
        <v/>
      </c>
      <c r="C283" s="7" t="inlineStr">
        <is>
          <t>3.5.6</t>
        </is>
      </c>
    </row>
    <row r="284">
      <c r="A284" s="5" t="inlineStr">
        <is>
          <t>Q16R6C6</t>
        </is>
      </c>
      <c r="B284" s="5">
        <f>Priv!Q169</f>
        <v/>
      </c>
      <c r="C284" s="7" t="inlineStr">
        <is>
          <t>3.5.6</t>
        </is>
      </c>
    </row>
    <row r="285">
      <c r="A285" s="8" t="inlineStr">
        <is>
          <t>Q17R1C1</t>
        </is>
      </c>
      <c r="B285" s="8">
        <f>Priv!C175</f>
        <v/>
      </c>
      <c r="C285" s="9" t="inlineStr">
        <is>
          <t>3.5.7</t>
        </is>
      </c>
    </row>
    <row r="286">
      <c r="A286" s="8" t="inlineStr">
        <is>
          <t>Q17R1C2</t>
        </is>
      </c>
      <c r="B286" s="8">
        <f>Priv!E175</f>
        <v/>
      </c>
      <c r="C286" s="9" t="inlineStr">
        <is>
          <t>3.5.7</t>
        </is>
      </c>
    </row>
    <row r="287">
      <c r="A287" s="8" t="inlineStr">
        <is>
          <t>Q17R1C3</t>
        </is>
      </c>
      <c r="B287" s="8">
        <f>Priv!G175</f>
        <v/>
      </c>
      <c r="C287" s="9" t="inlineStr">
        <is>
          <t>3.5.7</t>
        </is>
      </c>
    </row>
    <row r="288">
      <c r="A288" s="8" t="inlineStr">
        <is>
          <t>Q17R1C4</t>
        </is>
      </c>
      <c r="B288" s="8">
        <f>Priv!I175</f>
        <v/>
      </c>
      <c r="C288" s="9" t="inlineStr">
        <is>
          <t>3.5.7</t>
        </is>
      </c>
    </row>
    <row r="289">
      <c r="A289" s="8" t="inlineStr">
        <is>
          <t>Q17R2C1</t>
        </is>
      </c>
      <c r="B289" s="8">
        <f>Priv!C176</f>
        <v/>
      </c>
      <c r="C289" s="9" t="inlineStr">
        <is>
          <t>3.5.7</t>
        </is>
      </c>
    </row>
    <row r="290">
      <c r="A290" s="8" t="inlineStr">
        <is>
          <t>Q17R2C2</t>
        </is>
      </c>
      <c r="B290" s="8">
        <f>Priv!E176</f>
        <v/>
      </c>
      <c r="C290" s="9" t="inlineStr">
        <is>
          <t>3.5.7</t>
        </is>
      </c>
    </row>
    <row r="291">
      <c r="A291" s="8" t="inlineStr">
        <is>
          <t>Q17R2C3</t>
        </is>
      </c>
      <c r="B291" s="8">
        <f>Priv!G176</f>
        <v/>
      </c>
      <c r="C291" s="9" t="inlineStr">
        <is>
          <t>3.5.7</t>
        </is>
      </c>
    </row>
    <row r="292">
      <c r="A292" s="8" t="inlineStr">
        <is>
          <t>Q17R2C4</t>
        </is>
      </c>
      <c r="B292" s="8">
        <f>Priv!I176</f>
        <v/>
      </c>
      <c r="C292" s="9" t="inlineStr">
        <is>
          <t>3.5.7</t>
        </is>
      </c>
    </row>
    <row r="293">
      <c r="A293" s="8" t="inlineStr">
        <is>
          <t>Q17R3C1</t>
        </is>
      </c>
      <c r="B293" s="8">
        <f>Priv!C177</f>
        <v/>
      </c>
      <c r="C293" s="9" t="inlineStr">
        <is>
          <t>3.5.7</t>
        </is>
      </c>
    </row>
    <row r="294">
      <c r="A294" s="8" t="inlineStr">
        <is>
          <t>Q17R3C2</t>
        </is>
      </c>
      <c r="B294" s="8">
        <f>Priv!E177</f>
        <v/>
      </c>
      <c r="C294" s="9" t="inlineStr">
        <is>
          <t>3.5.7</t>
        </is>
      </c>
    </row>
    <row r="295">
      <c r="A295" s="8" t="inlineStr">
        <is>
          <t>Q17R3C3</t>
        </is>
      </c>
      <c r="B295" s="8">
        <f>Priv!G177</f>
        <v/>
      </c>
      <c r="C295" s="9" t="inlineStr">
        <is>
          <t>3.5.7</t>
        </is>
      </c>
    </row>
    <row r="296">
      <c r="A296" s="8" t="inlineStr">
        <is>
          <t>Q17R3C4</t>
        </is>
      </c>
      <c r="B296" s="8">
        <f>Priv!I177</f>
        <v/>
      </c>
      <c r="C296" s="9" t="inlineStr">
        <is>
          <t>3.5.7</t>
        </is>
      </c>
    </row>
    <row r="297">
      <c r="A297" s="8" t="inlineStr">
        <is>
          <t>Q17R4C1</t>
        </is>
      </c>
      <c r="B297" s="8">
        <f>Priv!C178</f>
        <v/>
      </c>
      <c r="C297" s="9" t="inlineStr">
        <is>
          <t>3.5.7</t>
        </is>
      </c>
    </row>
    <row r="298">
      <c r="A298" s="8" t="inlineStr">
        <is>
          <t>Q17R4C2</t>
        </is>
      </c>
      <c r="B298" s="8">
        <f>Priv!E178</f>
        <v/>
      </c>
      <c r="C298" s="9" t="inlineStr">
        <is>
          <t>3.5.7</t>
        </is>
      </c>
    </row>
    <row r="299">
      <c r="A299" s="8" t="inlineStr">
        <is>
          <t>Q17R4C3</t>
        </is>
      </c>
      <c r="B299" s="8">
        <f>Priv!G178</f>
        <v/>
      </c>
      <c r="C299" s="9" t="inlineStr">
        <is>
          <t>3.5.7</t>
        </is>
      </c>
    </row>
    <row r="300">
      <c r="A300" s="8" t="inlineStr">
        <is>
          <t>Q17R4C4</t>
        </is>
      </c>
      <c r="B300" s="8">
        <f>Priv!I178</f>
        <v/>
      </c>
      <c r="C300" s="9" t="inlineStr">
        <is>
          <t>3.5.7</t>
        </is>
      </c>
    </row>
    <row r="301">
      <c r="A301" s="8" t="inlineStr">
        <is>
          <t>Q17R5C1</t>
        </is>
      </c>
      <c r="B301" s="8">
        <f>Priv!C179</f>
        <v/>
      </c>
      <c r="C301" s="9" t="inlineStr">
        <is>
          <t>3.5.7</t>
        </is>
      </c>
    </row>
    <row r="302">
      <c r="A302" s="8" t="inlineStr">
        <is>
          <t>Q17R5C2</t>
        </is>
      </c>
      <c r="B302" s="8">
        <f>Priv!E179</f>
        <v/>
      </c>
      <c r="C302" s="9" t="inlineStr">
        <is>
          <t>3.5.7</t>
        </is>
      </c>
    </row>
    <row r="303">
      <c r="A303" s="8" t="inlineStr">
        <is>
          <t>Q17R5C3</t>
        </is>
      </c>
      <c r="B303" s="8">
        <f>Priv!G179</f>
        <v/>
      </c>
      <c r="C303" s="9" t="inlineStr">
        <is>
          <t>3.5.7</t>
        </is>
      </c>
    </row>
    <row r="304">
      <c r="A304" s="8" t="inlineStr">
        <is>
          <t>Q17R5C4</t>
        </is>
      </c>
      <c r="B304" s="8">
        <f>Priv!I179</f>
        <v/>
      </c>
      <c r="C304" s="9" t="inlineStr">
        <is>
          <t>3.5.7</t>
        </is>
      </c>
    </row>
    <row r="305">
      <c r="A305" s="8" t="inlineStr">
        <is>
          <t>Q17R6C1</t>
        </is>
      </c>
      <c r="B305" s="8">
        <f>Priv!C180</f>
        <v/>
      </c>
      <c r="C305" s="9" t="inlineStr">
        <is>
          <t>3.5.7</t>
        </is>
      </c>
    </row>
    <row r="306">
      <c r="A306" s="8" t="inlineStr">
        <is>
          <t>Q17R6C2</t>
        </is>
      </c>
      <c r="B306" s="8">
        <f>Priv!E180</f>
        <v/>
      </c>
      <c r="C306" s="9" t="inlineStr">
        <is>
          <t>3.5.7</t>
        </is>
      </c>
    </row>
    <row r="307">
      <c r="A307" s="8" t="inlineStr">
        <is>
          <t>Q17R6C3</t>
        </is>
      </c>
      <c r="B307" s="8">
        <f>Priv!G180</f>
        <v/>
      </c>
      <c r="C307" s="9" t="inlineStr">
        <is>
          <t>3.5.7</t>
        </is>
      </c>
    </row>
    <row r="308">
      <c r="A308" s="8" t="inlineStr">
        <is>
          <t>Q17R6C4</t>
        </is>
      </c>
      <c r="B308" s="8">
        <f>Priv!I180</f>
        <v/>
      </c>
      <c r="C308" s="9" t="inlineStr">
        <is>
          <t>3.5.7</t>
        </is>
      </c>
    </row>
    <row r="309">
      <c r="A309" s="8" t="inlineStr">
        <is>
          <t>Q18R1C1</t>
        </is>
      </c>
      <c r="B309" s="8">
        <f>Priv!E187</f>
        <v/>
      </c>
      <c r="C309" s="9" t="inlineStr">
        <is>
          <t>3.6.1</t>
        </is>
      </c>
    </row>
    <row r="310">
      <c r="A310" s="8" t="inlineStr">
        <is>
          <t>Q18R2C1</t>
        </is>
      </c>
      <c r="B310" s="8">
        <f>Priv!E189</f>
        <v/>
      </c>
      <c r="C310" s="9" t="inlineStr">
        <is>
          <t>3.6.1</t>
        </is>
      </c>
    </row>
    <row r="311">
      <c r="A311" s="8" t="inlineStr">
        <is>
          <t>Q19R1C1</t>
        </is>
      </c>
      <c r="B311" s="8">
        <f>Priv!A198</f>
        <v/>
      </c>
      <c r="C311" s="9" t="inlineStr">
        <is>
          <t>3.7.1</t>
        </is>
      </c>
    </row>
    <row r="312">
      <c r="A312" s="8" t="inlineStr">
        <is>
          <t>Q19R1C2</t>
        </is>
      </c>
      <c r="B312" s="8">
        <f>Priv!E198</f>
        <v/>
      </c>
      <c r="C312" s="9" t="inlineStr">
        <is>
          <t>3.7.1</t>
        </is>
      </c>
    </row>
    <row r="313">
      <c r="A313" s="8" t="inlineStr">
        <is>
          <t>Q19R1C3</t>
        </is>
      </c>
      <c r="B313" s="8">
        <f>Priv!G198</f>
        <v/>
      </c>
      <c r="C313" s="9" t="inlineStr">
        <is>
          <t>3.7.1</t>
        </is>
      </c>
    </row>
    <row r="314">
      <c r="A314" s="8" t="inlineStr">
        <is>
          <t>Q19R1C4</t>
        </is>
      </c>
      <c r="B314" s="8">
        <f>Priv!I198</f>
        <v/>
      </c>
      <c r="C314" s="9" t="inlineStr">
        <is>
          <t>3.7.1</t>
        </is>
      </c>
    </row>
    <row r="315">
      <c r="A315" s="8" t="inlineStr">
        <is>
          <t>Q19R1C5</t>
        </is>
      </c>
      <c r="B315" s="8">
        <f>Priv!K198</f>
        <v/>
      </c>
      <c r="C315" s="9" t="inlineStr">
        <is>
          <t>3.7.1</t>
        </is>
      </c>
    </row>
    <row r="316">
      <c r="A316" s="8" t="inlineStr">
        <is>
          <t>Q20R1C1</t>
        </is>
      </c>
      <c r="B316" s="8">
        <f>Priv!D203</f>
        <v/>
      </c>
      <c r="C316" s="9" t="inlineStr">
        <is>
          <t>3.7.2</t>
        </is>
      </c>
    </row>
    <row r="317">
      <c r="A317" s="8" t="inlineStr">
        <is>
          <t>Q20R1C2</t>
        </is>
      </c>
      <c r="B317" s="8">
        <f>Priv!G203</f>
        <v/>
      </c>
      <c r="C317" s="9" t="inlineStr">
        <is>
          <t>3.7.2</t>
        </is>
      </c>
    </row>
    <row r="318">
      <c r="A318" s="8" t="inlineStr">
        <is>
          <t>Q20R2C1</t>
        </is>
      </c>
      <c r="B318" s="8">
        <f>Priv!D204</f>
        <v/>
      </c>
      <c r="C318" s="9" t="inlineStr">
        <is>
          <t>3.7.2</t>
        </is>
      </c>
    </row>
    <row r="319">
      <c r="A319" s="8" t="inlineStr">
        <is>
          <t>Q20R2C2</t>
        </is>
      </c>
      <c r="B319" s="8">
        <f>Priv!G204</f>
        <v/>
      </c>
      <c r="C319" s="9" t="inlineStr">
        <is>
          <t>3.7.2</t>
        </is>
      </c>
    </row>
    <row r="320">
      <c r="A320" s="8" t="inlineStr">
        <is>
          <t>Q20R3C1</t>
        </is>
      </c>
      <c r="B320" s="8">
        <f>Priv!D205</f>
        <v/>
      </c>
      <c r="C320" s="9" t="inlineStr">
        <is>
          <t>3.7.2</t>
        </is>
      </c>
    </row>
    <row r="321">
      <c r="A321" s="8" t="inlineStr">
        <is>
          <t>Q20R3C2</t>
        </is>
      </c>
      <c r="B321" s="8">
        <f>Priv!G205</f>
        <v/>
      </c>
      <c r="C321" s="9" t="inlineStr">
        <is>
          <t>3.7.2</t>
        </is>
      </c>
    </row>
    <row r="322">
      <c r="A322" s="8" t="inlineStr">
        <is>
          <t>Q20R4C1</t>
        </is>
      </c>
      <c r="B322" s="8">
        <f>Priv!D206</f>
        <v/>
      </c>
      <c r="C322" s="9" t="inlineStr">
        <is>
          <t>3.7.2</t>
        </is>
      </c>
    </row>
    <row r="323">
      <c r="A323" s="8" t="inlineStr">
        <is>
          <t>Q20R4C2</t>
        </is>
      </c>
      <c r="B323" s="8">
        <f>Priv!G206</f>
        <v/>
      </c>
      <c r="C323" s="9" t="inlineStr">
        <is>
          <t>3.7.2</t>
        </is>
      </c>
    </row>
    <row r="324">
      <c r="A324" s="8" t="inlineStr">
        <is>
          <t>Q20R5C1</t>
        </is>
      </c>
      <c r="B324" s="8">
        <f>Priv!D207</f>
        <v/>
      </c>
      <c r="C324" s="9" t="inlineStr">
        <is>
          <t>3.7.2</t>
        </is>
      </c>
    </row>
    <row r="325">
      <c r="A325" s="8" t="inlineStr">
        <is>
          <t>Q20R5C2</t>
        </is>
      </c>
      <c r="B325" s="8">
        <f>Priv!G207</f>
        <v/>
      </c>
      <c r="C325" s="9" t="inlineStr">
        <is>
          <t>3.7.2</t>
        </is>
      </c>
    </row>
    <row r="326">
      <c r="A326" s="8" t="inlineStr">
        <is>
          <t>Q20R6C1</t>
        </is>
      </c>
      <c r="B326" s="8">
        <f>Priv!D208</f>
        <v/>
      </c>
      <c r="C326" s="9" t="inlineStr">
        <is>
          <t>3.7.2</t>
        </is>
      </c>
    </row>
    <row r="327">
      <c r="A327" s="8" t="inlineStr">
        <is>
          <t>Q20R6C2</t>
        </is>
      </c>
      <c r="B327" s="8">
        <f>Priv!G208</f>
        <v/>
      </c>
      <c r="C327" s="9" t="inlineStr">
        <is>
          <t>3.7.2</t>
        </is>
      </c>
    </row>
    <row r="328">
      <c r="A328" s="8" t="inlineStr">
        <is>
          <t>Q20R7C1</t>
        </is>
      </c>
      <c r="B328" s="8">
        <f>Priv!D209</f>
        <v/>
      </c>
      <c r="C328" s="9" t="inlineStr">
        <is>
          <t>3.7.2</t>
        </is>
      </c>
    </row>
    <row r="329">
      <c r="A329" s="8" t="inlineStr">
        <is>
          <t>Q20R7C2</t>
        </is>
      </c>
      <c r="B329" s="8">
        <f>Priv!G209</f>
        <v/>
      </c>
      <c r="C329" s="9" t="inlineStr">
        <is>
          <t>3.7.2</t>
        </is>
      </c>
    </row>
    <row r="330">
      <c r="A330" s="8" t="inlineStr">
        <is>
          <t>Q21R1C1</t>
        </is>
      </c>
      <c r="B330" s="8">
        <f>Priv!D215</f>
        <v/>
      </c>
      <c r="C330" s="9" t="inlineStr">
        <is>
          <t>3,8</t>
        </is>
      </c>
    </row>
    <row r="331">
      <c r="A331" s="8" t="inlineStr">
        <is>
          <t>Q21R1C2</t>
        </is>
      </c>
      <c r="B331" s="8">
        <f>Priv!G215</f>
        <v/>
      </c>
      <c r="C331" s="9" t="inlineStr">
        <is>
          <t>3,8</t>
        </is>
      </c>
    </row>
    <row r="332">
      <c r="A332" s="8" t="inlineStr">
        <is>
          <t>Q21R2C1</t>
        </is>
      </c>
      <c r="B332" s="8">
        <f>Priv!D216</f>
        <v/>
      </c>
      <c r="C332" s="9" t="inlineStr">
        <is>
          <t>3,8</t>
        </is>
      </c>
    </row>
    <row r="333">
      <c r="A333" s="8" t="inlineStr">
        <is>
          <t>Q21R2C2</t>
        </is>
      </c>
      <c r="B333" s="8">
        <f>Priv!G216</f>
        <v/>
      </c>
      <c r="C333" s="9" t="inlineStr">
        <is>
          <t>3,8</t>
        </is>
      </c>
    </row>
    <row r="334">
      <c r="A334" s="8" t="inlineStr">
        <is>
          <t>Q22R1C1</t>
        </is>
      </c>
      <c r="B334" s="8">
        <f>Priv!A223</f>
        <v/>
      </c>
      <c r="C334" s="9" t="n">
        <v>4</v>
      </c>
    </row>
    <row r="335">
      <c r="A335" s="8" t="inlineStr">
        <is>
          <t>Q22R1C2</t>
        </is>
      </c>
      <c r="B335" s="8">
        <f>Priv!D223</f>
        <v/>
      </c>
      <c r="C335" s="9" t="n">
        <v>4</v>
      </c>
    </row>
    <row r="336">
      <c r="A336" s="8" t="inlineStr">
        <is>
          <t>Q22R1C3</t>
        </is>
      </c>
      <c r="B336" s="8">
        <f>Priv!G223</f>
        <v/>
      </c>
      <c r="C336" s="9" t="n">
        <v>4</v>
      </c>
    </row>
    <row r="337">
      <c r="A337" s="8" t="inlineStr">
        <is>
          <t>Q23R1C1</t>
        </is>
      </c>
      <c r="B337" s="8">
        <f>Priv!I228</f>
        <v/>
      </c>
      <c r="C337" s="9" t="n">
        <v>5</v>
      </c>
    </row>
    <row r="338">
      <c r="A338" s="8" t="inlineStr">
        <is>
          <t>Q23R2C1</t>
        </is>
      </c>
      <c r="B338" s="8">
        <f>Priv!I229</f>
        <v/>
      </c>
      <c r="C338" s="9" t="n">
        <v>5</v>
      </c>
    </row>
    <row r="339">
      <c r="A339" s="8" t="inlineStr">
        <is>
          <t>Q24R1C1</t>
        </is>
      </c>
      <c r="B339" s="8">
        <f>Priv!E240</f>
        <v/>
      </c>
      <c r="C339" s="9" t="inlineStr">
        <is>
          <t>6,1</t>
        </is>
      </c>
    </row>
    <row r="340">
      <c r="A340" s="8" t="inlineStr">
        <is>
          <t>Q24R1C2</t>
        </is>
      </c>
      <c r="B340" s="8">
        <f>Priv!G240</f>
        <v/>
      </c>
      <c r="C340" s="9" t="inlineStr">
        <is>
          <t>6,1</t>
        </is>
      </c>
    </row>
    <row r="341">
      <c r="A341" s="8" t="inlineStr">
        <is>
          <t>Q24R1C3</t>
        </is>
      </c>
      <c r="B341" s="8">
        <f>Priv!I240</f>
        <v/>
      </c>
      <c r="C341" s="9" t="inlineStr">
        <is>
          <t>6,1</t>
        </is>
      </c>
    </row>
    <row r="342">
      <c r="A342" s="8" t="inlineStr">
        <is>
          <t>Q24R1C4</t>
        </is>
      </c>
      <c r="B342" s="8">
        <f>Priv!K240</f>
        <v/>
      </c>
      <c r="C342" s="9" t="inlineStr">
        <is>
          <t>6,1</t>
        </is>
      </c>
    </row>
    <row r="343">
      <c r="A343" s="8" t="inlineStr">
        <is>
          <t>Q24R1C5</t>
        </is>
      </c>
      <c r="B343" s="8">
        <f>Priv!M240</f>
        <v/>
      </c>
      <c r="C343" s="9" t="inlineStr">
        <is>
          <t>6,1</t>
        </is>
      </c>
    </row>
    <row r="344">
      <c r="A344" s="8" t="inlineStr">
        <is>
          <t>Q24R1C6</t>
        </is>
      </c>
      <c r="B344" s="8">
        <f>Priv!O240</f>
        <v/>
      </c>
      <c r="C344" s="9" t="inlineStr">
        <is>
          <t>6,1</t>
        </is>
      </c>
    </row>
    <row r="345">
      <c r="A345" s="8" t="inlineStr">
        <is>
          <t>Q24R1C7</t>
        </is>
      </c>
      <c r="B345" s="8">
        <f>Priv!P240</f>
        <v/>
      </c>
      <c r="C345" s="9" t="inlineStr">
        <is>
          <t>6,1</t>
        </is>
      </c>
    </row>
    <row r="346">
      <c r="A346" s="8" t="inlineStr">
        <is>
          <t>Q24R1C8</t>
        </is>
      </c>
      <c r="B346" s="8">
        <f>Priv!R240</f>
        <v/>
      </c>
      <c r="C346" s="9" t="inlineStr">
        <is>
          <t>6,1</t>
        </is>
      </c>
    </row>
    <row r="347">
      <c r="A347" s="8" t="inlineStr">
        <is>
          <t>Q25R1C1</t>
        </is>
      </c>
      <c r="B347" s="8">
        <f>Priv!E248</f>
        <v/>
      </c>
      <c r="C347" s="9" t="inlineStr">
        <is>
          <t>6,2</t>
        </is>
      </c>
    </row>
    <row r="348">
      <c r="A348" s="8" t="inlineStr">
        <is>
          <t>Q25R1C2</t>
        </is>
      </c>
      <c r="B348" s="8">
        <f>Priv!G248</f>
        <v/>
      </c>
      <c r="C348" s="9" t="inlineStr">
        <is>
          <t>6,2</t>
        </is>
      </c>
    </row>
    <row r="349">
      <c r="A349" s="8" t="inlineStr">
        <is>
          <t>Q25R1C3</t>
        </is>
      </c>
      <c r="B349" s="8">
        <f>Priv!I248</f>
        <v/>
      </c>
      <c r="C349" s="9" t="inlineStr">
        <is>
          <t>6,2</t>
        </is>
      </c>
    </row>
    <row r="350">
      <c r="A350" s="8" t="inlineStr">
        <is>
          <t>Q25R1C4</t>
        </is>
      </c>
      <c r="B350" s="8">
        <f>Priv!K248</f>
        <v/>
      </c>
      <c r="C350" s="9" t="inlineStr">
        <is>
          <t>6,2</t>
        </is>
      </c>
    </row>
    <row r="351">
      <c r="A351" s="8" t="inlineStr">
        <is>
          <t>Q25R1C5</t>
        </is>
      </c>
      <c r="B351" s="8">
        <f>Priv!M248</f>
        <v/>
      </c>
      <c r="C351" s="9" t="inlineStr">
        <is>
          <t>6,2</t>
        </is>
      </c>
    </row>
    <row r="352">
      <c r="A352" s="8" t="inlineStr">
        <is>
          <t>Q25R1C6</t>
        </is>
      </c>
      <c r="B352" s="8">
        <f>Priv!O248</f>
        <v/>
      </c>
      <c r="C352" s="9" t="inlineStr">
        <is>
          <t>6,2</t>
        </is>
      </c>
    </row>
    <row r="353">
      <c r="A353" s="8" t="inlineStr">
        <is>
          <t>Q25R1C7</t>
        </is>
      </c>
      <c r="B353" s="8">
        <f>Priv!P248</f>
        <v/>
      </c>
      <c r="C353" s="9" t="inlineStr">
        <is>
          <t>6,2</t>
        </is>
      </c>
    </row>
    <row r="354">
      <c r="A354" s="8" t="inlineStr">
        <is>
          <t>Q25R1C8</t>
        </is>
      </c>
      <c r="B354" s="8">
        <f>Priv!R248</f>
        <v/>
      </c>
      <c r="C354" s="9" t="inlineStr">
        <is>
          <t>6,2</t>
        </is>
      </c>
    </row>
    <row r="355">
      <c r="A355" s="8" t="inlineStr">
        <is>
          <t>Q25R2C1</t>
        </is>
      </c>
      <c r="B355" s="8">
        <f>Priv!E249</f>
        <v/>
      </c>
      <c r="C355" s="9" t="inlineStr">
        <is>
          <t>6,2</t>
        </is>
      </c>
    </row>
    <row r="356">
      <c r="A356" s="8" t="inlineStr">
        <is>
          <t>Q25R2C2</t>
        </is>
      </c>
      <c r="B356" s="8">
        <f>Priv!G249</f>
        <v/>
      </c>
      <c r="C356" s="9" t="inlineStr">
        <is>
          <t>6,2</t>
        </is>
      </c>
    </row>
    <row r="357">
      <c r="A357" s="8" t="inlineStr">
        <is>
          <t>Q25R2C3</t>
        </is>
      </c>
      <c r="B357" s="8">
        <f>Priv!I249</f>
        <v/>
      </c>
      <c r="C357" s="9" t="inlineStr">
        <is>
          <t>6,2</t>
        </is>
      </c>
    </row>
    <row r="358">
      <c r="A358" s="8" t="inlineStr">
        <is>
          <t>Q25R2C4</t>
        </is>
      </c>
      <c r="B358" s="8">
        <f>Priv!K249</f>
        <v/>
      </c>
      <c r="C358" s="9" t="inlineStr">
        <is>
          <t>6,2</t>
        </is>
      </c>
    </row>
    <row r="359">
      <c r="A359" s="8" t="inlineStr">
        <is>
          <t>Q25R2C5</t>
        </is>
      </c>
      <c r="B359" s="8">
        <f>Priv!M249</f>
        <v/>
      </c>
      <c r="C359" s="9" t="inlineStr">
        <is>
          <t>6,2</t>
        </is>
      </c>
    </row>
    <row r="360">
      <c r="A360" s="8" t="inlineStr">
        <is>
          <t>Q25R2C6</t>
        </is>
      </c>
      <c r="B360" s="8">
        <f>Priv!O249</f>
        <v/>
      </c>
      <c r="C360" s="9" t="inlineStr">
        <is>
          <t>6,2</t>
        </is>
      </c>
    </row>
    <row r="361">
      <c r="A361" s="8" t="inlineStr">
        <is>
          <t>Q25R2C7</t>
        </is>
      </c>
      <c r="B361" s="8">
        <f>Priv!P249</f>
        <v/>
      </c>
      <c r="C361" s="9" t="inlineStr">
        <is>
          <t>6,2</t>
        </is>
      </c>
    </row>
    <row r="362">
      <c r="A362" s="8" t="inlineStr">
        <is>
          <t>Q25R2C8</t>
        </is>
      </c>
      <c r="B362" s="8">
        <f>Priv!R249</f>
        <v/>
      </c>
      <c r="C362" s="9" t="inlineStr">
        <is>
          <t>6,2</t>
        </is>
      </c>
    </row>
    <row r="363">
      <c r="A363" s="8" t="inlineStr">
        <is>
          <t>Q25R3C1</t>
        </is>
      </c>
      <c r="B363" s="8" t="n">
        <v>0</v>
      </c>
      <c r="C363" s="9" t="inlineStr">
        <is>
          <t>6,2</t>
        </is>
      </c>
      <c r="D363" s="10" t="inlineStr">
        <is>
          <t>Forced to 0</t>
        </is>
      </c>
    </row>
    <row r="364">
      <c r="A364" s="8" t="inlineStr">
        <is>
          <t>Q25R3C2</t>
        </is>
      </c>
      <c r="B364" s="8" t="n">
        <v>0</v>
      </c>
      <c r="C364" s="9" t="inlineStr">
        <is>
          <t>6,2</t>
        </is>
      </c>
      <c r="D364" s="10" t="inlineStr">
        <is>
          <t>Forced to 0</t>
        </is>
      </c>
    </row>
    <row r="365">
      <c r="A365" s="8" t="inlineStr">
        <is>
          <t>Q25R3C3</t>
        </is>
      </c>
      <c r="B365" s="8" t="n">
        <v>0</v>
      </c>
      <c r="C365" s="9" t="inlineStr">
        <is>
          <t>6,2</t>
        </is>
      </c>
      <c r="D365" s="10" t="inlineStr">
        <is>
          <t>Forced to 0</t>
        </is>
      </c>
    </row>
    <row r="366">
      <c r="A366" s="8" t="inlineStr">
        <is>
          <t>Q25R3C4</t>
        </is>
      </c>
      <c r="B366" s="8" t="n">
        <v>0</v>
      </c>
      <c r="C366" s="9" t="inlineStr">
        <is>
          <t>6,2</t>
        </is>
      </c>
      <c r="D366" s="10" t="inlineStr">
        <is>
          <t>Forced to 0</t>
        </is>
      </c>
    </row>
    <row r="367">
      <c r="A367" s="8" t="inlineStr">
        <is>
          <t>Q25R3C5</t>
        </is>
      </c>
      <c r="B367" s="8" t="n">
        <v>0</v>
      </c>
      <c r="C367" s="9" t="inlineStr">
        <is>
          <t>6,2</t>
        </is>
      </c>
      <c r="D367" s="10" t="inlineStr">
        <is>
          <t>Forced to 0</t>
        </is>
      </c>
    </row>
    <row r="368">
      <c r="A368" s="8" t="inlineStr">
        <is>
          <t>Q25R3C6</t>
        </is>
      </c>
      <c r="B368" s="8" t="n">
        <v>0</v>
      </c>
      <c r="C368" s="9" t="inlineStr">
        <is>
          <t>6,2</t>
        </is>
      </c>
      <c r="D368" s="10" t="inlineStr">
        <is>
          <t>Forced to 0</t>
        </is>
      </c>
    </row>
    <row r="369">
      <c r="A369" s="8" t="inlineStr">
        <is>
          <t>Q25R3C7</t>
        </is>
      </c>
      <c r="B369" s="8" t="n">
        <v>0</v>
      </c>
      <c r="C369" s="9" t="inlineStr">
        <is>
          <t>6,2</t>
        </is>
      </c>
      <c r="D369" s="10" t="inlineStr">
        <is>
          <t>Forced to 0</t>
        </is>
      </c>
    </row>
    <row r="370">
      <c r="A370" s="8" t="inlineStr">
        <is>
          <t>Q25R3C8</t>
        </is>
      </c>
      <c r="B370" s="8">
        <f>Priv!R250</f>
        <v/>
      </c>
      <c r="C370" s="9" t="inlineStr">
        <is>
          <t>6,2</t>
        </is>
      </c>
    </row>
    <row r="371">
      <c r="A371" s="8" t="inlineStr">
        <is>
          <t>Q26R1C1</t>
        </is>
      </c>
      <c r="B371" s="8">
        <f>Priv!E258</f>
        <v/>
      </c>
      <c r="C371" s="9" t="inlineStr">
        <is>
          <t>7,1</t>
        </is>
      </c>
    </row>
    <row r="372">
      <c r="A372" s="8" t="inlineStr">
        <is>
          <t>Q26R1C2</t>
        </is>
      </c>
      <c r="B372" s="8">
        <f>Priv!G258</f>
        <v/>
      </c>
      <c r="C372" s="9" t="inlineStr">
        <is>
          <t>7,1</t>
        </is>
      </c>
    </row>
    <row r="373">
      <c r="A373" s="8" t="inlineStr">
        <is>
          <t>Q26R1C3</t>
        </is>
      </c>
      <c r="B373" s="8">
        <f>Priv!I258</f>
        <v/>
      </c>
      <c r="C373" s="9" t="inlineStr">
        <is>
          <t>7,1</t>
        </is>
      </c>
    </row>
    <row r="374">
      <c r="A374" s="8" t="inlineStr">
        <is>
          <t>Q26R1C4</t>
        </is>
      </c>
      <c r="B374" s="8">
        <f>Priv!K258</f>
        <v/>
      </c>
      <c r="C374" s="9" t="inlineStr">
        <is>
          <t>7,1</t>
        </is>
      </c>
    </row>
    <row r="375">
      <c r="A375" s="8" t="inlineStr">
        <is>
          <t>Q26R2C1</t>
        </is>
      </c>
      <c r="B375" s="8">
        <f>Priv!E259</f>
        <v/>
      </c>
      <c r="C375" s="9" t="inlineStr">
        <is>
          <t>7,1</t>
        </is>
      </c>
    </row>
    <row r="376">
      <c r="A376" s="8" t="inlineStr">
        <is>
          <t>Q26R2C2</t>
        </is>
      </c>
      <c r="B376" s="8">
        <f>Priv!G259</f>
        <v/>
      </c>
      <c r="C376" s="9" t="inlineStr">
        <is>
          <t>7,1</t>
        </is>
      </c>
    </row>
    <row r="377">
      <c r="A377" s="8" t="inlineStr">
        <is>
          <t>Q26R2C3</t>
        </is>
      </c>
      <c r="B377" s="8">
        <f>Priv!I259</f>
        <v/>
      </c>
      <c r="C377" s="9" t="inlineStr">
        <is>
          <t>7,1</t>
        </is>
      </c>
    </row>
    <row r="378">
      <c r="A378" s="8" t="inlineStr">
        <is>
          <t>Q26R2C4</t>
        </is>
      </c>
      <c r="B378" s="8">
        <f>Priv!K259</f>
        <v/>
      </c>
      <c r="C378" s="9" t="inlineStr">
        <is>
          <t>7,1</t>
        </is>
      </c>
    </row>
    <row r="379">
      <c r="A379" s="8" t="inlineStr">
        <is>
          <t>Q26R3C1</t>
        </is>
      </c>
      <c r="B379" s="8">
        <f>Priv!E260</f>
        <v/>
      </c>
      <c r="C379" s="9" t="inlineStr">
        <is>
          <t>7,1</t>
        </is>
      </c>
    </row>
    <row r="380">
      <c r="A380" s="8" t="inlineStr">
        <is>
          <t>Q26R3C2</t>
        </is>
      </c>
      <c r="B380" s="8">
        <f>Priv!G260</f>
        <v/>
      </c>
      <c r="C380" s="9" t="inlineStr">
        <is>
          <t>7,1</t>
        </is>
      </c>
    </row>
    <row r="381">
      <c r="A381" s="8" t="inlineStr">
        <is>
          <t>Q26R3C3</t>
        </is>
      </c>
      <c r="B381" s="8">
        <f>Priv!I260</f>
        <v/>
      </c>
      <c r="C381" s="9" t="inlineStr">
        <is>
          <t>7,1</t>
        </is>
      </c>
    </row>
    <row r="382">
      <c r="A382" s="8" t="inlineStr">
        <is>
          <t>Q26R3C4</t>
        </is>
      </c>
      <c r="B382" s="8">
        <f>Priv!K260</f>
        <v/>
      </c>
      <c r="C382" s="9" t="inlineStr">
        <is>
          <t>7,1</t>
        </is>
      </c>
    </row>
    <row r="383">
      <c r="A383" s="8" t="inlineStr">
        <is>
          <t>Q26R4C1</t>
        </is>
      </c>
      <c r="B383" s="8">
        <f>Priv!E261</f>
        <v/>
      </c>
      <c r="C383" s="9" t="inlineStr">
        <is>
          <t>7,1</t>
        </is>
      </c>
    </row>
    <row r="384">
      <c r="A384" s="8" t="inlineStr">
        <is>
          <t>Q26R4C2</t>
        </is>
      </c>
      <c r="B384" s="8">
        <f>Priv!G261</f>
        <v/>
      </c>
      <c r="C384" s="9" t="inlineStr">
        <is>
          <t>7,1</t>
        </is>
      </c>
    </row>
    <row r="385">
      <c r="A385" s="8" t="inlineStr">
        <is>
          <t>Q26R4C3</t>
        </is>
      </c>
      <c r="B385" s="8">
        <f>Priv!I261</f>
        <v/>
      </c>
      <c r="C385" s="9" t="inlineStr">
        <is>
          <t>7,1</t>
        </is>
      </c>
    </row>
    <row r="386">
      <c r="A386" s="8" t="inlineStr">
        <is>
          <t>Q26R4C4</t>
        </is>
      </c>
      <c r="B386" s="8">
        <f>Priv!K261</f>
        <v/>
      </c>
      <c r="C386" s="9" t="inlineStr">
        <is>
          <t>7,1</t>
        </is>
      </c>
    </row>
    <row r="387">
      <c r="A387" s="5" t="inlineStr">
        <is>
          <t>Q26R5C1</t>
        </is>
      </c>
      <c r="B387" s="5">
        <f>Priv!E262</f>
        <v/>
      </c>
      <c r="C387" s="7" t="inlineStr">
        <is>
          <t>7,1</t>
        </is>
      </c>
    </row>
    <row r="388">
      <c r="A388" s="5" t="inlineStr">
        <is>
          <t>Q26R5C2</t>
        </is>
      </c>
      <c r="B388" s="5">
        <f>Priv!G262</f>
        <v/>
      </c>
      <c r="C388" s="7" t="inlineStr">
        <is>
          <t>7,1</t>
        </is>
      </c>
    </row>
    <row r="389">
      <c r="A389" s="5" t="inlineStr">
        <is>
          <t>Q26R5C3</t>
        </is>
      </c>
      <c r="B389" s="5">
        <f>Priv!I262</f>
        <v/>
      </c>
      <c r="C389" s="7" t="inlineStr">
        <is>
          <t>7,1</t>
        </is>
      </c>
    </row>
    <row r="390">
      <c r="A390" s="5" t="inlineStr">
        <is>
          <t>Q26R5C4</t>
        </is>
      </c>
      <c r="B390" s="5">
        <f>Priv!K262</f>
        <v/>
      </c>
      <c r="C390" s="7" t="inlineStr">
        <is>
          <t>7,1</t>
        </is>
      </c>
    </row>
    <row r="391">
      <c r="A391" s="5" t="inlineStr">
        <is>
          <t>Q26R6C1</t>
        </is>
      </c>
      <c r="B391" s="5">
        <f>Priv!E263</f>
        <v/>
      </c>
      <c r="C391" s="7" t="inlineStr">
        <is>
          <t>7,1</t>
        </is>
      </c>
    </row>
    <row r="392">
      <c r="A392" s="5" t="inlineStr">
        <is>
          <t>Q26R6C2</t>
        </is>
      </c>
      <c r="B392" s="5">
        <f>Priv!G263</f>
        <v/>
      </c>
      <c r="C392" s="7" t="inlineStr">
        <is>
          <t>7,1</t>
        </is>
      </c>
    </row>
    <row r="393">
      <c r="A393" s="5" t="inlineStr">
        <is>
          <t>Q26R6C3</t>
        </is>
      </c>
      <c r="B393" s="5">
        <f>Priv!I263</f>
        <v/>
      </c>
      <c r="C393" s="7" t="inlineStr">
        <is>
          <t>7,1</t>
        </is>
      </c>
    </row>
    <row r="394">
      <c r="A394" s="5" t="inlineStr">
        <is>
          <t>Q26R6C4</t>
        </is>
      </c>
      <c r="B394" s="5">
        <f>Priv!K263</f>
        <v/>
      </c>
      <c r="C394" s="7" t="inlineStr">
        <is>
          <t>7,1</t>
        </is>
      </c>
    </row>
    <row r="395">
      <c r="A395" s="8" t="inlineStr">
        <is>
          <t>Q27R1C1</t>
        </is>
      </c>
      <c r="B395" s="8">
        <f>Priv!E269</f>
        <v/>
      </c>
      <c r="C395" s="9" t="inlineStr">
        <is>
          <t>7,2</t>
        </is>
      </c>
    </row>
    <row r="396">
      <c r="A396" s="8" t="inlineStr">
        <is>
          <t>Q27R1C2</t>
        </is>
      </c>
      <c r="B396" s="8">
        <f>Priv!F269</f>
        <v/>
      </c>
      <c r="C396" s="9" t="inlineStr">
        <is>
          <t>7,2</t>
        </is>
      </c>
    </row>
    <row r="397">
      <c r="A397" s="8" t="inlineStr">
        <is>
          <t>Q27R1C3</t>
        </is>
      </c>
      <c r="B397" s="8">
        <f>Priv!G269</f>
        <v/>
      </c>
      <c r="C397" s="9" t="inlineStr">
        <is>
          <t>7,2</t>
        </is>
      </c>
    </row>
    <row r="398">
      <c r="A398" s="8" t="inlineStr">
        <is>
          <t>Q27R1C4</t>
        </is>
      </c>
      <c r="B398" s="8">
        <f>Priv!H269</f>
        <v/>
      </c>
      <c r="C398" s="9" t="inlineStr">
        <is>
          <t>7,2</t>
        </is>
      </c>
    </row>
    <row r="399">
      <c r="A399" s="8" t="inlineStr">
        <is>
          <t>Q27R1C5</t>
        </is>
      </c>
      <c r="B399" s="8">
        <f>Priv!I269</f>
        <v/>
      </c>
      <c r="C399" s="9" t="inlineStr">
        <is>
          <t>7,2</t>
        </is>
      </c>
    </row>
    <row r="400">
      <c r="A400" s="8" t="inlineStr">
        <is>
          <t>Q27R1C6</t>
        </is>
      </c>
      <c r="B400" s="8">
        <f>Priv!J269</f>
        <v/>
      </c>
      <c r="C400" s="9" t="inlineStr">
        <is>
          <t>7,2</t>
        </is>
      </c>
    </row>
    <row r="401">
      <c r="A401" s="8" t="inlineStr">
        <is>
          <t>Q27R1C7</t>
        </is>
      </c>
      <c r="B401" s="8">
        <f>Priv!K269</f>
        <v/>
      </c>
      <c r="C401" s="9" t="inlineStr">
        <is>
          <t>7,2</t>
        </is>
      </c>
    </row>
    <row r="402">
      <c r="A402" s="8" t="inlineStr">
        <is>
          <t>Q27R1C8</t>
        </is>
      </c>
      <c r="B402" s="8">
        <f>Priv!L269</f>
        <v/>
      </c>
      <c r="C402" s="9" t="inlineStr">
        <is>
          <t>7,2</t>
        </is>
      </c>
    </row>
    <row r="403">
      <c r="A403" s="8" t="inlineStr">
        <is>
          <t>Q27R2C1</t>
        </is>
      </c>
      <c r="B403" s="8">
        <f>Priv!E270</f>
        <v/>
      </c>
      <c r="C403" s="9" t="inlineStr">
        <is>
          <t>7,2</t>
        </is>
      </c>
    </row>
    <row r="404">
      <c r="A404" s="8" t="inlineStr">
        <is>
          <t>Q27R2C2</t>
        </is>
      </c>
      <c r="B404" s="8">
        <f>Priv!F270</f>
        <v/>
      </c>
      <c r="C404" s="9" t="inlineStr">
        <is>
          <t>7,2</t>
        </is>
      </c>
    </row>
    <row r="405">
      <c r="A405" s="8" t="inlineStr">
        <is>
          <t>Q27R2C3</t>
        </is>
      </c>
      <c r="B405" s="8">
        <f>Priv!G270</f>
        <v/>
      </c>
      <c r="C405" s="9" t="inlineStr">
        <is>
          <t>7,2</t>
        </is>
      </c>
    </row>
    <row r="406">
      <c r="A406" s="8" t="inlineStr">
        <is>
          <t>Q27R2C4</t>
        </is>
      </c>
      <c r="B406" s="8">
        <f>Priv!H270</f>
        <v/>
      </c>
      <c r="C406" s="9" t="inlineStr">
        <is>
          <t>7,2</t>
        </is>
      </c>
    </row>
    <row r="407">
      <c r="A407" s="8" t="inlineStr">
        <is>
          <t>Q27R2C5</t>
        </is>
      </c>
      <c r="B407" s="8">
        <f>Priv!I270</f>
        <v/>
      </c>
      <c r="C407" s="9" t="inlineStr">
        <is>
          <t>7,2</t>
        </is>
      </c>
    </row>
    <row r="408">
      <c r="A408" s="8" t="inlineStr">
        <is>
          <t>Q27R2C6</t>
        </is>
      </c>
      <c r="B408" s="8">
        <f>Priv!J270</f>
        <v/>
      </c>
      <c r="C408" s="9" t="inlineStr">
        <is>
          <t>7,2</t>
        </is>
      </c>
    </row>
    <row r="409">
      <c r="A409" s="8" t="inlineStr">
        <is>
          <t>Q27R2C7</t>
        </is>
      </c>
      <c r="B409" s="8">
        <f>Priv!K270</f>
        <v/>
      </c>
      <c r="C409" s="9" t="inlineStr">
        <is>
          <t>7,2</t>
        </is>
      </c>
    </row>
    <row r="410">
      <c r="A410" s="8" t="inlineStr">
        <is>
          <t>Q27R2C8</t>
        </is>
      </c>
      <c r="B410" s="8">
        <f>Priv!L270</f>
        <v/>
      </c>
      <c r="C410" s="9" t="inlineStr">
        <is>
          <t>7,2</t>
        </is>
      </c>
    </row>
    <row r="411">
      <c r="A411" s="8" t="inlineStr">
        <is>
          <t>Q27R3C1</t>
        </is>
      </c>
      <c r="B411" s="8">
        <f>Priv!E271</f>
        <v/>
      </c>
      <c r="C411" s="9" t="inlineStr">
        <is>
          <t>7,2</t>
        </is>
      </c>
    </row>
    <row r="412">
      <c r="A412" s="8" t="inlineStr">
        <is>
          <t>Q27R3C2</t>
        </is>
      </c>
      <c r="B412" s="8">
        <f>Priv!F271</f>
        <v/>
      </c>
      <c r="C412" s="9" t="inlineStr">
        <is>
          <t>7,2</t>
        </is>
      </c>
    </row>
    <row r="413">
      <c r="A413" s="8" t="inlineStr">
        <is>
          <t>Q27R3C3</t>
        </is>
      </c>
      <c r="B413" s="8">
        <f>Priv!G271</f>
        <v/>
      </c>
      <c r="C413" s="9" t="inlineStr">
        <is>
          <t>7,2</t>
        </is>
      </c>
    </row>
    <row r="414">
      <c r="A414" s="8" t="inlineStr">
        <is>
          <t>Q27R3C4</t>
        </is>
      </c>
      <c r="B414" s="8">
        <f>Priv!H271</f>
        <v/>
      </c>
      <c r="C414" s="9" t="inlineStr">
        <is>
          <t>7,2</t>
        </is>
      </c>
    </row>
    <row r="415">
      <c r="A415" s="8" t="inlineStr">
        <is>
          <t>Q27R3C5</t>
        </is>
      </c>
      <c r="B415" s="8">
        <f>Priv!I271</f>
        <v/>
      </c>
      <c r="C415" s="9" t="inlineStr">
        <is>
          <t>7,2</t>
        </is>
      </c>
    </row>
    <row r="416">
      <c r="A416" s="8" t="inlineStr">
        <is>
          <t>Q27R3C6</t>
        </is>
      </c>
      <c r="B416" s="8">
        <f>Priv!J271</f>
        <v/>
      </c>
      <c r="C416" s="9" t="inlineStr">
        <is>
          <t>7,2</t>
        </is>
      </c>
    </row>
    <row r="417">
      <c r="A417" s="8" t="inlineStr">
        <is>
          <t>Q27R3C7</t>
        </is>
      </c>
      <c r="B417" s="8">
        <f>Priv!K271</f>
        <v/>
      </c>
      <c r="C417" s="9" t="inlineStr">
        <is>
          <t>7,2</t>
        </is>
      </c>
    </row>
    <row r="418">
      <c r="A418" s="8" t="inlineStr">
        <is>
          <t>Q27R3C8</t>
        </is>
      </c>
      <c r="B418" s="8">
        <f>Priv!L271</f>
        <v/>
      </c>
      <c r="C418" s="9" t="inlineStr">
        <is>
          <t>7,2</t>
        </is>
      </c>
    </row>
    <row r="419">
      <c r="A419" s="8" t="inlineStr">
        <is>
          <t>Q27R4C1</t>
        </is>
      </c>
      <c r="B419" s="8">
        <f>Priv!E272</f>
        <v/>
      </c>
      <c r="C419" s="9" t="inlineStr">
        <is>
          <t>7,2</t>
        </is>
      </c>
    </row>
    <row r="420">
      <c r="A420" s="8" t="inlineStr">
        <is>
          <t>Q27R4C2</t>
        </is>
      </c>
      <c r="B420" s="8">
        <f>Priv!F272</f>
        <v/>
      </c>
      <c r="C420" s="9" t="inlineStr">
        <is>
          <t>7,2</t>
        </is>
      </c>
    </row>
    <row r="421">
      <c r="A421" s="8" t="inlineStr">
        <is>
          <t>Q27R4C3</t>
        </is>
      </c>
      <c r="B421" s="8">
        <f>Priv!G272</f>
        <v/>
      </c>
      <c r="C421" s="9" t="inlineStr">
        <is>
          <t>7,2</t>
        </is>
      </c>
    </row>
    <row r="422">
      <c r="A422" s="8" t="inlineStr">
        <is>
          <t>Q27R4C4</t>
        </is>
      </c>
      <c r="B422" s="8">
        <f>Priv!H272</f>
        <v/>
      </c>
      <c r="C422" s="9" t="inlineStr">
        <is>
          <t>7,2</t>
        </is>
      </c>
    </row>
    <row r="423">
      <c r="A423" s="8" t="inlineStr">
        <is>
          <t>Q27R4C5</t>
        </is>
      </c>
      <c r="B423" s="8">
        <f>Priv!I272</f>
        <v/>
      </c>
      <c r="C423" s="9" t="inlineStr">
        <is>
          <t>7,2</t>
        </is>
      </c>
    </row>
    <row r="424">
      <c r="A424" s="8" t="inlineStr">
        <is>
          <t>Q27R4C6</t>
        </is>
      </c>
      <c r="B424" s="8">
        <f>Priv!J272</f>
        <v/>
      </c>
      <c r="C424" s="9" t="inlineStr">
        <is>
          <t>7,2</t>
        </is>
      </c>
    </row>
    <row r="425">
      <c r="A425" s="8" t="inlineStr">
        <is>
          <t>Q27R4C7</t>
        </is>
      </c>
      <c r="B425" s="8">
        <f>Priv!K272</f>
        <v/>
      </c>
      <c r="C425" s="9" t="inlineStr">
        <is>
          <t>7,2</t>
        </is>
      </c>
    </row>
    <row r="426">
      <c r="A426" s="8" t="inlineStr">
        <is>
          <t>Q27R4C8</t>
        </is>
      </c>
      <c r="B426" s="8">
        <f>Priv!L272</f>
        <v/>
      </c>
      <c r="C426" s="9" t="inlineStr">
        <is>
          <t>7,2</t>
        </is>
      </c>
    </row>
    <row r="427">
      <c r="A427" s="8" t="inlineStr">
        <is>
          <t>Q27R5C1</t>
        </is>
      </c>
      <c r="B427" s="8">
        <f>Priv!E273</f>
        <v/>
      </c>
      <c r="C427" s="9" t="inlineStr">
        <is>
          <t>7,2</t>
        </is>
      </c>
    </row>
    <row r="428">
      <c r="A428" s="8" t="inlineStr">
        <is>
          <t>Q27R5C2</t>
        </is>
      </c>
      <c r="B428" s="8">
        <f>Priv!F273</f>
        <v/>
      </c>
      <c r="C428" s="9" t="inlineStr">
        <is>
          <t>7,2</t>
        </is>
      </c>
    </row>
    <row r="429">
      <c r="A429" s="8" t="inlineStr">
        <is>
          <t>Q27R5C3</t>
        </is>
      </c>
      <c r="B429" s="8">
        <f>Priv!G273</f>
        <v/>
      </c>
      <c r="C429" s="9" t="inlineStr">
        <is>
          <t>7,2</t>
        </is>
      </c>
    </row>
    <row r="430">
      <c r="A430" s="8" t="inlineStr">
        <is>
          <t>Q27R5C4</t>
        </is>
      </c>
      <c r="B430" s="8">
        <f>Priv!H273</f>
        <v/>
      </c>
      <c r="C430" s="9" t="inlineStr">
        <is>
          <t>7,2</t>
        </is>
      </c>
    </row>
    <row r="431">
      <c r="A431" s="8" t="inlineStr">
        <is>
          <t>Q27R5C5</t>
        </is>
      </c>
      <c r="B431" s="8">
        <f>Priv!I273</f>
        <v/>
      </c>
      <c r="C431" s="9" t="inlineStr">
        <is>
          <t>7,2</t>
        </is>
      </c>
    </row>
    <row r="432">
      <c r="A432" s="8" t="inlineStr">
        <is>
          <t>Q27R5C6</t>
        </is>
      </c>
      <c r="B432" s="8">
        <f>Priv!J273</f>
        <v/>
      </c>
      <c r="C432" s="9" t="inlineStr">
        <is>
          <t>7,2</t>
        </is>
      </c>
    </row>
    <row r="433">
      <c r="A433" s="8" t="inlineStr">
        <is>
          <t>Q27R5C7</t>
        </is>
      </c>
      <c r="B433" s="8">
        <f>Priv!K273</f>
        <v/>
      </c>
      <c r="C433" s="9" t="inlineStr">
        <is>
          <t>7,2</t>
        </is>
      </c>
    </row>
    <row r="434">
      <c r="A434" s="8" t="inlineStr">
        <is>
          <t>Q27R5C8</t>
        </is>
      </c>
      <c r="B434" s="8">
        <f>Priv!L273</f>
        <v/>
      </c>
      <c r="C434" s="9" t="inlineStr">
        <is>
          <t>7,2</t>
        </is>
      </c>
    </row>
    <row r="435">
      <c r="A435" s="8" t="inlineStr">
        <is>
          <t>Q27R6C1</t>
        </is>
      </c>
      <c r="B435" s="8">
        <f>Priv!E274</f>
        <v/>
      </c>
      <c r="C435" s="9" t="inlineStr">
        <is>
          <t>7,2</t>
        </is>
      </c>
    </row>
    <row r="436">
      <c r="A436" s="8" t="inlineStr">
        <is>
          <t>Q27R6C2</t>
        </is>
      </c>
      <c r="B436" s="8">
        <f>Priv!F274</f>
        <v/>
      </c>
      <c r="C436" s="9" t="inlineStr">
        <is>
          <t>7,2</t>
        </is>
      </c>
    </row>
    <row r="437">
      <c r="A437" s="8" t="inlineStr">
        <is>
          <t>Q27R6C3</t>
        </is>
      </c>
      <c r="B437" s="8">
        <f>Priv!G274</f>
        <v/>
      </c>
      <c r="C437" s="9" t="inlineStr">
        <is>
          <t>7,2</t>
        </is>
      </c>
    </row>
    <row r="438">
      <c r="A438" s="8" t="inlineStr">
        <is>
          <t>Q27R6C4</t>
        </is>
      </c>
      <c r="B438" s="8">
        <f>Priv!H274</f>
        <v/>
      </c>
      <c r="C438" s="9" t="inlineStr">
        <is>
          <t>7,2</t>
        </is>
      </c>
    </row>
    <row r="439">
      <c r="A439" s="8" t="inlineStr">
        <is>
          <t>Q27R6C5</t>
        </is>
      </c>
      <c r="B439" s="8">
        <f>Priv!I274</f>
        <v/>
      </c>
      <c r="C439" s="9" t="inlineStr">
        <is>
          <t>7,2</t>
        </is>
      </c>
    </row>
    <row r="440">
      <c r="A440" s="8" t="inlineStr">
        <is>
          <t>Q27R6C6</t>
        </is>
      </c>
      <c r="B440" s="8">
        <f>Priv!J274</f>
        <v/>
      </c>
      <c r="C440" s="9" t="inlineStr">
        <is>
          <t>7,2</t>
        </is>
      </c>
    </row>
    <row r="441">
      <c r="A441" s="8" t="inlineStr">
        <is>
          <t>Q27R6C7</t>
        </is>
      </c>
      <c r="B441" s="8">
        <f>Priv!K274</f>
        <v/>
      </c>
      <c r="C441" s="9" t="inlineStr">
        <is>
          <t>7,2</t>
        </is>
      </c>
    </row>
    <row r="442">
      <c r="A442" s="8" t="inlineStr">
        <is>
          <t>Q27R6C8</t>
        </is>
      </c>
      <c r="B442" s="8">
        <f>Priv!L274</f>
        <v/>
      </c>
      <c r="C442" s="9" t="inlineStr">
        <is>
          <t>7,2</t>
        </is>
      </c>
    </row>
    <row r="443">
      <c r="A443" s="8" t="inlineStr">
        <is>
          <t>Q27R7C1</t>
        </is>
      </c>
      <c r="B443" s="8">
        <f>Priv!E275</f>
        <v/>
      </c>
      <c r="C443" s="9" t="inlineStr">
        <is>
          <t>7,2</t>
        </is>
      </c>
    </row>
    <row r="444">
      <c r="A444" s="8" t="inlineStr">
        <is>
          <t>Q27R7C2</t>
        </is>
      </c>
      <c r="B444" s="8">
        <f>Priv!F275</f>
        <v/>
      </c>
      <c r="C444" s="9" t="inlineStr">
        <is>
          <t>7,2</t>
        </is>
      </c>
    </row>
    <row r="445">
      <c r="A445" s="8" t="inlineStr">
        <is>
          <t>Q27R7C3</t>
        </is>
      </c>
      <c r="B445" s="8">
        <f>Priv!G275</f>
        <v/>
      </c>
      <c r="C445" s="9" t="inlineStr">
        <is>
          <t>7,2</t>
        </is>
      </c>
    </row>
    <row r="446">
      <c r="A446" s="8" t="inlineStr">
        <is>
          <t>Q27R7C4</t>
        </is>
      </c>
      <c r="B446" s="8">
        <f>Priv!H275</f>
        <v/>
      </c>
      <c r="C446" s="9" t="inlineStr">
        <is>
          <t>7,2</t>
        </is>
      </c>
    </row>
    <row r="447">
      <c r="A447" s="8" t="inlineStr">
        <is>
          <t>Q27R7C5</t>
        </is>
      </c>
      <c r="B447" s="8">
        <f>Priv!I275</f>
        <v/>
      </c>
      <c r="C447" s="9" t="inlineStr">
        <is>
          <t>7,2</t>
        </is>
      </c>
    </row>
    <row r="448">
      <c r="A448" s="8" t="inlineStr">
        <is>
          <t>Q27R7C6</t>
        </is>
      </c>
      <c r="B448" s="8">
        <f>Priv!J275</f>
        <v/>
      </c>
      <c r="C448" s="9" t="inlineStr">
        <is>
          <t>7,2</t>
        </is>
      </c>
    </row>
    <row r="449">
      <c r="A449" s="8" t="inlineStr">
        <is>
          <t>Q27R7C7</t>
        </is>
      </c>
      <c r="B449" s="8">
        <f>Priv!K275</f>
        <v/>
      </c>
      <c r="C449" s="9" t="inlineStr">
        <is>
          <t>7,2</t>
        </is>
      </c>
    </row>
    <row r="450">
      <c r="A450" s="8" t="inlineStr">
        <is>
          <t>Q27R7C8</t>
        </is>
      </c>
      <c r="B450" s="8">
        <f>Priv!L275</f>
        <v/>
      </c>
      <c r="C450" s="9" t="inlineStr">
        <is>
          <t>7,2</t>
        </is>
      </c>
    </row>
    <row r="451">
      <c r="A451" s="8" t="inlineStr">
        <is>
          <t>Q28R1C1</t>
        </is>
      </c>
      <c r="B451" s="8">
        <f>Priv!E281</f>
        <v/>
      </c>
      <c r="C451" s="9" t="inlineStr">
        <is>
          <t>7,3</t>
        </is>
      </c>
    </row>
    <row r="452">
      <c r="A452" s="8" t="inlineStr">
        <is>
          <t>Q28R1C2</t>
        </is>
      </c>
      <c r="B452" s="8">
        <f>Priv!F281</f>
        <v/>
      </c>
      <c r="C452" s="9" t="inlineStr">
        <is>
          <t>7,3</t>
        </is>
      </c>
    </row>
    <row r="453">
      <c r="A453" s="8" t="inlineStr">
        <is>
          <t>Q28R1C3</t>
        </is>
      </c>
      <c r="B453" s="8">
        <f>Priv!G281</f>
        <v/>
      </c>
      <c r="C453" s="9" t="inlineStr">
        <is>
          <t>7,3</t>
        </is>
      </c>
    </row>
    <row r="454">
      <c r="A454" s="8" t="inlineStr">
        <is>
          <t>Q28R1C4</t>
        </is>
      </c>
      <c r="B454" s="8">
        <f>Priv!H281</f>
        <v/>
      </c>
      <c r="C454" s="9" t="inlineStr">
        <is>
          <t>7,3</t>
        </is>
      </c>
    </row>
    <row r="455">
      <c r="A455" s="8" t="inlineStr">
        <is>
          <t>Q28R1C5</t>
        </is>
      </c>
      <c r="B455" s="8">
        <f>Priv!I281</f>
        <v/>
      </c>
      <c r="C455" s="9" t="inlineStr">
        <is>
          <t>7,3</t>
        </is>
      </c>
    </row>
    <row r="456">
      <c r="A456" s="8" t="inlineStr">
        <is>
          <t>Q28R1C6</t>
        </is>
      </c>
      <c r="B456" s="8">
        <f>Priv!J281</f>
        <v/>
      </c>
      <c r="C456" s="9" t="inlineStr">
        <is>
          <t>7,3</t>
        </is>
      </c>
    </row>
    <row r="457">
      <c r="A457" s="8" t="inlineStr">
        <is>
          <t>Q28R1C7</t>
        </is>
      </c>
      <c r="B457" s="8">
        <f>Priv!K281</f>
        <v/>
      </c>
      <c r="C457" s="9" t="inlineStr">
        <is>
          <t>7,3</t>
        </is>
      </c>
    </row>
    <row r="458">
      <c r="A458" s="8" t="inlineStr">
        <is>
          <t>Q28R1C8</t>
        </is>
      </c>
      <c r="B458" s="8">
        <f>Priv!L281</f>
        <v/>
      </c>
      <c r="C458" s="9" t="inlineStr">
        <is>
          <t>7,3</t>
        </is>
      </c>
    </row>
    <row r="459">
      <c r="A459" s="8" t="inlineStr">
        <is>
          <t>Q28R2C1</t>
        </is>
      </c>
      <c r="B459" s="8">
        <f>Priv!E282</f>
        <v/>
      </c>
      <c r="C459" s="9" t="inlineStr">
        <is>
          <t>7,3</t>
        </is>
      </c>
    </row>
    <row r="460">
      <c r="A460" s="8" t="inlineStr">
        <is>
          <t>Q28R2C2</t>
        </is>
      </c>
      <c r="B460" s="8">
        <f>Priv!F282</f>
        <v/>
      </c>
      <c r="C460" s="9" t="inlineStr">
        <is>
          <t>7,3</t>
        </is>
      </c>
    </row>
    <row r="461">
      <c r="A461" s="8" t="inlineStr">
        <is>
          <t>Q28R2C3</t>
        </is>
      </c>
      <c r="B461" s="8">
        <f>Priv!G282</f>
        <v/>
      </c>
      <c r="C461" s="9" t="inlineStr">
        <is>
          <t>7,3</t>
        </is>
      </c>
    </row>
    <row r="462">
      <c r="A462" s="8" t="inlineStr">
        <is>
          <t>Q28R2C4</t>
        </is>
      </c>
      <c r="B462" s="8">
        <f>Priv!H282</f>
        <v/>
      </c>
      <c r="C462" s="9" t="inlineStr">
        <is>
          <t>7,3</t>
        </is>
      </c>
    </row>
    <row r="463">
      <c r="A463" s="8" t="inlineStr">
        <is>
          <t>Q28R2C5</t>
        </is>
      </c>
      <c r="B463" s="8">
        <f>Priv!I282</f>
        <v/>
      </c>
      <c r="C463" s="9" t="inlineStr">
        <is>
          <t>7,3</t>
        </is>
      </c>
    </row>
    <row r="464">
      <c r="A464" s="8" t="inlineStr">
        <is>
          <t>Q28R2C6</t>
        </is>
      </c>
      <c r="B464" s="8">
        <f>Priv!J282</f>
        <v/>
      </c>
      <c r="C464" s="9" t="inlineStr">
        <is>
          <t>7,3</t>
        </is>
      </c>
    </row>
    <row r="465">
      <c r="A465" s="8" t="inlineStr">
        <is>
          <t>Q28R2C7</t>
        </is>
      </c>
      <c r="B465" s="8">
        <f>Priv!K282</f>
        <v/>
      </c>
      <c r="C465" s="9" t="inlineStr">
        <is>
          <t>7,3</t>
        </is>
      </c>
    </row>
    <row r="466">
      <c r="A466" s="8" t="inlineStr">
        <is>
          <t>Q28R2C8</t>
        </is>
      </c>
      <c r="B466" s="8">
        <f>Priv!L282</f>
        <v/>
      </c>
      <c r="C466" s="9" t="inlineStr">
        <is>
          <t>7,3</t>
        </is>
      </c>
    </row>
    <row r="467">
      <c r="A467" s="8" t="inlineStr">
        <is>
          <t>Q28R3C1</t>
        </is>
      </c>
      <c r="B467" s="8">
        <f>Priv!E283</f>
        <v/>
      </c>
      <c r="C467" s="9" t="inlineStr">
        <is>
          <t>7,3</t>
        </is>
      </c>
    </row>
    <row r="468">
      <c r="A468" s="8" t="inlineStr">
        <is>
          <t>Q28R3C2</t>
        </is>
      </c>
      <c r="B468" s="8">
        <f>Priv!F283</f>
        <v/>
      </c>
      <c r="C468" s="9" t="inlineStr">
        <is>
          <t>7,3</t>
        </is>
      </c>
    </row>
    <row r="469">
      <c r="A469" s="8" t="inlineStr">
        <is>
          <t>Q28R3C3</t>
        </is>
      </c>
      <c r="B469" s="8">
        <f>Priv!G283</f>
        <v/>
      </c>
      <c r="C469" s="9" t="inlineStr">
        <is>
          <t>7,3</t>
        </is>
      </c>
    </row>
    <row r="470">
      <c r="A470" s="8" t="inlineStr">
        <is>
          <t>Q28R3C4</t>
        </is>
      </c>
      <c r="B470" s="8">
        <f>Priv!H283</f>
        <v/>
      </c>
      <c r="C470" s="9" t="inlineStr">
        <is>
          <t>7,3</t>
        </is>
      </c>
    </row>
    <row r="471">
      <c r="A471" s="8" t="inlineStr">
        <is>
          <t>Q28R3C5</t>
        </is>
      </c>
      <c r="B471" s="8">
        <f>Priv!I283</f>
        <v/>
      </c>
      <c r="C471" s="9" t="inlineStr">
        <is>
          <t>7,3</t>
        </is>
      </c>
    </row>
    <row r="472">
      <c r="A472" s="8" t="inlineStr">
        <is>
          <t>Q28R3C6</t>
        </is>
      </c>
      <c r="B472" s="8">
        <f>Priv!J283</f>
        <v/>
      </c>
      <c r="C472" s="9" t="inlineStr">
        <is>
          <t>7,3</t>
        </is>
      </c>
    </row>
    <row r="473">
      <c r="A473" s="8" t="inlineStr">
        <is>
          <t>Q28R3C7</t>
        </is>
      </c>
      <c r="B473" s="8">
        <f>Priv!K283</f>
        <v/>
      </c>
      <c r="C473" s="9" t="inlineStr">
        <is>
          <t>7,3</t>
        </is>
      </c>
    </row>
    <row r="474">
      <c r="A474" s="8" t="inlineStr">
        <is>
          <t>Q28R3C8</t>
        </is>
      </c>
      <c r="B474" s="8">
        <f>Priv!L283</f>
        <v/>
      </c>
      <c r="C474" s="9" t="inlineStr">
        <is>
          <t>7,3</t>
        </is>
      </c>
    </row>
    <row r="475">
      <c r="A475" s="8" t="inlineStr">
        <is>
          <t>Q28R4C1</t>
        </is>
      </c>
      <c r="B475" s="8">
        <f>Priv!E284</f>
        <v/>
      </c>
      <c r="C475" s="9" t="inlineStr">
        <is>
          <t>7,3</t>
        </is>
      </c>
    </row>
    <row r="476">
      <c r="A476" s="8" t="inlineStr">
        <is>
          <t>Q28R4C2</t>
        </is>
      </c>
      <c r="B476" s="8">
        <f>Priv!F284</f>
        <v/>
      </c>
      <c r="C476" s="9" t="inlineStr">
        <is>
          <t>7,3</t>
        </is>
      </c>
    </row>
    <row r="477">
      <c r="A477" s="8" t="inlineStr">
        <is>
          <t>Q28R4C3</t>
        </is>
      </c>
      <c r="B477" s="8">
        <f>Priv!G284</f>
        <v/>
      </c>
      <c r="C477" s="9" t="inlineStr">
        <is>
          <t>7,3</t>
        </is>
      </c>
    </row>
    <row r="478">
      <c r="A478" s="8" t="inlineStr">
        <is>
          <t>Q28R4C4</t>
        </is>
      </c>
      <c r="B478" s="8">
        <f>Priv!H284</f>
        <v/>
      </c>
      <c r="C478" s="9" t="inlineStr">
        <is>
          <t>7,3</t>
        </is>
      </c>
    </row>
    <row r="479">
      <c r="A479" s="8" t="inlineStr">
        <is>
          <t>Q28R4C5</t>
        </is>
      </c>
      <c r="B479" s="8">
        <f>Priv!I284</f>
        <v/>
      </c>
      <c r="C479" s="9" t="inlineStr">
        <is>
          <t>7,3</t>
        </is>
      </c>
    </row>
    <row r="480">
      <c r="A480" s="8" t="inlineStr">
        <is>
          <t>Q28R4C6</t>
        </is>
      </c>
      <c r="B480" s="8">
        <f>Priv!J284</f>
        <v/>
      </c>
      <c r="C480" s="9" t="inlineStr">
        <is>
          <t>7,3</t>
        </is>
      </c>
    </row>
    <row r="481">
      <c r="A481" s="8" t="inlineStr">
        <is>
          <t>Q28R4C7</t>
        </is>
      </c>
      <c r="B481" s="8">
        <f>Priv!K284</f>
        <v/>
      </c>
      <c r="C481" s="9" t="inlineStr">
        <is>
          <t>7,3</t>
        </is>
      </c>
    </row>
    <row r="482">
      <c r="A482" s="8" t="inlineStr">
        <is>
          <t>Q28R4C8</t>
        </is>
      </c>
      <c r="B482" s="8">
        <f>Priv!L284</f>
        <v/>
      </c>
      <c r="C482" s="9" t="inlineStr">
        <is>
          <t>7,3</t>
        </is>
      </c>
    </row>
    <row r="483">
      <c r="A483" s="8" t="inlineStr">
        <is>
          <t>Q28R5C1</t>
        </is>
      </c>
      <c r="B483" s="8">
        <f>Priv!E285</f>
        <v/>
      </c>
      <c r="C483" s="9" t="inlineStr">
        <is>
          <t>7,3</t>
        </is>
      </c>
    </row>
    <row r="484">
      <c r="A484" s="8" t="inlineStr">
        <is>
          <t>Q28R5C2</t>
        </is>
      </c>
      <c r="B484" s="8">
        <f>Priv!F285</f>
        <v/>
      </c>
      <c r="C484" s="9" t="inlineStr">
        <is>
          <t>7,3</t>
        </is>
      </c>
    </row>
    <row r="485">
      <c r="A485" s="8" t="inlineStr">
        <is>
          <t>Q28R5C3</t>
        </is>
      </c>
      <c r="B485" s="8">
        <f>Priv!G285</f>
        <v/>
      </c>
      <c r="C485" s="9" t="inlineStr">
        <is>
          <t>7,3</t>
        </is>
      </c>
    </row>
    <row r="486">
      <c r="A486" s="8" t="inlineStr">
        <is>
          <t>Q28R5C4</t>
        </is>
      </c>
      <c r="B486" s="8">
        <f>Priv!H285</f>
        <v/>
      </c>
      <c r="C486" s="9" t="inlineStr">
        <is>
          <t>7,3</t>
        </is>
      </c>
    </row>
    <row r="487">
      <c r="A487" s="8" t="inlineStr">
        <is>
          <t>Q28R5C5</t>
        </is>
      </c>
      <c r="B487" s="8">
        <f>Priv!I285</f>
        <v/>
      </c>
      <c r="C487" s="9" t="inlineStr">
        <is>
          <t>7,3</t>
        </is>
      </c>
    </row>
    <row r="488">
      <c r="A488" s="8" t="inlineStr">
        <is>
          <t>Q28R5C6</t>
        </is>
      </c>
      <c r="B488" s="8">
        <f>Priv!J285</f>
        <v/>
      </c>
      <c r="C488" s="9" t="inlineStr">
        <is>
          <t>7,3</t>
        </is>
      </c>
    </row>
    <row r="489">
      <c r="A489" s="8" t="inlineStr">
        <is>
          <t>Q28R5C7</t>
        </is>
      </c>
      <c r="B489" s="8">
        <f>Priv!K285</f>
        <v/>
      </c>
      <c r="C489" s="9" t="inlineStr">
        <is>
          <t>7,3</t>
        </is>
      </c>
    </row>
    <row r="490">
      <c r="A490" s="8" t="inlineStr">
        <is>
          <t>Q28R5C8</t>
        </is>
      </c>
      <c r="B490" s="8">
        <f>Priv!L285</f>
        <v/>
      </c>
      <c r="C490" s="9" t="inlineStr">
        <is>
          <t>7,3</t>
        </is>
      </c>
    </row>
    <row r="491">
      <c r="A491" s="8" t="inlineStr">
        <is>
          <t>Q28R6C1</t>
        </is>
      </c>
      <c r="B491" s="8">
        <f>Priv!E286</f>
        <v/>
      </c>
      <c r="C491" s="9" t="inlineStr">
        <is>
          <t>7,3</t>
        </is>
      </c>
    </row>
    <row r="492">
      <c r="A492" s="8" t="inlineStr">
        <is>
          <t>Q28R6C2</t>
        </is>
      </c>
      <c r="B492" s="8">
        <f>Priv!F286</f>
        <v/>
      </c>
      <c r="C492" s="9" t="inlineStr">
        <is>
          <t>7,3</t>
        </is>
      </c>
    </row>
    <row r="493">
      <c r="A493" s="8" t="inlineStr">
        <is>
          <t>Q28R6C3</t>
        </is>
      </c>
      <c r="B493" s="8">
        <f>Priv!G286</f>
        <v/>
      </c>
      <c r="C493" s="9" t="inlineStr">
        <is>
          <t>7,3</t>
        </is>
      </c>
    </row>
    <row r="494">
      <c r="A494" s="8" t="inlineStr">
        <is>
          <t>Q28R6C4</t>
        </is>
      </c>
      <c r="B494" s="8">
        <f>Priv!H286</f>
        <v/>
      </c>
      <c r="C494" s="9" t="inlineStr">
        <is>
          <t>7,3</t>
        </is>
      </c>
    </row>
    <row r="495">
      <c r="A495" s="8" t="inlineStr">
        <is>
          <t>Q28R6C5</t>
        </is>
      </c>
      <c r="B495" s="8">
        <f>Priv!I286</f>
        <v/>
      </c>
      <c r="C495" s="9" t="inlineStr">
        <is>
          <t>7,3</t>
        </is>
      </c>
    </row>
    <row r="496">
      <c r="A496" s="8" t="inlineStr">
        <is>
          <t>Q28R6C6</t>
        </is>
      </c>
      <c r="B496" s="8">
        <f>Priv!J286</f>
        <v/>
      </c>
      <c r="C496" s="9" t="inlineStr">
        <is>
          <t>7,3</t>
        </is>
      </c>
    </row>
    <row r="497">
      <c r="A497" s="8" t="inlineStr">
        <is>
          <t>Q28R6C7</t>
        </is>
      </c>
      <c r="B497" s="8">
        <f>Priv!K286</f>
        <v/>
      </c>
      <c r="C497" s="9" t="inlineStr">
        <is>
          <t>7,3</t>
        </is>
      </c>
    </row>
    <row r="498">
      <c r="A498" s="8" t="inlineStr">
        <is>
          <t>Q28R6C8</t>
        </is>
      </c>
      <c r="B498" s="8">
        <f>Priv!L286</f>
        <v/>
      </c>
      <c r="C498" s="9" t="inlineStr">
        <is>
          <t>7,3</t>
        </is>
      </c>
    </row>
    <row r="499">
      <c r="A499" s="8" t="inlineStr">
        <is>
          <t>Q28R7C1</t>
        </is>
      </c>
      <c r="B499" s="8">
        <f>Priv!E287</f>
        <v/>
      </c>
      <c r="C499" s="9" t="inlineStr">
        <is>
          <t>7,3</t>
        </is>
      </c>
    </row>
    <row r="500">
      <c r="A500" s="8" t="inlineStr">
        <is>
          <t>Q28R7C2</t>
        </is>
      </c>
      <c r="B500" s="8">
        <f>Priv!F287</f>
        <v/>
      </c>
      <c r="C500" s="9" t="inlineStr">
        <is>
          <t>7,3</t>
        </is>
      </c>
    </row>
    <row r="501">
      <c r="A501" s="8" t="inlineStr">
        <is>
          <t>Q28R7C3</t>
        </is>
      </c>
      <c r="B501" s="8">
        <f>Priv!G287</f>
        <v/>
      </c>
      <c r="C501" s="9" t="inlineStr">
        <is>
          <t>7,3</t>
        </is>
      </c>
    </row>
    <row r="502">
      <c r="A502" s="8" t="inlineStr">
        <is>
          <t>Q28R7C4</t>
        </is>
      </c>
      <c r="B502" s="8">
        <f>Priv!H287</f>
        <v/>
      </c>
      <c r="C502" s="9" t="inlineStr">
        <is>
          <t>7,3</t>
        </is>
      </c>
    </row>
    <row r="503">
      <c r="A503" s="8" t="inlineStr">
        <is>
          <t>Q28R7C5</t>
        </is>
      </c>
      <c r="B503" s="8">
        <f>Priv!I287</f>
        <v/>
      </c>
      <c r="C503" s="9" t="inlineStr">
        <is>
          <t>7,3</t>
        </is>
      </c>
    </row>
    <row r="504">
      <c r="A504" s="8" t="inlineStr">
        <is>
          <t>Q28R7C6</t>
        </is>
      </c>
      <c r="B504" s="8">
        <f>Priv!J287</f>
        <v/>
      </c>
      <c r="C504" s="9" t="inlineStr">
        <is>
          <t>7,3</t>
        </is>
      </c>
    </row>
    <row r="505">
      <c r="A505" s="8" t="inlineStr">
        <is>
          <t>Q28R7C7</t>
        </is>
      </c>
      <c r="B505" s="8">
        <f>Priv!K287</f>
        <v/>
      </c>
      <c r="C505" s="9" t="inlineStr">
        <is>
          <t>7,3</t>
        </is>
      </c>
    </row>
    <row r="506">
      <c r="A506" s="8" t="inlineStr">
        <is>
          <t>Q28R7C8</t>
        </is>
      </c>
      <c r="B506" s="8">
        <f>Priv!L287</f>
        <v/>
      </c>
      <c r="C506" s="9" t="inlineStr">
        <is>
          <t>7,3</t>
        </is>
      </c>
    </row>
    <row r="507">
      <c r="A507" s="8" t="inlineStr">
        <is>
          <t>Q29R1C1</t>
        </is>
      </c>
      <c r="B507" s="8">
        <f>Priv!C295</f>
        <v/>
      </c>
      <c r="C507" s="9" t="inlineStr">
        <is>
          <t>8,1</t>
        </is>
      </c>
    </row>
    <row r="508">
      <c r="A508" s="8" t="inlineStr">
        <is>
          <t>Q29R1C2</t>
        </is>
      </c>
      <c r="B508" s="8">
        <f>Priv!D295</f>
        <v/>
      </c>
      <c r="C508" s="9" t="inlineStr">
        <is>
          <t>8,1</t>
        </is>
      </c>
    </row>
    <row r="509">
      <c r="A509" s="8" t="inlineStr">
        <is>
          <t>Q29R1C3</t>
        </is>
      </c>
      <c r="B509" s="8">
        <f>Priv!E295</f>
        <v/>
      </c>
      <c r="C509" s="9" t="inlineStr">
        <is>
          <t>8,1</t>
        </is>
      </c>
    </row>
    <row r="510">
      <c r="A510" s="8" t="inlineStr">
        <is>
          <t>Q29R1C4</t>
        </is>
      </c>
      <c r="B510" s="8">
        <f>Priv!F295</f>
        <v/>
      </c>
      <c r="C510" s="9" t="inlineStr">
        <is>
          <t>8,1</t>
        </is>
      </c>
    </row>
    <row r="511">
      <c r="A511" s="8" t="inlineStr">
        <is>
          <t>Q29R1C5</t>
        </is>
      </c>
      <c r="B511" s="8">
        <f>Priv!G295</f>
        <v/>
      </c>
      <c r="C511" s="9" t="inlineStr">
        <is>
          <t>8,1</t>
        </is>
      </c>
    </row>
    <row r="512">
      <c r="A512" s="8" t="inlineStr">
        <is>
          <t>Q29R1C6</t>
        </is>
      </c>
      <c r="B512" s="8">
        <f>Priv!H295</f>
        <v/>
      </c>
      <c r="C512" s="9" t="inlineStr">
        <is>
          <t>8,1</t>
        </is>
      </c>
    </row>
    <row r="513">
      <c r="A513" s="8" t="inlineStr">
        <is>
          <t>Q29R1C7</t>
        </is>
      </c>
      <c r="B513" s="8">
        <f>Priv!I295</f>
        <v/>
      </c>
      <c r="C513" s="9" t="inlineStr">
        <is>
          <t>8,1</t>
        </is>
      </c>
    </row>
    <row r="514">
      <c r="A514" s="8" t="inlineStr">
        <is>
          <t>Q29R1C8</t>
        </is>
      </c>
      <c r="B514" s="8">
        <f>Priv!J295</f>
        <v/>
      </c>
      <c r="C514" s="9" t="inlineStr">
        <is>
          <t>8,1</t>
        </is>
      </c>
    </row>
    <row r="515">
      <c r="A515" s="8" t="inlineStr">
        <is>
          <t>Q29R1C9</t>
        </is>
      </c>
      <c r="B515" s="8">
        <f>Priv!K295</f>
        <v/>
      </c>
      <c r="C515" s="9" t="inlineStr">
        <is>
          <t>8,1</t>
        </is>
      </c>
    </row>
    <row r="516">
      <c r="A516" s="8" t="inlineStr">
        <is>
          <t>Q29R1C10</t>
        </is>
      </c>
      <c r="B516" s="8">
        <f>Priv!L295</f>
        <v/>
      </c>
      <c r="C516" s="9" t="inlineStr">
        <is>
          <t>8,1</t>
        </is>
      </c>
    </row>
    <row r="517">
      <c r="A517" s="8" t="inlineStr">
        <is>
          <t>Q29R2C1</t>
        </is>
      </c>
      <c r="B517" s="8">
        <f>Priv!C296</f>
        <v/>
      </c>
      <c r="C517" s="9" t="inlineStr">
        <is>
          <t>8,1</t>
        </is>
      </c>
    </row>
    <row r="518">
      <c r="A518" s="8" t="inlineStr">
        <is>
          <t>Q29R2C2</t>
        </is>
      </c>
      <c r="B518" s="8">
        <f>Priv!D296</f>
        <v/>
      </c>
      <c r="C518" s="9" t="inlineStr">
        <is>
          <t>8,1</t>
        </is>
      </c>
    </row>
    <row r="519">
      <c r="A519" s="8" t="inlineStr">
        <is>
          <t>Q29R2C3</t>
        </is>
      </c>
      <c r="B519" s="8">
        <f>Priv!E296</f>
        <v/>
      </c>
      <c r="C519" s="9" t="inlineStr">
        <is>
          <t>8,1</t>
        </is>
      </c>
    </row>
    <row r="520">
      <c r="A520" s="8" t="inlineStr">
        <is>
          <t>Q29R2C4</t>
        </is>
      </c>
      <c r="B520" s="8">
        <f>Priv!F296</f>
        <v/>
      </c>
      <c r="C520" s="9" t="inlineStr">
        <is>
          <t>8,1</t>
        </is>
      </c>
    </row>
    <row r="521">
      <c r="A521" s="8" t="inlineStr">
        <is>
          <t>Q29R2C5</t>
        </is>
      </c>
      <c r="B521" s="8">
        <f>Priv!G296</f>
        <v/>
      </c>
      <c r="C521" s="9" t="inlineStr">
        <is>
          <t>8,1</t>
        </is>
      </c>
    </row>
    <row r="522">
      <c r="A522" s="8" t="inlineStr">
        <is>
          <t>Q29R2C6</t>
        </is>
      </c>
      <c r="B522" s="8">
        <f>Priv!H296</f>
        <v/>
      </c>
      <c r="C522" s="9" t="inlineStr">
        <is>
          <t>8,1</t>
        </is>
      </c>
    </row>
    <row r="523">
      <c r="A523" s="8" t="inlineStr">
        <is>
          <t>Q29R2C7</t>
        </is>
      </c>
      <c r="B523" s="8">
        <f>Priv!I296</f>
        <v/>
      </c>
      <c r="C523" s="9" t="inlineStr">
        <is>
          <t>8,1</t>
        </is>
      </c>
    </row>
    <row r="524">
      <c r="A524" s="8" t="inlineStr">
        <is>
          <t>Q29R2C8</t>
        </is>
      </c>
      <c r="B524" s="8">
        <f>Priv!J296</f>
        <v/>
      </c>
      <c r="C524" s="9" t="inlineStr">
        <is>
          <t>8,1</t>
        </is>
      </c>
    </row>
    <row r="525">
      <c r="A525" s="8" t="inlineStr">
        <is>
          <t>Q29R2C9</t>
        </is>
      </c>
      <c r="B525" s="8">
        <f>Priv!K296</f>
        <v/>
      </c>
      <c r="C525" s="9" t="inlineStr">
        <is>
          <t>8,1</t>
        </is>
      </c>
    </row>
    <row r="526">
      <c r="A526" s="8" t="inlineStr">
        <is>
          <t>Q29R2C10</t>
        </is>
      </c>
      <c r="B526" s="8">
        <f>Priv!L296</f>
        <v/>
      </c>
      <c r="C526" s="9" t="inlineStr">
        <is>
          <t>8,1</t>
        </is>
      </c>
    </row>
    <row r="527">
      <c r="A527" s="8" t="inlineStr">
        <is>
          <t>Q29R3C1</t>
        </is>
      </c>
      <c r="B527" s="8">
        <f>Priv!C297</f>
        <v/>
      </c>
      <c r="C527" s="9" t="inlineStr">
        <is>
          <t>8,1</t>
        </is>
      </c>
    </row>
    <row r="528">
      <c r="A528" s="8" t="inlineStr">
        <is>
          <t>Q29R3C2</t>
        </is>
      </c>
      <c r="B528" s="8">
        <f>Priv!D297</f>
        <v/>
      </c>
      <c r="C528" s="9" t="inlineStr">
        <is>
          <t>8,1</t>
        </is>
      </c>
    </row>
    <row r="529">
      <c r="A529" s="8" t="inlineStr">
        <is>
          <t>Q29R3C3</t>
        </is>
      </c>
      <c r="B529" s="8">
        <f>Priv!E297</f>
        <v/>
      </c>
      <c r="C529" s="9" t="inlineStr">
        <is>
          <t>8,1</t>
        </is>
      </c>
    </row>
    <row r="530">
      <c r="A530" s="8" t="inlineStr">
        <is>
          <t>Q29R3C4</t>
        </is>
      </c>
      <c r="B530" s="8">
        <f>Priv!F297</f>
        <v/>
      </c>
      <c r="C530" s="9" t="inlineStr">
        <is>
          <t>8,1</t>
        </is>
      </c>
    </row>
    <row r="531">
      <c r="A531" s="8" t="inlineStr">
        <is>
          <t>Q29R3C5</t>
        </is>
      </c>
      <c r="B531" s="8">
        <f>Priv!G297</f>
        <v/>
      </c>
      <c r="C531" s="9" t="inlineStr">
        <is>
          <t>8,1</t>
        </is>
      </c>
    </row>
    <row r="532">
      <c r="A532" s="8" t="inlineStr">
        <is>
          <t>Q29R3C6</t>
        </is>
      </c>
      <c r="B532" s="8">
        <f>Priv!H297</f>
        <v/>
      </c>
      <c r="C532" s="9" t="inlineStr">
        <is>
          <t>8,1</t>
        </is>
      </c>
    </row>
    <row r="533">
      <c r="A533" s="8" t="inlineStr">
        <is>
          <t>Q29R3C7</t>
        </is>
      </c>
      <c r="B533" s="8">
        <f>Priv!I297</f>
        <v/>
      </c>
      <c r="C533" s="9" t="inlineStr">
        <is>
          <t>8,1</t>
        </is>
      </c>
    </row>
    <row r="534">
      <c r="A534" s="8" t="inlineStr">
        <is>
          <t>Q29R3C8</t>
        </is>
      </c>
      <c r="B534" s="8">
        <f>Priv!J297</f>
        <v/>
      </c>
      <c r="C534" s="9" t="inlineStr">
        <is>
          <t>8,1</t>
        </is>
      </c>
    </row>
    <row r="535">
      <c r="A535" s="8" t="inlineStr">
        <is>
          <t>Q29R3C9</t>
        </is>
      </c>
      <c r="B535" s="8">
        <f>Priv!K297</f>
        <v/>
      </c>
      <c r="C535" s="9" t="inlineStr">
        <is>
          <t>8,1</t>
        </is>
      </c>
    </row>
    <row r="536">
      <c r="A536" s="8" t="inlineStr">
        <is>
          <t>Q29R3C10</t>
        </is>
      </c>
      <c r="B536" s="8">
        <f>Priv!L297</f>
        <v/>
      </c>
      <c r="C536" s="9" t="inlineStr">
        <is>
          <t>8,1</t>
        </is>
      </c>
    </row>
    <row r="537">
      <c r="A537" s="8" t="inlineStr">
        <is>
          <t>Q29R4C1</t>
        </is>
      </c>
      <c r="B537" s="8">
        <f>Priv!C298</f>
        <v/>
      </c>
      <c r="C537" s="9" t="inlineStr">
        <is>
          <t>8,1</t>
        </is>
      </c>
    </row>
    <row r="538">
      <c r="A538" s="8" t="inlineStr">
        <is>
          <t>Q29R4C2</t>
        </is>
      </c>
      <c r="B538" s="8">
        <f>Priv!D298</f>
        <v/>
      </c>
      <c r="C538" s="9" t="inlineStr">
        <is>
          <t>8,1</t>
        </is>
      </c>
    </row>
    <row r="539">
      <c r="A539" s="8" t="inlineStr">
        <is>
          <t>Q29R4C3</t>
        </is>
      </c>
      <c r="B539" s="8">
        <f>Priv!E298</f>
        <v/>
      </c>
      <c r="C539" s="9" t="inlineStr">
        <is>
          <t>8,1</t>
        </is>
      </c>
    </row>
    <row r="540">
      <c r="A540" s="8" t="inlineStr">
        <is>
          <t>Q29R4C4</t>
        </is>
      </c>
      <c r="B540" s="8">
        <f>Priv!F298</f>
        <v/>
      </c>
      <c r="C540" s="9" t="inlineStr">
        <is>
          <t>8,1</t>
        </is>
      </c>
    </row>
    <row r="541">
      <c r="A541" s="8" t="inlineStr">
        <is>
          <t>Q29R4C5</t>
        </is>
      </c>
      <c r="B541" s="8">
        <f>Priv!G298</f>
        <v/>
      </c>
      <c r="C541" s="9" t="inlineStr">
        <is>
          <t>8,1</t>
        </is>
      </c>
    </row>
    <row r="542">
      <c r="A542" s="8" t="inlineStr">
        <is>
          <t>Q29R4C6</t>
        </is>
      </c>
      <c r="B542" s="8">
        <f>Priv!H298</f>
        <v/>
      </c>
      <c r="C542" s="9" t="inlineStr">
        <is>
          <t>8,1</t>
        </is>
      </c>
    </row>
    <row r="543">
      <c r="A543" s="8" t="inlineStr">
        <is>
          <t>Q29R4C7</t>
        </is>
      </c>
      <c r="B543" s="8">
        <f>Priv!I298</f>
        <v/>
      </c>
      <c r="C543" s="9" t="inlineStr">
        <is>
          <t>8,1</t>
        </is>
      </c>
    </row>
    <row r="544">
      <c r="A544" s="8" t="inlineStr">
        <is>
          <t>Q29R4C8</t>
        </is>
      </c>
      <c r="B544" s="8">
        <f>Priv!J298</f>
        <v/>
      </c>
      <c r="C544" s="9" t="inlineStr">
        <is>
          <t>8,1</t>
        </is>
      </c>
    </row>
    <row r="545">
      <c r="A545" s="8" t="inlineStr">
        <is>
          <t>Q29R4C9</t>
        </is>
      </c>
      <c r="B545" s="8">
        <f>Priv!K298</f>
        <v/>
      </c>
      <c r="C545" s="9" t="inlineStr">
        <is>
          <t>8,1</t>
        </is>
      </c>
    </row>
    <row r="546">
      <c r="A546" s="8" t="inlineStr">
        <is>
          <t>Q29R4C10</t>
        </is>
      </c>
      <c r="B546" s="8">
        <f>Priv!L298</f>
        <v/>
      </c>
      <c r="C546" s="9" t="inlineStr">
        <is>
          <t>8,1</t>
        </is>
      </c>
    </row>
    <row r="547">
      <c r="A547" s="8" t="inlineStr">
        <is>
          <t>Q29R5C1</t>
        </is>
      </c>
      <c r="B547" s="8">
        <f>Priv!C299</f>
        <v/>
      </c>
      <c r="C547" s="9" t="inlineStr">
        <is>
          <t>8,1</t>
        </is>
      </c>
    </row>
    <row r="548">
      <c r="A548" s="8" t="inlineStr">
        <is>
          <t>Q29R5C2</t>
        </is>
      </c>
      <c r="B548" s="8">
        <f>Priv!D299</f>
        <v/>
      </c>
      <c r="C548" s="9" t="inlineStr">
        <is>
          <t>8,1</t>
        </is>
      </c>
    </row>
    <row r="549">
      <c r="A549" s="8" t="inlineStr">
        <is>
          <t>Q29R5C3</t>
        </is>
      </c>
      <c r="B549" s="8">
        <f>Priv!E299</f>
        <v/>
      </c>
      <c r="C549" s="9" t="inlineStr">
        <is>
          <t>8,1</t>
        </is>
      </c>
    </row>
    <row r="550">
      <c r="A550" s="8" t="inlineStr">
        <is>
          <t>Q29R5C4</t>
        </is>
      </c>
      <c r="B550" s="8">
        <f>Priv!F299</f>
        <v/>
      </c>
      <c r="C550" s="9" t="inlineStr">
        <is>
          <t>8,1</t>
        </is>
      </c>
    </row>
    <row r="551">
      <c r="A551" s="8" t="inlineStr">
        <is>
          <t>Q29R5C5</t>
        </is>
      </c>
      <c r="B551" s="8">
        <f>Priv!G299</f>
        <v/>
      </c>
      <c r="C551" s="9" t="inlineStr">
        <is>
          <t>8,1</t>
        </is>
      </c>
    </row>
    <row r="552">
      <c r="A552" s="8" t="inlineStr">
        <is>
          <t>Q29R5C6</t>
        </is>
      </c>
      <c r="B552" s="8">
        <f>Priv!H299</f>
        <v/>
      </c>
      <c r="C552" s="9" t="inlineStr">
        <is>
          <t>8,1</t>
        </is>
      </c>
    </row>
    <row r="553">
      <c r="A553" s="8" t="inlineStr">
        <is>
          <t>Q29R5C7</t>
        </is>
      </c>
      <c r="B553" s="8">
        <f>Priv!I299</f>
        <v/>
      </c>
      <c r="C553" s="9" t="inlineStr">
        <is>
          <t>8,1</t>
        </is>
      </c>
    </row>
    <row r="554">
      <c r="A554" s="8" t="inlineStr">
        <is>
          <t>Q29R5C8</t>
        </is>
      </c>
      <c r="B554" s="8">
        <f>Priv!J299</f>
        <v/>
      </c>
      <c r="C554" s="9" t="inlineStr">
        <is>
          <t>8,1</t>
        </is>
      </c>
    </row>
    <row r="555">
      <c r="A555" s="8" t="inlineStr">
        <is>
          <t>Q29R5C9</t>
        </is>
      </c>
      <c r="B555" s="8">
        <f>Priv!K299</f>
        <v/>
      </c>
      <c r="C555" s="9" t="inlineStr">
        <is>
          <t>8,1</t>
        </is>
      </c>
    </row>
    <row r="556">
      <c r="A556" s="8" t="inlineStr">
        <is>
          <t>Q29R5C10</t>
        </is>
      </c>
      <c r="B556" s="8">
        <f>Priv!L299</f>
        <v/>
      </c>
      <c r="C556" s="9" t="inlineStr">
        <is>
          <t>8,1</t>
        </is>
      </c>
    </row>
    <row r="557">
      <c r="A557" s="8" t="inlineStr">
        <is>
          <t>Q29R6C1</t>
        </is>
      </c>
      <c r="B557" s="8">
        <f>Priv!C300</f>
        <v/>
      </c>
      <c r="C557" s="9" t="inlineStr">
        <is>
          <t>8,1</t>
        </is>
      </c>
    </row>
    <row r="558">
      <c r="A558" s="8" t="inlineStr">
        <is>
          <t>Q29R6C2</t>
        </is>
      </c>
      <c r="B558" s="8">
        <f>Priv!D300</f>
        <v/>
      </c>
      <c r="C558" s="9" t="inlineStr">
        <is>
          <t>8,1</t>
        </is>
      </c>
    </row>
    <row r="559">
      <c r="A559" s="8" t="inlineStr">
        <is>
          <t>Q29R6C3</t>
        </is>
      </c>
      <c r="B559" s="8">
        <f>Priv!E300</f>
        <v/>
      </c>
      <c r="C559" s="9" t="inlineStr">
        <is>
          <t>8,1</t>
        </is>
      </c>
    </row>
    <row r="560">
      <c r="A560" s="8" t="inlineStr">
        <is>
          <t>Q29R6C4</t>
        </is>
      </c>
      <c r="B560" s="8">
        <f>Priv!F300</f>
        <v/>
      </c>
      <c r="C560" s="9" t="inlineStr">
        <is>
          <t>8,1</t>
        </is>
      </c>
    </row>
    <row r="561">
      <c r="A561" s="8" t="inlineStr">
        <is>
          <t>Q29R6C5</t>
        </is>
      </c>
      <c r="B561" s="8">
        <f>Priv!G300</f>
        <v/>
      </c>
      <c r="C561" s="9" t="inlineStr">
        <is>
          <t>8,1</t>
        </is>
      </c>
    </row>
    <row r="562">
      <c r="A562" s="8" t="inlineStr">
        <is>
          <t>Q29R6C6</t>
        </is>
      </c>
      <c r="B562" s="8">
        <f>Priv!H300</f>
        <v/>
      </c>
      <c r="C562" s="9" t="inlineStr">
        <is>
          <t>8,1</t>
        </is>
      </c>
    </row>
    <row r="563">
      <c r="A563" s="8" t="inlineStr">
        <is>
          <t>Q29R6C7</t>
        </is>
      </c>
      <c r="B563" s="8">
        <f>Priv!I300</f>
        <v/>
      </c>
      <c r="C563" s="9" t="inlineStr">
        <is>
          <t>8,1</t>
        </is>
      </c>
    </row>
    <row r="564">
      <c r="A564" s="8" t="inlineStr">
        <is>
          <t>Q29R6C8</t>
        </is>
      </c>
      <c r="B564" s="8">
        <f>Priv!J300</f>
        <v/>
      </c>
      <c r="C564" s="9" t="inlineStr">
        <is>
          <t>8,1</t>
        </is>
      </c>
    </row>
    <row r="565">
      <c r="A565" s="8" t="inlineStr">
        <is>
          <t>Q29R6C9</t>
        </is>
      </c>
      <c r="B565" s="8">
        <f>Priv!K300</f>
        <v/>
      </c>
      <c r="C565" s="9" t="inlineStr">
        <is>
          <t>8,1</t>
        </is>
      </c>
    </row>
    <row r="566">
      <c r="A566" s="8" t="inlineStr">
        <is>
          <t>Q29R6C10</t>
        </is>
      </c>
      <c r="B566" s="8">
        <f>Priv!L300</f>
        <v/>
      </c>
      <c r="C566" s="9" t="inlineStr">
        <is>
          <t>8,1</t>
        </is>
      </c>
    </row>
    <row r="567">
      <c r="A567" s="8" t="inlineStr">
        <is>
          <t>Q29R7C1</t>
        </is>
      </c>
      <c r="B567" s="8">
        <f>Priv!C301</f>
        <v/>
      </c>
      <c r="C567" s="9" t="inlineStr">
        <is>
          <t>8,1</t>
        </is>
      </c>
    </row>
    <row r="568">
      <c r="A568" s="8" t="inlineStr">
        <is>
          <t>Q29R7C2</t>
        </is>
      </c>
      <c r="B568" s="8">
        <f>Priv!D301</f>
        <v/>
      </c>
      <c r="C568" s="9" t="inlineStr">
        <is>
          <t>8,1</t>
        </is>
      </c>
    </row>
    <row r="569">
      <c r="A569" s="8" t="inlineStr">
        <is>
          <t>Q29R7C3</t>
        </is>
      </c>
      <c r="B569" s="8">
        <f>Priv!E301</f>
        <v/>
      </c>
      <c r="C569" s="9" t="inlineStr">
        <is>
          <t>8,1</t>
        </is>
      </c>
    </row>
    <row r="570">
      <c r="A570" s="8" t="inlineStr">
        <is>
          <t>Q29R7C4</t>
        </is>
      </c>
      <c r="B570" s="8">
        <f>Priv!F301</f>
        <v/>
      </c>
      <c r="C570" s="9" t="inlineStr">
        <is>
          <t>8,1</t>
        </is>
      </c>
    </row>
    <row r="571">
      <c r="A571" s="8" t="inlineStr">
        <is>
          <t>Q29R7C5</t>
        </is>
      </c>
      <c r="B571" s="8">
        <f>Priv!G301</f>
        <v/>
      </c>
      <c r="C571" s="9" t="inlineStr">
        <is>
          <t>8,1</t>
        </is>
      </c>
    </row>
    <row r="572">
      <c r="A572" s="8" t="inlineStr">
        <is>
          <t>Q29R7C6</t>
        </is>
      </c>
      <c r="B572" s="8">
        <f>Priv!H301</f>
        <v/>
      </c>
      <c r="C572" s="9" t="inlineStr">
        <is>
          <t>8,1</t>
        </is>
      </c>
    </row>
    <row r="573">
      <c r="A573" s="8" t="inlineStr">
        <is>
          <t>Q29R7C7</t>
        </is>
      </c>
      <c r="B573" s="8">
        <f>Priv!I301</f>
        <v/>
      </c>
      <c r="C573" s="9" t="inlineStr">
        <is>
          <t>8,1</t>
        </is>
      </c>
    </row>
    <row r="574">
      <c r="A574" s="8" t="inlineStr">
        <is>
          <t>Q29R7C8</t>
        </is>
      </c>
      <c r="B574" s="8">
        <f>Priv!J301</f>
        <v/>
      </c>
      <c r="C574" s="9" t="inlineStr">
        <is>
          <t>8,1</t>
        </is>
      </c>
    </row>
    <row r="575">
      <c r="A575" s="8" t="inlineStr">
        <is>
          <t>Q29R7C9</t>
        </is>
      </c>
      <c r="B575" s="8">
        <f>Priv!K301</f>
        <v/>
      </c>
      <c r="C575" s="9" t="inlineStr">
        <is>
          <t>8,1</t>
        </is>
      </c>
    </row>
    <row r="576">
      <c r="A576" s="8" t="inlineStr">
        <is>
          <t>Q29R7C10</t>
        </is>
      </c>
      <c r="B576" s="8">
        <f>Priv!L301</f>
        <v/>
      </c>
      <c r="C576" s="9" t="inlineStr">
        <is>
          <t>8,1</t>
        </is>
      </c>
    </row>
    <row r="577">
      <c r="A577" s="8" t="inlineStr">
        <is>
          <t>Q30R1C1</t>
        </is>
      </c>
      <c r="B577" s="8">
        <f>Priv!C308</f>
        <v/>
      </c>
      <c r="C577" s="9" t="inlineStr">
        <is>
          <t>8,2</t>
        </is>
      </c>
    </row>
    <row r="578">
      <c r="A578" s="8" t="inlineStr">
        <is>
          <t>Q30R1C2</t>
        </is>
      </c>
      <c r="B578" s="8">
        <f>Priv!D308</f>
        <v/>
      </c>
      <c r="C578" s="9" t="inlineStr">
        <is>
          <t>8,2</t>
        </is>
      </c>
    </row>
    <row r="579">
      <c r="A579" s="8" t="inlineStr">
        <is>
          <t>Q30R1C3</t>
        </is>
      </c>
      <c r="B579" s="8">
        <f>Priv!E308</f>
        <v/>
      </c>
      <c r="C579" s="9" t="inlineStr">
        <is>
          <t>8,2</t>
        </is>
      </c>
    </row>
    <row r="580">
      <c r="A580" s="8" t="inlineStr">
        <is>
          <t>Q30R1C4</t>
        </is>
      </c>
      <c r="B580" s="8">
        <f>Priv!F308</f>
        <v/>
      </c>
      <c r="C580" s="9" t="inlineStr">
        <is>
          <t>8,2</t>
        </is>
      </c>
    </row>
    <row r="581">
      <c r="A581" s="8" t="inlineStr">
        <is>
          <t>Q30R1C5</t>
        </is>
      </c>
      <c r="B581" s="8">
        <f>Priv!G308</f>
        <v/>
      </c>
      <c r="C581" s="9" t="inlineStr">
        <is>
          <t>8,2</t>
        </is>
      </c>
    </row>
    <row r="582">
      <c r="A582" s="8" t="inlineStr">
        <is>
          <t>Q30R1C6</t>
        </is>
      </c>
      <c r="B582" s="8">
        <f>Priv!H308</f>
        <v/>
      </c>
      <c r="C582" s="9" t="inlineStr">
        <is>
          <t>8,2</t>
        </is>
      </c>
    </row>
    <row r="583">
      <c r="A583" s="8" t="inlineStr">
        <is>
          <t>Q30R1C7</t>
        </is>
      </c>
      <c r="B583" s="8">
        <f>Priv!I308</f>
        <v/>
      </c>
      <c r="C583" s="9" t="inlineStr">
        <is>
          <t>8,2</t>
        </is>
      </c>
    </row>
    <row r="584">
      <c r="A584" s="8" t="inlineStr">
        <is>
          <t>Q30R1C8</t>
        </is>
      </c>
      <c r="B584" s="8">
        <f>Priv!J308</f>
        <v/>
      </c>
      <c r="C584" s="9" t="inlineStr">
        <is>
          <t>8,2</t>
        </is>
      </c>
    </row>
    <row r="585">
      <c r="A585" s="8" t="inlineStr">
        <is>
          <t>Q30R1C9</t>
        </is>
      </c>
      <c r="B585" s="8">
        <f>Priv!K308</f>
        <v/>
      </c>
      <c r="C585" s="9" t="inlineStr">
        <is>
          <t>8,2</t>
        </is>
      </c>
    </row>
    <row r="586">
      <c r="A586" s="8" t="inlineStr">
        <is>
          <t>Q30R1C10</t>
        </is>
      </c>
      <c r="B586" s="8">
        <f>Priv!L308</f>
        <v/>
      </c>
      <c r="C586" s="9" t="inlineStr">
        <is>
          <t>8,2</t>
        </is>
      </c>
    </row>
    <row r="587">
      <c r="A587" s="8" t="inlineStr">
        <is>
          <t>Q30R2C1</t>
        </is>
      </c>
      <c r="B587" s="8">
        <f>Priv!C309</f>
        <v/>
      </c>
      <c r="C587" s="9" t="inlineStr">
        <is>
          <t>8,2</t>
        </is>
      </c>
    </row>
    <row r="588">
      <c r="A588" s="8" t="inlineStr">
        <is>
          <t>Q30R2C2</t>
        </is>
      </c>
      <c r="B588" s="8">
        <f>Priv!D309</f>
        <v/>
      </c>
      <c r="C588" s="9" t="inlineStr">
        <is>
          <t>8,2</t>
        </is>
      </c>
    </row>
    <row r="589">
      <c r="A589" s="8" t="inlineStr">
        <is>
          <t>Q30R2C3</t>
        </is>
      </c>
      <c r="B589" s="8">
        <f>Priv!E309</f>
        <v/>
      </c>
      <c r="C589" s="9" t="inlineStr">
        <is>
          <t>8,2</t>
        </is>
      </c>
    </row>
    <row r="590">
      <c r="A590" s="8" t="inlineStr">
        <is>
          <t>Q30R2C4</t>
        </is>
      </c>
      <c r="B590" s="8">
        <f>Priv!F309</f>
        <v/>
      </c>
      <c r="C590" s="9" t="inlineStr">
        <is>
          <t>8,2</t>
        </is>
      </c>
    </row>
    <row r="591">
      <c r="A591" s="8" t="inlineStr">
        <is>
          <t>Q30R2C5</t>
        </is>
      </c>
      <c r="B591" s="8">
        <f>Priv!G309</f>
        <v/>
      </c>
      <c r="C591" s="9" t="inlineStr">
        <is>
          <t>8,2</t>
        </is>
      </c>
    </row>
    <row r="592">
      <c r="A592" s="8" t="inlineStr">
        <is>
          <t>Q30R2C6</t>
        </is>
      </c>
      <c r="B592" s="8">
        <f>Priv!H309</f>
        <v/>
      </c>
      <c r="C592" s="9" t="inlineStr">
        <is>
          <t>8,2</t>
        </is>
      </c>
    </row>
    <row r="593">
      <c r="A593" s="8" t="inlineStr">
        <is>
          <t>Q30R2C7</t>
        </is>
      </c>
      <c r="B593" s="8">
        <f>Priv!I309</f>
        <v/>
      </c>
      <c r="C593" s="9" t="inlineStr">
        <is>
          <t>8,2</t>
        </is>
      </c>
    </row>
    <row r="594">
      <c r="A594" s="8" t="inlineStr">
        <is>
          <t>Q30R2C8</t>
        </is>
      </c>
      <c r="B594" s="8">
        <f>Priv!J309</f>
        <v/>
      </c>
      <c r="C594" s="9" t="inlineStr">
        <is>
          <t>8,2</t>
        </is>
      </c>
    </row>
    <row r="595">
      <c r="A595" s="8" t="inlineStr">
        <is>
          <t>Q30R2C9</t>
        </is>
      </c>
      <c r="B595" s="8">
        <f>Priv!K309</f>
        <v/>
      </c>
      <c r="C595" s="9" t="inlineStr">
        <is>
          <t>8,2</t>
        </is>
      </c>
    </row>
    <row r="596">
      <c r="A596" s="8" t="inlineStr">
        <is>
          <t>Q30R2C10</t>
        </is>
      </c>
      <c r="B596" s="8">
        <f>Priv!L309</f>
        <v/>
      </c>
      <c r="C596" s="9" t="inlineStr">
        <is>
          <t>8,2</t>
        </is>
      </c>
    </row>
    <row r="597">
      <c r="A597" s="8" t="inlineStr">
        <is>
          <t>Q30R3C1</t>
        </is>
      </c>
      <c r="B597" s="8">
        <f>Priv!C310</f>
        <v/>
      </c>
      <c r="C597" s="9" t="inlineStr">
        <is>
          <t>8,2</t>
        </is>
      </c>
    </row>
    <row r="598">
      <c r="A598" s="8" t="inlineStr">
        <is>
          <t>Q30R3C2</t>
        </is>
      </c>
      <c r="B598" s="8">
        <f>Priv!D310</f>
        <v/>
      </c>
      <c r="C598" s="9" t="inlineStr">
        <is>
          <t>8,2</t>
        </is>
      </c>
    </row>
    <row r="599">
      <c r="A599" s="8" t="inlineStr">
        <is>
          <t>Q30R3C3</t>
        </is>
      </c>
      <c r="B599" s="8">
        <f>Priv!E310</f>
        <v/>
      </c>
      <c r="C599" s="9" t="inlineStr">
        <is>
          <t>8,2</t>
        </is>
      </c>
    </row>
    <row r="600">
      <c r="A600" s="8" t="inlineStr">
        <is>
          <t>Q30R3C4</t>
        </is>
      </c>
      <c r="B600" s="8">
        <f>Priv!F310</f>
        <v/>
      </c>
      <c r="C600" s="9" t="inlineStr">
        <is>
          <t>8,2</t>
        </is>
      </c>
    </row>
    <row r="601">
      <c r="A601" s="8" t="inlineStr">
        <is>
          <t>Q30R3C5</t>
        </is>
      </c>
      <c r="B601" s="8">
        <f>Priv!G310</f>
        <v/>
      </c>
      <c r="C601" s="9" t="inlineStr">
        <is>
          <t>8,2</t>
        </is>
      </c>
    </row>
    <row r="602">
      <c r="A602" s="8" t="inlineStr">
        <is>
          <t>Q30R3C6</t>
        </is>
      </c>
      <c r="B602" s="8">
        <f>Priv!H310</f>
        <v/>
      </c>
      <c r="C602" s="9" t="inlineStr">
        <is>
          <t>8,2</t>
        </is>
      </c>
    </row>
    <row r="603">
      <c r="A603" s="8" t="inlineStr">
        <is>
          <t>Q30R3C7</t>
        </is>
      </c>
      <c r="B603" s="8">
        <f>Priv!I310</f>
        <v/>
      </c>
      <c r="C603" s="9" t="inlineStr">
        <is>
          <t>8,2</t>
        </is>
      </c>
    </row>
    <row r="604">
      <c r="A604" s="8" t="inlineStr">
        <is>
          <t>Q30R3C8</t>
        </is>
      </c>
      <c r="B604" s="8">
        <f>Priv!J310</f>
        <v/>
      </c>
      <c r="C604" s="9" t="inlineStr">
        <is>
          <t>8,2</t>
        </is>
      </c>
    </row>
    <row r="605">
      <c r="A605" s="8" t="inlineStr">
        <is>
          <t>Q30R3C9</t>
        </is>
      </c>
      <c r="B605" s="8">
        <f>Priv!K310</f>
        <v/>
      </c>
      <c r="C605" s="9" t="inlineStr">
        <is>
          <t>8,2</t>
        </is>
      </c>
    </row>
    <row r="606">
      <c r="A606" s="8" t="inlineStr">
        <is>
          <t>Q30R3C10</t>
        </is>
      </c>
      <c r="B606" s="8">
        <f>Priv!L310</f>
        <v/>
      </c>
      <c r="C606" s="9" t="inlineStr">
        <is>
          <t>8,2</t>
        </is>
      </c>
    </row>
    <row r="607">
      <c r="A607" s="8" t="inlineStr">
        <is>
          <t>Q30R4C1</t>
        </is>
      </c>
      <c r="B607" s="8">
        <f>Priv!C311</f>
        <v/>
      </c>
      <c r="C607" s="9" t="inlineStr">
        <is>
          <t>8,2</t>
        </is>
      </c>
    </row>
    <row r="608">
      <c r="A608" s="8" t="inlineStr">
        <is>
          <t>Q30R4C2</t>
        </is>
      </c>
      <c r="B608" s="8">
        <f>Priv!D311</f>
        <v/>
      </c>
      <c r="C608" s="9" t="inlineStr">
        <is>
          <t>8,2</t>
        </is>
      </c>
    </row>
    <row r="609">
      <c r="A609" s="8" t="inlineStr">
        <is>
          <t>Q30R4C3</t>
        </is>
      </c>
      <c r="B609" s="8">
        <f>Priv!E311</f>
        <v/>
      </c>
      <c r="C609" s="9" t="inlineStr">
        <is>
          <t>8,2</t>
        </is>
      </c>
    </row>
    <row r="610">
      <c r="A610" s="8" t="inlineStr">
        <is>
          <t>Q30R4C4</t>
        </is>
      </c>
      <c r="B610" s="8">
        <f>Priv!F311</f>
        <v/>
      </c>
      <c r="C610" s="9" t="inlineStr">
        <is>
          <t>8,2</t>
        </is>
      </c>
    </row>
    <row r="611">
      <c r="A611" s="8" t="inlineStr">
        <is>
          <t>Q30R4C5</t>
        </is>
      </c>
      <c r="B611" s="8">
        <f>Priv!G311</f>
        <v/>
      </c>
      <c r="C611" s="9" t="inlineStr">
        <is>
          <t>8,2</t>
        </is>
      </c>
    </row>
    <row r="612">
      <c r="A612" s="8" t="inlineStr">
        <is>
          <t>Q30R4C6</t>
        </is>
      </c>
      <c r="B612" s="8">
        <f>Priv!H311</f>
        <v/>
      </c>
      <c r="C612" s="9" t="inlineStr">
        <is>
          <t>8,2</t>
        </is>
      </c>
    </row>
    <row r="613">
      <c r="A613" s="8" t="inlineStr">
        <is>
          <t>Q30R4C7</t>
        </is>
      </c>
      <c r="B613" s="8">
        <f>Priv!I311</f>
        <v/>
      </c>
      <c r="C613" s="9" t="inlineStr">
        <is>
          <t>8,2</t>
        </is>
      </c>
    </row>
    <row r="614">
      <c r="A614" s="8" t="inlineStr">
        <is>
          <t>Q30R4C8</t>
        </is>
      </c>
      <c r="B614" s="8">
        <f>Priv!J311</f>
        <v/>
      </c>
      <c r="C614" s="9" t="inlineStr">
        <is>
          <t>8,2</t>
        </is>
      </c>
    </row>
    <row r="615">
      <c r="A615" s="8" t="inlineStr">
        <is>
          <t>Q30R4C9</t>
        </is>
      </c>
      <c r="B615" s="8">
        <f>Priv!K311</f>
        <v/>
      </c>
      <c r="C615" s="9" t="inlineStr">
        <is>
          <t>8,2</t>
        </is>
      </c>
    </row>
    <row r="616">
      <c r="A616" s="8" t="inlineStr">
        <is>
          <t>Q30R4C10</t>
        </is>
      </c>
      <c r="B616" s="8">
        <f>Priv!L311</f>
        <v/>
      </c>
      <c r="C616" s="9" t="inlineStr">
        <is>
          <t>8,2</t>
        </is>
      </c>
    </row>
    <row r="617">
      <c r="A617" s="8" t="inlineStr">
        <is>
          <t>Q30R5C1</t>
        </is>
      </c>
      <c r="B617" s="8">
        <f>Priv!C312</f>
        <v/>
      </c>
      <c r="C617" s="9" t="inlineStr">
        <is>
          <t>8,2</t>
        </is>
      </c>
    </row>
    <row r="618">
      <c r="A618" s="8" t="inlineStr">
        <is>
          <t>Q30R5C2</t>
        </is>
      </c>
      <c r="B618" s="8">
        <f>Priv!D312</f>
        <v/>
      </c>
      <c r="C618" s="9" t="inlineStr">
        <is>
          <t>8,2</t>
        </is>
      </c>
    </row>
    <row r="619">
      <c r="A619" s="8" t="inlineStr">
        <is>
          <t>Q30R5C3</t>
        </is>
      </c>
      <c r="B619" s="8">
        <f>Priv!E312</f>
        <v/>
      </c>
      <c r="C619" s="9" t="inlineStr">
        <is>
          <t>8,2</t>
        </is>
      </c>
    </row>
    <row r="620">
      <c r="A620" s="8" t="inlineStr">
        <is>
          <t>Q30R5C4</t>
        </is>
      </c>
      <c r="B620" s="8">
        <f>Priv!F312</f>
        <v/>
      </c>
      <c r="C620" s="9" t="inlineStr">
        <is>
          <t>8,2</t>
        </is>
      </c>
    </row>
    <row r="621">
      <c r="A621" s="8" t="inlineStr">
        <is>
          <t>Q30R5C5</t>
        </is>
      </c>
      <c r="B621" s="8">
        <f>Priv!G312</f>
        <v/>
      </c>
      <c r="C621" s="9" t="inlineStr">
        <is>
          <t>8,2</t>
        </is>
      </c>
    </row>
    <row r="622">
      <c r="A622" s="8" t="inlineStr">
        <is>
          <t>Q30R5C6</t>
        </is>
      </c>
      <c r="B622" s="8">
        <f>Priv!H312</f>
        <v/>
      </c>
      <c r="C622" s="9" t="inlineStr">
        <is>
          <t>8,2</t>
        </is>
      </c>
    </row>
    <row r="623">
      <c r="A623" s="8" t="inlineStr">
        <is>
          <t>Q30R5C7</t>
        </is>
      </c>
      <c r="B623" s="8">
        <f>Priv!I312</f>
        <v/>
      </c>
      <c r="C623" s="9" t="inlineStr">
        <is>
          <t>8,2</t>
        </is>
      </c>
    </row>
    <row r="624">
      <c r="A624" s="8" t="inlineStr">
        <is>
          <t>Q30R5C8</t>
        </is>
      </c>
      <c r="B624" s="8">
        <f>Priv!J312</f>
        <v/>
      </c>
      <c r="C624" s="9" t="inlineStr">
        <is>
          <t>8,2</t>
        </is>
      </c>
    </row>
    <row r="625">
      <c r="A625" s="8" t="inlineStr">
        <is>
          <t>Q30R5C9</t>
        </is>
      </c>
      <c r="B625" s="8">
        <f>Priv!K312</f>
        <v/>
      </c>
      <c r="C625" s="9" t="inlineStr">
        <is>
          <t>8,2</t>
        </is>
      </c>
    </row>
    <row r="626">
      <c r="A626" s="8" t="inlineStr">
        <is>
          <t>Q30R5C10</t>
        </is>
      </c>
      <c r="B626" s="8">
        <f>Priv!L312</f>
        <v/>
      </c>
      <c r="C626" s="9" t="inlineStr">
        <is>
          <t>8,2</t>
        </is>
      </c>
    </row>
    <row r="627">
      <c r="A627" s="8" t="inlineStr">
        <is>
          <t>Q30R6C1</t>
        </is>
      </c>
      <c r="B627" s="8">
        <f>Priv!C313</f>
        <v/>
      </c>
      <c r="C627" s="9" t="inlineStr">
        <is>
          <t>8,2</t>
        </is>
      </c>
    </row>
    <row r="628">
      <c r="A628" s="8" t="inlineStr">
        <is>
          <t>Q30R6C2</t>
        </is>
      </c>
      <c r="B628" s="8">
        <f>Priv!D313</f>
        <v/>
      </c>
      <c r="C628" s="9" t="inlineStr">
        <is>
          <t>8,2</t>
        </is>
      </c>
    </row>
    <row r="629">
      <c r="A629" s="8" t="inlineStr">
        <is>
          <t>Q30R6C3</t>
        </is>
      </c>
      <c r="B629" s="8">
        <f>Priv!E313</f>
        <v/>
      </c>
      <c r="C629" s="9" t="inlineStr">
        <is>
          <t>8,2</t>
        </is>
      </c>
    </row>
    <row r="630">
      <c r="A630" s="8" t="inlineStr">
        <is>
          <t>Q30R6C4</t>
        </is>
      </c>
      <c r="B630" s="8">
        <f>Priv!F313</f>
        <v/>
      </c>
      <c r="C630" s="9" t="inlineStr">
        <is>
          <t>8,2</t>
        </is>
      </c>
    </row>
    <row r="631">
      <c r="A631" s="8" t="inlineStr">
        <is>
          <t>Q30R6C5</t>
        </is>
      </c>
      <c r="B631" s="8">
        <f>Priv!G313</f>
        <v/>
      </c>
      <c r="C631" s="9" t="inlineStr">
        <is>
          <t>8,2</t>
        </is>
      </c>
    </row>
    <row r="632">
      <c r="A632" s="8" t="inlineStr">
        <is>
          <t>Q30R6C6</t>
        </is>
      </c>
      <c r="B632" s="8">
        <f>Priv!H313</f>
        <v/>
      </c>
      <c r="C632" s="9" t="inlineStr">
        <is>
          <t>8,2</t>
        </is>
      </c>
    </row>
    <row r="633">
      <c r="A633" s="8" t="inlineStr">
        <is>
          <t>Q30R6C7</t>
        </is>
      </c>
      <c r="B633" s="8">
        <f>Priv!I313</f>
        <v/>
      </c>
      <c r="C633" s="9" t="inlineStr">
        <is>
          <t>8,2</t>
        </is>
      </c>
    </row>
    <row r="634">
      <c r="A634" s="8" t="inlineStr">
        <is>
          <t>Q30R6C8</t>
        </is>
      </c>
      <c r="B634" s="8">
        <f>Priv!J313</f>
        <v/>
      </c>
      <c r="C634" s="9" t="inlineStr">
        <is>
          <t>8,2</t>
        </is>
      </c>
    </row>
    <row r="635">
      <c r="A635" s="8" t="inlineStr">
        <is>
          <t>Q30R6C9</t>
        </is>
      </c>
      <c r="B635" s="8">
        <f>Priv!K313</f>
        <v/>
      </c>
      <c r="C635" s="9" t="inlineStr">
        <is>
          <t>8,2</t>
        </is>
      </c>
    </row>
    <row r="636">
      <c r="A636" s="8" t="inlineStr">
        <is>
          <t>Q30R6C10</t>
        </is>
      </c>
      <c r="B636" s="8">
        <f>Priv!L313</f>
        <v/>
      </c>
      <c r="C636" s="9" t="inlineStr">
        <is>
          <t>8,2</t>
        </is>
      </c>
    </row>
    <row r="637">
      <c r="A637" s="8" t="inlineStr">
        <is>
          <t>Q30R7C1</t>
        </is>
      </c>
      <c r="B637" s="8">
        <f>Priv!C314</f>
        <v/>
      </c>
      <c r="C637" s="9" t="inlineStr">
        <is>
          <t>8,2</t>
        </is>
      </c>
    </row>
    <row r="638">
      <c r="A638" s="8" t="inlineStr">
        <is>
          <t>Q30R7C2</t>
        </is>
      </c>
      <c r="B638" s="8">
        <f>Priv!D314</f>
        <v/>
      </c>
      <c r="C638" s="9" t="inlineStr">
        <is>
          <t>8,2</t>
        </is>
      </c>
    </row>
    <row r="639">
      <c r="A639" s="8" t="inlineStr">
        <is>
          <t>Q30R7C3</t>
        </is>
      </c>
      <c r="B639" s="8">
        <f>Priv!E314</f>
        <v/>
      </c>
      <c r="C639" s="9" t="inlineStr">
        <is>
          <t>8,2</t>
        </is>
      </c>
    </row>
    <row r="640">
      <c r="A640" s="8" t="inlineStr">
        <is>
          <t>Q30R7C4</t>
        </is>
      </c>
      <c r="B640" s="8">
        <f>Priv!F314</f>
        <v/>
      </c>
      <c r="C640" s="9" t="inlineStr">
        <is>
          <t>8,2</t>
        </is>
      </c>
    </row>
    <row r="641">
      <c r="A641" s="8" t="inlineStr">
        <is>
          <t>Q30R7C5</t>
        </is>
      </c>
      <c r="B641" s="8">
        <f>Priv!G314</f>
        <v/>
      </c>
      <c r="C641" s="9" t="inlineStr">
        <is>
          <t>8,2</t>
        </is>
      </c>
    </row>
    <row r="642">
      <c r="A642" s="8" t="inlineStr">
        <is>
          <t>Q30R7C6</t>
        </is>
      </c>
      <c r="B642" s="8">
        <f>Priv!H314</f>
        <v/>
      </c>
      <c r="C642" s="9" t="inlineStr">
        <is>
          <t>8,2</t>
        </is>
      </c>
    </row>
    <row r="643">
      <c r="A643" s="8" t="inlineStr">
        <is>
          <t>Q30R7C7</t>
        </is>
      </c>
      <c r="B643" s="8">
        <f>Priv!I314</f>
        <v/>
      </c>
      <c r="C643" s="9" t="inlineStr">
        <is>
          <t>8,2</t>
        </is>
      </c>
    </row>
    <row r="644">
      <c r="A644" s="8" t="inlineStr">
        <is>
          <t>Q30R7C8</t>
        </is>
      </c>
      <c r="B644" s="8">
        <f>Priv!J314</f>
        <v/>
      </c>
      <c r="C644" s="9" t="inlineStr">
        <is>
          <t>8,2</t>
        </is>
      </c>
    </row>
    <row r="645">
      <c r="A645" s="8" t="inlineStr">
        <is>
          <t>Q30R7C9</t>
        </is>
      </c>
      <c r="B645" s="8">
        <f>Priv!K314</f>
        <v/>
      </c>
      <c r="C645" s="9" t="inlineStr">
        <is>
          <t>8,2</t>
        </is>
      </c>
    </row>
    <row r="646">
      <c r="A646" s="8" t="inlineStr">
        <is>
          <t>Q30R7C10</t>
        </is>
      </c>
      <c r="B646" s="8">
        <f>Priv!L314</f>
        <v/>
      </c>
      <c r="C646" s="9" t="inlineStr">
        <is>
          <t>8,2</t>
        </is>
      </c>
    </row>
    <row r="647">
      <c r="A647" s="8" t="inlineStr">
        <is>
          <t>Q31R1C1</t>
        </is>
      </c>
      <c r="B647" s="8">
        <f>Priv!A320</f>
        <v/>
      </c>
      <c r="C647" s="9" t="n">
        <v>9</v>
      </c>
    </row>
    <row r="648">
      <c r="A648" s="8" t="inlineStr">
        <is>
          <t>Q31R1C2</t>
        </is>
      </c>
      <c r="B648" s="8">
        <f>Priv!C320</f>
        <v/>
      </c>
      <c r="C648" s="9" t="n">
        <v>9</v>
      </c>
    </row>
    <row r="649">
      <c r="A649" s="8" t="inlineStr">
        <is>
          <t>Q31R1C3</t>
        </is>
      </c>
      <c r="B649" s="8">
        <f>Priv!E320</f>
        <v/>
      </c>
      <c r="C649" s="9" t="n">
        <v>9</v>
      </c>
    </row>
    <row r="650">
      <c r="A650" s="8" t="inlineStr">
        <is>
          <t>Q31R1C4</t>
        </is>
      </c>
      <c r="B650" s="8">
        <f>Priv!G320</f>
        <v/>
      </c>
      <c r="C650" s="9" t="n">
        <v>9</v>
      </c>
    </row>
    <row r="651">
      <c r="A651" s="8" t="inlineStr">
        <is>
          <t>Q32R1C1</t>
        </is>
      </c>
      <c r="B651" s="8">
        <f>Priv!F325</f>
        <v/>
      </c>
      <c r="C651" s="9" t="inlineStr">
        <is>
          <t>10,1</t>
        </is>
      </c>
    </row>
    <row r="652">
      <c r="A652" s="5" t="inlineStr">
        <is>
          <t>Q32R2C1</t>
        </is>
      </c>
      <c r="B652" s="5">
        <f>Priv!F326</f>
        <v/>
      </c>
      <c r="C652" s="7" t="inlineStr">
        <is>
          <t>10,1</t>
        </is>
      </c>
    </row>
    <row r="653">
      <c r="A653" s="5" t="inlineStr">
        <is>
          <t>Q33R1C1</t>
        </is>
      </c>
      <c r="B653" s="5">
        <f>Priv!F330</f>
        <v/>
      </c>
      <c r="C653" s="7" t="inlineStr">
        <is>
          <t>10,2</t>
        </is>
      </c>
    </row>
    <row r="654">
      <c r="A654" s="5" t="inlineStr">
        <is>
          <t>Q33R1C2</t>
        </is>
      </c>
      <c r="B654" s="5">
        <f>Priv!G330</f>
        <v/>
      </c>
      <c r="C654" s="7" t="inlineStr">
        <is>
          <t>10,2</t>
        </is>
      </c>
    </row>
    <row r="655">
      <c r="A655" s="5" t="inlineStr">
        <is>
          <t>Q33R1C3</t>
        </is>
      </c>
      <c r="B655" s="5">
        <f>Priv!H330</f>
        <v/>
      </c>
      <c r="C655" s="7" t="inlineStr">
        <is>
          <t>10,2</t>
        </is>
      </c>
    </row>
    <row r="656">
      <c r="A656" s="5" t="inlineStr">
        <is>
          <t>Q33R1C4</t>
        </is>
      </c>
      <c r="B656" s="5">
        <f>Priv!J330</f>
        <v/>
      </c>
      <c r="C656" s="7" t="inlineStr">
        <is>
          <t>10,2</t>
        </is>
      </c>
    </row>
    <row r="657">
      <c r="A657" s="5" t="inlineStr">
        <is>
          <t>Q33R2C1</t>
        </is>
      </c>
      <c r="B657" s="5">
        <f>Priv!F331</f>
        <v/>
      </c>
      <c r="C657" s="7" t="inlineStr">
        <is>
          <t>10,2</t>
        </is>
      </c>
    </row>
    <row r="658">
      <c r="A658" s="5" t="inlineStr">
        <is>
          <t>Q33R2C2</t>
        </is>
      </c>
      <c r="B658" s="5">
        <f>Priv!G331</f>
        <v/>
      </c>
      <c r="C658" s="7" t="inlineStr">
        <is>
          <t>10,2</t>
        </is>
      </c>
    </row>
    <row r="659">
      <c r="A659" s="5" t="inlineStr">
        <is>
          <t>Q33R2C3</t>
        </is>
      </c>
      <c r="B659" s="5">
        <f>Priv!H331</f>
        <v/>
      </c>
      <c r="C659" s="7" t="inlineStr">
        <is>
          <t>10,2</t>
        </is>
      </c>
    </row>
    <row r="660">
      <c r="A660" s="5" t="inlineStr">
        <is>
          <t>Q33R2C4</t>
        </is>
      </c>
      <c r="B660" s="5">
        <f>Priv!J331</f>
        <v/>
      </c>
      <c r="C660" s="7" t="inlineStr">
        <is>
          <t>10,2</t>
        </is>
      </c>
    </row>
    <row r="661">
      <c r="A661" s="8" t="inlineStr">
        <is>
          <t>Q34R1C1</t>
        </is>
      </c>
      <c r="B661" s="8">
        <f>Priv!J337</f>
        <v/>
      </c>
      <c r="C661" s="9" t="inlineStr">
        <is>
          <t>11,1</t>
        </is>
      </c>
    </row>
    <row r="662">
      <c r="A662" s="8" t="inlineStr">
        <is>
          <t>Q34R2C1</t>
        </is>
      </c>
      <c r="B662" s="8">
        <f>Priv!J338</f>
        <v/>
      </c>
      <c r="C662" s="9" t="inlineStr">
        <is>
          <t>11,1</t>
        </is>
      </c>
    </row>
    <row r="663">
      <c r="A663" s="5" t="inlineStr">
        <is>
          <t>Q35R1C1</t>
        </is>
      </c>
      <c r="B663" s="5">
        <f>Priv!J341</f>
        <v/>
      </c>
      <c r="C663" s="7" t="inlineStr">
        <is>
          <t>11,2</t>
        </is>
      </c>
    </row>
    <row r="664">
      <c r="A664" s="8" t="inlineStr">
        <is>
          <t>Q36R1C1</t>
        </is>
      </c>
      <c r="B664" s="8">
        <f>Priv!I348</f>
        <v/>
      </c>
      <c r="C664" s="9" t="inlineStr">
        <is>
          <t>12,1</t>
        </is>
      </c>
    </row>
    <row r="665">
      <c r="A665" s="8" t="inlineStr">
        <is>
          <t>Q36R2C1</t>
        </is>
      </c>
      <c r="B665" s="8">
        <f>Priv!I349</f>
        <v/>
      </c>
      <c r="C665" s="9" t="inlineStr">
        <is>
          <t>12,1</t>
        </is>
      </c>
    </row>
    <row r="666">
      <c r="A666" s="8" t="inlineStr">
        <is>
          <t>Q36R3C1</t>
        </is>
      </c>
      <c r="B666" s="8">
        <f>Priv!I350</f>
        <v/>
      </c>
      <c r="C666" s="9" t="inlineStr">
        <is>
          <t>12,1</t>
        </is>
      </c>
    </row>
    <row r="667">
      <c r="A667" s="8" t="inlineStr">
        <is>
          <t>Q36R4C1</t>
        </is>
      </c>
      <c r="B667" s="8">
        <f>Priv!F351</f>
        <v/>
      </c>
      <c r="C667" s="9" t="inlineStr">
        <is>
          <t>12,1</t>
        </is>
      </c>
    </row>
    <row r="668">
      <c r="A668" s="8" t="inlineStr">
        <is>
          <t>Q36R5C1</t>
        </is>
      </c>
      <c r="B668" s="8">
        <f>Priv!F352</f>
        <v/>
      </c>
      <c r="C668" s="9" t="inlineStr">
        <is>
          <t>12,1</t>
        </is>
      </c>
    </row>
    <row r="669">
      <c r="A669" s="5" t="inlineStr">
        <is>
          <t>Q37R1C1</t>
        </is>
      </c>
      <c r="B669" s="5">
        <f>Priv!F357</f>
        <v/>
      </c>
      <c r="C669" s="7" t="inlineStr">
        <is>
          <t>12,2</t>
        </is>
      </c>
    </row>
    <row r="670">
      <c r="A670" s="5" t="inlineStr">
        <is>
          <t>Q37R2C1</t>
        </is>
      </c>
      <c r="B670" s="5">
        <f>Priv!F358</f>
        <v/>
      </c>
      <c r="C670" s="7" t="inlineStr">
        <is>
          <t>12,2</t>
        </is>
      </c>
    </row>
    <row r="671">
      <c r="A671" s="5" t="inlineStr">
        <is>
          <t>Q37R3C1</t>
        </is>
      </c>
      <c r="B671" s="5">
        <f>Priv!F359</f>
        <v/>
      </c>
      <c r="C671" s="7" t="inlineStr">
        <is>
          <t>12,2</t>
        </is>
      </c>
    </row>
    <row r="672">
      <c r="A672" s="5" t="inlineStr">
        <is>
          <t>Q37R4C1</t>
        </is>
      </c>
      <c r="B672" s="5">
        <f>Priv!F360</f>
        <v/>
      </c>
      <c r="C672" s="7" t="inlineStr">
        <is>
          <t>12,2</t>
        </is>
      </c>
    </row>
    <row r="673">
      <c r="A673" s="5" t="inlineStr">
        <is>
          <t>Q37R5C1</t>
        </is>
      </c>
      <c r="B673" s="5">
        <f>Priv!F361</f>
        <v/>
      </c>
      <c r="C673" s="7" t="inlineStr">
        <is>
          <t>12,2</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Denault, Ronald</dc:creator>
  <dcterms:created xmlns:dcterms="http://purl.org/dc/terms/" xmlns:xsi="http://www.w3.org/2001/XMLSchema-instance" xsi:type="dcterms:W3CDTF">2019-02-13T15:18:41Z</dcterms:created>
  <dcterms:modified xmlns:dcterms="http://purl.org/dc/terms/" xmlns:xsi="http://www.w3.org/2001/XMLSchema-instance" xsi:type="dcterms:W3CDTF">2026-01-02T13:46:51+00:00Z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90f4d19b-4b24-4e66-8199-a01f9cd2d955</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dd4203d7-225b-41a9-8c54-a31e0ceca5df_Enabled" fmtid="{D5CDD505-2E9C-101B-9397-08002B2CF9AE}" pid="6">
    <vt:lpwstr xmlns:vt="http://schemas.openxmlformats.org/officeDocument/2006/docPropsVTypes">True</vt:lpwstr>
  </property>
  <property name="MSIP_Label_dd4203d7-225b-41a9-8c54-a31e0ceca5df_SiteId" fmtid="{D5CDD505-2E9C-101B-9397-08002B2CF9AE}" pid="7">
    <vt:lpwstr xmlns:vt="http://schemas.openxmlformats.org/officeDocument/2006/docPropsVTypes">6397df10-4595-4047-9c4f-03311282152b</vt:lpwstr>
  </property>
  <property name="MSIP_Label_dd4203d7-225b-41a9-8c54-a31e0ceca5df_Owner" fmtid="{D5CDD505-2E9C-101B-9397-08002B2CF9AE}" pid="8">
    <vt:lpwstr xmlns:vt="http://schemas.openxmlformats.org/officeDocument/2006/docPropsVTypes">BDUNDAS@tbs-sct.gc.ca</vt:lpwstr>
  </property>
  <property name="MSIP_Label_dd4203d7-225b-41a9-8c54-a31e0ceca5df_SetDate" fmtid="{D5CDD505-2E9C-101B-9397-08002B2CF9AE}" pid="9">
    <vt:lpwstr xmlns:vt="http://schemas.openxmlformats.org/officeDocument/2006/docPropsVTypes">2021-01-29T12:40:58.7195499Z</vt:lpwstr>
  </property>
  <property name="MSIP_Label_dd4203d7-225b-41a9-8c54-a31e0ceca5df_Name" fmtid="{D5CDD505-2E9C-101B-9397-08002B2CF9AE}" pid="10">
    <vt:lpwstr xmlns:vt="http://schemas.openxmlformats.org/officeDocument/2006/docPropsVTypes">NO MARKING VISIBLE</vt:lpwstr>
  </property>
  <property name="MSIP_Label_dd4203d7-225b-41a9-8c54-a31e0ceca5df_Application" fmtid="{D5CDD505-2E9C-101B-9397-08002B2CF9AE}" pid="11">
    <vt:lpwstr xmlns:vt="http://schemas.openxmlformats.org/officeDocument/2006/docPropsVTypes">Microsoft Azure Information Protection</vt:lpwstr>
  </property>
  <property name="MSIP_Label_dd4203d7-225b-41a9-8c54-a31e0ceca5df_ActionId" fmtid="{D5CDD505-2E9C-101B-9397-08002B2CF9AE}" pid="12">
    <vt:lpwstr xmlns:vt="http://schemas.openxmlformats.org/officeDocument/2006/docPropsVTypes">a5b9da52-3f63-49e7-8cb3-3c98aa9e02c5</vt:lpwstr>
  </property>
  <property name="MSIP_Label_dd4203d7-225b-41a9-8c54-a31e0ceca5df_Extended_MSFT_Method" fmtid="{D5CDD505-2E9C-101B-9397-08002B2CF9AE}" pid="13">
    <vt:lpwstr xmlns:vt="http://schemas.openxmlformats.org/officeDocument/2006/docPropsVTypes">Automatic</vt:lpwstr>
  </property>
  <property name="MSIP_Label_3515d617-256d-4284-aedb-1064be1c4b48_Enabled" fmtid="{D5CDD505-2E9C-101B-9397-08002B2CF9AE}" pid="14">
    <vt:lpwstr xmlns:vt="http://schemas.openxmlformats.org/officeDocument/2006/docPropsVTypes">true</vt:lpwstr>
  </property>
  <property name="MSIP_Label_3515d617-256d-4284-aedb-1064be1c4b48_SetDate" fmtid="{D5CDD505-2E9C-101B-9397-08002B2CF9AE}" pid="15">
    <vt:lpwstr xmlns:vt="http://schemas.openxmlformats.org/officeDocument/2006/docPropsVTypes">2022-04-08T01:01:47Z</vt:lpwstr>
  </property>
  <property name="MSIP_Label_3515d617-256d-4284-aedb-1064be1c4b48_Method" fmtid="{D5CDD505-2E9C-101B-9397-08002B2CF9AE}" pid="16">
    <vt:lpwstr xmlns:vt="http://schemas.openxmlformats.org/officeDocument/2006/docPropsVTypes">Standard</vt:lpwstr>
  </property>
  <property name="MSIP_Label_3515d617-256d-4284-aedb-1064be1c4b48_Name" fmtid="{D5CDD505-2E9C-101B-9397-08002B2CF9AE}" pid="17">
    <vt:lpwstr xmlns:vt="http://schemas.openxmlformats.org/officeDocument/2006/docPropsVTypes">3515d617-256d-4284-aedb-1064be1c4b48</vt:lpwstr>
  </property>
  <property name="MSIP_Label_3515d617-256d-4284-aedb-1064be1c4b48_SiteId" fmtid="{D5CDD505-2E9C-101B-9397-08002B2CF9AE}" pid="18">
    <vt:lpwstr xmlns:vt="http://schemas.openxmlformats.org/officeDocument/2006/docPropsVTypes">6397df10-4595-4047-9c4f-03311282152b</vt:lpwstr>
  </property>
  <property name="MSIP_Label_3515d617-256d-4284-aedb-1064be1c4b48_ActionId" fmtid="{D5CDD505-2E9C-101B-9397-08002B2CF9AE}" pid="19">
    <vt:lpwstr xmlns:vt="http://schemas.openxmlformats.org/officeDocument/2006/docPropsVTypes">a5b9da52-3f63-49e7-8cb3-3c98aa9e02c5</vt:lpwstr>
  </property>
  <property name="MSIP_Label_3515d617-256d-4284-aedb-1064be1c4b48_ContentBits" fmtid="{D5CDD505-2E9C-101B-9397-08002B2CF9AE}" pid="20">
    <vt:lpwstr xmlns:vt="http://schemas.openxmlformats.org/officeDocument/2006/docPropsVTypes">0</vt:lpwstr>
  </property>
  <property name="ContentTypeId" fmtid="{D5CDD505-2E9C-101B-9397-08002B2CF9AE}" pid="21">
    <vt:lpwstr xmlns:vt="http://schemas.openxmlformats.org/officeDocument/2006/docPropsVTypes">0x0101005C2A7348FF32FD4983FEBC65875BD8E7</vt:lpwstr>
  </property>
  <property name="TaxKeyword" fmtid="{D5CDD505-2E9C-101B-9397-08002B2CF9AE}" pid="22">
    <vt:lpwstr xmlns:vt="http://schemas.openxmlformats.org/officeDocument/2006/docPropsVTypes"/>
  </property>
  <property name="_dlc_DocIdItemGuid" fmtid="{D5CDD505-2E9C-101B-9397-08002B2CF9AE}" pid="23">
    <vt:lpwstr xmlns:vt="http://schemas.openxmlformats.org/officeDocument/2006/docPropsVTypes">3064fb5e-4226-46d8-9219-24942c790ff2</vt:lpwstr>
  </property>
  <property name="MediaServiceImageTags" fmtid="{D5CDD505-2E9C-101B-9397-08002B2CF9AE}" pid="24">
    <vt:lpwstr xmlns:vt="http://schemas.openxmlformats.org/officeDocument/2006/docPropsVTypes"/>
  </property>
  <property name="xd_ProgID" fmtid="{D5CDD505-2E9C-101B-9397-08002B2CF9AE}" pid="25">
    <vt:lpwstr xmlns:vt="http://schemas.openxmlformats.org/officeDocument/2006/docPropsVTypes"/>
  </property>
  <property name="Approved" fmtid="{D5CDD505-2E9C-101B-9397-08002B2CF9AE}" pid="26">
    <vt:bool xmlns:vt="http://schemas.openxmlformats.org/officeDocument/2006/docPropsVTypes">0</vt:bool>
  </property>
  <property name="ComplianceAssetId" fmtid="{D5CDD505-2E9C-101B-9397-08002B2CF9AE}" pid="27">
    <vt:lpwstr xmlns:vt="http://schemas.openxmlformats.org/officeDocument/2006/docPropsVTypes"/>
  </property>
  <property name="TemplateUrl" fmtid="{D5CDD505-2E9C-101B-9397-08002B2CF9AE}" pid="28">
    <vt:lpwstr xmlns:vt="http://schemas.openxmlformats.org/officeDocument/2006/docPropsVTypes"/>
  </property>
  <property name="_ExtendedDescription" fmtid="{D5CDD505-2E9C-101B-9397-08002B2CF9AE}" pid="29">
    <vt:lpwstr xmlns:vt="http://schemas.openxmlformats.org/officeDocument/2006/docPropsVTypes"/>
  </property>
  <property name="xd_Signature" fmtid="{D5CDD505-2E9C-101B-9397-08002B2CF9AE}" pid="30">
    <vt:bool xmlns:vt="http://schemas.openxmlformats.org/officeDocument/2006/docPropsVTypes">0</vt:bool>
  </property>
  <property name="TriggerFlowInfo" fmtid="{D5CDD505-2E9C-101B-9397-08002B2CF9AE}" pid="31">
    <vt:lpwstr xmlns:vt="http://schemas.openxmlformats.org/officeDocument/2006/docPropsVTypes"/>
  </property>
  <property name="XREF" fmtid="{D5CDD505-2E9C-101B-9397-08002B2CF9AE}" pid="32">
    <vt:lpwstr xmlns:vt="http://schemas.openxmlformats.org/officeDocument/2006/docPropsVTypes" xml:space="preserve">, </vt:lpwstr>
  </property>
</Properties>
</file>