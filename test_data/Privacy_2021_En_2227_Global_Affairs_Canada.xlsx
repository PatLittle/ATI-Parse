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Global Affairs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44287</v>
      </c>
      <c r="I8" s="1331" t="n"/>
      <c r="J8" s="1331" t="n"/>
      <c r="K8" s="1043" t="inlineStr">
        <is>
          <t>to</t>
        </is>
      </c>
      <c r="L8" s="1329" t="n">
        <v>44651</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109</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47</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26</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110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32</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40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72</v>
      </c>
      <c r="H28" s="1339" t="n"/>
      <c r="I28" s="1339" t="n"/>
      <c r="J28" s="1340" t="n"/>
      <c r="K28" s="73" t="n"/>
    </row>
    <row r="29">
      <c r="A29" s="677" t="inlineStr">
        <is>
          <t>E-mail</t>
        </is>
      </c>
      <c r="B29" s="1342" t="n"/>
      <c r="C29" s="1342" t="n"/>
      <c r="D29" s="1342" t="n"/>
      <c r="E29" s="1342" t="n"/>
      <c r="F29" s="1342" t="n"/>
      <c r="G29" s="1481" t="n">
        <v>29</v>
      </c>
      <c r="H29" s="1362" t="n"/>
      <c r="I29" s="1362" t="n"/>
      <c r="J29" s="1368" t="n"/>
      <c r="K29" s="73" t="n"/>
    </row>
    <row r="30">
      <c r="A30" s="677" t="inlineStr">
        <is>
          <t>Mail</t>
        </is>
      </c>
      <c r="B30" s="1342" t="n"/>
      <c r="C30" s="1342" t="n"/>
      <c r="D30" s="1342" t="n"/>
      <c r="E30" s="1342" t="n"/>
      <c r="F30" s="1342" t="n"/>
      <c r="G30" s="1481" t="n">
        <v>8</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v>
      </c>
      <c r="E80" s="173" t="n">
        <v>6</v>
      </c>
      <c r="F80" s="173" t="n">
        <v>2</v>
      </c>
      <c r="G80" s="173" t="n">
        <v>1</v>
      </c>
      <c r="H80" s="173" t="n">
        <v>1</v>
      </c>
      <c r="I80" s="173" t="n">
        <v>0</v>
      </c>
      <c r="J80" s="174" t="n">
        <v>2</v>
      </c>
      <c r="K80" s="742">
        <f>SUM(D80:J80)</f>
        <v/>
      </c>
      <c r="N80" s="49" t="n"/>
    </row>
    <row r="81">
      <c r="A81" s="983" t="inlineStr">
        <is>
          <t>Disclosed in part</t>
        </is>
      </c>
      <c r="B81" s="1342" t="n"/>
      <c r="C81" s="1390" t="n"/>
      <c r="D81" s="175" t="n">
        <v>13</v>
      </c>
      <c r="E81" s="171" t="n">
        <v>0</v>
      </c>
      <c r="F81" s="171" t="n">
        <v>1</v>
      </c>
      <c r="G81" s="178" t="n">
        <v>1</v>
      </c>
      <c r="H81" s="178" t="n">
        <v>9</v>
      </c>
      <c r="I81" s="178" t="n">
        <v>2</v>
      </c>
      <c r="J81" s="180" t="n">
        <v>15</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13</v>
      </c>
      <c r="E82" s="177" t="n">
        <v>41</v>
      </c>
      <c r="F82" s="177" t="n">
        <v>0</v>
      </c>
      <c r="G82" s="178" t="n">
        <v>1</v>
      </c>
      <c r="H82" s="171" t="n">
        <v>0</v>
      </c>
      <c r="I82" s="178" t="n">
        <v>0</v>
      </c>
      <c r="J82" s="180" t="n">
        <v>1</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2</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4</v>
      </c>
      <c r="I84" s="171" t="n">
        <v>3</v>
      </c>
      <c r="J84" s="181" t="n">
        <v>3</v>
      </c>
      <c r="K84" s="283">
        <f>SUM(D84:J84)</f>
        <v/>
      </c>
      <c r="N84" s="49" t="n"/>
    </row>
    <row r="85">
      <c r="A85" s="983" t="inlineStr">
        <is>
          <t>Request abandoned</t>
        </is>
      </c>
      <c r="B85" s="1342" t="n"/>
      <c r="C85" s="1390" t="n"/>
      <c r="D85" s="175" t="n">
        <v>5</v>
      </c>
      <c r="E85" s="178" t="n">
        <v>1</v>
      </c>
      <c r="F85" s="177" t="n">
        <v>0</v>
      </c>
      <c r="G85" s="178" t="n">
        <v>0</v>
      </c>
      <c r="H85" s="171" t="n">
        <v>16</v>
      </c>
      <c r="I85" s="177" t="n">
        <v>14</v>
      </c>
      <c r="J85" s="182" t="n">
        <v>9</v>
      </c>
      <c r="K85" s="283">
        <f>SUM(D85:J85)</f>
        <v/>
      </c>
    </row>
    <row r="86" ht="15" customHeight="1" thickBot="1">
      <c r="A86" s="1256" t="inlineStr">
        <is>
          <t>Neither confirmed nor denied</t>
        </is>
      </c>
      <c r="B86" s="1348" t="n"/>
      <c r="C86" s="1384" t="n"/>
      <c r="D86" s="176" t="n">
        <v>8</v>
      </c>
      <c r="E86" s="1" t="n">
        <v>1</v>
      </c>
      <c r="F86" s="1" t="n">
        <v>0</v>
      </c>
      <c r="G86" s="1" t="n">
        <v>3</v>
      </c>
      <c r="H86" s="177" t="n">
        <v>3</v>
      </c>
      <c r="I86" s="1" t="n">
        <v>38</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1</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2</v>
      </c>
      <c r="D94" s="1418" t="n"/>
      <c r="E94" s="1245" t="inlineStr">
        <is>
          <t>22(1)(a)(ii)</t>
        </is>
      </c>
      <c r="F94" s="1390" t="n"/>
      <c r="G94" s="477" t="n">
        <v>1</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1</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40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5</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1</v>
      </c>
      <c r="L100" s="1418" t="n"/>
      <c r="M100" s="49" t="n"/>
      <c r="O100" s="49" t="n"/>
      <c r="P100" s="49" t="n"/>
      <c r="Q100" s="49" t="n"/>
      <c r="R100" s="49" t="n"/>
      <c r="S100" s="49" t="n"/>
      <c r="T100" s="49" t="n"/>
    </row>
    <row r="101" ht="15" customFormat="1" customHeight="1" s="66" thickBot="1">
      <c r="A101" s="1232" t="n">
        <v>21</v>
      </c>
      <c r="B101" s="1384" t="n"/>
      <c r="C101" s="548" t="n">
        <v>7</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7</v>
      </c>
      <c r="B116" s="1400" t="n"/>
      <c r="C116" s="1229" t="n">
        <v>47</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11338</v>
      </c>
      <c r="B123" s="1460" t="n"/>
      <c r="C123" s="1465" t="n"/>
      <c r="D123" s="278" t="n">
        <v>10534</v>
      </c>
      <c r="E123" s="1402" t="n"/>
      <c r="F123" s="1401" t="n"/>
      <c r="G123" s="1220" t="n">
        <v>94</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11</v>
      </c>
      <c r="D130" s="1237" t="n">
        <v>175</v>
      </c>
      <c r="E130" s="990" t="n">
        <v>2</v>
      </c>
      <c r="F130" s="594" t="n">
        <v>539</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17</v>
      </c>
      <c r="D131" s="1246" t="n">
        <v>968</v>
      </c>
      <c r="E131" s="990" t="n">
        <v>18</v>
      </c>
      <c r="F131" s="430" t="n">
        <v>3273</v>
      </c>
      <c r="G131" s="483" t="n">
        <v>4</v>
      </c>
      <c r="H131" s="1246" t="n">
        <v>2446</v>
      </c>
      <c r="I131" s="990" t="n">
        <v>2</v>
      </c>
      <c r="J131" s="430" t="n">
        <v>3921</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2</v>
      </c>
      <c r="D132" s="1246" t="n">
        <v>16</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38</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6</v>
      </c>
      <c r="F176" s="1418" t="n"/>
      <c r="G176" s="477" t="n">
        <v>0</v>
      </c>
      <c r="H176" s="1418" t="n"/>
      <c r="I176" s="477" t="n">
        <v>1</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1</v>
      </c>
      <c r="D177" s="1418" t="n"/>
      <c r="E177" s="477" t="n">
        <v>8</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19</v>
      </c>
      <c r="F198" s="1401" t="n"/>
      <c r="G198" s="1493" t="n">
        <v>1</v>
      </c>
      <c r="H198" s="1401" t="n"/>
      <c r="I198" s="1493" t="n">
        <v>1</v>
      </c>
      <c r="J198" s="1401" t="n"/>
      <c r="K198" s="1494" t="n">
        <v>39</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6</v>
      </c>
      <c r="E203" s="1330" t="n"/>
      <c r="F203" s="1421" t="n"/>
      <c r="G203" s="1255" t="n">
        <v>1</v>
      </c>
      <c r="H203" s="1339" t="n"/>
      <c r="I203" s="1340" t="n"/>
      <c r="J203" s="271">
        <f>SUM(D203:I203)</f>
        <v/>
      </c>
      <c r="K203" s="1336" t="n"/>
      <c r="L203" s="1337" t="n"/>
      <c r="M203" s="88" t="n"/>
      <c r="N203" s="49" t="n"/>
    </row>
    <row r="204" ht="15.75" customHeight="1">
      <c r="A204" s="1412" t="inlineStr">
        <is>
          <t>16 to 30 days</t>
        </is>
      </c>
      <c r="B204" s="1342" t="n"/>
      <c r="C204" s="1343" t="n"/>
      <c r="D204" s="431" t="n">
        <v>7</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5</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5</v>
      </c>
      <c r="E207" s="1362" t="n"/>
      <c r="F207" s="1418" t="n"/>
      <c r="G207" s="477" t="n">
        <v>9</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9</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6</v>
      </c>
      <c r="E209" s="1363" t="n"/>
      <c r="F209" s="1419" t="n"/>
      <c r="G209" s="548" t="n">
        <v>2</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1</v>
      </c>
      <c r="B223" s="1402" t="n"/>
      <c r="C223" s="1401" t="n"/>
      <c r="D223" s="1034" t="n">
        <v>115</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17</v>
      </c>
      <c r="F240" s="1465" t="n"/>
      <c r="G240" s="295" t="n">
        <v>0</v>
      </c>
      <c r="H240" s="1465" t="n"/>
      <c r="I240" s="295" t="n">
        <v>4</v>
      </c>
      <c r="J240" s="1465" t="n"/>
      <c r="K240" s="295" t="n">
        <v>7</v>
      </c>
      <c r="L240" s="1465" t="n"/>
      <c r="M240" s="1503" t="n">
        <v>0</v>
      </c>
      <c r="N240" s="1465" t="n"/>
      <c r="O240" s="295" t="n">
        <v>0</v>
      </c>
      <c r="P240" s="295" t="n">
        <v>2</v>
      </c>
      <c r="Q240" s="1465" t="n"/>
      <c r="R240" s="1180" t="n">
        <v>4</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4</v>
      </c>
      <c r="H249" s="1418" t="n"/>
      <c r="I249" s="20" t="n">
        <v>7</v>
      </c>
      <c r="J249" s="1449" t="n"/>
      <c r="K249" s="20" t="n">
        <v>0</v>
      </c>
      <c r="L249" s="1449" t="n"/>
      <c r="M249" s="20" t="n">
        <v>0</v>
      </c>
      <c r="N249" s="1449" t="n"/>
      <c r="O249" s="20" t="n">
        <v>2</v>
      </c>
      <c r="P249" s="20" t="n">
        <v>4</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1</v>
      </c>
      <c r="F258" s="1417" t="n"/>
      <c r="G258" s="550" t="n">
        <v>14</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6</v>
      </c>
      <c r="F259" s="1419" t="n"/>
      <c r="G259" s="617" t="n">
        <v>635</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6</v>
      </c>
      <c r="F261" s="1516" t="n"/>
      <c r="G261" s="1132" t="n">
        <v>616</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1</v>
      </c>
      <c r="F263" s="1518" t="n"/>
      <c r="G263" s="1116" t="n">
        <v>33</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1</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1</v>
      </c>
      <c r="J270" s="477" t="n">
        <v>2</v>
      </c>
      <c r="K270" s="430" t="n">
        <v>1</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1</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13</v>
      </c>
      <c r="B320" s="1465" t="n"/>
      <c r="C320" s="979" t="n">
        <v>3</v>
      </c>
      <c r="D320" s="1465" t="n"/>
      <c r="E320" s="979" t="n">
        <v>5</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17</v>
      </c>
      <c r="G330" s="303" t="n">
        <v>0</v>
      </c>
      <c r="H330" s="303" t="n">
        <v>0</v>
      </c>
      <c r="I330" s="1417" t="n"/>
      <c r="J330" s="1527" t="n">
        <v>0</v>
      </c>
      <c r="K330" s="1340" t="n"/>
    </row>
    <row r="331" ht="16.5" customHeight="1" thickBot="1">
      <c r="A331" s="931" t="inlineStr">
        <is>
          <t>Central</t>
        </is>
      </c>
      <c r="B331" s="1350" t="n"/>
      <c r="C331" s="1350" t="n"/>
      <c r="D331" s="1350" t="n"/>
      <c r="E331" s="1396" t="n"/>
      <c r="F331" s="307" t="n">
        <v>1</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1</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1</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3</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815367</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8344</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351689</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31988</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8.779</v>
      </c>
      <c r="G357" s="1339" t="n"/>
      <c r="H357" s="1340" t="n"/>
      <c r="N357" s="88" t="n"/>
    </row>
    <row r="358">
      <c r="A358" s="1412" t="inlineStr">
        <is>
          <t>Part-time and casual employees</t>
        </is>
      </c>
      <c r="B358" s="1342" t="n"/>
      <c r="C358" s="1342" t="n"/>
      <c r="D358" s="1342" t="n"/>
      <c r="E358" s="1343" t="n"/>
      <c r="F358" s="1476" t="n">
        <v>1.098</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1.572</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2026-01-02T13:46:17+00:00Z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