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Immigration, Refugees and Citizenship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44652</v>
      </c>
      <c r="E8" s="1331" t="n"/>
      <c r="F8" s="1331" t="n"/>
      <c r="G8" s="826" t="inlineStr">
        <is>
          <t>to</t>
        </is>
      </c>
      <c r="H8" s="1328" t="n">
        <v>45016</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184587</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48197</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1195</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161067</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12511</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60407</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374</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6874</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78332</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7046</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71465</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20496</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182848</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344</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1375</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3158</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642</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3744</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3158</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85</v>
      </c>
      <c r="B73" s="211" t="n">
        <v>200</v>
      </c>
      <c r="C73" s="211" t="n">
        <v>282</v>
      </c>
      <c r="D73" s="211" t="n">
        <v>1398</v>
      </c>
      <c r="E73" s="211" t="n">
        <v>850</v>
      </c>
      <c r="F73" s="211" t="n">
        <v>928</v>
      </c>
      <c r="G73" s="535" t="n">
        <v>1</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227</v>
      </c>
      <c r="F104" s="132" t="n">
        <v>9762</v>
      </c>
      <c r="G104" s="132" t="n">
        <v>17500</v>
      </c>
      <c r="H104" s="132" t="n">
        <v>21767</v>
      </c>
      <c r="I104" s="132" t="n">
        <v>4359</v>
      </c>
      <c r="J104" s="132" t="n">
        <v>2274</v>
      </c>
      <c r="K104" s="364" t="n">
        <v>1374</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57263</v>
      </c>
      <c r="F105" s="153" t="n">
        <v>317</v>
      </c>
      <c r="G105" s="153" t="n">
        <v>13798</v>
      </c>
      <c r="H105" s="153" t="n">
        <v>26864</v>
      </c>
      <c r="I105" s="153" t="n">
        <v>21723</v>
      </c>
      <c r="J105" s="153" t="n">
        <v>7420</v>
      </c>
      <c r="K105" s="676" t="n">
        <v>8220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11027</v>
      </c>
      <c r="F106" s="153" t="n">
        <v>89369</v>
      </c>
      <c r="G106" s="153" t="n">
        <v>1</v>
      </c>
      <c r="H106" s="153" t="n">
        <v>3</v>
      </c>
      <c r="I106" s="153" t="n">
        <v>3</v>
      </c>
      <c r="J106" s="153" t="n">
        <v>3</v>
      </c>
      <c r="K106" s="153" t="n">
        <v>1</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1</v>
      </c>
      <c r="G107" s="153" t="n">
        <v>12</v>
      </c>
      <c r="H107" s="153" t="n">
        <v>2</v>
      </c>
      <c r="I107" s="153" t="n">
        <v>0</v>
      </c>
      <c r="J107" s="153" t="n">
        <v>0</v>
      </c>
      <c r="K107" s="676" t="n">
        <v>2</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1</v>
      </c>
      <c r="G108" s="153" t="n">
        <v>0</v>
      </c>
      <c r="H108" s="153" t="n">
        <v>5</v>
      </c>
      <c r="I108" s="153" t="n">
        <v>59</v>
      </c>
      <c r="J108" s="153" t="n">
        <v>98</v>
      </c>
      <c r="K108" s="579" t="n">
        <v>139</v>
      </c>
      <c r="L108" s="229">
        <f>SUM(E108:K108)</f>
        <v/>
      </c>
      <c r="M108" s="366" t="n"/>
      <c r="AI108" s="30" t="n"/>
      <c r="AJ108" s="30" t="n"/>
      <c r="AK108" s="30" t="n"/>
    </row>
    <row r="109">
      <c r="A109" s="409" t="inlineStr">
        <is>
          <t>Request transferred</t>
        </is>
      </c>
      <c r="B109" s="1342" t="n"/>
      <c r="C109" s="1342" t="n"/>
      <c r="D109" s="1390" t="n"/>
      <c r="E109" s="153" t="n">
        <v>216</v>
      </c>
      <c r="F109" s="153" t="n">
        <v>83</v>
      </c>
      <c r="G109" s="153" t="n">
        <v>110</v>
      </c>
      <c r="H109" s="153" t="n">
        <v>50</v>
      </c>
      <c r="I109" s="153" t="n">
        <v>755</v>
      </c>
      <c r="J109" s="153" t="n">
        <v>16</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2</v>
      </c>
      <c r="J110" s="153" t="n">
        <v>12</v>
      </c>
      <c r="K110" s="579" t="n">
        <v>301</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2626</v>
      </c>
      <c r="F111" s="153" t="n">
        <v>1510</v>
      </c>
      <c r="G111" s="153" t="n">
        <v>2853</v>
      </c>
      <c r="H111" s="153" t="n">
        <v>902</v>
      </c>
      <c r="I111" s="153" t="n">
        <v>2367</v>
      </c>
      <c r="J111" s="153" t="n">
        <v>1338</v>
      </c>
      <c r="K111" s="579" t="n">
        <v>11897</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47</v>
      </c>
      <c r="F112" s="503" t="n">
        <v>0</v>
      </c>
      <c r="G112" s="503" t="n">
        <v>16</v>
      </c>
      <c r="H112" s="503" t="n">
        <v>410</v>
      </c>
      <c r="I112" s="503" t="n">
        <v>427</v>
      </c>
      <c r="J112" s="503" t="n">
        <v>812</v>
      </c>
      <c r="K112" s="503" t="n">
        <v>36</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2978</v>
      </c>
      <c r="D118" s="906" t="inlineStr">
        <is>
          <t>16(2)</t>
        </is>
      </c>
      <c r="E118" s="1383" t="n"/>
      <c r="F118" s="414" t="n">
        <v>423</v>
      </c>
      <c r="G118" s="488" t="inlineStr">
        <is>
          <t>18(a)</t>
        </is>
      </c>
      <c r="H118" s="1383" t="n"/>
      <c r="I118" s="170" t="n">
        <v>1</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55</v>
      </c>
      <c r="D119" s="886" t="inlineStr">
        <is>
          <t>16(2)(a)</t>
        </is>
      </c>
      <c r="E119" s="1390" t="n"/>
      <c r="F119" s="231" t="n">
        <v>0</v>
      </c>
      <c r="G119" s="886" t="inlineStr">
        <is>
          <t>18(b)</t>
        </is>
      </c>
      <c r="H119" s="1390" t="n"/>
      <c r="I119" s="641" t="n">
        <v>1</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73</v>
      </c>
      <c r="D120" s="886" t="inlineStr">
        <is>
          <t>16(2)(b)</t>
        </is>
      </c>
      <c r="E120" s="1390" t="n"/>
      <c r="F120" s="585" t="n">
        <v>1</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5</v>
      </c>
      <c r="D121" s="886" t="inlineStr">
        <is>
          <t>16(2)(c)</t>
        </is>
      </c>
      <c r="E121" s="1390" t="n"/>
      <c r="F121" s="585" t="n">
        <v>222</v>
      </c>
      <c r="G121" s="886" t="inlineStr">
        <is>
          <t>18(d)</t>
        </is>
      </c>
      <c r="H121" s="1390" t="n"/>
      <c r="I121" s="641" t="n">
        <v>1</v>
      </c>
      <c r="J121" s="886" t="inlineStr">
        <is>
          <t>21(1)(a)</t>
        </is>
      </c>
      <c r="K121" s="1390" t="n"/>
      <c r="L121" s="585" t="n">
        <v>292</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1</v>
      </c>
      <c r="D122" s="886" t="inlineStr">
        <is>
          <t>16(3)</t>
        </is>
      </c>
      <c r="E122" s="1390" t="n"/>
      <c r="F122" s="585" t="n">
        <v>0</v>
      </c>
      <c r="G122" s="886" t="inlineStr">
        <is>
          <t>18.1(1)(a)</t>
        </is>
      </c>
      <c r="H122" s="1390" t="n"/>
      <c r="I122" s="641" t="n">
        <v>0</v>
      </c>
      <c r="J122" s="886" t="inlineStr">
        <is>
          <t>21(1)(b)</t>
        </is>
      </c>
      <c r="K122" s="1390" t="n"/>
      <c r="L122" s="585" t="n">
        <v>381</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46</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123</v>
      </c>
      <c r="D124" s="886" t="inlineStr">
        <is>
          <t>16.1(1)(b)</t>
        </is>
      </c>
      <c r="E124" s="1390" t="n"/>
      <c r="F124" s="585" t="n">
        <v>2</v>
      </c>
      <c r="G124" s="886" t="inlineStr">
        <is>
          <t>18.1(1)(c)</t>
        </is>
      </c>
      <c r="H124" s="1390" t="n"/>
      <c r="I124" s="641" t="n">
        <v>0</v>
      </c>
      <c r="J124" s="886" t="inlineStr">
        <is>
          <t>21(1)(d)</t>
        </is>
      </c>
      <c r="K124" s="1390" t="n"/>
      <c r="L124" s="585" t="n">
        <v>63</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30</v>
      </c>
      <c r="D125" s="886" t="inlineStr">
        <is>
          <t>16.1(1)(c)</t>
        </is>
      </c>
      <c r="E125" s="1390" t="n"/>
      <c r="F125" s="585" t="n">
        <v>17</v>
      </c>
      <c r="G125" s="886" t="inlineStr">
        <is>
          <t>18.1(1)(d)</t>
        </is>
      </c>
      <c r="H125" s="1390" t="n"/>
      <c r="I125" s="641" t="n">
        <v>0</v>
      </c>
      <c r="J125" s="886" t="n">
        <v>22</v>
      </c>
      <c r="K125" s="1390" t="n"/>
      <c r="L125" s="585" t="n">
        <v>32</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25853</v>
      </c>
      <c r="D126" s="886" t="inlineStr">
        <is>
          <t>16.1(1)(d)</t>
        </is>
      </c>
      <c r="E126" s="1390" t="n"/>
      <c r="F126" s="585" t="n">
        <v>0</v>
      </c>
      <c r="G126" s="886" t="inlineStr">
        <is>
          <t>19(1)</t>
        </is>
      </c>
      <c r="H126" s="1390" t="n"/>
      <c r="I126" s="641" t="n">
        <v>58429</v>
      </c>
      <c r="J126" s="886" t="inlineStr">
        <is>
          <t>22.1(1)</t>
        </is>
      </c>
      <c r="K126" s="1390" t="n"/>
      <c r="L126" s="585" t="n">
        <v>3</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241</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79</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1</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1</v>
      </c>
      <c r="D130" s="886" t="inlineStr">
        <is>
          <t>16.4(1)(b)</t>
        </is>
      </c>
      <c r="E130" s="1390" t="n"/>
      <c r="F130" s="585" t="n">
        <v>0</v>
      </c>
      <c r="G130" s="886" t="inlineStr">
        <is>
          <t>20(1)(c)</t>
        </is>
      </c>
      <c r="H130" s="1390" t="n"/>
      <c r="I130" s="641" t="n">
        <v>248</v>
      </c>
      <c r="J130" s="1397" t="n">
        <v>26</v>
      </c>
      <c r="K130" s="1384" t="n"/>
      <c r="L130" s="529" t="n">
        <v>28</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7</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1</v>
      </c>
      <c r="D132" s="886" t="n">
        <v>16.6</v>
      </c>
      <c r="E132" s="1390" t="n"/>
      <c r="F132" s="585" t="n">
        <v>1</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273</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18173</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v>
      </c>
      <c r="D140" s="1340" t="n"/>
      <c r="E140" s="488" t="inlineStr">
        <is>
          <t>69(1)</t>
        </is>
      </c>
      <c r="F140" s="1383" t="n"/>
      <c r="G140" s="435" t="n">
        <v>1</v>
      </c>
      <c r="H140" s="1340" t="n"/>
      <c r="I140" s="488" t="inlineStr">
        <is>
          <t>69(1)(g) re (a)</t>
        </is>
      </c>
      <c r="J140" s="1383" t="n"/>
      <c r="K140" s="435" t="n">
        <v>24</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3</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1</v>
      </c>
      <c r="H142" s="1368" t="n"/>
      <c r="I142" s="886" t="inlineStr">
        <is>
          <t>69(1)(g) re (c)</t>
        </is>
      </c>
      <c r="J142" s="1390" t="n"/>
      <c r="K142" s="585" t="n">
        <v>4</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1</v>
      </c>
      <c r="H143" s="1368" t="n"/>
      <c r="I143" s="886" t="inlineStr">
        <is>
          <t>69(1)(g) re (d)</t>
        </is>
      </c>
      <c r="J143" s="1390" t="n"/>
      <c r="K143" s="585" t="n">
        <v>9</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5</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3</v>
      </c>
      <c r="H145" s="1368" t="n"/>
      <c r="I145" s="886" t="inlineStr">
        <is>
          <t>69(1)(g) re (f)</t>
        </is>
      </c>
      <c r="J145" s="1390" t="n"/>
      <c r="K145" s="585" t="n">
        <v>1</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146632</v>
      </c>
      <c r="D152" s="1401" t="n"/>
      <c r="E152" s="494" t="n">
        <v>6</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6540483</v>
      </c>
      <c r="B159" s="1402" t="n"/>
      <c r="C159" s="1401" t="n"/>
      <c r="D159" s="1403" t="n">
        <v>6204630</v>
      </c>
      <c r="E159" s="1404" t="n"/>
      <c r="F159" s="1405" t="n"/>
      <c r="G159" s="1406" t="n">
        <v>160294</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55935</v>
      </c>
      <c r="D166" s="1237" t="n">
        <v>1396912</v>
      </c>
      <c r="E166" s="990" t="n">
        <v>1280</v>
      </c>
      <c r="F166" s="594" t="n">
        <v>221178</v>
      </c>
      <c r="G166" s="483" t="n">
        <v>24</v>
      </c>
      <c r="H166" s="1237" t="n">
        <v>16162</v>
      </c>
      <c r="I166" s="990" t="n">
        <v>15</v>
      </c>
      <c r="J166" s="594" t="n">
        <v>35963</v>
      </c>
      <c r="K166" s="483" t="n">
        <v>9</v>
      </c>
      <c r="L166" s="1255" t="n">
        <v>229609</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81417</v>
      </c>
      <c r="D167" s="1246" t="n">
        <v>2882864</v>
      </c>
      <c r="E167" s="431" t="n">
        <v>7587</v>
      </c>
      <c r="F167" s="430" t="n">
        <v>1334723</v>
      </c>
      <c r="G167" s="476" t="n">
        <v>282</v>
      </c>
      <c r="H167" s="1246" t="n">
        <v>189534</v>
      </c>
      <c r="I167" s="990" t="n">
        <v>81</v>
      </c>
      <c r="J167" s="594" t="n">
        <v>133492</v>
      </c>
      <c r="K167" s="483" t="n">
        <v>2</v>
      </c>
      <c r="L167" s="1237" t="n">
        <v>19708</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10</v>
      </c>
      <c r="D168" s="1246" t="n">
        <v>285</v>
      </c>
      <c r="E168" s="431" t="n">
        <v>2</v>
      </c>
      <c r="F168" s="430" t="n">
        <v>281</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5</v>
      </c>
      <c r="D169" s="1246" t="n">
        <v>138</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11716</v>
      </c>
      <c r="D170" s="430" t="n">
        <v>30004</v>
      </c>
      <c r="E170" s="476" t="n">
        <v>172</v>
      </c>
      <c r="F170" s="430" t="n">
        <v>31728</v>
      </c>
      <c r="G170" s="476" t="n">
        <v>6</v>
      </c>
      <c r="H170" s="1246" t="n">
        <v>4356</v>
      </c>
      <c r="I170" s="990" t="n">
        <v>2</v>
      </c>
      <c r="J170" s="594" t="n">
        <v>2331</v>
      </c>
      <c r="K170" s="483" t="n">
        <v>1</v>
      </c>
      <c r="L170" s="1237" t="n">
        <v>11215</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1748</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13</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13</v>
      </c>
      <c r="D216" s="1418" t="n"/>
      <c r="E216" s="477" t="n">
        <v>136</v>
      </c>
      <c r="F216" s="1418" t="n"/>
      <c r="G216" s="477" t="n">
        <v>28</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164</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19</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19</v>
      </c>
      <c r="D220" s="1418" t="n"/>
      <c r="E220" s="477" t="n">
        <v>0</v>
      </c>
      <c r="F220" s="1418" t="n"/>
      <c r="G220" s="477" t="n">
        <v>1</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1</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127104</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28901</v>
      </c>
      <c r="E243" s="1330" t="n"/>
      <c r="F243" s="1421" t="n"/>
      <c r="G243" s="1255" t="n">
        <v>597</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29498</v>
      </c>
      <c r="E244" s="1362" t="n"/>
      <c r="F244" s="1418" t="n"/>
      <c r="G244" s="1246" t="n">
        <v>12171</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144</v>
      </c>
      <c r="E245" s="1362" t="n"/>
      <c r="F245" s="1418" t="n"/>
      <c r="G245" s="1246" t="n">
        <v>12315</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30482</v>
      </c>
      <c r="E246" s="1362" t="n"/>
      <c r="F246" s="1418" t="n"/>
      <c r="G246" s="1246" t="n">
        <v>176</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30658</v>
      </c>
      <c r="E247" s="1362" t="n"/>
      <c r="F247" s="1418" t="n"/>
      <c r="G247" s="1246" t="n">
        <v>22940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259</v>
      </c>
      <c r="E248" s="1362" t="n"/>
      <c r="F248" s="1418" t="n"/>
      <c r="G248" s="1246" t="n">
        <v>23199</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7951</v>
      </c>
      <c r="E249" s="1363" t="n"/>
      <c r="F249" s="1419" t="n"/>
      <c r="G249" s="1242" t="n">
        <v>152</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11</v>
      </c>
      <c r="F265" s="1421" t="n"/>
      <c r="G265" s="1439" t="n">
        <v>1</v>
      </c>
      <c r="H265" s="1417" t="n"/>
      <c r="I265" s="1439" t="n">
        <v>1179</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88</v>
      </c>
      <c r="F266" s="1418" t="n"/>
      <c r="G266" s="577" t="n">
        <v>15</v>
      </c>
      <c r="H266" s="1418" t="n"/>
      <c r="I266" s="577" t="n">
        <v>2193</v>
      </c>
      <c r="J266" s="1418" t="n"/>
      <c r="K266" s="578" t="n">
        <v>7</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1</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1</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13</v>
      </c>
      <c r="F269" s="1418" t="n"/>
      <c r="G269" s="577" t="n">
        <v>0</v>
      </c>
      <c r="H269" s="1418" t="n"/>
      <c r="I269" s="577" t="n">
        <v>104</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3</v>
      </c>
      <c r="F270" s="1418" t="n"/>
      <c r="G270" s="577" t="n">
        <v>0</v>
      </c>
      <c r="H270" s="1418" t="n"/>
      <c r="I270" s="577" t="n">
        <v>112</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1</v>
      </c>
      <c r="F271" s="1419" t="n"/>
      <c r="G271" s="590" t="n">
        <v>0</v>
      </c>
      <c r="H271" s="1419" t="n"/>
      <c r="I271" s="590" t="n">
        <v>1</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17</v>
      </c>
      <c r="F278" s="1417" t="n"/>
      <c r="G278" s="1439" t="n">
        <v>3</v>
      </c>
      <c r="H278" s="1417" t="n"/>
      <c r="I278" s="1439" t="n">
        <v>170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28</v>
      </c>
      <c r="F279" s="1418" t="n"/>
      <c r="G279" s="577" t="n">
        <v>9</v>
      </c>
      <c r="H279" s="1418" t="n"/>
      <c r="I279" s="577" t="n">
        <v>1853</v>
      </c>
      <c r="J279" s="1418" t="n"/>
      <c r="K279" s="1444" t="n">
        <v>5</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40</v>
      </c>
      <c r="F280" s="1418" t="n"/>
      <c r="G280" s="577" t="n">
        <v>2</v>
      </c>
      <c r="H280" s="1418" t="n"/>
      <c r="I280" s="577" t="n">
        <v>266</v>
      </c>
      <c r="J280" s="1418" t="n"/>
      <c r="K280" s="1444" t="n">
        <v>2</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26</v>
      </c>
      <c r="F281" s="1418" t="n"/>
      <c r="G281" s="577" t="n">
        <v>1</v>
      </c>
      <c r="H281" s="1418" t="n"/>
      <c r="I281" s="577" t="n">
        <v>24</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5</v>
      </c>
      <c r="F282" s="1418" t="n"/>
      <c r="G282" s="577" t="n">
        <v>1</v>
      </c>
      <c r="H282" s="1418" t="n"/>
      <c r="I282" s="577" t="n">
        <v>1278</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183751</v>
      </c>
      <c r="D290" s="379" t="n">
        <v>918755</v>
      </c>
      <c r="E290" s="1339" t="n"/>
      <c r="F290" s="184" t="n">
        <v>725</v>
      </c>
      <c r="G290" s="379" t="n">
        <v>3625</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193</v>
      </c>
      <c r="F299" s="1421" t="n"/>
      <c r="G299" s="1398" t="n">
        <v>7407</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7</v>
      </c>
      <c r="F300" s="1449" t="n"/>
      <c r="G300" s="316" t="n">
        <v>1050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200</v>
      </c>
      <c r="F302" s="1421" t="n"/>
      <c r="G302" s="1398" t="n">
        <v>8457</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186</v>
      </c>
      <c r="F303" s="1418" t="n"/>
      <c r="G303" s="578" t="n">
        <v>6994</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2</v>
      </c>
      <c r="F304" s="1419" t="n"/>
      <c r="G304" s="316" t="n">
        <v>19</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29</v>
      </c>
      <c r="F310" s="484" t="n">
        <v>35</v>
      </c>
      <c r="G310" s="484" t="n">
        <v>15</v>
      </c>
      <c r="H310" s="484" t="n">
        <v>6</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85</v>
      </c>
      <c r="F311" s="477" t="n">
        <v>19</v>
      </c>
      <c r="G311" s="477" t="n">
        <v>25</v>
      </c>
      <c r="H311" s="477" t="n">
        <v>29</v>
      </c>
      <c r="I311" s="477" t="n">
        <v>14</v>
      </c>
      <c r="J311" s="477" t="n">
        <v>3</v>
      </c>
      <c r="K311" s="430" t="n">
        <v>4</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1</v>
      </c>
      <c r="F312" s="477" t="n">
        <v>95</v>
      </c>
      <c r="G312" s="477" t="n">
        <v>0</v>
      </c>
      <c r="H312" s="477" t="n">
        <v>0</v>
      </c>
      <c r="I312" s="477" t="n">
        <v>2</v>
      </c>
      <c r="J312" s="477" t="n">
        <v>1</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3</v>
      </c>
      <c r="H313" s="477" t="n">
        <v>0</v>
      </c>
      <c r="I313" s="477" t="n">
        <v>0</v>
      </c>
      <c r="J313" s="477" t="n">
        <v>0</v>
      </c>
      <c r="K313" s="430" t="n">
        <v>1</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1</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1</v>
      </c>
      <c r="K315" s="571" t="n">
        <v>1</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7</v>
      </c>
      <c r="D336" s="1237" t="n">
        <v>60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5</v>
      </c>
      <c r="D337" s="1246" t="n">
        <v>52</v>
      </c>
      <c r="E337" s="431" t="n">
        <v>1</v>
      </c>
      <c r="F337" s="594" t="n">
        <v>245</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4</v>
      </c>
      <c r="D338" s="1246" t="n">
        <v>13</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4300</v>
      </c>
      <c r="B363" s="1401" t="n"/>
      <c r="C363" s="211" t="n">
        <v>3529</v>
      </c>
      <c r="D363" s="1401" t="n"/>
      <c r="E363" s="1457" t="n">
        <v>21</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1</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8783103</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624591</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44657</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488670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73.13</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58.24</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0.3</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2026-01-02T13:56:29+00:00Z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