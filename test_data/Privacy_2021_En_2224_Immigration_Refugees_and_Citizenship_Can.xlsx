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Immigration, Refugees and Citizenship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44287</v>
      </c>
      <c r="I8" s="1331" t="n"/>
      <c r="J8" s="1331" t="n"/>
      <c r="K8" s="1043" t="inlineStr">
        <is>
          <t>to</t>
        </is>
      </c>
      <c r="L8" s="1329" t="n">
        <v>44651</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26806</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3441</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73</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22220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2160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5940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25892</v>
      </c>
      <c r="H28" s="1339" t="n"/>
      <c r="I28" s="1339" t="n"/>
      <c r="J28" s="1340" t="n"/>
      <c r="K28" s="73" t="n"/>
    </row>
    <row r="29">
      <c r="A29" s="677" t="inlineStr">
        <is>
          <t>E-mail</t>
        </is>
      </c>
      <c r="B29" s="1342" t="n"/>
      <c r="C29" s="1342" t="n"/>
      <c r="D29" s="1342" t="n"/>
      <c r="E29" s="1342" t="n"/>
      <c r="F29" s="1342" t="n"/>
      <c r="G29" s="1481" t="n">
        <v>612</v>
      </c>
      <c r="H29" s="1362" t="n"/>
      <c r="I29" s="1362" t="n"/>
      <c r="J29" s="1368" t="n"/>
      <c r="K29" s="73" t="n"/>
    </row>
    <row r="30">
      <c r="A30" s="677" t="inlineStr">
        <is>
          <t>Mail</t>
        </is>
      </c>
      <c r="B30" s="1342" t="n"/>
      <c r="C30" s="1342" t="n"/>
      <c r="D30" s="1342" t="n"/>
      <c r="E30" s="1342" t="n"/>
      <c r="F30" s="1342" t="n"/>
      <c r="G30" s="1481" t="n">
        <v>302</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17</v>
      </c>
      <c r="E80" s="173" t="n">
        <v>875</v>
      </c>
      <c r="F80" s="173" t="n">
        <v>2166</v>
      </c>
      <c r="G80" s="173" t="n">
        <v>613</v>
      </c>
      <c r="H80" s="173" t="n">
        <v>133</v>
      </c>
      <c r="I80" s="173" t="n">
        <v>74</v>
      </c>
      <c r="J80" s="174" t="n">
        <v>11</v>
      </c>
      <c r="K80" s="742">
        <f>SUM(D80:J80)</f>
        <v/>
      </c>
      <c r="N80" s="49" t="n"/>
    </row>
    <row r="81">
      <c r="A81" s="983" t="inlineStr">
        <is>
          <t>Disclosed in part</t>
        </is>
      </c>
      <c r="B81" s="1342" t="n"/>
      <c r="C81" s="1390" t="n"/>
      <c r="D81" s="175" t="n">
        <v>3889</v>
      </c>
      <c r="E81" s="171" t="n">
        <v>66</v>
      </c>
      <c r="F81" s="171" t="n">
        <v>2971</v>
      </c>
      <c r="G81" s="178" t="n">
        <v>8006</v>
      </c>
      <c r="H81" s="178" t="n">
        <v>1831</v>
      </c>
      <c r="I81" s="178" t="n">
        <v>328</v>
      </c>
      <c r="J81" s="180" t="n">
        <v>228</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98</v>
      </c>
      <c r="E82" s="177" t="n">
        <v>13528</v>
      </c>
      <c r="F82" s="177" t="n">
        <v>0</v>
      </c>
      <c r="G82" s="178" t="n">
        <v>0</v>
      </c>
      <c r="H82" s="171" t="n">
        <v>0</v>
      </c>
      <c r="I82" s="178" t="n">
        <v>1</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1</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11</v>
      </c>
      <c r="I84" s="171" t="n">
        <v>2</v>
      </c>
      <c r="J84" s="181" t="n">
        <v>36</v>
      </c>
      <c r="K84" s="283">
        <f>SUM(D84:J84)</f>
        <v/>
      </c>
      <c r="N84" s="49" t="n"/>
    </row>
    <row r="85">
      <c r="A85" s="983" t="inlineStr">
        <is>
          <t>Request abandoned</t>
        </is>
      </c>
      <c r="B85" s="1342" t="n"/>
      <c r="C85" s="1390" t="n"/>
      <c r="D85" s="175" t="n">
        <v>41</v>
      </c>
      <c r="E85" s="178" t="n">
        <v>16</v>
      </c>
      <c r="F85" s="177" t="n">
        <v>6</v>
      </c>
      <c r="G85" s="178" t="n">
        <v>1</v>
      </c>
      <c r="H85" s="171" t="n">
        <v>113</v>
      </c>
      <c r="I85" s="177" t="n">
        <v>939</v>
      </c>
      <c r="J85" s="182" t="n">
        <v>2010</v>
      </c>
      <c r="K85" s="283">
        <f>SUM(D85:J85)</f>
        <v/>
      </c>
    </row>
    <row r="86" ht="15" customHeight="1" thickBot="1">
      <c r="A86" s="1256" t="inlineStr">
        <is>
          <t>Neither confirmed nor denied</t>
        </is>
      </c>
      <c r="B86" s="1348" t="n"/>
      <c r="C86" s="1384" t="n"/>
      <c r="D86" s="176" t="n">
        <v>640</v>
      </c>
      <c r="E86" s="1" t="n">
        <v>607</v>
      </c>
      <c r="F86" s="1" t="n">
        <v>57</v>
      </c>
      <c r="G86" s="1" t="n">
        <v>117</v>
      </c>
      <c r="H86" s="177" t="n">
        <v>318</v>
      </c>
      <c r="I86" s="1" t="n">
        <v>4688</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511</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2</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2</v>
      </c>
      <c r="D96" s="1418" t="n"/>
      <c r="E96" s="1245" t="inlineStr">
        <is>
          <t>22(1)(b)</t>
        </is>
      </c>
      <c r="F96" s="1390" t="n"/>
      <c r="G96" s="477" t="n">
        <v>3922</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1</v>
      </c>
      <c r="D97" s="1418" t="n"/>
      <c r="E97" s="1245" t="inlineStr">
        <is>
          <t>22(1)(c)</t>
        </is>
      </c>
      <c r="F97" s="1390" t="n"/>
      <c r="G97" s="477" t="n">
        <v>0</v>
      </c>
      <c r="H97" s="1418" t="n"/>
      <c r="I97" s="1245" t="n">
        <v>25</v>
      </c>
      <c r="J97" s="1390" t="n"/>
      <c r="K97" s="477" t="n">
        <v>375</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7428</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5</v>
      </c>
      <c r="L99" s="1418" t="n"/>
      <c r="M99" s="49" t="n"/>
      <c r="N99" s="49" t="n"/>
      <c r="O99" s="49" t="n"/>
      <c r="P99" s="49" t="n"/>
      <c r="Q99" s="49" t="n"/>
      <c r="R99" s="49" t="n"/>
      <c r="S99" s="49" t="n"/>
    </row>
    <row r="100" customFormat="1" s="66">
      <c r="A100" s="1245" t="n">
        <v>20</v>
      </c>
      <c r="B100" s="1390" t="n"/>
      <c r="C100" s="477" t="n">
        <v>1</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8226</v>
      </c>
      <c r="D101" s="1419" t="n"/>
      <c r="E101" s="1245" t="n">
        <v>22.3</v>
      </c>
      <c r="F101" s="1390" t="n"/>
      <c r="G101" s="477" t="n">
        <v>0</v>
      </c>
      <c r="H101" s="1418" t="n"/>
      <c r="I101" s="1232" t="n">
        <v>28</v>
      </c>
      <c r="J101" s="1384" t="n"/>
      <c r="K101" s="548" t="n">
        <v>1</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22220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951125</v>
      </c>
      <c r="B123" s="1460" t="n"/>
      <c r="C123" s="1465" t="n"/>
      <c r="D123" s="278" t="n">
        <v>875698</v>
      </c>
      <c r="E123" s="1402" t="n"/>
      <c r="F123" s="1401" t="n"/>
      <c r="G123" s="1220" t="n">
        <v>22107</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3434</v>
      </c>
      <c r="D130" s="1237" t="n">
        <v>72899</v>
      </c>
      <c r="E130" s="990" t="n">
        <v>452</v>
      </c>
      <c r="F130" s="594" t="n">
        <v>73201</v>
      </c>
      <c r="G130" s="483" t="n">
        <v>3</v>
      </c>
      <c r="H130" s="1237" t="n">
        <v>1930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11191</v>
      </c>
      <c r="D131" s="1246" t="n">
        <v>347431</v>
      </c>
      <c r="E131" s="990" t="n">
        <v>2272</v>
      </c>
      <c r="F131" s="430" t="n">
        <v>399498</v>
      </c>
      <c r="G131" s="483" t="n">
        <v>60</v>
      </c>
      <c r="H131" s="1246" t="n">
        <v>40505</v>
      </c>
      <c r="I131" s="990" t="n">
        <v>5</v>
      </c>
      <c r="J131" s="430" t="n">
        <v>6390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1</v>
      </c>
      <c r="D132" s="1246" t="n">
        <v>1</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4683</v>
      </c>
      <c r="D134" s="1246" t="n">
        <v>1980</v>
      </c>
      <c r="E134" s="431" t="n">
        <v>2</v>
      </c>
      <c r="F134" s="430" t="n">
        <v>346</v>
      </c>
      <c r="G134" s="483" t="n">
        <v>0</v>
      </c>
      <c r="H134" s="1246" t="n">
        <v>0</v>
      </c>
      <c r="I134" s="990" t="n">
        <v>3</v>
      </c>
      <c r="J134" s="430" t="n">
        <v>6944</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1</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33</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33</v>
      </c>
      <c r="D176" s="1418" t="n"/>
      <c r="E176" s="477" t="n">
        <v>3</v>
      </c>
      <c r="F176" s="1418" t="n"/>
      <c r="G176" s="477" t="n">
        <v>0</v>
      </c>
      <c r="H176" s="1418" t="n"/>
      <c r="I176" s="477" t="n">
        <v>7372</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7375</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1</v>
      </c>
      <c r="D178" s="1418" t="n"/>
      <c r="E178" s="477" t="n">
        <v>0</v>
      </c>
      <c r="F178" s="1418" t="n"/>
      <c r="G178" s="477" t="n">
        <v>1</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2</v>
      </c>
      <c r="D180" s="1419" t="n"/>
      <c r="E180" s="548" t="n">
        <v>0</v>
      </c>
      <c r="F180" s="1419" t="n"/>
      <c r="G180" s="548" t="n">
        <v>22</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13777</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8263</v>
      </c>
      <c r="E203" s="1330" t="n"/>
      <c r="F203" s="1421" t="n"/>
      <c r="G203" s="1255" t="n">
        <v>337</v>
      </c>
      <c r="H203" s="1339" t="n"/>
      <c r="I203" s="1340" t="n"/>
      <c r="J203" s="271">
        <f>SUM(D203:I203)</f>
        <v/>
      </c>
      <c r="K203" s="1336" t="n"/>
      <c r="L203" s="1337" t="n"/>
      <c r="M203" s="88" t="n"/>
      <c r="N203" s="49" t="n"/>
    </row>
    <row r="204" ht="15.75" customHeight="1">
      <c r="A204" s="1412" t="inlineStr">
        <is>
          <t>16 to 30 days</t>
        </is>
      </c>
      <c r="B204" s="1342" t="n"/>
      <c r="C204" s="1343" t="n"/>
      <c r="D204" s="431" t="n">
        <v>8600</v>
      </c>
      <c r="E204" s="1362" t="n"/>
      <c r="F204" s="1418" t="n"/>
      <c r="G204" s="1246" t="n">
        <v>270</v>
      </c>
      <c r="H204" s="1362" t="n"/>
      <c r="I204" s="1368" t="n"/>
      <c r="J204" s="267">
        <f>SUM(D204:I204)</f>
        <v/>
      </c>
      <c r="K204" s="1342" t="n"/>
      <c r="L204" s="1343" t="n"/>
      <c r="M204" s="88" t="n"/>
      <c r="N204" s="49" t="n"/>
    </row>
    <row r="205" ht="15.75" customHeight="1">
      <c r="A205" s="1412" t="inlineStr">
        <is>
          <t>31 to 60 days</t>
        </is>
      </c>
      <c r="B205" s="1342" t="n"/>
      <c r="C205" s="1343" t="n"/>
      <c r="D205" s="431" t="n">
        <v>48</v>
      </c>
      <c r="E205" s="1362" t="n"/>
      <c r="F205" s="1418" t="n"/>
      <c r="G205" s="1246" t="n">
        <v>318</v>
      </c>
      <c r="H205" s="1362" t="n"/>
      <c r="I205" s="1368" t="n"/>
      <c r="J205" s="267">
        <f>SUM(D205:I205)</f>
        <v/>
      </c>
      <c r="K205" s="1342" t="n"/>
      <c r="L205" s="1343" t="n"/>
      <c r="M205" s="66" t="n"/>
      <c r="N205" s="49" t="n"/>
    </row>
    <row r="206" ht="18" customHeight="1">
      <c r="A206" s="983" t="inlineStr">
        <is>
          <t>61 to 120 days</t>
        </is>
      </c>
      <c r="B206" s="1342" t="n"/>
      <c r="C206" s="1390" t="n"/>
      <c r="D206" s="431" t="n">
        <v>1111</v>
      </c>
      <c r="E206" s="1362" t="n"/>
      <c r="F206" s="1418" t="n"/>
      <c r="G206" s="477" t="n">
        <v>67</v>
      </c>
      <c r="H206" s="1362" t="n"/>
      <c r="I206" s="1418" t="n"/>
      <c r="J206" s="986">
        <f>SUM(D206:I206)</f>
        <v/>
      </c>
      <c r="K206" s="1342" t="n"/>
      <c r="L206" s="1390" t="n"/>
      <c r="M206" s="66" t="n"/>
      <c r="N206" s="49" t="n"/>
    </row>
    <row r="207" ht="18.75" customHeight="1">
      <c r="A207" s="983" t="inlineStr">
        <is>
          <t>121  to 180 days</t>
        </is>
      </c>
      <c r="B207" s="1342" t="n"/>
      <c r="C207" s="1390" t="n"/>
      <c r="D207" s="431" t="n">
        <v>1178</v>
      </c>
      <c r="E207" s="1362" t="n"/>
      <c r="F207" s="1418" t="n"/>
      <c r="G207" s="477" t="n">
        <v>327</v>
      </c>
      <c r="H207" s="1362" t="n"/>
      <c r="I207" s="1418" t="n"/>
      <c r="J207" s="986">
        <f>SUM(D207:I207)</f>
        <v/>
      </c>
      <c r="K207" s="1342" t="n"/>
      <c r="L207" s="1390" t="n"/>
      <c r="M207" s="66" t="n"/>
      <c r="N207" s="49" t="n"/>
    </row>
    <row r="208" ht="18.75" customHeight="1">
      <c r="A208" s="983" t="inlineStr">
        <is>
          <t>181 to 365 days</t>
        </is>
      </c>
      <c r="B208" s="1342" t="n"/>
      <c r="C208" s="1390" t="n"/>
      <c r="D208" s="431" t="n">
        <v>170</v>
      </c>
      <c r="E208" s="1362" t="n"/>
      <c r="F208" s="1418" t="n"/>
      <c r="G208" s="477" t="n">
        <v>497</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1923</v>
      </c>
      <c r="E209" s="1363" t="n"/>
      <c r="F209" s="1419" t="n"/>
      <c r="G209" s="548" t="n">
        <v>74</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2159</v>
      </c>
      <c r="B223" s="1402" t="n"/>
      <c r="C223" s="1401" t="n"/>
      <c r="D223" s="1034" t="n">
        <v>188</v>
      </c>
      <c r="E223" s="1402" t="n"/>
      <c r="F223" s="1402" t="n"/>
      <c r="G223" s="1494" t="n">
        <v>188</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1238</v>
      </c>
      <c r="F240" s="1465" t="n"/>
      <c r="G240" s="295" t="n">
        <v>0</v>
      </c>
      <c r="H240" s="1465" t="n"/>
      <c r="I240" s="295" t="n">
        <v>0</v>
      </c>
      <c r="J240" s="1465" t="n"/>
      <c r="K240" s="295" t="n">
        <v>5</v>
      </c>
      <c r="L240" s="1465" t="n"/>
      <c r="M240" s="1503" t="n">
        <v>0</v>
      </c>
      <c r="N240" s="1465" t="n"/>
      <c r="O240" s="295" t="n">
        <v>0</v>
      </c>
      <c r="P240" s="295" t="n">
        <v>1</v>
      </c>
      <c r="Q240" s="1465" t="n"/>
      <c r="R240" s="1180" t="n">
        <v>1232</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5</v>
      </c>
      <c r="J249" s="1449" t="n"/>
      <c r="K249" s="20" t="n">
        <v>0</v>
      </c>
      <c r="L249" s="1449" t="n"/>
      <c r="M249" s="20" t="n">
        <v>0</v>
      </c>
      <c r="N249" s="1449" t="n"/>
      <c r="O249" s="20" t="n">
        <v>1</v>
      </c>
      <c r="P249" s="20" t="n">
        <v>1232</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49</v>
      </c>
      <c r="F258" s="1417" t="n"/>
      <c r="G258" s="550" t="n">
        <v>1079</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5</v>
      </c>
      <c r="F259" s="1419" t="n"/>
      <c r="G259" s="617" t="n">
        <v>174</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52</v>
      </c>
      <c r="F261" s="1516" t="n"/>
      <c r="G261" s="1132" t="n">
        <v>1197</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1</v>
      </c>
      <c r="F262" s="1449" t="n"/>
      <c r="G262" s="617" t="n">
        <v>16</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1</v>
      </c>
      <c r="F263" s="1518" t="n"/>
      <c r="G263" s="1116" t="n">
        <v>40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1</v>
      </c>
      <c r="F269" s="484" t="n">
        <v>1</v>
      </c>
      <c r="G269" s="484" t="n">
        <v>3</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11</v>
      </c>
      <c r="F270" s="477" t="n">
        <v>15</v>
      </c>
      <c r="G270" s="477" t="n">
        <v>12</v>
      </c>
      <c r="H270" s="477" t="n">
        <v>4</v>
      </c>
      <c r="I270" s="477" t="n">
        <v>1</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2</v>
      </c>
      <c r="F271" s="477" t="n">
        <v>0</v>
      </c>
      <c r="G271" s="477" t="n">
        <v>1</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1</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44</v>
      </c>
      <c r="B320" s="1465" t="n"/>
      <c r="C320" s="979" t="n">
        <v>0</v>
      </c>
      <c r="D320" s="1465" t="n"/>
      <c r="E320" s="979" t="n">
        <v>36</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1</v>
      </c>
      <c r="G325" s="1339" t="n"/>
      <c r="H325" s="1339" t="n"/>
      <c r="I325" s="1340" t="n"/>
      <c r="M325" s="108" t="n"/>
    </row>
    <row r="326" ht="15" customHeight="1" thickBot="1">
      <c r="A326" s="947" t="inlineStr">
        <is>
          <t>Number of PIAs modified</t>
        </is>
      </c>
      <c r="B326" s="1348" t="n"/>
      <c r="C326" s="1348" t="n"/>
      <c r="D326" s="1348" t="n"/>
      <c r="E326" s="1348" t="n"/>
      <c r="F326" s="1482" t="n">
        <v>2</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18</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7</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7</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2396</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1149859</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28198</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149539</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2441</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9.09</v>
      </c>
      <c r="G357" s="1339" t="n"/>
      <c r="H357" s="1340" t="n"/>
      <c r="N357" s="88" t="n"/>
    </row>
    <row r="358">
      <c r="A358" s="1412" t="inlineStr">
        <is>
          <t>Part-time and casual employees</t>
        </is>
      </c>
      <c r="B358" s="1342" t="n"/>
      <c r="C358" s="1342" t="n"/>
      <c r="D358" s="1342" t="n"/>
      <c r="E358" s="1343" t="n"/>
      <c r="F358" s="1476" t="n">
        <v>5.62</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1</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2026-01-02T13:47:23+00:00Z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