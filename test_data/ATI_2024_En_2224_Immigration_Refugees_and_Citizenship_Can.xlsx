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inlineStr">
        <is>
          <t>Immigration, Refugees and Citizenship Canada</t>
        </is>
      </c>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45383</v>
      </c>
      <c r="E8" s="1331" t="n"/>
      <c r="F8" s="1331" t="n"/>
      <c r="G8" s="826" t="inlineStr">
        <is>
          <t>to</t>
        </is>
      </c>
      <c r="H8" s="1328" t="n">
        <v>45747</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168987</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25017</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26174</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178668</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14025</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27496</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279</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6206</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87564</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6828</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58792</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9318</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167341</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827</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819</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12631</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0</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12587</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12585</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46</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11489</v>
      </c>
      <c r="B73" s="211" t="n">
        <v>1045</v>
      </c>
      <c r="C73" s="211" t="n">
        <v>30</v>
      </c>
      <c r="D73" s="211" t="n">
        <v>16</v>
      </c>
      <c r="E73" s="211" t="n">
        <v>3</v>
      </c>
      <c r="F73" s="211" t="n">
        <v>4</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9768</v>
      </c>
      <c r="B85" s="439" t="n">
        <v>234944</v>
      </c>
      <c r="C85" s="213" t="n">
        <v>2125</v>
      </c>
      <c r="D85" s="439" t="n">
        <v>474938</v>
      </c>
      <c r="E85" s="213" t="n">
        <v>288</v>
      </c>
      <c r="F85" s="214" t="n">
        <v>195846</v>
      </c>
      <c r="G85" s="438" t="n">
        <v>271</v>
      </c>
      <c r="H85" s="439" t="n">
        <v>565213</v>
      </c>
      <c r="I85" s="213" t="n">
        <v>135</v>
      </c>
      <c r="J85" s="214" t="n">
        <v>2214105</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235</v>
      </c>
      <c r="F104" s="132" t="n">
        <v>45163</v>
      </c>
      <c r="G104" s="132" t="n">
        <v>7245</v>
      </c>
      <c r="H104" s="132" t="n">
        <v>662</v>
      </c>
      <c r="I104" s="132" t="n">
        <v>215</v>
      </c>
      <c r="J104" s="132" t="n">
        <v>186</v>
      </c>
      <c r="K104" s="364" t="n">
        <v>2255</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55961</v>
      </c>
      <c r="F105" s="153" t="n">
        <v>242</v>
      </c>
      <c r="G105" s="153" t="n">
        <v>75112</v>
      </c>
      <c r="H105" s="153" t="n">
        <v>15923</v>
      </c>
      <c r="I105" s="153" t="n">
        <v>2680</v>
      </c>
      <c r="J105" s="153" t="n">
        <v>880</v>
      </c>
      <c r="K105" s="676" t="n">
        <v>815</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8539</v>
      </c>
      <c r="F106" s="153" t="n">
        <v>104191</v>
      </c>
      <c r="G106" s="153" t="n">
        <v>0</v>
      </c>
      <c r="H106" s="153" t="n">
        <v>3</v>
      </c>
      <c r="I106" s="153" t="n">
        <v>0</v>
      </c>
      <c r="J106" s="153" t="n">
        <v>4</v>
      </c>
      <c r="K106" s="153" t="n">
        <v>3</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2</v>
      </c>
      <c r="F107" s="153" t="n">
        <v>5</v>
      </c>
      <c r="G107" s="153" t="n">
        <v>17</v>
      </c>
      <c r="H107" s="153" t="n">
        <v>4</v>
      </c>
      <c r="I107" s="153" t="n">
        <v>3</v>
      </c>
      <c r="J107" s="153" t="n">
        <v>2</v>
      </c>
      <c r="K107" s="676" t="n">
        <v>3</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2</v>
      </c>
      <c r="F108" s="153" t="n">
        <v>1</v>
      </c>
      <c r="G108" s="153" t="n">
        <v>1</v>
      </c>
      <c r="H108" s="153" t="n">
        <v>16</v>
      </c>
      <c r="I108" s="153" t="n">
        <v>94</v>
      </c>
      <c r="J108" s="153" t="n">
        <v>351</v>
      </c>
      <c r="K108" s="579" t="n">
        <v>249</v>
      </c>
      <c r="L108" s="229">
        <f>SUM(E108:K108)</f>
        <v/>
      </c>
      <c r="M108" s="366" t="n"/>
      <c r="AI108" s="30" t="n"/>
      <c r="AJ108" s="30" t="n"/>
      <c r="AK108" s="30" t="n"/>
    </row>
    <row r="109">
      <c r="A109" s="409" t="inlineStr">
        <is>
          <t>Request transferred</t>
        </is>
      </c>
      <c r="B109" s="1342" t="n"/>
      <c r="C109" s="1342" t="n"/>
      <c r="D109" s="1390" t="n"/>
      <c r="E109" s="153" t="n">
        <v>120</v>
      </c>
      <c r="F109" s="153" t="n">
        <v>46</v>
      </c>
      <c r="G109" s="153" t="n">
        <v>13</v>
      </c>
      <c r="H109" s="153" t="n">
        <v>105</v>
      </c>
      <c r="I109" s="153" t="n">
        <v>978</v>
      </c>
      <c r="J109" s="153" t="n">
        <v>10</v>
      </c>
      <c r="K109" s="676" t="n">
        <v>1</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11</v>
      </c>
      <c r="K110" s="579" t="n">
        <v>3057</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2975</v>
      </c>
      <c r="F111" s="153" t="n">
        <v>325</v>
      </c>
      <c r="G111" s="153" t="n">
        <v>159</v>
      </c>
      <c r="H111" s="153" t="n">
        <v>14</v>
      </c>
      <c r="I111" s="153" t="n">
        <v>33</v>
      </c>
      <c r="J111" s="153" t="n">
        <v>10459</v>
      </c>
      <c r="K111" s="579" t="n">
        <v>17022</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181</v>
      </c>
      <c r="F112" s="503" t="n">
        <v>237</v>
      </c>
      <c r="G112" s="503" t="n">
        <v>7</v>
      </c>
      <c r="H112" s="503" t="n">
        <v>5</v>
      </c>
      <c r="I112" s="503" t="n">
        <v>0</v>
      </c>
      <c r="J112" s="503" t="n">
        <v>0</v>
      </c>
      <c r="K112" s="503" t="n">
        <v>42</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3846</v>
      </c>
      <c r="D118" s="906" t="inlineStr">
        <is>
          <t>16(2)</t>
        </is>
      </c>
      <c r="E118" s="1383" t="n"/>
      <c r="F118" s="414" t="n">
        <v>334</v>
      </c>
      <c r="G118" s="488" t="inlineStr">
        <is>
          <t>18(a)</t>
        </is>
      </c>
      <c r="H118" s="1383" t="n"/>
      <c r="I118" s="170" t="n">
        <v>0</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35</v>
      </c>
      <c r="D119" s="886" t="inlineStr">
        <is>
          <t>16(2)(a)</t>
        </is>
      </c>
      <c r="E119" s="1390" t="n"/>
      <c r="F119" s="231" t="n">
        <v>2</v>
      </c>
      <c r="G119" s="886" t="inlineStr">
        <is>
          <t>18(b)</t>
        </is>
      </c>
      <c r="H119" s="1390" t="n"/>
      <c r="I119" s="641" t="n">
        <v>0</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70</v>
      </c>
      <c r="D120" s="886" t="inlineStr">
        <is>
          <t>16(2)(b)</t>
        </is>
      </c>
      <c r="E120" s="1390" t="n"/>
      <c r="F120" s="585" t="n">
        <v>0</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15</v>
      </c>
      <c r="D121" s="886" t="inlineStr">
        <is>
          <t>16(2)(c)</t>
        </is>
      </c>
      <c r="E121" s="1390" t="n"/>
      <c r="F121" s="585" t="n">
        <v>597</v>
      </c>
      <c r="G121" s="886" t="inlineStr">
        <is>
          <t>18(d)</t>
        </is>
      </c>
      <c r="H121" s="1390" t="n"/>
      <c r="I121" s="641" t="n">
        <v>0</v>
      </c>
      <c r="J121" s="886" t="inlineStr">
        <is>
          <t>21(1)(a)</t>
        </is>
      </c>
      <c r="K121" s="1390" t="n"/>
      <c r="L121" s="585" t="n">
        <v>567</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1</v>
      </c>
      <c r="D122" s="886" t="inlineStr">
        <is>
          <t>16(3)</t>
        </is>
      </c>
      <c r="E122" s="1390" t="n"/>
      <c r="F122" s="585" t="n">
        <v>0</v>
      </c>
      <c r="G122" s="886" t="inlineStr">
        <is>
          <t>18.1(1)(a)</t>
        </is>
      </c>
      <c r="H122" s="1390" t="n"/>
      <c r="I122" s="641" t="n">
        <v>0</v>
      </c>
      <c r="J122" s="886" t="inlineStr">
        <is>
          <t>21(1)(b)</t>
        </is>
      </c>
      <c r="K122" s="1390" t="n"/>
      <c r="L122" s="585" t="n">
        <v>766</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10</v>
      </c>
      <c r="D123" s="886" t="inlineStr">
        <is>
          <t>16.1(1)(a)</t>
        </is>
      </c>
      <c r="E123" s="1390" t="n"/>
      <c r="F123" s="585" t="n">
        <v>9</v>
      </c>
      <c r="G123" s="886" t="inlineStr">
        <is>
          <t>18.1(1)(b)</t>
        </is>
      </c>
      <c r="H123" s="1390" t="n"/>
      <c r="I123" s="641" t="n">
        <v>0</v>
      </c>
      <c r="J123" s="886" t="inlineStr">
        <is>
          <t>21(1)(c)</t>
        </is>
      </c>
      <c r="K123" s="1390" t="n"/>
      <c r="L123" s="585" t="n">
        <v>124</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238</v>
      </c>
      <c r="D124" s="886" t="inlineStr">
        <is>
          <t>16.1(1)(b)</t>
        </is>
      </c>
      <c r="E124" s="1390" t="n"/>
      <c r="F124" s="585" t="n">
        <v>2</v>
      </c>
      <c r="G124" s="886" t="inlineStr">
        <is>
          <t>18.1(1)(c)</t>
        </is>
      </c>
      <c r="H124" s="1390" t="n"/>
      <c r="I124" s="641" t="n">
        <v>0</v>
      </c>
      <c r="J124" s="886" t="inlineStr">
        <is>
          <t>21(1)(d)</t>
        </is>
      </c>
      <c r="K124" s="1390" t="n"/>
      <c r="L124" s="585" t="n">
        <v>85</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83</v>
      </c>
      <c r="D125" s="886" t="inlineStr">
        <is>
          <t>16.1(1)(c)</t>
        </is>
      </c>
      <c r="E125" s="1390" t="n"/>
      <c r="F125" s="585" t="n">
        <v>4</v>
      </c>
      <c r="G125" s="886" t="inlineStr">
        <is>
          <t>18.1(1)(d)</t>
        </is>
      </c>
      <c r="H125" s="1390" t="n"/>
      <c r="I125" s="641" t="n">
        <v>0</v>
      </c>
      <c r="J125" s="886" t="n">
        <v>22</v>
      </c>
      <c r="K125" s="1390" t="n"/>
      <c r="L125" s="585" t="n">
        <v>21</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25485</v>
      </c>
      <c r="D126" s="886" t="inlineStr">
        <is>
          <t>16.1(1)(d)</t>
        </is>
      </c>
      <c r="E126" s="1390" t="n"/>
      <c r="F126" s="585" t="n">
        <v>0</v>
      </c>
      <c r="G126" s="886" t="inlineStr">
        <is>
          <t>19(1)</t>
        </is>
      </c>
      <c r="H126" s="1390" t="n"/>
      <c r="I126" s="641" t="n">
        <v>82694</v>
      </c>
      <c r="J126" s="886" t="inlineStr">
        <is>
          <t>22.1(1)</t>
        </is>
      </c>
      <c r="K126" s="1390" t="n"/>
      <c r="L126" s="585" t="n">
        <v>2</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436</v>
      </c>
      <c r="D127" s="886" t="inlineStr">
        <is>
          <t>16.2(1)</t>
        </is>
      </c>
      <c r="E127" s="1390" t="n"/>
      <c r="F127" s="585" t="n">
        <v>0</v>
      </c>
      <c r="G127" s="886" t="inlineStr">
        <is>
          <t>20(1)(a)</t>
        </is>
      </c>
      <c r="H127" s="1390" t="n"/>
      <c r="I127" s="641" t="n">
        <v>1</v>
      </c>
      <c r="J127" s="886" t="n">
        <v>23</v>
      </c>
      <c r="K127" s="1390" t="n"/>
      <c r="L127" s="585" t="n">
        <v>457</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0</v>
      </c>
      <c r="D128" s="886" t="n">
        <v>16.3</v>
      </c>
      <c r="E128" s="1390" t="n"/>
      <c r="F128" s="585" t="n">
        <v>0</v>
      </c>
      <c r="G128" s="886" t="inlineStr">
        <is>
          <t>20(1)(b)</t>
        </is>
      </c>
      <c r="H128" s="1390" t="n"/>
      <c r="I128" s="641" t="n">
        <v>98</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1</v>
      </c>
      <c r="D129" s="886" t="inlineStr">
        <is>
          <t>16.4(1)(a)</t>
        </is>
      </c>
      <c r="E129" s="1390" t="n"/>
      <c r="F129" s="585" t="n">
        <v>0</v>
      </c>
      <c r="G129" s="886" t="inlineStr">
        <is>
          <t>20(1)(b.1)</t>
        </is>
      </c>
      <c r="H129" s="1390" t="n"/>
      <c r="I129" s="641" t="n">
        <v>0</v>
      </c>
      <c r="J129" s="886" t="inlineStr">
        <is>
          <t>24(1)</t>
        </is>
      </c>
      <c r="K129" s="1390" t="n"/>
      <c r="L129" s="585" t="n">
        <v>1</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1</v>
      </c>
      <c r="D130" s="886" t="inlineStr">
        <is>
          <t>16.4(1)(b)</t>
        </is>
      </c>
      <c r="E130" s="1390" t="n"/>
      <c r="F130" s="585" t="n">
        <v>0</v>
      </c>
      <c r="G130" s="886" t="inlineStr">
        <is>
          <t>20(1)(c)</t>
        </is>
      </c>
      <c r="H130" s="1390" t="n"/>
      <c r="I130" s="641" t="n">
        <v>273</v>
      </c>
      <c r="J130" s="1397" t="n">
        <v>26</v>
      </c>
      <c r="K130" s="1384" t="n"/>
      <c r="L130" s="529" t="n">
        <v>272</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5</v>
      </c>
      <c r="D131" s="886" t="n">
        <v>16.5</v>
      </c>
      <c r="E131" s="1390" t="n"/>
      <c r="F131" s="585" t="n">
        <v>5</v>
      </c>
      <c r="G131" s="1397" t="inlineStr">
        <is>
          <t>20(1)(d)</t>
        </is>
      </c>
      <c r="H131" s="1384" t="n"/>
      <c r="I131" s="233" t="n">
        <v>13</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459</v>
      </c>
      <c r="D133" s="1397" t="n">
        <v>17</v>
      </c>
      <c r="E133" s="1384" t="n"/>
      <c r="F133" s="529" t="n">
        <v>1182</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19270</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9</v>
      </c>
      <c r="D140" s="1340" t="n"/>
      <c r="E140" s="488" t="inlineStr">
        <is>
          <t>69(1)</t>
        </is>
      </c>
      <c r="F140" s="1383" t="n"/>
      <c r="G140" s="435" t="n">
        <v>1</v>
      </c>
      <c r="H140" s="1340" t="n"/>
      <c r="I140" s="488" t="inlineStr">
        <is>
          <t>69(1)(g) re (a)</t>
        </is>
      </c>
      <c r="J140" s="1383" t="n"/>
      <c r="K140" s="435" t="n">
        <v>23</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3</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0</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2</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4</v>
      </c>
      <c r="H144" s="1368" t="n"/>
      <c r="I144" s="886" t="inlineStr">
        <is>
          <t>69(1)(g) re (e)</t>
        </is>
      </c>
      <c r="J144" s="1390" t="n"/>
      <c r="K144" s="585" t="n">
        <v>14</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4</v>
      </c>
      <c r="H145" s="1368" t="n"/>
      <c r="I145" s="886" t="inlineStr">
        <is>
          <t>69(1)(g) re (f)</t>
        </is>
      </c>
      <c r="J145" s="1390" t="n"/>
      <c r="K145" s="585" t="n">
        <v>3</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1</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62</v>
      </c>
      <c r="B152" s="1400" t="n"/>
      <c r="C152" s="493" t="n">
        <v>160091</v>
      </c>
      <c r="D152" s="1401" t="n"/>
      <c r="E152" s="494" t="n">
        <v>0</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5403318</v>
      </c>
      <c r="B159" s="1402" t="n"/>
      <c r="C159" s="1401" t="n"/>
      <c r="D159" s="1403" t="n">
        <v>4514568</v>
      </c>
      <c r="E159" s="1404" t="n"/>
      <c r="F159" s="1405" t="n"/>
      <c r="G159" s="1406" t="n">
        <v>177679</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55425</v>
      </c>
      <c r="D166" s="1237" t="n">
        <v>863780</v>
      </c>
      <c r="E166" s="990" t="n">
        <v>499</v>
      </c>
      <c r="F166" s="594" t="n">
        <v>78812</v>
      </c>
      <c r="G166" s="483" t="n">
        <v>11</v>
      </c>
      <c r="H166" s="1237" t="n">
        <v>7436</v>
      </c>
      <c r="I166" s="990" t="n">
        <v>13</v>
      </c>
      <c r="J166" s="594" t="n">
        <v>35449</v>
      </c>
      <c r="K166" s="483" t="n">
        <v>13</v>
      </c>
      <c r="L166" s="1255" t="n">
        <v>174947</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96522</v>
      </c>
      <c r="D167" s="1246" t="n">
        <v>2485744</v>
      </c>
      <c r="E167" s="431" t="n">
        <v>7177</v>
      </c>
      <c r="F167" s="430" t="n">
        <v>1241326</v>
      </c>
      <c r="G167" s="476" t="n">
        <v>369</v>
      </c>
      <c r="H167" s="1246" t="n">
        <v>250590</v>
      </c>
      <c r="I167" s="990" t="n">
        <v>118</v>
      </c>
      <c r="J167" s="594" t="n">
        <v>189783</v>
      </c>
      <c r="K167" s="483" t="n">
        <v>5</v>
      </c>
      <c r="L167" s="1237" t="n">
        <v>40353</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11</v>
      </c>
      <c r="D168" s="1246" t="n">
        <v>168</v>
      </c>
      <c r="E168" s="431" t="n">
        <v>3</v>
      </c>
      <c r="F168" s="430" t="n">
        <v>1152</v>
      </c>
      <c r="G168" s="476" t="n">
        <v>0</v>
      </c>
      <c r="H168" s="1246" t="n">
        <v>0</v>
      </c>
      <c r="I168" s="990" t="n">
        <v>3</v>
      </c>
      <c r="J168" s="594" t="n">
        <v>4975</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14</v>
      </c>
      <c r="D169" s="1246" t="n">
        <v>83</v>
      </c>
      <c r="E169" s="431" t="n">
        <v>2</v>
      </c>
      <c r="F169" s="430" t="n">
        <v>321</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16980</v>
      </c>
      <c r="D170" s="430" t="n">
        <v>4261</v>
      </c>
      <c r="E170" s="476" t="n">
        <v>27</v>
      </c>
      <c r="F170" s="430" t="n">
        <v>5008</v>
      </c>
      <c r="G170" s="476" t="n">
        <v>6</v>
      </c>
      <c r="H170" s="1246" t="n">
        <v>3777</v>
      </c>
      <c r="I170" s="990" t="n">
        <v>9</v>
      </c>
      <c r="J170" s="594" t="n">
        <v>15353</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472</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0</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0</v>
      </c>
      <c r="D216" s="1418" t="n"/>
      <c r="E216" s="477" t="n">
        <v>0</v>
      </c>
      <c r="F216" s="1418" t="n"/>
      <c r="G216" s="477" t="n">
        <v>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0</v>
      </c>
      <c r="D217" s="1418" t="n"/>
      <c r="E217" s="477" t="n">
        <v>0</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0</v>
      </c>
      <c r="D220" s="1418" t="n"/>
      <c r="E220" s="477" t="n">
        <v>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34321</v>
      </c>
      <c r="F238" s="1401" t="n"/>
      <c r="G238" s="494" t="n">
        <v>0</v>
      </c>
      <c r="H238" s="1401" t="n"/>
      <c r="I238" s="494" t="n">
        <v>0</v>
      </c>
      <c r="J238" s="1401" t="n"/>
      <c r="K238" s="1433" t="n">
        <v>0</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6098</v>
      </c>
      <c r="E243" s="1330" t="n"/>
      <c r="F243" s="1421" t="n"/>
      <c r="G243" s="1255" t="n">
        <v>44</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6142</v>
      </c>
      <c r="E244" s="1362" t="n"/>
      <c r="F244" s="1418" t="n"/>
      <c r="G244" s="1246" t="n">
        <v>1325</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29</v>
      </c>
      <c r="E245" s="1362" t="n"/>
      <c r="F245" s="1418" t="n"/>
      <c r="G245" s="1246" t="n">
        <v>1354</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2220</v>
      </c>
      <c r="E246" s="1362" t="n"/>
      <c r="F246" s="1418" t="n"/>
      <c r="G246" s="1246" t="n">
        <v>43</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2263</v>
      </c>
      <c r="E247" s="1362" t="n"/>
      <c r="F247" s="1418" t="n"/>
      <c r="G247" s="1246" t="n">
        <v>1682</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51</v>
      </c>
      <c r="E248" s="1362" t="n"/>
      <c r="F248" s="1418" t="n"/>
      <c r="G248" s="1246" t="n">
        <v>1733</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711</v>
      </c>
      <c r="E249" s="1363" t="n"/>
      <c r="F249" s="1419" t="n"/>
      <c r="G249" s="1242" t="n">
        <v>33</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19</v>
      </c>
      <c r="F265" s="1421" t="n"/>
      <c r="G265" s="1439" t="n">
        <v>0</v>
      </c>
      <c r="H265" s="1417" t="n"/>
      <c r="I265" s="1439" t="n">
        <v>89</v>
      </c>
      <c r="J265" s="1417" t="n"/>
      <c r="K265" s="1398" t="n">
        <v>0</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204</v>
      </c>
      <c r="F266" s="1418" t="n"/>
      <c r="G266" s="577" t="n">
        <v>8</v>
      </c>
      <c r="H266" s="1418" t="n"/>
      <c r="I266" s="577" t="n">
        <v>675</v>
      </c>
      <c r="J266" s="1418" t="n"/>
      <c r="K266" s="578" t="n">
        <v>1</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1</v>
      </c>
      <c r="F267" s="1418" t="n"/>
      <c r="G267" s="577" t="n">
        <v>0</v>
      </c>
      <c r="H267" s="1418" t="n"/>
      <c r="I267" s="577" t="n">
        <v>6</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2</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15</v>
      </c>
      <c r="F269" s="1418" t="n"/>
      <c r="G269" s="577" t="n">
        <v>0</v>
      </c>
      <c r="H269" s="1418" t="n"/>
      <c r="I269" s="577" t="n">
        <v>58</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2</v>
      </c>
      <c r="F270" s="1418" t="n"/>
      <c r="G270" s="577" t="n">
        <v>0</v>
      </c>
      <c r="H270" s="1418" t="n"/>
      <c r="I270" s="577" t="n">
        <v>30</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90</v>
      </c>
      <c r="F278" s="1417" t="n"/>
      <c r="G278" s="1439" t="n">
        <v>0</v>
      </c>
      <c r="H278" s="1417" t="n"/>
      <c r="I278" s="1439" t="n">
        <v>157</v>
      </c>
      <c r="J278" s="1417" t="n"/>
      <c r="K278" s="1442" t="n">
        <v>0</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68</v>
      </c>
      <c r="F279" s="1418" t="n"/>
      <c r="G279" s="577" t="n">
        <v>8</v>
      </c>
      <c r="H279" s="1418" t="n"/>
      <c r="I279" s="577" t="n">
        <v>436</v>
      </c>
      <c r="J279" s="1418" t="n"/>
      <c r="K279" s="1444" t="n">
        <v>1</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56</v>
      </c>
      <c r="F280" s="1418" t="n"/>
      <c r="G280" s="577" t="n">
        <v>0</v>
      </c>
      <c r="H280" s="1418" t="n"/>
      <c r="I280" s="577" t="n">
        <v>253</v>
      </c>
      <c r="J280" s="1418" t="n"/>
      <c r="K280" s="1444" t="n">
        <v>0</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25</v>
      </c>
      <c r="F281" s="1418" t="n"/>
      <c r="G281" s="577" t="n">
        <v>0</v>
      </c>
      <c r="H281" s="1418" t="n"/>
      <c r="I281" s="577" t="n">
        <v>8</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2</v>
      </c>
      <c r="F282" s="1418" t="n"/>
      <c r="G282" s="577" t="n">
        <v>0</v>
      </c>
      <c r="H282" s="1418" t="n"/>
      <c r="I282" s="577" t="n">
        <v>6</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0</v>
      </c>
      <c r="F283" s="1419" t="n"/>
      <c r="G283" s="590" t="n">
        <v>0</v>
      </c>
      <c r="H283" s="1419" t="n"/>
      <c r="I283" s="590" t="n">
        <v>0</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168425</v>
      </c>
      <c r="D290" s="379" t="n">
        <v>842125</v>
      </c>
      <c r="E290" s="1339" t="n"/>
      <c r="F290" s="184" t="n">
        <v>559</v>
      </c>
      <c r="G290" s="379" t="n">
        <v>2795</v>
      </c>
      <c r="H290" s="1339" t="n"/>
      <c r="I290" s="184" t="n">
        <v>3</v>
      </c>
      <c r="J290" s="1446" t="n">
        <v>15</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110</v>
      </c>
      <c r="F299" s="1421" t="n"/>
      <c r="G299" s="1398" t="n">
        <v>6394</v>
      </c>
      <c r="H299" s="1340" t="n"/>
      <c r="I299" s="184" t="n">
        <v>2</v>
      </c>
      <c r="J299" s="1417" t="n"/>
      <c r="K299" s="1398" t="n">
        <v>12</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0</v>
      </c>
      <c r="F300" s="1449" t="n"/>
      <c r="G300" s="316" t="n">
        <v>0</v>
      </c>
      <c r="H300" s="1379" t="n"/>
      <c r="I300" s="589" t="n">
        <v>0</v>
      </c>
      <c r="J300" s="1419" t="n"/>
      <c r="K300" s="316" t="n">
        <v>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110</v>
      </c>
      <c r="F302" s="1421" t="n"/>
      <c r="G302" s="1398" t="n">
        <v>6394</v>
      </c>
      <c r="H302" s="1340" t="n"/>
      <c r="I302" s="184" t="n">
        <v>2</v>
      </c>
      <c r="J302" s="1417" t="n"/>
      <c r="K302" s="1398" t="n">
        <v>12</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95</v>
      </c>
      <c r="F303" s="1418" t="n"/>
      <c r="G303" s="578" t="n">
        <v>4949</v>
      </c>
      <c r="H303" s="1368" t="n"/>
      <c r="I303" s="737" t="n">
        <v>1</v>
      </c>
      <c r="J303" s="1418" t="n"/>
      <c r="K303" s="578" t="n">
        <v>7</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15</v>
      </c>
      <c r="F304" s="1419" t="n"/>
      <c r="G304" s="316" t="n">
        <v>1445</v>
      </c>
      <c r="H304" s="1379" t="n"/>
      <c r="I304" s="589" t="n">
        <v>1</v>
      </c>
      <c r="J304" s="1419" t="n"/>
      <c r="K304" s="316" t="n">
        <v>5</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11</v>
      </c>
      <c r="F310" s="484" t="n">
        <v>17</v>
      </c>
      <c r="G310" s="484" t="n">
        <v>9</v>
      </c>
      <c r="H310" s="484" t="n">
        <v>4</v>
      </c>
      <c r="I310" s="484" t="n">
        <v>0</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41</v>
      </c>
      <c r="F311" s="477" t="n">
        <v>5</v>
      </c>
      <c r="G311" s="477" t="n">
        <v>12</v>
      </c>
      <c r="H311" s="477" t="n">
        <v>15</v>
      </c>
      <c r="I311" s="477" t="n">
        <v>8</v>
      </c>
      <c r="J311" s="477" t="n">
        <v>3</v>
      </c>
      <c r="K311" s="430" t="n">
        <v>1</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44</v>
      </c>
      <c r="G312" s="477" t="n">
        <v>0</v>
      </c>
      <c r="H312" s="477" t="n">
        <v>1</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1</v>
      </c>
      <c r="F313" s="477" t="n">
        <v>0</v>
      </c>
      <c r="G313" s="477" t="n">
        <v>2</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4</v>
      </c>
      <c r="K315" s="571" t="n">
        <v>3</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0</v>
      </c>
      <c r="F322" s="484" t="n">
        <v>0</v>
      </c>
      <c r="G322" s="484" t="n">
        <v>0</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0</v>
      </c>
      <c r="F323" s="477" t="n">
        <v>0</v>
      </c>
      <c r="G323" s="477" t="n">
        <v>0</v>
      </c>
      <c r="H323" s="477" t="n">
        <v>1</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1</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3</v>
      </c>
      <c r="D336" s="1237" t="n">
        <v>35</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9</v>
      </c>
      <c r="D337" s="1246" t="n">
        <v>59</v>
      </c>
      <c r="E337" s="431" t="n">
        <v>1</v>
      </c>
      <c r="F337" s="594" t="n">
        <v>103</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16</v>
      </c>
      <c r="D338" s="1246" t="n">
        <v>187</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4</v>
      </c>
      <c r="D339" s="1246" t="n">
        <v>56</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914</v>
      </c>
      <c r="B363" s="1401" t="n"/>
      <c r="C363" s="211" t="n">
        <v>347</v>
      </c>
      <c r="D363" s="1401" t="n"/>
      <c r="E363" s="1457" t="n">
        <v>0</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0</v>
      </c>
      <c r="B369" s="1401" t="n"/>
      <c r="C369" s="1416" t="n">
        <v>0</v>
      </c>
      <c r="D369" s="1401" t="n"/>
      <c r="E369" s="786" t="n">
        <v>0</v>
      </c>
      <c r="F369" s="1460" t="n"/>
      <c r="G369" s="213" t="n">
        <v>0</v>
      </c>
      <c r="H369" s="1401" t="n"/>
      <c r="I369" s="1416" t="n">
        <v>0</v>
      </c>
      <c r="J369" s="1401" t="n"/>
      <c r="K369" s="1461" t="n">
        <v>0</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11268328</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575054</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0</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204407</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83.617</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59.677</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0.107</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n"/>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45383</v>
      </c>
      <c r="I8" s="1331" t="n"/>
      <c r="J8" s="1331" t="n"/>
      <c r="K8" s="1043" t="inlineStr">
        <is>
          <t>to</t>
        </is>
      </c>
      <c r="L8" s="1329" t="n">
        <v>45747</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0</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0</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0</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0</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0</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0</v>
      </c>
      <c r="H28" s="1339" t="n"/>
      <c r="I28" s="1339" t="n"/>
      <c r="J28" s="1340" t="n"/>
      <c r="K28" s="73" t="n"/>
    </row>
    <row r="29">
      <c r="A29" s="677" t="inlineStr">
        <is>
          <t>E-mail</t>
        </is>
      </c>
      <c r="B29" s="1342" t="n"/>
      <c r="C29" s="1342" t="n"/>
      <c r="D29" s="1342" t="n"/>
      <c r="E29" s="1342" t="n"/>
      <c r="F29" s="1342" t="n"/>
      <c r="G29" s="1481" t="n">
        <v>0</v>
      </c>
      <c r="H29" s="1362" t="n"/>
      <c r="I29" s="1362" t="n"/>
      <c r="J29" s="1368" t="n"/>
      <c r="K29" s="73" t="n"/>
    </row>
    <row r="30">
      <c r="A30" s="677" t="inlineStr">
        <is>
          <t>Mail</t>
        </is>
      </c>
      <c r="B30" s="1342" t="n"/>
      <c r="C30" s="1342" t="n"/>
      <c r="D30" s="1342" t="n"/>
      <c r="E30" s="1342" t="n"/>
      <c r="F30" s="1342" t="n"/>
      <c r="G30" s="1481" t="n">
        <v>0</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0</v>
      </c>
      <c r="E80" s="173" t="n">
        <v>0</v>
      </c>
      <c r="F80" s="173" t="n">
        <v>0</v>
      </c>
      <c r="G80" s="173" t="n">
        <v>0</v>
      </c>
      <c r="H80" s="173" t="n">
        <v>0</v>
      </c>
      <c r="I80" s="173" t="n">
        <v>0</v>
      </c>
      <c r="J80" s="174" t="n">
        <v>0</v>
      </c>
      <c r="K80" s="742">
        <f>SUM(D80:J80)</f>
        <v/>
      </c>
      <c r="N80" s="49" t="n"/>
    </row>
    <row r="81">
      <c r="A81" s="983" t="inlineStr">
        <is>
          <t>Disclosed in part</t>
        </is>
      </c>
      <c r="B81" s="1342" t="n"/>
      <c r="C81" s="1390" t="n"/>
      <c r="D81" s="175" t="n">
        <v>0</v>
      </c>
      <c r="E81" s="171" t="n">
        <v>0</v>
      </c>
      <c r="F81" s="171" t="n">
        <v>0</v>
      </c>
      <c r="G81" s="178" t="n">
        <v>0</v>
      </c>
      <c r="H81" s="178" t="n">
        <v>0</v>
      </c>
      <c r="I81" s="178" t="n">
        <v>0</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0</v>
      </c>
      <c r="E82" s="177" t="n">
        <v>0</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0</v>
      </c>
      <c r="I84" s="171" t="n">
        <v>0</v>
      </c>
      <c r="J84" s="181" t="n">
        <v>0</v>
      </c>
      <c r="K84" s="283">
        <f>SUM(D84:J84)</f>
        <v/>
      </c>
      <c r="N84" s="49" t="n"/>
    </row>
    <row r="85">
      <c r="A85" s="983" t="inlineStr">
        <is>
          <t>Request abandoned</t>
        </is>
      </c>
      <c r="B85" s="1342" t="n"/>
      <c r="C85" s="1390" t="n"/>
      <c r="D85" s="175" t="n">
        <v>0</v>
      </c>
      <c r="E85" s="178" t="n">
        <v>0</v>
      </c>
      <c r="F85" s="177" t="n">
        <v>0</v>
      </c>
      <c r="G85" s="178" t="n">
        <v>0</v>
      </c>
      <c r="H85" s="171" t="n">
        <v>0</v>
      </c>
      <c r="I85" s="177" t="n">
        <v>0</v>
      </c>
      <c r="J85" s="182" t="n">
        <v>0</v>
      </c>
      <c r="K85" s="283">
        <f>SUM(D85:J85)</f>
        <v/>
      </c>
    </row>
    <row r="86" ht="15" customHeight="1" thickBot="1">
      <c r="A86" s="1256" t="inlineStr">
        <is>
          <t>Neither confirmed nor denied</t>
        </is>
      </c>
      <c r="B86" s="1348" t="n"/>
      <c r="C86" s="1384" t="n"/>
      <c r="D86" s="176" t="n">
        <v>0</v>
      </c>
      <c r="E86" s="1" t="n">
        <v>0</v>
      </c>
      <c r="F86" s="1" t="n">
        <v>0</v>
      </c>
      <c r="G86" s="1" t="n">
        <v>0</v>
      </c>
      <c r="H86" s="177" t="n">
        <v>0</v>
      </c>
      <c r="I86" s="1" t="n">
        <v>0</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0</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0</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0</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0</v>
      </c>
      <c r="B123" s="1460" t="n"/>
      <c r="C123" s="1465" t="n"/>
      <c r="D123" s="278" t="n">
        <v>0</v>
      </c>
      <c r="E123" s="1402" t="n"/>
      <c r="F123" s="1401" t="n"/>
      <c r="G123" s="1220" t="n">
        <v>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0</v>
      </c>
      <c r="D130" s="1237" t="n">
        <v>0</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0</v>
      </c>
      <c r="D131" s="1246" t="n">
        <v>0</v>
      </c>
      <c r="E131" s="990" t="n">
        <v>0</v>
      </c>
      <c r="F131" s="430" t="n">
        <v>0</v>
      </c>
      <c r="G131" s="483" t="n">
        <v>0</v>
      </c>
      <c r="H131" s="1246" t="n">
        <v>0</v>
      </c>
      <c r="I131" s="990" t="n">
        <v>0</v>
      </c>
      <c r="J131" s="430" t="n">
        <v>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0</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0</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0</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0</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0</v>
      </c>
      <c r="E207" s="1362" t="n"/>
      <c r="F207" s="1418" t="n"/>
      <c r="G207" s="477" t="n">
        <v>0</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0</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0</v>
      </c>
      <c r="F240" s="1465" t="n"/>
      <c r="G240" s="295" t="n">
        <v>0</v>
      </c>
      <c r="H240" s="1465" t="n"/>
      <c r="I240" s="295" t="n">
        <v>0</v>
      </c>
      <c r="J240" s="1465" t="n"/>
      <c r="K240" s="295" t="n">
        <v>0</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0</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0</v>
      </c>
      <c r="F258" s="1417" t="n"/>
      <c r="G258" s="550" t="n">
        <v>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0</v>
      </c>
      <c r="F261" s="1516" t="n"/>
      <c r="G261" s="1132" t="n">
        <v>0</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0</v>
      </c>
      <c r="B320" s="1465" t="n"/>
      <c r="C320" s="979" t="n">
        <v>0</v>
      </c>
      <c r="D320" s="1465" t="n"/>
      <c r="E320" s="979" t="n">
        <v>0</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0</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0</v>
      </c>
      <c r="G330" s="303" t="n">
        <v>0</v>
      </c>
      <c r="H330" s="303" t="n">
        <v>0</v>
      </c>
      <c r="I330" s="1417" t="n"/>
      <c r="J330" s="1527" t="n">
        <v>0</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0</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0</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0</v>
      </c>
      <c r="G357" s="1339" t="n"/>
      <c r="H357" s="1340" t="n"/>
      <c r="N357" s="88" t="n"/>
    </row>
    <row r="358">
      <c r="A358" s="1412" t="inlineStr">
        <is>
          <t>Part-time and casual employees</t>
        </is>
      </c>
      <c r="B358" s="1342" t="n"/>
      <c r="C358" s="1342" t="n"/>
      <c r="D358" s="1342" t="n"/>
      <c r="E358" s="1343" t="n"/>
      <c r="F358" s="1476" t="n">
        <v>0</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2026-01-02T13:56:51+00:00Z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