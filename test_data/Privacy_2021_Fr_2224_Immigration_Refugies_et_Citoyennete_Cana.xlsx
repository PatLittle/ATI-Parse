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Immigration, Réfugiés et Citoyenneté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44287</v>
      </c>
      <c r="I8" s="1371" t="n"/>
      <c r="J8" s="1371" t="n"/>
      <c r="K8" s="42" t="inlineStr">
        <is>
          <t>au</t>
        </is>
      </c>
      <c r="L8" s="1216" t="n">
        <v>44651</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26806</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3441</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73</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22220</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2160</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5940</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25892</v>
      </c>
      <c r="H28" s="1377" t="n"/>
      <c r="I28" s="1377" t="n"/>
      <c r="J28" s="1397" t="n"/>
      <c r="L28" s="28" t="n"/>
    </row>
    <row r="29" ht="15" customHeight="1">
      <c r="A29" s="505" t="inlineStr">
        <is>
          <t>Courriel</t>
        </is>
      </c>
      <c r="B29" s="1379" t="n"/>
      <c r="C29" s="1379" t="n"/>
      <c r="D29" s="1379" t="n"/>
      <c r="E29" s="1379" t="n"/>
      <c r="F29" s="1382" t="n"/>
      <c r="G29" s="553" t="n">
        <v>612</v>
      </c>
      <c r="H29" s="1398" t="n"/>
      <c r="I29" s="1398" t="n"/>
      <c r="J29" s="1399" t="n"/>
      <c r="L29" s="28" t="n"/>
    </row>
    <row r="30" ht="15" customHeight="1">
      <c r="A30" s="505" t="inlineStr">
        <is>
          <t>Poste</t>
        </is>
      </c>
      <c r="B30" s="1379" t="n"/>
      <c r="C30" s="1379" t="n"/>
      <c r="D30" s="1379" t="n"/>
      <c r="E30" s="1379" t="n"/>
      <c r="F30" s="1382" t="n"/>
      <c r="G30" s="553" t="n">
        <v>302</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17</v>
      </c>
      <c r="E80" s="164" t="n">
        <v>875</v>
      </c>
      <c r="F80" s="164" t="n">
        <v>2166</v>
      </c>
      <c r="G80" s="164" t="n">
        <v>613</v>
      </c>
      <c r="H80" s="164" t="n">
        <v>133</v>
      </c>
      <c r="I80" s="164" t="n">
        <v>74</v>
      </c>
      <c r="J80" s="165" t="n">
        <v>11</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3889</v>
      </c>
      <c r="E81" s="167" t="n">
        <v>66</v>
      </c>
      <c r="F81" s="167" t="n">
        <v>2971</v>
      </c>
      <c r="G81" s="167" t="n">
        <v>8006</v>
      </c>
      <c r="H81" s="167" t="n">
        <v>1831</v>
      </c>
      <c r="I81" s="167" t="n">
        <v>328</v>
      </c>
      <c r="J81" s="168" t="n">
        <v>228</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98</v>
      </c>
      <c r="E82" s="167" t="n">
        <v>13528</v>
      </c>
      <c r="F82" s="167" t="n">
        <v>0</v>
      </c>
      <c r="G82" s="167" t="n">
        <v>0</v>
      </c>
      <c r="H82" s="167" t="n">
        <v>0</v>
      </c>
      <c r="I82" s="167" t="n">
        <v>1</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1</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11</v>
      </c>
      <c r="I84" s="167" t="n">
        <v>2</v>
      </c>
      <c r="J84" s="168" t="n">
        <v>36</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41</v>
      </c>
      <c r="E85" s="167" t="n">
        <v>16</v>
      </c>
      <c r="F85" s="167" t="n">
        <v>6</v>
      </c>
      <c r="G85" s="167" t="n">
        <v>1</v>
      </c>
      <c r="H85" s="167" t="n">
        <v>113</v>
      </c>
      <c r="I85" s="167" t="n">
        <v>939</v>
      </c>
      <c r="J85" s="168" t="n">
        <v>2010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640</v>
      </c>
      <c r="E86" s="334" t="n">
        <v>607</v>
      </c>
      <c r="F86" s="334" t="n">
        <v>57</v>
      </c>
      <c r="G86" s="334" t="n">
        <v>117</v>
      </c>
      <c r="H86" s="334" t="n">
        <v>318</v>
      </c>
      <c r="I86" s="334" t="n">
        <v>4688</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511</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2</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2</v>
      </c>
      <c r="D96" s="1399" t="n"/>
      <c r="E96" s="1029" t="inlineStr">
        <is>
          <t>22(1)b)</t>
        </is>
      </c>
      <c r="F96" s="1382" t="n"/>
      <c r="G96" s="386" t="n">
        <v>3922</v>
      </c>
      <c r="H96" s="1399" t="n"/>
      <c r="I96" s="1029" t="inlineStr">
        <is>
          <t>24b)</t>
        </is>
      </c>
      <c r="J96" s="1382" t="n"/>
      <c r="K96" s="386" t="n">
        <v>0</v>
      </c>
      <c r="L96" s="1399" t="n"/>
    </row>
    <row r="97">
      <c r="A97" s="1029" t="inlineStr">
        <is>
          <t>19(1)d)</t>
        </is>
      </c>
      <c r="B97" s="1382" t="n"/>
      <c r="C97" s="386" t="n">
        <v>1</v>
      </c>
      <c r="D97" s="1399" t="n"/>
      <c r="E97" s="1029" t="inlineStr">
        <is>
          <t>22(1)c)</t>
        </is>
      </c>
      <c r="F97" s="1382" t="n"/>
      <c r="G97" s="386" t="n">
        <v>0</v>
      </c>
      <c r="H97" s="1399" t="n"/>
      <c r="I97" s="1029" t="n">
        <v>25</v>
      </c>
      <c r="J97" s="1382" t="n"/>
      <c r="K97" s="386" t="n">
        <v>375</v>
      </c>
      <c r="L97" s="1399" t="n"/>
    </row>
    <row r="98">
      <c r="A98" s="1029" t="inlineStr">
        <is>
          <t>19(1)e)</t>
        </is>
      </c>
      <c r="B98" s="1382" t="n"/>
      <c r="C98" s="386" t="n">
        <v>0</v>
      </c>
      <c r="D98" s="1399" t="n"/>
      <c r="E98" s="1029" t="inlineStr">
        <is>
          <t>22(2)</t>
        </is>
      </c>
      <c r="F98" s="1382" t="n"/>
      <c r="G98" s="386" t="n">
        <v>0</v>
      </c>
      <c r="H98" s="1399" t="n"/>
      <c r="I98" s="1029" t="n">
        <v>26</v>
      </c>
      <c r="J98" s="1382" t="n"/>
      <c r="K98" s="386" t="n">
        <v>7428</v>
      </c>
      <c r="L98" s="1399" t="n"/>
    </row>
    <row r="99">
      <c r="A99" s="1029" t="inlineStr">
        <is>
          <t>19(1)f)</t>
        </is>
      </c>
      <c r="B99" s="1382" t="n"/>
      <c r="C99" s="386" t="n">
        <v>0</v>
      </c>
      <c r="D99" s="1399" t="n"/>
      <c r="E99" s="1029" t="n">
        <v>22.1</v>
      </c>
      <c r="F99" s="1382" t="n"/>
      <c r="G99" s="386" t="n">
        <v>0</v>
      </c>
      <c r="H99" s="1399" t="n"/>
      <c r="I99" s="1029" t="n">
        <v>27</v>
      </c>
      <c r="J99" s="1382" t="n"/>
      <c r="K99" s="386" t="n">
        <v>5</v>
      </c>
      <c r="L99" s="1399" t="n"/>
    </row>
    <row r="100">
      <c r="A100" s="1029" t="inlineStr">
        <is>
          <t>20</t>
        </is>
      </c>
      <c r="B100" s="1382" t="n"/>
      <c r="C100" s="386" t="n">
        <v>1</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8226</v>
      </c>
      <c r="D101" s="1407" t="n"/>
      <c r="E101" s="1029" t="n">
        <v>22.3</v>
      </c>
      <c r="F101" s="1382" t="n"/>
      <c r="G101" s="386" t="n">
        <v>0</v>
      </c>
      <c r="H101" s="1399" t="n"/>
      <c r="I101" s="1321" t="n">
        <v>28</v>
      </c>
      <c r="J101" s="1394" t="n"/>
      <c r="K101" s="575" t="n">
        <v>1</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29" t="n"/>
      <c r="C116" s="861" t="n">
        <v>22220</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951125</v>
      </c>
      <c r="B123" s="1428" t="n"/>
      <c r="C123" s="1430" t="n"/>
      <c r="D123" s="413" t="n">
        <v>875698</v>
      </c>
      <c r="E123" s="1428" t="n"/>
      <c r="F123" s="1430" t="n"/>
      <c r="G123" s="413" t="n">
        <v>22107</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3434</v>
      </c>
      <c r="D130" s="421" t="n">
        <v>72899</v>
      </c>
      <c r="E130" s="1154" t="n">
        <v>452</v>
      </c>
      <c r="F130" s="597" t="n">
        <v>73201</v>
      </c>
      <c r="G130" s="815" t="n">
        <v>3</v>
      </c>
      <c r="H130" s="421" t="n">
        <v>1930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11191</v>
      </c>
      <c r="D131" s="345" t="n">
        <v>347431</v>
      </c>
      <c r="E131" s="357" t="n">
        <v>2272</v>
      </c>
      <c r="F131" s="358" t="n">
        <v>399498</v>
      </c>
      <c r="G131" s="681" t="n">
        <v>60</v>
      </c>
      <c r="H131" s="345" t="n">
        <v>40505</v>
      </c>
      <c r="I131" s="357" t="n">
        <v>5</v>
      </c>
      <c r="J131" s="358" t="n">
        <v>6390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1</v>
      </c>
      <c r="D132" s="345" t="n">
        <v>1</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4683</v>
      </c>
      <c r="D134" s="358" t="n">
        <v>1980</v>
      </c>
      <c r="E134" s="681" t="n">
        <v>2</v>
      </c>
      <c r="F134" s="358" t="n">
        <v>346</v>
      </c>
      <c r="G134" s="681" t="n">
        <v>0</v>
      </c>
      <c r="H134" s="358" t="n">
        <v>0</v>
      </c>
      <c r="I134" s="681" t="n">
        <v>3</v>
      </c>
      <c r="J134" s="358" t="n">
        <v>6944</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1</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33</v>
      </c>
      <c r="H175" s="1405" t="n"/>
      <c r="I175" s="420" t="n">
        <v>0</v>
      </c>
      <c r="J175" s="1405" t="n"/>
      <c r="K175" s="433">
        <f>SUM(C175:J175)</f>
        <v/>
      </c>
      <c r="L175" s="1396" t="n"/>
      <c r="M175" s="26" t="n"/>
      <c r="T175" s="32" t="n"/>
    </row>
    <row r="176" ht="28.5" customHeight="1">
      <c r="A176" s="1446" t="inlineStr">
        <is>
          <t>Communication partielle</t>
        </is>
      </c>
      <c r="B176" s="1381" t="n"/>
      <c r="C176" s="681" t="n">
        <v>33</v>
      </c>
      <c r="D176" s="1399" t="n"/>
      <c r="E176" s="344" t="n">
        <v>3</v>
      </c>
      <c r="F176" s="1399" t="n"/>
      <c r="G176" s="344" t="n">
        <v>0</v>
      </c>
      <c r="H176" s="1399" t="n"/>
      <c r="I176" s="344" t="n">
        <v>7372</v>
      </c>
      <c r="J176" s="1399" t="n"/>
      <c r="K176" s="414">
        <f>SUM(C176:J176)</f>
        <v/>
      </c>
      <c r="L176" s="1382" t="n"/>
      <c r="M176" s="26" t="n"/>
      <c r="T176" s="32" t="n"/>
    </row>
    <row r="177" ht="15" customHeight="1">
      <c r="A177" s="1446" t="inlineStr">
        <is>
          <t>Exception totale</t>
        </is>
      </c>
      <c r="B177" s="1381" t="n"/>
      <c r="C177" s="681" t="n">
        <v>0</v>
      </c>
      <c r="D177" s="1399" t="n"/>
      <c r="E177" s="344" t="n">
        <v>7375</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1</v>
      </c>
      <c r="D178" s="1399" t="n"/>
      <c r="E178" s="344" t="n">
        <v>0</v>
      </c>
      <c r="F178" s="1399" t="n"/>
      <c r="G178" s="344" t="n">
        <v>1</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2</v>
      </c>
      <c r="D180" s="1407" t="n"/>
      <c r="E180" s="533" t="n">
        <v>0</v>
      </c>
      <c r="F180" s="1407" t="n"/>
      <c r="G180" s="533" t="n">
        <v>22</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13777</v>
      </c>
      <c r="F198" s="1457" t="n"/>
      <c r="G198" s="327" t="n">
        <v>0</v>
      </c>
      <c r="H198" s="1457" t="n"/>
      <c r="I198" s="327" t="n">
        <v>0</v>
      </c>
      <c r="J198" s="1457" t="n"/>
      <c r="K198" s="327" t="n">
        <v>0</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8263</v>
      </c>
      <c r="E203" s="1370" t="n"/>
      <c r="F203" s="1405" t="n"/>
      <c r="G203" s="420" t="n">
        <v>337</v>
      </c>
      <c r="H203" s="1370" t="n"/>
      <c r="I203" s="1405" t="n"/>
      <c r="J203" s="433">
        <f>SUM(D203:I203)</f>
        <v/>
      </c>
      <c r="K203" s="1371" t="n"/>
      <c r="L203" s="1396" t="n"/>
      <c r="M203" s="26" t="n"/>
      <c r="T203" s="32" t="n"/>
    </row>
    <row r="204">
      <c r="A204" s="1462" t="inlineStr">
        <is>
          <t>16 à 30 jours</t>
        </is>
      </c>
      <c r="B204" s="1379" t="n"/>
      <c r="C204" s="1381" t="n"/>
      <c r="D204" s="681" t="n">
        <v>8600</v>
      </c>
      <c r="E204" s="1398" t="n"/>
      <c r="F204" s="1399" t="n"/>
      <c r="G204" s="344" t="n">
        <v>270</v>
      </c>
      <c r="H204" s="1398" t="n"/>
      <c r="I204" s="1399" t="n"/>
      <c r="J204" s="414">
        <f>SUM(D204:I204)</f>
        <v/>
      </c>
      <c r="K204" s="1379" t="n"/>
      <c r="L204" s="1382" t="n"/>
      <c r="M204" s="26" t="n"/>
      <c r="T204" s="32" t="n"/>
    </row>
    <row r="205">
      <c r="A205" s="1462" t="inlineStr">
        <is>
          <t>31 à 60 jours</t>
        </is>
      </c>
      <c r="B205" s="1379" t="n"/>
      <c r="C205" s="1381" t="n"/>
      <c r="D205" s="681" t="n">
        <v>48</v>
      </c>
      <c r="E205" s="1398" t="n"/>
      <c r="F205" s="1399" t="n"/>
      <c r="G205" s="344" t="n">
        <v>318</v>
      </c>
      <c r="H205" s="1398" t="n"/>
      <c r="I205" s="1399" t="n"/>
      <c r="J205" s="414">
        <f>SUM(D205:I205)</f>
        <v/>
      </c>
      <c r="K205" s="1379" t="n"/>
      <c r="L205" s="1382" t="n"/>
      <c r="M205" s="26" t="n"/>
      <c r="T205" s="32" t="n"/>
    </row>
    <row r="206">
      <c r="A206" s="1462" t="inlineStr">
        <is>
          <t>61 à 120 jours</t>
        </is>
      </c>
      <c r="B206" s="1379" t="n"/>
      <c r="C206" s="1381" t="n"/>
      <c r="D206" s="681" t="n">
        <v>1111</v>
      </c>
      <c r="E206" s="1398" t="n"/>
      <c r="F206" s="1399" t="n"/>
      <c r="G206" s="344" t="n">
        <v>67</v>
      </c>
      <c r="H206" s="1398" t="n"/>
      <c r="I206" s="1399" t="n"/>
      <c r="J206" s="414">
        <f>SUM(D206:I206)</f>
        <v/>
      </c>
      <c r="K206" s="1379" t="n"/>
      <c r="L206" s="1382" t="n"/>
      <c r="M206" s="26" t="n"/>
      <c r="T206" s="32" t="n"/>
    </row>
    <row r="207">
      <c r="A207" s="1462" t="inlineStr">
        <is>
          <t>121 à 180 jours</t>
        </is>
      </c>
      <c r="B207" s="1379" t="n"/>
      <c r="C207" s="1381" t="n"/>
      <c r="D207" s="681" t="n">
        <v>1178</v>
      </c>
      <c r="E207" s="1398" t="n"/>
      <c r="F207" s="1399" t="n"/>
      <c r="G207" s="344" t="n">
        <v>327</v>
      </c>
      <c r="H207" s="1398" t="n"/>
      <c r="I207" s="1399" t="n"/>
      <c r="J207" s="414">
        <f>SUM(D207:I207)</f>
        <v/>
      </c>
      <c r="K207" s="1379" t="n"/>
      <c r="L207" s="1382" t="n"/>
      <c r="M207" s="26" t="n"/>
      <c r="T207" s="32" t="n"/>
    </row>
    <row r="208">
      <c r="A208" s="1462" t="inlineStr">
        <is>
          <t>181 à 365 jours</t>
        </is>
      </c>
      <c r="B208" s="1379" t="n"/>
      <c r="C208" s="1381" t="n"/>
      <c r="D208" s="681" t="n">
        <v>170</v>
      </c>
      <c r="E208" s="1398" t="n"/>
      <c r="F208" s="1399" t="n"/>
      <c r="G208" s="344" t="n">
        <v>497</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1923</v>
      </c>
      <c r="E209" s="1406" t="n"/>
      <c r="F209" s="1407" t="n"/>
      <c r="G209" s="533" t="n">
        <v>74</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2159</v>
      </c>
      <c r="B223" s="1496" t="n"/>
      <c r="C223" s="1457" t="n"/>
      <c r="D223" s="327" t="n">
        <v>188</v>
      </c>
      <c r="E223" s="1496" t="n"/>
      <c r="F223" s="1457" t="n"/>
      <c r="G223" s="861" t="n">
        <v>188</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1238</v>
      </c>
      <c r="F240" s="1457" t="n"/>
      <c r="G240" s="296" t="n">
        <v>0</v>
      </c>
      <c r="H240" s="1457" t="n"/>
      <c r="I240" s="296" t="n">
        <v>0</v>
      </c>
      <c r="J240" s="1457" t="n"/>
      <c r="K240" s="296" t="n">
        <v>5</v>
      </c>
      <c r="L240" s="1457" t="n"/>
      <c r="M240" s="1545" t="n">
        <v>0</v>
      </c>
      <c r="N240" s="1457" t="n"/>
      <c r="O240" s="296" t="n">
        <v>0</v>
      </c>
      <c r="P240" s="296" t="n">
        <v>1</v>
      </c>
      <c r="Q240" s="1457" t="n"/>
      <c r="R240" s="221" t="n">
        <v>1232</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5</v>
      </c>
      <c r="J249" s="1402" t="n"/>
      <c r="K249" s="638" t="n">
        <v>0</v>
      </c>
      <c r="L249" s="1402" t="n"/>
      <c r="M249" s="638" t="n">
        <v>0</v>
      </c>
      <c r="N249" s="1402" t="n"/>
      <c r="O249" s="638" t="n">
        <v>1</v>
      </c>
      <c r="P249" s="638" t="n">
        <v>1232</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49</v>
      </c>
      <c r="F258" s="1397" t="n"/>
      <c r="G258" s="754" t="n">
        <v>1079</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5</v>
      </c>
      <c r="F259" s="1407" t="n"/>
      <c r="G259" s="1035" t="n">
        <v>174</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52</v>
      </c>
      <c r="F261" s="1397" t="n"/>
      <c r="G261" s="420" t="n">
        <v>1197</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1</v>
      </c>
      <c r="F262" s="1399" t="n"/>
      <c r="G262" s="345" t="n">
        <v>16</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1</v>
      </c>
      <c r="F263" s="1407" t="n"/>
      <c r="G263" s="1144" t="n">
        <v>40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1</v>
      </c>
      <c r="F269" s="420" t="n">
        <v>1</v>
      </c>
      <c r="G269" s="420" t="n">
        <v>3</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11</v>
      </c>
      <c r="F270" s="344" t="n">
        <v>15</v>
      </c>
      <c r="G270" s="344" t="n">
        <v>12</v>
      </c>
      <c r="H270" s="344" t="n">
        <v>4</v>
      </c>
      <c r="I270" s="344" t="n">
        <v>1</v>
      </c>
      <c r="J270" s="344" t="n">
        <v>0</v>
      </c>
      <c r="K270" s="358" t="n">
        <v>0</v>
      </c>
      <c r="L270" s="278">
        <f>SUM(E270:K270)</f>
        <v/>
      </c>
      <c r="M270" s="26" t="n"/>
      <c r="T270" s="32" t="n"/>
    </row>
    <row r="271">
      <c r="A271" s="576" t="inlineStr">
        <is>
          <t>Exempter en entier</t>
        </is>
      </c>
      <c r="B271" s="1379" t="n"/>
      <c r="C271" s="1379" t="n"/>
      <c r="D271" s="1382" t="n"/>
      <c r="E271" s="681" t="n">
        <v>2</v>
      </c>
      <c r="F271" s="344" t="n">
        <v>0</v>
      </c>
      <c r="G271" s="344" t="n">
        <v>1</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1</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44</v>
      </c>
      <c r="B320" s="1430" t="n"/>
      <c r="C320" s="413" t="n">
        <v>0</v>
      </c>
      <c r="D320" s="1430" t="n"/>
      <c r="E320" s="413" t="n">
        <v>36</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1</v>
      </c>
      <c r="G325" s="1377" t="n"/>
      <c r="H325" s="1377" t="n"/>
      <c r="I325" s="1378" t="n"/>
      <c r="T325" s="32" t="n"/>
    </row>
    <row r="326" ht="15.75" customHeight="1" thickBot="1">
      <c r="A326" s="1283" t="inlineStr">
        <is>
          <t>Nombre d’ÉFVP modifiées</t>
        </is>
      </c>
      <c r="B326" s="1386" t="n"/>
      <c r="C326" s="1386" t="n"/>
      <c r="D326" s="1386" t="n"/>
      <c r="E326" s="1386" t="n"/>
      <c r="F326" s="1276" t="n">
        <v>2</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18</v>
      </c>
      <c r="G330" s="1297" t="n">
        <v>0</v>
      </c>
      <c r="H330" s="1297" t="n">
        <v>0</v>
      </c>
      <c r="I330" s="1405" t="n"/>
      <c r="J330" s="1297" t="n">
        <v>0</v>
      </c>
      <c r="K330" s="1405" t="n"/>
      <c r="T330" s="32" t="n"/>
    </row>
    <row r="331" ht="15.75" customHeight="1" thickBot="1">
      <c r="A331" s="1291" t="inlineStr">
        <is>
          <t>Centraux</t>
        </is>
      </c>
      <c r="B331" s="1386" t="n"/>
      <c r="C331" s="1386" t="n"/>
      <c r="D331" s="1386" t="n"/>
      <c r="E331" s="1394" t="n"/>
      <c r="F331" s="299" t="n">
        <v>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7</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7</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2396</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1149859</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28198</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149539</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2441</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9.09</v>
      </c>
      <c r="G357" s="1377" t="n"/>
      <c r="H357" s="1378" t="n"/>
      <c r="N357" s="60" t="n"/>
    </row>
    <row r="358" ht="14.25" customFormat="1" customHeight="1" s="32">
      <c r="A358" s="1462" t="inlineStr">
        <is>
          <t>Employés à temps partiel et occasionnels</t>
        </is>
      </c>
      <c r="B358" s="1379" t="n"/>
      <c r="C358" s="1379" t="n"/>
      <c r="D358" s="1379" t="n"/>
      <c r="E358" s="1381" t="n"/>
      <c r="F358" s="1517" t="n">
        <v>5.62</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1</v>
      </c>
      <c r="G360" s="1398" t="n"/>
      <c r="H360" s="1419" t="n"/>
      <c r="N360" s="60" t="n"/>
    </row>
    <row r="361" customFormat="1" s="32" thickBot="1">
      <c r="A361" s="1466" t="inlineStr">
        <is>
          <t>Étudiants</t>
        </is>
      </c>
      <c r="B361" s="1386" t="n"/>
      <c r="C361" s="1386" t="n"/>
      <c r="D361" s="1386" t="n"/>
      <c r="E361" s="1387" t="n"/>
      <c r="F361" s="1565" t="n">
        <v>0</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2026-01-02T13:47:28+00:00Z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