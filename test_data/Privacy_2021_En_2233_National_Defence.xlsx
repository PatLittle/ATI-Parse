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National Defence</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44287</v>
      </c>
      <c r="I8" s="1331" t="n"/>
      <c r="J8" s="1331" t="n"/>
      <c r="K8" s="1043" t="inlineStr">
        <is>
          <t>to</t>
        </is>
      </c>
      <c r="L8" s="1329" t="n">
        <v>44651</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6158</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1154</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70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6567</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578</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237</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3772</v>
      </c>
      <c r="H28" s="1339" t="n"/>
      <c r="I28" s="1339" t="n"/>
      <c r="J28" s="1340" t="n"/>
      <c r="K28" s="73" t="n"/>
    </row>
    <row r="29">
      <c r="A29" s="677" t="inlineStr">
        <is>
          <t>E-mail</t>
        </is>
      </c>
      <c r="B29" s="1342" t="n"/>
      <c r="C29" s="1342" t="n"/>
      <c r="D29" s="1342" t="n"/>
      <c r="E29" s="1342" t="n"/>
      <c r="F29" s="1342" t="n"/>
      <c r="G29" s="1481" t="n">
        <v>486</v>
      </c>
      <c r="H29" s="1362" t="n"/>
      <c r="I29" s="1362" t="n"/>
      <c r="J29" s="1368" t="n"/>
      <c r="K29" s="73" t="n"/>
    </row>
    <row r="30">
      <c r="A30" s="677" t="inlineStr">
        <is>
          <t>Mail</t>
        </is>
      </c>
      <c r="B30" s="1342" t="n"/>
      <c r="C30" s="1342" t="n"/>
      <c r="D30" s="1342" t="n"/>
      <c r="E30" s="1342" t="n"/>
      <c r="F30" s="1342" t="n"/>
      <c r="G30" s="1481" t="n">
        <v>1900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316</v>
      </c>
      <c r="E80" s="173" t="n">
        <v>702</v>
      </c>
      <c r="F80" s="173" t="n">
        <v>134</v>
      </c>
      <c r="G80" s="173" t="n">
        <v>63</v>
      </c>
      <c r="H80" s="173" t="n">
        <v>29</v>
      </c>
      <c r="I80" s="173" t="n">
        <v>21</v>
      </c>
      <c r="J80" s="174" t="n">
        <v>5</v>
      </c>
      <c r="K80" s="742">
        <f>SUM(D80:J80)</f>
        <v/>
      </c>
      <c r="N80" s="49" t="n"/>
    </row>
    <row r="81">
      <c r="A81" s="983" t="inlineStr">
        <is>
          <t>Disclosed in part</t>
        </is>
      </c>
      <c r="B81" s="1342" t="n"/>
      <c r="C81" s="1390" t="n"/>
      <c r="D81" s="175" t="n">
        <v>1270</v>
      </c>
      <c r="E81" s="171" t="n">
        <v>124</v>
      </c>
      <c r="F81" s="171" t="n">
        <v>1614</v>
      </c>
      <c r="G81" s="178" t="n">
        <v>725</v>
      </c>
      <c r="H81" s="178" t="n">
        <v>343</v>
      </c>
      <c r="I81" s="178" t="n">
        <v>258</v>
      </c>
      <c r="J81" s="180" t="n">
        <v>250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116</v>
      </c>
      <c r="E82" s="177" t="n">
        <v>3430</v>
      </c>
      <c r="F82" s="177" t="n">
        <v>25</v>
      </c>
      <c r="G82" s="178" t="n">
        <v>20</v>
      </c>
      <c r="H82" s="171" t="n">
        <v>4</v>
      </c>
      <c r="I82" s="178" t="n">
        <v>3</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1</v>
      </c>
      <c r="F83" s="178" t="n">
        <v>53</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1030</v>
      </c>
      <c r="I84" s="171" t="n">
        <v>197</v>
      </c>
      <c r="J84" s="181" t="n">
        <v>49</v>
      </c>
      <c r="K84" s="283">
        <f>SUM(D84:J84)</f>
        <v/>
      </c>
      <c r="N84" s="49" t="n"/>
    </row>
    <row r="85">
      <c r="A85" s="983" t="inlineStr">
        <is>
          <t>Request abandoned</t>
        </is>
      </c>
      <c r="B85" s="1342" t="n"/>
      <c r="C85" s="1390" t="n"/>
      <c r="D85" s="175" t="n">
        <v>23</v>
      </c>
      <c r="E85" s="178" t="n">
        <v>5</v>
      </c>
      <c r="F85" s="177" t="n">
        <v>7</v>
      </c>
      <c r="G85" s="178" t="n">
        <v>0</v>
      </c>
      <c r="H85" s="171" t="n">
        <v>1311</v>
      </c>
      <c r="I85" s="177" t="n">
        <v>385</v>
      </c>
      <c r="J85" s="182" t="n">
        <v>69</v>
      </c>
      <c r="K85" s="283">
        <f>SUM(D85:J85)</f>
        <v/>
      </c>
    </row>
    <row r="86" ht="15" customHeight="1" thickBot="1">
      <c r="A86" s="1256" t="inlineStr">
        <is>
          <t>Neither confirmed nor denied</t>
        </is>
      </c>
      <c r="B86" s="1348" t="n"/>
      <c r="C86" s="1384" t="n"/>
      <c r="D86" s="176" t="n">
        <v>26</v>
      </c>
      <c r="E86" s="1" t="n">
        <v>10</v>
      </c>
      <c r="F86" s="1" t="n">
        <v>3</v>
      </c>
      <c r="G86" s="1" t="n">
        <v>4</v>
      </c>
      <c r="H86" s="177" t="n">
        <v>6</v>
      </c>
      <c r="I86" s="1" t="n">
        <v>503</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157</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3</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1</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36</v>
      </c>
      <c r="D96" s="1418" t="n"/>
      <c r="E96" s="1245" t="inlineStr">
        <is>
          <t>22(1)(b)</t>
        </is>
      </c>
      <c r="F96" s="1390" t="n"/>
      <c r="G96" s="477" t="n">
        <v>32</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39</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3408</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141</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59</v>
      </c>
      <c r="D101" s="1419" t="n"/>
      <c r="E101" s="1245" t="n">
        <v>22.3</v>
      </c>
      <c r="F101" s="1390" t="n"/>
      <c r="G101" s="477" t="n">
        <v>5</v>
      </c>
      <c r="H101" s="1418" t="n"/>
      <c r="I101" s="1232" t="n">
        <v>28</v>
      </c>
      <c r="J101" s="1384" t="n"/>
      <c r="K101" s="548" t="n">
        <v>1</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326</v>
      </c>
      <c r="B116" s="1400" t="n"/>
      <c r="C116" s="1229" t="n">
        <v>4374</v>
      </c>
      <c r="D116" s="1465" t="n"/>
      <c r="E116" s="291" t="n">
        <v>0</v>
      </c>
      <c r="F116" s="494" t="n">
        <v>10</v>
      </c>
      <c r="G116" s="1228" t="n">
        <v>8</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1579710</v>
      </c>
      <c r="B123" s="1460" t="n"/>
      <c r="C123" s="1465" t="n"/>
      <c r="D123" s="278" t="n">
        <v>1527968</v>
      </c>
      <c r="E123" s="1402" t="n"/>
      <c r="F123" s="1401" t="n"/>
      <c r="G123" s="1220" t="n">
        <v>5256</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1019</v>
      </c>
      <c r="D130" s="1237" t="n">
        <v>17990</v>
      </c>
      <c r="E130" s="990" t="n">
        <v>187</v>
      </c>
      <c r="F130" s="594" t="n">
        <v>43821</v>
      </c>
      <c r="G130" s="483" t="n">
        <v>53</v>
      </c>
      <c r="H130" s="1237" t="n">
        <v>35302</v>
      </c>
      <c r="I130" s="990" t="n">
        <v>11</v>
      </c>
      <c r="J130" s="594" t="n">
        <v>18630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1161</v>
      </c>
      <c r="D131" s="1246" t="n">
        <v>50057</v>
      </c>
      <c r="E131" s="990" t="n">
        <v>1216</v>
      </c>
      <c r="F131" s="430" t="n">
        <v>329261</v>
      </c>
      <c r="G131" s="483" t="n">
        <v>613</v>
      </c>
      <c r="H131" s="1246" t="n">
        <v>441547</v>
      </c>
      <c r="I131" s="990" t="n">
        <v>439</v>
      </c>
      <c r="J131" s="430" t="n">
        <v>631245</v>
      </c>
      <c r="K131" s="483" t="n">
        <v>1</v>
      </c>
      <c r="L131" s="1246" t="n">
        <v>6766</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51</v>
      </c>
      <c r="D132" s="1246" t="n">
        <v>331</v>
      </c>
      <c r="E132" s="990" t="n">
        <v>2</v>
      </c>
      <c r="F132" s="430" t="n">
        <v>406</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494</v>
      </c>
      <c r="D134" s="1246" t="n">
        <v>155</v>
      </c>
      <c r="E134" s="431" t="n">
        <v>6</v>
      </c>
      <c r="F134" s="430" t="n">
        <v>1669</v>
      </c>
      <c r="G134" s="483" t="n">
        <v>2</v>
      </c>
      <c r="H134" s="1246" t="n">
        <v>1391</v>
      </c>
      <c r="I134" s="990" t="n">
        <v>1</v>
      </c>
      <c r="J134" s="430" t="n">
        <v>1139</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1275</v>
      </c>
      <c r="B141" s="1402" t="n"/>
      <c r="C141" s="1401" t="n"/>
      <c r="D141" s="278" t="n">
        <v>1002</v>
      </c>
      <c r="E141" s="1402" t="n"/>
      <c r="F141" s="1401" t="n"/>
      <c r="G141" s="1485" t="n">
        <v>8</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5</v>
      </c>
      <c r="E148" s="1362" t="n"/>
      <c r="F148" s="1418" t="n"/>
      <c r="G148" s="935" t="n">
        <v>194</v>
      </c>
      <c r="H148" s="1418" t="n"/>
      <c r="I148" s="940" t="n">
        <v>1</v>
      </c>
      <c r="J148" s="1362" t="n"/>
      <c r="K148" s="1418" t="n"/>
      <c r="L148" s="935" t="n">
        <v>60</v>
      </c>
      <c r="M148" s="1418" t="n"/>
      <c r="N148" s="934" t="n">
        <v>2</v>
      </c>
      <c r="O148" s="1362" t="n"/>
      <c r="P148" s="1418" t="n"/>
      <c r="Q148" s="935" t="n">
        <v>1021</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1643</v>
      </c>
      <c r="B158" s="1402" t="n"/>
      <c r="C158" s="1401" t="n"/>
      <c r="D158" s="278" t="n">
        <v>981</v>
      </c>
      <c r="E158" s="1402" t="n"/>
      <c r="F158" s="1401" t="n"/>
      <c r="G158" s="1485" t="n">
        <v>10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1</v>
      </c>
      <c r="J164" s="1330" t="n"/>
      <c r="K164" s="1421" t="n"/>
      <c r="L164" s="1012" t="n">
        <v>60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3</v>
      </c>
      <c r="E165" s="1362" t="n"/>
      <c r="F165" s="1418" t="n"/>
      <c r="G165" s="935" t="n">
        <v>105</v>
      </c>
      <c r="H165" s="1418" t="n"/>
      <c r="I165" s="940" t="n">
        <v>1</v>
      </c>
      <c r="J165" s="1362" t="n"/>
      <c r="K165" s="1418" t="n"/>
      <c r="L165" s="935" t="n">
        <v>64</v>
      </c>
      <c r="M165" s="1418" t="n"/>
      <c r="N165" s="934" t="n">
        <v>5</v>
      </c>
      <c r="O165" s="1362" t="n"/>
      <c r="P165" s="1418" t="n"/>
      <c r="Q165" s="935" t="n">
        <v>1414</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2</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2</v>
      </c>
      <c r="D176" s="1418" t="n"/>
      <c r="E176" s="477" t="n">
        <v>6</v>
      </c>
      <c r="F176" s="1418" t="n"/>
      <c r="G176" s="477" t="n">
        <v>0</v>
      </c>
      <c r="H176" s="1418" t="n"/>
      <c r="I176" s="477" t="n">
        <v>3</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9</v>
      </c>
      <c r="F177" s="1418" t="n"/>
      <c r="G177" s="477" t="n">
        <v>0</v>
      </c>
      <c r="H177" s="1418" t="n"/>
      <c r="I177" s="477" t="n">
        <v>1</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1</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1</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725</v>
      </c>
      <c r="F198" s="1401" t="n"/>
      <c r="G198" s="1493" t="n">
        <v>0</v>
      </c>
      <c r="H198" s="1401" t="n"/>
      <c r="I198" s="1493" t="n">
        <v>0</v>
      </c>
      <c r="J198" s="1401" t="n"/>
      <c r="K198" s="1494" t="n">
        <v>534</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63</v>
      </c>
      <c r="E203" s="1330" t="n"/>
      <c r="F203" s="1421" t="n"/>
      <c r="G203" s="1255" t="n">
        <v>31</v>
      </c>
      <c r="H203" s="1339" t="n"/>
      <c r="I203" s="1340" t="n"/>
      <c r="J203" s="271">
        <f>SUM(D203:I203)</f>
        <v/>
      </c>
      <c r="K203" s="1336" t="n"/>
      <c r="L203" s="1337" t="n"/>
      <c r="M203" s="88" t="n"/>
      <c r="N203" s="49" t="n"/>
    </row>
    <row r="204" ht="15.75" customHeight="1">
      <c r="A204" s="1412" t="inlineStr">
        <is>
          <t>16 to 30 days</t>
        </is>
      </c>
      <c r="B204" s="1342" t="n"/>
      <c r="C204" s="1343" t="n"/>
      <c r="D204" s="431" t="n">
        <v>94</v>
      </c>
      <c r="E204" s="1362" t="n"/>
      <c r="F204" s="1418" t="n"/>
      <c r="G204" s="1246" t="n">
        <v>91</v>
      </c>
      <c r="H204" s="1362" t="n"/>
      <c r="I204" s="1368" t="n"/>
      <c r="J204" s="267">
        <f>SUM(D204:I204)</f>
        <v/>
      </c>
      <c r="K204" s="1342" t="n"/>
      <c r="L204" s="1343" t="n"/>
      <c r="M204" s="88" t="n"/>
      <c r="N204" s="49" t="n"/>
    </row>
    <row r="205" ht="15.75" customHeight="1">
      <c r="A205" s="1412" t="inlineStr">
        <is>
          <t>31 to 60 days</t>
        </is>
      </c>
      <c r="B205" s="1342" t="n"/>
      <c r="C205" s="1343" t="n"/>
      <c r="D205" s="431" t="n">
        <v>25</v>
      </c>
      <c r="E205" s="1362" t="n"/>
      <c r="F205" s="1418" t="n"/>
      <c r="G205" s="1246" t="n">
        <v>116</v>
      </c>
      <c r="H205" s="1362" t="n"/>
      <c r="I205" s="1368" t="n"/>
      <c r="J205" s="267">
        <f>SUM(D205:I205)</f>
        <v/>
      </c>
      <c r="K205" s="1342" t="n"/>
      <c r="L205" s="1343" t="n"/>
      <c r="M205" s="66" t="n"/>
      <c r="N205" s="49" t="n"/>
    </row>
    <row r="206" ht="18" customHeight="1">
      <c r="A206" s="983" t="inlineStr">
        <is>
          <t>61 to 120 days</t>
        </is>
      </c>
      <c r="B206" s="1342" t="n"/>
      <c r="C206" s="1390" t="n"/>
      <c r="D206" s="431" t="n">
        <v>175</v>
      </c>
      <c r="E206" s="1362" t="n"/>
      <c r="F206" s="1418" t="n"/>
      <c r="G206" s="477" t="n">
        <v>51</v>
      </c>
      <c r="H206" s="1362" t="n"/>
      <c r="I206" s="1418" t="n"/>
      <c r="J206" s="986">
        <f>SUM(D206:I206)</f>
        <v/>
      </c>
      <c r="K206" s="1342" t="n"/>
      <c r="L206" s="1390" t="n"/>
      <c r="M206" s="66" t="n"/>
      <c r="N206" s="49" t="n"/>
    </row>
    <row r="207" ht="18.75" customHeight="1">
      <c r="A207" s="983" t="inlineStr">
        <is>
          <t>121  to 180 days</t>
        </is>
      </c>
      <c r="B207" s="1342" t="n"/>
      <c r="C207" s="1390" t="n"/>
      <c r="D207" s="431" t="n">
        <v>226</v>
      </c>
      <c r="E207" s="1362" t="n"/>
      <c r="F207" s="1418" t="n"/>
      <c r="G207" s="477" t="n">
        <v>266</v>
      </c>
      <c r="H207" s="1362" t="n"/>
      <c r="I207" s="1418" t="n"/>
      <c r="J207" s="986">
        <f>SUM(D207:I207)</f>
        <v/>
      </c>
      <c r="K207" s="1342" t="n"/>
      <c r="L207" s="1390" t="n"/>
      <c r="M207" s="66" t="n"/>
      <c r="N207" s="49" t="n"/>
    </row>
    <row r="208" ht="18.75" customHeight="1">
      <c r="A208" s="983" t="inlineStr">
        <is>
          <t>181 to 365 days</t>
        </is>
      </c>
      <c r="B208" s="1342" t="n"/>
      <c r="C208" s="1390" t="n"/>
      <c r="D208" s="431" t="n">
        <v>44</v>
      </c>
      <c r="E208" s="1362" t="n"/>
      <c r="F208" s="1418" t="n"/>
      <c r="G208" s="477" t="n">
        <v>310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181</v>
      </c>
      <c r="E209" s="1363" t="n"/>
      <c r="F209" s="1419" t="n"/>
      <c r="G209" s="548" t="n">
        <v>9</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212</v>
      </c>
      <c r="B223" s="1402" t="n"/>
      <c r="C223" s="1401" t="n"/>
      <c r="D223" s="1034" t="n">
        <v>101</v>
      </c>
      <c r="E223" s="1402" t="n"/>
      <c r="F223" s="1402" t="n"/>
      <c r="G223" s="1494" t="n">
        <v>101</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993</v>
      </c>
      <c r="F240" s="1465" t="n"/>
      <c r="G240" s="295" t="n">
        <v>0</v>
      </c>
      <c r="H240" s="1465" t="n"/>
      <c r="I240" s="295" t="n">
        <v>0</v>
      </c>
      <c r="J240" s="1465" t="n"/>
      <c r="K240" s="295" t="n">
        <v>993</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993</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5</v>
      </c>
      <c r="F258" s="1417" t="n"/>
      <c r="G258" s="550" t="n">
        <v>3466</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1</v>
      </c>
      <c r="F259" s="1419" t="n"/>
      <c r="G259" s="617" t="n">
        <v>77</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6</v>
      </c>
      <c r="F261" s="1516" t="n"/>
      <c r="G261" s="1132" t="n">
        <v>3543</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2</v>
      </c>
      <c r="F269" s="484" t="n">
        <v>0</v>
      </c>
      <c r="G269" s="484" t="n">
        <v>0</v>
      </c>
      <c r="H269" s="484" t="n">
        <v>0</v>
      </c>
      <c r="I269" s="484" t="n">
        <v>0</v>
      </c>
      <c r="J269" s="484" t="n">
        <v>0</v>
      </c>
      <c r="K269" s="594" t="n">
        <v>1</v>
      </c>
      <c r="L269" s="266">
        <f>SUM(E269:K269)</f>
        <v/>
      </c>
      <c r="M269" s="66" t="n"/>
      <c r="N269" s="49" t="n"/>
    </row>
    <row r="270" ht="15" customHeight="1">
      <c r="A270" s="983" t="inlineStr">
        <is>
          <t>Disclose in part</t>
        </is>
      </c>
      <c r="B270" s="1342" t="n"/>
      <c r="C270" s="1342" t="n"/>
      <c r="D270" s="1390" t="n"/>
      <c r="E270" s="476" t="n">
        <v>2</v>
      </c>
      <c r="F270" s="477" t="n">
        <v>0</v>
      </c>
      <c r="G270" s="477" t="n">
        <v>0</v>
      </c>
      <c r="H270" s="477" t="n">
        <v>1</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54</v>
      </c>
      <c r="B320" s="1465" t="n"/>
      <c r="C320" s="979" t="n">
        <v>40</v>
      </c>
      <c r="D320" s="1465" t="n"/>
      <c r="E320" s="979" t="n">
        <v>22</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5</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58</v>
      </c>
      <c r="G330" s="303" t="n">
        <v>2</v>
      </c>
      <c r="H330" s="303" t="n">
        <v>0</v>
      </c>
      <c r="I330" s="1417" t="n"/>
      <c r="J330" s="1527" t="n">
        <v>5</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185</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3019767</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7817</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479126</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522750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38.02</v>
      </c>
      <c r="G357" s="1339" t="n"/>
      <c r="H357" s="1340" t="n"/>
      <c r="N357" s="88" t="n"/>
    </row>
    <row r="358">
      <c r="A358" s="1412" t="inlineStr">
        <is>
          <t>Part-time and casual employees</t>
        </is>
      </c>
      <c r="B358" s="1342" t="n"/>
      <c r="C358" s="1342" t="n"/>
      <c r="D358" s="1342" t="n"/>
      <c r="E358" s="1343" t="n"/>
      <c r="F358" s="1476" t="n">
        <v>3</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3</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2026-01-02T13:48:34+00:00Z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